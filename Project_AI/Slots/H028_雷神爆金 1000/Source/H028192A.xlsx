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1FEFD29A-EF30-402B-87F1-B213309CF16A}" xr6:coauthVersionLast="47" xr6:coauthVersionMax="47" xr10:uidLastSave="{00000000-0000-0000-0000-000000000000}"/>
  <bookViews>
    <workbookView xWindow="-28920" yWindow="60" windowWidth="29040" windowHeight="15720" tabRatio="767" xr2:uid="{375CA122-12A3-4970-A7ED-2DEBCD77EA1F}"/>
  </bookViews>
  <sheets>
    <sheet name="Overview" sheetId="4" r:id="rId1"/>
    <sheet name="Description" sheetId="48" r:id="rId2"/>
    <sheet name="Parameter" sheetId="63" r:id="rId3"/>
    <sheet name="Multiplier_Weight" sheetId="42" r:id="rId4"/>
    <sheet name="Multiplier_Weight_Newbie" sheetId="61" state="hidden" r:id="rId5"/>
    <sheet name="OP Jackpot" sheetId="58" r:id="rId6"/>
    <sheet name="工作表2" sheetId="62" state="hidden" r:id="rId7"/>
    <sheet name="BG_Symbol" sheetId="59" r:id="rId8"/>
    <sheet name="FG_Symbol" sheetId="36" r:id="rId9"/>
    <sheet name="BF_Symbol" sheetId="37" r:id="rId10"/>
    <sheet name="Performance Wheel" sheetId="60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03" i="60" l="1"/>
  <c r="Q403" i="60"/>
  <c r="P403" i="60"/>
  <c r="O403" i="60"/>
  <c r="N403" i="60"/>
  <c r="M403" i="60"/>
  <c r="L403" i="60"/>
  <c r="R402" i="60"/>
  <c r="Q402" i="60"/>
  <c r="P402" i="60"/>
  <c r="O402" i="60"/>
  <c r="N402" i="60"/>
  <c r="M402" i="60"/>
  <c r="L402" i="60"/>
  <c r="R401" i="60"/>
  <c r="Q401" i="60"/>
  <c r="P401" i="60"/>
  <c r="O401" i="60"/>
  <c r="N401" i="60"/>
  <c r="M401" i="60"/>
  <c r="L401" i="60"/>
  <c r="R400" i="60"/>
  <c r="Q400" i="60"/>
  <c r="P400" i="60"/>
  <c r="O400" i="60"/>
  <c r="N400" i="60"/>
  <c r="M400" i="60"/>
  <c r="L400" i="60"/>
  <c r="R399" i="60"/>
  <c r="Q399" i="60"/>
  <c r="P399" i="60"/>
  <c r="O399" i="60"/>
  <c r="N399" i="60"/>
  <c r="M399" i="60"/>
  <c r="L399" i="60"/>
  <c r="R398" i="60"/>
  <c r="Q398" i="60"/>
  <c r="P398" i="60"/>
  <c r="O398" i="60"/>
  <c r="N398" i="60"/>
  <c r="M398" i="60"/>
  <c r="L398" i="60"/>
  <c r="R397" i="60"/>
  <c r="Q397" i="60"/>
  <c r="P397" i="60"/>
  <c r="O397" i="60"/>
  <c r="N397" i="60"/>
  <c r="M397" i="60"/>
  <c r="L397" i="60"/>
  <c r="R396" i="60"/>
  <c r="Q396" i="60"/>
  <c r="P396" i="60"/>
  <c r="O396" i="60"/>
  <c r="N396" i="60"/>
  <c r="M396" i="60"/>
  <c r="L396" i="60"/>
  <c r="R395" i="60"/>
  <c r="Q395" i="60"/>
  <c r="P395" i="60"/>
  <c r="O395" i="60"/>
  <c r="N395" i="60"/>
  <c r="M395" i="60"/>
  <c r="L395" i="60"/>
  <c r="R394" i="60"/>
  <c r="Q394" i="60"/>
  <c r="P394" i="60"/>
  <c r="O394" i="60"/>
  <c r="N394" i="60"/>
  <c r="M394" i="60"/>
  <c r="L394" i="60"/>
  <c r="R393" i="60"/>
  <c r="Q393" i="60"/>
  <c r="P393" i="60"/>
  <c r="O393" i="60"/>
  <c r="N393" i="60"/>
  <c r="M393" i="60"/>
  <c r="L393" i="60"/>
  <c r="R392" i="60"/>
  <c r="Q392" i="60"/>
  <c r="P392" i="60"/>
  <c r="O392" i="60"/>
  <c r="N392" i="60"/>
  <c r="M392" i="60"/>
  <c r="L392" i="60"/>
  <c r="R391" i="60"/>
  <c r="Q391" i="60"/>
  <c r="P391" i="60"/>
  <c r="O391" i="60"/>
  <c r="N391" i="60"/>
  <c r="M391" i="60"/>
  <c r="L391" i="60"/>
  <c r="R390" i="60"/>
  <c r="Q390" i="60"/>
  <c r="P390" i="60"/>
  <c r="O390" i="60"/>
  <c r="N390" i="60"/>
  <c r="M390" i="60"/>
  <c r="L390" i="60"/>
  <c r="R389" i="60"/>
  <c r="Q389" i="60"/>
  <c r="P389" i="60"/>
  <c r="O389" i="60"/>
  <c r="N389" i="60"/>
  <c r="M389" i="60"/>
  <c r="L389" i="60"/>
  <c r="R388" i="60"/>
  <c r="Q388" i="60"/>
  <c r="P388" i="60"/>
  <c r="O388" i="60"/>
  <c r="N388" i="60"/>
  <c r="M388" i="60"/>
  <c r="L388" i="60"/>
  <c r="R387" i="60"/>
  <c r="Q387" i="60"/>
  <c r="P387" i="60"/>
  <c r="O387" i="60"/>
  <c r="N387" i="60"/>
  <c r="M387" i="60"/>
  <c r="L387" i="60"/>
  <c r="R386" i="60"/>
  <c r="Q386" i="60"/>
  <c r="P386" i="60"/>
  <c r="O386" i="60"/>
  <c r="N386" i="60"/>
  <c r="M386" i="60"/>
  <c r="L386" i="60"/>
  <c r="R385" i="60"/>
  <c r="Q385" i="60"/>
  <c r="P385" i="60"/>
  <c r="O385" i="60"/>
  <c r="N385" i="60"/>
  <c r="M385" i="60"/>
  <c r="L385" i="60"/>
  <c r="R384" i="60"/>
  <c r="Q384" i="60"/>
  <c r="P384" i="60"/>
  <c r="O384" i="60"/>
  <c r="N384" i="60"/>
  <c r="M384" i="60"/>
  <c r="L384" i="60"/>
  <c r="R383" i="60"/>
  <c r="Q383" i="60"/>
  <c r="P383" i="60"/>
  <c r="O383" i="60"/>
  <c r="N383" i="60"/>
  <c r="M383" i="60"/>
  <c r="L383" i="60"/>
  <c r="R382" i="60"/>
  <c r="Q382" i="60"/>
  <c r="P382" i="60"/>
  <c r="O382" i="60"/>
  <c r="N382" i="60"/>
  <c r="M382" i="60"/>
  <c r="L382" i="60"/>
  <c r="R381" i="60"/>
  <c r="Q381" i="60"/>
  <c r="P381" i="60"/>
  <c r="O381" i="60"/>
  <c r="N381" i="60"/>
  <c r="M381" i="60"/>
  <c r="L381" i="60"/>
  <c r="R380" i="60"/>
  <c r="Q380" i="60"/>
  <c r="P380" i="60"/>
  <c r="O380" i="60"/>
  <c r="N380" i="60"/>
  <c r="M380" i="60"/>
  <c r="L380" i="60"/>
  <c r="R379" i="60"/>
  <c r="Q379" i="60"/>
  <c r="P379" i="60"/>
  <c r="O379" i="60"/>
  <c r="N379" i="60"/>
  <c r="M379" i="60"/>
  <c r="L379" i="60"/>
  <c r="R378" i="60"/>
  <c r="Q378" i="60"/>
  <c r="P378" i="60"/>
  <c r="O378" i="60"/>
  <c r="N378" i="60"/>
  <c r="M378" i="60"/>
  <c r="L378" i="60"/>
  <c r="R377" i="60"/>
  <c r="Q377" i="60"/>
  <c r="P377" i="60"/>
  <c r="O377" i="60"/>
  <c r="N377" i="60"/>
  <c r="M377" i="60"/>
  <c r="L377" i="60"/>
  <c r="R376" i="60"/>
  <c r="Q376" i="60"/>
  <c r="P376" i="60"/>
  <c r="O376" i="60"/>
  <c r="N376" i="60"/>
  <c r="M376" i="60"/>
  <c r="L376" i="60"/>
  <c r="R375" i="60"/>
  <c r="Q375" i="60"/>
  <c r="P375" i="60"/>
  <c r="O375" i="60"/>
  <c r="N375" i="60"/>
  <c r="M375" i="60"/>
  <c r="L375" i="60"/>
  <c r="R374" i="60"/>
  <c r="Q374" i="60"/>
  <c r="P374" i="60"/>
  <c r="O374" i="60"/>
  <c r="N374" i="60"/>
  <c r="M374" i="60"/>
  <c r="L374" i="60"/>
  <c r="R373" i="60"/>
  <c r="Q373" i="60"/>
  <c r="P373" i="60"/>
  <c r="O373" i="60"/>
  <c r="N373" i="60"/>
  <c r="M373" i="60"/>
  <c r="L373" i="60"/>
  <c r="R372" i="60"/>
  <c r="Q372" i="60"/>
  <c r="P372" i="60"/>
  <c r="O372" i="60"/>
  <c r="N372" i="60"/>
  <c r="M372" i="60"/>
  <c r="L372" i="60"/>
  <c r="R371" i="60"/>
  <c r="Q371" i="60"/>
  <c r="P371" i="60"/>
  <c r="O371" i="60"/>
  <c r="N371" i="60"/>
  <c r="M371" i="60"/>
  <c r="L371" i="60"/>
  <c r="R370" i="60"/>
  <c r="Q370" i="60"/>
  <c r="P370" i="60"/>
  <c r="O370" i="60"/>
  <c r="N370" i="60"/>
  <c r="M370" i="60"/>
  <c r="L370" i="60"/>
  <c r="R369" i="60"/>
  <c r="Q369" i="60"/>
  <c r="P369" i="60"/>
  <c r="O369" i="60"/>
  <c r="N369" i="60"/>
  <c r="M369" i="60"/>
  <c r="L369" i="60"/>
  <c r="R368" i="60"/>
  <c r="Q368" i="60"/>
  <c r="P368" i="60"/>
  <c r="O368" i="60"/>
  <c r="N368" i="60"/>
  <c r="M368" i="60"/>
  <c r="L368" i="60"/>
  <c r="R367" i="60"/>
  <c r="Q367" i="60"/>
  <c r="P367" i="60"/>
  <c r="O367" i="60"/>
  <c r="N367" i="60"/>
  <c r="M367" i="60"/>
  <c r="L367" i="60"/>
  <c r="R366" i="60"/>
  <c r="Q366" i="60"/>
  <c r="P366" i="60"/>
  <c r="O366" i="60"/>
  <c r="N366" i="60"/>
  <c r="M366" i="60"/>
  <c r="L366" i="60"/>
  <c r="R365" i="60"/>
  <c r="Q365" i="60"/>
  <c r="P365" i="60"/>
  <c r="O365" i="60"/>
  <c r="N365" i="60"/>
  <c r="M365" i="60"/>
  <c r="L365" i="60"/>
  <c r="R364" i="60"/>
  <c r="Q364" i="60"/>
  <c r="P364" i="60"/>
  <c r="O364" i="60"/>
  <c r="N364" i="60"/>
  <c r="M364" i="60"/>
  <c r="L364" i="60"/>
  <c r="R363" i="60"/>
  <c r="Q363" i="60"/>
  <c r="P363" i="60"/>
  <c r="O363" i="60"/>
  <c r="N363" i="60"/>
  <c r="M363" i="60"/>
  <c r="L363" i="60"/>
  <c r="R362" i="60"/>
  <c r="Q362" i="60"/>
  <c r="P362" i="60"/>
  <c r="O362" i="60"/>
  <c r="N362" i="60"/>
  <c r="M362" i="60"/>
  <c r="L362" i="60"/>
  <c r="R361" i="60"/>
  <c r="Q361" i="60"/>
  <c r="P361" i="60"/>
  <c r="O361" i="60"/>
  <c r="N361" i="60"/>
  <c r="M361" i="60"/>
  <c r="L361" i="60"/>
  <c r="R360" i="60"/>
  <c r="Q360" i="60"/>
  <c r="P360" i="60"/>
  <c r="O360" i="60"/>
  <c r="N360" i="60"/>
  <c r="M360" i="60"/>
  <c r="L360" i="60"/>
  <c r="R359" i="60"/>
  <c r="Q359" i="60"/>
  <c r="P359" i="60"/>
  <c r="O359" i="60"/>
  <c r="N359" i="60"/>
  <c r="M359" i="60"/>
  <c r="L359" i="60"/>
  <c r="R358" i="60"/>
  <c r="Q358" i="60"/>
  <c r="P358" i="60"/>
  <c r="O358" i="60"/>
  <c r="N358" i="60"/>
  <c r="M358" i="60"/>
  <c r="L358" i="60"/>
  <c r="R357" i="60"/>
  <c r="Q357" i="60"/>
  <c r="P357" i="60"/>
  <c r="O357" i="60"/>
  <c r="N357" i="60"/>
  <c r="M357" i="60"/>
  <c r="L357" i="60"/>
  <c r="R356" i="60"/>
  <c r="Q356" i="60"/>
  <c r="P356" i="60"/>
  <c r="O356" i="60"/>
  <c r="N356" i="60"/>
  <c r="M356" i="60"/>
  <c r="L356" i="60"/>
  <c r="R355" i="60"/>
  <c r="Q355" i="60"/>
  <c r="P355" i="60"/>
  <c r="O355" i="60"/>
  <c r="N355" i="60"/>
  <c r="M355" i="60"/>
  <c r="L355" i="60"/>
  <c r="R354" i="60"/>
  <c r="Q354" i="60"/>
  <c r="P354" i="60"/>
  <c r="O354" i="60"/>
  <c r="N354" i="60"/>
  <c r="M354" i="60"/>
  <c r="L354" i="60"/>
  <c r="R353" i="60"/>
  <c r="Q353" i="60"/>
  <c r="P353" i="60"/>
  <c r="O353" i="60"/>
  <c r="N353" i="60"/>
  <c r="M353" i="60"/>
  <c r="L353" i="60"/>
  <c r="R352" i="60"/>
  <c r="Q352" i="60"/>
  <c r="P352" i="60"/>
  <c r="O352" i="60"/>
  <c r="N352" i="60"/>
  <c r="M352" i="60"/>
  <c r="L352" i="60"/>
  <c r="R351" i="60"/>
  <c r="Q351" i="60"/>
  <c r="P351" i="60"/>
  <c r="O351" i="60"/>
  <c r="N351" i="60"/>
  <c r="M351" i="60"/>
  <c r="L351" i="60"/>
  <c r="R350" i="60"/>
  <c r="Q350" i="60"/>
  <c r="P350" i="60"/>
  <c r="O350" i="60"/>
  <c r="N350" i="60"/>
  <c r="M350" i="60"/>
  <c r="L350" i="60"/>
  <c r="R349" i="60"/>
  <c r="Q349" i="60"/>
  <c r="P349" i="60"/>
  <c r="O349" i="60"/>
  <c r="N349" i="60"/>
  <c r="M349" i="60"/>
  <c r="L349" i="60"/>
  <c r="R348" i="60"/>
  <c r="Q348" i="60"/>
  <c r="P348" i="60"/>
  <c r="O348" i="60"/>
  <c r="N348" i="60"/>
  <c r="M348" i="60"/>
  <c r="L348" i="60"/>
  <c r="R347" i="60"/>
  <c r="Q347" i="60"/>
  <c r="P347" i="60"/>
  <c r="O347" i="60"/>
  <c r="N347" i="60"/>
  <c r="M347" i="60"/>
  <c r="L347" i="60"/>
  <c r="R346" i="60"/>
  <c r="Q346" i="60"/>
  <c r="P346" i="60"/>
  <c r="O346" i="60"/>
  <c r="N346" i="60"/>
  <c r="M346" i="60"/>
  <c r="L346" i="60"/>
  <c r="R345" i="60"/>
  <c r="Q345" i="60"/>
  <c r="P345" i="60"/>
  <c r="O345" i="60"/>
  <c r="N345" i="60"/>
  <c r="M345" i="60"/>
  <c r="L345" i="60"/>
  <c r="R344" i="60"/>
  <c r="Q344" i="60"/>
  <c r="P344" i="60"/>
  <c r="O344" i="60"/>
  <c r="N344" i="60"/>
  <c r="M344" i="60"/>
  <c r="L344" i="60"/>
  <c r="R343" i="60"/>
  <c r="Q343" i="60"/>
  <c r="P343" i="60"/>
  <c r="O343" i="60"/>
  <c r="N343" i="60"/>
  <c r="M343" i="60"/>
  <c r="L343" i="60"/>
  <c r="R342" i="60"/>
  <c r="Q342" i="60"/>
  <c r="P342" i="60"/>
  <c r="O342" i="60"/>
  <c r="N342" i="60"/>
  <c r="M342" i="60"/>
  <c r="L342" i="60"/>
  <c r="R341" i="60"/>
  <c r="Q341" i="60"/>
  <c r="P341" i="60"/>
  <c r="O341" i="60"/>
  <c r="N341" i="60"/>
  <c r="M341" i="60"/>
  <c r="L341" i="60"/>
  <c r="R340" i="60"/>
  <c r="Q340" i="60"/>
  <c r="P340" i="60"/>
  <c r="O340" i="60"/>
  <c r="N340" i="60"/>
  <c r="M340" i="60"/>
  <c r="L340" i="60"/>
  <c r="R339" i="60"/>
  <c r="Q339" i="60"/>
  <c r="P339" i="60"/>
  <c r="O339" i="60"/>
  <c r="N339" i="60"/>
  <c r="M339" i="60"/>
  <c r="L339" i="60"/>
  <c r="R338" i="60"/>
  <c r="Q338" i="60"/>
  <c r="P338" i="60"/>
  <c r="O338" i="60"/>
  <c r="N338" i="60"/>
  <c r="M338" i="60"/>
  <c r="L338" i="60"/>
  <c r="R337" i="60"/>
  <c r="Q337" i="60"/>
  <c r="P337" i="60"/>
  <c r="O337" i="60"/>
  <c r="N337" i="60"/>
  <c r="M337" i="60"/>
  <c r="L337" i="60"/>
  <c r="R336" i="60"/>
  <c r="Q336" i="60"/>
  <c r="P336" i="60"/>
  <c r="O336" i="60"/>
  <c r="N336" i="60"/>
  <c r="M336" i="60"/>
  <c r="L336" i="60"/>
  <c r="R335" i="60"/>
  <c r="Q335" i="60"/>
  <c r="P335" i="60"/>
  <c r="O335" i="60"/>
  <c r="N335" i="60"/>
  <c r="M335" i="60"/>
  <c r="L335" i="60"/>
  <c r="R334" i="60"/>
  <c r="Q334" i="60"/>
  <c r="P334" i="60"/>
  <c r="O334" i="60"/>
  <c r="N334" i="60"/>
  <c r="M334" i="60"/>
  <c r="L334" i="60"/>
  <c r="R333" i="60"/>
  <c r="Q333" i="60"/>
  <c r="P333" i="60"/>
  <c r="O333" i="60"/>
  <c r="N333" i="60"/>
  <c r="M333" i="60"/>
  <c r="L333" i="60"/>
  <c r="R332" i="60"/>
  <c r="Q332" i="60"/>
  <c r="P332" i="60"/>
  <c r="O332" i="60"/>
  <c r="N332" i="60"/>
  <c r="M332" i="60"/>
  <c r="L332" i="60"/>
  <c r="R331" i="60"/>
  <c r="Q331" i="60"/>
  <c r="P331" i="60"/>
  <c r="O331" i="60"/>
  <c r="N331" i="60"/>
  <c r="M331" i="60"/>
  <c r="L331" i="60"/>
  <c r="R330" i="60"/>
  <c r="Q330" i="60"/>
  <c r="P330" i="60"/>
  <c r="O330" i="60"/>
  <c r="N330" i="60"/>
  <c r="M330" i="60"/>
  <c r="L330" i="60"/>
  <c r="R329" i="60"/>
  <c r="Q329" i="60"/>
  <c r="P329" i="60"/>
  <c r="O329" i="60"/>
  <c r="N329" i="60"/>
  <c r="M329" i="60"/>
  <c r="L329" i="60"/>
  <c r="R328" i="60"/>
  <c r="Q328" i="60"/>
  <c r="P328" i="60"/>
  <c r="O328" i="60"/>
  <c r="N328" i="60"/>
  <c r="M328" i="60"/>
  <c r="L328" i="60"/>
  <c r="R327" i="60"/>
  <c r="Q327" i="60"/>
  <c r="P327" i="60"/>
  <c r="O327" i="60"/>
  <c r="N327" i="60"/>
  <c r="M327" i="60"/>
  <c r="L327" i="60"/>
  <c r="R326" i="60"/>
  <c r="Q326" i="60"/>
  <c r="P326" i="60"/>
  <c r="O326" i="60"/>
  <c r="N326" i="60"/>
  <c r="M326" i="60"/>
  <c r="L326" i="60"/>
  <c r="R325" i="60"/>
  <c r="Q325" i="60"/>
  <c r="P325" i="60"/>
  <c r="O325" i="60"/>
  <c r="N325" i="60"/>
  <c r="M325" i="60"/>
  <c r="L325" i="60"/>
  <c r="R324" i="60"/>
  <c r="Q324" i="60"/>
  <c r="P324" i="60"/>
  <c r="O324" i="60"/>
  <c r="N324" i="60"/>
  <c r="M324" i="60"/>
  <c r="L324" i="60"/>
  <c r="R323" i="60"/>
  <c r="Q323" i="60"/>
  <c r="P323" i="60"/>
  <c r="O323" i="60"/>
  <c r="N323" i="60"/>
  <c r="M323" i="60"/>
  <c r="L323" i="60"/>
  <c r="R322" i="60"/>
  <c r="Q322" i="60"/>
  <c r="P322" i="60"/>
  <c r="O322" i="60"/>
  <c r="N322" i="60"/>
  <c r="M322" i="60"/>
  <c r="L322" i="60"/>
  <c r="R321" i="60"/>
  <c r="Q321" i="60"/>
  <c r="P321" i="60"/>
  <c r="O321" i="60"/>
  <c r="N321" i="60"/>
  <c r="M321" i="60"/>
  <c r="L321" i="60"/>
  <c r="R320" i="60"/>
  <c r="Q320" i="60"/>
  <c r="P320" i="60"/>
  <c r="O320" i="60"/>
  <c r="N320" i="60"/>
  <c r="M320" i="60"/>
  <c r="L320" i="60"/>
  <c r="R319" i="60"/>
  <c r="Q319" i="60"/>
  <c r="P319" i="60"/>
  <c r="O319" i="60"/>
  <c r="N319" i="60"/>
  <c r="M319" i="60"/>
  <c r="L319" i="60"/>
  <c r="R318" i="60"/>
  <c r="Q318" i="60"/>
  <c r="P318" i="60"/>
  <c r="O318" i="60"/>
  <c r="N318" i="60"/>
  <c r="M318" i="60"/>
  <c r="L318" i="60"/>
  <c r="R317" i="60"/>
  <c r="Q317" i="60"/>
  <c r="P317" i="60"/>
  <c r="O317" i="60"/>
  <c r="N317" i="60"/>
  <c r="M317" i="60"/>
  <c r="L317" i="60"/>
  <c r="R316" i="60"/>
  <c r="Q316" i="60"/>
  <c r="P316" i="60"/>
  <c r="O316" i="60"/>
  <c r="N316" i="60"/>
  <c r="M316" i="60"/>
  <c r="L316" i="60"/>
  <c r="R315" i="60"/>
  <c r="Q315" i="60"/>
  <c r="P315" i="60"/>
  <c r="O315" i="60"/>
  <c r="N315" i="60"/>
  <c r="M315" i="60"/>
  <c r="L315" i="60"/>
  <c r="R314" i="60"/>
  <c r="Q314" i="60"/>
  <c r="P314" i="60"/>
  <c r="O314" i="60"/>
  <c r="N314" i="60"/>
  <c r="M314" i="60"/>
  <c r="L314" i="60"/>
  <c r="R313" i="60"/>
  <c r="Q313" i="60"/>
  <c r="P313" i="60"/>
  <c r="O313" i="60"/>
  <c r="N313" i="60"/>
  <c r="M313" i="60"/>
  <c r="L313" i="60"/>
  <c r="R312" i="60"/>
  <c r="Q312" i="60"/>
  <c r="P312" i="60"/>
  <c r="O312" i="60"/>
  <c r="N312" i="60"/>
  <c r="M312" i="60"/>
  <c r="L312" i="60"/>
  <c r="R311" i="60"/>
  <c r="Q311" i="60"/>
  <c r="P311" i="60"/>
  <c r="O311" i="60"/>
  <c r="N311" i="60"/>
  <c r="M311" i="60"/>
  <c r="L311" i="60"/>
  <c r="R310" i="60"/>
  <c r="Q310" i="60"/>
  <c r="P310" i="60"/>
  <c r="O310" i="60"/>
  <c r="N310" i="60"/>
  <c r="M310" i="60"/>
  <c r="L310" i="60"/>
  <c r="R309" i="60"/>
  <c r="Q309" i="60"/>
  <c r="P309" i="60"/>
  <c r="O309" i="60"/>
  <c r="N309" i="60"/>
  <c r="M309" i="60"/>
  <c r="L309" i="60"/>
  <c r="R308" i="60"/>
  <c r="Q308" i="60"/>
  <c r="P308" i="60"/>
  <c r="O308" i="60"/>
  <c r="N308" i="60"/>
  <c r="M308" i="60"/>
  <c r="L308" i="60"/>
  <c r="R307" i="60"/>
  <c r="Q307" i="60"/>
  <c r="P307" i="60"/>
  <c r="O307" i="60"/>
  <c r="N307" i="60"/>
  <c r="M307" i="60"/>
  <c r="L307" i="60"/>
  <c r="R306" i="60"/>
  <c r="Q306" i="60"/>
  <c r="P306" i="60"/>
  <c r="O306" i="60"/>
  <c r="N306" i="60"/>
  <c r="M306" i="60"/>
  <c r="L306" i="60"/>
  <c r="R305" i="60"/>
  <c r="Q305" i="60"/>
  <c r="P305" i="60"/>
  <c r="O305" i="60"/>
  <c r="N305" i="60"/>
  <c r="M305" i="60"/>
  <c r="L305" i="60"/>
  <c r="R304" i="60"/>
  <c r="Q304" i="60"/>
  <c r="P304" i="60"/>
  <c r="O304" i="60"/>
  <c r="N304" i="60"/>
  <c r="M304" i="60"/>
  <c r="L304" i="60"/>
  <c r="R303" i="60"/>
  <c r="Q303" i="60"/>
  <c r="P303" i="60"/>
  <c r="O303" i="60"/>
  <c r="N303" i="60"/>
  <c r="M303" i="60"/>
  <c r="L303" i="60"/>
  <c r="R302" i="60"/>
  <c r="Q302" i="60"/>
  <c r="P302" i="60"/>
  <c r="O302" i="60"/>
  <c r="N302" i="60"/>
  <c r="M302" i="60"/>
  <c r="L302" i="60"/>
  <c r="R301" i="60"/>
  <c r="Q301" i="60"/>
  <c r="P301" i="60"/>
  <c r="O301" i="60"/>
  <c r="N301" i="60"/>
  <c r="M301" i="60"/>
  <c r="L301" i="60"/>
  <c r="R300" i="60"/>
  <c r="Q300" i="60"/>
  <c r="P300" i="60"/>
  <c r="O300" i="60"/>
  <c r="N300" i="60"/>
  <c r="M300" i="60"/>
  <c r="L300" i="60"/>
  <c r="R299" i="60"/>
  <c r="Q299" i="60"/>
  <c r="P299" i="60"/>
  <c r="O299" i="60"/>
  <c r="N299" i="60"/>
  <c r="M299" i="60"/>
  <c r="L299" i="60"/>
  <c r="R298" i="60"/>
  <c r="Q298" i="60"/>
  <c r="P298" i="60"/>
  <c r="O298" i="60"/>
  <c r="N298" i="60"/>
  <c r="M298" i="60"/>
  <c r="L298" i="60"/>
  <c r="R297" i="60"/>
  <c r="Q297" i="60"/>
  <c r="P297" i="60"/>
  <c r="O297" i="60"/>
  <c r="N297" i="60"/>
  <c r="M297" i="60"/>
  <c r="L297" i="60"/>
  <c r="R296" i="60"/>
  <c r="Q296" i="60"/>
  <c r="P296" i="60"/>
  <c r="O296" i="60"/>
  <c r="N296" i="60"/>
  <c r="M296" i="60"/>
  <c r="L296" i="60"/>
  <c r="R295" i="60"/>
  <c r="Q295" i="60"/>
  <c r="P295" i="60"/>
  <c r="O295" i="60"/>
  <c r="N295" i="60"/>
  <c r="M295" i="60"/>
  <c r="L295" i="60"/>
  <c r="R294" i="60"/>
  <c r="Q294" i="60"/>
  <c r="P294" i="60"/>
  <c r="O294" i="60"/>
  <c r="N294" i="60"/>
  <c r="M294" i="60"/>
  <c r="L294" i="60"/>
  <c r="R293" i="60"/>
  <c r="Q293" i="60"/>
  <c r="P293" i="60"/>
  <c r="O293" i="60"/>
  <c r="N293" i="60"/>
  <c r="M293" i="60"/>
  <c r="L293" i="60"/>
  <c r="R292" i="60"/>
  <c r="Q292" i="60"/>
  <c r="P292" i="60"/>
  <c r="O292" i="60"/>
  <c r="N292" i="60"/>
  <c r="M292" i="60"/>
  <c r="L292" i="60"/>
  <c r="R291" i="60"/>
  <c r="Q291" i="60"/>
  <c r="P291" i="60"/>
  <c r="O291" i="60"/>
  <c r="N291" i="60"/>
  <c r="M291" i="60"/>
  <c r="L291" i="60"/>
  <c r="R290" i="60"/>
  <c r="Q290" i="60"/>
  <c r="P290" i="60"/>
  <c r="O290" i="60"/>
  <c r="N290" i="60"/>
  <c r="M290" i="60"/>
  <c r="L290" i="60"/>
  <c r="R289" i="60"/>
  <c r="Q289" i="60"/>
  <c r="P289" i="60"/>
  <c r="O289" i="60"/>
  <c r="N289" i="60"/>
  <c r="M289" i="60"/>
  <c r="L289" i="60"/>
  <c r="R288" i="60"/>
  <c r="Q288" i="60"/>
  <c r="P288" i="60"/>
  <c r="O288" i="60"/>
  <c r="N288" i="60"/>
  <c r="M288" i="60"/>
  <c r="L288" i="60"/>
  <c r="R287" i="60"/>
  <c r="Q287" i="60"/>
  <c r="P287" i="60"/>
  <c r="O287" i="60"/>
  <c r="N287" i="60"/>
  <c r="M287" i="60"/>
  <c r="L287" i="60"/>
  <c r="R286" i="60"/>
  <c r="Q286" i="60"/>
  <c r="P286" i="60"/>
  <c r="O286" i="60"/>
  <c r="N286" i="60"/>
  <c r="M286" i="60"/>
  <c r="L286" i="60"/>
  <c r="R285" i="60"/>
  <c r="Q285" i="60"/>
  <c r="P285" i="60"/>
  <c r="O285" i="60"/>
  <c r="N285" i="60"/>
  <c r="M285" i="60"/>
  <c r="L285" i="60"/>
  <c r="R284" i="60"/>
  <c r="Q284" i="60"/>
  <c r="P284" i="60"/>
  <c r="O284" i="60"/>
  <c r="N284" i="60"/>
  <c r="M284" i="60"/>
  <c r="L284" i="60"/>
  <c r="R283" i="60"/>
  <c r="Q283" i="60"/>
  <c r="P283" i="60"/>
  <c r="O283" i="60"/>
  <c r="N283" i="60"/>
  <c r="M283" i="60"/>
  <c r="L283" i="60"/>
  <c r="R282" i="60"/>
  <c r="Q282" i="60"/>
  <c r="P282" i="60"/>
  <c r="O282" i="60"/>
  <c r="N282" i="60"/>
  <c r="M282" i="60"/>
  <c r="L282" i="60"/>
  <c r="R281" i="60"/>
  <c r="Q281" i="60"/>
  <c r="P281" i="60"/>
  <c r="O281" i="60"/>
  <c r="N281" i="60"/>
  <c r="M281" i="60"/>
  <c r="L281" i="60"/>
  <c r="R280" i="60"/>
  <c r="Q280" i="60"/>
  <c r="P280" i="60"/>
  <c r="O280" i="60"/>
  <c r="N280" i="60"/>
  <c r="M280" i="60"/>
  <c r="L280" i="60"/>
  <c r="R279" i="60"/>
  <c r="Q279" i="60"/>
  <c r="P279" i="60"/>
  <c r="O279" i="60"/>
  <c r="N279" i="60"/>
  <c r="M279" i="60"/>
  <c r="L279" i="60"/>
  <c r="R278" i="60"/>
  <c r="Q278" i="60"/>
  <c r="P278" i="60"/>
  <c r="O278" i="60"/>
  <c r="N278" i="60"/>
  <c r="M278" i="60"/>
  <c r="L278" i="60"/>
  <c r="R277" i="60"/>
  <c r="Q277" i="60"/>
  <c r="P277" i="60"/>
  <c r="O277" i="60"/>
  <c r="N277" i="60"/>
  <c r="M277" i="60"/>
  <c r="L277" i="60"/>
  <c r="R276" i="60"/>
  <c r="Q276" i="60"/>
  <c r="P276" i="60"/>
  <c r="O276" i="60"/>
  <c r="N276" i="60"/>
  <c r="M276" i="60"/>
  <c r="L276" i="60"/>
  <c r="R275" i="60"/>
  <c r="Q275" i="60"/>
  <c r="P275" i="60"/>
  <c r="O275" i="60"/>
  <c r="N275" i="60"/>
  <c r="M275" i="60"/>
  <c r="L275" i="60"/>
  <c r="R274" i="60"/>
  <c r="Q274" i="60"/>
  <c r="P274" i="60"/>
  <c r="O274" i="60"/>
  <c r="N274" i="60"/>
  <c r="M274" i="60"/>
  <c r="L274" i="60"/>
  <c r="R273" i="60"/>
  <c r="Q273" i="60"/>
  <c r="P273" i="60"/>
  <c r="O273" i="60"/>
  <c r="N273" i="60"/>
  <c r="M273" i="60"/>
  <c r="L273" i="60"/>
  <c r="R272" i="60"/>
  <c r="Q272" i="60"/>
  <c r="P272" i="60"/>
  <c r="O272" i="60"/>
  <c r="N272" i="60"/>
  <c r="M272" i="60"/>
  <c r="L272" i="60"/>
  <c r="R271" i="60"/>
  <c r="Q271" i="60"/>
  <c r="P271" i="60"/>
  <c r="O271" i="60"/>
  <c r="N271" i="60"/>
  <c r="M271" i="60"/>
  <c r="L271" i="60"/>
  <c r="R270" i="60"/>
  <c r="Q270" i="60"/>
  <c r="P270" i="60"/>
  <c r="O270" i="60"/>
  <c r="N270" i="60"/>
  <c r="M270" i="60"/>
  <c r="L270" i="60"/>
  <c r="R269" i="60"/>
  <c r="Q269" i="60"/>
  <c r="P269" i="60"/>
  <c r="O269" i="60"/>
  <c r="N269" i="60"/>
  <c r="M269" i="60"/>
  <c r="L269" i="60"/>
  <c r="R268" i="60"/>
  <c r="Q268" i="60"/>
  <c r="P268" i="60"/>
  <c r="O268" i="60"/>
  <c r="N268" i="60"/>
  <c r="M268" i="60"/>
  <c r="L268" i="60"/>
  <c r="R267" i="60"/>
  <c r="Q267" i="60"/>
  <c r="P267" i="60"/>
  <c r="O267" i="60"/>
  <c r="N267" i="60"/>
  <c r="M267" i="60"/>
  <c r="L267" i="60"/>
  <c r="R266" i="60"/>
  <c r="Q266" i="60"/>
  <c r="P266" i="60"/>
  <c r="O266" i="60"/>
  <c r="N266" i="60"/>
  <c r="M266" i="60"/>
  <c r="L266" i="60"/>
  <c r="R265" i="60"/>
  <c r="Q265" i="60"/>
  <c r="P265" i="60"/>
  <c r="O265" i="60"/>
  <c r="N265" i="60"/>
  <c r="M265" i="60"/>
  <c r="L265" i="60"/>
  <c r="R264" i="60"/>
  <c r="Q264" i="60"/>
  <c r="P264" i="60"/>
  <c r="O264" i="60"/>
  <c r="N264" i="60"/>
  <c r="M264" i="60"/>
  <c r="L264" i="60"/>
  <c r="R263" i="60"/>
  <c r="Q263" i="60"/>
  <c r="P263" i="60"/>
  <c r="O263" i="60"/>
  <c r="N263" i="60"/>
  <c r="M263" i="60"/>
  <c r="L263" i="60"/>
  <c r="R262" i="60"/>
  <c r="Q262" i="60"/>
  <c r="P262" i="60"/>
  <c r="O262" i="60"/>
  <c r="N262" i="60"/>
  <c r="M262" i="60"/>
  <c r="L262" i="60"/>
  <c r="R261" i="60"/>
  <c r="Q261" i="60"/>
  <c r="P261" i="60"/>
  <c r="O261" i="60"/>
  <c r="N261" i="60"/>
  <c r="M261" i="60"/>
  <c r="L261" i="60"/>
  <c r="R260" i="60"/>
  <c r="Q260" i="60"/>
  <c r="P260" i="60"/>
  <c r="O260" i="60"/>
  <c r="N260" i="60"/>
  <c r="M260" i="60"/>
  <c r="L260" i="60"/>
  <c r="R259" i="60"/>
  <c r="Q259" i="60"/>
  <c r="P259" i="60"/>
  <c r="O259" i="60"/>
  <c r="N259" i="60"/>
  <c r="M259" i="60"/>
  <c r="L259" i="60"/>
  <c r="R258" i="60"/>
  <c r="Q258" i="60"/>
  <c r="P258" i="60"/>
  <c r="O258" i="60"/>
  <c r="N258" i="60"/>
  <c r="M258" i="60"/>
  <c r="L258" i="60"/>
  <c r="R257" i="60"/>
  <c r="Q257" i="60"/>
  <c r="P257" i="60"/>
  <c r="O257" i="60"/>
  <c r="N257" i="60"/>
  <c r="M257" i="60"/>
  <c r="L257" i="60"/>
  <c r="R256" i="60"/>
  <c r="Q256" i="60"/>
  <c r="P256" i="60"/>
  <c r="O256" i="60"/>
  <c r="N256" i="60"/>
  <c r="M256" i="60"/>
  <c r="L256" i="60"/>
  <c r="R255" i="60"/>
  <c r="Q255" i="60"/>
  <c r="P255" i="60"/>
  <c r="O255" i="60"/>
  <c r="N255" i="60"/>
  <c r="M255" i="60"/>
  <c r="L255" i="60"/>
  <c r="R254" i="60"/>
  <c r="Q254" i="60"/>
  <c r="P254" i="60"/>
  <c r="O254" i="60"/>
  <c r="N254" i="60"/>
  <c r="M254" i="60"/>
  <c r="L254" i="60"/>
  <c r="R253" i="60"/>
  <c r="Q253" i="60"/>
  <c r="P253" i="60"/>
  <c r="O253" i="60"/>
  <c r="N253" i="60"/>
  <c r="M253" i="60"/>
  <c r="L253" i="60"/>
  <c r="R252" i="60"/>
  <c r="Q252" i="60"/>
  <c r="P252" i="60"/>
  <c r="O252" i="60"/>
  <c r="N252" i="60"/>
  <c r="M252" i="60"/>
  <c r="L252" i="60"/>
  <c r="R251" i="60"/>
  <c r="Q251" i="60"/>
  <c r="P251" i="60"/>
  <c r="O251" i="60"/>
  <c r="N251" i="60"/>
  <c r="M251" i="60"/>
  <c r="L251" i="60"/>
  <c r="R250" i="60"/>
  <c r="Q250" i="60"/>
  <c r="P250" i="60"/>
  <c r="O250" i="60"/>
  <c r="N250" i="60"/>
  <c r="M250" i="60"/>
  <c r="L250" i="60"/>
  <c r="R249" i="60"/>
  <c r="Q249" i="60"/>
  <c r="P249" i="60"/>
  <c r="O249" i="60"/>
  <c r="N249" i="60"/>
  <c r="M249" i="60"/>
  <c r="L249" i="60"/>
  <c r="R248" i="60"/>
  <c r="Q248" i="60"/>
  <c r="P248" i="60"/>
  <c r="O248" i="60"/>
  <c r="N248" i="60"/>
  <c r="M248" i="60"/>
  <c r="L248" i="60"/>
  <c r="R247" i="60"/>
  <c r="Q247" i="60"/>
  <c r="P247" i="60"/>
  <c r="O247" i="60"/>
  <c r="N247" i="60"/>
  <c r="M247" i="60"/>
  <c r="L247" i="60"/>
  <c r="R246" i="60"/>
  <c r="Q246" i="60"/>
  <c r="P246" i="60"/>
  <c r="O246" i="60"/>
  <c r="N246" i="60"/>
  <c r="M246" i="60"/>
  <c r="L246" i="60"/>
  <c r="R245" i="60"/>
  <c r="Q245" i="60"/>
  <c r="P245" i="60"/>
  <c r="O245" i="60"/>
  <c r="N245" i="60"/>
  <c r="M245" i="60"/>
  <c r="L245" i="60"/>
  <c r="R244" i="60"/>
  <c r="Q244" i="60"/>
  <c r="P244" i="60"/>
  <c r="O244" i="60"/>
  <c r="N244" i="60"/>
  <c r="M244" i="60"/>
  <c r="L244" i="60"/>
  <c r="R243" i="60"/>
  <c r="Q243" i="60"/>
  <c r="P243" i="60"/>
  <c r="O243" i="60"/>
  <c r="N243" i="60"/>
  <c r="M243" i="60"/>
  <c r="L243" i="60"/>
  <c r="R242" i="60"/>
  <c r="Q242" i="60"/>
  <c r="P242" i="60"/>
  <c r="O242" i="60"/>
  <c r="N242" i="60"/>
  <c r="M242" i="60"/>
  <c r="L242" i="60"/>
  <c r="R241" i="60"/>
  <c r="Q241" i="60"/>
  <c r="P241" i="60"/>
  <c r="O241" i="60"/>
  <c r="N241" i="60"/>
  <c r="M241" i="60"/>
  <c r="L241" i="60"/>
  <c r="R240" i="60"/>
  <c r="Q240" i="60"/>
  <c r="P240" i="60"/>
  <c r="O240" i="60"/>
  <c r="N240" i="60"/>
  <c r="M240" i="60"/>
  <c r="L240" i="60"/>
  <c r="R239" i="60"/>
  <c r="Q239" i="60"/>
  <c r="P239" i="60"/>
  <c r="O239" i="60"/>
  <c r="N239" i="60"/>
  <c r="M239" i="60"/>
  <c r="L239" i="60"/>
  <c r="R238" i="60"/>
  <c r="Q238" i="60"/>
  <c r="P238" i="60"/>
  <c r="O238" i="60"/>
  <c r="N238" i="60"/>
  <c r="M238" i="60"/>
  <c r="L238" i="60"/>
  <c r="R237" i="60"/>
  <c r="Q237" i="60"/>
  <c r="P237" i="60"/>
  <c r="O237" i="60"/>
  <c r="N237" i="60"/>
  <c r="M237" i="60"/>
  <c r="L237" i="60"/>
  <c r="R236" i="60"/>
  <c r="Q236" i="60"/>
  <c r="P236" i="60"/>
  <c r="O236" i="60"/>
  <c r="N236" i="60"/>
  <c r="M236" i="60"/>
  <c r="L236" i="60"/>
  <c r="R235" i="60"/>
  <c r="Q235" i="60"/>
  <c r="P235" i="60"/>
  <c r="O235" i="60"/>
  <c r="N235" i="60"/>
  <c r="M235" i="60"/>
  <c r="L235" i="60"/>
  <c r="R234" i="60"/>
  <c r="Q234" i="60"/>
  <c r="P234" i="60"/>
  <c r="O234" i="60"/>
  <c r="N234" i="60"/>
  <c r="M234" i="60"/>
  <c r="L234" i="60"/>
  <c r="R233" i="60"/>
  <c r="Q233" i="60"/>
  <c r="P233" i="60"/>
  <c r="O233" i="60"/>
  <c r="N233" i="60"/>
  <c r="M233" i="60"/>
  <c r="L233" i="60"/>
  <c r="R232" i="60"/>
  <c r="Q232" i="60"/>
  <c r="P232" i="60"/>
  <c r="O232" i="60"/>
  <c r="N232" i="60"/>
  <c r="M232" i="60"/>
  <c r="L232" i="60"/>
  <c r="R231" i="60"/>
  <c r="Q231" i="60"/>
  <c r="P231" i="60"/>
  <c r="O231" i="60"/>
  <c r="N231" i="60"/>
  <c r="M231" i="60"/>
  <c r="L231" i="60"/>
  <c r="R230" i="60"/>
  <c r="Q230" i="60"/>
  <c r="P230" i="60"/>
  <c r="O230" i="60"/>
  <c r="N230" i="60"/>
  <c r="M230" i="60"/>
  <c r="L230" i="60"/>
  <c r="R229" i="60"/>
  <c r="Q229" i="60"/>
  <c r="P229" i="60"/>
  <c r="O229" i="60"/>
  <c r="N229" i="60"/>
  <c r="M229" i="60"/>
  <c r="L229" i="60"/>
  <c r="R228" i="60"/>
  <c r="Q228" i="60"/>
  <c r="P228" i="60"/>
  <c r="O228" i="60"/>
  <c r="N228" i="60"/>
  <c r="M228" i="60"/>
  <c r="L228" i="60"/>
  <c r="R227" i="60"/>
  <c r="Q227" i="60"/>
  <c r="P227" i="60"/>
  <c r="O227" i="60"/>
  <c r="N227" i="60"/>
  <c r="M227" i="60"/>
  <c r="L227" i="60"/>
  <c r="R226" i="60"/>
  <c r="Q226" i="60"/>
  <c r="P226" i="60"/>
  <c r="O226" i="60"/>
  <c r="N226" i="60"/>
  <c r="M226" i="60"/>
  <c r="L226" i="60"/>
  <c r="R225" i="60"/>
  <c r="Q225" i="60"/>
  <c r="P225" i="60"/>
  <c r="O225" i="60"/>
  <c r="N225" i="60"/>
  <c r="M225" i="60"/>
  <c r="L225" i="60"/>
  <c r="R224" i="60"/>
  <c r="Q224" i="60"/>
  <c r="P224" i="60"/>
  <c r="O224" i="60"/>
  <c r="N224" i="60"/>
  <c r="M224" i="60"/>
  <c r="L224" i="60"/>
  <c r="R223" i="60"/>
  <c r="Q223" i="60"/>
  <c r="P223" i="60"/>
  <c r="O223" i="60"/>
  <c r="N223" i="60"/>
  <c r="M223" i="60"/>
  <c r="L223" i="60"/>
  <c r="R222" i="60"/>
  <c r="Q222" i="60"/>
  <c r="P222" i="60"/>
  <c r="O222" i="60"/>
  <c r="N222" i="60"/>
  <c r="M222" i="60"/>
  <c r="L222" i="60"/>
  <c r="R221" i="60"/>
  <c r="Q221" i="60"/>
  <c r="P221" i="60"/>
  <c r="O221" i="60"/>
  <c r="N221" i="60"/>
  <c r="M221" i="60"/>
  <c r="L221" i="60"/>
  <c r="R220" i="60"/>
  <c r="Q220" i="60"/>
  <c r="P220" i="60"/>
  <c r="O220" i="60"/>
  <c r="N220" i="60"/>
  <c r="M220" i="60"/>
  <c r="L220" i="60"/>
  <c r="R219" i="60"/>
  <c r="Q219" i="60"/>
  <c r="P219" i="60"/>
  <c r="O219" i="60"/>
  <c r="N219" i="60"/>
  <c r="M219" i="60"/>
  <c r="L219" i="60"/>
  <c r="R218" i="60"/>
  <c r="Q218" i="60"/>
  <c r="P218" i="60"/>
  <c r="O218" i="60"/>
  <c r="N218" i="60"/>
  <c r="M218" i="60"/>
  <c r="L218" i="60"/>
  <c r="R217" i="60"/>
  <c r="Q217" i="60"/>
  <c r="P217" i="60"/>
  <c r="O217" i="60"/>
  <c r="N217" i="60"/>
  <c r="M217" i="60"/>
  <c r="L217" i="60"/>
  <c r="R216" i="60"/>
  <c r="Q216" i="60"/>
  <c r="P216" i="60"/>
  <c r="O216" i="60"/>
  <c r="N216" i="60"/>
  <c r="M216" i="60"/>
  <c r="L216" i="60"/>
  <c r="R215" i="60"/>
  <c r="Q215" i="60"/>
  <c r="P215" i="60"/>
  <c r="O215" i="60"/>
  <c r="N215" i="60"/>
  <c r="M215" i="60"/>
  <c r="L215" i="60"/>
  <c r="R214" i="60"/>
  <c r="Q214" i="60"/>
  <c r="P214" i="60"/>
  <c r="O214" i="60"/>
  <c r="N214" i="60"/>
  <c r="M214" i="60"/>
  <c r="L214" i="60"/>
  <c r="R213" i="60"/>
  <c r="Q213" i="60"/>
  <c r="P213" i="60"/>
  <c r="O213" i="60"/>
  <c r="N213" i="60"/>
  <c r="M213" i="60"/>
  <c r="L213" i="60"/>
  <c r="R212" i="60"/>
  <c r="Q212" i="60"/>
  <c r="P212" i="60"/>
  <c r="O212" i="60"/>
  <c r="N212" i="60"/>
  <c r="M212" i="60"/>
  <c r="L212" i="60"/>
  <c r="R211" i="60"/>
  <c r="Q211" i="60"/>
  <c r="P211" i="60"/>
  <c r="O211" i="60"/>
  <c r="N211" i="60"/>
  <c r="M211" i="60"/>
  <c r="L211" i="60"/>
  <c r="R210" i="60"/>
  <c r="Q210" i="60"/>
  <c r="P210" i="60"/>
  <c r="O210" i="60"/>
  <c r="N210" i="60"/>
  <c r="M210" i="60"/>
  <c r="L210" i="60"/>
  <c r="R209" i="60"/>
  <c r="Q209" i="60"/>
  <c r="P209" i="60"/>
  <c r="O209" i="60"/>
  <c r="N209" i="60"/>
  <c r="M209" i="60"/>
  <c r="L209" i="60"/>
  <c r="R208" i="60"/>
  <c r="Q208" i="60"/>
  <c r="P208" i="60"/>
  <c r="O208" i="60"/>
  <c r="N208" i="60"/>
  <c r="M208" i="60"/>
  <c r="L208" i="60"/>
  <c r="R207" i="60"/>
  <c r="Q207" i="60"/>
  <c r="P207" i="60"/>
  <c r="O207" i="60"/>
  <c r="N207" i="60"/>
  <c r="M207" i="60"/>
  <c r="L207" i="60"/>
  <c r="R206" i="60"/>
  <c r="Q206" i="60"/>
  <c r="P206" i="60"/>
  <c r="O206" i="60"/>
  <c r="N206" i="60"/>
  <c r="M206" i="60"/>
  <c r="L206" i="60"/>
  <c r="R205" i="60"/>
  <c r="Q205" i="60"/>
  <c r="P205" i="60"/>
  <c r="O205" i="60"/>
  <c r="N205" i="60"/>
  <c r="M205" i="60"/>
  <c r="L205" i="60"/>
  <c r="R204" i="60"/>
  <c r="Q204" i="60"/>
  <c r="P204" i="60"/>
  <c r="O204" i="60"/>
  <c r="N204" i="60"/>
  <c r="M204" i="60"/>
  <c r="L204" i="60"/>
  <c r="R203" i="60"/>
  <c r="Q203" i="60"/>
  <c r="P203" i="60"/>
  <c r="O203" i="60"/>
  <c r="N203" i="60"/>
  <c r="M203" i="60"/>
  <c r="L203" i="60"/>
  <c r="R202" i="60"/>
  <c r="Q202" i="60"/>
  <c r="P202" i="60"/>
  <c r="O202" i="60"/>
  <c r="N202" i="60"/>
  <c r="M202" i="60"/>
  <c r="L202" i="60"/>
  <c r="R201" i="60"/>
  <c r="Q201" i="60"/>
  <c r="P201" i="60"/>
  <c r="O201" i="60"/>
  <c r="N201" i="60"/>
  <c r="M201" i="60"/>
  <c r="L201" i="60"/>
  <c r="R200" i="60"/>
  <c r="Q200" i="60"/>
  <c r="P200" i="60"/>
  <c r="O200" i="60"/>
  <c r="N200" i="60"/>
  <c r="M200" i="60"/>
  <c r="L200" i="60"/>
  <c r="R199" i="60"/>
  <c r="Q199" i="60"/>
  <c r="P199" i="60"/>
  <c r="O199" i="60"/>
  <c r="N199" i="60"/>
  <c r="M199" i="60"/>
  <c r="L199" i="60"/>
  <c r="R198" i="60"/>
  <c r="Q198" i="60"/>
  <c r="P198" i="60"/>
  <c r="O198" i="60"/>
  <c r="N198" i="60"/>
  <c r="M198" i="60"/>
  <c r="L198" i="60"/>
  <c r="R197" i="60"/>
  <c r="Q197" i="60"/>
  <c r="P197" i="60"/>
  <c r="O197" i="60"/>
  <c r="N197" i="60"/>
  <c r="M197" i="60"/>
  <c r="L197" i="60"/>
  <c r="R196" i="60"/>
  <c r="Q196" i="60"/>
  <c r="P196" i="60"/>
  <c r="O196" i="60"/>
  <c r="N196" i="60"/>
  <c r="M196" i="60"/>
  <c r="L196" i="60"/>
  <c r="R195" i="60"/>
  <c r="Q195" i="60"/>
  <c r="P195" i="60"/>
  <c r="O195" i="60"/>
  <c r="N195" i="60"/>
  <c r="M195" i="60"/>
  <c r="L195" i="60"/>
  <c r="R194" i="60"/>
  <c r="Q194" i="60"/>
  <c r="P194" i="60"/>
  <c r="O194" i="60"/>
  <c r="N194" i="60"/>
  <c r="M194" i="60"/>
  <c r="L194" i="60"/>
  <c r="R193" i="60"/>
  <c r="Q193" i="60"/>
  <c r="P193" i="60"/>
  <c r="O193" i="60"/>
  <c r="N193" i="60"/>
  <c r="M193" i="60"/>
  <c r="L193" i="60"/>
  <c r="R192" i="60"/>
  <c r="Q192" i="60"/>
  <c r="P192" i="60"/>
  <c r="O192" i="60"/>
  <c r="N192" i="60"/>
  <c r="M192" i="60"/>
  <c r="L192" i="60"/>
  <c r="R191" i="60"/>
  <c r="Q191" i="60"/>
  <c r="P191" i="60"/>
  <c r="O191" i="60"/>
  <c r="N191" i="60"/>
  <c r="M191" i="60"/>
  <c r="L191" i="60"/>
  <c r="R190" i="60"/>
  <c r="Q190" i="60"/>
  <c r="P190" i="60"/>
  <c r="O190" i="60"/>
  <c r="N190" i="60"/>
  <c r="M190" i="60"/>
  <c r="L190" i="60"/>
  <c r="R189" i="60"/>
  <c r="Q189" i="60"/>
  <c r="P189" i="60"/>
  <c r="O189" i="60"/>
  <c r="N189" i="60"/>
  <c r="M189" i="60"/>
  <c r="L189" i="60"/>
  <c r="R188" i="60"/>
  <c r="Q188" i="60"/>
  <c r="P188" i="60"/>
  <c r="O188" i="60"/>
  <c r="N188" i="60"/>
  <c r="M188" i="60"/>
  <c r="L188" i="60"/>
  <c r="R187" i="60"/>
  <c r="Q187" i="60"/>
  <c r="P187" i="60"/>
  <c r="O187" i="60"/>
  <c r="N187" i="60"/>
  <c r="M187" i="60"/>
  <c r="L187" i="60"/>
  <c r="R186" i="60"/>
  <c r="Q186" i="60"/>
  <c r="P186" i="60"/>
  <c r="O186" i="60"/>
  <c r="N186" i="60"/>
  <c r="M186" i="60"/>
  <c r="L186" i="60"/>
  <c r="R185" i="60"/>
  <c r="Q185" i="60"/>
  <c r="P185" i="60"/>
  <c r="O185" i="60"/>
  <c r="N185" i="60"/>
  <c r="M185" i="60"/>
  <c r="L185" i="60"/>
  <c r="R184" i="60"/>
  <c r="Q184" i="60"/>
  <c r="P184" i="60"/>
  <c r="O184" i="60"/>
  <c r="N184" i="60"/>
  <c r="M184" i="60"/>
  <c r="L184" i="60"/>
  <c r="R183" i="60"/>
  <c r="Q183" i="60"/>
  <c r="P183" i="60"/>
  <c r="O183" i="60"/>
  <c r="N183" i="60"/>
  <c r="M183" i="60"/>
  <c r="L183" i="60"/>
  <c r="R182" i="60"/>
  <c r="Q182" i="60"/>
  <c r="P182" i="60"/>
  <c r="O182" i="60"/>
  <c r="N182" i="60"/>
  <c r="M182" i="60"/>
  <c r="L182" i="60"/>
  <c r="R181" i="60"/>
  <c r="Q181" i="60"/>
  <c r="P181" i="60"/>
  <c r="O181" i="60"/>
  <c r="N181" i="60"/>
  <c r="M181" i="60"/>
  <c r="L181" i="60"/>
  <c r="R180" i="60"/>
  <c r="Q180" i="60"/>
  <c r="P180" i="60"/>
  <c r="O180" i="60"/>
  <c r="N180" i="60"/>
  <c r="M180" i="60"/>
  <c r="L180" i="60"/>
  <c r="R179" i="60"/>
  <c r="Q179" i="60"/>
  <c r="P179" i="60"/>
  <c r="O179" i="60"/>
  <c r="N179" i="60"/>
  <c r="M179" i="60"/>
  <c r="L179" i="60"/>
  <c r="R178" i="60"/>
  <c r="Q178" i="60"/>
  <c r="P178" i="60"/>
  <c r="O178" i="60"/>
  <c r="N178" i="60"/>
  <c r="M178" i="60"/>
  <c r="L178" i="60"/>
  <c r="R177" i="60"/>
  <c r="Q177" i="60"/>
  <c r="P177" i="60"/>
  <c r="O177" i="60"/>
  <c r="N177" i="60"/>
  <c r="M177" i="60"/>
  <c r="L177" i="60"/>
  <c r="R176" i="60"/>
  <c r="Q176" i="60"/>
  <c r="P176" i="60"/>
  <c r="O176" i="60"/>
  <c r="N176" i="60"/>
  <c r="M176" i="60"/>
  <c r="L176" i="60"/>
  <c r="R175" i="60"/>
  <c r="Q175" i="60"/>
  <c r="P175" i="60"/>
  <c r="O175" i="60"/>
  <c r="N175" i="60"/>
  <c r="M175" i="60"/>
  <c r="L175" i="60"/>
  <c r="R174" i="60"/>
  <c r="Q174" i="60"/>
  <c r="P174" i="60"/>
  <c r="O174" i="60"/>
  <c r="N174" i="60"/>
  <c r="M174" i="60"/>
  <c r="L174" i="60"/>
  <c r="R173" i="60"/>
  <c r="Q173" i="60"/>
  <c r="P173" i="60"/>
  <c r="O173" i="60"/>
  <c r="N173" i="60"/>
  <c r="M173" i="60"/>
  <c r="L173" i="60"/>
  <c r="R172" i="60"/>
  <c r="Q172" i="60"/>
  <c r="P172" i="60"/>
  <c r="O172" i="60"/>
  <c r="N172" i="60"/>
  <c r="M172" i="60"/>
  <c r="L172" i="60"/>
  <c r="R171" i="60"/>
  <c r="Q171" i="60"/>
  <c r="P171" i="60"/>
  <c r="O171" i="60"/>
  <c r="N171" i="60"/>
  <c r="M171" i="60"/>
  <c r="L171" i="60"/>
  <c r="R170" i="60"/>
  <c r="Q170" i="60"/>
  <c r="P170" i="60"/>
  <c r="O170" i="60"/>
  <c r="N170" i="60"/>
  <c r="M170" i="60"/>
  <c r="L170" i="60"/>
  <c r="R169" i="60"/>
  <c r="Q169" i="60"/>
  <c r="P169" i="60"/>
  <c r="O169" i="60"/>
  <c r="N169" i="60"/>
  <c r="M169" i="60"/>
  <c r="L169" i="60"/>
  <c r="R168" i="60"/>
  <c r="Q168" i="60"/>
  <c r="P168" i="60"/>
  <c r="O168" i="60"/>
  <c r="N168" i="60"/>
  <c r="M168" i="60"/>
  <c r="L168" i="60"/>
  <c r="R167" i="60"/>
  <c r="Q167" i="60"/>
  <c r="P167" i="60"/>
  <c r="O167" i="60"/>
  <c r="N167" i="60"/>
  <c r="M167" i="60"/>
  <c r="L167" i="60"/>
  <c r="R166" i="60"/>
  <c r="Q166" i="60"/>
  <c r="P166" i="60"/>
  <c r="O166" i="60"/>
  <c r="N166" i="60"/>
  <c r="M166" i="60"/>
  <c r="L166" i="60"/>
  <c r="R165" i="60"/>
  <c r="Q165" i="60"/>
  <c r="P165" i="60"/>
  <c r="O165" i="60"/>
  <c r="N165" i="60"/>
  <c r="M165" i="60"/>
  <c r="L165" i="60"/>
  <c r="R164" i="60"/>
  <c r="Q164" i="60"/>
  <c r="P164" i="60"/>
  <c r="O164" i="60"/>
  <c r="N164" i="60"/>
  <c r="M164" i="60"/>
  <c r="L164" i="60"/>
  <c r="R163" i="60"/>
  <c r="Q163" i="60"/>
  <c r="P163" i="60"/>
  <c r="O163" i="60"/>
  <c r="N163" i="60"/>
  <c r="M163" i="60"/>
  <c r="L163" i="60"/>
  <c r="R162" i="60"/>
  <c r="Q162" i="60"/>
  <c r="P162" i="60"/>
  <c r="O162" i="60"/>
  <c r="N162" i="60"/>
  <c r="M162" i="60"/>
  <c r="L162" i="60"/>
  <c r="R161" i="60"/>
  <c r="Q161" i="60"/>
  <c r="P161" i="60"/>
  <c r="O161" i="60"/>
  <c r="N161" i="60"/>
  <c r="M161" i="60"/>
  <c r="L161" i="60"/>
  <c r="R160" i="60"/>
  <c r="Q160" i="60"/>
  <c r="P160" i="60"/>
  <c r="O160" i="60"/>
  <c r="N160" i="60"/>
  <c r="M160" i="60"/>
  <c r="L160" i="60"/>
  <c r="R159" i="60"/>
  <c r="Q159" i="60"/>
  <c r="P159" i="60"/>
  <c r="O159" i="60"/>
  <c r="N159" i="60"/>
  <c r="M159" i="60"/>
  <c r="L159" i="60"/>
  <c r="R158" i="60"/>
  <c r="Q158" i="60"/>
  <c r="P158" i="60"/>
  <c r="O158" i="60"/>
  <c r="N158" i="60"/>
  <c r="M158" i="60"/>
  <c r="L158" i="60"/>
  <c r="R157" i="60"/>
  <c r="Q157" i="60"/>
  <c r="P157" i="60"/>
  <c r="O157" i="60"/>
  <c r="N157" i="60"/>
  <c r="M157" i="60"/>
  <c r="L157" i="60"/>
  <c r="R156" i="60"/>
  <c r="Q156" i="60"/>
  <c r="P156" i="60"/>
  <c r="O156" i="60"/>
  <c r="N156" i="60"/>
  <c r="M156" i="60"/>
  <c r="L156" i="60"/>
  <c r="R155" i="60"/>
  <c r="Q155" i="60"/>
  <c r="P155" i="60"/>
  <c r="O155" i="60"/>
  <c r="N155" i="60"/>
  <c r="M155" i="60"/>
  <c r="L155" i="60"/>
  <c r="R154" i="60"/>
  <c r="Q154" i="60"/>
  <c r="P154" i="60"/>
  <c r="O154" i="60"/>
  <c r="N154" i="60"/>
  <c r="M154" i="60"/>
  <c r="L154" i="60"/>
  <c r="R153" i="60"/>
  <c r="Q153" i="60"/>
  <c r="P153" i="60"/>
  <c r="O153" i="60"/>
  <c r="N153" i="60"/>
  <c r="M153" i="60"/>
  <c r="L153" i="60"/>
  <c r="R152" i="60"/>
  <c r="Q152" i="60"/>
  <c r="P152" i="60"/>
  <c r="O152" i="60"/>
  <c r="N152" i="60"/>
  <c r="M152" i="60"/>
  <c r="L152" i="60"/>
  <c r="R151" i="60"/>
  <c r="Q151" i="60"/>
  <c r="P151" i="60"/>
  <c r="O151" i="60"/>
  <c r="N151" i="60"/>
  <c r="M151" i="60"/>
  <c r="L151" i="60"/>
  <c r="R150" i="60"/>
  <c r="Q150" i="60"/>
  <c r="P150" i="60"/>
  <c r="O150" i="60"/>
  <c r="N150" i="60"/>
  <c r="M150" i="60"/>
  <c r="L150" i="60"/>
  <c r="R149" i="60"/>
  <c r="Q149" i="60"/>
  <c r="P149" i="60"/>
  <c r="O149" i="60"/>
  <c r="N149" i="60"/>
  <c r="M149" i="60"/>
  <c r="L149" i="60"/>
  <c r="R148" i="60"/>
  <c r="Q148" i="60"/>
  <c r="P148" i="60"/>
  <c r="O148" i="60"/>
  <c r="N148" i="60"/>
  <c r="M148" i="60"/>
  <c r="L148" i="60"/>
  <c r="R147" i="60"/>
  <c r="Q147" i="60"/>
  <c r="P147" i="60"/>
  <c r="O147" i="60"/>
  <c r="N147" i="60"/>
  <c r="M147" i="60"/>
  <c r="L147" i="60"/>
  <c r="R146" i="60"/>
  <c r="Q146" i="60"/>
  <c r="P146" i="60"/>
  <c r="O146" i="60"/>
  <c r="N146" i="60"/>
  <c r="M146" i="60"/>
  <c r="L146" i="60"/>
  <c r="R145" i="60"/>
  <c r="Q145" i="60"/>
  <c r="P145" i="60"/>
  <c r="O145" i="60"/>
  <c r="N145" i="60"/>
  <c r="M145" i="60"/>
  <c r="L145" i="60"/>
  <c r="R144" i="60"/>
  <c r="Q144" i="60"/>
  <c r="P144" i="60"/>
  <c r="O144" i="60"/>
  <c r="N144" i="60"/>
  <c r="M144" i="60"/>
  <c r="L144" i="60"/>
  <c r="R143" i="60"/>
  <c r="Q143" i="60"/>
  <c r="P143" i="60"/>
  <c r="O143" i="60"/>
  <c r="N143" i="60"/>
  <c r="M143" i="60"/>
  <c r="L143" i="60"/>
  <c r="R142" i="60"/>
  <c r="Q142" i="60"/>
  <c r="P142" i="60"/>
  <c r="O142" i="60"/>
  <c r="N142" i="60"/>
  <c r="M142" i="60"/>
  <c r="L142" i="60"/>
  <c r="R141" i="60"/>
  <c r="Q141" i="60"/>
  <c r="P141" i="60"/>
  <c r="O141" i="60"/>
  <c r="N141" i="60"/>
  <c r="M141" i="60"/>
  <c r="L141" i="60"/>
  <c r="R140" i="60"/>
  <c r="Q140" i="60"/>
  <c r="P140" i="60"/>
  <c r="O140" i="60"/>
  <c r="N140" i="60"/>
  <c r="M140" i="60"/>
  <c r="L140" i="60"/>
  <c r="R139" i="60"/>
  <c r="Q139" i="60"/>
  <c r="P139" i="60"/>
  <c r="O139" i="60"/>
  <c r="N139" i="60"/>
  <c r="M139" i="60"/>
  <c r="L139" i="60"/>
  <c r="R138" i="60"/>
  <c r="Q138" i="60"/>
  <c r="P138" i="60"/>
  <c r="O138" i="60"/>
  <c r="N138" i="60"/>
  <c r="M138" i="60"/>
  <c r="L138" i="60"/>
  <c r="R137" i="60"/>
  <c r="Q137" i="60"/>
  <c r="P137" i="60"/>
  <c r="O137" i="60"/>
  <c r="N137" i="60"/>
  <c r="M137" i="60"/>
  <c r="L137" i="60"/>
  <c r="R136" i="60"/>
  <c r="Q136" i="60"/>
  <c r="P136" i="60"/>
  <c r="O136" i="60"/>
  <c r="N136" i="60"/>
  <c r="M136" i="60"/>
  <c r="L136" i="60"/>
  <c r="R135" i="60"/>
  <c r="Q135" i="60"/>
  <c r="P135" i="60"/>
  <c r="O135" i="60"/>
  <c r="N135" i="60"/>
  <c r="M135" i="60"/>
  <c r="L135" i="60"/>
  <c r="R134" i="60"/>
  <c r="Q134" i="60"/>
  <c r="P134" i="60"/>
  <c r="O134" i="60"/>
  <c r="N134" i="60"/>
  <c r="M134" i="60"/>
  <c r="L134" i="60"/>
  <c r="R133" i="60"/>
  <c r="Q133" i="60"/>
  <c r="P133" i="60"/>
  <c r="O133" i="60"/>
  <c r="N133" i="60"/>
  <c r="M133" i="60"/>
  <c r="L133" i="60"/>
  <c r="R132" i="60"/>
  <c r="Q132" i="60"/>
  <c r="P132" i="60"/>
  <c r="O132" i="60"/>
  <c r="N132" i="60"/>
  <c r="M132" i="60"/>
  <c r="L132" i="60"/>
  <c r="R131" i="60"/>
  <c r="Q131" i="60"/>
  <c r="P131" i="60"/>
  <c r="O131" i="60"/>
  <c r="N131" i="60"/>
  <c r="M131" i="60"/>
  <c r="L131" i="60"/>
  <c r="R130" i="60"/>
  <c r="Q130" i="60"/>
  <c r="P130" i="60"/>
  <c r="O130" i="60"/>
  <c r="N130" i="60"/>
  <c r="M130" i="60"/>
  <c r="L130" i="60"/>
  <c r="R129" i="60"/>
  <c r="Q129" i="60"/>
  <c r="P129" i="60"/>
  <c r="O129" i="60"/>
  <c r="N129" i="60"/>
  <c r="M129" i="60"/>
  <c r="L129" i="60"/>
  <c r="R128" i="60"/>
  <c r="Q128" i="60"/>
  <c r="P128" i="60"/>
  <c r="O128" i="60"/>
  <c r="N128" i="60"/>
  <c r="M128" i="60"/>
  <c r="L128" i="60"/>
  <c r="R127" i="60"/>
  <c r="Q127" i="60"/>
  <c r="P127" i="60"/>
  <c r="O127" i="60"/>
  <c r="N127" i="60"/>
  <c r="M127" i="60"/>
  <c r="L127" i="60"/>
  <c r="R126" i="60"/>
  <c r="Q126" i="60"/>
  <c r="P126" i="60"/>
  <c r="O126" i="60"/>
  <c r="N126" i="60"/>
  <c r="M126" i="60"/>
  <c r="L126" i="60"/>
  <c r="R125" i="60"/>
  <c r="Q125" i="60"/>
  <c r="P125" i="60"/>
  <c r="O125" i="60"/>
  <c r="N125" i="60"/>
  <c r="M125" i="60"/>
  <c r="L125" i="60"/>
  <c r="Z124" i="60"/>
  <c r="Y124" i="60"/>
  <c r="X124" i="60"/>
  <c r="W124" i="60"/>
  <c r="V124" i="60"/>
  <c r="U124" i="60"/>
  <c r="T124" i="60"/>
  <c r="Z123" i="60"/>
  <c r="Y123" i="60"/>
  <c r="X123" i="60"/>
  <c r="W123" i="60"/>
  <c r="V123" i="60"/>
  <c r="U123" i="60"/>
  <c r="T123" i="60"/>
  <c r="Z122" i="60"/>
  <c r="Y122" i="60"/>
  <c r="X122" i="60"/>
  <c r="W122" i="60"/>
  <c r="V122" i="60"/>
  <c r="U122" i="60"/>
  <c r="T122" i="60"/>
  <c r="Z121" i="60"/>
  <c r="Y121" i="60"/>
  <c r="X121" i="60"/>
  <c r="W121" i="60"/>
  <c r="V121" i="60"/>
  <c r="U121" i="60"/>
  <c r="T121" i="60"/>
  <c r="Z120" i="60"/>
  <c r="Y120" i="60"/>
  <c r="X120" i="60"/>
  <c r="W120" i="60"/>
  <c r="V120" i="60"/>
  <c r="U120" i="60"/>
  <c r="T120" i="60"/>
  <c r="Z119" i="60"/>
  <c r="Y119" i="60"/>
  <c r="X119" i="60"/>
  <c r="W119" i="60"/>
  <c r="V119" i="60"/>
  <c r="U119" i="60"/>
  <c r="T119" i="60"/>
  <c r="Z118" i="60"/>
  <c r="Y118" i="60"/>
  <c r="X118" i="60"/>
  <c r="W118" i="60"/>
  <c r="V118" i="60"/>
  <c r="U118" i="60"/>
  <c r="T118" i="60"/>
  <c r="Z117" i="60"/>
  <c r="Y117" i="60"/>
  <c r="X117" i="60"/>
  <c r="W117" i="60"/>
  <c r="V117" i="60"/>
  <c r="U117" i="60"/>
  <c r="T117" i="60"/>
  <c r="Z116" i="60"/>
  <c r="Y116" i="60"/>
  <c r="X116" i="60"/>
  <c r="W116" i="60"/>
  <c r="V116" i="60"/>
  <c r="U116" i="60"/>
  <c r="T116" i="60"/>
  <c r="Z115" i="60"/>
  <c r="Y115" i="60"/>
  <c r="X115" i="60"/>
  <c r="W115" i="60"/>
  <c r="V115" i="60"/>
  <c r="U115" i="60"/>
  <c r="T115" i="60"/>
  <c r="Z114" i="60"/>
  <c r="Y114" i="60"/>
  <c r="X114" i="60"/>
  <c r="W114" i="60"/>
  <c r="V114" i="60"/>
  <c r="U114" i="60"/>
  <c r="T114" i="60"/>
  <c r="Z113" i="60"/>
  <c r="Y113" i="60"/>
  <c r="X113" i="60"/>
  <c r="W113" i="60"/>
  <c r="V113" i="60"/>
  <c r="U113" i="60"/>
  <c r="T113" i="60"/>
  <c r="Z112" i="60"/>
  <c r="Y112" i="60"/>
  <c r="X112" i="60"/>
  <c r="W112" i="60"/>
  <c r="V112" i="60"/>
  <c r="U112" i="60"/>
  <c r="T112" i="60"/>
  <c r="Z111" i="60"/>
  <c r="Y111" i="60"/>
  <c r="X111" i="60"/>
  <c r="W111" i="60"/>
  <c r="V111" i="60"/>
  <c r="U111" i="60"/>
  <c r="T111" i="60"/>
  <c r="Z110" i="60"/>
  <c r="Y110" i="60"/>
  <c r="X110" i="60"/>
  <c r="W110" i="60"/>
  <c r="V110" i="60"/>
  <c r="U110" i="60"/>
  <c r="T110" i="60"/>
  <c r="Z109" i="60"/>
  <c r="Y109" i="60"/>
  <c r="X109" i="60"/>
  <c r="W109" i="60"/>
  <c r="V109" i="60"/>
  <c r="U109" i="60"/>
  <c r="T109" i="60"/>
  <c r="Z108" i="60"/>
  <c r="Y108" i="60"/>
  <c r="X108" i="60"/>
  <c r="W108" i="60"/>
  <c r="V108" i="60"/>
  <c r="U108" i="60"/>
  <c r="T108" i="60"/>
  <c r="Z107" i="60"/>
  <c r="Y107" i="60"/>
  <c r="X107" i="60"/>
  <c r="W107" i="60"/>
  <c r="V107" i="60"/>
  <c r="U107" i="60"/>
  <c r="T107" i="60"/>
  <c r="Z106" i="60"/>
  <c r="Y106" i="60"/>
  <c r="X106" i="60"/>
  <c r="W106" i="60"/>
  <c r="V106" i="60"/>
  <c r="U106" i="60"/>
  <c r="T106" i="60"/>
  <c r="Z105" i="60"/>
  <c r="Y105" i="60"/>
  <c r="X105" i="60"/>
  <c r="W105" i="60"/>
  <c r="V105" i="60"/>
  <c r="U105" i="60"/>
  <c r="T105" i="60"/>
  <c r="Z104" i="60"/>
  <c r="Y104" i="60"/>
  <c r="X104" i="60"/>
  <c r="W104" i="60"/>
  <c r="V104" i="60"/>
  <c r="U104" i="60"/>
  <c r="T104" i="60"/>
  <c r="Z103" i="60"/>
  <c r="Y103" i="60"/>
  <c r="X103" i="60"/>
  <c r="W103" i="60"/>
  <c r="V103" i="60"/>
  <c r="U103" i="60"/>
  <c r="T103" i="60"/>
  <c r="Z102" i="60"/>
  <c r="Y102" i="60"/>
  <c r="X102" i="60"/>
  <c r="W102" i="60"/>
  <c r="V102" i="60"/>
  <c r="U102" i="60"/>
  <c r="T102" i="60"/>
  <c r="Z101" i="60"/>
  <c r="Y101" i="60"/>
  <c r="X101" i="60"/>
  <c r="W101" i="60"/>
  <c r="V101" i="60"/>
  <c r="U101" i="60"/>
  <c r="T101" i="60"/>
  <c r="Z100" i="60"/>
  <c r="Y100" i="60"/>
  <c r="X100" i="60"/>
  <c r="W100" i="60"/>
  <c r="V100" i="60"/>
  <c r="U100" i="60"/>
  <c r="T100" i="60"/>
  <c r="Z99" i="60"/>
  <c r="Y99" i="60"/>
  <c r="X99" i="60"/>
  <c r="W99" i="60"/>
  <c r="V99" i="60"/>
  <c r="U99" i="60"/>
  <c r="T99" i="60"/>
  <c r="Z98" i="60"/>
  <c r="Y98" i="60"/>
  <c r="X98" i="60"/>
  <c r="W98" i="60"/>
  <c r="V98" i="60"/>
  <c r="U98" i="60"/>
  <c r="T98" i="60"/>
  <c r="Z97" i="60"/>
  <c r="Y97" i="60"/>
  <c r="X97" i="60"/>
  <c r="W97" i="60"/>
  <c r="V97" i="60"/>
  <c r="U97" i="60"/>
  <c r="T97" i="60"/>
  <c r="Z96" i="60"/>
  <c r="Y96" i="60"/>
  <c r="X96" i="60"/>
  <c r="W96" i="60"/>
  <c r="V96" i="60"/>
  <c r="U96" i="60"/>
  <c r="T96" i="60"/>
  <c r="Z95" i="60"/>
  <c r="Y95" i="60"/>
  <c r="X95" i="60"/>
  <c r="W95" i="60"/>
  <c r="V95" i="60"/>
  <c r="U95" i="60"/>
  <c r="T95" i="60"/>
  <c r="Z94" i="60"/>
  <c r="Y94" i="60"/>
  <c r="X94" i="60"/>
  <c r="W94" i="60"/>
  <c r="V94" i="60"/>
  <c r="U94" i="60"/>
  <c r="T94" i="60"/>
  <c r="Z93" i="60"/>
  <c r="Y93" i="60"/>
  <c r="X93" i="60"/>
  <c r="W93" i="60"/>
  <c r="V93" i="60"/>
  <c r="U93" i="60"/>
  <c r="T93" i="60"/>
  <c r="Z92" i="60"/>
  <c r="Y92" i="60"/>
  <c r="X92" i="60"/>
  <c r="W92" i="60"/>
  <c r="V92" i="60"/>
  <c r="U92" i="60"/>
  <c r="T92" i="60"/>
  <c r="Z91" i="60"/>
  <c r="Y91" i="60"/>
  <c r="X91" i="60"/>
  <c r="W91" i="60"/>
  <c r="V91" i="60"/>
  <c r="U91" i="60"/>
  <c r="T91" i="60"/>
  <c r="Z90" i="60"/>
  <c r="Y90" i="60"/>
  <c r="X90" i="60"/>
  <c r="W90" i="60"/>
  <c r="V90" i="60"/>
  <c r="U90" i="60"/>
  <c r="T90" i="60"/>
  <c r="Z89" i="60"/>
  <c r="Y89" i="60"/>
  <c r="X89" i="60"/>
  <c r="W89" i="60"/>
  <c r="V89" i="60"/>
  <c r="U89" i="60"/>
  <c r="T89" i="60"/>
  <c r="Z88" i="60"/>
  <c r="Y88" i="60"/>
  <c r="X88" i="60"/>
  <c r="W88" i="60"/>
  <c r="V88" i="60"/>
  <c r="U88" i="60"/>
  <c r="T88" i="60"/>
  <c r="Z87" i="60"/>
  <c r="Y87" i="60"/>
  <c r="X87" i="60"/>
  <c r="W87" i="60"/>
  <c r="V87" i="60"/>
  <c r="U87" i="60"/>
  <c r="T87" i="60"/>
  <c r="Z86" i="60"/>
  <c r="Y86" i="60"/>
  <c r="X86" i="60"/>
  <c r="W86" i="60"/>
  <c r="V86" i="60"/>
  <c r="U86" i="60"/>
  <c r="T86" i="60"/>
  <c r="Z85" i="60"/>
  <c r="Y85" i="60"/>
  <c r="X85" i="60"/>
  <c r="W85" i="60"/>
  <c r="V85" i="60"/>
  <c r="U85" i="60"/>
  <c r="T85" i="60"/>
  <c r="Z84" i="60"/>
  <c r="Y84" i="60"/>
  <c r="X84" i="60"/>
  <c r="W84" i="60"/>
  <c r="V84" i="60"/>
  <c r="U84" i="60"/>
  <c r="T84" i="60"/>
  <c r="Z83" i="60"/>
  <c r="Y83" i="60"/>
  <c r="X83" i="60"/>
  <c r="W83" i="60"/>
  <c r="V83" i="60"/>
  <c r="U83" i="60"/>
  <c r="T83" i="60"/>
  <c r="Z82" i="60"/>
  <c r="Y82" i="60"/>
  <c r="X82" i="60"/>
  <c r="W82" i="60"/>
  <c r="V82" i="60"/>
  <c r="U82" i="60"/>
  <c r="T82" i="60"/>
  <c r="Z81" i="60"/>
  <c r="Y81" i="60"/>
  <c r="X81" i="60"/>
  <c r="W81" i="60"/>
  <c r="V81" i="60"/>
  <c r="U81" i="60"/>
  <c r="T81" i="60"/>
  <c r="Z80" i="60"/>
  <c r="Y80" i="60"/>
  <c r="X80" i="60"/>
  <c r="W80" i="60"/>
  <c r="V80" i="60"/>
  <c r="U80" i="60"/>
  <c r="T80" i="60"/>
  <c r="Z79" i="60"/>
  <c r="Y79" i="60"/>
  <c r="X79" i="60"/>
  <c r="W79" i="60"/>
  <c r="V79" i="60"/>
  <c r="U79" i="60"/>
  <c r="T79" i="60"/>
  <c r="Z78" i="60"/>
  <c r="Y78" i="60"/>
  <c r="X78" i="60"/>
  <c r="W78" i="60"/>
  <c r="V78" i="60"/>
  <c r="U78" i="60"/>
  <c r="T78" i="60"/>
  <c r="Z77" i="60"/>
  <c r="Y77" i="60"/>
  <c r="X77" i="60"/>
  <c r="W77" i="60"/>
  <c r="V77" i="60"/>
  <c r="U77" i="60"/>
  <c r="T77" i="60"/>
  <c r="Z76" i="60"/>
  <c r="Y76" i="60"/>
  <c r="X76" i="60"/>
  <c r="W76" i="60"/>
  <c r="V76" i="60"/>
  <c r="U76" i="60"/>
  <c r="T76" i="60"/>
  <c r="Z75" i="60"/>
  <c r="Y75" i="60"/>
  <c r="X75" i="60"/>
  <c r="W75" i="60"/>
  <c r="V75" i="60"/>
  <c r="U75" i="60"/>
  <c r="T75" i="60"/>
  <c r="Z74" i="60"/>
  <c r="Y74" i="60"/>
  <c r="X74" i="60"/>
  <c r="W74" i="60"/>
  <c r="V74" i="60"/>
  <c r="U74" i="60"/>
  <c r="T74" i="60"/>
  <c r="Z73" i="60"/>
  <c r="Y73" i="60"/>
  <c r="X73" i="60"/>
  <c r="W73" i="60"/>
  <c r="V73" i="60"/>
  <c r="U73" i="60"/>
  <c r="T73" i="60"/>
  <c r="Z72" i="60"/>
  <c r="Y72" i="60"/>
  <c r="X72" i="60"/>
  <c r="W72" i="60"/>
  <c r="V72" i="60"/>
  <c r="U72" i="60"/>
  <c r="T72" i="60"/>
  <c r="Z71" i="60"/>
  <c r="Y71" i="60"/>
  <c r="X71" i="60"/>
  <c r="W71" i="60"/>
  <c r="V71" i="60"/>
  <c r="U71" i="60"/>
  <c r="T71" i="60"/>
  <c r="Z70" i="60"/>
  <c r="Y70" i="60"/>
  <c r="X70" i="60"/>
  <c r="W70" i="60"/>
  <c r="V70" i="60"/>
  <c r="U70" i="60"/>
  <c r="T70" i="60"/>
  <c r="Z69" i="60"/>
  <c r="Y69" i="60"/>
  <c r="X69" i="60"/>
  <c r="W69" i="60"/>
  <c r="V69" i="60"/>
  <c r="U69" i="60"/>
  <c r="T69" i="60"/>
  <c r="Z68" i="60"/>
  <c r="Y68" i="60"/>
  <c r="X68" i="60"/>
  <c r="W68" i="60"/>
  <c r="V68" i="60"/>
  <c r="U68" i="60"/>
  <c r="T68" i="60"/>
  <c r="Z67" i="60"/>
  <c r="Y67" i="60"/>
  <c r="X67" i="60"/>
  <c r="W67" i="60"/>
  <c r="V67" i="60"/>
  <c r="U67" i="60"/>
  <c r="T67" i="60"/>
  <c r="Z66" i="60"/>
  <c r="Y66" i="60"/>
  <c r="X66" i="60"/>
  <c r="W66" i="60"/>
  <c r="V66" i="60"/>
  <c r="U66" i="60"/>
  <c r="T66" i="60"/>
  <c r="Z65" i="60"/>
  <c r="Y65" i="60"/>
  <c r="X65" i="60"/>
  <c r="W65" i="60"/>
  <c r="V65" i="60"/>
  <c r="U65" i="60"/>
  <c r="T65" i="60"/>
  <c r="Z64" i="60"/>
  <c r="Y64" i="60"/>
  <c r="X64" i="60"/>
  <c r="W64" i="60"/>
  <c r="V64" i="60"/>
  <c r="U64" i="60"/>
  <c r="T64" i="60"/>
  <c r="Z63" i="60"/>
  <c r="Y63" i="60"/>
  <c r="X63" i="60"/>
  <c r="W63" i="60"/>
  <c r="V63" i="60"/>
  <c r="U63" i="60"/>
  <c r="T63" i="60"/>
  <c r="Z62" i="60"/>
  <c r="Y62" i="60"/>
  <c r="X62" i="60"/>
  <c r="W62" i="60"/>
  <c r="V62" i="60"/>
  <c r="U62" i="60"/>
  <c r="T62" i="60"/>
  <c r="Z61" i="60"/>
  <c r="Y61" i="60"/>
  <c r="X61" i="60"/>
  <c r="W61" i="60"/>
  <c r="V61" i="60"/>
  <c r="U61" i="60"/>
  <c r="T61" i="60"/>
  <c r="Z60" i="60"/>
  <c r="Y60" i="60"/>
  <c r="X60" i="60"/>
  <c r="W60" i="60"/>
  <c r="V60" i="60"/>
  <c r="U60" i="60"/>
  <c r="T60" i="60"/>
  <c r="Z59" i="60"/>
  <c r="Y59" i="60"/>
  <c r="X59" i="60"/>
  <c r="W59" i="60"/>
  <c r="V59" i="60"/>
  <c r="U59" i="60"/>
  <c r="T59" i="60"/>
  <c r="Z58" i="60"/>
  <c r="Y58" i="60"/>
  <c r="X58" i="60"/>
  <c r="W58" i="60"/>
  <c r="V58" i="60"/>
  <c r="U58" i="60"/>
  <c r="T58" i="60"/>
  <c r="Z57" i="60"/>
  <c r="Y57" i="60"/>
  <c r="X57" i="60"/>
  <c r="W57" i="60"/>
  <c r="V57" i="60"/>
  <c r="U57" i="60"/>
  <c r="T57" i="60"/>
  <c r="Z56" i="60"/>
  <c r="Y56" i="60"/>
  <c r="X56" i="60"/>
  <c r="W56" i="60"/>
  <c r="V56" i="60"/>
  <c r="U56" i="60"/>
  <c r="T56" i="60"/>
  <c r="Z55" i="60"/>
  <c r="Y55" i="60"/>
  <c r="X55" i="60"/>
  <c r="W55" i="60"/>
  <c r="V55" i="60"/>
  <c r="U55" i="60"/>
  <c r="T55" i="60"/>
  <c r="Z54" i="60"/>
  <c r="Y54" i="60"/>
  <c r="X54" i="60"/>
  <c r="W54" i="60"/>
  <c r="V54" i="60"/>
  <c r="U54" i="60"/>
  <c r="T54" i="60"/>
  <c r="Z53" i="60"/>
  <c r="Y53" i="60"/>
  <c r="X53" i="60"/>
  <c r="W53" i="60"/>
  <c r="V53" i="60"/>
  <c r="U53" i="60"/>
  <c r="T53" i="60"/>
  <c r="Z52" i="60"/>
  <c r="Y52" i="60"/>
  <c r="X52" i="60"/>
  <c r="W52" i="60"/>
  <c r="V52" i="60"/>
  <c r="U52" i="60"/>
  <c r="T52" i="60"/>
  <c r="Z51" i="60"/>
  <c r="Y51" i="60"/>
  <c r="X51" i="60"/>
  <c r="W51" i="60"/>
  <c r="V51" i="60"/>
  <c r="U51" i="60"/>
  <c r="T51" i="60"/>
  <c r="Z50" i="60"/>
  <c r="Y50" i="60"/>
  <c r="X50" i="60"/>
  <c r="W50" i="60"/>
  <c r="V50" i="60"/>
  <c r="U50" i="60"/>
  <c r="T50" i="60"/>
  <c r="Z49" i="60"/>
  <c r="Y49" i="60"/>
  <c r="X49" i="60"/>
  <c r="W49" i="60"/>
  <c r="V49" i="60"/>
  <c r="U49" i="60"/>
  <c r="T49" i="60"/>
  <c r="Z48" i="60"/>
  <c r="Y48" i="60"/>
  <c r="X48" i="60"/>
  <c r="W48" i="60"/>
  <c r="V48" i="60"/>
  <c r="U48" i="60"/>
  <c r="T48" i="60"/>
  <c r="Z47" i="60"/>
  <c r="Y47" i="60"/>
  <c r="X47" i="60"/>
  <c r="W47" i="60"/>
  <c r="V47" i="60"/>
  <c r="U47" i="60"/>
  <c r="T47" i="60"/>
  <c r="Z46" i="60"/>
  <c r="Y46" i="60"/>
  <c r="X46" i="60"/>
  <c r="W46" i="60"/>
  <c r="V46" i="60"/>
  <c r="U46" i="60"/>
  <c r="T46" i="60"/>
  <c r="Z45" i="60"/>
  <c r="Y45" i="60"/>
  <c r="X45" i="60"/>
  <c r="W45" i="60"/>
  <c r="V45" i="60"/>
  <c r="U45" i="60"/>
  <c r="T45" i="60"/>
  <c r="Z44" i="60"/>
  <c r="Y44" i="60"/>
  <c r="X44" i="60"/>
  <c r="W44" i="60"/>
  <c r="V44" i="60"/>
  <c r="U44" i="60"/>
  <c r="T44" i="60"/>
  <c r="Z43" i="60"/>
  <c r="Y43" i="60"/>
  <c r="X43" i="60"/>
  <c r="W43" i="60"/>
  <c r="V43" i="60"/>
  <c r="U43" i="60"/>
  <c r="T43" i="60"/>
  <c r="Z42" i="60"/>
  <c r="Y42" i="60"/>
  <c r="X42" i="60"/>
  <c r="W42" i="60"/>
  <c r="V42" i="60"/>
  <c r="U42" i="60"/>
  <c r="T42" i="60"/>
  <c r="Z41" i="60"/>
  <c r="Y41" i="60"/>
  <c r="X41" i="60"/>
  <c r="W41" i="60"/>
  <c r="V41" i="60"/>
  <c r="U41" i="60"/>
  <c r="T41" i="60"/>
  <c r="Z40" i="60"/>
  <c r="Y40" i="60"/>
  <c r="X40" i="60"/>
  <c r="W40" i="60"/>
  <c r="V40" i="60"/>
  <c r="U40" i="60"/>
  <c r="T40" i="60"/>
  <c r="Z39" i="60"/>
  <c r="Y39" i="60"/>
  <c r="X39" i="60"/>
  <c r="W39" i="60"/>
  <c r="V39" i="60"/>
  <c r="U39" i="60"/>
  <c r="T39" i="60"/>
  <c r="Z38" i="60"/>
  <c r="Y38" i="60"/>
  <c r="X38" i="60"/>
  <c r="W38" i="60"/>
  <c r="V38" i="60"/>
  <c r="U38" i="60"/>
  <c r="T38" i="60"/>
  <c r="Z37" i="60"/>
  <c r="Y37" i="60"/>
  <c r="X37" i="60"/>
  <c r="W37" i="60"/>
  <c r="V37" i="60"/>
  <c r="U37" i="60"/>
  <c r="T37" i="60"/>
  <c r="Z36" i="60"/>
  <c r="Y36" i="60"/>
  <c r="X36" i="60"/>
  <c r="W36" i="60"/>
  <c r="V36" i="60"/>
  <c r="U36" i="60"/>
  <c r="T36" i="60"/>
  <c r="Z35" i="60"/>
  <c r="Y35" i="60"/>
  <c r="X35" i="60"/>
  <c r="W35" i="60"/>
  <c r="V35" i="60"/>
  <c r="U35" i="60"/>
  <c r="T35" i="60"/>
  <c r="Z34" i="60"/>
  <c r="Y34" i="60"/>
  <c r="X34" i="60"/>
  <c r="W34" i="60"/>
  <c r="V34" i="60"/>
  <c r="U34" i="60"/>
  <c r="T34" i="60"/>
  <c r="Z33" i="60"/>
  <c r="Y33" i="60"/>
  <c r="X33" i="60"/>
  <c r="W33" i="60"/>
  <c r="V33" i="60"/>
  <c r="U33" i="60"/>
  <c r="T33" i="60"/>
  <c r="Z32" i="60"/>
  <c r="Y32" i="60"/>
  <c r="X32" i="60"/>
  <c r="W32" i="60"/>
  <c r="V32" i="60"/>
  <c r="U32" i="60"/>
  <c r="T32" i="60"/>
  <c r="Z31" i="60"/>
  <c r="Y31" i="60"/>
  <c r="X31" i="60"/>
  <c r="W31" i="60"/>
  <c r="V31" i="60"/>
  <c r="U31" i="60"/>
  <c r="T31" i="60"/>
  <c r="Z30" i="60"/>
  <c r="Y30" i="60"/>
  <c r="X30" i="60"/>
  <c r="W30" i="60"/>
  <c r="V30" i="60"/>
  <c r="U30" i="60"/>
  <c r="T30" i="60"/>
  <c r="Z29" i="60"/>
  <c r="Y29" i="60"/>
  <c r="X29" i="60"/>
  <c r="W29" i="60"/>
  <c r="V29" i="60"/>
  <c r="U29" i="60"/>
  <c r="T29" i="60"/>
  <c r="H29" i="60"/>
  <c r="G29" i="60"/>
  <c r="F29" i="60"/>
  <c r="E29" i="60"/>
  <c r="D29" i="60"/>
  <c r="C29" i="60"/>
  <c r="B29" i="60"/>
  <c r="Z28" i="60"/>
  <c r="Y28" i="60"/>
  <c r="X28" i="60"/>
  <c r="W28" i="60"/>
  <c r="V28" i="60"/>
  <c r="U28" i="60"/>
  <c r="T28" i="60"/>
  <c r="H28" i="60"/>
  <c r="G28" i="60"/>
  <c r="F28" i="60"/>
  <c r="E28" i="60"/>
  <c r="D28" i="60"/>
  <c r="C28" i="60"/>
  <c r="B28" i="60"/>
  <c r="Z27" i="60"/>
  <c r="Y27" i="60"/>
  <c r="X27" i="60"/>
  <c r="W27" i="60"/>
  <c r="V27" i="60"/>
  <c r="U27" i="60"/>
  <c r="T27" i="60"/>
  <c r="H27" i="60"/>
  <c r="G27" i="60"/>
  <c r="F27" i="60"/>
  <c r="E27" i="60"/>
  <c r="D27" i="60"/>
  <c r="C27" i="60"/>
  <c r="B27" i="60"/>
  <c r="Z26" i="60"/>
  <c r="Y26" i="60"/>
  <c r="X26" i="60"/>
  <c r="W26" i="60"/>
  <c r="V26" i="60"/>
  <c r="U26" i="60"/>
  <c r="T26" i="60"/>
  <c r="H26" i="60"/>
  <c r="G26" i="60"/>
  <c r="F26" i="60"/>
  <c r="E26" i="60"/>
  <c r="D26" i="60"/>
  <c r="C26" i="60"/>
  <c r="B26" i="60"/>
  <c r="Z25" i="60"/>
  <c r="Y25" i="60"/>
  <c r="X25" i="60"/>
  <c r="W25" i="60"/>
  <c r="V25" i="60"/>
  <c r="U25" i="60"/>
  <c r="T25" i="60"/>
  <c r="H25" i="60"/>
  <c r="G25" i="60"/>
  <c r="F25" i="60"/>
  <c r="E25" i="60"/>
  <c r="D25" i="60"/>
  <c r="C25" i="60"/>
  <c r="B25" i="60"/>
  <c r="Z24" i="60"/>
  <c r="Y24" i="60"/>
  <c r="X24" i="60"/>
  <c r="W24" i="60"/>
  <c r="V24" i="60"/>
  <c r="U24" i="60"/>
  <c r="T24" i="60"/>
  <c r="H24" i="60"/>
  <c r="G24" i="60"/>
  <c r="F24" i="60"/>
  <c r="E24" i="60"/>
  <c r="D24" i="60"/>
  <c r="C24" i="60"/>
  <c r="B24" i="60"/>
  <c r="Z23" i="60"/>
  <c r="Y23" i="60"/>
  <c r="X23" i="60"/>
  <c r="W23" i="60"/>
  <c r="V23" i="60"/>
  <c r="U23" i="60"/>
  <c r="T23" i="60"/>
  <c r="H23" i="60"/>
  <c r="G23" i="60"/>
  <c r="F23" i="60"/>
  <c r="E23" i="60"/>
  <c r="D23" i="60"/>
  <c r="C23" i="60"/>
  <c r="B23" i="60"/>
  <c r="Z22" i="60"/>
  <c r="Y22" i="60"/>
  <c r="X22" i="60"/>
  <c r="W22" i="60"/>
  <c r="V22" i="60"/>
  <c r="U22" i="60"/>
  <c r="T22" i="60"/>
  <c r="H22" i="60"/>
  <c r="G22" i="60"/>
  <c r="F22" i="60"/>
  <c r="E22" i="60"/>
  <c r="D22" i="60"/>
  <c r="C22" i="60"/>
  <c r="B22" i="60"/>
  <c r="Z21" i="60"/>
  <c r="Y21" i="60"/>
  <c r="X21" i="60"/>
  <c r="W21" i="60"/>
  <c r="V21" i="60"/>
  <c r="U21" i="60"/>
  <c r="T21" i="60"/>
  <c r="H21" i="60"/>
  <c r="G21" i="60"/>
  <c r="F21" i="60"/>
  <c r="E21" i="60"/>
  <c r="D21" i="60"/>
  <c r="C21" i="60"/>
  <c r="B21" i="60"/>
  <c r="Z20" i="60"/>
  <c r="Y20" i="60"/>
  <c r="X20" i="60"/>
  <c r="W20" i="60"/>
  <c r="V20" i="60"/>
  <c r="U20" i="60"/>
  <c r="T20" i="60"/>
  <c r="H20" i="60"/>
  <c r="G20" i="60"/>
  <c r="F20" i="60"/>
  <c r="E20" i="60"/>
  <c r="D20" i="60"/>
  <c r="C20" i="60"/>
  <c r="B20" i="60"/>
  <c r="Z19" i="60"/>
  <c r="Y19" i="60"/>
  <c r="X19" i="60"/>
  <c r="W19" i="60"/>
  <c r="V19" i="60"/>
  <c r="U19" i="60"/>
  <c r="T19" i="60"/>
  <c r="H19" i="60"/>
  <c r="G19" i="60"/>
  <c r="F19" i="60"/>
  <c r="E19" i="60"/>
  <c r="D19" i="60"/>
  <c r="C19" i="60"/>
  <c r="B19" i="60"/>
  <c r="Z18" i="60"/>
  <c r="Y18" i="60"/>
  <c r="X18" i="60"/>
  <c r="W18" i="60"/>
  <c r="V18" i="60"/>
  <c r="U18" i="60"/>
  <c r="T18" i="60"/>
  <c r="H18" i="60"/>
  <c r="G18" i="60"/>
  <c r="F18" i="60"/>
  <c r="E18" i="60"/>
  <c r="D18" i="60"/>
  <c r="C18" i="60"/>
  <c r="B18" i="60"/>
  <c r="Z17" i="60"/>
  <c r="Y17" i="60"/>
  <c r="X17" i="60"/>
  <c r="W17" i="60"/>
  <c r="V17" i="60"/>
  <c r="U17" i="60"/>
  <c r="T17" i="60"/>
  <c r="H17" i="60"/>
  <c r="G17" i="60"/>
  <c r="F17" i="60"/>
  <c r="E17" i="60"/>
  <c r="D17" i="60"/>
  <c r="C17" i="60"/>
  <c r="B17" i="60"/>
  <c r="Z16" i="60"/>
  <c r="Y16" i="60"/>
  <c r="X16" i="60"/>
  <c r="W16" i="60"/>
  <c r="V16" i="60"/>
  <c r="U16" i="60"/>
  <c r="T16" i="60"/>
  <c r="H16" i="60"/>
  <c r="G16" i="60"/>
  <c r="F16" i="60"/>
  <c r="E16" i="60"/>
  <c r="D16" i="60"/>
  <c r="C16" i="60"/>
  <c r="B16" i="60"/>
  <c r="Z15" i="60"/>
  <c r="Y15" i="60"/>
  <c r="X15" i="60"/>
  <c r="W15" i="60"/>
  <c r="V15" i="60"/>
  <c r="U15" i="60"/>
  <c r="T15" i="60"/>
  <c r="H15" i="60"/>
  <c r="G15" i="60"/>
  <c r="F15" i="60"/>
  <c r="E15" i="60"/>
  <c r="D15" i="60"/>
  <c r="C15" i="60"/>
  <c r="B15" i="60"/>
  <c r="Z14" i="60"/>
  <c r="Y14" i="60"/>
  <c r="X14" i="60"/>
  <c r="W14" i="60"/>
  <c r="V14" i="60"/>
  <c r="U14" i="60"/>
  <c r="T14" i="60"/>
  <c r="H14" i="60"/>
  <c r="G14" i="60"/>
  <c r="F14" i="60"/>
  <c r="E14" i="60"/>
  <c r="D14" i="60"/>
  <c r="C14" i="60"/>
  <c r="B14" i="60"/>
  <c r="Z13" i="60"/>
  <c r="Y13" i="60"/>
  <c r="X13" i="60"/>
  <c r="W13" i="60"/>
  <c r="V13" i="60"/>
  <c r="U13" i="60"/>
  <c r="T13" i="60"/>
  <c r="H13" i="60"/>
  <c r="G13" i="60"/>
  <c r="F13" i="60"/>
  <c r="E13" i="60"/>
  <c r="D13" i="60"/>
  <c r="C13" i="60"/>
  <c r="B13" i="60"/>
  <c r="Z12" i="60"/>
  <c r="Y12" i="60"/>
  <c r="X12" i="60"/>
  <c r="W12" i="60"/>
  <c r="V12" i="60"/>
  <c r="U12" i="60"/>
  <c r="T12" i="60"/>
  <c r="H12" i="60"/>
  <c r="G12" i="60"/>
  <c r="F12" i="60"/>
  <c r="E12" i="60"/>
  <c r="D12" i="60"/>
  <c r="C12" i="60"/>
  <c r="B12" i="60"/>
  <c r="Z11" i="60"/>
  <c r="Y11" i="60"/>
  <c r="X11" i="60"/>
  <c r="W11" i="60"/>
  <c r="V11" i="60"/>
  <c r="U11" i="60"/>
  <c r="T11" i="60"/>
  <c r="H11" i="60"/>
  <c r="G11" i="60"/>
  <c r="F11" i="60"/>
  <c r="E11" i="60"/>
  <c r="D11" i="60"/>
  <c r="C11" i="60"/>
  <c r="B11" i="60"/>
  <c r="Z10" i="60"/>
  <c r="Y10" i="60"/>
  <c r="X10" i="60"/>
  <c r="W10" i="60"/>
  <c r="V10" i="60"/>
  <c r="U10" i="60"/>
  <c r="T10" i="60"/>
  <c r="H10" i="60"/>
  <c r="G10" i="60"/>
  <c r="F10" i="60"/>
  <c r="E10" i="60"/>
  <c r="D10" i="60"/>
  <c r="C10" i="60"/>
  <c r="B10" i="60"/>
  <c r="Z9" i="60"/>
  <c r="Y9" i="60"/>
  <c r="X9" i="60"/>
  <c r="W9" i="60"/>
  <c r="V9" i="60"/>
  <c r="U9" i="60"/>
  <c r="T9" i="60"/>
  <c r="H9" i="60"/>
  <c r="G9" i="60"/>
  <c r="F9" i="60"/>
  <c r="E9" i="60"/>
  <c r="D9" i="60"/>
  <c r="C9" i="60"/>
  <c r="B9" i="60"/>
  <c r="Z8" i="60"/>
  <c r="Y8" i="60"/>
  <c r="X8" i="60"/>
  <c r="W8" i="60"/>
  <c r="V8" i="60"/>
  <c r="U8" i="60"/>
  <c r="T8" i="60"/>
  <c r="H8" i="60"/>
  <c r="G8" i="60"/>
  <c r="F8" i="60"/>
  <c r="E8" i="60"/>
  <c r="D8" i="60"/>
  <c r="C8" i="60"/>
  <c r="B8" i="60"/>
  <c r="Z7" i="60"/>
  <c r="Y7" i="60"/>
  <c r="X7" i="60"/>
  <c r="W7" i="60"/>
  <c r="V7" i="60"/>
  <c r="U7" i="60"/>
  <c r="T7" i="60"/>
  <c r="H7" i="60"/>
  <c r="G7" i="60"/>
  <c r="F7" i="60"/>
  <c r="E7" i="60"/>
  <c r="D7" i="60"/>
  <c r="C7" i="60"/>
  <c r="B7" i="60"/>
  <c r="Z6" i="60"/>
  <c r="Y6" i="60"/>
  <c r="X6" i="60"/>
  <c r="W6" i="60"/>
  <c r="V6" i="60"/>
  <c r="U6" i="60"/>
  <c r="T6" i="60"/>
  <c r="H6" i="60"/>
  <c r="G6" i="60"/>
  <c r="F6" i="60"/>
  <c r="E6" i="60"/>
  <c r="D6" i="60"/>
  <c r="C6" i="60"/>
  <c r="B6" i="60"/>
  <c r="Z5" i="60"/>
  <c r="Y5" i="60"/>
  <c r="X5" i="60"/>
  <c r="W5" i="60"/>
  <c r="V5" i="60"/>
  <c r="U5" i="60"/>
  <c r="T5" i="60"/>
  <c r="H5" i="60"/>
  <c r="G5" i="60"/>
  <c r="F5" i="60"/>
  <c r="E5" i="60"/>
  <c r="D5" i="60"/>
  <c r="C5" i="60"/>
  <c r="B5" i="60"/>
  <c r="Z4" i="60"/>
  <c r="Y4" i="60"/>
  <c r="X4" i="60"/>
  <c r="W4" i="60"/>
  <c r="V4" i="60"/>
  <c r="U4" i="60"/>
  <c r="T4" i="60"/>
  <c r="H4" i="60"/>
  <c r="G4" i="60"/>
  <c r="F4" i="60"/>
  <c r="E4" i="60"/>
  <c r="D4" i="60"/>
  <c r="C4" i="60"/>
  <c r="B4" i="60"/>
  <c r="Z63" i="37"/>
  <c r="Y63" i="37"/>
  <c r="X63" i="37"/>
  <c r="W63" i="37"/>
  <c r="V63" i="37"/>
  <c r="U63" i="37"/>
  <c r="T63" i="37"/>
  <c r="Z62" i="37"/>
  <c r="Y62" i="37"/>
  <c r="X62" i="37"/>
  <c r="W62" i="37"/>
  <c r="V62" i="37"/>
  <c r="U62" i="37"/>
  <c r="T62" i="37"/>
  <c r="Z61" i="37"/>
  <c r="Y61" i="37"/>
  <c r="X61" i="37"/>
  <c r="W61" i="37"/>
  <c r="V61" i="37"/>
  <c r="U61" i="37"/>
  <c r="T61" i="37"/>
  <c r="Z60" i="37"/>
  <c r="Y60" i="37"/>
  <c r="X60" i="37"/>
  <c r="W60" i="37"/>
  <c r="V60" i="37"/>
  <c r="U60" i="37"/>
  <c r="T60" i="37"/>
  <c r="Z59" i="37"/>
  <c r="Y59" i="37"/>
  <c r="X59" i="37"/>
  <c r="W59" i="37"/>
  <c r="V59" i="37"/>
  <c r="U59" i="37"/>
  <c r="T59" i="37"/>
  <c r="Z58" i="37"/>
  <c r="Y58" i="37"/>
  <c r="X58" i="37"/>
  <c r="W58" i="37"/>
  <c r="V58" i="37"/>
  <c r="U58" i="37"/>
  <c r="T58" i="37"/>
  <c r="Z57" i="37"/>
  <c r="Y57" i="37"/>
  <c r="X57" i="37"/>
  <c r="W57" i="37"/>
  <c r="V57" i="37"/>
  <c r="U57" i="37"/>
  <c r="T57" i="37"/>
  <c r="Z56" i="37"/>
  <c r="Y56" i="37"/>
  <c r="X56" i="37"/>
  <c r="W56" i="37"/>
  <c r="V56" i="37"/>
  <c r="U56" i="37"/>
  <c r="T56" i="37"/>
  <c r="Z55" i="37"/>
  <c r="Y55" i="37"/>
  <c r="X55" i="37"/>
  <c r="W55" i="37"/>
  <c r="V55" i="37"/>
  <c r="U55" i="37"/>
  <c r="T55" i="37"/>
  <c r="Z54" i="37"/>
  <c r="Y54" i="37"/>
  <c r="X54" i="37"/>
  <c r="W54" i="37"/>
  <c r="V54" i="37"/>
  <c r="U54" i="37"/>
  <c r="T54" i="37"/>
  <c r="Z53" i="37"/>
  <c r="Y53" i="37"/>
  <c r="X53" i="37"/>
  <c r="W53" i="37"/>
  <c r="V53" i="37"/>
  <c r="U53" i="37"/>
  <c r="T53" i="37"/>
  <c r="Z52" i="37"/>
  <c r="Y52" i="37"/>
  <c r="X52" i="37"/>
  <c r="W52" i="37"/>
  <c r="V52" i="37"/>
  <c r="U52" i="37"/>
  <c r="T52" i="37"/>
  <c r="Z51" i="37"/>
  <c r="Y51" i="37"/>
  <c r="X51" i="37"/>
  <c r="W51" i="37"/>
  <c r="V51" i="37"/>
  <c r="U51" i="37"/>
  <c r="T51" i="37"/>
  <c r="Z50" i="37"/>
  <c r="Y50" i="37"/>
  <c r="X50" i="37"/>
  <c r="W50" i="37"/>
  <c r="V50" i="37"/>
  <c r="U50" i="37"/>
  <c r="T50" i="37"/>
  <c r="Z49" i="37"/>
  <c r="Y49" i="37"/>
  <c r="X49" i="37"/>
  <c r="W49" i="37"/>
  <c r="V49" i="37"/>
  <c r="U49" i="37"/>
  <c r="T49" i="37"/>
  <c r="Z48" i="37"/>
  <c r="Y48" i="37"/>
  <c r="X48" i="37"/>
  <c r="W48" i="37"/>
  <c r="V48" i="37"/>
  <c r="U48" i="37"/>
  <c r="T48" i="37"/>
  <c r="Z47" i="37"/>
  <c r="Y47" i="37"/>
  <c r="X47" i="37"/>
  <c r="W47" i="37"/>
  <c r="V47" i="37"/>
  <c r="U47" i="37"/>
  <c r="T47" i="37"/>
  <c r="Z46" i="37"/>
  <c r="Y46" i="37"/>
  <c r="X46" i="37"/>
  <c r="W46" i="37"/>
  <c r="V46" i="37"/>
  <c r="U46" i="37"/>
  <c r="T46" i="37"/>
  <c r="Z45" i="37"/>
  <c r="Y45" i="37"/>
  <c r="X45" i="37"/>
  <c r="W45" i="37"/>
  <c r="V45" i="37"/>
  <c r="U45" i="37"/>
  <c r="T45" i="37"/>
  <c r="Z44" i="37"/>
  <c r="Y44" i="37"/>
  <c r="X44" i="37"/>
  <c r="W44" i="37"/>
  <c r="V44" i="37"/>
  <c r="U44" i="37"/>
  <c r="T44" i="37"/>
  <c r="Z43" i="37"/>
  <c r="Y43" i="37"/>
  <c r="X43" i="37"/>
  <c r="W43" i="37"/>
  <c r="V43" i="37"/>
  <c r="U43" i="37"/>
  <c r="T43" i="37"/>
  <c r="Z42" i="37"/>
  <c r="Y42" i="37"/>
  <c r="X42" i="37"/>
  <c r="W42" i="37"/>
  <c r="V42" i="37"/>
  <c r="U42" i="37"/>
  <c r="T42" i="37"/>
  <c r="Z41" i="37"/>
  <c r="Y41" i="37"/>
  <c r="X41" i="37"/>
  <c r="W41" i="37"/>
  <c r="V41" i="37"/>
  <c r="U41" i="37"/>
  <c r="T41" i="37"/>
  <c r="Z40" i="37"/>
  <c r="Y40" i="37"/>
  <c r="X40" i="37"/>
  <c r="W40" i="37"/>
  <c r="V40" i="37"/>
  <c r="U40" i="37"/>
  <c r="T40" i="37"/>
  <c r="Z39" i="37"/>
  <c r="Y39" i="37"/>
  <c r="X39" i="37"/>
  <c r="W39" i="37"/>
  <c r="V39" i="37"/>
  <c r="U39" i="37"/>
  <c r="T39" i="37"/>
  <c r="Z38" i="37"/>
  <c r="Y38" i="37"/>
  <c r="X38" i="37"/>
  <c r="W38" i="37"/>
  <c r="V38" i="37"/>
  <c r="U38" i="37"/>
  <c r="T38" i="37"/>
  <c r="Z37" i="37"/>
  <c r="Y37" i="37"/>
  <c r="X37" i="37"/>
  <c r="W37" i="37"/>
  <c r="V37" i="37"/>
  <c r="U37" i="37"/>
  <c r="T37" i="37"/>
  <c r="Z36" i="37"/>
  <c r="Y36" i="37"/>
  <c r="X36" i="37"/>
  <c r="W36" i="37"/>
  <c r="V36" i="37"/>
  <c r="U36" i="37"/>
  <c r="T36" i="37"/>
  <c r="Z35" i="37"/>
  <c r="Y35" i="37"/>
  <c r="X35" i="37"/>
  <c r="W35" i="37"/>
  <c r="V35" i="37"/>
  <c r="U35" i="37"/>
  <c r="T35" i="37"/>
  <c r="Z34" i="37"/>
  <c r="Y34" i="37"/>
  <c r="X34" i="37"/>
  <c r="W34" i="37"/>
  <c r="V34" i="37"/>
  <c r="U34" i="37"/>
  <c r="T34" i="37"/>
  <c r="Z33" i="37"/>
  <c r="Y33" i="37"/>
  <c r="X33" i="37"/>
  <c r="W33" i="37"/>
  <c r="V33" i="37"/>
  <c r="U33" i="37"/>
  <c r="T33" i="37"/>
  <c r="Z32" i="37"/>
  <c r="Y32" i="37"/>
  <c r="X32" i="37"/>
  <c r="W32" i="37"/>
  <c r="V32" i="37"/>
  <c r="U32" i="37"/>
  <c r="T32" i="37"/>
  <c r="Z31" i="37"/>
  <c r="Y31" i="37"/>
  <c r="X31" i="37"/>
  <c r="W31" i="37"/>
  <c r="V31" i="37"/>
  <c r="U31" i="37"/>
  <c r="T31" i="37"/>
  <c r="Z30" i="37"/>
  <c r="Y30" i="37"/>
  <c r="X30" i="37"/>
  <c r="W30" i="37"/>
  <c r="V30" i="37"/>
  <c r="U30" i="37"/>
  <c r="T30" i="37"/>
  <c r="Z29" i="37"/>
  <c r="Y29" i="37"/>
  <c r="X29" i="37"/>
  <c r="W29" i="37"/>
  <c r="V29" i="37"/>
  <c r="U29" i="37"/>
  <c r="T29" i="37"/>
  <c r="H29" i="37"/>
  <c r="G29" i="37"/>
  <c r="F29" i="37"/>
  <c r="E29" i="37"/>
  <c r="D29" i="37"/>
  <c r="C29" i="37"/>
  <c r="B29" i="37"/>
  <c r="Z28" i="37"/>
  <c r="Y28" i="37"/>
  <c r="X28" i="37"/>
  <c r="W28" i="37"/>
  <c r="V28" i="37"/>
  <c r="U28" i="37"/>
  <c r="T28" i="37"/>
  <c r="H28" i="37"/>
  <c r="G28" i="37"/>
  <c r="F28" i="37"/>
  <c r="E28" i="37"/>
  <c r="D28" i="37"/>
  <c r="C28" i="37"/>
  <c r="B28" i="37"/>
  <c r="Z27" i="37"/>
  <c r="Y27" i="37"/>
  <c r="X27" i="37"/>
  <c r="W27" i="37"/>
  <c r="V27" i="37"/>
  <c r="U27" i="37"/>
  <c r="T27" i="37"/>
  <c r="H27" i="37"/>
  <c r="G27" i="37"/>
  <c r="F27" i="37"/>
  <c r="E27" i="37"/>
  <c r="D27" i="37"/>
  <c r="C27" i="37"/>
  <c r="B27" i="37"/>
  <c r="Z26" i="37"/>
  <c r="Y26" i="37"/>
  <c r="X26" i="37"/>
  <c r="W26" i="37"/>
  <c r="V26" i="37"/>
  <c r="U26" i="37"/>
  <c r="T26" i="37"/>
  <c r="H26" i="37"/>
  <c r="G26" i="37"/>
  <c r="F26" i="37"/>
  <c r="E26" i="37"/>
  <c r="D26" i="37"/>
  <c r="C26" i="37"/>
  <c r="B26" i="37"/>
  <c r="Z25" i="37"/>
  <c r="Y25" i="37"/>
  <c r="X25" i="37"/>
  <c r="W25" i="37"/>
  <c r="V25" i="37"/>
  <c r="U25" i="37"/>
  <c r="T25" i="37"/>
  <c r="H25" i="37"/>
  <c r="G25" i="37"/>
  <c r="F25" i="37"/>
  <c r="E25" i="37"/>
  <c r="D25" i="37"/>
  <c r="C25" i="37"/>
  <c r="B25" i="37"/>
  <c r="Z24" i="37"/>
  <c r="Y24" i="37"/>
  <c r="X24" i="37"/>
  <c r="W24" i="37"/>
  <c r="V24" i="37"/>
  <c r="U24" i="37"/>
  <c r="T24" i="37"/>
  <c r="H24" i="37"/>
  <c r="G24" i="37"/>
  <c r="F24" i="37"/>
  <c r="E24" i="37"/>
  <c r="D24" i="37"/>
  <c r="C24" i="37"/>
  <c r="B24" i="37"/>
  <c r="Z23" i="37"/>
  <c r="Y23" i="37"/>
  <c r="X23" i="37"/>
  <c r="W23" i="37"/>
  <c r="V23" i="37"/>
  <c r="U23" i="37"/>
  <c r="T23" i="37"/>
  <c r="H23" i="37"/>
  <c r="G23" i="37"/>
  <c r="F23" i="37"/>
  <c r="E23" i="37"/>
  <c r="D23" i="37"/>
  <c r="C23" i="37"/>
  <c r="B23" i="37"/>
  <c r="Z22" i="37"/>
  <c r="Y22" i="37"/>
  <c r="X22" i="37"/>
  <c r="W22" i="37"/>
  <c r="V22" i="37"/>
  <c r="U22" i="37"/>
  <c r="T22" i="37"/>
  <c r="H22" i="37"/>
  <c r="G22" i="37"/>
  <c r="F22" i="37"/>
  <c r="E22" i="37"/>
  <c r="D22" i="37"/>
  <c r="C22" i="37"/>
  <c r="B22" i="37"/>
  <c r="Z21" i="37"/>
  <c r="Y21" i="37"/>
  <c r="X21" i="37"/>
  <c r="W21" i="37"/>
  <c r="V21" i="37"/>
  <c r="U21" i="37"/>
  <c r="T21" i="37"/>
  <c r="H21" i="37"/>
  <c r="G21" i="37"/>
  <c r="F21" i="37"/>
  <c r="E21" i="37"/>
  <c r="D21" i="37"/>
  <c r="C21" i="37"/>
  <c r="B21" i="37"/>
  <c r="Z20" i="37"/>
  <c r="Y20" i="37"/>
  <c r="X20" i="37"/>
  <c r="W20" i="37"/>
  <c r="V20" i="37"/>
  <c r="U20" i="37"/>
  <c r="T20" i="37"/>
  <c r="H20" i="37"/>
  <c r="G20" i="37"/>
  <c r="F20" i="37"/>
  <c r="E20" i="37"/>
  <c r="D20" i="37"/>
  <c r="C20" i="37"/>
  <c r="B20" i="37"/>
  <c r="Z19" i="37"/>
  <c r="Y19" i="37"/>
  <c r="X19" i="37"/>
  <c r="W19" i="37"/>
  <c r="V19" i="37"/>
  <c r="U19" i="37"/>
  <c r="T19" i="37"/>
  <c r="H19" i="37"/>
  <c r="G19" i="37"/>
  <c r="F19" i="37"/>
  <c r="E19" i="37"/>
  <c r="D19" i="37"/>
  <c r="C19" i="37"/>
  <c r="B19" i="37"/>
  <c r="Z18" i="37"/>
  <c r="Y18" i="37"/>
  <c r="X18" i="37"/>
  <c r="W18" i="37"/>
  <c r="V18" i="37"/>
  <c r="U18" i="37"/>
  <c r="T18" i="37"/>
  <c r="H18" i="37"/>
  <c r="G18" i="37"/>
  <c r="F18" i="37"/>
  <c r="E18" i="37"/>
  <c r="D18" i="37"/>
  <c r="C18" i="37"/>
  <c r="B18" i="37"/>
  <c r="Z17" i="37"/>
  <c r="Y17" i="37"/>
  <c r="X17" i="37"/>
  <c r="W17" i="37"/>
  <c r="V17" i="37"/>
  <c r="U17" i="37"/>
  <c r="T17" i="37"/>
  <c r="H17" i="37"/>
  <c r="G17" i="37"/>
  <c r="F17" i="37"/>
  <c r="E17" i="37"/>
  <c r="D17" i="37"/>
  <c r="C17" i="37"/>
  <c r="B17" i="37"/>
  <c r="Z16" i="37"/>
  <c r="Y16" i="37"/>
  <c r="X16" i="37"/>
  <c r="W16" i="37"/>
  <c r="V16" i="37"/>
  <c r="U16" i="37"/>
  <c r="T16" i="37"/>
  <c r="H16" i="37"/>
  <c r="G16" i="37"/>
  <c r="F16" i="37"/>
  <c r="E16" i="37"/>
  <c r="D16" i="37"/>
  <c r="C16" i="37"/>
  <c r="B16" i="37"/>
  <c r="Z15" i="37"/>
  <c r="Y15" i="37"/>
  <c r="X15" i="37"/>
  <c r="W15" i="37"/>
  <c r="V15" i="37"/>
  <c r="U15" i="37"/>
  <c r="T15" i="37"/>
  <c r="H15" i="37"/>
  <c r="G15" i="37"/>
  <c r="F15" i="37"/>
  <c r="E15" i="37"/>
  <c r="D15" i="37"/>
  <c r="C15" i="37"/>
  <c r="B15" i="37"/>
  <c r="Z14" i="37"/>
  <c r="Y14" i="37"/>
  <c r="X14" i="37"/>
  <c r="W14" i="37"/>
  <c r="V14" i="37"/>
  <c r="U14" i="37"/>
  <c r="T14" i="37"/>
  <c r="H14" i="37"/>
  <c r="G14" i="37"/>
  <c r="F14" i="37"/>
  <c r="E14" i="37"/>
  <c r="D14" i="37"/>
  <c r="C14" i="37"/>
  <c r="B14" i="37"/>
  <c r="Z13" i="37"/>
  <c r="Y13" i="37"/>
  <c r="X13" i="37"/>
  <c r="W13" i="37"/>
  <c r="V13" i="37"/>
  <c r="U13" i="37"/>
  <c r="T13" i="37"/>
  <c r="H13" i="37"/>
  <c r="G13" i="37"/>
  <c r="F13" i="37"/>
  <c r="E13" i="37"/>
  <c r="D13" i="37"/>
  <c r="C13" i="37"/>
  <c r="B13" i="37"/>
  <c r="Z12" i="37"/>
  <c r="Y12" i="37"/>
  <c r="X12" i="37"/>
  <c r="W12" i="37"/>
  <c r="V12" i="37"/>
  <c r="U12" i="37"/>
  <c r="T12" i="37"/>
  <c r="H12" i="37"/>
  <c r="G12" i="37"/>
  <c r="F12" i="37"/>
  <c r="E12" i="37"/>
  <c r="D12" i="37"/>
  <c r="C12" i="37"/>
  <c r="B12" i="37"/>
  <c r="Z11" i="37"/>
  <c r="Y11" i="37"/>
  <c r="X11" i="37"/>
  <c r="W11" i="37"/>
  <c r="V11" i="37"/>
  <c r="U11" i="37"/>
  <c r="T11" i="37"/>
  <c r="H11" i="37"/>
  <c r="G11" i="37"/>
  <c r="F11" i="37"/>
  <c r="E11" i="37"/>
  <c r="D11" i="37"/>
  <c r="C11" i="37"/>
  <c r="B11" i="37"/>
  <c r="Z10" i="37"/>
  <c r="Y10" i="37"/>
  <c r="X10" i="37"/>
  <c r="W10" i="37"/>
  <c r="V10" i="37"/>
  <c r="U10" i="37"/>
  <c r="T10" i="37"/>
  <c r="H10" i="37"/>
  <c r="G10" i="37"/>
  <c r="F10" i="37"/>
  <c r="E10" i="37"/>
  <c r="D10" i="37"/>
  <c r="C10" i="37"/>
  <c r="B10" i="37"/>
  <c r="Z9" i="37"/>
  <c r="Y9" i="37"/>
  <c r="X9" i="37"/>
  <c r="W9" i="37"/>
  <c r="V9" i="37"/>
  <c r="U9" i="37"/>
  <c r="T9" i="37"/>
  <c r="H9" i="37"/>
  <c r="G9" i="37"/>
  <c r="F9" i="37"/>
  <c r="E9" i="37"/>
  <c r="D9" i="37"/>
  <c r="C9" i="37"/>
  <c r="B9" i="37"/>
  <c r="Z8" i="37"/>
  <c r="Y8" i="37"/>
  <c r="X8" i="37"/>
  <c r="W8" i="37"/>
  <c r="V8" i="37"/>
  <c r="U8" i="37"/>
  <c r="T8" i="37"/>
  <c r="H8" i="37"/>
  <c r="G8" i="37"/>
  <c r="F8" i="37"/>
  <c r="E8" i="37"/>
  <c r="D8" i="37"/>
  <c r="C8" i="37"/>
  <c r="B8" i="37"/>
  <c r="Z7" i="37"/>
  <c r="Y7" i="37"/>
  <c r="X7" i="37"/>
  <c r="W7" i="37"/>
  <c r="V7" i="37"/>
  <c r="U7" i="37"/>
  <c r="T7" i="37"/>
  <c r="H7" i="37"/>
  <c r="G7" i="37"/>
  <c r="F7" i="37"/>
  <c r="E7" i="37"/>
  <c r="D7" i="37"/>
  <c r="C7" i="37"/>
  <c r="B7" i="37"/>
  <c r="Z6" i="37"/>
  <c r="Y6" i="37"/>
  <c r="X6" i="37"/>
  <c r="W6" i="37"/>
  <c r="V6" i="37"/>
  <c r="U6" i="37"/>
  <c r="T6" i="37"/>
  <c r="H6" i="37"/>
  <c r="G6" i="37"/>
  <c r="F6" i="37"/>
  <c r="E6" i="37"/>
  <c r="D6" i="37"/>
  <c r="C6" i="37"/>
  <c r="B6" i="37"/>
  <c r="Z5" i="37"/>
  <c r="Y5" i="37"/>
  <c r="X5" i="37"/>
  <c r="W5" i="37"/>
  <c r="V5" i="37"/>
  <c r="U5" i="37"/>
  <c r="T5" i="37"/>
  <c r="H5" i="37"/>
  <c r="G5" i="37"/>
  <c r="F5" i="37"/>
  <c r="E5" i="37"/>
  <c r="D5" i="37"/>
  <c r="C5" i="37"/>
  <c r="B5" i="37"/>
  <c r="Z4" i="37"/>
  <c r="Y4" i="37"/>
  <c r="X4" i="37"/>
  <c r="W4" i="37"/>
  <c r="V4" i="37"/>
  <c r="U4" i="37"/>
  <c r="T4" i="37"/>
  <c r="H4" i="37"/>
  <c r="G4" i="37"/>
  <c r="F4" i="37"/>
  <c r="E4" i="37"/>
  <c r="D4" i="37"/>
  <c r="C4" i="37"/>
  <c r="B4" i="37"/>
  <c r="DL124" i="36"/>
  <c r="DK124" i="36"/>
  <c r="DJ124" i="36"/>
  <c r="DI124" i="36"/>
  <c r="DH124" i="36"/>
  <c r="DG124" i="36"/>
  <c r="DF124" i="36"/>
  <c r="BS124" i="36"/>
  <c r="BR124" i="36"/>
  <c r="BQ124" i="36"/>
  <c r="BP124" i="36"/>
  <c r="BO124" i="36"/>
  <c r="BN124" i="36"/>
  <c r="BM124" i="36"/>
  <c r="Z124" i="36"/>
  <c r="Y124" i="36"/>
  <c r="X124" i="36"/>
  <c r="W124" i="36"/>
  <c r="V124" i="36"/>
  <c r="U124" i="36"/>
  <c r="T124" i="36"/>
  <c r="DL123" i="36"/>
  <c r="DK123" i="36"/>
  <c r="DJ123" i="36"/>
  <c r="DI123" i="36"/>
  <c r="DH123" i="36"/>
  <c r="DG123" i="36"/>
  <c r="DF123" i="36"/>
  <c r="BS123" i="36"/>
  <c r="BR123" i="36"/>
  <c r="BQ123" i="36"/>
  <c r="BP123" i="36"/>
  <c r="BO123" i="36"/>
  <c r="BN123" i="36"/>
  <c r="BM123" i="36"/>
  <c r="Z123" i="36"/>
  <c r="Y123" i="36"/>
  <c r="X123" i="36"/>
  <c r="W123" i="36"/>
  <c r="V123" i="36"/>
  <c r="U123" i="36"/>
  <c r="T123" i="36"/>
  <c r="DL122" i="36"/>
  <c r="DK122" i="36"/>
  <c r="DJ122" i="36"/>
  <c r="DI122" i="36"/>
  <c r="DH122" i="36"/>
  <c r="DG122" i="36"/>
  <c r="DF122" i="36"/>
  <c r="BS122" i="36"/>
  <c r="BR122" i="36"/>
  <c r="BQ122" i="36"/>
  <c r="BP122" i="36"/>
  <c r="BO122" i="36"/>
  <c r="BN122" i="36"/>
  <c r="BM122" i="36"/>
  <c r="Z122" i="36"/>
  <c r="Y122" i="36"/>
  <c r="X122" i="36"/>
  <c r="W122" i="36"/>
  <c r="V122" i="36"/>
  <c r="U122" i="36"/>
  <c r="T122" i="36"/>
  <c r="DL121" i="36"/>
  <c r="DK121" i="36"/>
  <c r="DJ121" i="36"/>
  <c r="DI121" i="36"/>
  <c r="DH121" i="36"/>
  <c r="DG121" i="36"/>
  <c r="DF121" i="36"/>
  <c r="BS121" i="36"/>
  <c r="BR121" i="36"/>
  <c r="BQ121" i="36"/>
  <c r="BP121" i="36"/>
  <c r="BO121" i="36"/>
  <c r="BN121" i="36"/>
  <c r="BM121" i="36"/>
  <c r="Z121" i="36"/>
  <c r="Y121" i="36"/>
  <c r="X121" i="36"/>
  <c r="W121" i="36"/>
  <c r="V121" i="36"/>
  <c r="U121" i="36"/>
  <c r="T121" i="36"/>
  <c r="DL120" i="36"/>
  <c r="DK120" i="36"/>
  <c r="DJ120" i="36"/>
  <c r="DI120" i="36"/>
  <c r="DH120" i="36"/>
  <c r="DG120" i="36"/>
  <c r="DF120" i="36"/>
  <c r="BS120" i="36"/>
  <c r="BR120" i="36"/>
  <c r="BQ120" i="36"/>
  <c r="BP120" i="36"/>
  <c r="BO120" i="36"/>
  <c r="BN120" i="36"/>
  <c r="BM120" i="36"/>
  <c r="Z120" i="36"/>
  <c r="Y120" i="36"/>
  <c r="X120" i="36"/>
  <c r="W120" i="36"/>
  <c r="V120" i="36"/>
  <c r="U120" i="36"/>
  <c r="T120" i="36"/>
  <c r="DL119" i="36"/>
  <c r="DK119" i="36"/>
  <c r="DJ119" i="36"/>
  <c r="DI119" i="36"/>
  <c r="DH119" i="36"/>
  <c r="DG119" i="36"/>
  <c r="DF119" i="36"/>
  <c r="BS119" i="36"/>
  <c r="BR119" i="36"/>
  <c r="BQ119" i="36"/>
  <c r="BP119" i="36"/>
  <c r="BO119" i="36"/>
  <c r="BN119" i="36"/>
  <c r="BM119" i="36"/>
  <c r="Z119" i="36"/>
  <c r="Y119" i="36"/>
  <c r="X119" i="36"/>
  <c r="W119" i="36"/>
  <c r="V119" i="36"/>
  <c r="U119" i="36"/>
  <c r="T119" i="36"/>
  <c r="DL118" i="36"/>
  <c r="DK118" i="36"/>
  <c r="DJ118" i="36"/>
  <c r="DI118" i="36"/>
  <c r="DH118" i="36"/>
  <c r="DG118" i="36"/>
  <c r="DF118" i="36"/>
  <c r="BS118" i="36"/>
  <c r="BR118" i="36"/>
  <c r="BQ118" i="36"/>
  <c r="BP118" i="36"/>
  <c r="BO118" i="36"/>
  <c r="BN118" i="36"/>
  <c r="BM118" i="36"/>
  <c r="Z118" i="36"/>
  <c r="Y118" i="36"/>
  <c r="X118" i="36"/>
  <c r="W118" i="36"/>
  <c r="V118" i="36"/>
  <c r="U118" i="36"/>
  <c r="T118" i="36"/>
  <c r="DL117" i="36"/>
  <c r="DK117" i="36"/>
  <c r="DJ117" i="36"/>
  <c r="DI117" i="36"/>
  <c r="DH117" i="36"/>
  <c r="DG117" i="36"/>
  <c r="DF117" i="36"/>
  <c r="BS117" i="36"/>
  <c r="BR117" i="36"/>
  <c r="BQ117" i="36"/>
  <c r="BP117" i="36"/>
  <c r="BO117" i="36"/>
  <c r="BN117" i="36"/>
  <c r="BM117" i="36"/>
  <c r="Z117" i="36"/>
  <c r="Y117" i="36"/>
  <c r="X117" i="36"/>
  <c r="W117" i="36"/>
  <c r="V117" i="36"/>
  <c r="U117" i="36"/>
  <c r="T117" i="36"/>
  <c r="DL116" i="36"/>
  <c r="DK116" i="36"/>
  <c r="DJ116" i="36"/>
  <c r="DI116" i="36"/>
  <c r="DH116" i="36"/>
  <c r="DG116" i="36"/>
  <c r="DF116" i="36"/>
  <c r="BS116" i="36"/>
  <c r="BR116" i="36"/>
  <c r="BQ116" i="36"/>
  <c r="BP116" i="36"/>
  <c r="BO116" i="36"/>
  <c r="BN116" i="36"/>
  <c r="BM116" i="36"/>
  <c r="Z116" i="36"/>
  <c r="Y116" i="36"/>
  <c r="X116" i="36"/>
  <c r="W116" i="36"/>
  <c r="V116" i="36"/>
  <c r="U116" i="36"/>
  <c r="T116" i="36"/>
  <c r="DL115" i="36"/>
  <c r="DK115" i="36"/>
  <c r="DJ115" i="36"/>
  <c r="DI115" i="36"/>
  <c r="DH115" i="36"/>
  <c r="DG115" i="36"/>
  <c r="DF115" i="36"/>
  <c r="BS115" i="36"/>
  <c r="BR115" i="36"/>
  <c r="BQ115" i="36"/>
  <c r="BP115" i="36"/>
  <c r="BO115" i="36"/>
  <c r="BN115" i="36"/>
  <c r="BM115" i="36"/>
  <c r="Z115" i="36"/>
  <c r="Y115" i="36"/>
  <c r="X115" i="36"/>
  <c r="W115" i="36"/>
  <c r="V115" i="36"/>
  <c r="U115" i="36"/>
  <c r="T115" i="36"/>
  <c r="DL114" i="36"/>
  <c r="DK114" i="36"/>
  <c r="DJ114" i="36"/>
  <c r="DI114" i="36"/>
  <c r="DH114" i="36"/>
  <c r="DG114" i="36"/>
  <c r="DF114" i="36"/>
  <c r="BS114" i="36"/>
  <c r="BR114" i="36"/>
  <c r="BQ114" i="36"/>
  <c r="BP114" i="36"/>
  <c r="BO114" i="36"/>
  <c r="BN114" i="36"/>
  <c r="BM114" i="36"/>
  <c r="Z114" i="36"/>
  <c r="Y114" i="36"/>
  <c r="X114" i="36"/>
  <c r="W114" i="36"/>
  <c r="V114" i="36"/>
  <c r="U114" i="36"/>
  <c r="T114" i="36"/>
  <c r="DL113" i="36"/>
  <c r="DK113" i="36"/>
  <c r="DJ113" i="36"/>
  <c r="DI113" i="36"/>
  <c r="DH113" i="36"/>
  <c r="DG113" i="36"/>
  <c r="DF113" i="36"/>
  <c r="BS113" i="36"/>
  <c r="BR113" i="36"/>
  <c r="BQ113" i="36"/>
  <c r="BP113" i="36"/>
  <c r="BO113" i="36"/>
  <c r="BN113" i="36"/>
  <c r="BM113" i="36"/>
  <c r="Z113" i="36"/>
  <c r="Y113" i="36"/>
  <c r="X113" i="36"/>
  <c r="W113" i="36"/>
  <c r="V113" i="36"/>
  <c r="U113" i="36"/>
  <c r="T113" i="36"/>
  <c r="DL112" i="36"/>
  <c r="DK112" i="36"/>
  <c r="DJ112" i="36"/>
  <c r="DI112" i="36"/>
  <c r="DH112" i="36"/>
  <c r="DG112" i="36"/>
  <c r="DF112" i="36"/>
  <c r="BS112" i="36"/>
  <c r="BR112" i="36"/>
  <c r="BQ112" i="36"/>
  <c r="BP112" i="36"/>
  <c r="BO112" i="36"/>
  <c r="BN112" i="36"/>
  <c r="BM112" i="36"/>
  <c r="Z112" i="36"/>
  <c r="Y112" i="36"/>
  <c r="X112" i="36"/>
  <c r="W112" i="36"/>
  <c r="V112" i="36"/>
  <c r="U112" i="36"/>
  <c r="T112" i="36"/>
  <c r="DL111" i="36"/>
  <c r="DK111" i="36"/>
  <c r="DJ111" i="36"/>
  <c r="DI111" i="36"/>
  <c r="DH111" i="36"/>
  <c r="DG111" i="36"/>
  <c r="DF111" i="36"/>
  <c r="BS111" i="36"/>
  <c r="BR111" i="36"/>
  <c r="BQ111" i="36"/>
  <c r="BP111" i="36"/>
  <c r="BO111" i="36"/>
  <c r="BN111" i="36"/>
  <c r="BM111" i="36"/>
  <c r="Z111" i="36"/>
  <c r="Y111" i="36"/>
  <c r="X111" i="36"/>
  <c r="W111" i="36"/>
  <c r="V111" i="36"/>
  <c r="U111" i="36"/>
  <c r="T111" i="36"/>
  <c r="DL110" i="36"/>
  <c r="DK110" i="36"/>
  <c r="DJ110" i="36"/>
  <c r="DI110" i="36"/>
  <c r="DH110" i="36"/>
  <c r="DG110" i="36"/>
  <c r="DF110" i="36"/>
  <c r="BS110" i="36"/>
  <c r="BR110" i="36"/>
  <c r="BQ110" i="36"/>
  <c r="BP110" i="36"/>
  <c r="BO110" i="36"/>
  <c r="BN110" i="36"/>
  <c r="BM110" i="36"/>
  <c r="Z110" i="36"/>
  <c r="Y110" i="36"/>
  <c r="X110" i="36"/>
  <c r="W110" i="36"/>
  <c r="V110" i="36"/>
  <c r="U110" i="36"/>
  <c r="T110" i="36"/>
  <c r="DL109" i="36"/>
  <c r="DK109" i="36"/>
  <c r="DJ109" i="36"/>
  <c r="DI109" i="36"/>
  <c r="DH109" i="36"/>
  <c r="DG109" i="36"/>
  <c r="DF109" i="36"/>
  <c r="BS109" i="36"/>
  <c r="BR109" i="36"/>
  <c r="BQ109" i="36"/>
  <c r="BP109" i="36"/>
  <c r="BO109" i="36"/>
  <c r="BN109" i="36"/>
  <c r="BM109" i="36"/>
  <c r="Z109" i="36"/>
  <c r="Y109" i="36"/>
  <c r="X109" i="36"/>
  <c r="W109" i="36"/>
  <c r="V109" i="36"/>
  <c r="U109" i="36"/>
  <c r="T109" i="36"/>
  <c r="DL108" i="36"/>
  <c r="DK108" i="36"/>
  <c r="DJ108" i="36"/>
  <c r="DI108" i="36"/>
  <c r="DH108" i="36"/>
  <c r="DG108" i="36"/>
  <c r="DF108" i="36"/>
  <c r="BS108" i="36"/>
  <c r="BR108" i="36"/>
  <c r="BQ108" i="36"/>
  <c r="BP108" i="36"/>
  <c r="BO108" i="36"/>
  <c r="BN108" i="36"/>
  <c r="BM108" i="36"/>
  <c r="Z108" i="36"/>
  <c r="Y108" i="36"/>
  <c r="X108" i="36"/>
  <c r="W108" i="36"/>
  <c r="V108" i="36"/>
  <c r="U108" i="36"/>
  <c r="T108" i="36"/>
  <c r="DL107" i="36"/>
  <c r="DK107" i="36"/>
  <c r="DJ107" i="36"/>
  <c r="DI107" i="36"/>
  <c r="DH107" i="36"/>
  <c r="DG107" i="36"/>
  <c r="DF107" i="36"/>
  <c r="BS107" i="36"/>
  <c r="BR107" i="36"/>
  <c r="BQ107" i="36"/>
  <c r="BP107" i="36"/>
  <c r="BO107" i="36"/>
  <c r="BN107" i="36"/>
  <c r="BM107" i="36"/>
  <c r="Z107" i="36"/>
  <c r="Y107" i="36"/>
  <c r="X107" i="36"/>
  <c r="W107" i="36"/>
  <c r="V107" i="36"/>
  <c r="U107" i="36"/>
  <c r="T107" i="36"/>
  <c r="DL106" i="36"/>
  <c r="DK106" i="36"/>
  <c r="DJ106" i="36"/>
  <c r="DI106" i="36"/>
  <c r="DH106" i="36"/>
  <c r="DG106" i="36"/>
  <c r="DF106" i="36"/>
  <c r="BS106" i="36"/>
  <c r="BR106" i="36"/>
  <c r="BQ106" i="36"/>
  <c r="BP106" i="36"/>
  <c r="BO106" i="36"/>
  <c r="BN106" i="36"/>
  <c r="BM106" i="36"/>
  <c r="Z106" i="36"/>
  <c r="Y106" i="36"/>
  <c r="X106" i="36"/>
  <c r="W106" i="36"/>
  <c r="V106" i="36"/>
  <c r="U106" i="36"/>
  <c r="T106" i="36"/>
  <c r="DL105" i="36"/>
  <c r="DK105" i="36"/>
  <c r="DJ105" i="36"/>
  <c r="DI105" i="36"/>
  <c r="DH105" i="36"/>
  <c r="DG105" i="36"/>
  <c r="DF105" i="36"/>
  <c r="BS105" i="36"/>
  <c r="BR105" i="36"/>
  <c r="BQ105" i="36"/>
  <c r="BP105" i="36"/>
  <c r="BO105" i="36"/>
  <c r="BN105" i="36"/>
  <c r="BM105" i="36"/>
  <c r="Z105" i="36"/>
  <c r="Y105" i="36"/>
  <c r="X105" i="36"/>
  <c r="W105" i="36"/>
  <c r="V105" i="36"/>
  <c r="U105" i="36"/>
  <c r="T105" i="36"/>
  <c r="DL104" i="36"/>
  <c r="DK104" i="36"/>
  <c r="DJ104" i="36"/>
  <c r="DI104" i="36"/>
  <c r="DH104" i="36"/>
  <c r="DG104" i="36"/>
  <c r="DF104" i="36"/>
  <c r="BS104" i="36"/>
  <c r="BR104" i="36"/>
  <c r="BQ104" i="36"/>
  <c r="BP104" i="36"/>
  <c r="BO104" i="36"/>
  <c r="BN104" i="36"/>
  <c r="BM104" i="36"/>
  <c r="Z104" i="36"/>
  <c r="Y104" i="36"/>
  <c r="X104" i="36"/>
  <c r="W104" i="36"/>
  <c r="V104" i="36"/>
  <c r="U104" i="36"/>
  <c r="T104" i="36"/>
  <c r="DL103" i="36"/>
  <c r="DK103" i="36"/>
  <c r="DJ103" i="36"/>
  <c r="DI103" i="36"/>
  <c r="DH103" i="36"/>
  <c r="DG103" i="36"/>
  <c r="DF103" i="36"/>
  <c r="BS103" i="36"/>
  <c r="BR103" i="36"/>
  <c r="BQ103" i="36"/>
  <c r="BP103" i="36"/>
  <c r="BO103" i="36"/>
  <c r="BN103" i="36"/>
  <c r="BM103" i="36"/>
  <c r="Z103" i="36"/>
  <c r="Y103" i="36"/>
  <c r="X103" i="36"/>
  <c r="W103" i="36"/>
  <c r="V103" i="36"/>
  <c r="U103" i="36"/>
  <c r="T103" i="36"/>
  <c r="DL102" i="36"/>
  <c r="DK102" i="36"/>
  <c r="DJ102" i="36"/>
  <c r="DI102" i="36"/>
  <c r="DH102" i="36"/>
  <c r="DG102" i="36"/>
  <c r="DF102" i="36"/>
  <c r="BS102" i="36"/>
  <c r="BR102" i="36"/>
  <c r="BQ102" i="36"/>
  <c r="BP102" i="36"/>
  <c r="BO102" i="36"/>
  <c r="BN102" i="36"/>
  <c r="BM102" i="36"/>
  <c r="Z102" i="36"/>
  <c r="Y102" i="36"/>
  <c r="X102" i="36"/>
  <c r="W102" i="36"/>
  <c r="V102" i="36"/>
  <c r="U102" i="36"/>
  <c r="T102" i="36"/>
  <c r="DL101" i="36"/>
  <c r="DK101" i="36"/>
  <c r="DJ101" i="36"/>
  <c r="DI101" i="36"/>
  <c r="DH101" i="36"/>
  <c r="DG101" i="36"/>
  <c r="DF101" i="36"/>
  <c r="BS101" i="36"/>
  <c r="BR101" i="36"/>
  <c r="BQ101" i="36"/>
  <c r="BP101" i="36"/>
  <c r="BO101" i="36"/>
  <c r="BN101" i="36"/>
  <c r="BM101" i="36"/>
  <c r="Z101" i="36"/>
  <c r="Y101" i="36"/>
  <c r="X101" i="36"/>
  <c r="W101" i="36"/>
  <c r="V101" i="36"/>
  <c r="U101" i="36"/>
  <c r="T101" i="36"/>
  <c r="DL100" i="36"/>
  <c r="DK100" i="36"/>
  <c r="DJ100" i="36"/>
  <c r="DI100" i="36"/>
  <c r="DH100" i="36"/>
  <c r="DG100" i="36"/>
  <c r="DF100" i="36"/>
  <c r="BS100" i="36"/>
  <c r="BR100" i="36"/>
  <c r="BQ100" i="36"/>
  <c r="BP100" i="36"/>
  <c r="BO100" i="36"/>
  <c r="BN100" i="36"/>
  <c r="BM100" i="36"/>
  <c r="Z100" i="36"/>
  <c r="Y100" i="36"/>
  <c r="X100" i="36"/>
  <c r="W100" i="36"/>
  <c r="V100" i="36"/>
  <c r="U100" i="36"/>
  <c r="T100" i="36"/>
  <c r="DL99" i="36"/>
  <c r="DK99" i="36"/>
  <c r="DJ99" i="36"/>
  <c r="DI99" i="36"/>
  <c r="DH99" i="36"/>
  <c r="DG99" i="36"/>
  <c r="DF99" i="36"/>
  <c r="BS99" i="36"/>
  <c r="BR99" i="36"/>
  <c r="BQ99" i="36"/>
  <c r="BP99" i="36"/>
  <c r="BO99" i="36"/>
  <c r="BN99" i="36"/>
  <c r="BM99" i="36"/>
  <c r="Z99" i="36"/>
  <c r="Y99" i="36"/>
  <c r="X99" i="36"/>
  <c r="W99" i="36"/>
  <c r="V99" i="36"/>
  <c r="U99" i="36"/>
  <c r="T99" i="36"/>
  <c r="DL98" i="36"/>
  <c r="DK98" i="36"/>
  <c r="DJ98" i="36"/>
  <c r="DI98" i="36"/>
  <c r="DH98" i="36"/>
  <c r="DG98" i="36"/>
  <c r="DF98" i="36"/>
  <c r="BS98" i="36"/>
  <c r="BR98" i="36"/>
  <c r="BQ98" i="36"/>
  <c r="BP98" i="36"/>
  <c r="BO98" i="36"/>
  <c r="BN98" i="36"/>
  <c r="BM98" i="36"/>
  <c r="Z98" i="36"/>
  <c r="Y98" i="36"/>
  <c r="X98" i="36"/>
  <c r="W98" i="36"/>
  <c r="V98" i="36"/>
  <c r="U98" i="36"/>
  <c r="T98" i="36"/>
  <c r="DL97" i="36"/>
  <c r="DK97" i="36"/>
  <c r="DJ97" i="36"/>
  <c r="DI97" i="36"/>
  <c r="DH97" i="36"/>
  <c r="DG97" i="36"/>
  <c r="DF97" i="36"/>
  <c r="BS97" i="36"/>
  <c r="BR97" i="36"/>
  <c r="BQ97" i="36"/>
  <c r="BP97" i="36"/>
  <c r="BO97" i="36"/>
  <c r="BN97" i="36"/>
  <c r="BM97" i="36"/>
  <c r="Z97" i="36"/>
  <c r="Y97" i="36"/>
  <c r="X97" i="36"/>
  <c r="W97" i="36"/>
  <c r="V97" i="36"/>
  <c r="U97" i="36"/>
  <c r="T97" i="36"/>
  <c r="DL96" i="36"/>
  <c r="DK96" i="36"/>
  <c r="DJ96" i="36"/>
  <c r="DI96" i="36"/>
  <c r="DH96" i="36"/>
  <c r="DG96" i="36"/>
  <c r="DF96" i="36"/>
  <c r="BS96" i="36"/>
  <c r="BR96" i="36"/>
  <c r="BQ96" i="36"/>
  <c r="BP96" i="36"/>
  <c r="BO96" i="36"/>
  <c r="BN96" i="36"/>
  <c r="BM96" i="36"/>
  <c r="Z96" i="36"/>
  <c r="Y96" i="36"/>
  <c r="X96" i="36"/>
  <c r="W96" i="36"/>
  <c r="V96" i="36"/>
  <c r="U96" i="36"/>
  <c r="T96" i="36"/>
  <c r="DL95" i="36"/>
  <c r="DK95" i="36"/>
  <c r="DJ95" i="36"/>
  <c r="DI95" i="36"/>
  <c r="DH95" i="36"/>
  <c r="DG95" i="36"/>
  <c r="DF95" i="36"/>
  <c r="BS95" i="36"/>
  <c r="BR95" i="36"/>
  <c r="BQ95" i="36"/>
  <c r="BP95" i="36"/>
  <c r="BO95" i="36"/>
  <c r="BN95" i="36"/>
  <c r="BM95" i="36"/>
  <c r="Z95" i="36"/>
  <c r="Y95" i="36"/>
  <c r="X95" i="36"/>
  <c r="W95" i="36"/>
  <c r="V95" i="36"/>
  <c r="U95" i="36"/>
  <c r="T95" i="36"/>
  <c r="DL94" i="36"/>
  <c r="DK94" i="36"/>
  <c r="DJ94" i="36"/>
  <c r="DI94" i="36"/>
  <c r="DH94" i="36"/>
  <c r="DG94" i="36"/>
  <c r="DF94" i="36"/>
  <c r="BS94" i="36"/>
  <c r="BR94" i="36"/>
  <c r="BQ94" i="36"/>
  <c r="BP94" i="36"/>
  <c r="BO94" i="36"/>
  <c r="BN94" i="36"/>
  <c r="BM94" i="36"/>
  <c r="Z94" i="36"/>
  <c r="Y94" i="36"/>
  <c r="X94" i="36"/>
  <c r="W94" i="36"/>
  <c r="V94" i="36"/>
  <c r="U94" i="36"/>
  <c r="T94" i="36"/>
  <c r="DL93" i="36"/>
  <c r="DK93" i="36"/>
  <c r="DJ93" i="36"/>
  <c r="DI93" i="36"/>
  <c r="DH93" i="36"/>
  <c r="DG93" i="36"/>
  <c r="DF93" i="36"/>
  <c r="BS93" i="36"/>
  <c r="BR93" i="36"/>
  <c r="BQ93" i="36"/>
  <c r="BP93" i="36"/>
  <c r="BO93" i="36"/>
  <c r="BN93" i="36"/>
  <c r="BM93" i="36"/>
  <c r="Z93" i="36"/>
  <c r="Y93" i="36"/>
  <c r="X93" i="36"/>
  <c r="W93" i="36"/>
  <c r="V93" i="36"/>
  <c r="U93" i="36"/>
  <c r="T93" i="36"/>
  <c r="DL92" i="36"/>
  <c r="DK92" i="36"/>
  <c r="DJ92" i="36"/>
  <c r="DI92" i="36"/>
  <c r="DH92" i="36"/>
  <c r="DG92" i="36"/>
  <c r="DF92" i="36"/>
  <c r="BS92" i="36"/>
  <c r="BR92" i="36"/>
  <c r="BQ92" i="36"/>
  <c r="BP92" i="36"/>
  <c r="BO92" i="36"/>
  <c r="BN92" i="36"/>
  <c r="BM92" i="36"/>
  <c r="Z92" i="36"/>
  <c r="Y92" i="36"/>
  <c r="X92" i="36"/>
  <c r="W92" i="36"/>
  <c r="V92" i="36"/>
  <c r="U92" i="36"/>
  <c r="T92" i="36"/>
  <c r="DL91" i="36"/>
  <c r="DK91" i="36"/>
  <c r="DJ91" i="36"/>
  <c r="DI91" i="36"/>
  <c r="DH91" i="36"/>
  <c r="DG91" i="36"/>
  <c r="DF91" i="36"/>
  <c r="BS91" i="36"/>
  <c r="BR91" i="36"/>
  <c r="BQ91" i="36"/>
  <c r="BP91" i="36"/>
  <c r="BO91" i="36"/>
  <c r="BN91" i="36"/>
  <c r="BM91" i="36"/>
  <c r="Z91" i="36"/>
  <c r="Y91" i="36"/>
  <c r="X91" i="36"/>
  <c r="W91" i="36"/>
  <c r="V91" i="36"/>
  <c r="U91" i="36"/>
  <c r="T91" i="36"/>
  <c r="DL90" i="36"/>
  <c r="DK90" i="36"/>
  <c r="DJ90" i="36"/>
  <c r="DI90" i="36"/>
  <c r="DH90" i="36"/>
  <c r="DG90" i="36"/>
  <c r="DF90" i="36"/>
  <c r="BS90" i="36"/>
  <c r="BR90" i="36"/>
  <c r="BQ90" i="36"/>
  <c r="BP90" i="36"/>
  <c r="BO90" i="36"/>
  <c r="BN90" i="36"/>
  <c r="BM90" i="36"/>
  <c r="Z90" i="36"/>
  <c r="Y90" i="36"/>
  <c r="X90" i="36"/>
  <c r="W90" i="36"/>
  <c r="V90" i="36"/>
  <c r="U90" i="36"/>
  <c r="T90" i="36"/>
  <c r="DL89" i="36"/>
  <c r="DK89" i="36"/>
  <c r="DJ89" i="36"/>
  <c r="DI89" i="36"/>
  <c r="DH89" i="36"/>
  <c r="DG89" i="36"/>
  <c r="DF89" i="36"/>
  <c r="BS89" i="36"/>
  <c r="BR89" i="36"/>
  <c r="BQ89" i="36"/>
  <c r="BP89" i="36"/>
  <c r="BO89" i="36"/>
  <c r="BN89" i="36"/>
  <c r="BM89" i="36"/>
  <c r="Z89" i="36"/>
  <c r="Y89" i="36"/>
  <c r="X89" i="36"/>
  <c r="W89" i="36"/>
  <c r="V89" i="36"/>
  <c r="U89" i="36"/>
  <c r="T89" i="36"/>
  <c r="DL88" i="36"/>
  <c r="DK88" i="36"/>
  <c r="DJ88" i="36"/>
  <c r="DI88" i="36"/>
  <c r="DH88" i="36"/>
  <c r="DG88" i="36"/>
  <c r="DF88" i="36"/>
  <c r="BS88" i="36"/>
  <c r="BR88" i="36"/>
  <c r="BQ88" i="36"/>
  <c r="BP88" i="36"/>
  <c r="BO88" i="36"/>
  <c r="BN88" i="36"/>
  <c r="BM88" i="36"/>
  <c r="Z88" i="36"/>
  <c r="Y88" i="36"/>
  <c r="X88" i="36"/>
  <c r="W88" i="36"/>
  <c r="V88" i="36"/>
  <c r="U88" i="36"/>
  <c r="T88" i="36"/>
  <c r="DL87" i="36"/>
  <c r="DK87" i="36"/>
  <c r="DJ87" i="36"/>
  <c r="DI87" i="36"/>
  <c r="DH87" i="36"/>
  <c r="DG87" i="36"/>
  <c r="DF87" i="36"/>
  <c r="BS87" i="36"/>
  <c r="BR87" i="36"/>
  <c r="BQ87" i="36"/>
  <c r="BP87" i="36"/>
  <c r="BO87" i="36"/>
  <c r="BN87" i="36"/>
  <c r="BM87" i="36"/>
  <c r="Z87" i="36"/>
  <c r="Y87" i="36"/>
  <c r="X87" i="36"/>
  <c r="W87" i="36"/>
  <c r="V87" i="36"/>
  <c r="U87" i="36"/>
  <c r="T87" i="36"/>
  <c r="DL86" i="36"/>
  <c r="DK86" i="36"/>
  <c r="DJ86" i="36"/>
  <c r="DI86" i="36"/>
  <c r="DH86" i="36"/>
  <c r="DG86" i="36"/>
  <c r="DF86" i="36"/>
  <c r="BS86" i="36"/>
  <c r="BR86" i="36"/>
  <c r="BQ86" i="36"/>
  <c r="BP86" i="36"/>
  <c r="BO86" i="36"/>
  <c r="BN86" i="36"/>
  <c r="BM86" i="36"/>
  <c r="Z86" i="36"/>
  <c r="Y86" i="36"/>
  <c r="X86" i="36"/>
  <c r="W86" i="36"/>
  <c r="V86" i="36"/>
  <c r="U86" i="36"/>
  <c r="T86" i="36"/>
  <c r="DL85" i="36"/>
  <c r="DK85" i="36"/>
  <c r="DJ85" i="36"/>
  <c r="DI85" i="36"/>
  <c r="DH85" i="36"/>
  <c r="DG85" i="36"/>
  <c r="DF85" i="36"/>
  <c r="BS85" i="36"/>
  <c r="BR85" i="36"/>
  <c r="BQ85" i="36"/>
  <c r="BP85" i="36"/>
  <c r="BO85" i="36"/>
  <c r="BN85" i="36"/>
  <c r="BM85" i="36"/>
  <c r="Z85" i="36"/>
  <c r="Y85" i="36"/>
  <c r="X85" i="36"/>
  <c r="W85" i="36"/>
  <c r="V85" i="36"/>
  <c r="U85" i="36"/>
  <c r="T85" i="36"/>
  <c r="DL84" i="36"/>
  <c r="DK84" i="36"/>
  <c r="DJ84" i="36"/>
  <c r="DI84" i="36"/>
  <c r="DH84" i="36"/>
  <c r="DG84" i="36"/>
  <c r="DF84" i="36"/>
  <c r="BS84" i="36"/>
  <c r="BR84" i="36"/>
  <c r="BQ84" i="36"/>
  <c r="BP84" i="36"/>
  <c r="BO84" i="36"/>
  <c r="BN84" i="36"/>
  <c r="BM84" i="36"/>
  <c r="Z84" i="36"/>
  <c r="Y84" i="36"/>
  <c r="X84" i="36"/>
  <c r="W84" i="36"/>
  <c r="V84" i="36"/>
  <c r="U84" i="36"/>
  <c r="T84" i="36"/>
  <c r="DL83" i="36"/>
  <c r="DK83" i="36"/>
  <c r="DJ83" i="36"/>
  <c r="DI83" i="36"/>
  <c r="DH83" i="36"/>
  <c r="DG83" i="36"/>
  <c r="DF83" i="36"/>
  <c r="BS83" i="36"/>
  <c r="BR83" i="36"/>
  <c r="BQ83" i="36"/>
  <c r="BP83" i="36"/>
  <c r="BO83" i="36"/>
  <c r="BN83" i="36"/>
  <c r="BM83" i="36"/>
  <c r="Z83" i="36"/>
  <c r="Y83" i="36"/>
  <c r="X83" i="36"/>
  <c r="W83" i="36"/>
  <c r="V83" i="36"/>
  <c r="U83" i="36"/>
  <c r="T83" i="36"/>
  <c r="DL82" i="36"/>
  <c r="DK82" i="36"/>
  <c r="DJ82" i="36"/>
  <c r="DI82" i="36"/>
  <c r="DH82" i="36"/>
  <c r="DG82" i="36"/>
  <c r="DF82" i="36"/>
  <c r="BS82" i="36"/>
  <c r="BR82" i="36"/>
  <c r="BQ82" i="36"/>
  <c r="BP82" i="36"/>
  <c r="BO82" i="36"/>
  <c r="BN82" i="36"/>
  <c r="BM82" i="36"/>
  <c r="Z82" i="36"/>
  <c r="Y82" i="36"/>
  <c r="X82" i="36"/>
  <c r="W82" i="36"/>
  <c r="V82" i="36"/>
  <c r="U82" i="36"/>
  <c r="T82" i="36"/>
  <c r="DL81" i="36"/>
  <c r="DK81" i="36"/>
  <c r="DJ81" i="36"/>
  <c r="DI81" i="36"/>
  <c r="DH81" i="36"/>
  <c r="DG81" i="36"/>
  <c r="DF81" i="36"/>
  <c r="BS81" i="36"/>
  <c r="BR81" i="36"/>
  <c r="BQ81" i="36"/>
  <c r="BP81" i="36"/>
  <c r="BO81" i="36"/>
  <c r="BN81" i="36"/>
  <c r="BM81" i="36"/>
  <c r="Z81" i="36"/>
  <c r="Y81" i="36"/>
  <c r="X81" i="36"/>
  <c r="W81" i="36"/>
  <c r="V81" i="36"/>
  <c r="U81" i="36"/>
  <c r="T81" i="36"/>
  <c r="DL80" i="36"/>
  <c r="DK80" i="36"/>
  <c r="DJ80" i="36"/>
  <c r="DI80" i="36"/>
  <c r="DH80" i="36"/>
  <c r="DG80" i="36"/>
  <c r="DF80" i="36"/>
  <c r="BS80" i="36"/>
  <c r="BR80" i="36"/>
  <c r="BQ80" i="36"/>
  <c r="BP80" i="36"/>
  <c r="BO80" i="36"/>
  <c r="BN80" i="36"/>
  <c r="BM80" i="36"/>
  <c r="Z80" i="36"/>
  <c r="Y80" i="36"/>
  <c r="X80" i="36"/>
  <c r="W80" i="36"/>
  <c r="V80" i="36"/>
  <c r="U80" i="36"/>
  <c r="T80" i="36"/>
  <c r="DL79" i="36"/>
  <c r="DK79" i="36"/>
  <c r="DJ79" i="36"/>
  <c r="DI79" i="36"/>
  <c r="DH79" i="36"/>
  <c r="DG79" i="36"/>
  <c r="DF79" i="36"/>
  <c r="BS79" i="36"/>
  <c r="BR79" i="36"/>
  <c r="BQ79" i="36"/>
  <c r="BP79" i="36"/>
  <c r="BO79" i="36"/>
  <c r="BN79" i="36"/>
  <c r="BM79" i="36"/>
  <c r="Z79" i="36"/>
  <c r="Y79" i="36"/>
  <c r="X79" i="36"/>
  <c r="W79" i="36"/>
  <c r="V79" i="36"/>
  <c r="U79" i="36"/>
  <c r="T79" i="36"/>
  <c r="DL78" i="36"/>
  <c r="DK78" i="36"/>
  <c r="DJ78" i="36"/>
  <c r="DI78" i="36"/>
  <c r="DH78" i="36"/>
  <c r="DG78" i="36"/>
  <c r="DF78" i="36"/>
  <c r="BS78" i="36"/>
  <c r="BR78" i="36"/>
  <c r="BQ78" i="36"/>
  <c r="BP78" i="36"/>
  <c r="BO78" i="36"/>
  <c r="BN78" i="36"/>
  <c r="BM78" i="36"/>
  <c r="Z78" i="36"/>
  <c r="Y78" i="36"/>
  <c r="X78" i="36"/>
  <c r="W78" i="36"/>
  <c r="V78" i="36"/>
  <c r="U78" i="36"/>
  <c r="T78" i="36"/>
  <c r="DL77" i="36"/>
  <c r="DK77" i="36"/>
  <c r="DJ77" i="36"/>
  <c r="DI77" i="36"/>
  <c r="DH77" i="36"/>
  <c r="DG77" i="36"/>
  <c r="DF77" i="36"/>
  <c r="BS77" i="36"/>
  <c r="BR77" i="36"/>
  <c r="BQ77" i="36"/>
  <c r="BP77" i="36"/>
  <c r="BO77" i="36"/>
  <c r="BN77" i="36"/>
  <c r="BM77" i="36"/>
  <c r="Z77" i="36"/>
  <c r="Y77" i="36"/>
  <c r="X77" i="36"/>
  <c r="W77" i="36"/>
  <c r="V77" i="36"/>
  <c r="U77" i="36"/>
  <c r="T77" i="36"/>
  <c r="DL76" i="36"/>
  <c r="DK76" i="36"/>
  <c r="DJ76" i="36"/>
  <c r="DI76" i="36"/>
  <c r="DH76" i="36"/>
  <c r="DG76" i="36"/>
  <c r="DF76" i="36"/>
  <c r="BS76" i="36"/>
  <c r="BR76" i="36"/>
  <c r="BQ76" i="36"/>
  <c r="BP76" i="36"/>
  <c r="BO76" i="36"/>
  <c r="BN76" i="36"/>
  <c r="BM76" i="36"/>
  <c r="Z76" i="36"/>
  <c r="Y76" i="36"/>
  <c r="X76" i="36"/>
  <c r="W76" i="36"/>
  <c r="V76" i="36"/>
  <c r="U76" i="36"/>
  <c r="T76" i="36"/>
  <c r="DL75" i="36"/>
  <c r="DK75" i="36"/>
  <c r="DJ75" i="36"/>
  <c r="DI75" i="36"/>
  <c r="DH75" i="36"/>
  <c r="DG75" i="36"/>
  <c r="DF75" i="36"/>
  <c r="BS75" i="36"/>
  <c r="BR75" i="36"/>
  <c r="BQ75" i="36"/>
  <c r="BP75" i="36"/>
  <c r="BO75" i="36"/>
  <c r="BN75" i="36"/>
  <c r="BM75" i="36"/>
  <c r="Z75" i="36"/>
  <c r="Y75" i="36"/>
  <c r="X75" i="36"/>
  <c r="W75" i="36"/>
  <c r="V75" i="36"/>
  <c r="U75" i="36"/>
  <c r="T75" i="36"/>
  <c r="DL74" i="36"/>
  <c r="DK74" i="36"/>
  <c r="DJ74" i="36"/>
  <c r="DI74" i="36"/>
  <c r="DH74" i="36"/>
  <c r="DG74" i="36"/>
  <c r="DF74" i="36"/>
  <c r="BS74" i="36"/>
  <c r="BR74" i="36"/>
  <c r="BQ74" i="36"/>
  <c r="BP74" i="36"/>
  <c r="BO74" i="36"/>
  <c r="BN74" i="36"/>
  <c r="BM74" i="36"/>
  <c r="Z74" i="36"/>
  <c r="Y74" i="36"/>
  <c r="X74" i="36"/>
  <c r="W74" i="36"/>
  <c r="V74" i="36"/>
  <c r="U74" i="36"/>
  <c r="T74" i="36"/>
  <c r="DL73" i="36"/>
  <c r="DK73" i="36"/>
  <c r="DJ73" i="36"/>
  <c r="DI73" i="36"/>
  <c r="DH73" i="36"/>
  <c r="DG73" i="36"/>
  <c r="DF73" i="36"/>
  <c r="BS73" i="36"/>
  <c r="BR73" i="36"/>
  <c r="BQ73" i="36"/>
  <c r="BP73" i="36"/>
  <c r="BO73" i="36"/>
  <c r="BN73" i="36"/>
  <c r="BM73" i="36"/>
  <c r="Z73" i="36"/>
  <c r="Y73" i="36"/>
  <c r="X73" i="36"/>
  <c r="W73" i="36"/>
  <c r="V73" i="36"/>
  <c r="U73" i="36"/>
  <c r="T73" i="36"/>
  <c r="DL72" i="36"/>
  <c r="DK72" i="36"/>
  <c r="DJ72" i="36"/>
  <c r="DI72" i="36"/>
  <c r="DH72" i="36"/>
  <c r="DG72" i="36"/>
  <c r="DF72" i="36"/>
  <c r="BS72" i="36"/>
  <c r="BR72" i="36"/>
  <c r="BQ72" i="36"/>
  <c r="BP72" i="36"/>
  <c r="BO72" i="36"/>
  <c r="BN72" i="36"/>
  <c r="BM72" i="36"/>
  <c r="Z72" i="36"/>
  <c r="Y72" i="36"/>
  <c r="X72" i="36"/>
  <c r="W72" i="36"/>
  <c r="V72" i="36"/>
  <c r="U72" i="36"/>
  <c r="T72" i="36"/>
  <c r="DL71" i="36"/>
  <c r="DK71" i="36"/>
  <c r="DJ71" i="36"/>
  <c r="DI71" i="36"/>
  <c r="DH71" i="36"/>
  <c r="DG71" i="36"/>
  <c r="DF71" i="36"/>
  <c r="BS71" i="36"/>
  <c r="BR71" i="36"/>
  <c r="BQ71" i="36"/>
  <c r="BP71" i="36"/>
  <c r="BO71" i="36"/>
  <c r="BN71" i="36"/>
  <c r="BM71" i="36"/>
  <c r="Z71" i="36"/>
  <c r="Y71" i="36"/>
  <c r="X71" i="36"/>
  <c r="W71" i="36"/>
  <c r="V71" i="36"/>
  <c r="U71" i="36"/>
  <c r="T71" i="36"/>
  <c r="DL70" i="36"/>
  <c r="DK70" i="36"/>
  <c r="DJ70" i="36"/>
  <c r="DI70" i="36"/>
  <c r="DH70" i="36"/>
  <c r="DG70" i="36"/>
  <c r="DF70" i="36"/>
  <c r="BS70" i="36"/>
  <c r="BR70" i="36"/>
  <c r="BQ70" i="36"/>
  <c r="BP70" i="36"/>
  <c r="BO70" i="36"/>
  <c r="BN70" i="36"/>
  <c r="BM70" i="36"/>
  <c r="Z70" i="36"/>
  <c r="Y70" i="36"/>
  <c r="X70" i="36"/>
  <c r="W70" i="36"/>
  <c r="V70" i="36"/>
  <c r="U70" i="36"/>
  <c r="T70" i="36"/>
  <c r="DL69" i="36"/>
  <c r="DK69" i="36"/>
  <c r="DJ69" i="36"/>
  <c r="DI69" i="36"/>
  <c r="DH69" i="36"/>
  <c r="DG69" i="36"/>
  <c r="DF69" i="36"/>
  <c r="BS69" i="36"/>
  <c r="BR69" i="36"/>
  <c r="BQ69" i="36"/>
  <c r="BP69" i="36"/>
  <c r="BO69" i="36"/>
  <c r="BN69" i="36"/>
  <c r="BM69" i="36"/>
  <c r="Z69" i="36"/>
  <c r="Y69" i="36"/>
  <c r="X69" i="36"/>
  <c r="W69" i="36"/>
  <c r="V69" i="36"/>
  <c r="U69" i="36"/>
  <c r="T69" i="36"/>
  <c r="DL68" i="36"/>
  <c r="DK68" i="36"/>
  <c r="DJ68" i="36"/>
  <c r="DI68" i="36"/>
  <c r="DH68" i="36"/>
  <c r="DG68" i="36"/>
  <c r="DF68" i="36"/>
  <c r="BS68" i="36"/>
  <c r="BR68" i="36"/>
  <c r="BQ68" i="36"/>
  <c r="BP68" i="36"/>
  <c r="BO68" i="36"/>
  <c r="BN68" i="36"/>
  <c r="BM68" i="36"/>
  <c r="Z68" i="36"/>
  <c r="Y68" i="36"/>
  <c r="X68" i="36"/>
  <c r="W68" i="36"/>
  <c r="V68" i="36"/>
  <c r="U68" i="36"/>
  <c r="T68" i="36"/>
  <c r="DL67" i="36"/>
  <c r="DK67" i="36"/>
  <c r="DJ67" i="36"/>
  <c r="DI67" i="36"/>
  <c r="DH67" i="36"/>
  <c r="DG67" i="36"/>
  <c r="DF67" i="36"/>
  <c r="BS67" i="36"/>
  <c r="BR67" i="36"/>
  <c r="BQ67" i="36"/>
  <c r="BP67" i="36"/>
  <c r="BO67" i="36"/>
  <c r="BN67" i="36"/>
  <c r="BM67" i="36"/>
  <c r="Z67" i="36"/>
  <c r="Y67" i="36"/>
  <c r="X67" i="36"/>
  <c r="W67" i="36"/>
  <c r="V67" i="36"/>
  <c r="U67" i="36"/>
  <c r="T67" i="36"/>
  <c r="DL66" i="36"/>
  <c r="DK66" i="36"/>
  <c r="DJ66" i="36"/>
  <c r="DI66" i="36"/>
  <c r="DH66" i="36"/>
  <c r="DG66" i="36"/>
  <c r="DF66" i="36"/>
  <c r="BS66" i="36"/>
  <c r="BR66" i="36"/>
  <c r="BQ66" i="36"/>
  <c r="BP66" i="36"/>
  <c r="BO66" i="36"/>
  <c r="BN66" i="36"/>
  <c r="BM66" i="36"/>
  <c r="Z66" i="36"/>
  <c r="Y66" i="36"/>
  <c r="X66" i="36"/>
  <c r="W66" i="36"/>
  <c r="V66" i="36"/>
  <c r="U66" i="36"/>
  <c r="T66" i="36"/>
  <c r="DL65" i="36"/>
  <c r="DK65" i="36"/>
  <c r="DJ65" i="36"/>
  <c r="DI65" i="36"/>
  <c r="DH65" i="36"/>
  <c r="DG65" i="36"/>
  <c r="DF65" i="36"/>
  <c r="BS65" i="36"/>
  <c r="BR65" i="36"/>
  <c r="BQ65" i="36"/>
  <c r="BP65" i="36"/>
  <c r="BO65" i="36"/>
  <c r="BN65" i="36"/>
  <c r="BM65" i="36"/>
  <c r="Z65" i="36"/>
  <c r="Y65" i="36"/>
  <c r="X65" i="36"/>
  <c r="W65" i="36"/>
  <c r="V65" i="36"/>
  <c r="U65" i="36"/>
  <c r="T65" i="36"/>
  <c r="DL64" i="36"/>
  <c r="DK64" i="36"/>
  <c r="DJ64" i="36"/>
  <c r="DI64" i="36"/>
  <c r="DH64" i="36"/>
  <c r="DG64" i="36"/>
  <c r="DF64" i="36"/>
  <c r="BS64" i="36"/>
  <c r="BR64" i="36"/>
  <c r="BQ64" i="36"/>
  <c r="BP64" i="36"/>
  <c r="BO64" i="36"/>
  <c r="BN64" i="36"/>
  <c r="BM64" i="36"/>
  <c r="Z64" i="36"/>
  <c r="Y64" i="36"/>
  <c r="X64" i="36"/>
  <c r="W64" i="36"/>
  <c r="V64" i="36"/>
  <c r="U64" i="36"/>
  <c r="T64" i="36"/>
  <c r="DL63" i="36"/>
  <c r="DK63" i="36"/>
  <c r="DJ63" i="36"/>
  <c r="DI63" i="36"/>
  <c r="DH63" i="36"/>
  <c r="DG63" i="36"/>
  <c r="DF63" i="36"/>
  <c r="BS63" i="36"/>
  <c r="BR63" i="36"/>
  <c r="BQ63" i="36"/>
  <c r="BP63" i="36"/>
  <c r="BO63" i="36"/>
  <c r="BN63" i="36"/>
  <c r="BM63" i="36"/>
  <c r="Z63" i="36"/>
  <c r="Y63" i="36"/>
  <c r="X63" i="36"/>
  <c r="W63" i="36"/>
  <c r="V63" i="36"/>
  <c r="U63" i="36"/>
  <c r="T63" i="36"/>
  <c r="DL62" i="36"/>
  <c r="DK62" i="36"/>
  <c r="DJ62" i="36"/>
  <c r="DI62" i="36"/>
  <c r="DH62" i="36"/>
  <c r="DG62" i="36"/>
  <c r="DF62" i="36"/>
  <c r="BS62" i="36"/>
  <c r="BR62" i="36"/>
  <c r="BQ62" i="36"/>
  <c r="BP62" i="36"/>
  <c r="BO62" i="36"/>
  <c r="BN62" i="36"/>
  <c r="BM62" i="36"/>
  <c r="Z62" i="36"/>
  <c r="Y62" i="36"/>
  <c r="X62" i="36"/>
  <c r="W62" i="36"/>
  <c r="V62" i="36"/>
  <c r="U62" i="36"/>
  <c r="T62" i="36"/>
  <c r="DL61" i="36"/>
  <c r="DK61" i="36"/>
  <c r="DJ61" i="36"/>
  <c r="DI61" i="36"/>
  <c r="DH61" i="36"/>
  <c r="DG61" i="36"/>
  <c r="DF61" i="36"/>
  <c r="BS61" i="36"/>
  <c r="BR61" i="36"/>
  <c r="BQ61" i="36"/>
  <c r="BP61" i="36"/>
  <c r="BO61" i="36"/>
  <c r="BN61" i="36"/>
  <c r="BM61" i="36"/>
  <c r="Z61" i="36"/>
  <c r="Y61" i="36"/>
  <c r="X61" i="36"/>
  <c r="W61" i="36"/>
  <c r="V61" i="36"/>
  <c r="U61" i="36"/>
  <c r="T61" i="36"/>
  <c r="DL60" i="36"/>
  <c r="DK60" i="36"/>
  <c r="DJ60" i="36"/>
  <c r="DI60" i="36"/>
  <c r="DH60" i="36"/>
  <c r="DG60" i="36"/>
  <c r="DF60" i="36"/>
  <c r="BS60" i="36"/>
  <c r="BR60" i="36"/>
  <c r="BQ60" i="36"/>
  <c r="BP60" i="36"/>
  <c r="BO60" i="36"/>
  <c r="BN60" i="36"/>
  <c r="BM60" i="36"/>
  <c r="Z60" i="36"/>
  <c r="Y60" i="36"/>
  <c r="X60" i="36"/>
  <c r="W60" i="36"/>
  <c r="V60" i="36"/>
  <c r="U60" i="36"/>
  <c r="T60" i="36"/>
  <c r="DL59" i="36"/>
  <c r="DK59" i="36"/>
  <c r="DJ59" i="36"/>
  <c r="DI59" i="36"/>
  <c r="DH59" i="36"/>
  <c r="DG59" i="36"/>
  <c r="DF59" i="36"/>
  <c r="BS59" i="36"/>
  <c r="BR59" i="36"/>
  <c r="BQ59" i="36"/>
  <c r="BP59" i="36"/>
  <c r="BO59" i="36"/>
  <c r="BN59" i="36"/>
  <c r="BM59" i="36"/>
  <c r="Z59" i="36"/>
  <c r="Y59" i="36"/>
  <c r="X59" i="36"/>
  <c r="W59" i="36"/>
  <c r="V59" i="36"/>
  <c r="U59" i="36"/>
  <c r="T59" i="36"/>
  <c r="DL58" i="36"/>
  <c r="DK58" i="36"/>
  <c r="DJ58" i="36"/>
  <c r="DI58" i="36"/>
  <c r="DH58" i="36"/>
  <c r="DG58" i="36"/>
  <c r="DF58" i="36"/>
  <c r="BS58" i="36"/>
  <c r="BR58" i="36"/>
  <c r="BQ58" i="36"/>
  <c r="BP58" i="36"/>
  <c r="BO58" i="36"/>
  <c r="BN58" i="36"/>
  <c r="BM58" i="36"/>
  <c r="Z58" i="36"/>
  <c r="Y58" i="36"/>
  <c r="X58" i="36"/>
  <c r="W58" i="36"/>
  <c r="V58" i="36"/>
  <c r="U58" i="36"/>
  <c r="T58" i="36"/>
  <c r="DL57" i="36"/>
  <c r="DK57" i="36"/>
  <c r="DJ57" i="36"/>
  <c r="DI57" i="36"/>
  <c r="DH57" i="36"/>
  <c r="DG57" i="36"/>
  <c r="DF57" i="36"/>
  <c r="BS57" i="36"/>
  <c r="BR57" i="36"/>
  <c r="BQ57" i="36"/>
  <c r="BP57" i="36"/>
  <c r="BO57" i="36"/>
  <c r="BN57" i="36"/>
  <c r="BM57" i="36"/>
  <c r="Z57" i="36"/>
  <c r="Y57" i="36"/>
  <c r="X57" i="36"/>
  <c r="W57" i="36"/>
  <c r="V57" i="36"/>
  <c r="U57" i="36"/>
  <c r="T57" i="36"/>
  <c r="DL56" i="36"/>
  <c r="DK56" i="36"/>
  <c r="DJ56" i="36"/>
  <c r="DI56" i="36"/>
  <c r="DH56" i="36"/>
  <c r="DG56" i="36"/>
  <c r="DF56" i="36"/>
  <c r="BS56" i="36"/>
  <c r="BR56" i="36"/>
  <c r="BQ56" i="36"/>
  <c r="BP56" i="36"/>
  <c r="BO56" i="36"/>
  <c r="BN56" i="36"/>
  <c r="BM56" i="36"/>
  <c r="Z56" i="36"/>
  <c r="Y56" i="36"/>
  <c r="X56" i="36"/>
  <c r="W56" i="36"/>
  <c r="V56" i="36"/>
  <c r="U56" i="36"/>
  <c r="T56" i="36"/>
  <c r="DL55" i="36"/>
  <c r="DK55" i="36"/>
  <c r="DJ55" i="36"/>
  <c r="DI55" i="36"/>
  <c r="DH55" i="36"/>
  <c r="DG55" i="36"/>
  <c r="DF55" i="36"/>
  <c r="BS55" i="36"/>
  <c r="BR55" i="36"/>
  <c r="BQ55" i="36"/>
  <c r="BP55" i="36"/>
  <c r="BO55" i="36"/>
  <c r="BN55" i="36"/>
  <c r="BM55" i="36"/>
  <c r="Z55" i="36"/>
  <c r="Y55" i="36"/>
  <c r="X55" i="36"/>
  <c r="W55" i="36"/>
  <c r="V55" i="36"/>
  <c r="U55" i="36"/>
  <c r="T55" i="36"/>
  <c r="DL54" i="36"/>
  <c r="DK54" i="36"/>
  <c r="DJ54" i="36"/>
  <c r="DI54" i="36"/>
  <c r="DH54" i="36"/>
  <c r="DG54" i="36"/>
  <c r="DF54" i="36"/>
  <c r="BS54" i="36"/>
  <c r="BR54" i="36"/>
  <c r="BQ54" i="36"/>
  <c r="BP54" i="36"/>
  <c r="BO54" i="36"/>
  <c r="BN54" i="36"/>
  <c r="BM54" i="36"/>
  <c r="Z54" i="36"/>
  <c r="Y54" i="36"/>
  <c r="X54" i="36"/>
  <c r="W54" i="36"/>
  <c r="V54" i="36"/>
  <c r="U54" i="36"/>
  <c r="T54" i="36"/>
  <c r="DL53" i="36"/>
  <c r="DK53" i="36"/>
  <c r="DJ53" i="36"/>
  <c r="DI53" i="36"/>
  <c r="DH53" i="36"/>
  <c r="DG53" i="36"/>
  <c r="DF53" i="36"/>
  <c r="BS53" i="36"/>
  <c r="BR53" i="36"/>
  <c r="BQ53" i="36"/>
  <c r="BP53" i="36"/>
  <c r="BO53" i="36"/>
  <c r="BN53" i="36"/>
  <c r="BM53" i="36"/>
  <c r="Z53" i="36"/>
  <c r="Y53" i="36"/>
  <c r="X53" i="36"/>
  <c r="W53" i="36"/>
  <c r="V53" i="36"/>
  <c r="U53" i="36"/>
  <c r="T53" i="36"/>
  <c r="DL52" i="36"/>
  <c r="DK52" i="36"/>
  <c r="DJ52" i="36"/>
  <c r="DI52" i="36"/>
  <c r="DH52" i="36"/>
  <c r="DG52" i="36"/>
  <c r="DF52" i="36"/>
  <c r="BS52" i="36"/>
  <c r="BR52" i="36"/>
  <c r="BQ52" i="36"/>
  <c r="BP52" i="36"/>
  <c r="BO52" i="36"/>
  <c r="BN52" i="36"/>
  <c r="BM52" i="36"/>
  <c r="Z52" i="36"/>
  <c r="Y52" i="36"/>
  <c r="X52" i="36"/>
  <c r="W52" i="36"/>
  <c r="V52" i="36"/>
  <c r="U52" i="36"/>
  <c r="T52" i="36"/>
  <c r="DL51" i="36"/>
  <c r="DK51" i="36"/>
  <c r="DJ51" i="36"/>
  <c r="DI51" i="36"/>
  <c r="DH51" i="36"/>
  <c r="DG51" i="36"/>
  <c r="DF51" i="36"/>
  <c r="BS51" i="36"/>
  <c r="BR51" i="36"/>
  <c r="BQ51" i="36"/>
  <c r="BP51" i="36"/>
  <c r="BO51" i="36"/>
  <c r="BN51" i="36"/>
  <c r="BM51" i="36"/>
  <c r="Z51" i="36"/>
  <c r="Y51" i="36"/>
  <c r="X51" i="36"/>
  <c r="W51" i="36"/>
  <c r="V51" i="36"/>
  <c r="U51" i="36"/>
  <c r="T51" i="36"/>
  <c r="DL50" i="36"/>
  <c r="DK50" i="36"/>
  <c r="DJ50" i="36"/>
  <c r="DI50" i="36"/>
  <c r="DH50" i="36"/>
  <c r="DG50" i="36"/>
  <c r="DF50" i="36"/>
  <c r="BS50" i="36"/>
  <c r="BR50" i="36"/>
  <c r="BQ50" i="36"/>
  <c r="BP50" i="36"/>
  <c r="BO50" i="36"/>
  <c r="BN50" i="36"/>
  <c r="BM50" i="36"/>
  <c r="Z50" i="36"/>
  <c r="Y50" i="36"/>
  <c r="X50" i="36"/>
  <c r="W50" i="36"/>
  <c r="V50" i="36"/>
  <c r="U50" i="36"/>
  <c r="T50" i="36"/>
  <c r="DL49" i="36"/>
  <c r="DK49" i="36"/>
  <c r="DJ49" i="36"/>
  <c r="DI49" i="36"/>
  <c r="DH49" i="36"/>
  <c r="DG49" i="36"/>
  <c r="DF49" i="36"/>
  <c r="BS49" i="36"/>
  <c r="BR49" i="36"/>
  <c r="BQ49" i="36"/>
  <c r="BP49" i="36"/>
  <c r="BO49" i="36"/>
  <c r="BN49" i="36"/>
  <c r="BM49" i="36"/>
  <c r="Z49" i="36"/>
  <c r="Y49" i="36"/>
  <c r="X49" i="36"/>
  <c r="W49" i="36"/>
  <c r="V49" i="36"/>
  <c r="U49" i="36"/>
  <c r="T49" i="36"/>
  <c r="DL48" i="36"/>
  <c r="DK48" i="36"/>
  <c r="DJ48" i="36"/>
  <c r="DI48" i="36"/>
  <c r="DH48" i="36"/>
  <c r="DG48" i="36"/>
  <c r="DF48" i="36"/>
  <c r="BS48" i="36"/>
  <c r="BR48" i="36"/>
  <c r="BQ48" i="36"/>
  <c r="BP48" i="36"/>
  <c r="BO48" i="36"/>
  <c r="BN48" i="36"/>
  <c r="BM48" i="36"/>
  <c r="Z48" i="36"/>
  <c r="Y48" i="36"/>
  <c r="X48" i="36"/>
  <c r="W48" i="36"/>
  <c r="V48" i="36"/>
  <c r="U48" i="36"/>
  <c r="T48" i="36"/>
  <c r="DL47" i="36"/>
  <c r="DK47" i="36"/>
  <c r="DJ47" i="36"/>
  <c r="DI47" i="36"/>
  <c r="DH47" i="36"/>
  <c r="DG47" i="36"/>
  <c r="DF47" i="36"/>
  <c r="BS47" i="36"/>
  <c r="BR47" i="36"/>
  <c r="BQ47" i="36"/>
  <c r="BP47" i="36"/>
  <c r="BO47" i="36"/>
  <c r="BN47" i="36"/>
  <c r="BM47" i="36"/>
  <c r="Z47" i="36"/>
  <c r="Y47" i="36"/>
  <c r="X47" i="36"/>
  <c r="W47" i="36"/>
  <c r="V47" i="36"/>
  <c r="U47" i="36"/>
  <c r="T47" i="36"/>
  <c r="DL46" i="36"/>
  <c r="DK46" i="36"/>
  <c r="DJ46" i="36"/>
  <c r="DI46" i="36"/>
  <c r="DH46" i="36"/>
  <c r="DG46" i="36"/>
  <c r="DF46" i="36"/>
  <c r="BS46" i="36"/>
  <c r="BR46" i="36"/>
  <c r="BQ46" i="36"/>
  <c r="BP46" i="36"/>
  <c r="BO46" i="36"/>
  <c r="BN46" i="36"/>
  <c r="BM46" i="36"/>
  <c r="Z46" i="36"/>
  <c r="Y46" i="36"/>
  <c r="X46" i="36"/>
  <c r="W46" i="36"/>
  <c r="V46" i="36"/>
  <c r="U46" i="36"/>
  <c r="T46" i="36"/>
  <c r="DL45" i="36"/>
  <c r="DK45" i="36"/>
  <c r="DJ45" i="36"/>
  <c r="DI45" i="36"/>
  <c r="DH45" i="36"/>
  <c r="DG45" i="36"/>
  <c r="DF45" i="36"/>
  <c r="BS45" i="36"/>
  <c r="BR45" i="36"/>
  <c r="BQ45" i="36"/>
  <c r="BP45" i="36"/>
  <c r="BO45" i="36"/>
  <c r="BN45" i="36"/>
  <c r="BM45" i="36"/>
  <c r="Z45" i="36"/>
  <c r="Y45" i="36"/>
  <c r="X45" i="36"/>
  <c r="W45" i="36"/>
  <c r="V45" i="36"/>
  <c r="U45" i="36"/>
  <c r="T45" i="36"/>
  <c r="DL44" i="36"/>
  <c r="DK44" i="36"/>
  <c r="DJ44" i="36"/>
  <c r="DI44" i="36"/>
  <c r="DH44" i="36"/>
  <c r="DG44" i="36"/>
  <c r="DF44" i="36"/>
  <c r="BS44" i="36"/>
  <c r="BR44" i="36"/>
  <c r="BQ44" i="36"/>
  <c r="BP44" i="36"/>
  <c r="BO44" i="36"/>
  <c r="BN44" i="36"/>
  <c r="BM44" i="36"/>
  <c r="Z44" i="36"/>
  <c r="Y44" i="36"/>
  <c r="X44" i="36"/>
  <c r="W44" i="36"/>
  <c r="V44" i="36"/>
  <c r="U44" i="36"/>
  <c r="T44" i="36"/>
  <c r="DL43" i="36"/>
  <c r="DK43" i="36"/>
  <c r="DJ43" i="36"/>
  <c r="DI43" i="36"/>
  <c r="DH43" i="36"/>
  <c r="DG43" i="36"/>
  <c r="DF43" i="36"/>
  <c r="BS43" i="36"/>
  <c r="BR43" i="36"/>
  <c r="BQ43" i="36"/>
  <c r="BP43" i="36"/>
  <c r="BO43" i="36"/>
  <c r="BN43" i="36"/>
  <c r="BM43" i="36"/>
  <c r="Z43" i="36"/>
  <c r="Y43" i="36"/>
  <c r="X43" i="36"/>
  <c r="W43" i="36"/>
  <c r="V43" i="36"/>
  <c r="U43" i="36"/>
  <c r="T43" i="36"/>
  <c r="DL42" i="36"/>
  <c r="DK42" i="36"/>
  <c r="DJ42" i="36"/>
  <c r="DI42" i="36"/>
  <c r="DH42" i="36"/>
  <c r="DG42" i="36"/>
  <c r="DF42" i="36"/>
  <c r="BS42" i="36"/>
  <c r="BR42" i="36"/>
  <c r="BQ42" i="36"/>
  <c r="BP42" i="36"/>
  <c r="BO42" i="36"/>
  <c r="BN42" i="36"/>
  <c r="BM42" i="36"/>
  <c r="Z42" i="36"/>
  <c r="Y42" i="36"/>
  <c r="X42" i="36"/>
  <c r="W42" i="36"/>
  <c r="V42" i="36"/>
  <c r="U42" i="36"/>
  <c r="T42" i="36"/>
  <c r="DL41" i="36"/>
  <c r="DK41" i="36"/>
  <c r="DJ41" i="36"/>
  <c r="DI41" i="36"/>
  <c r="DH41" i="36"/>
  <c r="DG41" i="36"/>
  <c r="DF41" i="36"/>
  <c r="BS41" i="36"/>
  <c r="BR41" i="36"/>
  <c r="BQ41" i="36"/>
  <c r="BP41" i="36"/>
  <c r="BO41" i="36"/>
  <c r="BN41" i="36"/>
  <c r="BM41" i="36"/>
  <c r="Z41" i="36"/>
  <c r="Y41" i="36"/>
  <c r="X41" i="36"/>
  <c r="W41" i="36"/>
  <c r="V41" i="36"/>
  <c r="U41" i="36"/>
  <c r="T41" i="36"/>
  <c r="DL40" i="36"/>
  <c r="DK40" i="36"/>
  <c r="DJ40" i="36"/>
  <c r="DI40" i="36"/>
  <c r="DH40" i="36"/>
  <c r="DG40" i="36"/>
  <c r="DF40" i="36"/>
  <c r="BS40" i="36"/>
  <c r="BR40" i="36"/>
  <c r="BQ40" i="36"/>
  <c r="BP40" i="36"/>
  <c r="BO40" i="36"/>
  <c r="BN40" i="36"/>
  <c r="BM40" i="36"/>
  <c r="Z40" i="36"/>
  <c r="Y40" i="36"/>
  <c r="X40" i="36"/>
  <c r="W40" i="36"/>
  <c r="V40" i="36"/>
  <c r="U40" i="36"/>
  <c r="T40" i="36"/>
  <c r="DL39" i="36"/>
  <c r="DK39" i="36"/>
  <c r="DJ39" i="36"/>
  <c r="DI39" i="36"/>
  <c r="DH39" i="36"/>
  <c r="DG39" i="36"/>
  <c r="DF39" i="36"/>
  <c r="BS39" i="36"/>
  <c r="BR39" i="36"/>
  <c r="BQ39" i="36"/>
  <c r="BP39" i="36"/>
  <c r="BO39" i="36"/>
  <c r="BN39" i="36"/>
  <c r="BM39" i="36"/>
  <c r="Z39" i="36"/>
  <c r="Y39" i="36"/>
  <c r="X39" i="36"/>
  <c r="W39" i="36"/>
  <c r="V39" i="36"/>
  <c r="U39" i="36"/>
  <c r="T39" i="36"/>
  <c r="DL38" i="36"/>
  <c r="DK38" i="36"/>
  <c r="DJ38" i="36"/>
  <c r="DI38" i="36"/>
  <c r="DH38" i="36"/>
  <c r="DG38" i="36"/>
  <c r="DF38" i="36"/>
  <c r="BS38" i="36"/>
  <c r="BR38" i="36"/>
  <c r="BQ38" i="36"/>
  <c r="BP38" i="36"/>
  <c r="BO38" i="36"/>
  <c r="BN38" i="36"/>
  <c r="BM38" i="36"/>
  <c r="Z38" i="36"/>
  <c r="Y38" i="36"/>
  <c r="X38" i="36"/>
  <c r="W38" i="36"/>
  <c r="V38" i="36"/>
  <c r="U38" i="36"/>
  <c r="T38" i="36"/>
  <c r="DL37" i="36"/>
  <c r="DK37" i="36"/>
  <c r="DJ37" i="36"/>
  <c r="DI37" i="36"/>
  <c r="DH37" i="36"/>
  <c r="DG37" i="36"/>
  <c r="DF37" i="36"/>
  <c r="BS37" i="36"/>
  <c r="BR37" i="36"/>
  <c r="BQ37" i="36"/>
  <c r="BP37" i="36"/>
  <c r="BO37" i="36"/>
  <c r="BN37" i="36"/>
  <c r="BM37" i="36"/>
  <c r="Z37" i="36"/>
  <c r="Y37" i="36"/>
  <c r="X37" i="36"/>
  <c r="W37" i="36"/>
  <c r="V37" i="36"/>
  <c r="U37" i="36"/>
  <c r="T37" i="36"/>
  <c r="DL36" i="36"/>
  <c r="DK36" i="36"/>
  <c r="DJ36" i="36"/>
  <c r="DI36" i="36"/>
  <c r="DH36" i="36"/>
  <c r="DG36" i="36"/>
  <c r="DF36" i="36"/>
  <c r="BS36" i="36"/>
  <c r="BR36" i="36"/>
  <c r="BQ36" i="36"/>
  <c r="BP36" i="36"/>
  <c r="BO36" i="36"/>
  <c r="BN36" i="36"/>
  <c r="BM36" i="36"/>
  <c r="Z36" i="36"/>
  <c r="Y36" i="36"/>
  <c r="X36" i="36"/>
  <c r="W36" i="36"/>
  <c r="V36" i="36"/>
  <c r="U36" i="36"/>
  <c r="T36" i="36"/>
  <c r="DL35" i="36"/>
  <c r="DK35" i="36"/>
  <c r="DJ35" i="36"/>
  <c r="DI35" i="36"/>
  <c r="DH35" i="36"/>
  <c r="DG35" i="36"/>
  <c r="DF35" i="36"/>
  <c r="BS35" i="36"/>
  <c r="BR35" i="36"/>
  <c r="BQ35" i="36"/>
  <c r="BP35" i="36"/>
  <c r="BO35" i="36"/>
  <c r="BN35" i="36"/>
  <c r="BM35" i="36"/>
  <c r="Z35" i="36"/>
  <c r="Y35" i="36"/>
  <c r="X35" i="36"/>
  <c r="W35" i="36"/>
  <c r="V35" i="36"/>
  <c r="U35" i="36"/>
  <c r="T35" i="36"/>
  <c r="DL34" i="36"/>
  <c r="DK34" i="36"/>
  <c r="DJ34" i="36"/>
  <c r="DI34" i="36"/>
  <c r="DH34" i="36"/>
  <c r="DG34" i="36"/>
  <c r="DF34" i="36"/>
  <c r="BS34" i="36"/>
  <c r="BR34" i="36"/>
  <c r="BQ34" i="36"/>
  <c r="BP34" i="36"/>
  <c r="BO34" i="36"/>
  <c r="BN34" i="36"/>
  <c r="BM34" i="36"/>
  <c r="Z34" i="36"/>
  <c r="Y34" i="36"/>
  <c r="X34" i="36"/>
  <c r="W34" i="36"/>
  <c r="V34" i="36"/>
  <c r="U34" i="36"/>
  <c r="T34" i="36"/>
  <c r="DL33" i="36"/>
  <c r="DK33" i="36"/>
  <c r="DJ33" i="36"/>
  <c r="DI33" i="36"/>
  <c r="DH33" i="36"/>
  <c r="DG33" i="36"/>
  <c r="DF33" i="36"/>
  <c r="BS33" i="36"/>
  <c r="BR33" i="36"/>
  <c r="BQ33" i="36"/>
  <c r="BP33" i="36"/>
  <c r="BO33" i="36"/>
  <c r="BN33" i="36"/>
  <c r="BM33" i="36"/>
  <c r="Z33" i="36"/>
  <c r="Y33" i="36"/>
  <c r="X33" i="36"/>
  <c r="W33" i="36"/>
  <c r="V33" i="36"/>
  <c r="U33" i="36"/>
  <c r="T33" i="36"/>
  <c r="DL32" i="36"/>
  <c r="DK32" i="36"/>
  <c r="DJ32" i="36"/>
  <c r="DI32" i="36"/>
  <c r="DH32" i="36"/>
  <c r="DG32" i="36"/>
  <c r="DF32" i="36"/>
  <c r="BS32" i="36"/>
  <c r="BR32" i="36"/>
  <c r="BQ32" i="36"/>
  <c r="BP32" i="36"/>
  <c r="BO32" i="36"/>
  <c r="BN32" i="36"/>
  <c r="BM32" i="36"/>
  <c r="Z32" i="36"/>
  <c r="Y32" i="36"/>
  <c r="X32" i="36"/>
  <c r="W32" i="36"/>
  <c r="V32" i="36"/>
  <c r="U32" i="36"/>
  <c r="T32" i="36"/>
  <c r="DL31" i="36"/>
  <c r="DK31" i="36"/>
  <c r="DJ31" i="36"/>
  <c r="DI31" i="36"/>
  <c r="DH31" i="36"/>
  <c r="DG31" i="36"/>
  <c r="DF31" i="36"/>
  <c r="BS31" i="36"/>
  <c r="BR31" i="36"/>
  <c r="BQ31" i="36"/>
  <c r="BP31" i="36"/>
  <c r="BO31" i="36"/>
  <c r="BN31" i="36"/>
  <c r="BM31" i="36"/>
  <c r="Z31" i="36"/>
  <c r="Y31" i="36"/>
  <c r="X31" i="36"/>
  <c r="W31" i="36"/>
  <c r="V31" i="36"/>
  <c r="U31" i="36"/>
  <c r="T31" i="36"/>
  <c r="DL30" i="36"/>
  <c r="DK30" i="36"/>
  <c r="DJ30" i="36"/>
  <c r="DI30" i="36"/>
  <c r="DH30" i="36"/>
  <c r="DG30" i="36"/>
  <c r="DF30" i="36"/>
  <c r="BS30" i="36"/>
  <c r="BR30" i="36"/>
  <c r="BQ30" i="36"/>
  <c r="BP30" i="36"/>
  <c r="BO30" i="36"/>
  <c r="BN30" i="36"/>
  <c r="BM30" i="36"/>
  <c r="Z30" i="36"/>
  <c r="Y30" i="36"/>
  <c r="X30" i="36"/>
  <c r="W30" i="36"/>
  <c r="V30" i="36"/>
  <c r="U30" i="36"/>
  <c r="T30" i="36"/>
  <c r="DL29" i="36"/>
  <c r="DK29" i="36"/>
  <c r="DJ29" i="36"/>
  <c r="DI29" i="36"/>
  <c r="DH29" i="36"/>
  <c r="DG29" i="36"/>
  <c r="DF29" i="36"/>
  <c r="CT29" i="36"/>
  <c r="CS29" i="36"/>
  <c r="CR29" i="36"/>
  <c r="CQ29" i="36"/>
  <c r="CP29" i="36"/>
  <c r="CO29" i="36"/>
  <c r="CN29" i="36"/>
  <c r="BS29" i="36"/>
  <c r="BR29" i="36"/>
  <c r="BQ29" i="36"/>
  <c r="BP29" i="36"/>
  <c r="BO29" i="36"/>
  <c r="BN29" i="36"/>
  <c r="BM29" i="36"/>
  <c r="BA29" i="36"/>
  <c r="AZ29" i="36"/>
  <c r="AY29" i="36"/>
  <c r="AX29" i="36"/>
  <c r="AW29" i="36"/>
  <c r="AV29" i="36"/>
  <c r="AU29" i="36"/>
  <c r="Z29" i="36"/>
  <c r="Y29" i="36"/>
  <c r="X29" i="36"/>
  <c r="W29" i="36"/>
  <c r="V29" i="36"/>
  <c r="U29" i="36"/>
  <c r="T29" i="36"/>
  <c r="H29" i="36"/>
  <c r="G29" i="36"/>
  <c r="F29" i="36"/>
  <c r="E29" i="36"/>
  <c r="D29" i="36"/>
  <c r="C29" i="36"/>
  <c r="B29" i="36"/>
  <c r="DL28" i="36"/>
  <c r="DK28" i="36"/>
  <c r="DJ28" i="36"/>
  <c r="DI28" i="36"/>
  <c r="DH28" i="36"/>
  <c r="DG28" i="36"/>
  <c r="DF28" i="36"/>
  <c r="CT28" i="36"/>
  <c r="CS28" i="36"/>
  <c r="CR28" i="36"/>
  <c r="CQ28" i="36"/>
  <c r="CP28" i="36"/>
  <c r="CO28" i="36"/>
  <c r="CN28" i="36"/>
  <c r="BS28" i="36"/>
  <c r="BR28" i="36"/>
  <c r="BQ28" i="36"/>
  <c r="BP28" i="36"/>
  <c r="BO28" i="36"/>
  <c r="BN28" i="36"/>
  <c r="BM28" i="36"/>
  <c r="BA28" i="36"/>
  <c r="AZ28" i="36"/>
  <c r="AY28" i="36"/>
  <c r="AX28" i="36"/>
  <c r="AW28" i="36"/>
  <c r="AV28" i="36"/>
  <c r="AU28" i="36"/>
  <c r="Z28" i="36"/>
  <c r="Y28" i="36"/>
  <c r="X28" i="36"/>
  <c r="W28" i="36"/>
  <c r="V28" i="36"/>
  <c r="U28" i="36"/>
  <c r="T28" i="36"/>
  <c r="H28" i="36"/>
  <c r="G28" i="36"/>
  <c r="F28" i="36"/>
  <c r="E28" i="36"/>
  <c r="D28" i="36"/>
  <c r="C28" i="36"/>
  <c r="B28" i="36"/>
  <c r="DL27" i="36"/>
  <c r="DK27" i="36"/>
  <c r="DJ27" i="36"/>
  <c r="DI27" i="36"/>
  <c r="DH27" i="36"/>
  <c r="DG27" i="36"/>
  <c r="DF27" i="36"/>
  <c r="CT27" i="36"/>
  <c r="CS27" i="36"/>
  <c r="CR27" i="36"/>
  <c r="CQ27" i="36"/>
  <c r="CP27" i="36"/>
  <c r="CO27" i="36"/>
  <c r="CN27" i="36"/>
  <c r="BS27" i="36"/>
  <c r="BR27" i="36"/>
  <c r="BQ27" i="36"/>
  <c r="BP27" i="36"/>
  <c r="BO27" i="36"/>
  <c r="BN27" i="36"/>
  <c r="BM27" i="36"/>
  <c r="BA27" i="36"/>
  <c r="AZ27" i="36"/>
  <c r="AY27" i="36"/>
  <c r="AX27" i="36"/>
  <c r="AW27" i="36"/>
  <c r="AV27" i="36"/>
  <c r="AU27" i="36"/>
  <c r="Z27" i="36"/>
  <c r="Y27" i="36"/>
  <c r="X27" i="36"/>
  <c r="W27" i="36"/>
  <c r="V27" i="36"/>
  <c r="U27" i="36"/>
  <c r="T27" i="36"/>
  <c r="H27" i="36"/>
  <c r="G27" i="36"/>
  <c r="F27" i="36"/>
  <c r="E27" i="36"/>
  <c r="D27" i="36"/>
  <c r="C27" i="36"/>
  <c r="B27" i="36"/>
  <c r="DL26" i="36"/>
  <c r="DK26" i="36"/>
  <c r="DJ26" i="36"/>
  <c r="DI26" i="36"/>
  <c r="DH26" i="36"/>
  <c r="DG26" i="36"/>
  <c r="DF26" i="36"/>
  <c r="CT26" i="36"/>
  <c r="CS26" i="36"/>
  <c r="CR26" i="36"/>
  <c r="CQ26" i="36"/>
  <c r="CP26" i="36"/>
  <c r="CO26" i="36"/>
  <c r="CN26" i="36"/>
  <c r="BS26" i="36"/>
  <c r="BR26" i="36"/>
  <c r="BQ26" i="36"/>
  <c r="BP26" i="36"/>
  <c r="BO26" i="36"/>
  <c r="BN26" i="36"/>
  <c r="BM26" i="36"/>
  <c r="BA26" i="36"/>
  <c r="AZ26" i="36"/>
  <c r="AY26" i="36"/>
  <c r="AX26" i="36"/>
  <c r="AW26" i="36"/>
  <c r="AV26" i="36"/>
  <c r="AU26" i="36"/>
  <c r="Z26" i="36"/>
  <c r="Y26" i="36"/>
  <c r="X26" i="36"/>
  <c r="W26" i="36"/>
  <c r="V26" i="36"/>
  <c r="U26" i="36"/>
  <c r="T26" i="36"/>
  <c r="H26" i="36"/>
  <c r="G26" i="36"/>
  <c r="F26" i="36"/>
  <c r="E26" i="36"/>
  <c r="D26" i="36"/>
  <c r="C26" i="36"/>
  <c r="B26" i="36"/>
  <c r="DL25" i="36"/>
  <c r="DK25" i="36"/>
  <c r="DJ25" i="36"/>
  <c r="DI25" i="36"/>
  <c r="DH25" i="36"/>
  <c r="DG25" i="36"/>
  <c r="DF25" i="36"/>
  <c r="CT25" i="36"/>
  <c r="CS25" i="36"/>
  <c r="CR25" i="36"/>
  <c r="CQ25" i="36"/>
  <c r="CP25" i="36"/>
  <c r="CO25" i="36"/>
  <c r="CN25" i="36"/>
  <c r="BS25" i="36"/>
  <c r="BR25" i="36"/>
  <c r="BQ25" i="36"/>
  <c r="BP25" i="36"/>
  <c r="BO25" i="36"/>
  <c r="BN25" i="36"/>
  <c r="BM25" i="36"/>
  <c r="BA25" i="36"/>
  <c r="AZ25" i="36"/>
  <c r="AY25" i="36"/>
  <c r="AX25" i="36"/>
  <c r="AW25" i="36"/>
  <c r="AV25" i="36"/>
  <c r="AU25" i="36"/>
  <c r="Z25" i="36"/>
  <c r="Y25" i="36"/>
  <c r="X25" i="36"/>
  <c r="W25" i="36"/>
  <c r="V25" i="36"/>
  <c r="U25" i="36"/>
  <c r="T25" i="36"/>
  <c r="H25" i="36"/>
  <c r="G25" i="36"/>
  <c r="F25" i="36"/>
  <c r="E25" i="36"/>
  <c r="D25" i="36"/>
  <c r="C25" i="36"/>
  <c r="B25" i="36"/>
  <c r="DL24" i="36"/>
  <c r="DK24" i="36"/>
  <c r="DJ24" i="36"/>
  <c r="DI24" i="36"/>
  <c r="DH24" i="36"/>
  <c r="DG24" i="36"/>
  <c r="DF24" i="36"/>
  <c r="CT24" i="36"/>
  <c r="CS24" i="36"/>
  <c r="CR24" i="36"/>
  <c r="CQ24" i="36"/>
  <c r="CP24" i="36"/>
  <c r="CO24" i="36"/>
  <c r="CN24" i="36"/>
  <c r="BS24" i="36"/>
  <c r="BR24" i="36"/>
  <c r="BQ24" i="36"/>
  <c r="BP24" i="36"/>
  <c r="BO24" i="36"/>
  <c r="BN24" i="36"/>
  <c r="BM24" i="36"/>
  <c r="BA24" i="36"/>
  <c r="AZ24" i="36"/>
  <c r="AY24" i="36"/>
  <c r="AX24" i="36"/>
  <c r="AW24" i="36"/>
  <c r="AV24" i="36"/>
  <c r="AU24" i="36"/>
  <c r="Z24" i="36"/>
  <c r="Y24" i="36"/>
  <c r="X24" i="36"/>
  <c r="W24" i="36"/>
  <c r="V24" i="36"/>
  <c r="U24" i="36"/>
  <c r="T24" i="36"/>
  <c r="H24" i="36"/>
  <c r="G24" i="36"/>
  <c r="F24" i="36"/>
  <c r="E24" i="36"/>
  <c r="D24" i="36"/>
  <c r="C24" i="36"/>
  <c r="B24" i="36"/>
  <c r="DL23" i="36"/>
  <c r="DK23" i="36"/>
  <c r="DJ23" i="36"/>
  <c r="DI23" i="36"/>
  <c r="DH23" i="36"/>
  <c r="DG23" i="36"/>
  <c r="DF23" i="36"/>
  <c r="CT23" i="36"/>
  <c r="CS23" i="36"/>
  <c r="CR23" i="36"/>
  <c r="CQ23" i="36"/>
  <c r="CP23" i="36"/>
  <c r="CO23" i="36"/>
  <c r="CN23" i="36"/>
  <c r="BS23" i="36"/>
  <c r="BR23" i="36"/>
  <c r="BQ23" i="36"/>
  <c r="BP23" i="36"/>
  <c r="BO23" i="36"/>
  <c r="BN23" i="36"/>
  <c r="BM23" i="36"/>
  <c r="BA23" i="36"/>
  <c r="AZ23" i="36"/>
  <c r="AY23" i="36"/>
  <c r="AX23" i="36"/>
  <c r="AW23" i="36"/>
  <c r="AV23" i="36"/>
  <c r="AU23" i="36"/>
  <c r="Z23" i="36"/>
  <c r="Y23" i="36"/>
  <c r="X23" i="36"/>
  <c r="W23" i="36"/>
  <c r="V23" i="36"/>
  <c r="U23" i="36"/>
  <c r="T23" i="36"/>
  <c r="H23" i="36"/>
  <c r="G23" i="36"/>
  <c r="F23" i="36"/>
  <c r="E23" i="36"/>
  <c r="D23" i="36"/>
  <c r="C23" i="36"/>
  <c r="B23" i="36"/>
  <c r="DL22" i="36"/>
  <c r="DK22" i="36"/>
  <c r="DJ22" i="36"/>
  <c r="DI22" i="36"/>
  <c r="DH22" i="36"/>
  <c r="DG22" i="36"/>
  <c r="DF22" i="36"/>
  <c r="CT22" i="36"/>
  <c r="CS22" i="36"/>
  <c r="CR22" i="36"/>
  <c r="CQ22" i="36"/>
  <c r="CP22" i="36"/>
  <c r="CO22" i="36"/>
  <c r="CN22" i="36"/>
  <c r="BS22" i="36"/>
  <c r="BR22" i="36"/>
  <c r="BQ22" i="36"/>
  <c r="BP22" i="36"/>
  <c r="BO22" i="36"/>
  <c r="BN22" i="36"/>
  <c r="BM22" i="36"/>
  <c r="BA22" i="36"/>
  <c r="AZ22" i="36"/>
  <c r="AY22" i="36"/>
  <c r="AX22" i="36"/>
  <c r="AW22" i="36"/>
  <c r="AV22" i="36"/>
  <c r="AU22" i="36"/>
  <c r="Z22" i="36"/>
  <c r="Y22" i="36"/>
  <c r="X22" i="36"/>
  <c r="W22" i="36"/>
  <c r="V22" i="36"/>
  <c r="U22" i="36"/>
  <c r="T22" i="36"/>
  <c r="H22" i="36"/>
  <c r="G22" i="36"/>
  <c r="F22" i="36"/>
  <c r="E22" i="36"/>
  <c r="D22" i="36"/>
  <c r="C22" i="36"/>
  <c r="B22" i="36"/>
  <c r="DL21" i="36"/>
  <c r="DK21" i="36"/>
  <c r="DJ21" i="36"/>
  <c r="DI21" i="36"/>
  <c r="DH21" i="36"/>
  <c r="DG21" i="36"/>
  <c r="DF21" i="36"/>
  <c r="CT21" i="36"/>
  <c r="CS21" i="36"/>
  <c r="CR21" i="36"/>
  <c r="CQ21" i="36"/>
  <c r="CP21" i="36"/>
  <c r="CO21" i="36"/>
  <c r="CN21" i="36"/>
  <c r="BS21" i="36"/>
  <c r="BR21" i="36"/>
  <c r="BQ21" i="36"/>
  <c r="BP21" i="36"/>
  <c r="BO21" i="36"/>
  <c r="BN21" i="36"/>
  <c r="BM21" i="36"/>
  <c r="BA21" i="36"/>
  <c r="AZ21" i="36"/>
  <c r="AY21" i="36"/>
  <c r="AX21" i="36"/>
  <c r="AW21" i="36"/>
  <c r="AV21" i="36"/>
  <c r="AU21" i="36"/>
  <c r="Z21" i="36"/>
  <c r="Y21" i="36"/>
  <c r="X21" i="36"/>
  <c r="W21" i="36"/>
  <c r="V21" i="36"/>
  <c r="U21" i="36"/>
  <c r="T21" i="36"/>
  <c r="H21" i="36"/>
  <c r="G21" i="36"/>
  <c r="F21" i="36"/>
  <c r="E21" i="36"/>
  <c r="D21" i="36"/>
  <c r="C21" i="36"/>
  <c r="B21" i="36"/>
  <c r="DL20" i="36"/>
  <c r="DK20" i="36"/>
  <c r="DJ20" i="36"/>
  <c r="DI20" i="36"/>
  <c r="DH20" i="36"/>
  <c r="DG20" i="36"/>
  <c r="DF20" i="36"/>
  <c r="CT20" i="36"/>
  <c r="CS20" i="36"/>
  <c r="CR20" i="36"/>
  <c r="CQ20" i="36"/>
  <c r="CP20" i="36"/>
  <c r="CO20" i="36"/>
  <c r="CN20" i="36"/>
  <c r="BS20" i="36"/>
  <c r="BR20" i="36"/>
  <c r="BQ20" i="36"/>
  <c r="BP20" i="36"/>
  <c r="BO20" i="36"/>
  <c r="BN20" i="36"/>
  <c r="BM20" i="36"/>
  <c r="BA20" i="36"/>
  <c r="AZ20" i="36"/>
  <c r="AY20" i="36"/>
  <c r="AX20" i="36"/>
  <c r="AW20" i="36"/>
  <c r="AV20" i="36"/>
  <c r="AU20" i="36"/>
  <c r="Z20" i="36"/>
  <c r="Y20" i="36"/>
  <c r="X20" i="36"/>
  <c r="W20" i="36"/>
  <c r="V20" i="36"/>
  <c r="U20" i="36"/>
  <c r="T20" i="36"/>
  <c r="H20" i="36"/>
  <c r="G20" i="36"/>
  <c r="F20" i="36"/>
  <c r="E20" i="36"/>
  <c r="D20" i="36"/>
  <c r="C20" i="36"/>
  <c r="B20" i="36"/>
  <c r="DL19" i="36"/>
  <c r="DK19" i="36"/>
  <c r="DJ19" i="36"/>
  <c r="DI19" i="36"/>
  <c r="DH19" i="36"/>
  <c r="DG19" i="36"/>
  <c r="DF19" i="36"/>
  <c r="CT19" i="36"/>
  <c r="CS19" i="36"/>
  <c r="CR19" i="36"/>
  <c r="CQ19" i="36"/>
  <c r="CP19" i="36"/>
  <c r="CO19" i="36"/>
  <c r="CN19" i="36"/>
  <c r="BS19" i="36"/>
  <c r="BR19" i="36"/>
  <c r="BQ19" i="36"/>
  <c r="BP19" i="36"/>
  <c r="BO19" i="36"/>
  <c r="BN19" i="36"/>
  <c r="BM19" i="36"/>
  <c r="BA19" i="36"/>
  <c r="AZ19" i="36"/>
  <c r="AY19" i="36"/>
  <c r="AX19" i="36"/>
  <c r="AW19" i="36"/>
  <c r="AV19" i="36"/>
  <c r="AU19" i="36"/>
  <c r="Z19" i="36"/>
  <c r="Y19" i="36"/>
  <c r="X19" i="36"/>
  <c r="W19" i="36"/>
  <c r="V19" i="36"/>
  <c r="U19" i="36"/>
  <c r="T19" i="36"/>
  <c r="H19" i="36"/>
  <c r="G19" i="36"/>
  <c r="F19" i="36"/>
  <c r="E19" i="36"/>
  <c r="D19" i="36"/>
  <c r="C19" i="36"/>
  <c r="B19" i="36"/>
  <c r="DL18" i="36"/>
  <c r="DK18" i="36"/>
  <c r="DJ18" i="36"/>
  <c r="DI18" i="36"/>
  <c r="DH18" i="36"/>
  <c r="DG18" i="36"/>
  <c r="DF18" i="36"/>
  <c r="CT18" i="36"/>
  <c r="CS18" i="36"/>
  <c r="CR18" i="36"/>
  <c r="CQ18" i="36"/>
  <c r="CP18" i="36"/>
  <c r="CO18" i="36"/>
  <c r="CN18" i="36"/>
  <c r="BS18" i="36"/>
  <c r="BR18" i="36"/>
  <c r="BQ18" i="36"/>
  <c r="BP18" i="36"/>
  <c r="BO18" i="36"/>
  <c r="BN18" i="36"/>
  <c r="BM18" i="36"/>
  <c r="BA18" i="36"/>
  <c r="AZ18" i="36"/>
  <c r="AY18" i="36"/>
  <c r="AX18" i="36"/>
  <c r="AW18" i="36"/>
  <c r="AV18" i="36"/>
  <c r="AU18" i="36"/>
  <c r="Z18" i="36"/>
  <c r="Y18" i="36"/>
  <c r="X18" i="36"/>
  <c r="W18" i="36"/>
  <c r="V18" i="36"/>
  <c r="U18" i="36"/>
  <c r="T18" i="36"/>
  <c r="H18" i="36"/>
  <c r="G18" i="36"/>
  <c r="F18" i="36"/>
  <c r="E18" i="36"/>
  <c r="D18" i="36"/>
  <c r="C18" i="36"/>
  <c r="B18" i="36"/>
  <c r="DL17" i="36"/>
  <c r="DK17" i="36"/>
  <c r="DJ17" i="36"/>
  <c r="DI17" i="36"/>
  <c r="DH17" i="36"/>
  <c r="DG17" i="36"/>
  <c r="DF17" i="36"/>
  <c r="CT17" i="36"/>
  <c r="CS17" i="36"/>
  <c r="CR17" i="36"/>
  <c r="CQ17" i="36"/>
  <c r="CP17" i="36"/>
  <c r="CO17" i="36"/>
  <c r="CN17" i="36"/>
  <c r="BS17" i="36"/>
  <c r="BR17" i="36"/>
  <c r="BQ17" i="36"/>
  <c r="BP17" i="36"/>
  <c r="BO17" i="36"/>
  <c r="BN17" i="36"/>
  <c r="BM17" i="36"/>
  <c r="BA17" i="36"/>
  <c r="AZ17" i="36"/>
  <c r="AY17" i="36"/>
  <c r="AX17" i="36"/>
  <c r="AW17" i="36"/>
  <c r="AV17" i="36"/>
  <c r="AU17" i="36"/>
  <c r="Z17" i="36"/>
  <c r="Y17" i="36"/>
  <c r="X17" i="36"/>
  <c r="W17" i="36"/>
  <c r="V17" i="36"/>
  <c r="U17" i="36"/>
  <c r="T17" i="36"/>
  <c r="H17" i="36"/>
  <c r="G17" i="36"/>
  <c r="F17" i="36"/>
  <c r="E17" i="36"/>
  <c r="D17" i="36"/>
  <c r="C17" i="36"/>
  <c r="B17" i="36"/>
  <c r="DL16" i="36"/>
  <c r="DK16" i="36"/>
  <c r="DJ16" i="36"/>
  <c r="DI16" i="36"/>
  <c r="DH16" i="36"/>
  <c r="DG16" i="36"/>
  <c r="DF16" i="36"/>
  <c r="CT16" i="36"/>
  <c r="CS16" i="36"/>
  <c r="CR16" i="36"/>
  <c r="CQ16" i="36"/>
  <c r="CP16" i="36"/>
  <c r="CO16" i="36"/>
  <c r="CN16" i="36"/>
  <c r="BS16" i="36"/>
  <c r="BR16" i="36"/>
  <c r="BQ16" i="36"/>
  <c r="BP16" i="36"/>
  <c r="BO16" i="36"/>
  <c r="BN16" i="36"/>
  <c r="BM16" i="36"/>
  <c r="BA16" i="36"/>
  <c r="AZ16" i="36"/>
  <c r="AY16" i="36"/>
  <c r="AX16" i="36"/>
  <c r="AW16" i="36"/>
  <c r="AV16" i="36"/>
  <c r="AU16" i="36"/>
  <c r="Z16" i="36"/>
  <c r="Y16" i="36"/>
  <c r="X16" i="36"/>
  <c r="W16" i="36"/>
  <c r="V16" i="36"/>
  <c r="U16" i="36"/>
  <c r="T16" i="36"/>
  <c r="H16" i="36"/>
  <c r="G16" i="36"/>
  <c r="F16" i="36"/>
  <c r="E16" i="36"/>
  <c r="D16" i="36"/>
  <c r="C16" i="36"/>
  <c r="B16" i="36"/>
  <c r="DL15" i="36"/>
  <c r="DK15" i="36"/>
  <c r="DJ15" i="36"/>
  <c r="DI15" i="36"/>
  <c r="DH15" i="36"/>
  <c r="DG15" i="36"/>
  <c r="DF15" i="36"/>
  <c r="CT15" i="36"/>
  <c r="CS15" i="36"/>
  <c r="CR15" i="36"/>
  <c r="CQ15" i="36"/>
  <c r="CP15" i="36"/>
  <c r="CO15" i="36"/>
  <c r="CN15" i="36"/>
  <c r="BS15" i="36"/>
  <c r="BR15" i="36"/>
  <c r="BQ15" i="36"/>
  <c r="BP15" i="36"/>
  <c r="BO15" i="36"/>
  <c r="BN15" i="36"/>
  <c r="BM15" i="36"/>
  <c r="BA15" i="36"/>
  <c r="AZ15" i="36"/>
  <c r="AY15" i="36"/>
  <c r="AX15" i="36"/>
  <c r="AW15" i="36"/>
  <c r="AV15" i="36"/>
  <c r="AU15" i="36"/>
  <c r="Z15" i="36"/>
  <c r="Y15" i="36"/>
  <c r="X15" i="36"/>
  <c r="W15" i="36"/>
  <c r="V15" i="36"/>
  <c r="U15" i="36"/>
  <c r="T15" i="36"/>
  <c r="H15" i="36"/>
  <c r="G15" i="36"/>
  <c r="F15" i="36"/>
  <c r="E15" i="36"/>
  <c r="D15" i="36"/>
  <c r="C15" i="36"/>
  <c r="B15" i="36"/>
  <c r="DL14" i="36"/>
  <c r="DK14" i="36"/>
  <c r="DJ14" i="36"/>
  <c r="DI14" i="36"/>
  <c r="DH14" i="36"/>
  <c r="DG14" i="36"/>
  <c r="DF14" i="36"/>
  <c r="CT14" i="36"/>
  <c r="CS14" i="36"/>
  <c r="CR14" i="36"/>
  <c r="CQ14" i="36"/>
  <c r="CP14" i="36"/>
  <c r="CO14" i="36"/>
  <c r="CN14" i="36"/>
  <c r="BS14" i="36"/>
  <c r="BR14" i="36"/>
  <c r="BQ14" i="36"/>
  <c r="BP14" i="36"/>
  <c r="BO14" i="36"/>
  <c r="BN14" i="36"/>
  <c r="BM14" i="36"/>
  <c r="BA14" i="36"/>
  <c r="AZ14" i="36"/>
  <c r="AY14" i="36"/>
  <c r="AX14" i="36"/>
  <c r="AW14" i="36"/>
  <c r="AV14" i="36"/>
  <c r="AU14" i="36"/>
  <c r="Z14" i="36"/>
  <c r="Y14" i="36"/>
  <c r="X14" i="36"/>
  <c r="W14" i="36"/>
  <c r="V14" i="36"/>
  <c r="U14" i="36"/>
  <c r="T14" i="36"/>
  <c r="H14" i="36"/>
  <c r="G14" i="36"/>
  <c r="F14" i="36"/>
  <c r="E14" i="36"/>
  <c r="D14" i="36"/>
  <c r="C14" i="36"/>
  <c r="B14" i="36"/>
  <c r="DL13" i="36"/>
  <c r="DK13" i="36"/>
  <c r="DJ13" i="36"/>
  <c r="DI13" i="36"/>
  <c r="DH13" i="36"/>
  <c r="DG13" i="36"/>
  <c r="DF13" i="36"/>
  <c r="CT13" i="36"/>
  <c r="CS13" i="36"/>
  <c r="CR13" i="36"/>
  <c r="CQ13" i="36"/>
  <c r="CP13" i="36"/>
  <c r="CO13" i="36"/>
  <c r="CN13" i="36"/>
  <c r="BS13" i="36"/>
  <c r="BR13" i="36"/>
  <c r="BQ13" i="36"/>
  <c r="BP13" i="36"/>
  <c r="BO13" i="36"/>
  <c r="BN13" i="36"/>
  <c r="BM13" i="36"/>
  <c r="BA13" i="36"/>
  <c r="AZ13" i="36"/>
  <c r="AY13" i="36"/>
  <c r="AX13" i="36"/>
  <c r="AW13" i="36"/>
  <c r="AV13" i="36"/>
  <c r="AU13" i="36"/>
  <c r="Z13" i="36"/>
  <c r="Y13" i="36"/>
  <c r="X13" i="36"/>
  <c r="W13" i="36"/>
  <c r="V13" i="36"/>
  <c r="U13" i="36"/>
  <c r="T13" i="36"/>
  <c r="H13" i="36"/>
  <c r="G13" i="36"/>
  <c r="F13" i="36"/>
  <c r="E13" i="36"/>
  <c r="D13" i="36"/>
  <c r="C13" i="36"/>
  <c r="B13" i="36"/>
  <c r="DL12" i="36"/>
  <c r="DK12" i="36"/>
  <c r="DJ12" i="36"/>
  <c r="DI12" i="36"/>
  <c r="DH12" i="36"/>
  <c r="DG12" i="36"/>
  <c r="DF12" i="36"/>
  <c r="CT12" i="36"/>
  <c r="CS12" i="36"/>
  <c r="CR12" i="36"/>
  <c r="CQ12" i="36"/>
  <c r="CP12" i="36"/>
  <c r="CO12" i="36"/>
  <c r="CN12" i="36"/>
  <c r="BS12" i="36"/>
  <c r="BR12" i="36"/>
  <c r="BQ12" i="36"/>
  <c r="BP12" i="36"/>
  <c r="BO12" i="36"/>
  <c r="BN12" i="36"/>
  <c r="BM12" i="36"/>
  <c r="BA12" i="36"/>
  <c r="AZ12" i="36"/>
  <c r="AY12" i="36"/>
  <c r="AX12" i="36"/>
  <c r="AW12" i="36"/>
  <c r="AV12" i="36"/>
  <c r="AU12" i="36"/>
  <c r="Z12" i="36"/>
  <c r="Y12" i="36"/>
  <c r="X12" i="36"/>
  <c r="W12" i="36"/>
  <c r="V12" i="36"/>
  <c r="U12" i="36"/>
  <c r="T12" i="36"/>
  <c r="H12" i="36"/>
  <c r="G12" i="36"/>
  <c r="F12" i="36"/>
  <c r="E12" i="36"/>
  <c r="D12" i="36"/>
  <c r="C12" i="36"/>
  <c r="B12" i="36"/>
  <c r="DL11" i="36"/>
  <c r="DK11" i="36"/>
  <c r="DJ11" i="36"/>
  <c r="DI11" i="36"/>
  <c r="DH11" i="36"/>
  <c r="DG11" i="36"/>
  <c r="DF11" i="36"/>
  <c r="CT11" i="36"/>
  <c r="CS11" i="36"/>
  <c r="CR11" i="36"/>
  <c r="CQ11" i="36"/>
  <c r="CP11" i="36"/>
  <c r="CO11" i="36"/>
  <c r="CN11" i="36"/>
  <c r="BS11" i="36"/>
  <c r="BR11" i="36"/>
  <c r="BQ11" i="36"/>
  <c r="BP11" i="36"/>
  <c r="BO11" i="36"/>
  <c r="BN11" i="36"/>
  <c r="BM11" i="36"/>
  <c r="BA11" i="36"/>
  <c r="AZ11" i="36"/>
  <c r="AY11" i="36"/>
  <c r="AX11" i="36"/>
  <c r="AW11" i="36"/>
  <c r="AV11" i="36"/>
  <c r="AU11" i="36"/>
  <c r="Z11" i="36"/>
  <c r="Y11" i="36"/>
  <c r="X11" i="36"/>
  <c r="W11" i="36"/>
  <c r="V11" i="36"/>
  <c r="U11" i="36"/>
  <c r="T11" i="36"/>
  <c r="H11" i="36"/>
  <c r="G11" i="36"/>
  <c r="F11" i="36"/>
  <c r="E11" i="36"/>
  <c r="D11" i="36"/>
  <c r="C11" i="36"/>
  <c r="B11" i="36"/>
  <c r="DL10" i="36"/>
  <c r="DK10" i="36"/>
  <c r="DJ10" i="36"/>
  <c r="DI10" i="36"/>
  <c r="DH10" i="36"/>
  <c r="DG10" i="36"/>
  <c r="DF10" i="36"/>
  <c r="CT10" i="36"/>
  <c r="CS10" i="36"/>
  <c r="CR10" i="36"/>
  <c r="CQ10" i="36"/>
  <c r="CP10" i="36"/>
  <c r="CO10" i="36"/>
  <c r="CN10" i="36"/>
  <c r="BS10" i="36"/>
  <c r="BR10" i="36"/>
  <c r="BQ10" i="36"/>
  <c r="BP10" i="36"/>
  <c r="BO10" i="36"/>
  <c r="BN10" i="36"/>
  <c r="BM10" i="36"/>
  <c r="BA10" i="36"/>
  <c r="AZ10" i="36"/>
  <c r="AY10" i="36"/>
  <c r="AX10" i="36"/>
  <c r="AW10" i="36"/>
  <c r="AV10" i="36"/>
  <c r="AU10" i="36"/>
  <c r="Z10" i="36"/>
  <c r="Y10" i="36"/>
  <c r="X10" i="36"/>
  <c r="W10" i="36"/>
  <c r="V10" i="36"/>
  <c r="U10" i="36"/>
  <c r="T10" i="36"/>
  <c r="H10" i="36"/>
  <c r="G10" i="36"/>
  <c r="F10" i="36"/>
  <c r="E10" i="36"/>
  <c r="D10" i="36"/>
  <c r="C10" i="36"/>
  <c r="B10" i="36"/>
  <c r="DL9" i="36"/>
  <c r="DK9" i="36"/>
  <c r="DJ9" i="36"/>
  <c r="DI9" i="36"/>
  <c r="DH9" i="36"/>
  <c r="DG9" i="36"/>
  <c r="DF9" i="36"/>
  <c r="CT9" i="36"/>
  <c r="CS9" i="36"/>
  <c r="CR9" i="36"/>
  <c r="CQ9" i="36"/>
  <c r="CP9" i="36"/>
  <c r="CO9" i="36"/>
  <c r="CN9" i="36"/>
  <c r="BS9" i="36"/>
  <c r="BR9" i="36"/>
  <c r="BQ9" i="36"/>
  <c r="BP9" i="36"/>
  <c r="BO9" i="36"/>
  <c r="BN9" i="36"/>
  <c r="BM9" i="36"/>
  <c r="BA9" i="36"/>
  <c r="AZ9" i="36"/>
  <c r="AY9" i="36"/>
  <c r="AX9" i="36"/>
  <c r="AW9" i="36"/>
  <c r="AV9" i="36"/>
  <c r="AU9" i="36"/>
  <c r="Z9" i="36"/>
  <c r="Y9" i="36"/>
  <c r="X9" i="36"/>
  <c r="W9" i="36"/>
  <c r="V9" i="36"/>
  <c r="U9" i="36"/>
  <c r="T9" i="36"/>
  <c r="H9" i="36"/>
  <c r="G9" i="36"/>
  <c r="F9" i="36"/>
  <c r="E9" i="36"/>
  <c r="D9" i="36"/>
  <c r="C9" i="36"/>
  <c r="B9" i="36"/>
  <c r="DL8" i="36"/>
  <c r="DK8" i="36"/>
  <c r="DJ8" i="36"/>
  <c r="DI8" i="36"/>
  <c r="DH8" i="36"/>
  <c r="DG8" i="36"/>
  <c r="DF8" i="36"/>
  <c r="CT8" i="36"/>
  <c r="CS8" i="36"/>
  <c r="CR8" i="36"/>
  <c r="CQ8" i="36"/>
  <c r="CP8" i="36"/>
  <c r="CO8" i="36"/>
  <c r="CN8" i="36"/>
  <c r="BS8" i="36"/>
  <c r="BR8" i="36"/>
  <c r="BQ8" i="36"/>
  <c r="BP8" i="36"/>
  <c r="BO8" i="36"/>
  <c r="BN8" i="36"/>
  <c r="BM8" i="36"/>
  <c r="BA8" i="36"/>
  <c r="AZ8" i="36"/>
  <c r="AY8" i="36"/>
  <c r="AX8" i="36"/>
  <c r="AW8" i="36"/>
  <c r="AV8" i="36"/>
  <c r="AU8" i="36"/>
  <c r="Z8" i="36"/>
  <c r="Y8" i="36"/>
  <c r="X8" i="36"/>
  <c r="W8" i="36"/>
  <c r="V8" i="36"/>
  <c r="U8" i="36"/>
  <c r="T8" i="36"/>
  <c r="H8" i="36"/>
  <c r="G8" i="36"/>
  <c r="F8" i="36"/>
  <c r="E8" i="36"/>
  <c r="D8" i="36"/>
  <c r="C8" i="36"/>
  <c r="B8" i="36"/>
  <c r="DL7" i="36"/>
  <c r="DK7" i="36"/>
  <c r="DJ7" i="36"/>
  <c r="DI7" i="36"/>
  <c r="DH7" i="36"/>
  <c r="DG7" i="36"/>
  <c r="DF7" i="36"/>
  <c r="CT7" i="36"/>
  <c r="CS7" i="36"/>
  <c r="CR7" i="36"/>
  <c r="CQ7" i="36"/>
  <c r="CP7" i="36"/>
  <c r="CO7" i="36"/>
  <c r="CN7" i="36"/>
  <c r="BS7" i="36"/>
  <c r="BR7" i="36"/>
  <c r="BQ7" i="36"/>
  <c r="BP7" i="36"/>
  <c r="BO7" i="36"/>
  <c r="BN7" i="36"/>
  <c r="BM7" i="36"/>
  <c r="BA7" i="36"/>
  <c r="AZ7" i="36"/>
  <c r="AY7" i="36"/>
  <c r="AX7" i="36"/>
  <c r="AW7" i="36"/>
  <c r="AV7" i="36"/>
  <c r="AU7" i="36"/>
  <c r="Z7" i="36"/>
  <c r="Y7" i="36"/>
  <c r="X7" i="36"/>
  <c r="W7" i="36"/>
  <c r="V7" i="36"/>
  <c r="U7" i="36"/>
  <c r="T7" i="36"/>
  <c r="H7" i="36"/>
  <c r="G7" i="36"/>
  <c r="F7" i="36"/>
  <c r="E7" i="36"/>
  <c r="D7" i="36"/>
  <c r="C7" i="36"/>
  <c r="B7" i="36"/>
  <c r="DL6" i="36"/>
  <c r="DK6" i="36"/>
  <c r="DJ6" i="36"/>
  <c r="DI6" i="36"/>
  <c r="DH6" i="36"/>
  <c r="DG6" i="36"/>
  <c r="DF6" i="36"/>
  <c r="CT6" i="36"/>
  <c r="CS6" i="36"/>
  <c r="CR6" i="36"/>
  <c r="CQ6" i="36"/>
  <c r="CP6" i="36"/>
  <c r="CO6" i="36"/>
  <c r="CN6" i="36"/>
  <c r="BS6" i="36"/>
  <c r="BR6" i="36"/>
  <c r="BQ6" i="36"/>
  <c r="BP6" i="36"/>
  <c r="BO6" i="36"/>
  <c r="BN6" i="36"/>
  <c r="BM6" i="36"/>
  <c r="BA6" i="36"/>
  <c r="AZ6" i="36"/>
  <c r="AY6" i="36"/>
  <c r="AX6" i="36"/>
  <c r="AW6" i="36"/>
  <c r="AV6" i="36"/>
  <c r="AU6" i="36"/>
  <c r="Z6" i="36"/>
  <c r="Y6" i="36"/>
  <c r="X6" i="36"/>
  <c r="W6" i="36"/>
  <c r="V6" i="36"/>
  <c r="U6" i="36"/>
  <c r="T6" i="36"/>
  <c r="H6" i="36"/>
  <c r="G6" i="36"/>
  <c r="F6" i="36"/>
  <c r="E6" i="36"/>
  <c r="D6" i="36"/>
  <c r="C6" i="36"/>
  <c r="B6" i="36"/>
  <c r="DL5" i="36"/>
  <c r="DK5" i="36"/>
  <c r="DJ5" i="36"/>
  <c r="DI5" i="36"/>
  <c r="DH5" i="36"/>
  <c r="DG5" i="36"/>
  <c r="DF5" i="36"/>
  <c r="CT5" i="36"/>
  <c r="CS5" i="36"/>
  <c r="CR5" i="36"/>
  <c r="CQ5" i="36"/>
  <c r="CP5" i="36"/>
  <c r="CO5" i="36"/>
  <c r="CN5" i="36"/>
  <c r="BS5" i="36"/>
  <c r="BR5" i="36"/>
  <c r="BQ5" i="36"/>
  <c r="BP5" i="36"/>
  <c r="BO5" i="36"/>
  <c r="BN5" i="36"/>
  <c r="BM5" i="36"/>
  <c r="BA5" i="36"/>
  <c r="AZ5" i="36"/>
  <c r="AY5" i="36"/>
  <c r="AX5" i="36"/>
  <c r="AW5" i="36"/>
  <c r="AV5" i="36"/>
  <c r="AU5" i="36"/>
  <c r="Z5" i="36"/>
  <c r="Y5" i="36"/>
  <c r="X5" i="36"/>
  <c r="W5" i="36"/>
  <c r="V5" i="36"/>
  <c r="U5" i="36"/>
  <c r="T5" i="36"/>
  <c r="H5" i="36"/>
  <c r="G5" i="36"/>
  <c r="F5" i="36"/>
  <c r="E5" i="36"/>
  <c r="D5" i="36"/>
  <c r="C5" i="36"/>
  <c r="B5" i="36"/>
  <c r="DL4" i="36"/>
  <c r="DK4" i="36"/>
  <c r="DJ4" i="36"/>
  <c r="DI4" i="36"/>
  <c r="DH4" i="36"/>
  <c r="DG4" i="36"/>
  <c r="DF4" i="36"/>
  <c r="CT4" i="36"/>
  <c r="CS4" i="36"/>
  <c r="CR4" i="36"/>
  <c r="CQ4" i="36"/>
  <c r="CP4" i="36"/>
  <c r="CO4" i="36"/>
  <c r="CN4" i="36"/>
  <c r="BS4" i="36"/>
  <c r="BR4" i="36"/>
  <c r="BQ4" i="36"/>
  <c r="BP4" i="36"/>
  <c r="BO4" i="36"/>
  <c r="BN4" i="36"/>
  <c r="BM4" i="36"/>
  <c r="BA4" i="36"/>
  <c r="AZ4" i="36"/>
  <c r="AY4" i="36"/>
  <c r="AX4" i="36"/>
  <c r="AW4" i="36"/>
  <c r="AV4" i="36"/>
  <c r="AU4" i="36"/>
  <c r="Z4" i="36"/>
  <c r="Y4" i="36"/>
  <c r="X4" i="36"/>
  <c r="W4" i="36"/>
  <c r="V4" i="36"/>
  <c r="U4" i="36"/>
  <c r="T4" i="36"/>
  <c r="H4" i="36"/>
  <c r="G4" i="36"/>
  <c r="F4" i="36"/>
  <c r="E4" i="36"/>
  <c r="D4" i="36"/>
  <c r="C4" i="36"/>
  <c r="B4" i="36"/>
  <c r="BS124" i="59"/>
  <c r="BR124" i="59"/>
  <c r="BQ124" i="59"/>
  <c r="BP124" i="59"/>
  <c r="BO124" i="59"/>
  <c r="BN124" i="59"/>
  <c r="BM124" i="59"/>
  <c r="Z124" i="59"/>
  <c r="Y124" i="59"/>
  <c r="X124" i="59"/>
  <c r="W124" i="59"/>
  <c r="V124" i="59"/>
  <c r="U124" i="59"/>
  <c r="T124" i="59"/>
  <c r="BS123" i="59"/>
  <c r="BR123" i="59"/>
  <c r="BQ123" i="59"/>
  <c r="BP123" i="59"/>
  <c r="BO123" i="59"/>
  <c r="BN123" i="59"/>
  <c r="BM123" i="59"/>
  <c r="Z123" i="59"/>
  <c r="Y123" i="59"/>
  <c r="X123" i="59"/>
  <c r="W123" i="59"/>
  <c r="V123" i="59"/>
  <c r="U123" i="59"/>
  <c r="T123" i="59"/>
  <c r="BS122" i="59"/>
  <c r="BR122" i="59"/>
  <c r="BQ122" i="59"/>
  <c r="BP122" i="59"/>
  <c r="BO122" i="59"/>
  <c r="BN122" i="59"/>
  <c r="BM122" i="59"/>
  <c r="Z122" i="59"/>
  <c r="Y122" i="59"/>
  <c r="X122" i="59"/>
  <c r="W122" i="59"/>
  <c r="V122" i="59"/>
  <c r="U122" i="59"/>
  <c r="T122" i="59"/>
  <c r="BS121" i="59"/>
  <c r="BR121" i="59"/>
  <c r="BQ121" i="59"/>
  <c r="BP121" i="59"/>
  <c r="BO121" i="59"/>
  <c r="BN121" i="59"/>
  <c r="BM121" i="59"/>
  <c r="Z121" i="59"/>
  <c r="Y121" i="59"/>
  <c r="X121" i="59"/>
  <c r="W121" i="59"/>
  <c r="V121" i="59"/>
  <c r="U121" i="59"/>
  <c r="T121" i="59"/>
  <c r="BS120" i="59"/>
  <c r="BR120" i="59"/>
  <c r="BQ120" i="59"/>
  <c r="BP120" i="59"/>
  <c r="BO120" i="59"/>
  <c r="BN120" i="59"/>
  <c r="BM120" i="59"/>
  <c r="Z120" i="59"/>
  <c r="Y120" i="59"/>
  <c r="X120" i="59"/>
  <c r="W120" i="59"/>
  <c r="V120" i="59"/>
  <c r="U120" i="59"/>
  <c r="T120" i="59"/>
  <c r="BS119" i="59"/>
  <c r="BR119" i="59"/>
  <c r="BQ119" i="59"/>
  <c r="BP119" i="59"/>
  <c r="BO119" i="59"/>
  <c r="BN119" i="59"/>
  <c r="BM119" i="59"/>
  <c r="Z119" i="59"/>
  <c r="Y119" i="59"/>
  <c r="X119" i="59"/>
  <c r="W119" i="59"/>
  <c r="V119" i="59"/>
  <c r="U119" i="59"/>
  <c r="T119" i="59"/>
  <c r="BS118" i="59"/>
  <c r="BR118" i="59"/>
  <c r="BQ118" i="59"/>
  <c r="BP118" i="59"/>
  <c r="BO118" i="59"/>
  <c r="BN118" i="59"/>
  <c r="BM118" i="59"/>
  <c r="Z118" i="59"/>
  <c r="Y118" i="59"/>
  <c r="X118" i="59"/>
  <c r="W118" i="59"/>
  <c r="V118" i="59"/>
  <c r="U118" i="59"/>
  <c r="T118" i="59"/>
  <c r="BS117" i="59"/>
  <c r="BR117" i="59"/>
  <c r="BQ117" i="59"/>
  <c r="BP117" i="59"/>
  <c r="BO117" i="59"/>
  <c r="BN117" i="59"/>
  <c r="BM117" i="59"/>
  <c r="Z117" i="59"/>
  <c r="Y117" i="59"/>
  <c r="X117" i="59"/>
  <c r="W117" i="59"/>
  <c r="V117" i="59"/>
  <c r="U117" i="59"/>
  <c r="T117" i="59"/>
  <c r="BS116" i="59"/>
  <c r="BR116" i="59"/>
  <c r="BQ116" i="59"/>
  <c r="BP116" i="59"/>
  <c r="BO116" i="59"/>
  <c r="BN116" i="59"/>
  <c r="BM116" i="59"/>
  <c r="Z116" i="59"/>
  <c r="Y116" i="59"/>
  <c r="X116" i="59"/>
  <c r="W116" i="59"/>
  <c r="V116" i="59"/>
  <c r="U116" i="59"/>
  <c r="T116" i="59"/>
  <c r="BS115" i="59"/>
  <c r="BR115" i="59"/>
  <c r="BQ115" i="59"/>
  <c r="BP115" i="59"/>
  <c r="BO115" i="59"/>
  <c r="BN115" i="59"/>
  <c r="BM115" i="59"/>
  <c r="Z115" i="59"/>
  <c r="Y115" i="59"/>
  <c r="X115" i="59"/>
  <c r="W115" i="59"/>
  <c r="V115" i="59"/>
  <c r="U115" i="59"/>
  <c r="T115" i="59"/>
  <c r="BS114" i="59"/>
  <c r="BR114" i="59"/>
  <c r="BQ114" i="59"/>
  <c r="BP114" i="59"/>
  <c r="BO114" i="59"/>
  <c r="BN114" i="59"/>
  <c r="BM114" i="59"/>
  <c r="Z114" i="59"/>
  <c r="Y114" i="59"/>
  <c r="X114" i="59"/>
  <c r="W114" i="59"/>
  <c r="V114" i="59"/>
  <c r="U114" i="59"/>
  <c r="T114" i="59"/>
  <c r="BS113" i="59"/>
  <c r="BR113" i="59"/>
  <c r="BQ113" i="59"/>
  <c r="BP113" i="59"/>
  <c r="BO113" i="59"/>
  <c r="BN113" i="59"/>
  <c r="BM113" i="59"/>
  <c r="Z113" i="59"/>
  <c r="Y113" i="59"/>
  <c r="X113" i="59"/>
  <c r="W113" i="59"/>
  <c r="V113" i="59"/>
  <c r="U113" i="59"/>
  <c r="T113" i="59"/>
  <c r="BS112" i="59"/>
  <c r="BR112" i="59"/>
  <c r="BQ112" i="59"/>
  <c r="BP112" i="59"/>
  <c r="BO112" i="59"/>
  <c r="BN112" i="59"/>
  <c r="BM112" i="59"/>
  <c r="Z112" i="59"/>
  <c r="Y112" i="59"/>
  <c r="X112" i="59"/>
  <c r="W112" i="59"/>
  <c r="V112" i="59"/>
  <c r="U112" i="59"/>
  <c r="T112" i="59"/>
  <c r="BS111" i="59"/>
  <c r="BR111" i="59"/>
  <c r="BQ111" i="59"/>
  <c r="BP111" i="59"/>
  <c r="BO111" i="59"/>
  <c r="BN111" i="59"/>
  <c r="BM111" i="59"/>
  <c r="Z111" i="59"/>
  <c r="Y111" i="59"/>
  <c r="X111" i="59"/>
  <c r="W111" i="59"/>
  <c r="V111" i="59"/>
  <c r="U111" i="59"/>
  <c r="T111" i="59"/>
  <c r="BS110" i="59"/>
  <c r="BR110" i="59"/>
  <c r="BQ110" i="59"/>
  <c r="BP110" i="59"/>
  <c r="BO110" i="59"/>
  <c r="BN110" i="59"/>
  <c r="BM110" i="59"/>
  <c r="Z110" i="59"/>
  <c r="Y110" i="59"/>
  <c r="X110" i="59"/>
  <c r="W110" i="59"/>
  <c r="V110" i="59"/>
  <c r="U110" i="59"/>
  <c r="T110" i="59"/>
  <c r="BS109" i="59"/>
  <c r="BR109" i="59"/>
  <c r="BQ109" i="59"/>
  <c r="BP109" i="59"/>
  <c r="BO109" i="59"/>
  <c r="BN109" i="59"/>
  <c r="BM109" i="59"/>
  <c r="Z109" i="59"/>
  <c r="Y109" i="59"/>
  <c r="X109" i="59"/>
  <c r="W109" i="59"/>
  <c r="V109" i="59"/>
  <c r="U109" i="59"/>
  <c r="T109" i="59"/>
  <c r="BS108" i="59"/>
  <c r="BR108" i="59"/>
  <c r="BQ108" i="59"/>
  <c r="BP108" i="59"/>
  <c r="BO108" i="59"/>
  <c r="BN108" i="59"/>
  <c r="BM108" i="59"/>
  <c r="Z108" i="59"/>
  <c r="Y108" i="59"/>
  <c r="X108" i="59"/>
  <c r="W108" i="59"/>
  <c r="V108" i="59"/>
  <c r="U108" i="59"/>
  <c r="T108" i="59"/>
  <c r="BS107" i="59"/>
  <c r="BR107" i="59"/>
  <c r="BQ107" i="59"/>
  <c r="BP107" i="59"/>
  <c r="BO107" i="59"/>
  <c r="BN107" i="59"/>
  <c r="BM107" i="59"/>
  <c r="Z107" i="59"/>
  <c r="Y107" i="59"/>
  <c r="X107" i="59"/>
  <c r="W107" i="59"/>
  <c r="V107" i="59"/>
  <c r="U107" i="59"/>
  <c r="T107" i="59"/>
  <c r="BS106" i="59"/>
  <c r="BR106" i="59"/>
  <c r="BQ106" i="59"/>
  <c r="BP106" i="59"/>
  <c r="BO106" i="59"/>
  <c r="BN106" i="59"/>
  <c r="BM106" i="59"/>
  <c r="Z106" i="59"/>
  <c r="Y106" i="59"/>
  <c r="X106" i="59"/>
  <c r="W106" i="59"/>
  <c r="V106" i="59"/>
  <c r="U106" i="59"/>
  <c r="T106" i="59"/>
  <c r="BS105" i="59"/>
  <c r="BR105" i="59"/>
  <c r="BQ105" i="59"/>
  <c r="BP105" i="59"/>
  <c r="BO105" i="59"/>
  <c r="BN105" i="59"/>
  <c r="BM105" i="59"/>
  <c r="Z105" i="59"/>
  <c r="Y105" i="59"/>
  <c r="X105" i="59"/>
  <c r="W105" i="59"/>
  <c r="V105" i="59"/>
  <c r="U105" i="59"/>
  <c r="T105" i="59"/>
  <c r="BS104" i="59"/>
  <c r="BR104" i="59"/>
  <c r="BQ104" i="59"/>
  <c r="BP104" i="59"/>
  <c r="BO104" i="59"/>
  <c r="BN104" i="59"/>
  <c r="BM104" i="59"/>
  <c r="Z104" i="59"/>
  <c r="Y104" i="59"/>
  <c r="X104" i="59"/>
  <c r="W104" i="59"/>
  <c r="V104" i="59"/>
  <c r="U104" i="59"/>
  <c r="T104" i="59"/>
  <c r="BS103" i="59"/>
  <c r="BR103" i="59"/>
  <c r="BQ103" i="59"/>
  <c r="BP103" i="59"/>
  <c r="BO103" i="59"/>
  <c r="BN103" i="59"/>
  <c r="BM103" i="59"/>
  <c r="Z103" i="59"/>
  <c r="Y103" i="59"/>
  <c r="X103" i="59"/>
  <c r="W103" i="59"/>
  <c r="V103" i="59"/>
  <c r="U103" i="59"/>
  <c r="T103" i="59"/>
  <c r="BS102" i="59"/>
  <c r="BR102" i="59"/>
  <c r="BQ102" i="59"/>
  <c r="BP102" i="59"/>
  <c r="BO102" i="59"/>
  <c r="BN102" i="59"/>
  <c r="BM102" i="59"/>
  <c r="Z102" i="59"/>
  <c r="Y102" i="59"/>
  <c r="X102" i="59"/>
  <c r="W102" i="59"/>
  <c r="V102" i="59"/>
  <c r="U102" i="59"/>
  <c r="T102" i="59"/>
  <c r="BS101" i="59"/>
  <c r="BR101" i="59"/>
  <c r="BQ101" i="59"/>
  <c r="BP101" i="59"/>
  <c r="BO101" i="59"/>
  <c r="BN101" i="59"/>
  <c r="BM101" i="59"/>
  <c r="Z101" i="59"/>
  <c r="Y101" i="59"/>
  <c r="X101" i="59"/>
  <c r="W101" i="59"/>
  <c r="V101" i="59"/>
  <c r="U101" i="59"/>
  <c r="T101" i="59"/>
  <c r="BS100" i="59"/>
  <c r="BR100" i="59"/>
  <c r="BQ100" i="59"/>
  <c r="BP100" i="59"/>
  <c r="BO100" i="59"/>
  <c r="BN100" i="59"/>
  <c r="BM100" i="59"/>
  <c r="Z100" i="59"/>
  <c r="Y100" i="59"/>
  <c r="X100" i="59"/>
  <c r="W100" i="59"/>
  <c r="V100" i="59"/>
  <c r="U100" i="59"/>
  <c r="T100" i="59"/>
  <c r="BS99" i="59"/>
  <c r="BR99" i="59"/>
  <c r="BQ99" i="59"/>
  <c r="BP99" i="59"/>
  <c r="BO99" i="59"/>
  <c r="BN99" i="59"/>
  <c r="BM99" i="59"/>
  <c r="Z99" i="59"/>
  <c r="Y99" i="59"/>
  <c r="X99" i="59"/>
  <c r="W99" i="59"/>
  <c r="V99" i="59"/>
  <c r="U99" i="59"/>
  <c r="T99" i="59"/>
  <c r="BS98" i="59"/>
  <c r="BR98" i="59"/>
  <c r="BQ98" i="59"/>
  <c r="BP98" i="59"/>
  <c r="BO98" i="59"/>
  <c r="BN98" i="59"/>
  <c r="BM98" i="59"/>
  <c r="Z98" i="59"/>
  <c r="Y98" i="59"/>
  <c r="X98" i="59"/>
  <c r="W98" i="59"/>
  <c r="V98" i="59"/>
  <c r="U98" i="59"/>
  <c r="T98" i="59"/>
  <c r="BS97" i="59"/>
  <c r="BR97" i="59"/>
  <c r="BQ97" i="59"/>
  <c r="BP97" i="59"/>
  <c r="BO97" i="59"/>
  <c r="BN97" i="59"/>
  <c r="BM97" i="59"/>
  <c r="Z97" i="59"/>
  <c r="Y97" i="59"/>
  <c r="X97" i="59"/>
  <c r="W97" i="59"/>
  <c r="V97" i="59"/>
  <c r="U97" i="59"/>
  <c r="T97" i="59"/>
  <c r="BS96" i="59"/>
  <c r="BR96" i="59"/>
  <c r="BQ96" i="59"/>
  <c r="BP96" i="59"/>
  <c r="BO96" i="59"/>
  <c r="BN96" i="59"/>
  <c r="BM96" i="59"/>
  <c r="Z96" i="59"/>
  <c r="Y96" i="59"/>
  <c r="X96" i="59"/>
  <c r="W96" i="59"/>
  <c r="V96" i="59"/>
  <c r="U96" i="59"/>
  <c r="T96" i="59"/>
  <c r="BS95" i="59"/>
  <c r="BR95" i="59"/>
  <c r="BQ95" i="59"/>
  <c r="BP95" i="59"/>
  <c r="BO95" i="59"/>
  <c r="BN95" i="59"/>
  <c r="BM95" i="59"/>
  <c r="Z95" i="59"/>
  <c r="Y95" i="59"/>
  <c r="X95" i="59"/>
  <c r="W95" i="59"/>
  <c r="V95" i="59"/>
  <c r="U95" i="59"/>
  <c r="T95" i="59"/>
  <c r="BS94" i="59"/>
  <c r="BR94" i="59"/>
  <c r="BQ94" i="59"/>
  <c r="BP94" i="59"/>
  <c r="BO94" i="59"/>
  <c r="BN94" i="59"/>
  <c r="BM94" i="59"/>
  <c r="Z94" i="59"/>
  <c r="Y94" i="59"/>
  <c r="X94" i="59"/>
  <c r="W94" i="59"/>
  <c r="V94" i="59"/>
  <c r="U94" i="59"/>
  <c r="T94" i="59"/>
  <c r="BS93" i="59"/>
  <c r="BR93" i="59"/>
  <c r="BQ93" i="59"/>
  <c r="BP93" i="59"/>
  <c r="BO93" i="59"/>
  <c r="BN93" i="59"/>
  <c r="BM93" i="59"/>
  <c r="Z93" i="59"/>
  <c r="Y93" i="59"/>
  <c r="X93" i="59"/>
  <c r="W93" i="59"/>
  <c r="V93" i="59"/>
  <c r="U93" i="59"/>
  <c r="T93" i="59"/>
  <c r="BS92" i="59"/>
  <c r="BR92" i="59"/>
  <c r="BQ92" i="59"/>
  <c r="BP92" i="59"/>
  <c r="BO92" i="59"/>
  <c r="BN92" i="59"/>
  <c r="BM92" i="59"/>
  <c r="Z92" i="59"/>
  <c r="Y92" i="59"/>
  <c r="X92" i="59"/>
  <c r="W92" i="59"/>
  <c r="V92" i="59"/>
  <c r="U92" i="59"/>
  <c r="T92" i="59"/>
  <c r="BS91" i="59"/>
  <c r="BR91" i="59"/>
  <c r="BQ91" i="59"/>
  <c r="BP91" i="59"/>
  <c r="BO91" i="59"/>
  <c r="BN91" i="59"/>
  <c r="BM91" i="59"/>
  <c r="Z91" i="59"/>
  <c r="Y91" i="59"/>
  <c r="X91" i="59"/>
  <c r="W91" i="59"/>
  <c r="V91" i="59"/>
  <c r="U91" i="59"/>
  <c r="T91" i="59"/>
  <c r="BS90" i="59"/>
  <c r="BR90" i="59"/>
  <c r="BQ90" i="59"/>
  <c r="BP90" i="59"/>
  <c r="BO90" i="59"/>
  <c r="BN90" i="59"/>
  <c r="BM90" i="59"/>
  <c r="Z90" i="59"/>
  <c r="Y90" i="59"/>
  <c r="X90" i="59"/>
  <c r="W90" i="59"/>
  <c r="V90" i="59"/>
  <c r="U90" i="59"/>
  <c r="T90" i="59"/>
  <c r="BS89" i="59"/>
  <c r="BR89" i="59"/>
  <c r="BQ89" i="59"/>
  <c r="BP89" i="59"/>
  <c r="BO89" i="59"/>
  <c r="BN89" i="59"/>
  <c r="BM89" i="59"/>
  <c r="Z89" i="59"/>
  <c r="Y89" i="59"/>
  <c r="X89" i="59"/>
  <c r="W89" i="59"/>
  <c r="V89" i="59"/>
  <c r="U89" i="59"/>
  <c r="T89" i="59"/>
  <c r="BS88" i="59"/>
  <c r="BR88" i="59"/>
  <c r="BQ88" i="59"/>
  <c r="BP88" i="59"/>
  <c r="BO88" i="59"/>
  <c r="BN88" i="59"/>
  <c r="BM88" i="59"/>
  <c r="Z88" i="59"/>
  <c r="Y88" i="59"/>
  <c r="X88" i="59"/>
  <c r="W88" i="59"/>
  <c r="V88" i="59"/>
  <c r="U88" i="59"/>
  <c r="T88" i="59"/>
  <c r="BS87" i="59"/>
  <c r="BR87" i="59"/>
  <c r="BQ87" i="59"/>
  <c r="BP87" i="59"/>
  <c r="BO87" i="59"/>
  <c r="BN87" i="59"/>
  <c r="BM87" i="59"/>
  <c r="Z87" i="59"/>
  <c r="Y87" i="59"/>
  <c r="X87" i="59"/>
  <c r="W87" i="59"/>
  <c r="V87" i="59"/>
  <c r="U87" i="59"/>
  <c r="T87" i="59"/>
  <c r="BS86" i="59"/>
  <c r="BR86" i="59"/>
  <c r="BQ86" i="59"/>
  <c r="BP86" i="59"/>
  <c r="BO86" i="59"/>
  <c r="BN86" i="59"/>
  <c r="BM86" i="59"/>
  <c r="Z86" i="59"/>
  <c r="Y86" i="59"/>
  <c r="X86" i="59"/>
  <c r="W86" i="59"/>
  <c r="V86" i="59"/>
  <c r="U86" i="59"/>
  <c r="T86" i="59"/>
  <c r="BS85" i="59"/>
  <c r="BR85" i="59"/>
  <c r="BQ85" i="59"/>
  <c r="BP85" i="59"/>
  <c r="BO85" i="59"/>
  <c r="BN85" i="59"/>
  <c r="BM85" i="59"/>
  <c r="Z85" i="59"/>
  <c r="Y85" i="59"/>
  <c r="X85" i="59"/>
  <c r="W85" i="59"/>
  <c r="V85" i="59"/>
  <c r="U85" i="59"/>
  <c r="T85" i="59"/>
  <c r="BS84" i="59"/>
  <c r="BR84" i="59"/>
  <c r="BQ84" i="59"/>
  <c r="BP84" i="59"/>
  <c r="BO84" i="59"/>
  <c r="BN84" i="59"/>
  <c r="BM84" i="59"/>
  <c r="Z84" i="59"/>
  <c r="Y84" i="59"/>
  <c r="X84" i="59"/>
  <c r="W84" i="59"/>
  <c r="V84" i="59"/>
  <c r="U84" i="59"/>
  <c r="T84" i="59"/>
  <c r="BS83" i="59"/>
  <c r="BR83" i="59"/>
  <c r="BQ83" i="59"/>
  <c r="BP83" i="59"/>
  <c r="BO83" i="59"/>
  <c r="BN83" i="59"/>
  <c r="BM83" i="59"/>
  <c r="Z83" i="59"/>
  <c r="Y83" i="59"/>
  <c r="X83" i="59"/>
  <c r="W83" i="59"/>
  <c r="V83" i="59"/>
  <c r="U83" i="59"/>
  <c r="T83" i="59"/>
  <c r="BS82" i="59"/>
  <c r="BR82" i="59"/>
  <c r="BQ82" i="59"/>
  <c r="BP82" i="59"/>
  <c r="BO82" i="59"/>
  <c r="BN82" i="59"/>
  <c r="BM82" i="59"/>
  <c r="Z82" i="59"/>
  <c r="Y82" i="59"/>
  <c r="X82" i="59"/>
  <c r="W82" i="59"/>
  <c r="V82" i="59"/>
  <c r="U82" i="59"/>
  <c r="T82" i="59"/>
  <c r="BS81" i="59"/>
  <c r="BR81" i="59"/>
  <c r="BQ81" i="59"/>
  <c r="BP81" i="59"/>
  <c r="BO81" i="59"/>
  <c r="BN81" i="59"/>
  <c r="BM81" i="59"/>
  <c r="Z81" i="59"/>
  <c r="Y81" i="59"/>
  <c r="X81" i="59"/>
  <c r="W81" i="59"/>
  <c r="V81" i="59"/>
  <c r="U81" i="59"/>
  <c r="T81" i="59"/>
  <c r="BS80" i="59"/>
  <c r="BR80" i="59"/>
  <c r="BQ80" i="59"/>
  <c r="BP80" i="59"/>
  <c r="BO80" i="59"/>
  <c r="BN80" i="59"/>
  <c r="BM80" i="59"/>
  <c r="Z80" i="59"/>
  <c r="Y80" i="59"/>
  <c r="X80" i="59"/>
  <c r="W80" i="59"/>
  <c r="V80" i="59"/>
  <c r="U80" i="59"/>
  <c r="T80" i="59"/>
  <c r="BS79" i="59"/>
  <c r="BR79" i="59"/>
  <c r="BQ79" i="59"/>
  <c r="BP79" i="59"/>
  <c r="BO79" i="59"/>
  <c r="BN79" i="59"/>
  <c r="BM79" i="59"/>
  <c r="Z79" i="59"/>
  <c r="Y79" i="59"/>
  <c r="X79" i="59"/>
  <c r="W79" i="59"/>
  <c r="V79" i="59"/>
  <c r="U79" i="59"/>
  <c r="T79" i="59"/>
  <c r="BS78" i="59"/>
  <c r="BR78" i="59"/>
  <c r="BQ78" i="59"/>
  <c r="BP78" i="59"/>
  <c r="BO78" i="59"/>
  <c r="BN78" i="59"/>
  <c r="BM78" i="59"/>
  <c r="Z78" i="59"/>
  <c r="Y78" i="59"/>
  <c r="X78" i="59"/>
  <c r="W78" i="59"/>
  <c r="V78" i="59"/>
  <c r="U78" i="59"/>
  <c r="T78" i="59"/>
  <c r="BS77" i="59"/>
  <c r="BR77" i="59"/>
  <c r="BQ77" i="59"/>
  <c r="BP77" i="59"/>
  <c r="BO77" i="59"/>
  <c r="BN77" i="59"/>
  <c r="BM77" i="59"/>
  <c r="Z77" i="59"/>
  <c r="Y77" i="59"/>
  <c r="X77" i="59"/>
  <c r="W77" i="59"/>
  <c r="V77" i="59"/>
  <c r="U77" i="59"/>
  <c r="T77" i="59"/>
  <c r="BS76" i="59"/>
  <c r="BR76" i="59"/>
  <c r="BQ76" i="59"/>
  <c r="BP76" i="59"/>
  <c r="BO76" i="59"/>
  <c r="BN76" i="59"/>
  <c r="BM76" i="59"/>
  <c r="Z76" i="59"/>
  <c r="Y76" i="59"/>
  <c r="X76" i="59"/>
  <c r="W76" i="59"/>
  <c r="V76" i="59"/>
  <c r="U76" i="59"/>
  <c r="T76" i="59"/>
  <c r="BS75" i="59"/>
  <c r="BR75" i="59"/>
  <c r="BQ75" i="59"/>
  <c r="BP75" i="59"/>
  <c r="BO75" i="59"/>
  <c r="BN75" i="59"/>
  <c r="BM75" i="59"/>
  <c r="Z75" i="59"/>
  <c r="Y75" i="59"/>
  <c r="X75" i="59"/>
  <c r="W75" i="59"/>
  <c r="V75" i="59"/>
  <c r="U75" i="59"/>
  <c r="T75" i="59"/>
  <c r="BS74" i="59"/>
  <c r="BR74" i="59"/>
  <c r="BQ74" i="59"/>
  <c r="BP74" i="59"/>
  <c r="BO74" i="59"/>
  <c r="BN74" i="59"/>
  <c r="BM74" i="59"/>
  <c r="Z74" i="59"/>
  <c r="Y74" i="59"/>
  <c r="X74" i="59"/>
  <c r="W74" i="59"/>
  <c r="V74" i="59"/>
  <c r="U74" i="59"/>
  <c r="T74" i="59"/>
  <c r="BS73" i="59"/>
  <c r="BR73" i="59"/>
  <c r="BQ73" i="59"/>
  <c r="BP73" i="59"/>
  <c r="BO73" i="59"/>
  <c r="BN73" i="59"/>
  <c r="BM73" i="59"/>
  <c r="Z73" i="59"/>
  <c r="Y73" i="59"/>
  <c r="X73" i="59"/>
  <c r="W73" i="59"/>
  <c r="V73" i="59"/>
  <c r="U73" i="59"/>
  <c r="T73" i="59"/>
  <c r="BS72" i="59"/>
  <c r="BR72" i="59"/>
  <c r="BQ72" i="59"/>
  <c r="BP72" i="59"/>
  <c r="BO72" i="59"/>
  <c r="BN72" i="59"/>
  <c r="BM72" i="59"/>
  <c r="Z72" i="59"/>
  <c r="Y72" i="59"/>
  <c r="X72" i="59"/>
  <c r="W72" i="59"/>
  <c r="V72" i="59"/>
  <c r="U72" i="59"/>
  <c r="T72" i="59"/>
  <c r="BS71" i="59"/>
  <c r="BR71" i="59"/>
  <c r="BQ71" i="59"/>
  <c r="BP71" i="59"/>
  <c r="BO71" i="59"/>
  <c r="BN71" i="59"/>
  <c r="BM71" i="59"/>
  <c r="Z71" i="59"/>
  <c r="Y71" i="59"/>
  <c r="X71" i="59"/>
  <c r="W71" i="59"/>
  <c r="V71" i="59"/>
  <c r="U71" i="59"/>
  <c r="T71" i="59"/>
  <c r="BS70" i="59"/>
  <c r="BR70" i="59"/>
  <c r="BQ70" i="59"/>
  <c r="BP70" i="59"/>
  <c r="BO70" i="59"/>
  <c r="BN70" i="59"/>
  <c r="BM70" i="59"/>
  <c r="Z70" i="59"/>
  <c r="Y70" i="59"/>
  <c r="X70" i="59"/>
  <c r="W70" i="59"/>
  <c r="V70" i="59"/>
  <c r="U70" i="59"/>
  <c r="T70" i="59"/>
  <c r="BS69" i="59"/>
  <c r="BR69" i="59"/>
  <c r="BQ69" i="59"/>
  <c r="BP69" i="59"/>
  <c r="BO69" i="59"/>
  <c r="BN69" i="59"/>
  <c r="BM69" i="59"/>
  <c r="Z69" i="59"/>
  <c r="Y69" i="59"/>
  <c r="X69" i="59"/>
  <c r="W69" i="59"/>
  <c r="V69" i="59"/>
  <c r="U69" i="59"/>
  <c r="T69" i="59"/>
  <c r="BS68" i="59"/>
  <c r="BR68" i="59"/>
  <c r="BQ68" i="59"/>
  <c r="BP68" i="59"/>
  <c r="BO68" i="59"/>
  <c r="BN68" i="59"/>
  <c r="BM68" i="59"/>
  <c r="Z68" i="59"/>
  <c r="Y68" i="59"/>
  <c r="X68" i="59"/>
  <c r="W68" i="59"/>
  <c r="V68" i="59"/>
  <c r="U68" i="59"/>
  <c r="T68" i="59"/>
  <c r="BS67" i="59"/>
  <c r="BR67" i="59"/>
  <c r="BQ67" i="59"/>
  <c r="BP67" i="59"/>
  <c r="BO67" i="59"/>
  <c r="BN67" i="59"/>
  <c r="BM67" i="59"/>
  <c r="Z67" i="59"/>
  <c r="Y67" i="59"/>
  <c r="X67" i="59"/>
  <c r="W67" i="59"/>
  <c r="V67" i="59"/>
  <c r="U67" i="59"/>
  <c r="T67" i="59"/>
  <c r="BS66" i="59"/>
  <c r="BR66" i="59"/>
  <c r="BQ66" i="59"/>
  <c r="BP66" i="59"/>
  <c r="BO66" i="59"/>
  <c r="BN66" i="59"/>
  <c r="BM66" i="59"/>
  <c r="Z66" i="59"/>
  <c r="Y66" i="59"/>
  <c r="X66" i="59"/>
  <c r="W66" i="59"/>
  <c r="V66" i="59"/>
  <c r="U66" i="59"/>
  <c r="T66" i="59"/>
  <c r="BS65" i="59"/>
  <c r="BR65" i="59"/>
  <c r="BQ65" i="59"/>
  <c r="BP65" i="59"/>
  <c r="BO65" i="59"/>
  <c r="BN65" i="59"/>
  <c r="BM65" i="59"/>
  <c r="Z65" i="59"/>
  <c r="Y65" i="59"/>
  <c r="X65" i="59"/>
  <c r="W65" i="59"/>
  <c r="V65" i="59"/>
  <c r="U65" i="59"/>
  <c r="T65" i="59"/>
  <c r="BS64" i="59"/>
  <c r="BR64" i="59"/>
  <c r="BQ64" i="59"/>
  <c r="BP64" i="59"/>
  <c r="BO64" i="59"/>
  <c r="BN64" i="59"/>
  <c r="BM64" i="59"/>
  <c r="Z64" i="59"/>
  <c r="Y64" i="59"/>
  <c r="X64" i="59"/>
  <c r="W64" i="59"/>
  <c r="V64" i="59"/>
  <c r="U64" i="59"/>
  <c r="T64" i="59"/>
  <c r="BS63" i="59"/>
  <c r="BR63" i="59"/>
  <c r="BQ63" i="59"/>
  <c r="BP63" i="59"/>
  <c r="BO63" i="59"/>
  <c r="BN63" i="59"/>
  <c r="BM63" i="59"/>
  <c r="Z63" i="59"/>
  <c r="Y63" i="59"/>
  <c r="X63" i="59"/>
  <c r="W63" i="59"/>
  <c r="V63" i="59"/>
  <c r="U63" i="59"/>
  <c r="T63" i="59"/>
  <c r="BS62" i="59"/>
  <c r="BR62" i="59"/>
  <c r="BQ62" i="59"/>
  <c r="BP62" i="59"/>
  <c r="BO62" i="59"/>
  <c r="BN62" i="59"/>
  <c r="BM62" i="59"/>
  <c r="Z62" i="59"/>
  <c r="Y62" i="59"/>
  <c r="X62" i="59"/>
  <c r="W62" i="59"/>
  <c r="V62" i="59"/>
  <c r="U62" i="59"/>
  <c r="T62" i="59"/>
  <c r="BS61" i="59"/>
  <c r="BR61" i="59"/>
  <c r="BQ61" i="59"/>
  <c r="BP61" i="59"/>
  <c r="BO61" i="59"/>
  <c r="BN61" i="59"/>
  <c r="BM61" i="59"/>
  <c r="Z61" i="59"/>
  <c r="Y61" i="59"/>
  <c r="X61" i="59"/>
  <c r="W61" i="59"/>
  <c r="V61" i="59"/>
  <c r="U61" i="59"/>
  <c r="T61" i="59"/>
  <c r="BS60" i="59"/>
  <c r="BR60" i="59"/>
  <c r="BQ60" i="59"/>
  <c r="BP60" i="59"/>
  <c r="BO60" i="59"/>
  <c r="BN60" i="59"/>
  <c r="BM60" i="59"/>
  <c r="Z60" i="59"/>
  <c r="Y60" i="59"/>
  <c r="X60" i="59"/>
  <c r="W60" i="59"/>
  <c r="V60" i="59"/>
  <c r="U60" i="59"/>
  <c r="T60" i="59"/>
  <c r="BS59" i="59"/>
  <c r="BR59" i="59"/>
  <c r="BQ59" i="59"/>
  <c r="BP59" i="59"/>
  <c r="BO59" i="59"/>
  <c r="BN59" i="59"/>
  <c r="BM59" i="59"/>
  <c r="Z59" i="59"/>
  <c r="Y59" i="59"/>
  <c r="X59" i="59"/>
  <c r="W59" i="59"/>
  <c r="V59" i="59"/>
  <c r="U59" i="59"/>
  <c r="T59" i="59"/>
  <c r="BS58" i="59"/>
  <c r="BR58" i="59"/>
  <c r="BQ58" i="59"/>
  <c r="BP58" i="59"/>
  <c r="BO58" i="59"/>
  <c r="BN58" i="59"/>
  <c r="BM58" i="59"/>
  <c r="Z58" i="59"/>
  <c r="Y58" i="59"/>
  <c r="X58" i="59"/>
  <c r="W58" i="59"/>
  <c r="V58" i="59"/>
  <c r="U58" i="59"/>
  <c r="T58" i="59"/>
  <c r="BS57" i="59"/>
  <c r="BR57" i="59"/>
  <c r="BQ57" i="59"/>
  <c r="BP57" i="59"/>
  <c r="BO57" i="59"/>
  <c r="BN57" i="59"/>
  <c r="BM57" i="59"/>
  <c r="Z57" i="59"/>
  <c r="Y57" i="59"/>
  <c r="X57" i="59"/>
  <c r="W57" i="59"/>
  <c r="V57" i="59"/>
  <c r="U57" i="59"/>
  <c r="T57" i="59"/>
  <c r="BS56" i="59"/>
  <c r="BR56" i="59"/>
  <c r="BQ56" i="59"/>
  <c r="BP56" i="59"/>
  <c r="BO56" i="59"/>
  <c r="BN56" i="59"/>
  <c r="BM56" i="59"/>
  <c r="Z56" i="59"/>
  <c r="Y56" i="59"/>
  <c r="X56" i="59"/>
  <c r="W56" i="59"/>
  <c r="V56" i="59"/>
  <c r="U56" i="59"/>
  <c r="T56" i="59"/>
  <c r="BS55" i="59"/>
  <c r="BR55" i="59"/>
  <c r="BQ55" i="59"/>
  <c r="BP55" i="59"/>
  <c r="BO55" i="59"/>
  <c r="BN55" i="59"/>
  <c r="BM55" i="59"/>
  <c r="Z55" i="59"/>
  <c r="Y55" i="59"/>
  <c r="X55" i="59"/>
  <c r="W55" i="59"/>
  <c r="V55" i="59"/>
  <c r="U55" i="59"/>
  <c r="T55" i="59"/>
  <c r="BS54" i="59"/>
  <c r="BR54" i="59"/>
  <c r="BQ54" i="59"/>
  <c r="BP54" i="59"/>
  <c r="BO54" i="59"/>
  <c r="BN54" i="59"/>
  <c r="BM54" i="59"/>
  <c r="Z54" i="59"/>
  <c r="Y54" i="59"/>
  <c r="X54" i="59"/>
  <c r="W54" i="59"/>
  <c r="V54" i="59"/>
  <c r="U54" i="59"/>
  <c r="T54" i="59"/>
  <c r="BS53" i="59"/>
  <c r="BR53" i="59"/>
  <c r="BQ53" i="59"/>
  <c r="BP53" i="59"/>
  <c r="BO53" i="59"/>
  <c r="BN53" i="59"/>
  <c r="BM53" i="59"/>
  <c r="Z53" i="59"/>
  <c r="Y53" i="59"/>
  <c r="X53" i="59"/>
  <c r="W53" i="59"/>
  <c r="V53" i="59"/>
  <c r="U53" i="59"/>
  <c r="T53" i="59"/>
  <c r="BS52" i="59"/>
  <c r="BR52" i="59"/>
  <c r="BQ52" i="59"/>
  <c r="BP52" i="59"/>
  <c r="BO52" i="59"/>
  <c r="BN52" i="59"/>
  <c r="BM52" i="59"/>
  <c r="Z52" i="59"/>
  <c r="Y52" i="59"/>
  <c r="X52" i="59"/>
  <c r="W52" i="59"/>
  <c r="V52" i="59"/>
  <c r="U52" i="59"/>
  <c r="T52" i="59"/>
  <c r="BS51" i="59"/>
  <c r="BR51" i="59"/>
  <c r="BQ51" i="59"/>
  <c r="BP51" i="59"/>
  <c r="BO51" i="59"/>
  <c r="BN51" i="59"/>
  <c r="BM51" i="59"/>
  <c r="Z51" i="59"/>
  <c r="Y51" i="59"/>
  <c r="X51" i="59"/>
  <c r="W51" i="59"/>
  <c r="V51" i="59"/>
  <c r="U51" i="59"/>
  <c r="T51" i="59"/>
  <c r="BS50" i="59"/>
  <c r="BR50" i="59"/>
  <c r="BQ50" i="59"/>
  <c r="BP50" i="59"/>
  <c r="BO50" i="59"/>
  <c r="BN50" i="59"/>
  <c r="BM50" i="59"/>
  <c r="Z50" i="59"/>
  <c r="Y50" i="59"/>
  <c r="X50" i="59"/>
  <c r="W50" i="59"/>
  <c r="V50" i="59"/>
  <c r="U50" i="59"/>
  <c r="T50" i="59"/>
  <c r="BS49" i="59"/>
  <c r="BR49" i="59"/>
  <c r="BQ49" i="59"/>
  <c r="BP49" i="59"/>
  <c r="BO49" i="59"/>
  <c r="BN49" i="59"/>
  <c r="BM49" i="59"/>
  <c r="Z49" i="59"/>
  <c r="Y49" i="59"/>
  <c r="X49" i="59"/>
  <c r="W49" i="59"/>
  <c r="V49" i="59"/>
  <c r="U49" i="59"/>
  <c r="T49" i="59"/>
  <c r="BS48" i="59"/>
  <c r="BR48" i="59"/>
  <c r="BQ48" i="59"/>
  <c r="BP48" i="59"/>
  <c r="BO48" i="59"/>
  <c r="BN48" i="59"/>
  <c r="BM48" i="59"/>
  <c r="Z48" i="59"/>
  <c r="Y48" i="59"/>
  <c r="X48" i="59"/>
  <c r="W48" i="59"/>
  <c r="V48" i="59"/>
  <c r="U48" i="59"/>
  <c r="T48" i="59"/>
  <c r="BS47" i="59"/>
  <c r="BR47" i="59"/>
  <c r="BQ47" i="59"/>
  <c r="BP47" i="59"/>
  <c r="BO47" i="59"/>
  <c r="BN47" i="59"/>
  <c r="BM47" i="59"/>
  <c r="Z47" i="59"/>
  <c r="Y47" i="59"/>
  <c r="X47" i="59"/>
  <c r="W47" i="59"/>
  <c r="V47" i="59"/>
  <c r="U47" i="59"/>
  <c r="T47" i="59"/>
  <c r="BS46" i="59"/>
  <c r="BR46" i="59"/>
  <c r="BQ46" i="59"/>
  <c r="BP46" i="59"/>
  <c r="BO46" i="59"/>
  <c r="BN46" i="59"/>
  <c r="BM46" i="59"/>
  <c r="Z46" i="59"/>
  <c r="Y46" i="59"/>
  <c r="X46" i="59"/>
  <c r="W46" i="59"/>
  <c r="V46" i="59"/>
  <c r="U46" i="59"/>
  <c r="T46" i="59"/>
  <c r="BS45" i="59"/>
  <c r="BR45" i="59"/>
  <c r="BQ45" i="59"/>
  <c r="BP45" i="59"/>
  <c r="BO45" i="59"/>
  <c r="BN45" i="59"/>
  <c r="BM45" i="59"/>
  <c r="Z45" i="59"/>
  <c r="Y45" i="59"/>
  <c r="X45" i="59"/>
  <c r="W45" i="59"/>
  <c r="V45" i="59"/>
  <c r="U45" i="59"/>
  <c r="T45" i="59"/>
  <c r="BS44" i="59"/>
  <c r="BR44" i="59"/>
  <c r="BQ44" i="59"/>
  <c r="BP44" i="59"/>
  <c r="BO44" i="59"/>
  <c r="BN44" i="59"/>
  <c r="BM44" i="59"/>
  <c r="Z44" i="59"/>
  <c r="Y44" i="59"/>
  <c r="X44" i="59"/>
  <c r="W44" i="59"/>
  <c r="V44" i="59"/>
  <c r="U44" i="59"/>
  <c r="T44" i="59"/>
  <c r="BS43" i="59"/>
  <c r="BR43" i="59"/>
  <c r="BQ43" i="59"/>
  <c r="BP43" i="59"/>
  <c r="BO43" i="59"/>
  <c r="BN43" i="59"/>
  <c r="BM43" i="59"/>
  <c r="Z43" i="59"/>
  <c r="Y43" i="59"/>
  <c r="X43" i="59"/>
  <c r="W43" i="59"/>
  <c r="V43" i="59"/>
  <c r="U43" i="59"/>
  <c r="T43" i="59"/>
  <c r="BS42" i="59"/>
  <c r="BR42" i="59"/>
  <c r="BQ42" i="59"/>
  <c r="BP42" i="59"/>
  <c r="BO42" i="59"/>
  <c r="BN42" i="59"/>
  <c r="BM42" i="59"/>
  <c r="Z42" i="59"/>
  <c r="Y42" i="59"/>
  <c r="X42" i="59"/>
  <c r="W42" i="59"/>
  <c r="V42" i="59"/>
  <c r="U42" i="59"/>
  <c r="T42" i="59"/>
  <c r="BS41" i="59"/>
  <c r="BR41" i="59"/>
  <c r="BQ41" i="59"/>
  <c r="BP41" i="59"/>
  <c r="BO41" i="59"/>
  <c r="BN41" i="59"/>
  <c r="BM41" i="59"/>
  <c r="Z41" i="59"/>
  <c r="Y41" i="59"/>
  <c r="X41" i="59"/>
  <c r="W41" i="59"/>
  <c r="V41" i="59"/>
  <c r="U41" i="59"/>
  <c r="T41" i="59"/>
  <c r="BS40" i="59"/>
  <c r="BR40" i="59"/>
  <c r="BQ40" i="59"/>
  <c r="BP40" i="59"/>
  <c r="BO40" i="59"/>
  <c r="BN40" i="59"/>
  <c r="BM40" i="59"/>
  <c r="Z40" i="59"/>
  <c r="Y40" i="59"/>
  <c r="X40" i="59"/>
  <c r="W40" i="59"/>
  <c r="V40" i="59"/>
  <c r="U40" i="59"/>
  <c r="T40" i="59"/>
  <c r="BS39" i="59"/>
  <c r="BR39" i="59"/>
  <c r="BQ39" i="59"/>
  <c r="BP39" i="59"/>
  <c r="BO39" i="59"/>
  <c r="BN39" i="59"/>
  <c r="BM39" i="59"/>
  <c r="Z39" i="59"/>
  <c r="Y39" i="59"/>
  <c r="X39" i="59"/>
  <c r="W39" i="59"/>
  <c r="V39" i="59"/>
  <c r="U39" i="59"/>
  <c r="T39" i="59"/>
  <c r="BS38" i="59"/>
  <c r="BR38" i="59"/>
  <c r="BQ38" i="59"/>
  <c r="BP38" i="59"/>
  <c r="BO38" i="59"/>
  <c r="BN38" i="59"/>
  <c r="BM38" i="59"/>
  <c r="Z38" i="59"/>
  <c r="Y38" i="59"/>
  <c r="X38" i="59"/>
  <c r="W38" i="59"/>
  <c r="V38" i="59"/>
  <c r="U38" i="59"/>
  <c r="T38" i="59"/>
  <c r="BS37" i="59"/>
  <c r="BR37" i="59"/>
  <c r="BQ37" i="59"/>
  <c r="BP37" i="59"/>
  <c r="BO37" i="59"/>
  <c r="BN37" i="59"/>
  <c r="BM37" i="59"/>
  <c r="Z37" i="59"/>
  <c r="Y37" i="59"/>
  <c r="X37" i="59"/>
  <c r="W37" i="59"/>
  <c r="V37" i="59"/>
  <c r="U37" i="59"/>
  <c r="T37" i="59"/>
  <c r="BS36" i="59"/>
  <c r="BR36" i="59"/>
  <c r="BQ36" i="59"/>
  <c r="BP36" i="59"/>
  <c r="BO36" i="59"/>
  <c r="BN36" i="59"/>
  <c r="BM36" i="59"/>
  <c r="Z36" i="59"/>
  <c r="Y36" i="59"/>
  <c r="X36" i="59"/>
  <c r="W36" i="59"/>
  <c r="V36" i="59"/>
  <c r="U36" i="59"/>
  <c r="T36" i="59"/>
  <c r="BS35" i="59"/>
  <c r="BR35" i="59"/>
  <c r="BQ35" i="59"/>
  <c r="BP35" i="59"/>
  <c r="BO35" i="59"/>
  <c r="BN35" i="59"/>
  <c r="BM35" i="59"/>
  <c r="Z35" i="59"/>
  <c r="Y35" i="59"/>
  <c r="X35" i="59"/>
  <c r="W35" i="59"/>
  <c r="V35" i="59"/>
  <c r="U35" i="59"/>
  <c r="T35" i="59"/>
  <c r="BS34" i="59"/>
  <c r="BR34" i="59"/>
  <c r="BQ34" i="59"/>
  <c r="BP34" i="59"/>
  <c r="BO34" i="59"/>
  <c r="BN34" i="59"/>
  <c r="BM34" i="59"/>
  <c r="Z34" i="59"/>
  <c r="Y34" i="59"/>
  <c r="X34" i="59"/>
  <c r="W34" i="59"/>
  <c r="V34" i="59"/>
  <c r="U34" i="59"/>
  <c r="T34" i="59"/>
  <c r="BS33" i="59"/>
  <c r="BR33" i="59"/>
  <c r="BQ33" i="59"/>
  <c r="BP33" i="59"/>
  <c r="BO33" i="59"/>
  <c r="BN33" i="59"/>
  <c r="BM33" i="59"/>
  <c r="Z33" i="59"/>
  <c r="Y33" i="59"/>
  <c r="X33" i="59"/>
  <c r="W33" i="59"/>
  <c r="V33" i="59"/>
  <c r="U33" i="59"/>
  <c r="T33" i="59"/>
  <c r="BS32" i="59"/>
  <c r="BR32" i="59"/>
  <c r="BQ32" i="59"/>
  <c r="BP32" i="59"/>
  <c r="BO32" i="59"/>
  <c r="BN32" i="59"/>
  <c r="BM32" i="59"/>
  <c r="Z32" i="59"/>
  <c r="Y32" i="59"/>
  <c r="X32" i="59"/>
  <c r="W32" i="59"/>
  <c r="V32" i="59"/>
  <c r="U32" i="59"/>
  <c r="T32" i="59"/>
  <c r="BS31" i="59"/>
  <c r="BR31" i="59"/>
  <c r="BQ31" i="59"/>
  <c r="BP31" i="59"/>
  <c r="BO31" i="59"/>
  <c r="BN31" i="59"/>
  <c r="BM31" i="59"/>
  <c r="Z31" i="59"/>
  <c r="Y31" i="59"/>
  <c r="X31" i="59"/>
  <c r="W31" i="59"/>
  <c r="V31" i="59"/>
  <c r="U31" i="59"/>
  <c r="T31" i="59"/>
  <c r="BS30" i="59"/>
  <c r="BR30" i="59"/>
  <c r="BQ30" i="59"/>
  <c r="BP30" i="59"/>
  <c r="BO30" i="59"/>
  <c r="BN30" i="59"/>
  <c r="BM30" i="59"/>
  <c r="Z30" i="59"/>
  <c r="Y30" i="59"/>
  <c r="X30" i="59"/>
  <c r="W30" i="59"/>
  <c r="V30" i="59"/>
  <c r="U30" i="59"/>
  <c r="T30" i="59"/>
  <c r="BS29" i="59"/>
  <c r="BR29" i="59"/>
  <c r="BQ29" i="59"/>
  <c r="BP29" i="59"/>
  <c r="BO29" i="59"/>
  <c r="BN29" i="59"/>
  <c r="BM29" i="59"/>
  <c r="BA29" i="59"/>
  <c r="AZ29" i="59"/>
  <c r="AY29" i="59"/>
  <c r="AX29" i="59"/>
  <c r="AW29" i="59"/>
  <c r="AV29" i="59"/>
  <c r="AU29" i="59"/>
  <c r="Z29" i="59"/>
  <c r="Y29" i="59"/>
  <c r="X29" i="59"/>
  <c r="W29" i="59"/>
  <c r="V29" i="59"/>
  <c r="U29" i="59"/>
  <c r="T29" i="59"/>
  <c r="H29" i="59"/>
  <c r="G29" i="59"/>
  <c r="F29" i="59"/>
  <c r="E29" i="59"/>
  <c r="D29" i="59"/>
  <c r="C29" i="59"/>
  <c r="B29" i="59"/>
  <c r="BS28" i="59"/>
  <c r="BR28" i="59"/>
  <c r="BQ28" i="59"/>
  <c r="BP28" i="59"/>
  <c r="BO28" i="59"/>
  <c r="BN28" i="59"/>
  <c r="BM28" i="59"/>
  <c r="BA28" i="59"/>
  <c r="AZ28" i="59"/>
  <c r="AY28" i="59"/>
  <c r="AX28" i="59"/>
  <c r="AW28" i="59"/>
  <c r="AV28" i="59"/>
  <c r="AU28" i="59"/>
  <c r="Z28" i="59"/>
  <c r="Y28" i="59"/>
  <c r="X28" i="59"/>
  <c r="W28" i="59"/>
  <c r="V28" i="59"/>
  <c r="U28" i="59"/>
  <c r="T28" i="59"/>
  <c r="H28" i="59"/>
  <c r="G28" i="59"/>
  <c r="F28" i="59"/>
  <c r="E28" i="59"/>
  <c r="D28" i="59"/>
  <c r="C28" i="59"/>
  <c r="B28" i="59"/>
  <c r="BS27" i="59"/>
  <c r="BR27" i="59"/>
  <c r="BQ27" i="59"/>
  <c r="BP27" i="59"/>
  <c r="BO27" i="59"/>
  <c r="BN27" i="59"/>
  <c r="BM27" i="59"/>
  <c r="BA27" i="59"/>
  <c r="AZ27" i="59"/>
  <c r="AY27" i="59"/>
  <c r="AX27" i="59"/>
  <c r="AW27" i="59"/>
  <c r="AV27" i="59"/>
  <c r="AU27" i="59"/>
  <c r="Z27" i="59"/>
  <c r="Y27" i="59"/>
  <c r="X27" i="59"/>
  <c r="W27" i="59"/>
  <c r="V27" i="59"/>
  <c r="U27" i="59"/>
  <c r="T27" i="59"/>
  <c r="H27" i="59"/>
  <c r="G27" i="59"/>
  <c r="F27" i="59"/>
  <c r="E27" i="59"/>
  <c r="D27" i="59"/>
  <c r="C27" i="59"/>
  <c r="B27" i="59"/>
  <c r="BS26" i="59"/>
  <c r="BR26" i="59"/>
  <c r="BQ26" i="59"/>
  <c r="BP26" i="59"/>
  <c r="BO26" i="59"/>
  <c r="BN26" i="59"/>
  <c r="BM26" i="59"/>
  <c r="BA26" i="59"/>
  <c r="AZ26" i="59"/>
  <c r="AY26" i="59"/>
  <c r="AX26" i="59"/>
  <c r="AW26" i="59"/>
  <c r="AV26" i="59"/>
  <c r="AU26" i="59"/>
  <c r="Z26" i="59"/>
  <c r="Y26" i="59"/>
  <c r="X26" i="59"/>
  <c r="W26" i="59"/>
  <c r="V26" i="59"/>
  <c r="U26" i="59"/>
  <c r="T26" i="59"/>
  <c r="H26" i="59"/>
  <c r="G26" i="59"/>
  <c r="F26" i="59"/>
  <c r="E26" i="59"/>
  <c r="D26" i="59"/>
  <c r="C26" i="59"/>
  <c r="B26" i="59"/>
  <c r="BS25" i="59"/>
  <c r="BR25" i="59"/>
  <c r="BQ25" i="59"/>
  <c r="BP25" i="59"/>
  <c r="BO25" i="59"/>
  <c r="BN25" i="59"/>
  <c r="BM25" i="59"/>
  <c r="BA25" i="59"/>
  <c r="AZ25" i="59"/>
  <c r="AY25" i="59"/>
  <c r="AX25" i="59"/>
  <c r="AW25" i="59"/>
  <c r="AV25" i="59"/>
  <c r="AU25" i="59"/>
  <c r="Z25" i="59"/>
  <c r="Y25" i="59"/>
  <c r="X25" i="59"/>
  <c r="W25" i="59"/>
  <c r="V25" i="59"/>
  <c r="U25" i="59"/>
  <c r="T25" i="59"/>
  <c r="H25" i="59"/>
  <c r="G25" i="59"/>
  <c r="F25" i="59"/>
  <c r="E25" i="59"/>
  <c r="D25" i="59"/>
  <c r="C25" i="59"/>
  <c r="B25" i="59"/>
  <c r="BS24" i="59"/>
  <c r="BR24" i="59"/>
  <c r="BQ24" i="59"/>
  <c r="BP24" i="59"/>
  <c r="BO24" i="59"/>
  <c r="BN24" i="59"/>
  <c r="BM24" i="59"/>
  <c r="BA24" i="59"/>
  <c r="AZ24" i="59"/>
  <c r="AY24" i="59"/>
  <c r="AX24" i="59"/>
  <c r="AW24" i="59"/>
  <c r="AV24" i="59"/>
  <c r="AU24" i="59"/>
  <c r="Z24" i="59"/>
  <c r="Y24" i="59"/>
  <c r="X24" i="59"/>
  <c r="W24" i="59"/>
  <c r="V24" i="59"/>
  <c r="U24" i="59"/>
  <c r="T24" i="59"/>
  <c r="H24" i="59"/>
  <c r="G24" i="59"/>
  <c r="F24" i="59"/>
  <c r="E24" i="59"/>
  <c r="D24" i="59"/>
  <c r="C24" i="59"/>
  <c r="B24" i="59"/>
  <c r="BS23" i="59"/>
  <c r="BR23" i="59"/>
  <c r="BQ23" i="59"/>
  <c r="BP23" i="59"/>
  <c r="BO23" i="59"/>
  <c r="BN23" i="59"/>
  <c r="BM23" i="59"/>
  <c r="BA23" i="59"/>
  <c r="AZ23" i="59"/>
  <c r="AY23" i="59"/>
  <c r="AX23" i="59"/>
  <c r="AW23" i="59"/>
  <c r="AV23" i="59"/>
  <c r="AU23" i="59"/>
  <c r="Z23" i="59"/>
  <c r="Y23" i="59"/>
  <c r="X23" i="59"/>
  <c r="W23" i="59"/>
  <c r="V23" i="59"/>
  <c r="U23" i="59"/>
  <c r="T23" i="59"/>
  <c r="H23" i="59"/>
  <c r="G23" i="59"/>
  <c r="F23" i="59"/>
  <c r="E23" i="59"/>
  <c r="D23" i="59"/>
  <c r="C23" i="59"/>
  <c r="B23" i="59"/>
  <c r="BS22" i="59"/>
  <c r="BR22" i="59"/>
  <c r="BQ22" i="59"/>
  <c r="BP22" i="59"/>
  <c r="BO22" i="59"/>
  <c r="BN22" i="59"/>
  <c r="BM22" i="59"/>
  <c r="BA22" i="59"/>
  <c r="AZ22" i="59"/>
  <c r="AY22" i="59"/>
  <c r="AX22" i="59"/>
  <c r="AW22" i="59"/>
  <c r="AV22" i="59"/>
  <c r="AU22" i="59"/>
  <c r="Z22" i="59"/>
  <c r="Y22" i="59"/>
  <c r="X22" i="59"/>
  <c r="W22" i="59"/>
  <c r="V22" i="59"/>
  <c r="U22" i="59"/>
  <c r="T22" i="59"/>
  <c r="H22" i="59"/>
  <c r="G22" i="59"/>
  <c r="F22" i="59"/>
  <c r="E22" i="59"/>
  <c r="D22" i="59"/>
  <c r="C22" i="59"/>
  <c r="B22" i="59"/>
  <c r="BS21" i="59"/>
  <c r="BR21" i="59"/>
  <c r="BQ21" i="59"/>
  <c r="BP21" i="59"/>
  <c r="BO21" i="59"/>
  <c r="BN21" i="59"/>
  <c r="BM21" i="59"/>
  <c r="BA21" i="59"/>
  <c r="AZ21" i="59"/>
  <c r="AY21" i="59"/>
  <c r="AX21" i="59"/>
  <c r="AW21" i="59"/>
  <c r="AV21" i="59"/>
  <c r="AU21" i="59"/>
  <c r="Z21" i="59"/>
  <c r="Y21" i="59"/>
  <c r="X21" i="59"/>
  <c r="W21" i="59"/>
  <c r="V21" i="59"/>
  <c r="U21" i="59"/>
  <c r="T21" i="59"/>
  <c r="H21" i="59"/>
  <c r="G21" i="59"/>
  <c r="F21" i="59"/>
  <c r="E21" i="59"/>
  <c r="D21" i="59"/>
  <c r="C21" i="59"/>
  <c r="B21" i="59"/>
  <c r="BS20" i="59"/>
  <c r="BR20" i="59"/>
  <c r="BQ20" i="59"/>
  <c r="BP20" i="59"/>
  <c r="BO20" i="59"/>
  <c r="BN20" i="59"/>
  <c r="BM20" i="59"/>
  <c r="BA20" i="59"/>
  <c r="AZ20" i="59"/>
  <c r="AY20" i="59"/>
  <c r="AX20" i="59"/>
  <c r="AW20" i="59"/>
  <c r="AV20" i="59"/>
  <c r="AU20" i="59"/>
  <c r="Z20" i="59"/>
  <c r="Y20" i="59"/>
  <c r="X20" i="59"/>
  <c r="W20" i="59"/>
  <c r="V20" i="59"/>
  <c r="U20" i="59"/>
  <c r="T20" i="59"/>
  <c r="H20" i="59"/>
  <c r="G20" i="59"/>
  <c r="F20" i="59"/>
  <c r="E20" i="59"/>
  <c r="D20" i="59"/>
  <c r="C20" i="59"/>
  <c r="B20" i="59"/>
  <c r="BS19" i="59"/>
  <c r="BR19" i="59"/>
  <c r="BQ19" i="59"/>
  <c r="BP19" i="59"/>
  <c r="BO19" i="59"/>
  <c r="BN19" i="59"/>
  <c r="BM19" i="59"/>
  <c r="BA19" i="59"/>
  <c r="AZ19" i="59"/>
  <c r="AY19" i="59"/>
  <c r="AX19" i="59"/>
  <c r="AW19" i="59"/>
  <c r="AV19" i="59"/>
  <c r="AU19" i="59"/>
  <c r="Z19" i="59"/>
  <c r="Y19" i="59"/>
  <c r="X19" i="59"/>
  <c r="W19" i="59"/>
  <c r="V19" i="59"/>
  <c r="U19" i="59"/>
  <c r="T19" i="59"/>
  <c r="H19" i="59"/>
  <c r="G19" i="59"/>
  <c r="F19" i="59"/>
  <c r="E19" i="59"/>
  <c r="D19" i="59"/>
  <c r="C19" i="59"/>
  <c r="B19" i="59"/>
  <c r="BS18" i="59"/>
  <c r="BR18" i="59"/>
  <c r="BQ18" i="59"/>
  <c r="BP18" i="59"/>
  <c r="BO18" i="59"/>
  <c r="BN18" i="59"/>
  <c r="BM18" i="59"/>
  <c r="BA18" i="59"/>
  <c r="AZ18" i="59"/>
  <c r="AY18" i="59"/>
  <c r="AX18" i="59"/>
  <c r="AW18" i="59"/>
  <c r="AV18" i="59"/>
  <c r="AU18" i="59"/>
  <c r="Z18" i="59"/>
  <c r="Y18" i="59"/>
  <c r="X18" i="59"/>
  <c r="W18" i="59"/>
  <c r="V18" i="59"/>
  <c r="U18" i="59"/>
  <c r="T18" i="59"/>
  <c r="H18" i="59"/>
  <c r="G18" i="59"/>
  <c r="F18" i="59"/>
  <c r="E18" i="59"/>
  <c r="D18" i="59"/>
  <c r="C18" i="59"/>
  <c r="B18" i="59"/>
  <c r="BS17" i="59"/>
  <c r="BR17" i="59"/>
  <c r="BQ17" i="59"/>
  <c r="BP17" i="59"/>
  <c r="BO17" i="59"/>
  <c r="BN17" i="59"/>
  <c r="BM17" i="59"/>
  <c r="BA17" i="59"/>
  <c r="AZ17" i="59"/>
  <c r="AY17" i="59"/>
  <c r="AX17" i="59"/>
  <c r="AW17" i="59"/>
  <c r="AV17" i="59"/>
  <c r="AU17" i="59"/>
  <c r="Z17" i="59"/>
  <c r="Y17" i="59"/>
  <c r="X17" i="59"/>
  <c r="W17" i="59"/>
  <c r="V17" i="59"/>
  <c r="U17" i="59"/>
  <c r="T17" i="59"/>
  <c r="H17" i="59"/>
  <c r="G17" i="59"/>
  <c r="F17" i="59"/>
  <c r="E17" i="59"/>
  <c r="D17" i="59"/>
  <c r="C17" i="59"/>
  <c r="B17" i="59"/>
  <c r="BS16" i="59"/>
  <c r="BR16" i="59"/>
  <c r="BQ16" i="59"/>
  <c r="BP16" i="59"/>
  <c r="BO16" i="59"/>
  <c r="BN16" i="59"/>
  <c r="BM16" i="59"/>
  <c r="BA16" i="59"/>
  <c r="AZ16" i="59"/>
  <c r="AY16" i="59"/>
  <c r="AX16" i="59"/>
  <c r="AW16" i="59"/>
  <c r="AV16" i="59"/>
  <c r="AU16" i="59"/>
  <c r="Z16" i="59"/>
  <c r="Y16" i="59"/>
  <c r="X16" i="59"/>
  <c r="W16" i="59"/>
  <c r="V16" i="59"/>
  <c r="U16" i="59"/>
  <c r="T16" i="59"/>
  <c r="H16" i="59"/>
  <c r="G16" i="59"/>
  <c r="F16" i="59"/>
  <c r="E16" i="59"/>
  <c r="D16" i="59"/>
  <c r="C16" i="59"/>
  <c r="B16" i="59"/>
  <c r="BS15" i="59"/>
  <c r="BR15" i="59"/>
  <c r="BQ15" i="59"/>
  <c r="BP15" i="59"/>
  <c r="BO15" i="59"/>
  <c r="BN15" i="59"/>
  <c r="BM15" i="59"/>
  <c r="BA15" i="59"/>
  <c r="AZ15" i="59"/>
  <c r="AY15" i="59"/>
  <c r="AX15" i="59"/>
  <c r="AW15" i="59"/>
  <c r="AV15" i="59"/>
  <c r="AU15" i="59"/>
  <c r="Z15" i="59"/>
  <c r="Y15" i="59"/>
  <c r="X15" i="59"/>
  <c r="W15" i="59"/>
  <c r="V15" i="59"/>
  <c r="U15" i="59"/>
  <c r="T15" i="59"/>
  <c r="H15" i="59"/>
  <c r="G15" i="59"/>
  <c r="F15" i="59"/>
  <c r="E15" i="59"/>
  <c r="D15" i="59"/>
  <c r="C15" i="59"/>
  <c r="B15" i="59"/>
  <c r="BS14" i="59"/>
  <c r="BR14" i="59"/>
  <c r="BQ14" i="59"/>
  <c r="BP14" i="59"/>
  <c r="BO14" i="59"/>
  <c r="BN14" i="59"/>
  <c r="BM14" i="59"/>
  <c r="BA14" i="59"/>
  <c r="AZ14" i="59"/>
  <c r="AY14" i="59"/>
  <c r="AX14" i="59"/>
  <c r="AW14" i="59"/>
  <c r="AV14" i="59"/>
  <c r="AU14" i="59"/>
  <c r="Z14" i="59"/>
  <c r="Y14" i="59"/>
  <c r="X14" i="59"/>
  <c r="W14" i="59"/>
  <c r="V14" i="59"/>
  <c r="U14" i="59"/>
  <c r="T14" i="59"/>
  <c r="H14" i="59"/>
  <c r="G14" i="59"/>
  <c r="F14" i="59"/>
  <c r="E14" i="59"/>
  <c r="D14" i="59"/>
  <c r="C14" i="59"/>
  <c r="B14" i="59"/>
  <c r="BS13" i="59"/>
  <c r="BR13" i="59"/>
  <c r="BQ13" i="59"/>
  <c r="BP13" i="59"/>
  <c r="BO13" i="59"/>
  <c r="BN13" i="59"/>
  <c r="BM13" i="59"/>
  <c r="BA13" i="59"/>
  <c r="AZ13" i="59"/>
  <c r="AY13" i="59"/>
  <c r="AX13" i="59"/>
  <c r="AW13" i="59"/>
  <c r="AV13" i="59"/>
  <c r="AU13" i="59"/>
  <c r="Z13" i="59"/>
  <c r="Y13" i="59"/>
  <c r="X13" i="59"/>
  <c r="W13" i="59"/>
  <c r="V13" i="59"/>
  <c r="U13" i="59"/>
  <c r="T13" i="59"/>
  <c r="H13" i="59"/>
  <c r="G13" i="59"/>
  <c r="F13" i="59"/>
  <c r="E13" i="59"/>
  <c r="D13" i="59"/>
  <c r="C13" i="59"/>
  <c r="B13" i="59"/>
  <c r="BS12" i="59"/>
  <c r="BR12" i="59"/>
  <c r="BQ12" i="59"/>
  <c r="BP12" i="59"/>
  <c r="BO12" i="59"/>
  <c r="BN12" i="59"/>
  <c r="BM12" i="59"/>
  <c r="BA12" i="59"/>
  <c r="AZ12" i="59"/>
  <c r="AY12" i="59"/>
  <c r="AX12" i="59"/>
  <c r="AW12" i="59"/>
  <c r="AV12" i="59"/>
  <c r="AU12" i="59"/>
  <c r="Z12" i="59"/>
  <c r="Y12" i="59"/>
  <c r="X12" i="59"/>
  <c r="W12" i="59"/>
  <c r="V12" i="59"/>
  <c r="U12" i="59"/>
  <c r="T12" i="59"/>
  <c r="H12" i="59"/>
  <c r="G12" i="59"/>
  <c r="F12" i="59"/>
  <c r="E12" i="59"/>
  <c r="D12" i="59"/>
  <c r="C12" i="59"/>
  <c r="B12" i="59"/>
  <c r="BS11" i="59"/>
  <c r="BR11" i="59"/>
  <c r="BQ11" i="59"/>
  <c r="BP11" i="59"/>
  <c r="BO11" i="59"/>
  <c r="BN11" i="59"/>
  <c r="BM11" i="59"/>
  <c r="BA11" i="59"/>
  <c r="AZ11" i="59"/>
  <c r="AY11" i="59"/>
  <c r="AX11" i="59"/>
  <c r="AW11" i="59"/>
  <c r="AV11" i="59"/>
  <c r="AU11" i="59"/>
  <c r="Z11" i="59"/>
  <c r="Y11" i="59"/>
  <c r="X11" i="59"/>
  <c r="W11" i="59"/>
  <c r="V11" i="59"/>
  <c r="U11" i="59"/>
  <c r="T11" i="59"/>
  <c r="H11" i="59"/>
  <c r="G11" i="59"/>
  <c r="F11" i="59"/>
  <c r="E11" i="59"/>
  <c r="D11" i="59"/>
  <c r="C11" i="59"/>
  <c r="B11" i="59"/>
  <c r="BS10" i="59"/>
  <c r="BR10" i="59"/>
  <c r="BQ10" i="59"/>
  <c r="BP10" i="59"/>
  <c r="BO10" i="59"/>
  <c r="BN10" i="59"/>
  <c r="BM10" i="59"/>
  <c r="BA10" i="59"/>
  <c r="AZ10" i="59"/>
  <c r="AY10" i="59"/>
  <c r="AX10" i="59"/>
  <c r="AW10" i="59"/>
  <c r="AV10" i="59"/>
  <c r="AU10" i="59"/>
  <c r="Z10" i="59"/>
  <c r="Y10" i="59"/>
  <c r="X10" i="59"/>
  <c r="W10" i="59"/>
  <c r="V10" i="59"/>
  <c r="U10" i="59"/>
  <c r="T10" i="59"/>
  <c r="H10" i="59"/>
  <c r="G10" i="59"/>
  <c r="F10" i="59"/>
  <c r="E10" i="59"/>
  <c r="D10" i="59"/>
  <c r="C10" i="59"/>
  <c r="B10" i="59"/>
  <c r="BS9" i="59"/>
  <c r="BR9" i="59"/>
  <c r="BQ9" i="59"/>
  <c r="BP9" i="59"/>
  <c r="BO9" i="59"/>
  <c r="BN9" i="59"/>
  <c r="BM9" i="59"/>
  <c r="BA9" i="59"/>
  <c r="AZ9" i="59"/>
  <c r="AY9" i="59"/>
  <c r="AX9" i="59"/>
  <c r="AW9" i="59"/>
  <c r="AV9" i="59"/>
  <c r="AU9" i="59"/>
  <c r="Z9" i="59"/>
  <c r="Y9" i="59"/>
  <c r="X9" i="59"/>
  <c r="W9" i="59"/>
  <c r="V9" i="59"/>
  <c r="U9" i="59"/>
  <c r="T9" i="59"/>
  <c r="H9" i="59"/>
  <c r="G9" i="59"/>
  <c r="F9" i="59"/>
  <c r="E9" i="59"/>
  <c r="D9" i="59"/>
  <c r="C9" i="59"/>
  <c r="B9" i="59"/>
  <c r="BS8" i="59"/>
  <c r="BR8" i="59"/>
  <c r="BQ8" i="59"/>
  <c r="BP8" i="59"/>
  <c r="BO8" i="59"/>
  <c r="BN8" i="59"/>
  <c r="BM8" i="59"/>
  <c r="BA8" i="59"/>
  <c r="AZ8" i="59"/>
  <c r="AY8" i="59"/>
  <c r="AX8" i="59"/>
  <c r="AW8" i="59"/>
  <c r="AV8" i="59"/>
  <c r="AU8" i="59"/>
  <c r="Z8" i="59"/>
  <c r="Y8" i="59"/>
  <c r="X8" i="59"/>
  <c r="W8" i="59"/>
  <c r="V8" i="59"/>
  <c r="U8" i="59"/>
  <c r="T8" i="59"/>
  <c r="H8" i="59"/>
  <c r="G8" i="59"/>
  <c r="F8" i="59"/>
  <c r="E8" i="59"/>
  <c r="D8" i="59"/>
  <c r="C8" i="59"/>
  <c r="B8" i="59"/>
  <c r="BS7" i="59"/>
  <c r="BR7" i="59"/>
  <c r="BQ7" i="59"/>
  <c r="BP7" i="59"/>
  <c r="BO7" i="59"/>
  <c r="BN7" i="59"/>
  <c r="BM7" i="59"/>
  <c r="BA7" i="59"/>
  <c r="AZ7" i="59"/>
  <c r="AY7" i="59"/>
  <c r="AX7" i="59"/>
  <c r="AW7" i="59"/>
  <c r="AV7" i="59"/>
  <c r="AU7" i="59"/>
  <c r="Z7" i="59"/>
  <c r="Y7" i="59"/>
  <c r="X7" i="59"/>
  <c r="W7" i="59"/>
  <c r="V7" i="59"/>
  <c r="U7" i="59"/>
  <c r="T7" i="59"/>
  <c r="H7" i="59"/>
  <c r="G7" i="59"/>
  <c r="F7" i="59"/>
  <c r="E7" i="59"/>
  <c r="D7" i="59"/>
  <c r="C7" i="59"/>
  <c r="B7" i="59"/>
  <c r="BS6" i="59"/>
  <c r="BR6" i="59"/>
  <c r="BQ6" i="59"/>
  <c r="BP6" i="59"/>
  <c r="BO6" i="59"/>
  <c r="BN6" i="59"/>
  <c r="BM6" i="59"/>
  <c r="BA6" i="59"/>
  <c r="AZ6" i="59"/>
  <c r="AY6" i="59"/>
  <c r="AX6" i="59"/>
  <c r="AW6" i="59"/>
  <c r="AV6" i="59"/>
  <c r="AU6" i="59"/>
  <c r="Z6" i="59"/>
  <c r="Y6" i="59"/>
  <c r="X6" i="59"/>
  <c r="W6" i="59"/>
  <c r="V6" i="59"/>
  <c r="U6" i="59"/>
  <c r="T6" i="59"/>
  <c r="H6" i="59"/>
  <c r="G6" i="59"/>
  <c r="F6" i="59"/>
  <c r="E6" i="59"/>
  <c r="D6" i="59"/>
  <c r="C6" i="59"/>
  <c r="B6" i="59"/>
  <c r="BS5" i="59"/>
  <c r="BR5" i="59"/>
  <c r="BQ5" i="59"/>
  <c r="BP5" i="59"/>
  <c r="BO5" i="59"/>
  <c r="BN5" i="59"/>
  <c r="BM5" i="59"/>
  <c r="BA5" i="59"/>
  <c r="AZ5" i="59"/>
  <c r="AY5" i="59"/>
  <c r="AX5" i="59"/>
  <c r="AW5" i="59"/>
  <c r="AV5" i="59"/>
  <c r="AU5" i="59"/>
  <c r="Z5" i="59"/>
  <c r="Y5" i="59"/>
  <c r="X5" i="59"/>
  <c r="W5" i="59"/>
  <c r="V5" i="59"/>
  <c r="U5" i="59"/>
  <c r="T5" i="59"/>
  <c r="H5" i="59"/>
  <c r="G5" i="59"/>
  <c r="F5" i="59"/>
  <c r="E5" i="59"/>
  <c r="D5" i="59"/>
  <c r="C5" i="59"/>
  <c r="B5" i="59"/>
  <c r="BS4" i="59"/>
  <c r="BR4" i="59"/>
  <c r="BQ4" i="59"/>
  <c r="BP4" i="59"/>
  <c r="BO4" i="59"/>
  <c r="BN4" i="59"/>
  <c r="BM4" i="59"/>
  <c r="BA4" i="59"/>
  <c r="AZ4" i="59"/>
  <c r="AY4" i="59"/>
  <c r="AX4" i="59"/>
  <c r="AW4" i="59"/>
  <c r="AV4" i="59"/>
  <c r="AU4" i="59"/>
  <c r="Z4" i="59"/>
  <c r="Y4" i="59"/>
  <c r="X4" i="59"/>
  <c r="W4" i="59"/>
  <c r="V4" i="59"/>
  <c r="U4" i="59"/>
  <c r="T4" i="59"/>
  <c r="H4" i="59"/>
  <c r="G4" i="59"/>
  <c r="F4" i="59"/>
  <c r="E4" i="59"/>
  <c r="D4" i="59"/>
  <c r="C4" i="59"/>
  <c r="B4" i="59"/>
  <c r="D23" i="62"/>
  <c r="X18" i="62"/>
  <c r="S18" i="62"/>
  <c r="N18" i="62"/>
  <c r="I18" i="62"/>
  <c r="D18" i="62"/>
  <c r="G9" i="58"/>
  <c r="E9" i="58"/>
  <c r="G7" i="58"/>
  <c r="G5" i="58"/>
  <c r="BM253" i="61"/>
  <c r="BK253" i="61"/>
  <c r="BI253" i="61"/>
  <c r="BG253" i="61"/>
  <c r="BE253" i="61"/>
  <c r="BC253" i="61"/>
  <c r="BA253" i="61"/>
  <c r="AY253" i="61"/>
  <c r="AX253" i="61"/>
  <c r="AW253" i="61"/>
  <c r="AV253" i="61"/>
  <c r="AU253" i="61"/>
  <c r="AT253" i="61"/>
  <c r="AS253" i="61"/>
  <c r="AR253" i="61"/>
  <c r="AQ253" i="61"/>
  <c r="R253" i="61"/>
  <c r="P253" i="61"/>
  <c r="BM252" i="61"/>
  <c r="BK252" i="61"/>
  <c r="BI252" i="61"/>
  <c r="BG252" i="61"/>
  <c r="BE252" i="61"/>
  <c r="BC252" i="61"/>
  <c r="BA252" i="61"/>
  <c r="AY252" i="61"/>
  <c r="AX252" i="61"/>
  <c r="AW252" i="61"/>
  <c r="AV252" i="61"/>
  <c r="AU252" i="61"/>
  <c r="AT252" i="61"/>
  <c r="AS252" i="61"/>
  <c r="AR252" i="61"/>
  <c r="AQ252" i="61"/>
  <c r="R252" i="61"/>
  <c r="P252" i="61"/>
  <c r="BM251" i="61"/>
  <c r="BK251" i="61"/>
  <c r="BI251" i="61"/>
  <c r="BG251" i="61"/>
  <c r="BE251" i="61"/>
  <c r="BC251" i="61"/>
  <c r="BA251" i="61"/>
  <c r="AY251" i="61"/>
  <c r="AX251" i="61"/>
  <c r="AW251" i="61"/>
  <c r="AV251" i="61"/>
  <c r="AU251" i="61"/>
  <c r="AT251" i="61"/>
  <c r="AS251" i="61"/>
  <c r="AR251" i="61"/>
  <c r="AQ251" i="61"/>
  <c r="R251" i="61"/>
  <c r="P251" i="61"/>
  <c r="BM250" i="61"/>
  <c r="BK250" i="61"/>
  <c r="BI250" i="61"/>
  <c r="BG250" i="61"/>
  <c r="BE250" i="61"/>
  <c r="BC250" i="61"/>
  <c r="BA250" i="61"/>
  <c r="AY250" i="61"/>
  <c r="AX250" i="61"/>
  <c r="AW250" i="61"/>
  <c r="AV250" i="61"/>
  <c r="AU250" i="61"/>
  <c r="AT250" i="61"/>
  <c r="AS250" i="61"/>
  <c r="AR250" i="61"/>
  <c r="AQ250" i="61"/>
  <c r="R250" i="61"/>
  <c r="P250" i="61"/>
  <c r="BM249" i="61"/>
  <c r="BK249" i="61"/>
  <c r="BI249" i="61"/>
  <c r="BG249" i="61"/>
  <c r="BE249" i="61"/>
  <c r="BC249" i="61"/>
  <c r="BA249" i="61"/>
  <c r="AY249" i="61"/>
  <c r="AX249" i="61"/>
  <c r="AW249" i="61"/>
  <c r="AV249" i="61"/>
  <c r="AU249" i="61"/>
  <c r="AT249" i="61"/>
  <c r="AS249" i="61"/>
  <c r="AR249" i="61"/>
  <c r="AQ249" i="61"/>
  <c r="R249" i="61"/>
  <c r="P249" i="61"/>
  <c r="BM248" i="61"/>
  <c r="BK248" i="61"/>
  <c r="BI248" i="61"/>
  <c r="BG248" i="61"/>
  <c r="BE248" i="61"/>
  <c r="BC248" i="61"/>
  <c r="BA248" i="61"/>
  <c r="AY248" i="61"/>
  <c r="AX248" i="61"/>
  <c r="AW248" i="61"/>
  <c r="AV248" i="61"/>
  <c r="AU248" i="61"/>
  <c r="AT248" i="61"/>
  <c r="AS248" i="61"/>
  <c r="AR248" i="61"/>
  <c r="AQ248" i="61"/>
  <c r="R248" i="61"/>
  <c r="P248" i="61"/>
  <c r="BM247" i="61"/>
  <c r="BK247" i="61"/>
  <c r="BI247" i="61"/>
  <c r="BG247" i="61"/>
  <c r="BE247" i="61"/>
  <c r="BC247" i="61"/>
  <c r="BA247" i="61"/>
  <c r="AY247" i="61"/>
  <c r="AX247" i="61"/>
  <c r="AW247" i="61"/>
  <c r="AV247" i="61"/>
  <c r="AU247" i="61"/>
  <c r="AT247" i="61"/>
  <c r="AS247" i="61"/>
  <c r="AR247" i="61"/>
  <c r="AQ247" i="61"/>
  <c r="R247" i="61"/>
  <c r="P247" i="61"/>
  <c r="BM246" i="61"/>
  <c r="BK246" i="61"/>
  <c r="BI246" i="61"/>
  <c r="BG246" i="61"/>
  <c r="BE246" i="61"/>
  <c r="BC246" i="61"/>
  <c r="BA246" i="61"/>
  <c r="AY246" i="61"/>
  <c r="AX246" i="61"/>
  <c r="AW246" i="61"/>
  <c r="AV246" i="61"/>
  <c r="AU246" i="61"/>
  <c r="AT246" i="61"/>
  <c r="AS246" i="61"/>
  <c r="AR246" i="61"/>
  <c r="AQ246" i="61"/>
  <c r="R246" i="61"/>
  <c r="P246" i="61"/>
  <c r="BM245" i="61"/>
  <c r="BK245" i="61"/>
  <c r="BI245" i="61"/>
  <c r="BG245" i="61"/>
  <c r="BE245" i="61"/>
  <c r="BC245" i="61"/>
  <c r="BA245" i="61"/>
  <c r="AY245" i="61"/>
  <c r="AX245" i="61"/>
  <c r="AW245" i="61"/>
  <c r="AV245" i="61"/>
  <c r="AU245" i="61"/>
  <c r="AT245" i="61"/>
  <c r="AS245" i="61"/>
  <c r="AR245" i="61"/>
  <c r="AQ245" i="61"/>
  <c r="R245" i="61"/>
  <c r="P245" i="61"/>
  <c r="BM244" i="61"/>
  <c r="BK244" i="61"/>
  <c r="BI244" i="61"/>
  <c r="BG244" i="61"/>
  <c r="BE244" i="61"/>
  <c r="BC244" i="61"/>
  <c r="BA244" i="61"/>
  <c r="AY244" i="61"/>
  <c r="AX244" i="61"/>
  <c r="AW244" i="61"/>
  <c r="AV244" i="61"/>
  <c r="AU244" i="61"/>
  <c r="AT244" i="61"/>
  <c r="AS244" i="61"/>
  <c r="AR244" i="61"/>
  <c r="AQ244" i="61"/>
  <c r="R244" i="61"/>
  <c r="P244" i="61"/>
  <c r="BM243" i="61"/>
  <c r="BK243" i="61"/>
  <c r="BI243" i="61"/>
  <c r="BG243" i="61"/>
  <c r="BE243" i="61"/>
  <c r="BC243" i="61"/>
  <c r="BA243" i="61"/>
  <c r="AY243" i="61"/>
  <c r="AX243" i="61"/>
  <c r="AW243" i="61"/>
  <c r="AV243" i="61"/>
  <c r="AU243" i="61"/>
  <c r="AT243" i="61"/>
  <c r="AS243" i="61"/>
  <c r="AR243" i="61"/>
  <c r="AQ243" i="61"/>
  <c r="R243" i="61"/>
  <c r="P243" i="61"/>
  <c r="BM242" i="61"/>
  <c r="BK242" i="61"/>
  <c r="BI242" i="61"/>
  <c r="BG242" i="61"/>
  <c r="BE242" i="61"/>
  <c r="BC242" i="61"/>
  <c r="BA242" i="61"/>
  <c r="AY242" i="61"/>
  <c r="AX242" i="61"/>
  <c r="AW242" i="61"/>
  <c r="AV242" i="61"/>
  <c r="AU242" i="61"/>
  <c r="AT242" i="61"/>
  <c r="AS242" i="61"/>
  <c r="AR242" i="61"/>
  <c r="AQ242" i="61"/>
  <c r="R242" i="61"/>
  <c r="P242" i="61"/>
  <c r="BM241" i="61"/>
  <c r="BK241" i="61"/>
  <c r="BI241" i="61"/>
  <c r="BG241" i="61"/>
  <c r="BE241" i="61"/>
  <c r="BC241" i="61"/>
  <c r="BA241" i="61"/>
  <c r="AY241" i="61"/>
  <c r="AX241" i="61"/>
  <c r="AW241" i="61"/>
  <c r="AV241" i="61"/>
  <c r="AU241" i="61"/>
  <c r="AT241" i="61"/>
  <c r="AS241" i="61"/>
  <c r="AR241" i="61"/>
  <c r="AQ241" i="61"/>
  <c r="R241" i="61"/>
  <c r="P241" i="61"/>
  <c r="BM240" i="61"/>
  <c r="BK240" i="61"/>
  <c r="BI240" i="61"/>
  <c r="BG240" i="61"/>
  <c r="BE240" i="61"/>
  <c r="BC240" i="61"/>
  <c r="BA240" i="61"/>
  <c r="AY240" i="61"/>
  <c r="AX240" i="61"/>
  <c r="AW240" i="61"/>
  <c r="AV240" i="61"/>
  <c r="AU240" i="61"/>
  <c r="AT240" i="61"/>
  <c r="AS240" i="61"/>
  <c r="AR240" i="61"/>
  <c r="AQ240" i="61"/>
  <c r="R240" i="61"/>
  <c r="P240" i="61"/>
  <c r="BM239" i="61"/>
  <c r="BK239" i="61"/>
  <c r="BI239" i="61"/>
  <c r="BG239" i="61"/>
  <c r="BE239" i="61"/>
  <c r="BC239" i="61"/>
  <c r="BA239" i="61"/>
  <c r="AY239" i="61"/>
  <c r="AX239" i="61"/>
  <c r="AW239" i="61"/>
  <c r="AV239" i="61"/>
  <c r="AU239" i="61"/>
  <c r="AT239" i="61"/>
  <c r="AS239" i="61"/>
  <c r="AR239" i="61"/>
  <c r="AQ239" i="61"/>
  <c r="R239" i="61"/>
  <c r="P239" i="61"/>
  <c r="BM238" i="61"/>
  <c r="BK238" i="61"/>
  <c r="BI238" i="61"/>
  <c r="BG238" i="61"/>
  <c r="BE238" i="61"/>
  <c r="BC238" i="61"/>
  <c r="BA238" i="61"/>
  <c r="AY238" i="61"/>
  <c r="AX238" i="61"/>
  <c r="AW238" i="61"/>
  <c r="AV238" i="61"/>
  <c r="AU238" i="61"/>
  <c r="AT238" i="61"/>
  <c r="AS238" i="61"/>
  <c r="AR238" i="61"/>
  <c r="AQ238" i="61"/>
  <c r="R238" i="61"/>
  <c r="P238" i="61"/>
  <c r="BM237" i="61"/>
  <c r="BK237" i="61"/>
  <c r="BI237" i="61"/>
  <c r="BG237" i="61"/>
  <c r="BE237" i="61"/>
  <c r="BC237" i="61"/>
  <c r="BA237" i="61"/>
  <c r="AY237" i="61"/>
  <c r="AX237" i="61"/>
  <c r="AW237" i="61"/>
  <c r="AV237" i="61"/>
  <c r="AU237" i="61"/>
  <c r="AT237" i="61"/>
  <c r="AS237" i="61"/>
  <c r="AR237" i="61"/>
  <c r="AQ237" i="61"/>
  <c r="R237" i="61"/>
  <c r="P237" i="61"/>
  <c r="BM236" i="61"/>
  <c r="BK236" i="61"/>
  <c r="BI236" i="61"/>
  <c r="BG236" i="61"/>
  <c r="BE236" i="61"/>
  <c r="BC236" i="61"/>
  <c r="BA236" i="61"/>
  <c r="AY236" i="61"/>
  <c r="AX236" i="61"/>
  <c r="AW236" i="61"/>
  <c r="AV236" i="61"/>
  <c r="AU236" i="61"/>
  <c r="AT236" i="61"/>
  <c r="AS236" i="61"/>
  <c r="AR236" i="61"/>
  <c r="AQ236" i="61"/>
  <c r="R236" i="61"/>
  <c r="P236" i="61"/>
  <c r="BM235" i="61"/>
  <c r="BK235" i="61"/>
  <c r="BI235" i="61"/>
  <c r="BG235" i="61"/>
  <c r="BE235" i="61"/>
  <c r="BC235" i="61"/>
  <c r="BA235" i="61"/>
  <c r="AY235" i="61"/>
  <c r="AX235" i="61"/>
  <c r="AW235" i="61"/>
  <c r="AV235" i="61"/>
  <c r="AU235" i="61"/>
  <c r="AT235" i="61"/>
  <c r="AS235" i="61"/>
  <c r="AR235" i="61"/>
  <c r="AQ235" i="61"/>
  <c r="R235" i="61"/>
  <c r="P235" i="61"/>
  <c r="BM234" i="61"/>
  <c r="BK234" i="61"/>
  <c r="BI234" i="61"/>
  <c r="BG234" i="61"/>
  <c r="BE234" i="61"/>
  <c r="BC234" i="61"/>
  <c r="BA234" i="61"/>
  <c r="AY234" i="61"/>
  <c r="AX234" i="61"/>
  <c r="AW234" i="61"/>
  <c r="AV234" i="61"/>
  <c r="AU234" i="61"/>
  <c r="AT234" i="61"/>
  <c r="AS234" i="61"/>
  <c r="AR234" i="61"/>
  <c r="AQ234" i="61"/>
  <c r="R234" i="61"/>
  <c r="P234" i="61"/>
  <c r="BM233" i="61"/>
  <c r="BK233" i="61"/>
  <c r="BI233" i="61"/>
  <c r="BG233" i="61"/>
  <c r="BE233" i="61"/>
  <c r="BC233" i="61"/>
  <c r="BA233" i="61"/>
  <c r="AY233" i="61"/>
  <c r="AX233" i="61"/>
  <c r="AW233" i="61"/>
  <c r="AV233" i="61"/>
  <c r="AU233" i="61"/>
  <c r="AT233" i="61"/>
  <c r="AS233" i="61"/>
  <c r="AR233" i="61"/>
  <c r="AQ233" i="61"/>
  <c r="R233" i="61"/>
  <c r="P233" i="61"/>
  <c r="BM232" i="61"/>
  <c r="BK232" i="61"/>
  <c r="BI232" i="61"/>
  <c r="BG232" i="61"/>
  <c r="BE232" i="61"/>
  <c r="BC232" i="61"/>
  <c r="BA232" i="61"/>
  <c r="AY232" i="61"/>
  <c r="AX232" i="61"/>
  <c r="AW232" i="61"/>
  <c r="AV232" i="61"/>
  <c r="AU232" i="61"/>
  <c r="AT232" i="61"/>
  <c r="AS232" i="61"/>
  <c r="AR232" i="61"/>
  <c r="AQ232" i="61"/>
  <c r="R232" i="61"/>
  <c r="P232" i="61"/>
  <c r="BM231" i="61"/>
  <c r="BK231" i="61"/>
  <c r="BI231" i="61"/>
  <c r="BG231" i="61"/>
  <c r="BE231" i="61"/>
  <c r="BC231" i="61"/>
  <c r="BA231" i="61"/>
  <c r="AY231" i="61"/>
  <c r="AX231" i="61"/>
  <c r="AW231" i="61"/>
  <c r="AV231" i="61"/>
  <c r="AU231" i="61"/>
  <c r="AT231" i="61"/>
  <c r="AS231" i="61"/>
  <c r="AR231" i="61"/>
  <c r="AQ231" i="61"/>
  <c r="R231" i="61"/>
  <c r="P231" i="61"/>
  <c r="BM230" i="61"/>
  <c r="BK230" i="61"/>
  <c r="BI230" i="61"/>
  <c r="BG230" i="61"/>
  <c r="BE230" i="61"/>
  <c r="BC230" i="61"/>
  <c r="BA230" i="61"/>
  <c r="AY230" i="61"/>
  <c r="AX230" i="61"/>
  <c r="AW230" i="61"/>
  <c r="AV230" i="61"/>
  <c r="AU230" i="61"/>
  <c r="AT230" i="61"/>
  <c r="AS230" i="61"/>
  <c r="AR230" i="61"/>
  <c r="AQ230" i="61"/>
  <c r="R230" i="61"/>
  <c r="P230" i="61"/>
  <c r="BM229" i="61"/>
  <c r="BK229" i="61"/>
  <c r="BI229" i="61"/>
  <c r="BG229" i="61"/>
  <c r="BE229" i="61"/>
  <c r="BC229" i="61"/>
  <c r="BA229" i="61"/>
  <c r="AY229" i="61"/>
  <c r="AX229" i="61"/>
  <c r="AW229" i="61"/>
  <c r="AV229" i="61"/>
  <c r="AU229" i="61"/>
  <c r="AT229" i="61"/>
  <c r="AS229" i="61"/>
  <c r="AR229" i="61"/>
  <c r="AQ229" i="61"/>
  <c r="R229" i="61"/>
  <c r="P229" i="61"/>
  <c r="BM228" i="61"/>
  <c r="BK228" i="61"/>
  <c r="BI228" i="61"/>
  <c r="BG228" i="61"/>
  <c r="BE228" i="61"/>
  <c r="BC228" i="61"/>
  <c r="BA228" i="61"/>
  <c r="AY228" i="61"/>
  <c r="AX228" i="61"/>
  <c r="AW228" i="61"/>
  <c r="AV228" i="61"/>
  <c r="AU228" i="61"/>
  <c r="AT228" i="61"/>
  <c r="AS228" i="61"/>
  <c r="AR228" i="61"/>
  <c r="AQ228" i="61"/>
  <c r="R228" i="61"/>
  <c r="P228" i="61"/>
  <c r="BM227" i="61"/>
  <c r="BK227" i="61"/>
  <c r="BI227" i="61"/>
  <c r="BG227" i="61"/>
  <c r="BE227" i="61"/>
  <c r="BC227" i="61"/>
  <c r="BA227" i="61"/>
  <c r="AY227" i="61"/>
  <c r="AX227" i="61"/>
  <c r="AW227" i="61"/>
  <c r="AV227" i="61"/>
  <c r="AU227" i="61"/>
  <c r="AT227" i="61"/>
  <c r="AS227" i="61"/>
  <c r="AR227" i="61"/>
  <c r="AQ227" i="61"/>
  <c r="R227" i="61"/>
  <c r="P227" i="61"/>
  <c r="BM226" i="61"/>
  <c r="BK226" i="61"/>
  <c r="BI226" i="61"/>
  <c r="BG226" i="61"/>
  <c r="BE226" i="61"/>
  <c r="BC226" i="61"/>
  <c r="BA226" i="61"/>
  <c r="AY226" i="61"/>
  <c r="AX226" i="61"/>
  <c r="AW226" i="61"/>
  <c r="AV226" i="61"/>
  <c r="AU226" i="61"/>
  <c r="AT226" i="61"/>
  <c r="AS226" i="61"/>
  <c r="AR226" i="61"/>
  <c r="AQ226" i="61"/>
  <c r="R226" i="61"/>
  <c r="P226" i="61"/>
  <c r="BM225" i="61"/>
  <c r="BK225" i="61"/>
  <c r="BI225" i="61"/>
  <c r="BG225" i="61"/>
  <c r="BE225" i="61"/>
  <c r="BC225" i="61"/>
  <c r="BA225" i="61"/>
  <c r="AY225" i="61"/>
  <c r="AX225" i="61"/>
  <c r="AW225" i="61"/>
  <c r="AV225" i="61"/>
  <c r="AU225" i="61"/>
  <c r="AT225" i="61"/>
  <c r="AS225" i="61"/>
  <c r="AR225" i="61"/>
  <c r="AQ225" i="61"/>
  <c r="R225" i="61"/>
  <c r="P225" i="61"/>
  <c r="BM224" i="61"/>
  <c r="BK224" i="61"/>
  <c r="BI224" i="61"/>
  <c r="BG224" i="61"/>
  <c r="BE224" i="61"/>
  <c r="BC224" i="61"/>
  <c r="BA224" i="61"/>
  <c r="AY224" i="61"/>
  <c r="AX224" i="61"/>
  <c r="AW224" i="61"/>
  <c r="AV224" i="61"/>
  <c r="AU224" i="61"/>
  <c r="AT224" i="61"/>
  <c r="AS224" i="61"/>
  <c r="AR224" i="61"/>
  <c r="AQ224" i="61"/>
  <c r="R224" i="61"/>
  <c r="P224" i="61"/>
  <c r="BM223" i="61"/>
  <c r="BK223" i="61"/>
  <c r="BI223" i="61"/>
  <c r="BG223" i="61"/>
  <c r="BE223" i="61"/>
  <c r="BC223" i="61"/>
  <c r="BA223" i="61"/>
  <c r="AY223" i="61"/>
  <c r="AX223" i="61"/>
  <c r="AW223" i="61"/>
  <c r="AV223" i="61"/>
  <c r="AU223" i="61"/>
  <c r="AT223" i="61"/>
  <c r="AS223" i="61"/>
  <c r="AR223" i="61"/>
  <c r="AQ223" i="61"/>
  <c r="R223" i="61"/>
  <c r="P223" i="61"/>
  <c r="BM222" i="61"/>
  <c r="BK222" i="61"/>
  <c r="BI222" i="61"/>
  <c r="BG222" i="61"/>
  <c r="BE222" i="61"/>
  <c r="BC222" i="61"/>
  <c r="BA222" i="61"/>
  <c r="AY222" i="61"/>
  <c r="AX222" i="61"/>
  <c r="AW222" i="61"/>
  <c r="AV222" i="61"/>
  <c r="AU222" i="61"/>
  <c r="AT222" i="61"/>
  <c r="AS222" i="61"/>
  <c r="AR222" i="61"/>
  <c r="AQ222" i="61"/>
  <c r="R222" i="61"/>
  <c r="P222" i="61"/>
  <c r="BM221" i="61"/>
  <c r="BK221" i="61"/>
  <c r="BI221" i="61"/>
  <c r="BG221" i="61"/>
  <c r="BE221" i="61"/>
  <c r="BC221" i="61"/>
  <c r="BA221" i="61"/>
  <c r="AY221" i="61"/>
  <c r="AX221" i="61"/>
  <c r="AW221" i="61"/>
  <c r="AV221" i="61"/>
  <c r="AU221" i="61"/>
  <c r="AT221" i="61"/>
  <c r="AS221" i="61"/>
  <c r="AR221" i="61"/>
  <c r="AQ221" i="61"/>
  <c r="R221" i="61"/>
  <c r="P221" i="61"/>
  <c r="BM220" i="61"/>
  <c r="BK220" i="61"/>
  <c r="BI220" i="61"/>
  <c r="BG220" i="61"/>
  <c r="BE220" i="61"/>
  <c r="BC220" i="61"/>
  <c r="BA220" i="61"/>
  <c r="AY220" i="61"/>
  <c r="AX220" i="61"/>
  <c r="AW220" i="61"/>
  <c r="AV220" i="61"/>
  <c r="AU220" i="61"/>
  <c r="AT220" i="61"/>
  <c r="AS220" i="61"/>
  <c r="AR220" i="61"/>
  <c r="AQ220" i="61"/>
  <c r="R220" i="61"/>
  <c r="P220" i="61"/>
  <c r="BM219" i="61"/>
  <c r="BK219" i="61"/>
  <c r="BI219" i="61"/>
  <c r="BG219" i="61"/>
  <c r="BE219" i="61"/>
  <c r="BC219" i="61"/>
  <c r="BA219" i="61"/>
  <c r="AY219" i="61"/>
  <c r="AX219" i="61"/>
  <c r="AW219" i="61"/>
  <c r="AV219" i="61"/>
  <c r="AU219" i="61"/>
  <c r="AT219" i="61"/>
  <c r="AS219" i="61"/>
  <c r="AR219" i="61"/>
  <c r="AQ219" i="61"/>
  <c r="R219" i="61"/>
  <c r="P219" i="61"/>
  <c r="BM218" i="61"/>
  <c r="BK218" i="61"/>
  <c r="BI218" i="61"/>
  <c r="BG218" i="61"/>
  <c r="BE218" i="61"/>
  <c r="BC218" i="61"/>
  <c r="BA218" i="61"/>
  <c r="AY218" i="61"/>
  <c r="AX218" i="61"/>
  <c r="AW218" i="61"/>
  <c r="AV218" i="61"/>
  <c r="AU218" i="61"/>
  <c r="AT218" i="61"/>
  <c r="AS218" i="61"/>
  <c r="AR218" i="61"/>
  <c r="AQ218" i="61"/>
  <c r="R218" i="61"/>
  <c r="P218" i="61"/>
  <c r="BM217" i="61"/>
  <c r="BK217" i="61"/>
  <c r="BI217" i="61"/>
  <c r="BG217" i="61"/>
  <c r="BE217" i="61"/>
  <c r="BC217" i="61"/>
  <c r="BA217" i="61"/>
  <c r="AY217" i="61"/>
  <c r="AX217" i="61"/>
  <c r="AW217" i="61"/>
  <c r="AV217" i="61"/>
  <c r="AU217" i="61"/>
  <c r="AT217" i="61"/>
  <c r="AS217" i="61"/>
  <c r="AR217" i="61"/>
  <c r="AQ217" i="61"/>
  <c r="R217" i="61"/>
  <c r="P217" i="61"/>
  <c r="BM216" i="61"/>
  <c r="BK216" i="61"/>
  <c r="BI216" i="61"/>
  <c r="BG216" i="61"/>
  <c r="BE216" i="61"/>
  <c r="BC216" i="61"/>
  <c r="BA216" i="61"/>
  <c r="AY216" i="61"/>
  <c r="AX216" i="61"/>
  <c r="AW216" i="61"/>
  <c r="AV216" i="61"/>
  <c r="AU216" i="61"/>
  <c r="AT216" i="61"/>
  <c r="AS216" i="61"/>
  <c r="AR216" i="61"/>
  <c r="AQ216" i="61"/>
  <c r="R216" i="61"/>
  <c r="P216" i="61"/>
  <c r="BM215" i="61"/>
  <c r="BK215" i="61"/>
  <c r="BI215" i="61"/>
  <c r="BG215" i="61"/>
  <c r="BE215" i="61"/>
  <c r="BC215" i="61"/>
  <c r="BA215" i="61"/>
  <c r="AY215" i="61"/>
  <c r="AX215" i="61"/>
  <c r="AW215" i="61"/>
  <c r="AV215" i="61"/>
  <c r="AU215" i="61"/>
  <c r="AT215" i="61"/>
  <c r="AS215" i="61"/>
  <c r="AR215" i="61"/>
  <c r="AQ215" i="61"/>
  <c r="R215" i="61"/>
  <c r="P215" i="61"/>
  <c r="BM214" i="61"/>
  <c r="BK214" i="61"/>
  <c r="BI214" i="61"/>
  <c r="BG214" i="61"/>
  <c r="BE214" i="61"/>
  <c r="BC214" i="61"/>
  <c r="BA214" i="61"/>
  <c r="AY214" i="61"/>
  <c r="AX214" i="61"/>
  <c r="AW214" i="61"/>
  <c r="AV214" i="61"/>
  <c r="AU214" i="61"/>
  <c r="AT214" i="61"/>
  <c r="AS214" i="61"/>
  <c r="AR214" i="61"/>
  <c r="AQ214" i="61"/>
  <c r="R214" i="61"/>
  <c r="P214" i="61"/>
  <c r="BM213" i="61"/>
  <c r="BK213" i="61"/>
  <c r="BI213" i="61"/>
  <c r="BG213" i="61"/>
  <c r="BE213" i="61"/>
  <c r="BC213" i="61"/>
  <c r="BA213" i="61"/>
  <c r="AY213" i="61"/>
  <c r="AX213" i="61"/>
  <c r="AW213" i="61"/>
  <c r="AV213" i="61"/>
  <c r="AU213" i="61"/>
  <c r="AT213" i="61"/>
  <c r="AS213" i="61"/>
  <c r="AR213" i="61"/>
  <c r="AQ213" i="61"/>
  <c r="R213" i="61"/>
  <c r="P213" i="61"/>
  <c r="BM212" i="61"/>
  <c r="BK212" i="61"/>
  <c r="BI212" i="61"/>
  <c r="BG212" i="61"/>
  <c r="BE212" i="61"/>
  <c r="BC212" i="61"/>
  <c r="BA212" i="61"/>
  <c r="AY212" i="61"/>
  <c r="AX212" i="61"/>
  <c r="AW212" i="61"/>
  <c r="AV212" i="61"/>
  <c r="AU212" i="61"/>
  <c r="AT212" i="61"/>
  <c r="AS212" i="61"/>
  <c r="AR212" i="61"/>
  <c r="AQ212" i="61"/>
  <c r="R212" i="61"/>
  <c r="P212" i="61"/>
  <c r="BM211" i="61"/>
  <c r="BK211" i="61"/>
  <c r="BI211" i="61"/>
  <c r="BG211" i="61"/>
  <c r="BE211" i="61"/>
  <c r="BC211" i="61"/>
  <c r="BA211" i="61"/>
  <c r="AY211" i="61"/>
  <c r="AX211" i="61"/>
  <c r="AW211" i="61"/>
  <c r="AV211" i="61"/>
  <c r="AU211" i="61"/>
  <c r="AT211" i="61"/>
  <c r="AS211" i="61"/>
  <c r="AR211" i="61"/>
  <c r="AQ211" i="61"/>
  <c r="R211" i="61"/>
  <c r="P211" i="61"/>
  <c r="BM210" i="61"/>
  <c r="BK210" i="61"/>
  <c r="BI210" i="61"/>
  <c r="BG210" i="61"/>
  <c r="BE210" i="61"/>
  <c r="BC210" i="61"/>
  <c r="BA210" i="61"/>
  <c r="AY210" i="61"/>
  <c r="AX210" i="61"/>
  <c r="AW210" i="61"/>
  <c r="AV210" i="61"/>
  <c r="AU210" i="61"/>
  <c r="AT210" i="61"/>
  <c r="AS210" i="61"/>
  <c r="AR210" i="61"/>
  <c r="AQ210" i="61"/>
  <c r="R210" i="61"/>
  <c r="P210" i="61"/>
  <c r="BM209" i="61"/>
  <c r="BK209" i="61"/>
  <c r="BI209" i="61"/>
  <c r="BG209" i="61"/>
  <c r="BE209" i="61"/>
  <c r="BC209" i="61"/>
  <c r="BA209" i="61"/>
  <c r="AY209" i="61"/>
  <c r="AX209" i="61"/>
  <c r="AW209" i="61"/>
  <c r="AV209" i="61"/>
  <c r="AU209" i="61"/>
  <c r="AT209" i="61"/>
  <c r="AS209" i="61"/>
  <c r="AR209" i="61"/>
  <c r="AQ209" i="61"/>
  <c r="R209" i="61"/>
  <c r="P209" i="61"/>
  <c r="BM208" i="61"/>
  <c r="BK208" i="61"/>
  <c r="BI208" i="61"/>
  <c r="BG208" i="61"/>
  <c r="BE208" i="61"/>
  <c r="BC208" i="61"/>
  <c r="BA208" i="61"/>
  <c r="AY208" i="61"/>
  <c r="AX208" i="61"/>
  <c r="AW208" i="61"/>
  <c r="AV208" i="61"/>
  <c r="AU208" i="61"/>
  <c r="AT208" i="61"/>
  <c r="AS208" i="61"/>
  <c r="AR208" i="61"/>
  <c r="AQ208" i="61"/>
  <c r="R208" i="61"/>
  <c r="P208" i="61"/>
  <c r="BM207" i="61"/>
  <c r="BK207" i="61"/>
  <c r="BI207" i="61"/>
  <c r="BG207" i="61"/>
  <c r="BE207" i="61"/>
  <c r="BC207" i="61"/>
  <c r="BA207" i="61"/>
  <c r="AY207" i="61"/>
  <c r="AX207" i="61"/>
  <c r="AW207" i="61"/>
  <c r="AV207" i="61"/>
  <c r="AU207" i="61"/>
  <c r="AT207" i="61"/>
  <c r="AS207" i="61"/>
  <c r="AR207" i="61"/>
  <c r="AQ207" i="61"/>
  <c r="R207" i="61"/>
  <c r="P207" i="61"/>
  <c r="BM206" i="61"/>
  <c r="BK206" i="61"/>
  <c r="BI206" i="61"/>
  <c r="BG206" i="61"/>
  <c r="BE206" i="61"/>
  <c r="BC206" i="61"/>
  <c r="BA206" i="61"/>
  <c r="AY206" i="61"/>
  <c r="AX206" i="61"/>
  <c r="AW206" i="61"/>
  <c r="AV206" i="61"/>
  <c r="AU206" i="61"/>
  <c r="AT206" i="61"/>
  <c r="AS206" i="61"/>
  <c r="AR206" i="61"/>
  <c r="AQ206" i="61"/>
  <c r="R206" i="61"/>
  <c r="P206" i="61"/>
  <c r="BM205" i="61"/>
  <c r="BK205" i="61"/>
  <c r="BI205" i="61"/>
  <c r="BG205" i="61"/>
  <c r="BE205" i="61"/>
  <c r="BC205" i="61"/>
  <c r="BA205" i="61"/>
  <c r="AY205" i="61"/>
  <c r="AX205" i="61"/>
  <c r="AW205" i="61"/>
  <c r="AV205" i="61"/>
  <c r="AU205" i="61"/>
  <c r="AT205" i="61"/>
  <c r="AS205" i="61"/>
  <c r="AR205" i="61"/>
  <c r="AQ205" i="61"/>
  <c r="R205" i="61"/>
  <c r="P205" i="61"/>
  <c r="BM204" i="61"/>
  <c r="BK204" i="61"/>
  <c r="BI204" i="61"/>
  <c r="BG204" i="61"/>
  <c r="BE204" i="61"/>
  <c r="BC204" i="61"/>
  <c r="BA204" i="61"/>
  <c r="AY204" i="61"/>
  <c r="AX204" i="61"/>
  <c r="AW204" i="61"/>
  <c r="AV204" i="61"/>
  <c r="AU204" i="61"/>
  <c r="AT204" i="61"/>
  <c r="AS204" i="61"/>
  <c r="AR204" i="61"/>
  <c r="AQ204" i="61"/>
  <c r="R204" i="61"/>
  <c r="P204" i="61"/>
  <c r="BM203" i="61"/>
  <c r="BK203" i="61"/>
  <c r="BI203" i="61"/>
  <c r="BG203" i="61"/>
  <c r="BE203" i="61"/>
  <c r="BC203" i="61"/>
  <c r="BA203" i="61"/>
  <c r="AY203" i="61"/>
  <c r="AX203" i="61"/>
  <c r="AW203" i="61"/>
  <c r="AV203" i="61"/>
  <c r="AU203" i="61"/>
  <c r="AT203" i="61"/>
  <c r="AS203" i="61"/>
  <c r="AR203" i="61"/>
  <c r="AQ203" i="61"/>
  <c r="R203" i="61"/>
  <c r="P203" i="61"/>
  <c r="BM202" i="61"/>
  <c r="BK202" i="61"/>
  <c r="BI202" i="61"/>
  <c r="BG202" i="61"/>
  <c r="BE202" i="61"/>
  <c r="BC202" i="61"/>
  <c r="BA202" i="61"/>
  <c r="AY202" i="61"/>
  <c r="AX202" i="61"/>
  <c r="AW202" i="61"/>
  <c r="AV202" i="61"/>
  <c r="AU202" i="61"/>
  <c r="AT202" i="61"/>
  <c r="AS202" i="61"/>
  <c r="AR202" i="61"/>
  <c r="AQ202" i="61"/>
  <c r="R202" i="61"/>
  <c r="P202" i="61"/>
  <c r="BM201" i="61"/>
  <c r="BK201" i="61"/>
  <c r="BI201" i="61"/>
  <c r="BG201" i="61"/>
  <c r="BE201" i="61"/>
  <c r="BC201" i="61"/>
  <c r="BA201" i="61"/>
  <c r="AY201" i="61"/>
  <c r="AX201" i="61"/>
  <c r="AW201" i="61"/>
  <c r="AV201" i="61"/>
  <c r="AU201" i="61"/>
  <c r="AT201" i="61"/>
  <c r="AS201" i="61"/>
  <c r="AR201" i="61"/>
  <c r="AQ201" i="61"/>
  <c r="R201" i="61"/>
  <c r="P201" i="61"/>
  <c r="BM200" i="61"/>
  <c r="BK200" i="61"/>
  <c r="BI200" i="61"/>
  <c r="BG200" i="61"/>
  <c r="BE200" i="61"/>
  <c r="BC200" i="61"/>
  <c r="BA200" i="61"/>
  <c r="AY200" i="61"/>
  <c r="AX200" i="61"/>
  <c r="AW200" i="61"/>
  <c r="AV200" i="61"/>
  <c r="AU200" i="61"/>
  <c r="AT200" i="61"/>
  <c r="AS200" i="61"/>
  <c r="AR200" i="61"/>
  <c r="AQ200" i="61"/>
  <c r="R200" i="61"/>
  <c r="P200" i="61"/>
  <c r="BM199" i="61"/>
  <c r="BK199" i="61"/>
  <c r="BI199" i="61"/>
  <c r="BG199" i="61"/>
  <c r="BE199" i="61"/>
  <c r="BC199" i="61"/>
  <c r="BA199" i="61"/>
  <c r="AY199" i="61"/>
  <c r="AX199" i="61"/>
  <c r="AW199" i="61"/>
  <c r="AV199" i="61"/>
  <c r="AU199" i="61"/>
  <c r="AT199" i="61"/>
  <c r="AS199" i="61"/>
  <c r="AR199" i="61"/>
  <c r="AQ199" i="61"/>
  <c r="R199" i="61"/>
  <c r="P199" i="61"/>
  <c r="BM198" i="61"/>
  <c r="BK198" i="61"/>
  <c r="BI198" i="61"/>
  <c r="BG198" i="61"/>
  <c r="BE198" i="61"/>
  <c r="BC198" i="61"/>
  <c r="BA198" i="61"/>
  <c r="AY198" i="61"/>
  <c r="AX198" i="61"/>
  <c r="AW198" i="61"/>
  <c r="AV198" i="61"/>
  <c r="AU198" i="61"/>
  <c r="AT198" i="61"/>
  <c r="AS198" i="61"/>
  <c r="AR198" i="61"/>
  <c r="AQ198" i="61"/>
  <c r="R198" i="61"/>
  <c r="P198" i="61"/>
  <c r="BM197" i="61"/>
  <c r="BK197" i="61"/>
  <c r="BI197" i="61"/>
  <c r="BG197" i="61"/>
  <c r="BE197" i="61"/>
  <c r="BC197" i="61"/>
  <c r="BA197" i="61"/>
  <c r="AY197" i="61"/>
  <c r="AX197" i="61"/>
  <c r="AW197" i="61"/>
  <c r="AV197" i="61"/>
  <c r="AU197" i="61"/>
  <c r="AT197" i="61"/>
  <c r="AS197" i="61"/>
  <c r="AR197" i="61"/>
  <c r="AQ197" i="61"/>
  <c r="R197" i="61"/>
  <c r="P197" i="61"/>
  <c r="BM196" i="61"/>
  <c r="BK196" i="61"/>
  <c r="BI196" i="61"/>
  <c r="BG196" i="61"/>
  <c r="BE196" i="61"/>
  <c r="BC196" i="61"/>
  <c r="BA196" i="61"/>
  <c r="AY196" i="61"/>
  <c r="AX196" i="61"/>
  <c r="AW196" i="61"/>
  <c r="AV196" i="61"/>
  <c r="AU196" i="61"/>
  <c r="AT196" i="61"/>
  <c r="AS196" i="61"/>
  <c r="AR196" i="61"/>
  <c r="AQ196" i="61"/>
  <c r="R196" i="61"/>
  <c r="P196" i="61"/>
  <c r="BN195" i="61"/>
  <c r="BN195" i="61" a="1"/>
  <c r="BM195" i="61"/>
  <c r="BL195" i="61"/>
  <c r="BL195" i="61" a="1"/>
  <c r="BK195" i="61"/>
  <c r="BJ195" i="61"/>
  <c r="BJ195" i="61" a="1"/>
  <c r="BI195" i="61"/>
  <c r="BH195" i="61"/>
  <c r="BH195" i="61" a="1"/>
  <c r="BG195" i="61"/>
  <c r="BF195" i="61"/>
  <c r="BF195" i="61" a="1"/>
  <c r="BE195" i="61"/>
  <c r="BD195" i="61"/>
  <c r="BD195" i="61" a="1"/>
  <c r="BC195" i="61"/>
  <c r="BB195" i="61"/>
  <c r="BB195" i="61" a="1"/>
  <c r="BA195" i="61"/>
  <c r="AZ195" i="61"/>
  <c r="AZ195" i="61" a="1"/>
  <c r="AY195" i="61"/>
  <c r="AX195" i="61"/>
  <c r="AW195" i="61"/>
  <c r="AV195" i="61"/>
  <c r="AU195" i="61"/>
  <c r="AT195" i="61"/>
  <c r="AS195" i="61"/>
  <c r="AR195" i="61"/>
  <c r="AQ195" i="61"/>
  <c r="AP195" i="61"/>
  <c r="AP195" i="61" a="1"/>
  <c r="AO195" i="61"/>
  <c r="AO195" i="61" a="1"/>
  <c r="AN195" i="61"/>
  <c r="AN195" i="61" a="1"/>
  <c r="AM195" i="61"/>
  <c r="AM195" i="61" a="1"/>
  <c r="AL195" i="61"/>
  <c r="AL195" i="61" a="1"/>
  <c r="AK195" i="61"/>
  <c r="AK195" i="61" a="1"/>
  <c r="AJ195" i="61"/>
  <c r="AJ195" i="61" a="1"/>
  <c r="AI195" i="61"/>
  <c r="AI195" i="61" a="1"/>
  <c r="AH195" i="61"/>
  <c r="AH195" i="61" a="1"/>
  <c r="AG195" i="61"/>
  <c r="AG195" i="61" a="1"/>
  <c r="AF195" i="61"/>
  <c r="AF195" i="61" a="1"/>
  <c r="AE195" i="61"/>
  <c r="AE195" i="61" a="1"/>
  <c r="AD195" i="61"/>
  <c r="AD195" i="61" a="1"/>
  <c r="AC195" i="61"/>
  <c r="AC195" i="61" a="1"/>
  <c r="AB195" i="61"/>
  <c r="AB195" i="61" a="1"/>
  <c r="AA195" i="61"/>
  <c r="AA195" i="61" a="1"/>
  <c r="R195" i="61"/>
  <c r="P195" i="61"/>
  <c r="J195" i="61"/>
  <c r="J195" i="61" a="1"/>
  <c r="I195" i="61"/>
  <c r="I195" i="61" a="1"/>
  <c r="BN193" i="61"/>
  <c r="BL193" i="61"/>
  <c r="BJ193" i="61"/>
  <c r="BH193" i="61"/>
  <c r="BF193" i="61"/>
  <c r="BD193" i="61"/>
  <c r="BB193" i="61"/>
  <c r="AZ193" i="61"/>
  <c r="AQ193" i="61"/>
  <c r="BM190" i="61"/>
  <c r="BK190" i="61"/>
  <c r="BI190" i="61"/>
  <c r="BG190" i="61"/>
  <c r="BE190" i="61"/>
  <c r="BC190" i="61"/>
  <c r="BA190" i="61"/>
  <c r="AY190" i="61"/>
  <c r="AX190" i="61"/>
  <c r="AW190" i="61"/>
  <c r="AV190" i="61"/>
  <c r="AU190" i="61"/>
  <c r="AT190" i="61"/>
  <c r="AS190" i="61"/>
  <c r="AR190" i="61"/>
  <c r="AQ190" i="61"/>
  <c r="R190" i="61"/>
  <c r="P190" i="61"/>
  <c r="BM189" i="61"/>
  <c r="BK189" i="61"/>
  <c r="BI189" i="61"/>
  <c r="BG189" i="61"/>
  <c r="BE189" i="61"/>
  <c r="BC189" i="61"/>
  <c r="BA189" i="61"/>
  <c r="AY189" i="61"/>
  <c r="AX189" i="61"/>
  <c r="AW189" i="61"/>
  <c r="AV189" i="61"/>
  <c r="AU189" i="61"/>
  <c r="AT189" i="61"/>
  <c r="AS189" i="61"/>
  <c r="AR189" i="61"/>
  <c r="AQ189" i="61"/>
  <c r="R189" i="61"/>
  <c r="P189" i="61"/>
  <c r="BM188" i="61"/>
  <c r="BK188" i="61"/>
  <c r="BI188" i="61"/>
  <c r="BG188" i="61"/>
  <c r="BE188" i="61"/>
  <c r="BC188" i="61"/>
  <c r="BA188" i="61"/>
  <c r="AY188" i="61"/>
  <c r="AX188" i="61"/>
  <c r="AW188" i="61"/>
  <c r="AV188" i="61"/>
  <c r="AU188" i="61"/>
  <c r="AT188" i="61"/>
  <c r="AS188" i="61"/>
  <c r="AR188" i="61"/>
  <c r="AQ188" i="61"/>
  <c r="R188" i="61"/>
  <c r="P188" i="61"/>
  <c r="BM187" i="61"/>
  <c r="BK187" i="61"/>
  <c r="BI187" i="61"/>
  <c r="BG187" i="61"/>
  <c r="BE187" i="61"/>
  <c r="BC187" i="61"/>
  <c r="BA187" i="61"/>
  <c r="AY187" i="61"/>
  <c r="AX187" i="61"/>
  <c r="AW187" i="61"/>
  <c r="AV187" i="61"/>
  <c r="AU187" i="61"/>
  <c r="AT187" i="61"/>
  <c r="AS187" i="61"/>
  <c r="AR187" i="61"/>
  <c r="AQ187" i="61"/>
  <c r="R187" i="61"/>
  <c r="P187" i="61"/>
  <c r="BM186" i="61"/>
  <c r="BK186" i="61"/>
  <c r="BI186" i="61"/>
  <c r="BG186" i="61"/>
  <c r="BE186" i="61"/>
  <c r="BC186" i="61"/>
  <c r="BA186" i="61"/>
  <c r="AY186" i="61"/>
  <c r="AX186" i="61"/>
  <c r="AW186" i="61"/>
  <c r="AV186" i="61"/>
  <c r="AU186" i="61"/>
  <c r="AT186" i="61"/>
  <c r="AS186" i="61"/>
  <c r="AR186" i="61"/>
  <c r="AQ186" i="61"/>
  <c r="R186" i="61"/>
  <c r="P186" i="61"/>
  <c r="BM185" i="61"/>
  <c r="BK185" i="61"/>
  <c r="BI185" i="61"/>
  <c r="BG185" i="61"/>
  <c r="BE185" i="61"/>
  <c r="BC185" i="61"/>
  <c r="BA185" i="61"/>
  <c r="AY185" i="61"/>
  <c r="AX185" i="61"/>
  <c r="AW185" i="61"/>
  <c r="AV185" i="61"/>
  <c r="AU185" i="61"/>
  <c r="AT185" i="61"/>
  <c r="AS185" i="61"/>
  <c r="AR185" i="61"/>
  <c r="AQ185" i="61"/>
  <c r="R185" i="61"/>
  <c r="P185" i="61"/>
  <c r="BM184" i="61"/>
  <c r="BK184" i="61"/>
  <c r="BI184" i="61"/>
  <c r="BG184" i="61"/>
  <c r="BE184" i="61"/>
  <c r="BC184" i="61"/>
  <c r="BA184" i="61"/>
  <c r="AY184" i="61"/>
  <c r="AX184" i="61"/>
  <c r="AW184" i="61"/>
  <c r="AV184" i="61"/>
  <c r="AU184" i="61"/>
  <c r="AT184" i="61"/>
  <c r="AS184" i="61"/>
  <c r="AR184" i="61"/>
  <c r="AQ184" i="61"/>
  <c r="R184" i="61"/>
  <c r="P184" i="61"/>
  <c r="BM183" i="61"/>
  <c r="BK183" i="61"/>
  <c r="BI183" i="61"/>
  <c r="BG183" i="61"/>
  <c r="BE183" i="61"/>
  <c r="BC183" i="61"/>
  <c r="BA183" i="61"/>
  <c r="AY183" i="61"/>
  <c r="AX183" i="61"/>
  <c r="AW183" i="61"/>
  <c r="AV183" i="61"/>
  <c r="AU183" i="61"/>
  <c r="AT183" i="61"/>
  <c r="AS183" i="61"/>
  <c r="AR183" i="61"/>
  <c r="AQ183" i="61"/>
  <c r="R183" i="61"/>
  <c r="P183" i="61"/>
  <c r="BM182" i="61"/>
  <c r="BK182" i="61"/>
  <c r="BI182" i="61"/>
  <c r="BG182" i="61"/>
  <c r="BE182" i="61"/>
  <c r="BC182" i="61"/>
  <c r="BA182" i="61"/>
  <c r="AY182" i="61"/>
  <c r="AX182" i="61"/>
  <c r="AW182" i="61"/>
  <c r="AV182" i="61"/>
  <c r="AU182" i="61"/>
  <c r="AT182" i="61"/>
  <c r="AS182" i="61"/>
  <c r="AR182" i="61"/>
  <c r="AQ182" i="61"/>
  <c r="R182" i="61"/>
  <c r="P182" i="61"/>
  <c r="BM181" i="61"/>
  <c r="BK181" i="61"/>
  <c r="BI181" i="61"/>
  <c r="BG181" i="61"/>
  <c r="BE181" i="61"/>
  <c r="BC181" i="61"/>
  <c r="BA181" i="61"/>
  <c r="AY181" i="61"/>
  <c r="AX181" i="61"/>
  <c r="AW181" i="61"/>
  <c r="AV181" i="61"/>
  <c r="AU181" i="61"/>
  <c r="AT181" i="61"/>
  <c r="AS181" i="61"/>
  <c r="AR181" i="61"/>
  <c r="AQ181" i="61"/>
  <c r="R181" i="61"/>
  <c r="P181" i="61"/>
  <c r="BM180" i="61"/>
  <c r="BK180" i="61"/>
  <c r="BI180" i="61"/>
  <c r="BG180" i="61"/>
  <c r="BE180" i="61"/>
  <c r="BC180" i="61"/>
  <c r="BA180" i="61"/>
  <c r="AY180" i="61"/>
  <c r="AX180" i="61"/>
  <c r="AW180" i="61"/>
  <c r="AV180" i="61"/>
  <c r="AU180" i="61"/>
  <c r="AT180" i="61"/>
  <c r="AS180" i="61"/>
  <c r="AR180" i="61"/>
  <c r="AQ180" i="61"/>
  <c r="R180" i="61"/>
  <c r="P180" i="61"/>
  <c r="BM179" i="61"/>
  <c r="BK179" i="61"/>
  <c r="BI179" i="61"/>
  <c r="BG179" i="61"/>
  <c r="BE179" i="61"/>
  <c r="BC179" i="61"/>
  <c r="BA179" i="61"/>
  <c r="AY179" i="61"/>
  <c r="AX179" i="61"/>
  <c r="AW179" i="61"/>
  <c r="AV179" i="61"/>
  <c r="AU179" i="61"/>
  <c r="AT179" i="61"/>
  <c r="AS179" i="61"/>
  <c r="AR179" i="61"/>
  <c r="AQ179" i="61"/>
  <c r="R179" i="61"/>
  <c r="P179" i="61"/>
  <c r="BM178" i="61"/>
  <c r="BK178" i="61"/>
  <c r="BI178" i="61"/>
  <c r="BG178" i="61"/>
  <c r="BE178" i="61"/>
  <c r="BC178" i="61"/>
  <c r="BA178" i="61"/>
  <c r="AY178" i="61"/>
  <c r="AX178" i="61"/>
  <c r="AW178" i="61"/>
  <c r="AV178" i="61"/>
  <c r="AU178" i="61"/>
  <c r="AT178" i="61"/>
  <c r="AS178" i="61"/>
  <c r="AR178" i="61"/>
  <c r="AQ178" i="61"/>
  <c r="R178" i="61"/>
  <c r="P178" i="61"/>
  <c r="BM177" i="61"/>
  <c r="BK177" i="61"/>
  <c r="BI177" i="61"/>
  <c r="BG177" i="61"/>
  <c r="BE177" i="61"/>
  <c r="BC177" i="61"/>
  <c r="BA177" i="61"/>
  <c r="AY177" i="61"/>
  <c r="AX177" i="61"/>
  <c r="AW177" i="61"/>
  <c r="AV177" i="61"/>
  <c r="AU177" i="61"/>
  <c r="AT177" i="61"/>
  <c r="AS177" i="61"/>
  <c r="AR177" i="61"/>
  <c r="AQ177" i="61"/>
  <c r="R177" i="61"/>
  <c r="P177" i="61"/>
  <c r="BM176" i="61"/>
  <c r="BK176" i="61"/>
  <c r="BI176" i="61"/>
  <c r="BG176" i="61"/>
  <c r="BE176" i="61"/>
  <c r="BC176" i="61"/>
  <c r="BA176" i="61"/>
  <c r="AY176" i="61"/>
  <c r="AX176" i="61"/>
  <c r="AW176" i="61"/>
  <c r="AV176" i="61"/>
  <c r="AU176" i="61"/>
  <c r="AT176" i="61"/>
  <c r="AS176" i="61"/>
  <c r="AR176" i="61"/>
  <c r="AQ176" i="61"/>
  <c r="R176" i="61"/>
  <c r="P176" i="61"/>
  <c r="BM175" i="61"/>
  <c r="BK175" i="61"/>
  <c r="BI175" i="61"/>
  <c r="BG175" i="61"/>
  <c r="BE175" i="61"/>
  <c r="BC175" i="61"/>
  <c r="BA175" i="61"/>
  <c r="AY175" i="61"/>
  <c r="AX175" i="61"/>
  <c r="AW175" i="61"/>
  <c r="AV175" i="61"/>
  <c r="AU175" i="61"/>
  <c r="AT175" i="61"/>
  <c r="AS175" i="61"/>
  <c r="AR175" i="61"/>
  <c r="AQ175" i="61"/>
  <c r="R175" i="61"/>
  <c r="P175" i="61"/>
  <c r="BM174" i="61"/>
  <c r="BK174" i="61"/>
  <c r="BI174" i="61"/>
  <c r="BG174" i="61"/>
  <c r="BE174" i="61"/>
  <c r="BC174" i="61"/>
  <c r="BA174" i="61"/>
  <c r="AY174" i="61"/>
  <c r="AX174" i="61"/>
  <c r="AW174" i="61"/>
  <c r="AV174" i="61"/>
  <c r="AU174" i="61"/>
  <c r="AT174" i="61"/>
  <c r="AS174" i="61"/>
  <c r="AR174" i="61"/>
  <c r="AQ174" i="61"/>
  <c r="R174" i="61"/>
  <c r="P174" i="61"/>
  <c r="BM173" i="61"/>
  <c r="BK173" i="61"/>
  <c r="BI173" i="61"/>
  <c r="BG173" i="61"/>
  <c r="BE173" i="61"/>
  <c r="BC173" i="61"/>
  <c r="BA173" i="61"/>
  <c r="AY173" i="61"/>
  <c r="AX173" i="61"/>
  <c r="AW173" i="61"/>
  <c r="AV173" i="61"/>
  <c r="AU173" i="61"/>
  <c r="AT173" i="61"/>
  <c r="AS173" i="61"/>
  <c r="AR173" i="61"/>
  <c r="AQ173" i="61"/>
  <c r="R173" i="61"/>
  <c r="P173" i="61"/>
  <c r="BM172" i="61"/>
  <c r="BK172" i="61"/>
  <c r="BI172" i="61"/>
  <c r="BG172" i="61"/>
  <c r="BE172" i="61"/>
  <c r="BC172" i="61"/>
  <c r="BA172" i="61"/>
  <c r="AY172" i="61"/>
  <c r="AX172" i="61"/>
  <c r="AW172" i="61"/>
  <c r="AV172" i="61"/>
  <c r="AU172" i="61"/>
  <c r="AT172" i="61"/>
  <c r="AS172" i="61"/>
  <c r="AR172" i="61"/>
  <c r="AQ172" i="61"/>
  <c r="R172" i="61"/>
  <c r="P172" i="61"/>
  <c r="BM171" i="61"/>
  <c r="BK171" i="61"/>
  <c r="BI171" i="61"/>
  <c r="BG171" i="61"/>
  <c r="BE171" i="61"/>
  <c r="BC171" i="61"/>
  <c r="BA171" i="61"/>
  <c r="AY171" i="61"/>
  <c r="AX171" i="61"/>
  <c r="AW171" i="61"/>
  <c r="AV171" i="61"/>
  <c r="AU171" i="61"/>
  <c r="AT171" i="61"/>
  <c r="AS171" i="61"/>
  <c r="AR171" i="61"/>
  <c r="AQ171" i="61"/>
  <c r="R171" i="61"/>
  <c r="P171" i="61"/>
  <c r="BM170" i="61"/>
  <c r="BK170" i="61"/>
  <c r="BI170" i="61"/>
  <c r="BG170" i="61"/>
  <c r="BE170" i="61"/>
  <c r="BC170" i="61"/>
  <c r="BA170" i="61"/>
  <c r="AY170" i="61"/>
  <c r="AX170" i="61"/>
  <c r="AW170" i="61"/>
  <c r="AV170" i="61"/>
  <c r="AU170" i="61"/>
  <c r="AT170" i="61"/>
  <c r="AS170" i="61"/>
  <c r="AR170" i="61"/>
  <c r="AQ170" i="61"/>
  <c r="R170" i="61"/>
  <c r="P170" i="61"/>
  <c r="BM169" i="61"/>
  <c r="BK169" i="61"/>
  <c r="BI169" i="61"/>
  <c r="BG169" i="61"/>
  <c r="BE169" i="61"/>
  <c r="BC169" i="61"/>
  <c r="BA169" i="61"/>
  <c r="AY169" i="61"/>
  <c r="AX169" i="61"/>
  <c r="AW169" i="61"/>
  <c r="AV169" i="61"/>
  <c r="AU169" i="61"/>
  <c r="AT169" i="61"/>
  <c r="AS169" i="61"/>
  <c r="AR169" i="61"/>
  <c r="AQ169" i="61"/>
  <c r="R169" i="61"/>
  <c r="P169" i="61"/>
  <c r="BM168" i="61"/>
  <c r="BK168" i="61"/>
  <c r="BI168" i="61"/>
  <c r="BG168" i="61"/>
  <c r="BE168" i="61"/>
  <c r="BC168" i="61"/>
  <c r="BA168" i="61"/>
  <c r="AY168" i="61"/>
  <c r="AX168" i="61"/>
  <c r="AW168" i="61"/>
  <c r="AV168" i="61"/>
  <c r="AU168" i="61"/>
  <c r="AT168" i="61"/>
  <c r="AS168" i="61"/>
  <c r="AR168" i="61"/>
  <c r="AQ168" i="61"/>
  <c r="R168" i="61"/>
  <c r="P168" i="61"/>
  <c r="BM167" i="61"/>
  <c r="BK167" i="61"/>
  <c r="BI167" i="61"/>
  <c r="BG167" i="61"/>
  <c r="BE167" i="61"/>
  <c r="BC167" i="61"/>
  <c r="BA167" i="61"/>
  <c r="AY167" i="61"/>
  <c r="AX167" i="61"/>
  <c r="AW167" i="61"/>
  <c r="AV167" i="61"/>
  <c r="AU167" i="61"/>
  <c r="AT167" i="61"/>
  <c r="AS167" i="61"/>
  <c r="AR167" i="61"/>
  <c r="AQ167" i="61"/>
  <c r="R167" i="61"/>
  <c r="P167" i="61"/>
  <c r="BM166" i="61"/>
  <c r="BK166" i="61"/>
  <c r="BI166" i="61"/>
  <c r="BG166" i="61"/>
  <c r="BE166" i="61"/>
  <c r="BC166" i="61"/>
  <c r="BA166" i="61"/>
  <c r="AY166" i="61"/>
  <c r="AX166" i="61"/>
  <c r="AW166" i="61"/>
  <c r="AV166" i="61"/>
  <c r="AU166" i="61"/>
  <c r="AT166" i="61"/>
  <c r="AS166" i="61"/>
  <c r="AR166" i="61"/>
  <c r="AQ166" i="61"/>
  <c r="R166" i="61"/>
  <c r="P166" i="61"/>
  <c r="BM165" i="61"/>
  <c r="BK165" i="61"/>
  <c r="BI165" i="61"/>
  <c r="BG165" i="61"/>
  <c r="BE165" i="61"/>
  <c r="BC165" i="61"/>
  <c r="BA165" i="61"/>
  <c r="AY165" i="61"/>
  <c r="AX165" i="61"/>
  <c r="AW165" i="61"/>
  <c r="AV165" i="61"/>
  <c r="AU165" i="61"/>
  <c r="AT165" i="61"/>
  <c r="AS165" i="61"/>
  <c r="AR165" i="61"/>
  <c r="AQ165" i="61"/>
  <c r="R165" i="61"/>
  <c r="P165" i="61"/>
  <c r="BM164" i="61"/>
  <c r="BK164" i="61"/>
  <c r="BI164" i="61"/>
  <c r="BG164" i="61"/>
  <c r="BE164" i="61"/>
  <c r="BC164" i="61"/>
  <c r="BA164" i="61"/>
  <c r="AY164" i="61"/>
  <c r="AX164" i="61"/>
  <c r="AW164" i="61"/>
  <c r="AV164" i="61"/>
  <c r="AU164" i="61"/>
  <c r="AT164" i="61"/>
  <c r="AS164" i="61"/>
  <c r="AR164" i="61"/>
  <c r="AQ164" i="61"/>
  <c r="R164" i="61"/>
  <c r="P164" i="61"/>
  <c r="BM163" i="61"/>
  <c r="BK163" i="61"/>
  <c r="BI163" i="61"/>
  <c r="BG163" i="61"/>
  <c r="BE163" i="61"/>
  <c r="BC163" i="61"/>
  <c r="BA163" i="61"/>
  <c r="AY163" i="61"/>
  <c r="AX163" i="61"/>
  <c r="AW163" i="61"/>
  <c r="AV163" i="61"/>
  <c r="AU163" i="61"/>
  <c r="AT163" i="61"/>
  <c r="AS163" i="61"/>
  <c r="AR163" i="61"/>
  <c r="AQ163" i="61"/>
  <c r="R163" i="61"/>
  <c r="P163" i="61"/>
  <c r="BM162" i="61"/>
  <c r="BK162" i="61"/>
  <c r="BI162" i="61"/>
  <c r="BG162" i="61"/>
  <c r="BE162" i="61"/>
  <c r="BC162" i="61"/>
  <c r="BA162" i="61"/>
  <c r="AY162" i="61"/>
  <c r="AX162" i="61"/>
  <c r="AW162" i="61"/>
  <c r="AV162" i="61"/>
  <c r="AU162" i="61"/>
  <c r="AT162" i="61"/>
  <c r="AS162" i="61"/>
  <c r="AR162" i="61"/>
  <c r="AQ162" i="61"/>
  <c r="R162" i="61"/>
  <c r="P162" i="61"/>
  <c r="BM161" i="61"/>
  <c r="BK161" i="61"/>
  <c r="BI161" i="61"/>
  <c r="BG161" i="61"/>
  <c r="BE161" i="61"/>
  <c r="BC161" i="61"/>
  <c r="BA161" i="61"/>
  <c r="AY161" i="61"/>
  <c r="AX161" i="61"/>
  <c r="AW161" i="61"/>
  <c r="AV161" i="61"/>
  <c r="AU161" i="61"/>
  <c r="AT161" i="61"/>
  <c r="AS161" i="61"/>
  <c r="AR161" i="61"/>
  <c r="AQ161" i="61"/>
  <c r="R161" i="61"/>
  <c r="P161" i="61"/>
  <c r="BM160" i="61"/>
  <c r="BK160" i="61"/>
  <c r="BI160" i="61"/>
  <c r="BG160" i="61"/>
  <c r="BE160" i="61"/>
  <c r="BC160" i="61"/>
  <c r="BA160" i="61"/>
  <c r="AY160" i="61"/>
  <c r="AX160" i="61"/>
  <c r="AW160" i="61"/>
  <c r="AV160" i="61"/>
  <c r="AU160" i="61"/>
  <c r="AT160" i="61"/>
  <c r="AS160" i="61"/>
  <c r="AR160" i="61"/>
  <c r="AQ160" i="61"/>
  <c r="R160" i="61"/>
  <c r="P160" i="61"/>
  <c r="BM159" i="61"/>
  <c r="BK159" i="61"/>
  <c r="BI159" i="61"/>
  <c r="BG159" i="61"/>
  <c r="BE159" i="61"/>
  <c r="BC159" i="61"/>
  <c r="BA159" i="61"/>
  <c r="AY159" i="61"/>
  <c r="AX159" i="61"/>
  <c r="AW159" i="61"/>
  <c r="AV159" i="61"/>
  <c r="AU159" i="61"/>
  <c r="AT159" i="61"/>
  <c r="AS159" i="61"/>
  <c r="AR159" i="61"/>
  <c r="AQ159" i="61"/>
  <c r="R159" i="61"/>
  <c r="P159" i="61"/>
  <c r="BM158" i="61"/>
  <c r="BK158" i="61"/>
  <c r="BI158" i="61"/>
  <c r="BG158" i="61"/>
  <c r="BE158" i="61"/>
  <c r="BC158" i="61"/>
  <c r="BA158" i="61"/>
  <c r="AY158" i="61"/>
  <c r="AX158" i="61"/>
  <c r="AW158" i="61"/>
  <c r="AV158" i="61"/>
  <c r="AU158" i="61"/>
  <c r="AT158" i="61"/>
  <c r="AS158" i="61"/>
  <c r="AR158" i="61"/>
  <c r="AQ158" i="61"/>
  <c r="R158" i="61"/>
  <c r="P158" i="61"/>
  <c r="BM157" i="61"/>
  <c r="BK157" i="61"/>
  <c r="BI157" i="61"/>
  <c r="BG157" i="61"/>
  <c r="BE157" i="61"/>
  <c r="BC157" i="61"/>
  <c r="BA157" i="61"/>
  <c r="AY157" i="61"/>
  <c r="AX157" i="61"/>
  <c r="AW157" i="61"/>
  <c r="AV157" i="61"/>
  <c r="AU157" i="61"/>
  <c r="AT157" i="61"/>
  <c r="AS157" i="61"/>
  <c r="AR157" i="61"/>
  <c r="AQ157" i="61"/>
  <c r="R157" i="61"/>
  <c r="P157" i="61"/>
  <c r="BM156" i="61"/>
  <c r="BK156" i="61"/>
  <c r="BI156" i="61"/>
  <c r="BG156" i="61"/>
  <c r="BE156" i="61"/>
  <c r="BC156" i="61"/>
  <c r="BA156" i="61"/>
  <c r="AY156" i="61"/>
  <c r="AX156" i="61"/>
  <c r="AW156" i="61"/>
  <c r="AV156" i="61"/>
  <c r="AU156" i="61"/>
  <c r="AT156" i="61"/>
  <c r="AS156" i="61"/>
  <c r="AR156" i="61"/>
  <c r="AQ156" i="61"/>
  <c r="R156" i="61"/>
  <c r="P156" i="61"/>
  <c r="BM155" i="61"/>
  <c r="BK155" i="61"/>
  <c r="BI155" i="61"/>
  <c r="BG155" i="61"/>
  <c r="BE155" i="61"/>
  <c r="BC155" i="61"/>
  <c r="BA155" i="61"/>
  <c r="AY155" i="61"/>
  <c r="AX155" i="61"/>
  <c r="AW155" i="61"/>
  <c r="AV155" i="61"/>
  <c r="AU155" i="61"/>
  <c r="AT155" i="61"/>
  <c r="AS155" i="61"/>
  <c r="AR155" i="61"/>
  <c r="AQ155" i="61"/>
  <c r="R155" i="61"/>
  <c r="P155" i="61"/>
  <c r="BM154" i="61"/>
  <c r="BK154" i="61"/>
  <c r="BI154" i="61"/>
  <c r="BG154" i="61"/>
  <c r="BE154" i="61"/>
  <c r="BC154" i="61"/>
  <c r="BA154" i="61"/>
  <c r="AY154" i="61"/>
  <c r="AX154" i="61"/>
  <c r="AW154" i="61"/>
  <c r="AV154" i="61"/>
  <c r="AU154" i="61"/>
  <c r="AT154" i="61"/>
  <c r="AS154" i="61"/>
  <c r="AR154" i="61"/>
  <c r="AQ154" i="61"/>
  <c r="R154" i="61"/>
  <c r="P154" i="61"/>
  <c r="BM153" i="61"/>
  <c r="BK153" i="61"/>
  <c r="BI153" i="61"/>
  <c r="BG153" i="61"/>
  <c r="BE153" i="61"/>
  <c r="BC153" i="61"/>
  <c r="BA153" i="61"/>
  <c r="AY153" i="61"/>
  <c r="AX153" i="61"/>
  <c r="AW153" i="61"/>
  <c r="AV153" i="61"/>
  <c r="AU153" i="61"/>
  <c r="AT153" i="61"/>
  <c r="AS153" i="61"/>
  <c r="AR153" i="61"/>
  <c r="AQ153" i="61"/>
  <c r="R153" i="61"/>
  <c r="P153" i="61"/>
  <c r="BM152" i="61"/>
  <c r="BK152" i="61"/>
  <c r="BI152" i="61"/>
  <c r="BG152" i="61"/>
  <c r="BE152" i="61"/>
  <c r="BC152" i="61"/>
  <c r="BA152" i="61"/>
  <c r="AY152" i="61"/>
  <c r="AX152" i="61"/>
  <c r="AW152" i="61"/>
  <c r="AV152" i="61"/>
  <c r="AU152" i="61"/>
  <c r="AT152" i="61"/>
  <c r="AS152" i="61"/>
  <c r="AR152" i="61"/>
  <c r="AQ152" i="61"/>
  <c r="R152" i="61"/>
  <c r="P152" i="61"/>
  <c r="BM151" i="61"/>
  <c r="BK151" i="61"/>
  <c r="BI151" i="61"/>
  <c r="BG151" i="61"/>
  <c r="BE151" i="61"/>
  <c r="BC151" i="61"/>
  <c r="BA151" i="61"/>
  <c r="AY151" i="61"/>
  <c r="AX151" i="61"/>
  <c r="AW151" i="61"/>
  <c r="AV151" i="61"/>
  <c r="AU151" i="61"/>
  <c r="AT151" i="61"/>
  <c r="AS151" i="61"/>
  <c r="AR151" i="61"/>
  <c r="AQ151" i="61"/>
  <c r="R151" i="61"/>
  <c r="P151" i="61"/>
  <c r="BM150" i="61"/>
  <c r="BK150" i="61"/>
  <c r="BI150" i="61"/>
  <c r="BG150" i="61"/>
  <c r="BE150" i="61"/>
  <c r="BC150" i="61"/>
  <c r="BA150" i="61"/>
  <c r="AY150" i="61"/>
  <c r="AX150" i="61"/>
  <c r="AW150" i="61"/>
  <c r="AV150" i="61"/>
  <c r="AU150" i="61"/>
  <c r="AT150" i="61"/>
  <c r="AS150" i="61"/>
  <c r="AR150" i="61"/>
  <c r="AQ150" i="61"/>
  <c r="R150" i="61"/>
  <c r="P150" i="61"/>
  <c r="BM149" i="61"/>
  <c r="BK149" i="61"/>
  <c r="BI149" i="61"/>
  <c r="BG149" i="61"/>
  <c r="BE149" i="61"/>
  <c r="BC149" i="61"/>
  <c r="BA149" i="61"/>
  <c r="AY149" i="61"/>
  <c r="AX149" i="61"/>
  <c r="AW149" i="61"/>
  <c r="AV149" i="61"/>
  <c r="AU149" i="61"/>
  <c r="AT149" i="61"/>
  <c r="AS149" i="61"/>
  <c r="AR149" i="61"/>
  <c r="AQ149" i="61"/>
  <c r="R149" i="61"/>
  <c r="P149" i="61"/>
  <c r="BM148" i="61"/>
  <c r="BK148" i="61"/>
  <c r="BI148" i="61"/>
  <c r="BG148" i="61"/>
  <c r="BE148" i="61"/>
  <c r="BC148" i="61"/>
  <c r="BA148" i="61"/>
  <c r="AY148" i="61"/>
  <c r="AX148" i="61"/>
  <c r="AW148" i="61"/>
  <c r="AV148" i="61"/>
  <c r="AU148" i="61"/>
  <c r="AT148" i="61"/>
  <c r="AS148" i="61"/>
  <c r="AR148" i="61"/>
  <c r="AQ148" i="61"/>
  <c r="R148" i="61"/>
  <c r="P148" i="61"/>
  <c r="BM147" i="61"/>
  <c r="BK147" i="61"/>
  <c r="BI147" i="61"/>
  <c r="BG147" i="61"/>
  <c r="BE147" i="61"/>
  <c r="BC147" i="61"/>
  <c r="BA147" i="61"/>
  <c r="AY147" i="61"/>
  <c r="AX147" i="61"/>
  <c r="AW147" i="61"/>
  <c r="AV147" i="61"/>
  <c r="AU147" i="61"/>
  <c r="AT147" i="61"/>
  <c r="AS147" i="61"/>
  <c r="AR147" i="61"/>
  <c r="AQ147" i="61"/>
  <c r="R147" i="61"/>
  <c r="P147" i="61"/>
  <c r="BM146" i="61"/>
  <c r="BK146" i="61"/>
  <c r="BI146" i="61"/>
  <c r="BG146" i="61"/>
  <c r="BE146" i="61"/>
  <c r="BC146" i="61"/>
  <c r="BA146" i="61"/>
  <c r="AY146" i="61"/>
  <c r="AX146" i="61"/>
  <c r="AW146" i="61"/>
  <c r="AV146" i="61"/>
  <c r="AU146" i="61"/>
  <c r="AT146" i="61"/>
  <c r="AS146" i="61"/>
  <c r="AR146" i="61"/>
  <c r="AQ146" i="61"/>
  <c r="R146" i="61"/>
  <c r="P146" i="61"/>
  <c r="BM145" i="61"/>
  <c r="BK145" i="61"/>
  <c r="BI145" i="61"/>
  <c r="BG145" i="61"/>
  <c r="BE145" i="61"/>
  <c r="BC145" i="61"/>
  <c r="BA145" i="61"/>
  <c r="AY145" i="61"/>
  <c r="AX145" i="61"/>
  <c r="AW145" i="61"/>
  <c r="AV145" i="61"/>
  <c r="AU145" i="61"/>
  <c r="AT145" i="61"/>
  <c r="AS145" i="61"/>
  <c r="AR145" i="61"/>
  <c r="AQ145" i="61"/>
  <c r="R145" i="61"/>
  <c r="P145" i="61"/>
  <c r="BM144" i="61"/>
  <c r="BK144" i="61"/>
  <c r="BI144" i="61"/>
  <c r="BG144" i="61"/>
  <c r="BE144" i="61"/>
  <c r="BC144" i="61"/>
  <c r="BA144" i="61"/>
  <c r="AY144" i="61"/>
  <c r="AX144" i="61"/>
  <c r="AW144" i="61"/>
  <c r="AV144" i="61"/>
  <c r="AU144" i="61"/>
  <c r="AT144" i="61"/>
  <c r="AS144" i="61"/>
  <c r="AR144" i="61"/>
  <c r="AQ144" i="61"/>
  <c r="R144" i="61"/>
  <c r="P144" i="61"/>
  <c r="BM143" i="61"/>
  <c r="BK143" i="61"/>
  <c r="BI143" i="61"/>
  <c r="BG143" i="61"/>
  <c r="BE143" i="61"/>
  <c r="BC143" i="61"/>
  <c r="BA143" i="61"/>
  <c r="AY143" i="61"/>
  <c r="AX143" i="61"/>
  <c r="AW143" i="61"/>
  <c r="AV143" i="61"/>
  <c r="AU143" i="61"/>
  <c r="AT143" i="61"/>
  <c r="AS143" i="61"/>
  <c r="AR143" i="61"/>
  <c r="AQ143" i="61"/>
  <c r="R143" i="61"/>
  <c r="P143" i="61"/>
  <c r="BM142" i="61"/>
  <c r="BK142" i="61"/>
  <c r="BI142" i="61"/>
  <c r="BG142" i="61"/>
  <c r="BE142" i="61"/>
  <c r="BC142" i="61"/>
  <c r="BA142" i="61"/>
  <c r="AY142" i="61"/>
  <c r="AX142" i="61"/>
  <c r="AW142" i="61"/>
  <c r="AV142" i="61"/>
  <c r="AU142" i="61"/>
  <c r="AT142" i="61"/>
  <c r="AS142" i="61"/>
  <c r="AR142" i="61"/>
  <c r="AQ142" i="61"/>
  <c r="R142" i="61"/>
  <c r="P142" i="61"/>
  <c r="BM141" i="61"/>
  <c r="BK141" i="61"/>
  <c r="BI141" i="61"/>
  <c r="BG141" i="61"/>
  <c r="BE141" i="61"/>
  <c r="BC141" i="61"/>
  <c r="BA141" i="61"/>
  <c r="AY141" i="61"/>
  <c r="AX141" i="61"/>
  <c r="AW141" i="61"/>
  <c r="AV141" i="61"/>
  <c r="AU141" i="61"/>
  <c r="AT141" i="61"/>
  <c r="AS141" i="61"/>
  <c r="AR141" i="61"/>
  <c r="AQ141" i="61"/>
  <c r="R141" i="61"/>
  <c r="P141" i="61"/>
  <c r="BM140" i="61"/>
  <c r="BK140" i="61"/>
  <c r="BI140" i="61"/>
  <c r="BG140" i="61"/>
  <c r="BE140" i="61"/>
  <c r="BC140" i="61"/>
  <c r="BA140" i="61"/>
  <c r="AY140" i="61"/>
  <c r="AX140" i="61"/>
  <c r="AW140" i="61"/>
  <c r="AV140" i="61"/>
  <c r="AU140" i="61"/>
  <c r="AT140" i="61"/>
  <c r="AS140" i="61"/>
  <c r="AR140" i="61"/>
  <c r="AQ140" i="61"/>
  <c r="R140" i="61"/>
  <c r="P140" i="61"/>
  <c r="BM139" i="61"/>
  <c r="BK139" i="61"/>
  <c r="BI139" i="61"/>
  <c r="BG139" i="61"/>
  <c r="BE139" i="61"/>
  <c r="BC139" i="61"/>
  <c r="BA139" i="61"/>
  <c r="AY139" i="61"/>
  <c r="AX139" i="61"/>
  <c r="AW139" i="61"/>
  <c r="AV139" i="61"/>
  <c r="AU139" i="61"/>
  <c r="AT139" i="61"/>
  <c r="AS139" i="61"/>
  <c r="AR139" i="61"/>
  <c r="AQ139" i="61"/>
  <c r="R139" i="61"/>
  <c r="P139" i="61"/>
  <c r="BM138" i="61"/>
  <c r="BK138" i="61"/>
  <c r="BI138" i="61"/>
  <c r="BG138" i="61"/>
  <c r="BE138" i="61"/>
  <c r="BC138" i="61"/>
  <c r="BA138" i="61"/>
  <c r="AY138" i="61"/>
  <c r="AX138" i="61"/>
  <c r="AW138" i="61"/>
  <c r="AV138" i="61"/>
  <c r="AU138" i="61"/>
  <c r="AT138" i="61"/>
  <c r="AS138" i="61"/>
  <c r="AR138" i="61"/>
  <c r="AQ138" i="61"/>
  <c r="R138" i="61"/>
  <c r="P138" i="61"/>
  <c r="BM137" i="61"/>
  <c r="BK137" i="61"/>
  <c r="BI137" i="61"/>
  <c r="BG137" i="61"/>
  <c r="BE137" i="61"/>
  <c r="BC137" i="61"/>
  <c r="BA137" i="61"/>
  <c r="AY137" i="61"/>
  <c r="AX137" i="61"/>
  <c r="AW137" i="61"/>
  <c r="AV137" i="61"/>
  <c r="AU137" i="61"/>
  <c r="AT137" i="61"/>
  <c r="AS137" i="61"/>
  <c r="AR137" i="61"/>
  <c r="AQ137" i="61"/>
  <c r="R137" i="61"/>
  <c r="P137" i="61"/>
  <c r="BM136" i="61"/>
  <c r="BK136" i="61"/>
  <c r="BI136" i="61"/>
  <c r="BG136" i="61"/>
  <c r="BE136" i="61"/>
  <c r="BC136" i="61"/>
  <c r="BA136" i="61"/>
  <c r="AY136" i="61"/>
  <c r="AX136" i="61"/>
  <c r="AW136" i="61"/>
  <c r="AV136" i="61"/>
  <c r="AU136" i="61"/>
  <c r="AT136" i="61"/>
  <c r="AS136" i="61"/>
  <c r="AR136" i="61"/>
  <c r="AQ136" i="61"/>
  <c r="R136" i="61"/>
  <c r="P136" i="61"/>
  <c r="BM135" i="61"/>
  <c r="BK135" i="61"/>
  <c r="BI135" i="61"/>
  <c r="BG135" i="61"/>
  <c r="BE135" i="61"/>
  <c r="BC135" i="61"/>
  <c r="BA135" i="61"/>
  <c r="AY135" i="61"/>
  <c r="AX135" i="61"/>
  <c r="AW135" i="61"/>
  <c r="AV135" i="61"/>
  <c r="AU135" i="61"/>
  <c r="AT135" i="61"/>
  <c r="AS135" i="61"/>
  <c r="AR135" i="61"/>
  <c r="AQ135" i="61"/>
  <c r="R135" i="61"/>
  <c r="P135" i="61"/>
  <c r="BM134" i="61"/>
  <c r="BK134" i="61"/>
  <c r="BI134" i="61"/>
  <c r="BG134" i="61"/>
  <c r="BE134" i="61"/>
  <c r="BC134" i="61"/>
  <c r="BA134" i="61"/>
  <c r="AY134" i="61"/>
  <c r="AX134" i="61"/>
  <c r="AW134" i="61"/>
  <c r="AV134" i="61"/>
  <c r="AU134" i="61"/>
  <c r="AT134" i="61"/>
  <c r="AS134" i="61"/>
  <c r="AR134" i="61"/>
  <c r="AQ134" i="61"/>
  <c r="R134" i="61"/>
  <c r="P134" i="61"/>
  <c r="BM133" i="61"/>
  <c r="BK133" i="61"/>
  <c r="BI133" i="61"/>
  <c r="BG133" i="61"/>
  <c r="BE133" i="61"/>
  <c r="BC133" i="61"/>
  <c r="BA133" i="61"/>
  <c r="AY133" i="61"/>
  <c r="AX133" i="61"/>
  <c r="AW133" i="61"/>
  <c r="AV133" i="61"/>
  <c r="AU133" i="61"/>
  <c r="AT133" i="61"/>
  <c r="AS133" i="61"/>
  <c r="AR133" i="61"/>
  <c r="AQ133" i="61"/>
  <c r="R133" i="61"/>
  <c r="P133" i="61"/>
  <c r="BN132" i="61"/>
  <c r="BN132" i="61" a="1"/>
  <c r="BM132" i="61"/>
  <c r="BL132" i="61"/>
  <c r="BL132" i="61" a="1"/>
  <c r="BK132" i="61"/>
  <c r="BJ132" i="61"/>
  <c r="BJ132" i="61" a="1"/>
  <c r="BI132" i="61"/>
  <c r="BH132" i="61"/>
  <c r="BH132" i="61" a="1"/>
  <c r="BG132" i="61"/>
  <c r="BF132" i="61"/>
  <c r="BF132" i="61" a="1"/>
  <c r="BE132" i="61"/>
  <c r="BD132" i="61"/>
  <c r="BD132" i="61" a="1"/>
  <c r="BC132" i="61"/>
  <c r="BB132" i="61"/>
  <c r="BB132" i="61" a="1"/>
  <c r="BA132" i="61"/>
  <c r="AZ132" i="61"/>
  <c r="AZ132" i="61" a="1"/>
  <c r="AY132" i="61"/>
  <c r="AX132" i="61"/>
  <c r="AW132" i="61"/>
  <c r="AV132" i="61"/>
  <c r="AU132" i="61"/>
  <c r="AT132" i="61"/>
  <c r="AS132" i="61"/>
  <c r="AR132" i="61"/>
  <c r="AQ132" i="61"/>
  <c r="AP132" i="61"/>
  <c r="AP132" i="61" a="1"/>
  <c r="AO132" i="61"/>
  <c r="AO132" i="61" a="1"/>
  <c r="AN132" i="61"/>
  <c r="AN132" i="61" a="1"/>
  <c r="AM132" i="61"/>
  <c r="AM132" i="61" a="1"/>
  <c r="AL132" i="61"/>
  <c r="AL132" i="61" a="1"/>
  <c r="AK132" i="61"/>
  <c r="AK132" i="61" a="1"/>
  <c r="AJ132" i="61"/>
  <c r="AJ132" i="61" a="1"/>
  <c r="AI132" i="61"/>
  <c r="AI132" i="61" a="1"/>
  <c r="AH132" i="61"/>
  <c r="AH132" i="61" a="1"/>
  <c r="AG132" i="61"/>
  <c r="AG132" i="61" a="1"/>
  <c r="AF132" i="61"/>
  <c r="AF132" i="61" a="1"/>
  <c r="AE132" i="61"/>
  <c r="AE132" i="61" a="1"/>
  <c r="AD132" i="61"/>
  <c r="AD132" i="61" a="1"/>
  <c r="AC132" i="61"/>
  <c r="AC132" i="61" a="1"/>
  <c r="AB132" i="61"/>
  <c r="AB132" i="61" a="1"/>
  <c r="AA132" i="61"/>
  <c r="AA132" i="61" a="1"/>
  <c r="R132" i="61"/>
  <c r="P132" i="61"/>
  <c r="L132" i="61"/>
  <c r="L132" i="61" a="1"/>
  <c r="J132" i="61"/>
  <c r="J132" i="61" a="1"/>
  <c r="I132" i="61"/>
  <c r="I132" i="61" a="1"/>
  <c r="BN130" i="61"/>
  <c r="BL130" i="61"/>
  <c r="BJ130" i="61"/>
  <c r="BH130" i="61"/>
  <c r="BF130" i="61"/>
  <c r="BD130" i="61"/>
  <c r="BB130" i="61"/>
  <c r="AZ130" i="61"/>
  <c r="AQ130" i="61"/>
  <c r="BM125" i="61"/>
  <c r="BK125" i="61"/>
  <c r="BI125" i="61"/>
  <c r="BG125" i="61"/>
  <c r="BE125" i="61"/>
  <c r="BC125" i="61"/>
  <c r="BA125" i="61"/>
  <c r="AY125" i="61"/>
  <c r="AX125" i="61"/>
  <c r="AW125" i="61"/>
  <c r="AV125" i="61"/>
  <c r="AU125" i="61"/>
  <c r="AT125" i="61"/>
  <c r="AS125" i="61"/>
  <c r="AR125" i="61"/>
  <c r="AQ125" i="61"/>
  <c r="R125" i="61"/>
  <c r="P125" i="61"/>
  <c r="BM124" i="61"/>
  <c r="BK124" i="61"/>
  <c r="BI124" i="61"/>
  <c r="BG124" i="61"/>
  <c r="BE124" i="61"/>
  <c r="BC124" i="61"/>
  <c r="BA124" i="61"/>
  <c r="AY124" i="61"/>
  <c r="AX124" i="61"/>
  <c r="AW124" i="61"/>
  <c r="AV124" i="61"/>
  <c r="AU124" i="61"/>
  <c r="AT124" i="61"/>
  <c r="AS124" i="61"/>
  <c r="AR124" i="61"/>
  <c r="AQ124" i="61"/>
  <c r="R124" i="61"/>
  <c r="P124" i="61"/>
  <c r="BM123" i="61"/>
  <c r="BK123" i="61"/>
  <c r="BI123" i="61"/>
  <c r="BG123" i="61"/>
  <c r="BE123" i="61"/>
  <c r="BC123" i="61"/>
  <c r="BA123" i="61"/>
  <c r="AY123" i="61"/>
  <c r="AX123" i="61"/>
  <c r="AW123" i="61"/>
  <c r="AV123" i="61"/>
  <c r="AU123" i="61"/>
  <c r="AT123" i="61"/>
  <c r="AS123" i="61"/>
  <c r="AR123" i="61"/>
  <c r="AQ123" i="61"/>
  <c r="R123" i="61"/>
  <c r="P123" i="61"/>
  <c r="BM122" i="61"/>
  <c r="BK122" i="61"/>
  <c r="BI122" i="61"/>
  <c r="BG122" i="61"/>
  <c r="BE122" i="61"/>
  <c r="BC122" i="61"/>
  <c r="BA122" i="61"/>
  <c r="AY122" i="61"/>
  <c r="AX122" i="61"/>
  <c r="AW122" i="61"/>
  <c r="AV122" i="61"/>
  <c r="AU122" i="61"/>
  <c r="AT122" i="61"/>
  <c r="AS122" i="61"/>
  <c r="AR122" i="61"/>
  <c r="AQ122" i="61"/>
  <c r="R122" i="61"/>
  <c r="P122" i="61"/>
  <c r="BM121" i="61"/>
  <c r="BK121" i="61"/>
  <c r="BI121" i="61"/>
  <c r="BG121" i="61"/>
  <c r="BE121" i="61"/>
  <c r="BC121" i="61"/>
  <c r="BA121" i="61"/>
  <c r="AY121" i="61"/>
  <c r="AX121" i="61"/>
  <c r="AW121" i="61"/>
  <c r="AV121" i="61"/>
  <c r="AU121" i="61"/>
  <c r="AT121" i="61"/>
  <c r="AS121" i="61"/>
  <c r="AR121" i="61"/>
  <c r="AQ121" i="61"/>
  <c r="R121" i="61"/>
  <c r="P121" i="61"/>
  <c r="BM120" i="61"/>
  <c r="BK120" i="61"/>
  <c r="BI120" i="61"/>
  <c r="BG120" i="61"/>
  <c r="BE120" i="61"/>
  <c r="BC120" i="61"/>
  <c r="BA120" i="61"/>
  <c r="AY120" i="61"/>
  <c r="AX120" i="61"/>
  <c r="AW120" i="61"/>
  <c r="AV120" i="61"/>
  <c r="AU120" i="61"/>
  <c r="AT120" i="61"/>
  <c r="AS120" i="61"/>
  <c r="AR120" i="61"/>
  <c r="AQ120" i="61"/>
  <c r="R120" i="61"/>
  <c r="P120" i="61"/>
  <c r="BM119" i="61"/>
  <c r="BK119" i="61"/>
  <c r="BI119" i="61"/>
  <c r="BG119" i="61"/>
  <c r="BE119" i="61"/>
  <c r="BC119" i="61"/>
  <c r="BA119" i="61"/>
  <c r="AY119" i="61"/>
  <c r="AX119" i="61"/>
  <c r="AW119" i="61"/>
  <c r="AV119" i="61"/>
  <c r="AU119" i="61"/>
  <c r="AT119" i="61"/>
  <c r="AS119" i="61"/>
  <c r="AR119" i="61"/>
  <c r="AQ119" i="61"/>
  <c r="R119" i="61"/>
  <c r="P119" i="61"/>
  <c r="BM118" i="61"/>
  <c r="BK118" i="61"/>
  <c r="BI118" i="61"/>
  <c r="BG118" i="61"/>
  <c r="BE118" i="61"/>
  <c r="BC118" i="61"/>
  <c r="BA118" i="61"/>
  <c r="AY118" i="61"/>
  <c r="AX118" i="61"/>
  <c r="AW118" i="61"/>
  <c r="AV118" i="61"/>
  <c r="AU118" i="61"/>
  <c r="AT118" i="61"/>
  <c r="AS118" i="61"/>
  <c r="AR118" i="61"/>
  <c r="AQ118" i="61"/>
  <c r="R118" i="61"/>
  <c r="P118" i="61"/>
  <c r="BM117" i="61"/>
  <c r="BK117" i="61"/>
  <c r="BI117" i="61"/>
  <c r="BG117" i="61"/>
  <c r="BE117" i="61"/>
  <c r="BC117" i="61"/>
  <c r="BA117" i="61"/>
  <c r="AY117" i="61"/>
  <c r="AX117" i="61"/>
  <c r="AW117" i="61"/>
  <c r="AV117" i="61"/>
  <c r="AU117" i="61"/>
  <c r="AT117" i="61"/>
  <c r="AS117" i="61"/>
  <c r="AR117" i="61"/>
  <c r="AQ117" i="61"/>
  <c r="R117" i="61"/>
  <c r="P117" i="61"/>
  <c r="BM116" i="61"/>
  <c r="BK116" i="61"/>
  <c r="BI116" i="61"/>
  <c r="BG116" i="61"/>
  <c r="BE116" i="61"/>
  <c r="BC116" i="61"/>
  <c r="BA116" i="61"/>
  <c r="AY116" i="61"/>
  <c r="AX116" i="61"/>
  <c r="AW116" i="61"/>
  <c r="AV116" i="61"/>
  <c r="AU116" i="61"/>
  <c r="AT116" i="61"/>
  <c r="AS116" i="61"/>
  <c r="AR116" i="61"/>
  <c r="AQ116" i="61"/>
  <c r="R116" i="61"/>
  <c r="P116" i="61"/>
  <c r="BM115" i="61"/>
  <c r="BK115" i="61"/>
  <c r="BI115" i="61"/>
  <c r="BG115" i="61"/>
  <c r="BE115" i="61"/>
  <c r="BC115" i="61"/>
  <c r="BA115" i="61"/>
  <c r="AY115" i="61"/>
  <c r="AX115" i="61"/>
  <c r="AW115" i="61"/>
  <c r="AV115" i="61"/>
  <c r="AU115" i="61"/>
  <c r="AT115" i="61"/>
  <c r="AS115" i="61"/>
  <c r="AR115" i="61"/>
  <c r="AQ115" i="61"/>
  <c r="R115" i="61"/>
  <c r="P115" i="61"/>
  <c r="BM114" i="61"/>
  <c r="BK114" i="61"/>
  <c r="BI114" i="61"/>
  <c r="BG114" i="61"/>
  <c r="BE114" i="61"/>
  <c r="BC114" i="61"/>
  <c r="BA114" i="61"/>
  <c r="AY114" i="61"/>
  <c r="AX114" i="61"/>
  <c r="AW114" i="61"/>
  <c r="AV114" i="61"/>
  <c r="AU114" i="61"/>
  <c r="AT114" i="61"/>
  <c r="AS114" i="61"/>
  <c r="AR114" i="61"/>
  <c r="AQ114" i="61"/>
  <c r="R114" i="61"/>
  <c r="P114" i="61"/>
  <c r="BM113" i="61"/>
  <c r="BK113" i="61"/>
  <c r="BI113" i="61"/>
  <c r="BG113" i="61"/>
  <c r="BE113" i="61"/>
  <c r="BC113" i="61"/>
  <c r="BA113" i="61"/>
  <c r="AY113" i="61"/>
  <c r="AX113" i="61"/>
  <c r="AW113" i="61"/>
  <c r="AV113" i="61"/>
  <c r="AU113" i="61"/>
  <c r="AT113" i="61"/>
  <c r="AS113" i="61"/>
  <c r="AR113" i="61"/>
  <c r="AQ113" i="61"/>
  <c r="R113" i="61"/>
  <c r="P113" i="61"/>
  <c r="BM112" i="61"/>
  <c r="BK112" i="61"/>
  <c r="BI112" i="61"/>
  <c r="BG112" i="61"/>
  <c r="BE112" i="61"/>
  <c r="BC112" i="61"/>
  <c r="BA112" i="61"/>
  <c r="AY112" i="61"/>
  <c r="AX112" i="61"/>
  <c r="AW112" i="61"/>
  <c r="AV112" i="61"/>
  <c r="AU112" i="61"/>
  <c r="AT112" i="61"/>
  <c r="AS112" i="61"/>
  <c r="AR112" i="61"/>
  <c r="AQ112" i="61"/>
  <c r="R112" i="61"/>
  <c r="P112" i="61"/>
  <c r="BM111" i="61"/>
  <c r="BK111" i="61"/>
  <c r="BI111" i="61"/>
  <c r="BG111" i="61"/>
  <c r="BE111" i="61"/>
  <c r="BC111" i="61"/>
  <c r="BA111" i="61"/>
  <c r="AY111" i="61"/>
  <c r="AX111" i="61"/>
  <c r="AW111" i="61"/>
  <c r="AV111" i="61"/>
  <c r="AU111" i="61"/>
  <c r="AT111" i="61"/>
  <c r="AS111" i="61"/>
  <c r="AR111" i="61"/>
  <c r="AQ111" i="61"/>
  <c r="R111" i="61"/>
  <c r="P111" i="61"/>
  <c r="BM110" i="61"/>
  <c r="BK110" i="61"/>
  <c r="BI110" i="61"/>
  <c r="BG110" i="61"/>
  <c r="BE110" i="61"/>
  <c r="BC110" i="61"/>
  <c r="BA110" i="61"/>
  <c r="AY110" i="61"/>
  <c r="AX110" i="61"/>
  <c r="AW110" i="61"/>
  <c r="AV110" i="61"/>
  <c r="AU110" i="61"/>
  <c r="AT110" i="61"/>
  <c r="AS110" i="61"/>
  <c r="AR110" i="61"/>
  <c r="AQ110" i="61"/>
  <c r="R110" i="61"/>
  <c r="P110" i="61"/>
  <c r="BM109" i="61"/>
  <c r="BK109" i="61"/>
  <c r="BI109" i="61"/>
  <c r="BG109" i="61"/>
  <c r="BE109" i="61"/>
  <c r="BC109" i="61"/>
  <c r="BA109" i="61"/>
  <c r="AY109" i="61"/>
  <c r="AX109" i="61"/>
  <c r="AW109" i="61"/>
  <c r="AV109" i="61"/>
  <c r="AU109" i="61"/>
  <c r="AT109" i="61"/>
  <c r="AS109" i="61"/>
  <c r="AR109" i="61"/>
  <c r="AQ109" i="61"/>
  <c r="R109" i="61"/>
  <c r="P109" i="61"/>
  <c r="BM108" i="61"/>
  <c r="BK108" i="61"/>
  <c r="BI108" i="61"/>
  <c r="BG108" i="61"/>
  <c r="BE108" i="61"/>
  <c r="BC108" i="61"/>
  <c r="BA108" i="61"/>
  <c r="AY108" i="61"/>
  <c r="AX108" i="61"/>
  <c r="AW108" i="61"/>
  <c r="AV108" i="61"/>
  <c r="AU108" i="61"/>
  <c r="AT108" i="61"/>
  <c r="AS108" i="61"/>
  <c r="AR108" i="61"/>
  <c r="AQ108" i="61"/>
  <c r="R108" i="61"/>
  <c r="P108" i="61"/>
  <c r="BM107" i="61"/>
  <c r="BK107" i="61"/>
  <c r="BI107" i="61"/>
  <c r="BG107" i="61"/>
  <c r="BE107" i="61"/>
  <c r="BC107" i="61"/>
  <c r="BA107" i="61"/>
  <c r="AY107" i="61"/>
  <c r="AX107" i="61"/>
  <c r="AW107" i="61"/>
  <c r="AV107" i="61"/>
  <c r="AU107" i="61"/>
  <c r="AT107" i="61"/>
  <c r="AS107" i="61"/>
  <c r="AR107" i="61"/>
  <c r="AQ107" i="61"/>
  <c r="R107" i="61"/>
  <c r="P107" i="61"/>
  <c r="BM106" i="61"/>
  <c r="BK106" i="61"/>
  <c r="BI106" i="61"/>
  <c r="BG106" i="61"/>
  <c r="BE106" i="61"/>
  <c r="BC106" i="61"/>
  <c r="BA106" i="61"/>
  <c r="AY106" i="61"/>
  <c r="AX106" i="61"/>
  <c r="AW106" i="61"/>
  <c r="AV106" i="61"/>
  <c r="AU106" i="61"/>
  <c r="AT106" i="61"/>
  <c r="AS106" i="61"/>
  <c r="AR106" i="61"/>
  <c r="AQ106" i="61"/>
  <c r="R106" i="61"/>
  <c r="P106" i="61"/>
  <c r="BM105" i="61"/>
  <c r="BK105" i="61"/>
  <c r="BI105" i="61"/>
  <c r="BG105" i="61"/>
  <c r="BE105" i="61"/>
  <c r="BC105" i="61"/>
  <c r="BA105" i="61"/>
  <c r="AY105" i="61"/>
  <c r="AX105" i="61"/>
  <c r="AW105" i="61"/>
  <c r="AV105" i="61"/>
  <c r="AU105" i="61"/>
  <c r="AT105" i="61"/>
  <c r="AS105" i="61"/>
  <c r="AR105" i="61"/>
  <c r="AQ105" i="61"/>
  <c r="R105" i="61"/>
  <c r="P105" i="61"/>
  <c r="BM104" i="61"/>
  <c r="BK104" i="61"/>
  <c r="BI104" i="61"/>
  <c r="BG104" i="61"/>
  <c r="BE104" i="61"/>
  <c r="BC104" i="61"/>
  <c r="BA104" i="61"/>
  <c r="AY104" i="61"/>
  <c r="AX104" i="61"/>
  <c r="AW104" i="61"/>
  <c r="AV104" i="61"/>
  <c r="AU104" i="61"/>
  <c r="AT104" i="61"/>
  <c r="AS104" i="61"/>
  <c r="AR104" i="61"/>
  <c r="AQ104" i="61"/>
  <c r="R104" i="61"/>
  <c r="P104" i="61"/>
  <c r="BM103" i="61"/>
  <c r="BK103" i="61"/>
  <c r="BI103" i="61"/>
  <c r="BG103" i="61"/>
  <c r="BE103" i="61"/>
  <c r="BC103" i="61"/>
  <c r="BA103" i="61"/>
  <c r="AY103" i="61"/>
  <c r="AX103" i="61"/>
  <c r="AW103" i="61"/>
  <c r="AV103" i="61"/>
  <c r="AU103" i="61"/>
  <c r="AT103" i="61"/>
  <c r="AS103" i="61"/>
  <c r="AR103" i="61"/>
  <c r="AQ103" i="61"/>
  <c r="R103" i="61"/>
  <c r="P103" i="61"/>
  <c r="BM102" i="61"/>
  <c r="BK102" i="61"/>
  <c r="BI102" i="61"/>
  <c r="BG102" i="61"/>
  <c r="BE102" i="61"/>
  <c r="BC102" i="61"/>
  <c r="BA102" i="61"/>
  <c r="AY102" i="61"/>
  <c r="AX102" i="61"/>
  <c r="AW102" i="61"/>
  <c r="AV102" i="61"/>
  <c r="AU102" i="61"/>
  <c r="AT102" i="61"/>
  <c r="AS102" i="61"/>
  <c r="AR102" i="61"/>
  <c r="AQ102" i="61"/>
  <c r="R102" i="61"/>
  <c r="P102" i="61"/>
  <c r="BM101" i="61"/>
  <c r="BK101" i="61"/>
  <c r="BI101" i="61"/>
  <c r="BG101" i="61"/>
  <c r="BE101" i="61"/>
  <c r="BC101" i="61"/>
  <c r="BA101" i="61"/>
  <c r="AY101" i="61"/>
  <c r="AX101" i="61"/>
  <c r="AW101" i="61"/>
  <c r="AV101" i="61"/>
  <c r="AU101" i="61"/>
  <c r="AT101" i="61"/>
  <c r="AS101" i="61"/>
  <c r="AR101" i="61"/>
  <c r="AQ101" i="61"/>
  <c r="R101" i="61"/>
  <c r="P101" i="61"/>
  <c r="BM100" i="61"/>
  <c r="BK100" i="61"/>
  <c r="BI100" i="61"/>
  <c r="BG100" i="61"/>
  <c r="BE100" i="61"/>
  <c r="BC100" i="61"/>
  <c r="BA100" i="61"/>
  <c r="AY100" i="61"/>
  <c r="AX100" i="61"/>
  <c r="AW100" i="61"/>
  <c r="AV100" i="61"/>
  <c r="AU100" i="61"/>
  <c r="AT100" i="61"/>
  <c r="AS100" i="61"/>
  <c r="AR100" i="61"/>
  <c r="AQ100" i="61"/>
  <c r="R100" i="61"/>
  <c r="P100" i="61"/>
  <c r="BM99" i="61"/>
  <c r="BK99" i="61"/>
  <c r="BI99" i="61"/>
  <c r="BG99" i="61"/>
  <c r="BE99" i="61"/>
  <c r="BC99" i="61"/>
  <c r="BA99" i="61"/>
  <c r="AY99" i="61"/>
  <c r="AX99" i="61"/>
  <c r="AW99" i="61"/>
  <c r="AV99" i="61"/>
  <c r="AU99" i="61"/>
  <c r="AT99" i="61"/>
  <c r="AS99" i="61"/>
  <c r="AR99" i="61"/>
  <c r="AQ99" i="61"/>
  <c r="R99" i="61"/>
  <c r="P99" i="61"/>
  <c r="BM98" i="61"/>
  <c r="BK98" i="61"/>
  <c r="BI98" i="61"/>
  <c r="BG98" i="61"/>
  <c r="BE98" i="61"/>
  <c r="BC98" i="61"/>
  <c r="BA98" i="61"/>
  <c r="AY98" i="61"/>
  <c r="AX98" i="61"/>
  <c r="AW98" i="61"/>
  <c r="AV98" i="61"/>
  <c r="AU98" i="61"/>
  <c r="AT98" i="61"/>
  <c r="AS98" i="61"/>
  <c r="AR98" i="61"/>
  <c r="AQ98" i="61"/>
  <c r="R98" i="61"/>
  <c r="P98" i="61"/>
  <c r="BM97" i="61"/>
  <c r="BK97" i="61"/>
  <c r="BI97" i="61"/>
  <c r="BG97" i="61"/>
  <c r="BE97" i="61"/>
  <c r="BC97" i="61"/>
  <c r="BA97" i="61"/>
  <c r="AY97" i="61"/>
  <c r="AX97" i="61"/>
  <c r="AW97" i="61"/>
  <c r="AV97" i="61"/>
  <c r="AU97" i="61"/>
  <c r="AT97" i="61"/>
  <c r="AS97" i="61"/>
  <c r="AR97" i="61"/>
  <c r="AQ97" i="61"/>
  <c r="R97" i="61"/>
  <c r="P97" i="61"/>
  <c r="BM96" i="61"/>
  <c r="BK96" i="61"/>
  <c r="BI96" i="61"/>
  <c r="BG96" i="61"/>
  <c r="BE96" i="61"/>
  <c r="BC96" i="61"/>
  <c r="BA96" i="61"/>
  <c r="AY96" i="61"/>
  <c r="AX96" i="61"/>
  <c r="AW96" i="61"/>
  <c r="AV96" i="61"/>
  <c r="AU96" i="61"/>
  <c r="AT96" i="61"/>
  <c r="AS96" i="61"/>
  <c r="AR96" i="61"/>
  <c r="AQ96" i="61"/>
  <c r="R96" i="61"/>
  <c r="P96" i="61"/>
  <c r="BM95" i="61"/>
  <c r="BK95" i="61"/>
  <c r="BI95" i="61"/>
  <c r="BG95" i="61"/>
  <c r="BE95" i="61"/>
  <c r="BC95" i="61"/>
  <c r="BA95" i="61"/>
  <c r="AY95" i="61"/>
  <c r="AX95" i="61"/>
  <c r="AW95" i="61"/>
  <c r="AV95" i="61"/>
  <c r="AU95" i="61"/>
  <c r="AT95" i="61"/>
  <c r="AS95" i="61"/>
  <c r="AR95" i="61"/>
  <c r="AQ95" i="61"/>
  <c r="R95" i="61"/>
  <c r="P95" i="61"/>
  <c r="BM94" i="61"/>
  <c r="BK94" i="61"/>
  <c r="BI94" i="61"/>
  <c r="BG94" i="61"/>
  <c r="BE94" i="61"/>
  <c r="BC94" i="61"/>
  <c r="BA94" i="61"/>
  <c r="AY94" i="61"/>
  <c r="AX94" i="61"/>
  <c r="AW94" i="61"/>
  <c r="AV94" i="61"/>
  <c r="AU94" i="61"/>
  <c r="AT94" i="61"/>
  <c r="AS94" i="61"/>
  <c r="AR94" i="61"/>
  <c r="AQ94" i="61"/>
  <c r="R94" i="61"/>
  <c r="P94" i="61"/>
  <c r="BM93" i="61"/>
  <c r="BK93" i="61"/>
  <c r="BI93" i="61"/>
  <c r="BG93" i="61"/>
  <c r="BE93" i="61"/>
  <c r="BC93" i="61"/>
  <c r="BA93" i="61"/>
  <c r="AY93" i="61"/>
  <c r="AX93" i="61"/>
  <c r="AW93" i="61"/>
  <c r="AV93" i="61"/>
  <c r="AU93" i="61"/>
  <c r="AT93" i="61"/>
  <c r="AS93" i="61"/>
  <c r="AR93" i="61"/>
  <c r="AQ93" i="61"/>
  <c r="R93" i="61"/>
  <c r="P93" i="61"/>
  <c r="BM92" i="61"/>
  <c r="BK92" i="61"/>
  <c r="BI92" i="61"/>
  <c r="BG92" i="61"/>
  <c r="BE92" i="61"/>
  <c r="BC92" i="61"/>
  <c r="BA92" i="61"/>
  <c r="AY92" i="61"/>
  <c r="AX92" i="61"/>
  <c r="AW92" i="61"/>
  <c r="AV92" i="61"/>
  <c r="AU92" i="61"/>
  <c r="AT92" i="61"/>
  <c r="AS92" i="61"/>
  <c r="AR92" i="61"/>
  <c r="AQ92" i="61"/>
  <c r="R92" i="61"/>
  <c r="P92" i="61"/>
  <c r="BM91" i="61"/>
  <c r="BK91" i="61"/>
  <c r="BI91" i="61"/>
  <c r="BG91" i="61"/>
  <c r="BE91" i="61"/>
  <c r="BC91" i="61"/>
  <c r="BA91" i="61"/>
  <c r="AY91" i="61"/>
  <c r="AX91" i="61"/>
  <c r="AW91" i="61"/>
  <c r="AV91" i="61"/>
  <c r="AU91" i="61"/>
  <c r="AT91" i="61"/>
  <c r="AS91" i="61"/>
  <c r="AR91" i="61"/>
  <c r="AQ91" i="61"/>
  <c r="R91" i="61"/>
  <c r="P91" i="61"/>
  <c r="BM90" i="61"/>
  <c r="BK90" i="61"/>
  <c r="BI90" i="61"/>
  <c r="BG90" i="61"/>
  <c r="BE90" i="61"/>
  <c r="BC90" i="61"/>
  <c r="BA90" i="61"/>
  <c r="AY90" i="61"/>
  <c r="AX90" i="61"/>
  <c r="AW90" i="61"/>
  <c r="AV90" i="61"/>
  <c r="AU90" i="61"/>
  <c r="AT90" i="61"/>
  <c r="AS90" i="61"/>
  <c r="AR90" i="61"/>
  <c r="AQ90" i="61"/>
  <c r="R90" i="61"/>
  <c r="P90" i="61"/>
  <c r="BM89" i="61"/>
  <c r="BK89" i="61"/>
  <c r="BI89" i="61"/>
  <c r="BG89" i="61"/>
  <c r="BE89" i="61"/>
  <c r="BC89" i="61"/>
  <c r="BA89" i="61"/>
  <c r="AY89" i="61"/>
  <c r="AX89" i="61"/>
  <c r="AW89" i="61"/>
  <c r="AV89" i="61"/>
  <c r="AU89" i="61"/>
  <c r="AT89" i="61"/>
  <c r="AS89" i="61"/>
  <c r="AR89" i="61"/>
  <c r="AQ89" i="61"/>
  <c r="R89" i="61"/>
  <c r="P89" i="61"/>
  <c r="BM88" i="61"/>
  <c r="BK88" i="61"/>
  <c r="BI88" i="61"/>
  <c r="BG88" i="61"/>
  <c r="BE88" i="61"/>
  <c r="BC88" i="61"/>
  <c r="BA88" i="61"/>
  <c r="AY88" i="61"/>
  <c r="AX88" i="61"/>
  <c r="AW88" i="61"/>
  <c r="AV88" i="61"/>
  <c r="AU88" i="61"/>
  <c r="AT88" i="61"/>
  <c r="AS88" i="61"/>
  <c r="AR88" i="61"/>
  <c r="AQ88" i="61"/>
  <c r="R88" i="61"/>
  <c r="P88" i="61"/>
  <c r="BM87" i="61"/>
  <c r="BK87" i="61"/>
  <c r="BI87" i="61"/>
  <c r="BG87" i="61"/>
  <c r="BE87" i="61"/>
  <c r="BC87" i="61"/>
  <c r="BA87" i="61"/>
  <c r="AY87" i="61"/>
  <c r="AX87" i="61"/>
  <c r="AW87" i="61"/>
  <c r="AV87" i="61"/>
  <c r="AU87" i="61"/>
  <c r="AT87" i="61"/>
  <c r="AS87" i="61"/>
  <c r="AR87" i="61"/>
  <c r="AQ87" i="61"/>
  <c r="R87" i="61"/>
  <c r="P87" i="61"/>
  <c r="BM86" i="61"/>
  <c r="BK86" i="61"/>
  <c r="BI86" i="61"/>
  <c r="BG86" i="61"/>
  <c r="BE86" i="61"/>
  <c r="BC86" i="61"/>
  <c r="BA86" i="61"/>
  <c r="AY86" i="61"/>
  <c r="AX86" i="61"/>
  <c r="AW86" i="61"/>
  <c r="AV86" i="61"/>
  <c r="AU86" i="61"/>
  <c r="AT86" i="61"/>
  <c r="AS86" i="61"/>
  <c r="AR86" i="61"/>
  <c r="AQ86" i="61"/>
  <c r="R86" i="61"/>
  <c r="P86" i="61"/>
  <c r="BM85" i="61"/>
  <c r="BK85" i="61"/>
  <c r="BI85" i="61"/>
  <c r="BG85" i="61"/>
  <c r="BE85" i="61"/>
  <c r="BC85" i="61"/>
  <c r="BA85" i="61"/>
  <c r="AY85" i="61"/>
  <c r="AX85" i="61"/>
  <c r="AW85" i="61"/>
  <c r="AV85" i="61"/>
  <c r="AU85" i="61"/>
  <c r="AT85" i="61"/>
  <c r="AS85" i="61"/>
  <c r="AR85" i="61"/>
  <c r="AQ85" i="61"/>
  <c r="R85" i="61"/>
  <c r="P85" i="61"/>
  <c r="BM84" i="61"/>
  <c r="BK84" i="61"/>
  <c r="BI84" i="61"/>
  <c r="BG84" i="61"/>
  <c r="BE84" i="61"/>
  <c r="BC84" i="61"/>
  <c r="BA84" i="61"/>
  <c r="AY84" i="61"/>
  <c r="AX84" i="61"/>
  <c r="AW84" i="61"/>
  <c r="AV84" i="61"/>
  <c r="AU84" i="61"/>
  <c r="AT84" i="61"/>
  <c r="AS84" i="61"/>
  <c r="AR84" i="61"/>
  <c r="AQ84" i="61"/>
  <c r="R84" i="61"/>
  <c r="P84" i="61"/>
  <c r="BM83" i="61"/>
  <c r="BK83" i="61"/>
  <c r="BI83" i="61"/>
  <c r="BG83" i="61"/>
  <c r="BE83" i="61"/>
  <c r="BC83" i="61"/>
  <c r="BA83" i="61"/>
  <c r="AY83" i="61"/>
  <c r="AX83" i="61"/>
  <c r="AW83" i="61"/>
  <c r="AV83" i="61"/>
  <c r="AU83" i="61"/>
  <c r="AT83" i="61"/>
  <c r="AS83" i="61"/>
  <c r="AR83" i="61"/>
  <c r="AQ83" i="61"/>
  <c r="R83" i="61"/>
  <c r="P83" i="61"/>
  <c r="BM82" i="61"/>
  <c r="BK82" i="61"/>
  <c r="BI82" i="61"/>
  <c r="BG82" i="61"/>
  <c r="BE82" i="61"/>
  <c r="BC82" i="61"/>
  <c r="BA82" i="61"/>
  <c r="AY82" i="61"/>
  <c r="AX82" i="61"/>
  <c r="AW82" i="61"/>
  <c r="AV82" i="61"/>
  <c r="AU82" i="61"/>
  <c r="AT82" i="61"/>
  <c r="AS82" i="61"/>
  <c r="AR82" i="61"/>
  <c r="AQ82" i="61"/>
  <c r="R82" i="61"/>
  <c r="P82" i="61"/>
  <c r="BM81" i="61"/>
  <c r="BK81" i="61"/>
  <c r="BI81" i="61"/>
  <c r="BG81" i="61"/>
  <c r="BE81" i="61"/>
  <c r="BC81" i="61"/>
  <c r="BA81" i="61"/>
  <c r="AY81" i="61"/>
  <c r="AX81" i="61"/>
  <c r="AW81" i="61"/>
  <c r="AV81" i="61"/>
  <c r="AU81" i="61"/>
  <c r="AT81" i="61"/>
  <c r="AS81" i="61"/>
  <c r="AR81" i="61"/>
  <c r="AQ81" i="61"/>
  <c r="R81" i="61"/>
  <c r="P81" i="61"/>
  <c r="BM80" i="61"/>
  <c r="BK80" i="61"/>
  <c r="BI80" i="61"/>
  <c r="BG80" i="61"/>
  <c r="BE80" i="61"/>
  <c r="BC80" i="61"/>
  <c r="BA80" i="61"/>
  <c r="AY80" i="61"/>
  <c r="AX80" i="61"/>
  <c r="AW80" i="61"/>
  <c r="AV80" i="61"/>
  <c r="AU80" i="61"/>
  <c r="AT80" i="61"/>
  <c r="AS80" i="61"/>
  <c r="AR80" i="61"/>
  <c r="AQ80" i="61"/>
  <c r="R80" i="61"/>
  <c r="P80" i="61"/>
  <c r="BM79" i="61"/>
  <c r="BK79" i="61"/>
  <c r="BI79" i="61"/>
  <c r="BG79" i="61"/>
  <c r="BE79" i="61"/>
  <c r="BC79" i="61"/>
  <c r="BA79" i="61"/>
  <c r="AY79" i="61"/>
  <c r="AX79" i="61"/>
  <c r="AW79" i="61"/>
  <c r="AV79" i="61"/>
  <c r="AU79" i="61"/>
  <c r="AT79" i="61"/>
  <c r="AS79" i="61"/>
  <c r="AR79" i="61"/>
  <c r="AQ79" i="61"/>
  <c r="R79" i="61"/>
  <c r="P79" i="61"/>
  <c r="BM78" i="61"/>
  <c r="BK78" i="61"/>
  <c r="BI78" i="61"/>
  <c r="BG78" i="61"/>
  <c r="BE78" i="61"/>
  <c r="BC78" i="61"/>
  <c r="BA78" i="61"/>
  <c r="AY78" i="61"/>
  <c r="AX78" i="61"/>
  <c r="AW78" i="61"/>
  <c r="AV78" i="61"/>
  <c r="AU78" i="61"/>
  <c r="AT78" i="61"/>
  <c r="AS78" i="61"/>
  <c r="AR78" i="61"/>
  <c r="AQ78" i="61"/>
  <c r="R78" i="61"/>
  <c r="P78" i="61"/>
  <c r="BM77" i="61"/>
  <c r="BK77" i="61"/>
  <c r="BI77" i="61"/>
  <c r="BG77" i="61"/>
  <c r="BE77" i="61"/>
  <c r="BC77" i="61"/>
  <c r="BA77" i="61"/>
  <c r="AY77" i="61"/>
  <c r="AX77" i="61"/>
  <c r="AW77" i="61"/>
  <c r="AV77" i="61"/>
  <c r="AU77" i="61"/>
  <c r="AT77" i="61"/>
  <c r="AS77" i="61"/>
  <c r="AR77" i="61"/>
  <c r="AQ77" i="61"/>
  <c r="R77" i="61"/>
  <c r="P77" i="61"/>
  <c r="BM76" i="61"/>
  <c r="BK76" i="61"/>
  <c r="BI76" i="61"/>
  <c r="BG76" i="61"/>
  <c r="BE76" i="61"/>
  <c r="BC76" i="61"/>
  <c r="BA76" i="61"/>
  <c r="AY76" i="61"/>
  <c r="AX76" i="61"/>
  <c r="AW76" i="61"/>
  <c r="AV76" i="61"/>
  <c r="AU76" i="61"/>
  <c r="AT76" i="61"/>
  <c r="AS76" i="61"/>
  <c r="AR76" i="61"/>
  <c r="AQ76" i="61"/>
  <c r="R76" i="61"/>
  <c r="P76" i="61"/>
  <c r="BM75" i="61"/>
  <c r="BK75" i="61"/>
  <c r="BI75" i="61"/>
  <c r="BG75" i="61"/>
  <c r="BE75" i="61"/>
  <c r="BC75" i="61"/>
  <c r="BA75" i="61"/>
  <c r="AY75" i="61"/>
  <c r="AX75" i="61"/>
  <c r="AW75" i="61"/>
  <c r="AV75" i="61"/>
  <c r="AU75" i="61"/>
  <c r="AT75" i="61"/>
  <c r="AS75" i="61"/>
  <c r="AR75" i="61"/>
  <c r="AQ75" i="61"/>
  <c r="R75" i="61"/>
  <c r="P75" i="61"/>
  <c r="BM74" i="61"/>
  <c r="BK74" i="61"/>
  <c r="BI74" i="61"/>
  <c r="BG74" i="61"/>
  <c r="BE74" i="61"/>
  <c r="BC74" i="61"/>
  <c r="BA74" i="61"/>
  <c r="AY74" i="61"/>
  <c r="AX74" i="61"/>
  <c r="AW74" i="61"/>
  <c r="AV74" i="61"/>
  <c r="AU74" i="61"/>
  <c r="AT74" i="61"/>
  <c r="AS74" i="61"/>
  <c r="AR74" i="61"/>
  <c r="AQ74" i="61"/>
  <c r="R74" i="61"/>
  <c r="P74" i="61"/>
  <c r="BM73" i="61"/>
  <c r="BK73" i="61"/>
  <c r="BI73" i="61"/>
  <c r="BG73" i="61"/>
  <c r="BE73" i="61"/>
  <c r="BC73" i="61"/>
  <c r="BA73" i="61"/>
  <c r="AY73" i="61"/>
  <c r="AX73" i="61"/>
  <c r="AW73" i="61"/>
  <c r="AV73" i="61"/>
  <c r="AU73" i="61"/>
  <c r="AT73" i="61"/>
  <c r="AS73" i="61"/>
  <c r="AR73" i="61"/>
  <c r="AQ73" i="61"/>
  <c r="R73" i="61"/>
  <c r="P73" i="61"/>
  <c r="BM72" i="61"/>
  <c r="BK72" i="61"/>
  <c r="BI72" i="61"/>
  <c r="BG72" i="61"/>
  <c r="BE72" i="61"/>
  <c r="BC72" i="61"/>
  <c r="BA72" i="61"/>
  <c r="AY72" i="61"/>
  <c r="AX72" i="61"/>
  <c r="AW72" i="61"/>
  <c r="AV72" i="61"/>
  <c r="AU72" i="61"/>
  <c r="AT72" i="61"/>
  <c r="AS72" i="61"/>
  <c r="AR72" i="61"/>
  <c r="AQ72" i="61"/>
  <c r="R72" i="61"/>
  <c r="P72" i="61"/>
  <c r="BM71" i="61"/>
  <c r="BK71" i="61"/>
  <c r="BI71" i="61"/>
  <c r="BG71" i="61"/>
  <c r="BE71" i="61"/>
  <c r="BC71" i="61"/>
  <c r="BA71" i="61"/>
  <c r="AY71" i="61"/>
  <c r="AX71" i="61"/>
  <c r="AW71" i="61"/>
  <c r="AV71" i="61"/>
  <c r="AU71" i="61"/>
  <c r="AT71" i="61"/>
  <c r="AS71" i="61"/>
  <c r="AR71" i="61"/>
  <c r="AQ71" i="61"/>
  <c r="R71" i="61"/>
  <c r="P71" i="61"/>
  <c r="BM70" i="61"/>
  <c r="BK70" i="61"/>
  <c r="BI70" i="61"/>
  <c r="BG70" i="61"/>
  <c r="BE70" i="61"/>
  <c r="BC70" i="61"/>
  <c r="BA70" i="61"/>
  <c r="AY70" i="61"/>
  <c r="AX70" i="61"/>
  <c r="AW70" i="61"/>
  <c r="AV70" i="61"/>
  <c r="AU70" i="61"/>
  <c r="AT70" i="61"/>
  <c r="AS70" i="61"/>
  <c r="AR70" i="61"/>
  <c r="AQ70" i="61"/>
  <c r="R70" i="61"/>
  <c r="P70" i="61"/>
  <c r="BM69" i="61"/>
  <c r="BK69" i="61"/>
  <c r="BI69" i="61"/>
  <c r="BG69" i="61"/>
  <c r="BE69" i="61"/>
  <c r="BC69" i="61"/>
  <c r="BA69" i="61"/>
  <c r="AY69" i="61"/>
  <c r="AX69" i="61"/>
  <c r="AW69" i="61"/>
  <c r="AV69" i="61"/>
  <c r="AU69" i="61"/>
  <c r="AT69" i="61"/>
  <c r="AS69" i="61"/>
  <c r="AR69" i="61"/>
  <c r="AQ69" i="61"/>
  <c r="R69" i="61"/>
  <c r="P69" i="61"/>
  <c r="BM68" i="61"/>
  <c r="BK68" i="61"/>
  <c r="BI68" i="61"/>
  <c r="BG68" i="61"/>
  <c r="BE68" i="61"/>
  <c r="BC68" i="61"/>
  <c r="BA68" i="61"/>
  <c r="AY68" i="61"/>
  <c r="AX68" i="61"/>
  <c r="AW68" i="61"/>
  <c r="AV68" i="61"/>
  <c r="AU68" i="61"/>
  <c r="AT68" i="61"/>
  <c r="AS68" i="61"/>
  <c r="AR68" i="61"/>
  <c r="AQ68" i="61"/>
  <c r="R68" i="61"/>
  <c r="P68" i="61"/>
  <c r="BN67" i="61"/>
  <c r="BN67" i="61" a="1"/>
  <c r="BM67" i="61"/>
  <c r="BL67" i="61"/>
  <c r="BL67" i="61" a="1"/>
  <c r="BK67" i="61"/>
  <c r="BJ67" i="61"/>
  <c r="BJ67" i="61" a="1"/>
  <c r="BI67" i="61"/>
  <c r="BH67" i="61"/>
  <c r="BH67" i="61" a="1"/>
  <c r="BG67" i="61"/>
  <c r="BF67" i="61"/>
  <c r="BF67" i="61" a="1"/>
  <c r="BE67" i="61"/>
  <c r="BD67" i="61"/>
  <c r="BD67" i="61" a="1"/>
  <c r="BC67" i="61"/>
  <c r="BB67" i="61"/>
  <c r="BB67" i="61" a="1"/>
  <c r="BA67" i="61"/>
  <c r="AZ67" i="61"/>
  <c r="AZ67" i="61" a="1"/>
  <c r="AY67" i="61"/>
  <c r="AX67" i="61"/>
  <c r="AW67" i="61"/>
  <c r="AV67" i="61"/>
  <c r="AU67" i="61"/>
  <c r="AT67" i="61"/>
  <c r="AS67" i="61"/>
  <c r="AR67" i="61"/>
  <c r="AQ67" i="61"/>
  <c r="AP67" i="61"/>
  <c r="AP67" i="61" a="1"/>
  <c r="AO67" i="61"/>
  <c r="AO67" i="61" a="1"/>
  <c r="AN67" i="61"/>
  <c r="AN67" i="61" a="1"/>
  <c r="AM67" i="61"/>
  <c r="AM67" i="61" a="1"/>
  <c r="AL67" i="61"/>
  <c r="AL67" i="61" a="1"/>
  <c r="AK67" i="61"/>
  <c r="AK67" i="61" a="1"/>
  <c r="AJ67" i="61"/>
  <c r="AJ67" i="61" a="1"/>
  <c r="AI67" i="61"/>
  <c r="AI67" i="61" a="1"/>
  <c r="AH67" i="61"/>
  <c r="AH67" i="61" a="1"/>
  <c r="AG67" i="61"/>
  <c r="AG67" i="61" a="1"/>
  <c r="AF67" i="61"/>
  <c r="AF67" i="61" a="1"/>
  <c r="AE67" i="61"/>
  <c r="AE67" i="61" a="1"/>
  <c r="AD67" i="61"/>
  <c r="AD67" i="61" a="1"/>
  <c r="AC67" i="61"/>
  <c r="AC67" i="61" a="1"/>
  <c r="AB67" i="61"/>
  <c r="AB67" i="61" a="1"/>
  <c r="AA67" i="61"/>
  <c r="AA67" i="61" a="1"/>
  <c r="R67" i="61"/>
  <c r="P67" i="61"/>
  <c r="L67" i="61"/>
  <c r="L67" i="61" a="1"/>
  <c r="J67" i="61"/>
  <c r="J67" i="61" a="1"/>
  <c r="I67" i="61"/>
  <c r="I67" i="61" a="1"/>
  <c r="BN65" i="61"/>
  <c r="BL65" i="61"/>
  <c r="BJ65" i="61"/>
  <c r="BH65" i="61"/>
  <c r="BF65" i="61"/>
  <c r="BD65" i="61"/>
  <c r="BB65" i="61"/>
  <c r="AZ65" i="61"/>
  <c r="AQ65" i="61"/>
  <c r="BM62" i="61"/>
  <c r="BK62" i="61"/>
  <c r="BI62" i="61"/>
  <c r="BG62" i="61"/>
  <c r="BE62" i="61"/>
  <c r="BC62" i="61"/>
  <c r="BA62" i="61"/>
  <c r="AY62" i="61"/>
  <c r="AP62" i="61"/>
  <c r="AO62" i="61"/>
  <c r="AN62" i="61"/>
  <c r="AM62" i="61"/>
  <c r="AL62" i="61"/>
  <c r="AK62" i="61"/>
  <c r="AJ62" i="61"/>
  <c r="AI62" i="61"/>
  <c r="R62" i="61"/>
  <c r="B62" i="61"/>
  <c r="BM61" i="61"/>
  <c r="BK61" i="61"/>
  <c r="BI61" i="61"/>
  <c r="BG61" i="61"/>
  <c r="BE61" i="61"/>
  <c r="BC61" i="61"/>
  <c r="BA61" i="61"/>
  <c r="AY61" i="61"/>
  <c r="R61" i="61"/>
  <c r="P61" i="61"/>
  <c r="BM60" i="61"/>
  <c r="BK60" i="61"/>
  <c r="BI60" i="61"/>
  <c r="BG60" i="61"/>
  <c r="BE60" i="61"/>
  <c r="BC60" i="61"/>
  <c r="BA60" i="61"/>
  <c r="AY60" i="61"/>
  <c r="R60" i="61"/>
  <c r="P60" i="61"/>
  <c r="BM59" i="61"/>
  <c r="BK59" i="61"/>
  <c r="BI59" i="61"/>
  <c r="BG59" i="61"/>
  <c r="BE59" i="61"/>
  <c r="BC59" i="61"/>
  <c r="BA59" i="61"/>
  <c r="AY59" i="61"/>
  <c r="R59" i="61"/>
  <c r="P59" i="61"/>
  <c r="BM58" i="61"/>
  <c r="BK58" i="61"/>
  <c r="BI58" i="61"/>
  <c r="BG58" i="61"/>
  <c r="BE58" i="61"/>
  <c r="BC58" i="61"/>
  <c r="BA58" i="61"/>
  <c r="AY58" i="61"/>
  <c r="R58" i="61"/>
  <c r="P58" i="61"/>
  <c r="BM57" i="61"/>
  <c r="BK57" i="61"/>
  <c r="BI57" i="61"/>
  <c r="BG57" i="61"/>
  <c r="BE57" i="61"/>
  <c r="BC57" i="61"/>
  <c r="BA57" i="61"/>
  <c r="AY57" i="61"/>
  <c r="R57" i="61"/>
  <c r="P57" i="61"/>
  <c r="BM56" i="61"/>
  <c r="BK56" i="61"/>
  <c r="BI56" i="61"/>
  <c r="BG56" i="61"/>
  <c r="BE56" i="61"/>
  <c r="BC56" i="61"/>
  <c r="BA56" i="61"/>
  <c r="AY56" i="61"/>
  <c r="R56" i="61"/>
  <c r="P56" i="61"/>
  <c r="BM55" i="61"/>
  <c r="BK55" i="61"/>
  <c r="BI55" i="61"/>
  <c r="BG55" i="61"/>
  <c r="BE55" i="61"/>
  <c r="BC55" i="61"/>
  <c r="BA55" i="61"/>
  <c r="AY55" i="61"/>
  <c r="R55" i="61"/>
  <c r="P55" i="61"/>
  <c r="BM54" i="61"/>
  <c r="BK54" i="61"/>
  <c r="BI54" i="61"/>
  <c r="BG54" i="61"/>
  <c r="BE54" i="61"/>
  <c r="BC54" i="61"/>
  <c r="BA54" i="61"/>
  <c r="AY54" i="61"/>
  <c r="R54" i="61"/>
  <c r="P54" i="61"/>
  <c r="BM53" i="61"/>
  <c r="BK53" i="61"/>
  <c r="BI53" i="61"/>
  <c r="BG53" i="61"/>
  <c r="BE53" i="61"/>
  <c r="BC53" i="61"/>
  <c r="BA53" i="61"/>
  <c r="AY53" i="61"/>
  <c r="R53" i="61"/>
  <c r="P53" i="61"/>
  <c r="BM52" i="61"/>
  <c r="BK52" i="61"/>
  <c r="BI52" i="61"/>
  <c r="BG52" i="61"/>
  <c r="BE52" i="61"/>
  <c r="BC52" i="61"/>
  <c r="BA52" i="61"/>
  <c r="AY52" i="61"/>
  <c r="R52" i="61"/>
  <c r="P52" i="61"/>
  <c r="BM51" i="61"/>
  <c r="BK51" i="61"/>
  <c r="BI51" i="61"/>
  <c r="BG51" i="61"/>
  <c r="BE51" i="61"/>
  <c r="BC51" i="61"/>
  <c r="BA51" i="61"/>
  <c r="AY51" i="61"/>
  <c r="R51" i="61"/>
  <c r="P51" i="61"/>
  <c r="BM50" i="61"/>
  <c r="BK50" i="61"/>
  <c r="BI50" i="61"/>
  <c r="BG50" i="61"/>
  <c r="BE50" i="61"/>
  <c r="BC50" i="61"/>
  <c r="BA50" i="61"/>
  <c r="AY50" i="61"/>
  <c r="R50" i="61"/>
  <c r="P50" i="61"/>
  <c r="BM49" i="61"/>
  <c r="BK49" i="61"/>
  <c r="BI49" i="61"/>
  <c r="BG49" i="61"/>
  <c r="BE49" i="61"/>
  <c r="BC49" i="61"/>
  <c r="BA49" i="61"/>
  <c r="AY49" i="61"/>
  <c r="R49" i="61"/>
  <c r="P49" i="61"/>
  <c r="BM48" i="61"/>
  <c r="BK48" i="61"/>
  <c r="BI48" i="61"/>
  <c r="BG48" i="61"/>
  <c r="BE48" i="61"/>
  <c r="BC48" i="61"/>
  <c r="BA48" i="61"/>
  <c r="AY48" i="61"/>
  <c r="R48" i="61"/>
  <c r="P48" i="61"/>
  <c r="BM47" i="61"/>
  <c r="BK47" i="61"/>
  <c r="BI47" i="61"/>
  <c r="BG47" i="61"/>
  <c r="BE47" i="61"/>
  <c r="BC47" i="61"/>
  <c r="BA47" i="61"/>
  <c r="AY47" i="61"/>
  <c r="R47" i="61"/>
  <c r="P47" i="61"/>
  <c r="BM46" i="61"/>
  <c r="BK46" i="61"/>
  <c r="BI46" i="61"/>
  <c r="BG46" i="61"/>
  <c r="BE46" i="61"/>
  <c r="BC46" i="61"/>
  <c r="BA46" i="61"/>
  <c r="AY46" i="61"/>
  <c r="R46" i="61"/>
  <c r="P46" i="61"/>
  <c r="BM45" i="61"/>
  <c r="BK45" i="61"/>
  <c r="BI45" i="61"/>
  <c r="BG45" i="61"/>
  <c r="BE45" i="61"/>
  <c r="BC45" i="61"/>
  <c r="BA45" i="61"/>
  <c r="AY45" i="61"/>
  <c r="R45" i="61"/>
  <c r="P45" i="61"/>
  <c r="BM44" i="61"/>
  <c r="BK44" i="61"/>
  <c r="BI44" i="61"/>
  <c r="BG44" i="61"/>
  <c r="BE44" i="61"/>
  <c r="BC44" i="61"/>
  <c r="BA44" i="61"/>
  <c r="AY44" i="61"/>
  <c r="R44" i="61"/>
  <c r="P44" i="61"/>
  <c r="BM43" i="61"/>
  <c r="BK43" i="61"/>
  <c r="BI43" i="61"/>
  <c r="BG43" i="61"/>
  <c r="BE43" i="61"/>
  <c r="BC43" i="61"/>
  <c r="BA43" i="61"/>
  <c r="AY43" i="61"/>
  <c r="R43" i="61"/>
  <c r="P43" i="61"/>
  <c r="BM42" i="61"/>
  <c r="BK42" i="61"/>
  <c r="BI42" i="61"/>
  <c r="BG42" i="61"/>
  <c r="BE42" i="61"/>
  <c r="BC42" i="61"/>
  <c r="BA42" i="61"/>
  <c r="AY42" i="61"/>
  <c r="R42" i="61"/>
  <c r="P42" i="61"/>
  <c r="BM41" i="61"/>
  <c r="BK41" i="61"/>
  <c r="BI41" i="61"/>
  <c r="BG41" i="61"/>
  <c r="BE41" i="61"/>
  <c r="BC41" i="61"/>
  <c r="BA41" i="61"/>
  <c r="AY41" i="61"/>
  <c r="R41" i="61"/>
  <c r="P41" i="61"/>
  <c r="BM40" i="61"/>
  <c r="BK40" i="61"/>
  <c r="BI40" i="61"/>
  <c r="BG40" i="61"/>
  <c r="BE40" i="61"/>
  <c r="BC40" i="61"/>
  <c r="BA40" i="61"/>
  <c r="AY40" i="61"/>
  <c r="R40" i="61"/>
  <c r="P40" i="61"/>
  <c r="BM39" i="61"/>
  <c r="BK39" i="61"/>
  <c r="BI39" i="61"/>
  <c r="BG39" i="61"/>
  <c r="BE39" i="61"/>
  <c r="BC39" i="61"/>
  <c r="BA39" i="61"/>
  <c r="AY39" i="61"/>
  <c r="R39" i="61"/>
  <c r="P39" i="61"/>
  <c r="BM38" i="61"/>
  <c r="BK38" i="61"/>
  <c r="BI38" i="61"/>
  <c r="BG38" i="61"/>
  <c r="BE38" i="61"/>
  <c r="BC38" i="61"/>
  <c r="BA38" i="61"/>
  <c r="AY38" i="61"/>
  <c r="R38" i="61"/>
  <c r="P38" i="61"/>
  <c r="BM37" i="61"/>
  <c r="BK37" i="61"/>
  <c r="BI37" i="61"/>
  <c r="BG37" i="61"/>
  <c r="BE37" i="61"/>
  <c r="BC37" i="61"/>
  <c r="BA37" i="61"/>
  <c r="AY37" i="61"/>
  <c r="R37" i="61"/>
  <c r="P37" i="61"/>
  <c r="BM36" i="61"/>
  <c r="BK36" i="61"/>
  <c r="BI36" i="61"/>
  <c r="BG36" i="61"/>
  <c r="BE36" i="61"/>
  <c r="BC36" i="61"/>
  <c r="BA36" i="61"/>
  <c r="AY36" i="61"/>
  <c r="R36" i="61"/>
  <c r="P36" i="61"/>
  <c r="BM35" i="61"/>
  <c r="BK35" i="61"/>
  <c r="BI35" i="61"/>
  <c r="BG35" i="61"/>
  <c r="BE35" i="61"/>
  <c r="BC35" i="61"/>
  <c r="BA35" i="61"/>
  <c r="AY35" i="61"/>
  <c r="R35" i="61"/>
  <c r="P35" i="61"/>
  <c r="BM34" i="61"/>
  <c r="BK34" i="61"/>
  <c r="BI34" i="61"/>
  <c r="BG34" i="61"/>
  <c r="BE34" i="61"/>
  <c r="BC34" i="61"/>
  <c r="BA34" i="61"/>
  <c r="AY34" i="61"/>
  <c r="R34" i="61"/>
  <c r="P34" i="61"/>
  <c r="BM33" i="61"/>
  <c r="BK33" i="61"/>
  <c r="BI33" i="61"/>
  <c r="BG33" i="61"/>
  <c r="BE33" i="61"/>
  <c r="BC33" i="61"/>
  <c r="BA33" i="61"/>
  <c r="AY33" i="61"/>
  <c r="R33" i="61"/>
  <c r="P33" i="61"/>
  <c r="BM32" i="61"/>
  <c r="BK32" i="61"/>
  <c r="BI32" i="61"/>
  <c r="BG32" i="61"/>
  <c r="BE32" i="61"/>
  <c r="BC32" i="61"/>
  <c r="BA32" i="61"/>
  <c r="AY32" i="61"/>
  <c r="R32" i="61"/>
  <c r="P32" i="61"/>
  <c r="BM31" i="61"/>
  <c r="BK31" i="61"/>
  <c r="BI31" i="61"/>
  <c r="BG31" i="61"/>
  <c r="BE31" i="61"/>
  <c r="BC31" i="61"/>
  <c r="BA31" i="61"/>
  <c r="AY31" i="61"/>
  <c r="R31" i="61"/>
  <c r="P31" i="61"/>
  <c r="BM30" i="61"/>
  <c r="BK30" i="61"/>
  <c r="BI30" i="61"/>
  <c r="BG30" i="61"/>
  <c r="BE30" i="61"/>
  <c r="BC30" i="61"/>
  <c r="BA30" i="61"/>
  <c r="AY30" i="61"/>
  <c r="R30" i="61"/>
  <c r="P30" i="61"/>
  <c r="BM29" i="61"/>
  <c r="BK29" i="61"/>
  <c r="BI29" i="61"/>
  <c r="BG29" i="61"/>
  <c r="BE29" i="61"/>
  <c r="BC29" i="61"/>
  <c r="BA29" i="61"/>
  <c r="AY29" i="61"/>
  <c r="R29" i="61"/>
  <c r="P29" i="61"/>
  <c r="BM28" i="61"/>
  <c r="BK28" i="61"/>
  <c r="BI28" i="61"/>
  <c r="BG28" i="61"/>
  <c r="BE28" i="61"/>
  <c r="BC28" i="61"/>
  <c r="BA28" i="61"/>
  <c r="AY28" i="61"/>
  <c r="R28" i="61"/>
  <c r="P28" i="61"/>
  <c r="BM27" i="61"/>
  <c r="BK27" i="61"/>
  <c r="BI27" i="61"/>
  <c r="BG27" i="61"/>
  <c r="BE27" i="61"/>
  <c r="BC27" i="61"/>
  <c r="BA27" i="61"/>
  <c r="AY27" i="61"/>
  <c r="R27" i="61"/>
  <c r="P27" i="61"/>
  <c r="BM26" i="61"/>
  <c r="BK26" i="61"/>
  <c r="BI26" i="61"/>
  <c r="BG26" i="61"/>
  <c r="BE26" i="61"/>
  <c r="BC26" i="61"/>
  <c r="BA26" i="61"/>
  <c r="AY26" i="61"/>
  <c r="R26" i="61"/>
  <c r="P26" i="61"/>
  <c r="BM25" i="61"/>
  <c r="BK25" i="61"/>
  <c r="BI25" i="61"/>
  <c r="BG25" i="61"/>
  <c r="BE25" i="61"/>
  <c r="BC25" i="61"/>
  <c r="BA25" i="61"/>
  <c r="AY25" i="61"/>
  <c r="R25" i="61"/>
  <c r="P25" i="61"/>
  <c r="BM24" i="61"/>
  <c r="BK24" i="61"/>
  <c r="BI24" i="61"/>
  <c r="BG24" i="61"/>
  <c r="BE24" i="61"/>
  <c r="BC24" i="61"/>
  <c r="BA24" i="61"/>
  <c r="AY24" i="61"/>
  <c r="R24" i="61"/>
  <c r="P24" i="61"/>
  <c r="BM23" i="61"/>
  <c r="BK23" i="61"/>
  <c r="BI23" i="61"/>
  <c r="BG23" i="61"/>
  <c r="BE23" i="61"/>
  <c r="BC23" i="61"/>
  <c r="BA23" i="61"/>
  <c r="AY23" i="61"/>
  <c r="R23" i="61"/>
  <c r="P23" i="61"/>
  <c r="BM22" i="61"/>
  <c r="BK22" i="61"/>
  <c r="BI22" i="61"/>
  <c r="BG22" i="61"/>
  <c r="BE22" i="61"/>
  <c r="BC22" i="61"/>
  <c r="BA22" i="61"/>
  <c r="AY22" i="61"/>
  <c r="R22" i="61"/>
  <c r="P22" i="61"/>
  <c r="BM21" i="61"/>
  <c r="BK21" i="61"/>
  <c r="BI21" i="61"/>
  <c r="BG21" i="61"/>
  <c r="BE21" i="61"/>
  <c r="BC21" i="61"/>
  <c r="BA21" i="61"/>
  <c r="AY21" i="61"/>
  <c r="R21" i="61"/>
  <c r="P21" i="61"/>
  <c r="BM20" i="61"/>
  <c r="BK20" i="61"/>
  <c r="BI20" i="61"/>
  <c r="BG20" i="61"/>
  <c r="BE20" i="61"/>
  <c r="BC20" i="61"/>
  <c r="BA20" i="61"/>
  <c r="AY20" i="61"/>
  <c r="R20" i="61"/>
  <c r="P20" i="61"/>
  <c r="BM19" i="61"/>
  <c r="BK19" i="61"/>
  <c r="BI19" i="61"/>
  <c r="BG19" i="61"/>
  <c r="BE19" i="61"/>
  <c r="BC19" i="61"/>
  <c r="BA19" i="61"/>
  <c r="AY19" i="61"/>
  <c r="R19" i="61"/>
  <c r="P19" i="61"/>
  <c r="BM18" i="61"/>
  <c r="BK18" i="61"/>
  <c r="BI18" i="61"/>
  <c r="BG18" i="61"/>
  <c r="BE18" i="61"/>
  <c r="BC18" i="61"/>
  <c r="BA18" i="61"/>
  <c r="AY18" i="61"/>
  <c r="R18" i="61"/>
  <c r="P18" i="61"/>
  <c r="BM17" i="61"/>
  <c r="BK17" i="61"/>
  <c r="BI17" i="61"/>
  <c r="BG17" i="61"/>
  <c r="BE17" i="61"/>
  <c r="BC17" i="61"/>
  <c r="BA17" i="61"/>
  <c r="AY17" i="61"/>
  <c r="R17" i="61"/>
  <c r="P17" i="61"/>
  <c r="BM16" i="61"/>
  <c r="BK16" i="61"/>
  <c r="BI16" i="61"/>
  <c r="BG16" i="61"/>
  <c r="BE16" i="61"/>
  <c r="BC16" i="61"/>
  <c r="BA16" i="61"/>
  <c r="AY16" i="61"/>
  <c r="R16" i="61"/>
  <c r="P16" i="61"/>
  <c r="BM15" i="61"/>
  <c r="BK15" i="61"/>
  <c r="BI15" i="61"/>
  <c r="BG15" i="61"/>
  <c r="BE15" i="61"/>
  <c r="BC15" i="61"/>
  <c r="BA15" i="61"/>
  <c r="AY15" i="61"/>
  <c r="R15" i="61"/>
  <c r="P15" i="61"/>
  <c r="BM14" i="61"/>
  <c r="BK14" i="61"/>
  <c r="BI14" i="61"/>
  <c r="BG14" i="61"/>
  <c r="BE14" i="61"/>
  <c r="BC14" i="61"/>
  <c r="BA14" i="61"/>
  <c r="AY14" i="61"/>
  <c r="R14" i="61"/>
  <c r="P14" i="61"/>
  <c r="BM13" i="61"/>
  <c r="BK13" i="61"/>
  <c r="BI13" i="61"/>
  <c r="BG13" i="61"/>
  <c r="BE13" i="61"/>
  <c r="BC13" i="61"/>
  <c r="BA13" i="61"/>
  <c r="AY13" i="61"/>
  <c r="R13" i="61"/>
  <c r="P13" i="61"/>
  <c r="BM12" i="61"/>
  <c r="BK12" i="61"/>
  <c r="BI12" i="61"/>
  <c r="BG12" i="61"/>
  <c r="BE12" i="61"/>
  <c r="BC12" i="61"/>
  <c r="BA12" i="61"/>
  <c r="AY12" i="61"/>
  <c r="R12" i="61"/>
  <c r="P12" i="61"/>
  <c r="BM11" i="61"/>
  <c r="BK11" i="61"/>
  <c r="BI11" i="61"/>
  <c r="BG11" i="61"/>
  <c r="BE11" i="61"/>
  <c r="BC11" i="61"/>
  <c r="BA11" i="61"/>
  <c r="AY11" i="61"/>
  <c r="R11" i="61"/>
  <c r="P11" i="61"/>
  <c r="BM10" i="61"/>
  <c r="BK10" i="61"/>
  <c r="BI10" i="61"/>
  <c r="BG10" i="61"/>
  <c r="BE10" i="61"/>
  <c r="BC10" i="61"/>
  <c r="BA10" i="61"/>
  <c r="AY10" i="61"/>
  <c r="R10" i="61"/>
  <c r="P10" i="61"/>
  <c r="BM9" i="61"/>
  <c r="BK9" i="61"/>
  <c r="BI9" i="61"/>
  <c r="BG9" i="61"/>
  <c r="BE9" i="61"/>
  <c r="BC9" i="61"/>
  <c r="BA9" i="61"/>
  <c r="AY9" i="61"/>
  <c r="R9" i="61"/>
  <c r="P9" i="61"/>
  <c r="BM8" i="61"/>
  <c r="BK8" i="61"/>
  <c r="BI8" i="61"/>
  <c r="BG8" i="61"/>
  <c r="BE8" i="61"/>
  <c r="BC8" i="61"/>
  <c r="BA8" i="61"/>
  <c r="AY8" i="61"/>
  <c r="R8" i="61"/>
  <c r="P8" i="61"/>
  <c r="BM7" i="61"/>
  <c r="BK7" i="61"/>
  <c r="BI7" i="61"/>
  <c r="BG7" i="61"/>
  <c r="BE7" i="61"/>
  <c r="BC7" i="61"/>
  <c r="BA7" i="61"/>
  <c r="AY7" i="61"/>
  <c r="R7" i="61"/>
  <c r="P7" i="61"/>
  <c r="BM6" i="61"/>
  <c r="BK6" i="61"/>
  <c r="BI6" i="61"/>
  <c r="BG6" i="61"/>
  <c r="BE6" i="61"/>
  <c r="BC6" i="61"/>
  <c r="BA6" i="61"/>
  <c r="AY6" i="61"/>
  <c r="AX6" i="61"/>
  <c r="AX6" i="61" a="1"/>
  <c r="AW6" i="61"/>
  <c r="AW6" i="61" a="1"/>
  <c r="AV6" i="61"/>
  <c r="AV6" i="61" a="1"/>
  <c r="AU6" i="61"/>
  <c r="AU6" i="61" a="1"/>
  <c r="AT6" i="61"/>
  <c r="AT6" i="61" a="1"/>
  <c r="AS6" i="61"/>
  <c r="AS6" i="61" a="1"/>
  <c r="AR6" i="61"/>
  <c r="AR6" i="61" a="1"/>
  <c r="AQ6" i="61"/>
  <c r="AQ6" i="61" a="1"/>
  <c r="R6" i="61"/>
  <c r="P6" i="61"/>
  <c r="BN5" i="61"/>
  <c r="BN5" i="61" a="1"/>
  <c r="BM5" i="61"/>
  <c r="BL5" i="61"/>
  <c r="BL5" i="61" a="1"/>
  <c r="BK5" i="61"/>
  <c r="BJ5" i="61"/>
  <c r="BJ5" i="61" a="1"/>
  <c r="BI5" i="61"/>
  <c r="BH5" i="61"/>
  <c r="BH5" i="61" a="1"/>
  <c r="BG5" i="61"/>
  <c r="BF5" i="61"/>
  <c r="BF5" i="61" a="1"/>
  <c r="BE5" i="61"/>
  <c r="BD5" i="61"/>
  <c r="BD5" i="61" a="1"/>
  <c r="BC5" i="61"/>
  <c r="BB5" i="61"/>
  <c r="BB5" i="61" a="1"/>
  <c r="BA5" i="61"/>
  <c r="AZ5" i="61"/>
  <c r="AZ5" i="61" a="1"/>
  <c r="AY5" i="61"/>
  <c r="AX5" i="61"/>
  <c r="AW5" i="61"/>
  <c r="AV5" i="61"/>
  <c r="AU5" i="61"/>
  <c r="AT5" i="61"/>
  <c r="AS5" i="61"/>
  <c r="AR5" i="61"/>
  <c r="AQ5" i="61"/>
  <c r="AP5" i="61"/>
  <c r="AP5" i="61" a="1"/>
  <c r="AO5" i="61"/>
  <c r="AO5" i="61" a="1"/>
  <c r="AN5" i="61"/>
  <c r="AN5" i="61" a="1"/>
  <c r="AM5" i="61"/>
  <c r="AM5" i="61" a="1"/>
  <c r="AL5" i="61"/>
  <c r="AL5" i="61" a="1"/>
  <c r="AK5" i="61"/>
  <c r="AK5" i="61" a="1"/>
  <c r="AJ5" i="61"/>
  <c r="AJ5" i="61" a="1"/>
  <c r="AI5" i="61"/>
  <c r="AI5" i="61" a="1"/>
  <c r="AH5" i="61"/>
  <c r="AH5" i="61" a="1"/>
  <c r="AG5" i="61"/>
  <c r="AG5" i="61" a="1"/>
  <c r="AF5" i="61"/>
  <c r="AF5" i="61" a="1"/>
  <c r="AE5" i="61"/>
  <c r="AE5" i="61" a="1"/>
  <c r="AD5" i="61"/>
  <c r="AD5" i="61" a="1"/>
  <c r="AC5" i="61"/>
  <c r="AC5" i="61" a="1"/>
  <c r="AB5" i="61"/>
  <c r="AB5" i="61" a="1"/>
  <c r="AA5" i="61"/>
  <c r="AA5" i="61" a="1"/>
  <c r="R5" i="61"/>
  <c r="P5" i="61"/>
  <c r="L5" i="61"/>
  <c r="L5" i="61" a="1"/>
  <c r="J5" i="61"/>
  <c r="J5" i="61" a="1"/>
  <c r="I5" i="61"/>
  <c r="I5" i="61" a="1"/>
  <c r="BN3" i="61"/>
  <c r="BL3" i="61"/>
  <c r="BJ3" i="61"/>
  <c r="BH3" i="61"/>
  <c r="BF3" i="61"/>
  <c r="BD3" i="61"/>
  <c r="BB3" i="61"/>
  <c r="AZ3" i="61"/>
  <c r="AQ3" i="61"/>
  <c r="B40" i="4"/>
  <c r="C21" i="4"/>
  <c r="A21" i="4"/>
  <c r="C17" i="4"/>
  <c r="A17" i="4"/>
  <c r="A11" i="4"/>
  <c r="A11" i="4" a="1"/>
  <c r="B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<sst xmlns="http://schemas.openxmlformats.org/spreadsheetml/2006/main" count="18793" uniqueCount="350">
  <si>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</si>
  <si>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</si>
  <si>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</si>
  <si>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</si>
  <si>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</si>
  <si>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</si>
  <si>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</si>
  <si>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</si>
  <si>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</si>
  <si>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</si>
  <si>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</si>
  <si>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</si>
  <si>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</si>
  <si>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</si>
  <si>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</si>
  <si>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</si>
  <si>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</si>
  <si>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</si>
  <si>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</si>
  <si>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</si>
  <si>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</si>
  <si>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</si>
  <si>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</si>
  <si>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</si>
  <si>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</si>
  <si>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</si>
  <si>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</si>
  <si>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</si>
  <si>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</si>
  <si>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</si>
  <si>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</si>
  <si>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</si>
  <si>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</si>
  <si>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</si>
  <si>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</si>
  <si>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</si>
  <si>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</si>
  <si>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</si>
  <si>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</si>
  <si>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</si>
  <si>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</si>
  <si>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</si>
  <si>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</si>
  <si>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</si>
  <si>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</si>
  <si>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</si>
  <si>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</si>
  <si>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3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</si>
  <si>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</si>
  <si>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</si>
  <si>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</si>
  <si>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</si>
  <si>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</si>
  <si>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3" type="noConversion"/>
  </si>
  <si>
    <t>Add Free Spin</t>
    <phoneticPr fontId="20" type="noConversion"/>
  </si>
  <si>
    <t>Normal Bet</t>
    <phoneticPr fontId="20" type="noConversion"/>
  </si>
  <si>
    <t>R6</t>
  </si>
  <si>
    <t>Lower</t>
    <phoneticPr fontId="28" type="noConversion"/>
  </si>
  <si>
    <t>Upper</t>
    <phoneticPr fontId="28" type="noConversion"/>
  </si>
  <si>
    <t>Simulator Cnt</t>
    <phoneticPr fontId="28" type="noConversion"/>
  </si>
  <si>
    <t>Simulator Pay</t>
    <phoneticPr fontId="28" type="noConversion"/>
  </si>
  <si>
    <t>Simulator Rate</t>
    <phoneticPr fontId="28" type="noConversion"/>
  </si>
  <si>
    <t>Simulator RTP</t>
    <phoneticPr fontId="28" type="noConversion"/>
  </si>
  <si>
    <t>Range</t>
    <phoneticPr fontId="28" type="noConversion"/>
  </si>
  <si>
    <t>Base Game</t>
    <phoneticPr fontId="28" type="noConversion"/>
  </si>
  <si>
    <t>Threshold</t>
  </si>
  <si>
    <t>A</t>
    <phoneticPr fontId="28" type="noConversion"/>
  </si>
  <si>
    <t>B</t>
    <phoneticPr fontId="28" type="noConversion"/>
  </si>
  <si>
    <t>C</t>
    <phoneticPr fontId="28" type="noConversion"/>
  </si>
  <si>
    <r>
      <rPr>
        <b/>
        <sz val="12"/>
        <rFont val="微軟正黑體"/>
        <family val="2"/>
        <charset val="136"/>
      </rPr>
      <t>使用的表</t>
    </r>
    <phoneticPr fontId="28" type="noConversion"/>
  </si>
  <si>
    <t>Rate</t>
    <phoneticPr fontId="28" type="noConversion"/>
  </si>
  <si>
    <t>Hit Rate</t>
    <phoneticPr fontId="28" type="noConversion"/>
  </si>
  <si>
    <t>FG Trigger</t>
    <phoneticPr fontId="28" type="noConversion"/>
  </si>
  <si>
    <t>Free Game</t>
    <phoneticPr fontId="28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</si>
  <si>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</si>
  <si>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</si>
  <si>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</si>
  <si>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</si>
  <si>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</si>
  <si>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G_M1</t>
  </si>
  <si>
    <t>G_M2</t>
  </si>
  <si>
    <t>G_M3</t>
  </si>
  <si>
    <t>G_M4</t>
  </si>
  <si>
    <t>G_M5</t>
  </si>
  <si>
    <t>G_A</t>
  </si>
  <si>
    <t>G_K</t>
  </si>
  <si>
    <t>G_Q</t>
  </si>
  <si>
    <t>G_J</t>
  </si>
  <si>
    <t>G_TE</t>
  </si>
  <si>
    <t>MY</t>
  </si>
  <si>
    <t>G_MY</t>
  </si>
  <si>
    <t>BG Reel Weight</t>
    <phoneticPr fontId="20" type="noConversion"/>
  </si>
  <si>
    <t>( 1 Combo ) Weight</t>
  </si>
  <si>
    <t>( 2  Combo ) Weight</t>
  </si>
  <si>
    <t>( 3 Combo ) Weight</t>
  </si>
  <si>
    <t>( 4 Combo ) Weight</t>
  </si>
  <si>
    <t>G_M1</t>
    <phoneticPr fontId="20" type="noConversion"/>
  </si>
  <si>
    <t>G_M2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</si>
  <si>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</si>
  <si>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</si>
  <si>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</si>
  <si>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</si>
  <si>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</si>
  <si>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</si>
  <si>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</si>
  <si>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</si>
  <si>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</si>
  <si>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</si>
  <si>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</si>
  <si>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</si>
  <si>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</si>
  <si>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</si>
  <si>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</si>
  <si>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</si>
  <si>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</si>
  <si>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Initial ( 0 Combo )</t>
    <phoneticPr fontId="23" type="noConversion"/>
  </si>
  <si>
    <t>Initial 1</t>
    <phoneticPr fontId="20" type="noConversion"/>
  </si>
  <si>
    <t>老手</t>
    <phoneticPr fontId="20" type="noConversion"/>
  </si>
  <si>
    <t>Final RTP 1</t>
    <phoneticPr fontId="28" type="noConversion"/>
  </si>
  <si>
    <t>Final RTP 2</t>
    <phoneticPr fontId="28" type="noConversion"/>
  </si>
  <si>
    <t>Final RTP 3</t>
    <phoneticPr fontId="28" type="noConversion"/>
  </si>
  <si>
    <t>Fix Num 1</t>
    <phoneticPr fontId="28" type="noConversion"/>
  </si>
  <si>
    <t>Fix Num 2</t>
    <phoneticPr fontId="20" type="noConversion"/>
  </si>
  <si>
    <t>Fix Num 3</t>
    <phoneticPr fontId="20" type="noConversion"/>
  </si>
  <si>
    <t>Fix Rate 1</t>
    <phoneticPr fontId="28" type="noConversion"/>
  </si>
  <si>
    <t>Fix Rate 2</t>
    <phoneticPr fontId="20" type="noConversion"/>
  </si>
  <si>
    <t>Fix Rate 3</t>
    <phoneticPr fontId="20" type="noConversion"/>
  </si>
  <si>
    <t>Final Rate 1</t>
    <phoneticPr fontId="28" type="noConversion"/>
  </si>
  <si>
    <t>Final Rate 2</t>
    <phoneticPr fontId="20" type="noConversion"/>
  </si>
  <si>
    <t>Final Rate 3</t>
    <phoneticPr fontId="20" type="noConversion"/>
  </si>
  <si>
    <t>Weight 1</t>
    <phoneticPr fontId="28" type="noConversion"/>
  </si>
  <si>
    <t>Weight 2</t>
    <phoneticPr fontId="28" type="noConversion"/>
  </si>
  <si>
    <t>Weight 3</t>
    <phoneticPr fontId="28" type="noConversion"/>
  </si>
  <si>
    <t>Free Game 1 RTP</t>
    <phoneticPr fontId="28" type="noConversion"/>
  </si>
  <si>
    <t>Free Game 2 RTP</t>
    <phoneticPr fontId="28" type="noConversion"/>
  </si>
  <si>
    <t>Free Game 3 RTP</t>
    <phoneticPr fontId="28" type="noConversion"/>
  </si>
  <si>
    <t>D</t>
    <phoneticPr fontId="28" type="noConversion"/>
  </si>
  <si>
    <t>E</t>
    <phoneticPr fontId="28" type="noConversion"/>
  </si>
  <si>
    <t>F</t>
    <phoneticPr fontId="28" type="noConversion"/>
  </si>
  <si>
    <t>D</t>
    <phoneticPr fontId="20" type="noConversion"/>
  </si>
  <si>
    <t>待啟用</t>
    <phoneticPr fontId="20" type="noConversion"/>
  </si>
  <si>
    <t>Buy Feature</t>
    <phoneticPr fontId="28" type="noConversion"/>
  </si>
  <si>
    <t>Buy Feature 1 RTP</t>
    <phoneticPr fontId="28" type="noConversion"/>
  </si>
  <si>
    <t>Buy Feature 2 RTP</t>
    <phoneticPr fontId="28" type="noConversion"/>
  </si>
  <si>
    <t>Buy Feature 3 RTP</t>
    <phoneticPr fontId="28" type="noConversion"/>
  </si>
  <si>
    <t>新老手</t>
    <phoneticPr fontId="20" type="noConversion"/>
  </si>
  <si>
    <t>Buy Super Feature</t>
    <phoneticPr fontId="28" type="noConversion"/>
  </si>
  <si>
    <t>G</t>
    <phoneticPr fontId="28" type="noConversion"/>
  </si>
  <si>
    <t>H</t>
    <phoneticPr fontId="28" type="noConversion"/>
  </si>
  <si>
    <t>I</t>
    <phoneticPr fontId="28" type="noConversion"/>
  </si>
  <si>
    <t>G</t>
    <phoneticPr fontId="20" type="noConversion"/>
  </si>
  <si>
    <t>M6</t>
  </si>
  <si>
    <t>M6</t>
    <phoneticPr fontId="20" type="noConversion"/>
  </si>
  <si>
    <t>新手(A)</t>
    <phoneticPr fontId="20" type="noConversion"/>
  </si>
  <si>
    <t>老手(A)</t>
    <phoneticPr fontId="20" type="noConversion"/>
  </si>
  <si>
    <t>Buy Feature</t>
    <phoneticPr fontId="20" type="noConversion"/>
  </si>
  <si>
    <t>Num</t>
    <phoneticPr fontId="20" type="noConversion"/>
  </si>
  <si>
    <t>bgC1Count</t>
    <phoneticPr fontId="20" type="noConversion"/>
  </si>
  <si>
    <t>fgC1Count</t>
    <phoneticPr fontId="20" type="noConversion"/>
  </si>
  <si>
    <t>SC Trig</t>
    <phoneticPr fontId="20" type="noConversion"/>
  </si>
  <si>
    <t>Buy Feature(A)</t>
    <phoneticPr fontId="20" type="noConversion"/>
  </si>
  <si>
    <t>G_M5</t>
    <phoneticPr fontId="20" type="noConversion"/>
  </si>
  <si>
    <t>G_M6</t>
  </si>
  <si>
    <t>G_M6</t>
    <phoneticPr fontId="20" type="noConversion"/>
  </si>
  <si>
    <t>( 5+ Combo ) Weight</t>
    <phoneticPr fontId="20" type="noConversion"/>
  </si>
  <si>
    <t xml:space="preserve"> Drop Weights</t>
    <phoneticPr fontId="30" type="noConversion"/>
  </si>
  <si>
    <t>Initial 2</t>
    <phoneticPr fontId="20" type="noConversion"/>
  </si>
  <si>
    <t>FG Reel Weight</t>
    <phoneticPr fontId="20" type="noConversion"/>
  </si>
  <si>
    <t>MY Weight</t>
  </si>
  <si>
    <t>MY1</t>
    <phoneticPr fontId="20" type="noConversion"/>
  </si>
  <si>
    <t>M6</t>
    <phoneticPr fontId="23" type="noConversion"/>
  </si>
  <si>
    <t>A</t>
    <phoneticPr fontId="23" type="noConversion"/>
  </si>
  <si>
    <t>BaseGame</t>
    <phoneticPr fontId="20" type="noConversion"/>
  </si>
  <si>
    <t>權重</t>
    <phoneticPr fontId="20" type="noConversion"/>
  </si>
  <si>
    <t>FreeGame</t>
    <phoneticPr fontId="20" type="noConversion"/>
  </si>
  <si>
    <t>Initial 1</t>
  </si>
  <si>
    <t>MY</t>
    <phoneticPr fontId="20" type="noConversion"/>
  </si>
  <si>
    <t>Post Scatter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</si>
  <si>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phoneticPr fontId="23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</si>
  <si>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</si>
  <si>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</si>
  <si>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t>G_A</t>
    <phoneticPr fontId="20" type="noConversion"/>
  </si>
  <si>
    <r>
      <t>3. MY</t>
    </r>
    <r>
      <rPr>
        <sz val="12"/>
        <color theme="1"/>
        <rFont val="細明體"/>
        <family val="3"/>
        <charset val="136"/>
      </rPr>
      <t>符號透過</t>
    </r>
    <r>
      <rPr>
        <sz val="12"/>
        <color theme="1"/>
        <rFont val="Courier New"/>
        <family val="3"/>
      </rPr>
      <t>MY Weight</t>
    </r>
    <r>
      <rPr>
        <sz val="12"/>
        <color theme="1"/>
        <rFont val="新細明體"/>
        <family val="3"/>
        <charset val="136"/>
      </rPr>
      <t>決定</t>
    </r>
    <r>
      <rPr>
        <sz val="12"/>
        <color theme="1"/>
        <rFont val="Courier New"/>
        <family val="3"/>
      </rPr>
      <t>MY,G_MY</t>
    </r>
    <r>
      <rPr>
        <sz val="12"/>
        <color theme="1"/>
        <rFont val="新細明體"/>
        <family val="3"/>
        <charset val="136"/>
      </rPr>
      <t>轉換符號，一次</t>
    </r>
    <r>
      <rPr>
        <sz val="12"/>
        <color theme="1"/>
        <rFont val="Courier New"/>
        <family val="3"/>
      </rPr>
      <t>Spin</t>
    </r>
    <r>
      <rPr>
        <sz val="12"/>
        <color theme="1"/>
        <rFont val="新細明體"/>
        <family val="3"/>
        <charset val="136"/>
      </rPr>
      <t>只需抽選一次</t>
    </r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</si>
  <si>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</si>
  <si>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t>Retrigger</t>
    <phoneticPr fontId="20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</si>
  <si>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</si>
  <si>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</si>
  <si>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G_MY</t>
    <phoneticPr fontId="20" type="noConversion"/>
  </si>
  <si>
    <t>G_TE</t>
    <phoneticPr fontId="20" type="noConversion"/>
  </si>
  <si>
    <t>G_K</t>
    <phoneticPr fontId="20" type="noConversion"/>
  </si>
  <si>
    <t>G_M3</t>
    <phoneticPr fontId="20" type="noConversion"/>
  </si>
  <si>
    <t>G_Q</t>
    <phoneticPr fontId="20" type="noConversion"/>
  </si>
  <si>
    <t>G_J</t>
    <phoneticPr fontId="20" type="noConversion"/>
  </si>
  <si>
    <t>G_M4</t>
    <phoneticPr fontId="20" type="noConversion"/>
  </si>
  <si>
    <t>Initial 3</t>
  </si>
  <si>
    <t>Initial 3</t>
    <phoneticPr fontId="20" type="noConversion"/>
  </si>
  <si>
    <t>G_q</t>
    <phoneticPr fontId="20" type="noConversion"/>
  </si>
  <si>
    <t>BG Reel Height</t>
    <phoneticPr fontId="20" type="noConversion"/>
  </si>
  <si>
    <t>未啟用</t>
    <phoneticPr fontId="20" type="noConversion"/>
  </si>
  <si>
    <t>Final RTP 4</t>
    <phoneticPr fontId="28" type="noConversion"/>
  </si>
  <si>
    <t>Final RTP 5</t>
    <phoneticPr fontId="28" type="noConversion"/>
  </si>
  <si>
    <t>Final RTP 6</t>
    <phoneticPr fontId="28" type="noConversion"/>
  </si>
  <si>
    <t>Final RTP 7</t>
    <phoneticPr fontId="28" type="noConversion"/>
  </si>
  <si>
    <t>Final RTP 8</t>
    <phoneticPr fontId="28" type="noConversion"/>
  </si>
  <si>
    <t>Fix Num 4</t>
    <phoneticPr fontId="20" type="noConversion"/>
  </si>
  <si>
    <t>Fix Num 5</t>
    <phoneticPr fontId="28" type="noConversion"/>
  </si>
  <si>
    <t>Fix Num 6</t>
    <phoneticPr fontId="20" type="noConversion"/>
  </si>
  <si>
    <t>Fix Num 7</t>
    <phoneticPr fontId="20" type="noConversion"/>
  </si>
  <si>
    <t>Fix Num 8</t>
    <phoneticPr fontId="20" type="noConversion"/>
  </si>
  <si>
    <t>Fix Rate 4</t>
    <phoneticPr fontId="20" type="noConversion"/>
  </si>
  <si>
    <t>Final Rate 4</t>
    <phoneticPr fontId="20" type="noConversion"/>
  </si>
  <si>
    <t>Final Rate 5</t>
    <phoneticPr fontId="28" type="noConversion"/>
  </si>
  <si>
    <t>Final Rate 6</t>
  </si>
  <si>
    <t>Final Rate 7</t>
  </si>
  <si>
    <t>Final Rate 8</t>
  </si>
  <si>
    <t>Weight 4</t>
    <phoneticPr fontId="28" type="noConversion"/>
  </si>
  <si>
    <t>Weight 5</t>
  </si>
  <si>
    <t>Weight 6</t>
  </si>
  <si>
    <t>Weight 7</t>
  </si>
  <si>
    <t>Weight 8</t>
  </si>
  <si>
    <t>Simulator RTP</t>
  </si>
  <si>
    <t>Hit Rate</t>
  </si>
  <si>
    <t>Free Game 1 RTP</t>
  </si>
  <si>
    <t>Free Game 2 RTP</t>
  </si>
  <si>
    <t>Free Game 3 RTP</t>
  </si>
  <si>
    <t>Fix Num 5</t>
  </si>
  <si>
    <t>Fix Num 6</t>
  </si>
  <si>
    <t>Fix Num 7</t>
  </si>
  <si>
    <t>Fix Num 8</t>
  </si>
  <si>
    <t>Fix Rate 5</t>
  </si>
  <si>
    <t>Fix Rate 6</t>
  </si>
  <si>
    <t>Fix Rate 7</t>
  </si>
  <si>
    <t>Fix Rate 8</t>
  </si>
  <si>
    <t>新老手(A)</t>
    <phoneticPr fontId="20" type="noConversion"/>
  </si>
  <si>
    <t>新老手</t>
  </si>
  <si>
    <t>待啟用</t>
  </si>
  <si>
    <t>Buy Feature 4 RTP</t>
    <phoneticPr fontId="28" type="noConversion"/>
  </si>
  <si>
    <t>Buy Feature 1 RTP</t>
  </si>
  <si>
    <t>Buy Feature 2 RTP</t>
  </si>
  <si>
    <t>Buy Feature 3 RTP</t>
  </si>
  <si>
    <t>Buy Feature 4 RTP</t>
  </si>
  <si>
    <t>Weight 4</t>
  </si>
  <si>
    <t>老手</t>
  </si>
  <si>
    <t>Fix Num 4</t>
  </si>
  <si>
    <t>Fix Rate 4</t>
  </si>
  <si>
    <t>Model:</t>
  </si>
  <si>
    <t>Base Bet</t>
    <phoneticPr fontId="23" type="noConversion"/>
  </si>
  <si>
    <t>Multiway</t>
    <phoneticPr fontId="23" type="noConversion"/>
  </si>
  <si>
    <t>Coin in</t>
    <phoneticPr fontId="23" type="noConversion"/>
  </si>
  <si>
    <t>Price(x)</t>
    <phoneticPr fontId="23" type="noConversion"/>
  </si>
  <si>
    <t>Total RTP</t>
    <phoneticPr fontId="20" type="noConversion"/>
  </si>
  <si>
    <t>Bet Type</t>
    <phoneticPr fontId="20" type="noConversion"/>
  </si>
  <si>
    <t>Total Pay Back Percentage includes the following adjustments.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</si>
  <si>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</si>
  <si>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</si>
  <si>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</si>
  <si>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Description</t>
    <phoneticPr fontId="23" type="noConversion"/>
  </si>
  <si>
    <t>Free Game</t>
    <phoneticPr fontId="23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</si>
  <si>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</si>
  <si>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3" type="noConversion"/>
  </si>
  <si>
    <t>H028192A</t>
    <phoneticPr fontId="23" type="noConversion"/>
  </si>
  <si>
    <t>1.0.0.2</t>
    <phoneticPr fontId="20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</si>
  <si>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</si>
  <si>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</si>
  <si>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</si>
  <si>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8" type="noConversion"/>
  </si>
  <si>
    <t>Weight_NB_FG</t>
    <phoneticPr fontId="28" type="noConversion"/>
  </si>
  <si>
    <t>Weight_BF_FG</t>
    <phoneticPr fontId="28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</si>
  <si>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</si>
  <si>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</si>
  <si>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</si>
  <si>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</si>
  <si>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</si>
  <si>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</si>
  <si>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</si>
  <si>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</si>
  <si>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</si>
  <si>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</si>
  <si>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</si>
  <si>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</si>
  <si>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</si>
  <si>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</si>
  <si>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</si>
  <si>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</si>
  <si>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</si>
  <si>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</si>
  <si>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</si>
  <si>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</si>
  <si>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</si>
  <si>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</si>
  <si>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</si>
  <si>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</si>
  <si>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</si>
  <si>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</si>
  <si>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</si>
  <si>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</si>
  <si>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</si>
  <si>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</si>
  <si>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</si>
  <si>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</si>
  <si>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</si>
  <si>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</si>
  <si>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</si>
  <si>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</si>
  <si>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</si>
  <si>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</si>
  <si>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</si>
  <si>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</si>
  <si>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</si>
  <si>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</si>
  <si>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</si>
  <si>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</si>
  <si>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</si>
  <si>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</si>
  <si>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</si>
  <si>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</si>
  <si>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</si>
  <si>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</si>
  <si>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</si>
  <si>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</si>
  <si>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</si>
  <si>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</si>
  <si>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</si>
  <si>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</si>
  <si>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</si>
  <si>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</si>
  <si>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</si>
  <si>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</si>
  <si>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</si>
  <si>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</si>
  <si>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</si>
  <si>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</si>
  <si>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</si>
  <si>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Status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</si>
  <si>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</si>
  <si>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</si>
  <si>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</si>
  <si>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</si>
  <si>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Newbie</t>
  </si>
  <si>
    <t>BG</t>
    <phoneticPr fontId="20" type="noConversion"/>
  </si>
  <si>
    <t>H026192A_2004_2607012157_betmode0_108_9305_newbie_card.xlsx</t>
    <phoneticPr fontId="20" type="noConversion"/>
  </si>
  <si>
    <t>FG</t>
    <phoneticPr fontId="20" type="noConversion"/>
  </si>
  <si>
    <t>Oldhand</t>
  </si>
  <si>
    <t>H026192A_2003_2606301752_betmode0_108_9201_oldhand_card.xlsx</t>
    <phoneticPr fontId="20" type="noConversion"/>
  </si>
  <si>
    <t>H026192A_2004_2607010908_betmode2_107_9245_card.xlsx</t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</si>
  <si>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(A)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</si>
  <si>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(A)</t>
    </r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</si>
  <si>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(B)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</si>
  <si>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(B)</t>
    </r>
    <phoneticPr fontId="20" type="noConversion"/>
  </si>
  <si>
    <t>-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</si>
</sst>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.0000_);[Red]\(0.0000\)"/>
    <numFmt numFmtId="179" formatCode="0.0000"/>
    <numFmt numFmtId="180" formatCode="0_);[Red]\(0\)"/>
    <numFmt numFmtId="181" formatCode="0.000_ "/>
    <numFmt numFmtId="182" formatCode="0.0000000_ "/>
    <numFmt numFmtId="183" formatCode="0.0000_ "/>
    <numFmt numFmtId="184" formatCode="0.0000000000000%"/>
    <numFmt numFmtId="185" formatCode="_-* #,##0_-;\-* #,##0_-;_-* &quot;-&quot;??_-;_-@_-"/>
  </numFmts>
  <fonts count="4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3"/>
      <charset val="136"/>
    </font>
    <font>
      <sz val="11"/>
      <color rgb="FF0A0A0A"/>
      <name val="Segoe UI"/>
      <family val="2"/>
    </font>
    <font>
      <sz val="12"/>
      <color theme="0"/>
      <name val="Courier New"/>
      <family val="3"/>
    </font>
    <font>
      <sz val="12"/>
      <color theme="0" tint="-0.249977111117893"/>
      <name val="Courier New"/>
      <family val="3"/>
    </font>
    <font>
      <sz val="12"/>
      <color theme="1"/>
      <name val="微軟正黑體"/>
      <family val="2"/>
      <charset val="136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255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6" fontId="19" fillId="0" borderId="0" xfId="0" applyNumberFormat="1" applyFont="1" applyAlignment="1">
      <alignment vertical="center"/>
    </xf>
    <xf numFmtId="177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4" borderId="1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19" fillId="35" borderId="11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8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9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vertical="center"/>
    </xf>
    <xf numFmtId="0" fontId="27" fillId="0" borderId="11" xfId="0" applyFont="1" applyBorder="1" applyAlignment="1">
      <alignment horizontal="center" vertical="center"/>
    </xf>
    <xf numFmtId="0" fontId="27" fillId="45" borderId="0" xfId="0" applyFont="1" applyFill="1"/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25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24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center" vertical="top" wrapText="1"/>
    </xf>
    <xf numFmtId="0" fontId="19" fillId="0" borderId="25" xfId="0" applyFont="1" applyFill="1" applyBorder="1" applyAlignment="1">
      <alignment horizontal="center" vertical="top" wrapText="1"/>
    </xf>
    <xf numFmtId="0" fontId="19" fillId="0" borderId="27" xfId="0" applyFont="1" applyFill="1" applyBorder="1" applyAlignment="1">
      <alignment horizontal="center" vertical="top" wrapText="1"/>
    </xf>
    <xf numFmtId="0" fontId="19" fillId="0" borderId="18" xfId="0" applyFont="1" applyFill="1" applyBorder="1" applyAlignment="1">
      <alignment horizontal="center" vertical="top" wrapText="1"/>
    </xf>
    <xf numFmtId="0" fontId="19" fillId="0" borderId="28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7" fillId="0" borderId="11" xfId="0" applyFont="1" applyFill="1" applyBorder="1" applyAlignment="1">
      <alignment horizontal="center"/>
    </xf>
    <xf numFmtId="0" fontId="27" fillId="34" borderId="11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top" wrapText="1"/>
    </xf>
    <xf numFmtId="0" fontId="22" fillId="0" borderId="27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27" fillId="0" borderId="0" xfId="26597" applyFont="1"/>
    <xf numFmtId="0" fontId="27" fillId="0" borderId="0" xfId="0" applyFont="1" applyFill="1"/>
    <xf numFmtId="0" fontId="27" fillId="0" borderId="0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61099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7" fillId="0" borderId="11" xfId="0" applyFont="1" applyBorder="1"/>
    <xf numFmtId="0" fontId="19" fillId="34" borderId="10" xfId="0" applyFont="1" applyFill="1" applyBorder="1" applyAlignment="1">
      <alignment horizontal="center" vertical="center"/>
    </xf>
    <xf numFmtId="0" fontId="19" fillId="34" borderId="29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9" fillId="46" borderId="11" xfId="0" applyFont="1" applyFill="1" applyBorder="1"/>
    <xf numFmtId="0" fontId="19" fillId="0" borderId="11" xfId="0" applyFont="1" applyBorder="1"/>
    <xf numFmtId="0" fontId="19" fillId="0" borderId="13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" fillId="40" borderId="19" xfId="26499" applyFill="1" applyBorder="1"/>
    <xf numFmtId="0" fontId="22" fillId="0" borderId="26" xfId="26499" applyFont="1" applyBorder="1" applyAlignment="1">
      <alignment horizontal="center" vertical="top" wrapText="1"/>
    </xf>
    <xf numFmtId="0" fontId="22" fillId="0" borderId="19" xfId="26499" applyFont="1" applyBorder="1" applyAlignment="1">
      <alignment horizontal="center" vertical="center" wrapText="1"/>
    </xf>
    <xf numFmtId="0" fontId="27" fillId="41" borderId="21" xfId="61100" applyFont="1" applyFill="1" applyBorder="1" applyAlignment="1">
      <alignment horizontal="center" vertical="center"/>
    </xf>
    <xf numFmtId="0" fontId="27" fillId="41" borderId="25" xfId="61100" applyFont="1" applyFill="1" applyBorder="1" applyAlignment="1">
      <alignment horizontal="center" vertical="center"/>
    </xf>
    <xf numFmtId="0" fontId="27" fillId="0" borderId="22" xfId="6110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7" borderId="22" xfId="0" applyFill="1" applyBorder="1" applyAlignment="1">
      <alignment horizontal="center" vertical="center"/>
    </xf>
    <xf numFmtId="0" fontId="0" fillId="42" borderId="34" xfId="0" applyFill="1" applyBorder="1" applyAlignment="1">
      <alignment horizontal="center" vertical="center"/>
    </xf>
    <xf numFmtId="0" fontId="0" fillId="42" borderId="36" xfId="0" applyFill="1" applyBorder="1" applyAlignment="1">
      <alignment horizontal="center" vertical="center"/>
    </xf>
    <xf numFmtId="0" fontId="0" fillId="48" borderId="30" xfId="0" applyFill="1" applyBorder="1" applyAlignment="1">
      <alignment horizontal="center" vertical="center"/>
    </xf>
    <xf numFmtId="0" fontId="0" fillId="48" borderId="33" xfId="0" applyFill="1" applyBorder="1" applyAlignment="1">
      <alignment horizontal="center" vertical="center"/>
    </xf>
    <xf numFmtId="0" fontId="0" fillId="48" borderId="35" xfId="0" applyFill="1" applyBorder="1" applyAlignment="1">
      <alignment horizontal="center" vertical="center"/>
    </xf>
    <xf numFmtId="0" fontId="36" fillId="49" borderId="30" xfId="0" applyFont="1" applyFill="1" applyBorder="1" applyAlignment="1">
      <alignment horizontal="center" vertical="center"/>
    </xf>
    <xf numFmtId="0" fontId="36" fillId="49" borderId="33" xfId="0" applyFont="1" applyFill="1" applyBorder="1" applyAlignment="1">
      <alignment horizontal="center" vertical="center"/>
    </xf>
    <xf numFmtId="0" fontId="36" fillId="49" borderId="35" xfId="0" applyFont="1" applyFill="1" applyBorder="1" applyAlignment="1">
      <alignment horizontal="center" vertical="center"/>
    </xf>
    <xf numFmtId="0" fontId="0" fillId="50" borderId="23" xfId="0" applyFill="1" applyBorder="1" applyAlignment="1">
      <alignment horizontal="center" vertical="center"/>
    </xf>
    <xf numFmtId="0" fontId="0" fillId="47" borderId="19" xfId="0" applyFill="1" applyBorder="1" applyAlignment="1">
      <alignment horizontal="center" vertical="center"/>
    </xf>
    <xf numFmtId="0" fontId="0" fillId="50" borderId="34" xfId="0" applyFill="1" applyBorder="1" applyAlignment="1">
      <alignment horizontal="center" vertical="center"/>
    </xf>
    <xf numFmtId="0" fontId="0" fillId="50" borderId="36" xfId="0" applyFill="1" applyBorder="1" applyAlignment="1">
      <alignment horizontal="center" vertical="center"/>
    </xf>
    <xf numFmtId="0" fontId="19" fillId="50" borderId="36" xfId="0" applyFont="1" applyFill="1" applyBorder="1" applyAlignment="1">
      <alignment horizontal="center" vertical="center"/>
    </xf>
    <xf numFmtId="0" fontId="19" fillId="50" borderId="37" xfId="0" applyFont="1" applyFill="1" applyBorder="1" applyAlignment="1">
      <alignment horizontal="center" vertical="center"/>
    </xf>
    <xf numFmtId="0" fontId="19" fillId="42" borderId="36" xfId="0" applyFont="1" applyFill="1" applyBorder="1" applyAlignment="1">
      <alignment horizontal="center" vertical="center"/>
    </xf>
    <xf numFmtId="0" fontId="19" fillId="42" borderId="37" xfId="0" applyFont="1" applyFill="1" applyBorder="1" applyAlignment="1">
      <alignment horizontal="center" vertical="center"/>
    </xf>
    <xf numFmtId="0" fontId="2" fillId="40" borderId="19" xfId="26499" applyFill="1" applyBorder="1" applyAlignment="1">
      <alignment horizontal="center"/>
    </xf>
    <xf numFmtId="0" fontId="19" fillId="41" borderId="25" xfId="0" applyFont="1" applyFill="1" applyBorder="1" applyAlignment="1">
      <alignment horizontal="center" vertical="center"/>
    </xf>
    <xf numFmtId="0" fontId="19" fillId="41" borderId="28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Fill="1"/>
    <xf numFmtId="10" fontId="38" fillId="0" borderId="0" xfId="0" applyNumberFormat="1" applyFont="1" applyFill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top" wrapText="1"/>
    </xf>
    <xf numFmtId="0" fontId="19" fillId="0" borderId="23" xfId="0" applyFont="1" applyFill="1" applyBorder="1" applyAlignment="1">
      <alignment horizontal="center" vertical="top" wrapText="1"/>
    </xf>
    <xf numFmtId="0" fontId="19" fillId="0" borderId="20" xfId="0" applyFont="1" applyFill="1" applyBorder="1" applyAlignment="1">
      <alignment horizontal="center" vertical="top" wrapText="1"/>
    </xf>
    <xf numFmtId="0" fontId="19" fillId="0" borderId="21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6" fillId="49" borderId="23" xfId="0" applyFont="1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0" fillId="42" borderId="25" xfId="0" applyFill="1" applyBorder="1" applyAlignment="1">
      <alignment horizontal="center" vertical="center"/>
    </xf>
    <xf numFmtId="0" fontId="0" fillId="42" borderId="28" xfId="0" applyFill="1" applyBorder="1" applyAlignment="1">
      <alignment horizontal="center" vertical="center"/>
    </xf>
    <xf numFmtId="0" fontId="36" fillId="49" borderId="19" xfId="0" applyFont="1" applyFill="1" applyBorder="1" applyAlignment="1">
      <alignment horizontal="center" vertical="center"/>
    </xf>
    <xf numFmtId="0" fontId="36" fillId="49" borderId="26" xfId="0" applyFont="1" applyFill="1" applyBorder="1" applyAlignment="1">
      <alignment horizontal="center" vertical="center"/>
    </xf>
    <xf numFmtId="0" fontId="36" fillId="49" borderId="3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0" borderId="0" xfId="26499" applyFont="1" applyAlignment="1">
      <alignment vertical="center"/>
    </xf>
    <xf numFmtId="0" fontId="19" fillId="0" borderId="0" xfId="26499" applyFont="1" applyAlignment="1">
      <alignment vertical="center"/>
    </xf>
    <xf numFmtId="0" fontId="27" fillId="0" borderId="0" xfId="26499" applyFont="1" applyAlignment="1">
      <alignment horizontal="center" vertical="center"/>
    </xf>
    <xf numFmtId="0" fontId="39" fillId="0" borderId="0" xfId="26499" applyFont="1" applyAlignment="1">
      <alignment vertical="center"/>
    </xf>
    <xf numFmtId="0" fontId="32" fillId="0" borderId="0" xfId="26499" applyFont="1" applyAlignment="1">
      <alignment vertical="center"/>
    </xf>
    <xf numFmtId="0" fontId="22" fillId="0" borderId="0" xfId="26499" applyFont="1" applyAlignment="1">
      <alignment horizontal="center" vertical="center"/>
    </xf>
    <xf numFmtId="0" fontId="22" fillId="0" borderId="11" xfId="26499" applyFont="1" applyBorder="1" applyAlignment="1">
      <alignment horizontal="center" vertical="center"/>
    </xf>
    <xf numFmtId="10" fontId="19" fillId="42" borderId="11" xfId="58546" applyNumberFormat="1" applyFont="1" applyFill="1" applyBorder="1" applyAlignment="1">
      <alignment horizontal="center" vertical="center"/>
    </xf>
    <xf numFmtId="0" fontId="22" fillId="34" borderId="11" xfId="26499" applyFont="1" applyFill="1" applyBorder="1" applyAlignment="1">
      <alignment horizontal="center" vertical="center"/>
    </xf>
    <xf numFmtId="0" fontId="27" fillId="0" borderId="11" xfId="26499" applyFont="1" applyBorder="1" applyAlignment="1">
      <alignment vertical="center"/>
    </xf>
    <xf numFmtId="0" fontId="19" fillId="43" borderId="11" xfId="26499" applyFont="1" applyFill="1" applyBorder="1" applyAlignment="1">
      <alignment vertical="center"/>
    </xf>
    <xf numFmtId="10" fontId="27" fillId="0" borderId="11" xfId="58546" applyNumberFormat="1" applyFont="1" applyFill="1" applyBorder="1">
      <alignment vertical="center"/>
    </xf>
    <xf numFmtId="0" fontId="27" fillId="0" borderId="11" xfId="58546" applyNumberFormat="1" applyFont="1" applyFill="1" applyBorder="1">
      <alignment vertical="center"/>
    </xf>
    <xf numFmtId="0" fontId="27" fillId="0" borderId="11" xfId="26499" applyFont="1" applyBorder="1" applyAlignment="1">
      <alignment horizontal="center" vertical="center"/>
    </xf>
    <xf numFmtId="0" fontId="27" fillId="42" borderId="11" xfId="26499" applyFont="1" applyFill="1" applyBorder="1" applyAlignment="1">
      <alignment horizontal="center" vertical="center"/>
    </xf>
    <xf numFmtId="0" fontId="27" fillId="44" borderId="11" xfId="26499" applyFont="1" applyFill="1" applyBorder="1" applyAlignment="1">
      <alignment vertical="center"/>
    </xf>
    <xf numFmtId="181" fontId="27" fillId="44" borderId="11" xfId="26499" applyNumberFormat="1" applyFont="1" applyFill="1" applyBorder="1" applyAlignment="1">
      <alignment vertical="center"/>
    </xf>
    <xf numFmtId="10" fontId="27" fillId="0" borderId="14" xfId="58546" applyNumberFormat="1" applyFont="1" applyFill="1" applyBorder="1">
      <alignment vertical="center"/>
    </xf>
    <xf numFmtId="180" fontId="27" fillId="42" borderId="11" xfId="58546" applyNumberFormat="1" applyFont="1" applyFill="1" applyBorder="1">
      <alignment vertical="center"/>
    </xf>
    <xf numFmtId="10" fontId="27" fillId="0" borderId="16" xfId="58546" applyNumberFormat="1" applyFont="1" applyFill="1" applyBorder="1">
      <alignment vertical="center"/>
    </xf>
    <xf numFmtId="10" fontId="27" fillId="0" borderId="11" xfId="58546" applyNumberFormat="1" applyFont="1" applyBorder="1">
      <alignment vertical="center"/>
    </xf>
    <xf numFmtId="180" fontId="27" fillId="42" borderId="16" xfId="58546" applyNumberFormat="1" applyFont="1" applyFill="1" applyBorder="1">
      <alignment vertical="center"/>
    </xf>
    <xf numFmtId="10" fontId="27" fillId="42" borderId="11" xfId="58546" applyNumberFormat="1" applyFont="1" applyFill="1" applyBorder="1">
      <alignment vertical="center"/>
    </xf>
    <xf numFmtId="0" fontId="19" fillId="43" borderId="10" xfId="26499" applyFont="1" applyFill="1" applyBorder="1" applyAlignment="1">
      <alignment vertical="center"/>
    </xf>
    <xf numFmtId="10" fontId="27" fillId="0" borderId="0" xfId="58546" applyNumberFormat="1" applyFont="1">
      <alignment vertical="center"/>
    </xf>
    <xf numFmtId="184" fontId="27" fillId="0" borderId="0" xfId="26499" applyNumberFormat="1" applyFont="1" applyAlignment="1">
      <alignment vertical="center"/>
    </xf>
    <xf numFmtId="0" fontId="27" fillId="43" borderId="11" xfId="26499" applyFont="1" applyFill="1" applyBorder="1" applyAlignment="1">
      <alignment vertical="center"/>
    </xf>
    <xf numFmtId="0" fontId="27" fillId="43" borderId="0" xfId="26499" applyFont="1" applyFill="1"/>
    <xf numFmtId="0" fontId="2" fillId="0" borderId="0" xfId="26499"/>
    <xf numFmtId="182" fontId="19" fillId="0" borderId="0" xfId="26499" applyNumberFormat="1" applyFont="1" applyAlignment="1">
      <alignment vertical="center"/>
    </xf>
    <xf numFmtId="0" fontId="27" fillId="0" borderId="17" xfId="26499" applyFont="1" applyBorder="1" applyAlignment="1">
      <alignment vertical="center"/>
    </xf>
    <xf numFmtId="0" fontId="27" fillId="0" borderId="16" xfId="26499" applyFont="1" applyBorder="1" applyAlignment="1">
      <alignment horizontal="center" vertical="center"/>
    </xf>
    <xf numFmtId="183" fontId="27" fillId="44" borderId="11" xfId="26499" applyNumberFormat="1" applyFont="1" applyFill="1" applyBorder="1" applyAlignment="1">
      <alignment vertical="center"/>
    </xf>
    <xf numFmtId="0" fontId="27" fillId="0" borderId="29" xfId="26499" applyFont="1" applyBorder="1" applyAlignment="1">
      <alignment vertical="center"/>
    </xf>
    <xf numFmtId="0" fontId="27" fillId="0" borderId="10" xfId="26499" applyFont="1" applyBorder="1" applyAlignment="1">
      <alignment vertical="center"/>
    </xf>
    <xf numFmtId="0" fontId="19" fillId="43" borderId="0" xfId="26499" applyFont="1" applyFill="1" applyAlignment="1">
      <alignment vertical="center"/>
    </xf>
    <xf numFmtId="0" fontId="27" fillId="43" borderId="0" xfId="26499" applyFont="1" applyFill="1" applyAlignment="1">
      <alignment vertical="center"/>
    </xf>
    <xf numFmtId="10" fontId="27" fillId="0" borderId="0" xfId="58546" applyNumberFormat="1" applyFont="1" applyFill="1" applyBorder="1">
      <alignment vertical="center"/>
    </xf>
    <xf numFmtId="0" fontId="27" fillId="42" borderId="0" xfId="26499" applyFont="1" applyFill="1" applyAlignment="1">
      <alignment horizontal="center" vertical="center"/>
    </xf>
    <xf numFmtId="0" fontId="27" fillId="44" borderId="0" xfId="26499" applyFont="1" applyFill="1" applyAlignment="1">
      <alignment vertical="center"/>
    </xf>
    <xf numFmtId="180" fontId="27" fillId="0" borderId="0" xfId="58546" applyNumberFormat="1" applyFont="1" applyFill="1" applyBorder="1">
      <alignment vertical="center"/>
    </xf>
    <xf numFmtId="0" fontId="2" fillId="43" borderId="11" xfId="26499" applyFill="1" applyBorder="1"/>
    <xf numFmtId="0" fontId="19" fillId="0" borderId="0" xfId="2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44" borderId="0" xfId="58215" applyFont="1" applyFill="1" applyAlignment="1">
      <alignment horizontal="center" vertical="center"/>
    </xf>
    <xf numFmtId="0" fontId="19" fillId="44" borderId="10" xfId="0" applyFont="1" applyFill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44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51" borderId="12" xfId="0" applyFont="1" applyFill="1" applyBorder="1" applyAlignment="1">
      <alignment horizontal="left" vertical="center"/>
    </xf>
    <xf numFmtId="0" fontId="19" fillId="52" borderId="11" xfId="0" applyFont="1" applyFill="1" applyBorder="1"/>
    <xf numFmtId="185" fontId="27" fillId="52" borderId="11" xfId="61099" applyNumberFormat="1" applyFont="1" applyFill="1" applyBorder="1" applyAlignment="1"/>
    <xf numFmtId="0" fontId="27" fillId="34" borderId="14" xfId="0" applyFont="1" applyFill="1" applyBorder="1" applyAlignment="1">
      <alignment horizontal="center" vertical="center"/>
    </xf>
    <xf numFmtId="0" fontId="27" fillId="44" borderId="10" xfId="0" applyFont="1" applyFill="1" applyBorder="1"/>
    <xf numFmtId="0" fontId="40" fillId="0" borderId="0" xfId="0" applyFont="1"/>
    <xf numFmtId="0" fontId="27" fillId="44" borderId="11" xfId="0" applyFont="1" applyFill="1" applyBorder="1"/>
    <xf numFmtId="0" fontId="27" fillId="0" borderId="0" xfId="0" applyFont="1" applyAlignment="1">
      <alignment horizontal="center"/>
    </xf>
    <xf numFmtId="177" fontId="27" fillId="0" borderId="0" xfId="0" applyNumberFormat="1" applyFont="1"/>
    <xf numFmtId="0" fontId="27" fillId="46" borderId="11" xfId="0" applyFont="1" applyFill="1" applyBorder="1"/>
    <xf numFmtId="0" fontId="19" fillId="0" borderId="0" xfId="2" applyFont="1" applyAlignment="1">
      <alignment horizontal="left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7" xfId="0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7" fontId="19" fillId="44" borderId="17" xfId="0" applyNumberFormat="1" applyFont="1" applyFill="1" applyBorder="1" applyAlignment="1">
      <alignment horizontal="center" vertical="center" wrapText="1"/>
    </xf>
    <xf numFmtId="177" fontId="19" fillId="44" borderId="10" xfId="0" applyNumberFormat="1" applyFont="1" applyFill="1" applyBorder="1" applyAlignment="1">
      <alignment horizontal="center" vertical="center" wrapText="1"/>
    </xf>
    <xf numFmtId="177" fontId="19" fillId="0" borderId="17" xfId="0" applyNumberFormat="1" applyFont="1" applyBorder="1" applyAlignment="1">
      <alignment horizontal="center" vertical="center" wrapText="1"/>
    </xf>
    <xf numFmtId="177" fontId="19" fillId="0" borderId="10" xfId="0" applyNumberFormat="1" applyFont="1" applyBorder="1" applyAlignment="1">
      <alignment horizontal="center" vertical="center" wrapText="1"/>
    </xf>
    <xf numFmtId="0" fontId="19" fillId="42" borderId="14" xfId="26499" applyFont="1" applyFill="1" applyBorder="1" applyAlignment="1">
      <alignment horizontal="center" vertical="center"/>
    </xf>
    <xf numFmtId="0" fontId="19" fillId="42" borderId="15" xfId="26499" applyFont="1" applyFill="1" applyBorder="1" applyAlignment="1">
      <alignment horizontal="center" vertical="center"/>
    </xf>
    <xf numFmtId="0" fontId="19" fillId="42" borderId="16" xfId="26499" applyFont="1" applyFill="1" applyBorder="1" applyAlignment="1">
      <alignment horizontal="center" vertical="center"/>
    </xf>
    <xf numFmtId="0" fontId="22" fillId="34" borderId="11" xfId="26499" applyFont="1" applyFill="1" applyBorder="1" applyAlignment="1">
      <alignment horizontal="center" vertical="center"/>
    </xf>
    <xf numFmtId="0" fontId="22" fillId="34" borderId="14" xfId="26499" applyFont="1" applyFill="1" applyBorder="1" applyAlignment="1">
      <alignment horizontal="center" vertical="center"/>
    </xf>
    <xf numFmtId="0" fontId="22" fillId="34" borderId="15" xfId="26499" applyFont="1" applyFill="1" applyBorder="1" applyAlignment="1">
      <alignment horizontal="center" vertical="center"/>
    </xf>
    <xf numFmtId="0" fontId="22" fillId="34" borderId="16" xfId="26499" applyFont="1" applyFill="1" applyBorder="1" applyAlignment="1">
      <alignment horizontal="center" vertical="center"/>
    </xf>
    <xf numFmtId="0" fontId="22" fillId="0" borderId="14" xfId="26499" applyFont="1" applyBorder="1" applyAlignment="1">
      <alignment horizontal="center" vertical="center"/>
    </xf>
    <xf numFmtId="0" fontId="22" fillId="0" borderId="15" xfId="26499" applyFont="1" applyBorder="1" applyAlignment="1">
      <alignment horizontal="center" vertical="center"/>
    </xf>
    <xf numFmtId="0" fontId="22" fillId="0" borderId="16" xfId="26499" applyFont="1" applyBorder="1" applyAlignment="1">
      <alignment horizontal="center" vertical="center"/>
    </xf>
    <xf numFmtId="0" fontId="22" fillId="34" borderId="17" xfId="26499" applyFont="1" applyFill="1" applyBorder="1" applyAlignment="1">
      <alignment horizontal="center" vertical="center"/>
    </xf>
    <xf numFmtId="0" fontId="22" fillId="34" borderId="10" xfId="26499" applyFont="1" applyFill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85" fontId="40" fillId="0" borderId="17" xfId="61099" applyNumberFormat="1" applyFont="1" applyFill="1" applyBorder="1" applyAlignment="1">
      <alignment horizontal="center" vertical="center"/>
    </xf>
    <xf numFmtId="185" fontId="40" fillId="0" borderId="10" xfId="61099" applyNumberFormat="1" applyFont="1" applyFill="1" applyBorder="1" applyAlignment="1">
      <alignment horizontal="center" vertical="center"/>
    </xf>
    <xf numFmtId="0" fontId="27" fillId="52" borderId="17" xfId="0" applyFont="1" applyFill="1" applyBorder="1" applyAlignment="1">
      <alignment horizontal="center"/>
    </xf>
    <xf numFmtId="0" fontId="27" fillId="52" borderId="10" xfId="0" applyFont="1" applyFill="1" applyBorder="1" applyAlignment="1">
      <alignment horizontal="center"/>
    </xf>
    <xf numFmtId="185" fontId="27" fillId="44" borderId="17" xfId="61099" applyNumberFormat="1" applyFont="1" applyFill="1" applyBorder="1" applyAlignment="1">
      <alignment horizontal="center" vertical="center"/>
    </xf>
    <xf numFmtId="185" fontId="27" fillId="44" borderId="10" xfId="61099" applyNumberFormat="1" applyFont="1" applyFill="1" applyBorder="1" applyAlignment="1">
      <alignment horizontal="center" vertical="center"/>
    </xf>
    <xf numFmtId="0" fontId="27" fillId="0" borderId="30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0" xfId="26499" applyFont="1" applyAlignment="1">
      <alignment horizontal="center" vertical="center"/>
    </xf>
    <xf numFmtId="0" fontId="27" fillId="46" borderId="0" xfId="26597" applyFont="1" applyFill="1" applyAlignment="1">
      <alignment horizontal="center"/>
    </xf>
    <xf numFmtId="0" fontId="31" fillId="0" borderId="0" xfId="26499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0" borderId="13" xfId="0" applyFont="1" applyFill="1" applyBorder="1" applyAlignment="1">
      <alignment horizontal="center" vertical="center"/>
    </xf>
    <xf numFmtId="0" fontId="25" fillId="0" borderId="13" xfId="26499" applyFont="1" applyBorder="1" applyAlignment="1">
      <alignment horizontal="center" vertical="center"/>
    </xf>
    <xf numFmtId="0" fontId="19" fillId="44" borderId="10" xfId="0" applyFont="1" applyFill="1" applyBorder="1" applyAlignment="1">
      <alignment horizontal="center" vertical="center"/>
    </xf>
    <xf numFmtId="0" fontId="19" fillId="44" borderId="11" xfId="0" applyFont="1" applyFill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679">
    <dxf>
      <fill>
        <patternFill>
          <bgColor rgb="FFFF0000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 patternType="solid">
          <fgColor indexed="64"/>
          <bgColor rgb="FFFF99CC"/>
        </patternFill>
      </fill>
    </dxf>
    <dxf>
      <fill>
        <patternFill patternType="solid">
          <fgColor indexed="64"/>
          <bgColor rgb="FFFF99FF"/>
        </patternFill>
      </fill>
    </dxf>
    <dxf>
      <fill>
        <patternFill patternType="solid">
          <fgColor indexed="64"/>
          <bgColor rgb="FFCC99FF"/>
        </patternFill>
      </fill>
    </dxf>
    <dxf>
      <fill>
        <patternFill patternType="solid">
          <fgColor indexed="64"/>
          <bgColor rgb="FF9999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FFFF"/>
        </patternFill>
      </fill>
    </dxf>
    <dxf>
      <fill>
        <patternFill patternType="solid">
          <fgColor indexed="64"/>
          <bgColor rgb="FF99FFCC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CCFF99"/>
        </patternFill>
      </fill>
    </dxf>
    <dxf>
      <fill>
        <patternFill patternType="solid">
          <fgColor indexed="64"/>
          <bgColor rgb="FFFFFF99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DCF1C7"/>
      <color rgb="FFD8BDED"/>
      <color rgb="FFBDE1FF"/>
      <color rgb="FFFFFFAB"/>
      <color rgb="FFC4E59F"/>
      <color rgb="FFFFB9B9"/>
      <color rgb="FFFF8B8B"/>
      <color rgb="FFFF8585"/>
      <color rgb="FF89E0FF"/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83"/>
  <sheetViews>
    <sheetView tabSelected="1" workbookViewId="0">
      <selection activeCell="H21" sqref="H21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0" x14ac:dyDescent="0.3">
      <c r="A2" s="11" t="s">
        <v>245</v>
      </c>
      <c r="B2" s="190" t="s">
        <v>260</v>
      </c>
    </row>
    <row r="3" spans="1:10" x14ac:dyDescent="0.3">
      <c r="A3" s="11" t="s">
        <v>47</v>
      </c>
      <c r="B3" s="190" t="s">
        <v>261</v>
      </c>
      <c r="C3" s="12"/>
    </row>
    <row r="4" spans="1:10" x14ac:dyDescent="0.3">
      <c r="A4" s="11"/>
      <c r="B4" s="213"/>
      <c r="C4" s="213"/>
    </row>
    <row r="5" spans="1:10" x14ac:dyDescent="0.3">
      <c r="A5" s="11"/>
      <c r="B5" s="188"/>
      <c r="C5" s="188"/>
    </row>
    <row r="6" spans="1:10" x14ac:dyDescent="0.3">
      <c r="A6" s="23" t="s">
        <v>246</v>
      </c>
      <c r="B6" s="23" t="s">
        <v>247</v>
      </c>
      <c r="C6" s="32"/>
      <c r="D6" s="32"/>
      <c r="E6" s="41"/>
      <c r="F6" s="41"/>
      <c r="G6" s="40"/>
      <c r="H6" s="40"/>
      <c r="I6" s="40"/>
      <c r="J6" s="41"/>
    </row>
    <row r="7" spans="1:10" x14ac:dyDescent="0.3">
      <c r="A7" s="191">
        <v>100</v>
      </c>
      <c r="B7" s="191">
        <f>PRODUCT(B26:G26)</f>
        <v>32400</v>
      </c>
      <c r="C7" s="32"/>
      <c r="D7" s="32"/>
      <c r="E7" s="32"/>
      <c r="F7" s="32"/>
      <c r="H7" s="5"/>
      <c r="I7" s="35"/>
      <c r="J7" s="10"/>
    </row>
    <row r="8" spans="1:10" x14ac:dyDescent="0.3">
      <c r="A8" s="32"/>
      <c r="B8" s="32"/>
      <c r="C8" s="32"/>
      <c r="D8" s="32"/>
      <c r="E8" s="32"/>
      <c r="F8" s="32"/>
      <c r="H8" s="5"/>
      <c r="I8" s="35"/>
      <c r="J8" s="10"/>
    </row>
    <row r="9" spans="1:10" x14ac:dyDescent="0.3">
      <c r="A9" s="32"/>
      <c r="B9" s="32"/>
      <c r="C9" s="32"/>
      <c r="D9" s="32"/>
      <c r="E9" s="32"/>
      <c r="F9" s="32"/>
      <c r="H9" s="5"/>
      <c r="I9" s="35"/>
      <c r="J9" s="10"/>
    </row>
    <row r="10" spans="1:10" x14ac:dyDescent="0.3">
      <c r="A10" s="23" t="s">
        <v>248</v>
      </c>
      <c r="B10" s="23" t="s">
        <v>249</v>
      </c>
      <c r="C10" s="192" t="s">
        <v>250</v>
      </c>
      <c r="D10" s="192" t="s">
        <v>251</v>
      </c>
      <c r="E10" s="32"/>
      <c r="F10" s="32"/>
      <c r="H10" s="5"/>
      <c r="I10" s="35"/>
      <c r="J10" s="10"/>
    </row>
    <row r="11" spans="1:10" x14ac:dyDescent="0.3">
      <c r="A11" s="193" cm="1">
        <f t="array" ref="A11:A12">B11:B12*A7</f>
        <v>100</v>
      </c>
      <c r="B11" s="191">
        <v>1</v>
      </c>
      <c r="C11" s="194"/>
      <c r="D11" s="194" t="s">
        <v>55</v>
      </c>
      <c r="E11" s="32"/>
      <c r="F11" s="32"/>
      <c r="H11" s="5"/>
      <c r="I11" s="35"/>
      <c r="J11" s="10"/>
    </row>
    <row r="12" spans="1:10" x14ac:dyDescent="0.3">
      <c r="A12" s="193">
        <v>7500</v>
      </c>
      <c r="B12" s="191">
        <v>75</v>
      </c>
      <c r="C12" s="194"/>
      <c r="D12" s="194" t="s">
        <v>155</v>
      </c>
      <c r="E12" s="32"/>
      <c r="F12" s="32"/>
      <c r="H12" s="5"/>
      <c r="I12" s="35"/>
      <c r="J12" s="10"/>
    </row>
    <row r="13" spans="1:10" x14ac:dyDescent="0.3">
      <c r="A13" s="32"/>
      <c r="B13" s="32"/>
      <c r="C13" s="32"/>
      <c r="D13" s="32"/>
      <c r="E13" s="32"/>
      <c r="F13" s="32"/>
      <c r="H13" s="5"/>
      <c r="I13" s="35"/>
      <c r="J13" s="10"/>
    </row>
    <row r="14" spans="1:10" x14ac:dyDescent="0.3">
      <c r="A14" s="32"/>
      <c r="B14" s="32"/>
      <c r="C14" s="32"/>
      <c r="D14" s="32"/>
      <c r="E14" s="32"/>
      <c r="F14" s="32"/>
      <c r="H14" s="5"/>
      <c r="I14" s="35"/>
      <c r="J14" s="10"/>
    </row>
    <row r="15" spans="1:10" x14ac:dyDescent="0.3">
      <c r="A15" s="14" t="s">
        <v>252</v>
      </c>
      <c r="B15" s="195"/>
      <c r="C15" s="196"/>
      <c r="D15" s="197"/>
      <c r="E15" s="198"/>
      <c r="F15" s="32"/>
      <c r="H15" s="5"/>
      <c r="I15" s="35"/>
      <c r="J15" s="10"/>
    </row>
    <row r="16" spans="1:10" x14ac:dyDescent="0.3">
      <c r="A16" s="192" t="s">
        <v>251</v>
      </c>
      <c r="B16" s="23" t="s">
        <v>253</v>
      </c>
      <c r="C16" s="23" t="s">
        <v>254</v>
      </c>
      <c r="D16" s="23" t="s">
        <v>255</v>
      </c>
      <c r="E16" s="23" t="s">
        <v>256</v>
      </c>
      <c r="F16" s="32"/>
      <c r="H16" s="5"/>
      <c r="I16" s="35"/>
      <c r="J16" s="10"/>
    </row>
    <row r="17" spans="1:10" x14ac:dyDescent="0.3">
      <c r="A17" s="214" t="str">
        <f>D10</f>
        <v>Bet Type</v>
      </c>
      <c r="B17" s="199"/>
      <c r="C17" s="215" t="e">
        <f>1/D17</f>
        <v>#DIV/0!</v>
      </c>
      <c r="D17" s="217"/>
      <c r="E17" s="15" t="s">
        <v>50</v>
      </c>
      <c r="F17" s="32"/>
      <c r="H17" s="5"/>
      <c r="I17" s="35"/>
      <c r="J17" s="10"/>
    </row>
    <row r="18" spans="1:10" x14ac:dyDescent="0.3">
      <c r="A18" s="214"/>
      <c r="B18" s="199"/>
      <c r="C18" s="216"/>
      <c r="D18" s="218"/>
      <c r="E18" s="15" t="s">
        <v>257</v>
      </c>
      <c r="F18" s="32"/>
      <c r="H18" s="5"/>
      <c r="I18" s="35"/>
      <c r="J18" s="10"/>
    </row>
    <row r="19" spans="1:10" x14ac:dyDescent="0.3">
      <c r="A19" s="200"/>
      <c r="B19" s="201"/>
      <c r="C19" s="196"/>
      <c r="D19" s="197"/>
      <c r="E19" s="5"/>
      <c r="F19" s="32"/>
      <c r="H19" s="5"/>
      <c r="I19" s="35"/>
      <c r="J19" s="10"/>
    </row>
    <row r="20" spans="1:10" x14ac:dyDescent="0.3">
      <c r="A20" s="192" t="s">
        <v>251</v>
      </c>
      <c r="B20" s="23" t="s">
        <v>253</v>
      </c>
      <c r="C20" s="23" t="s">
        <v>254</v>
      </c>
      <c r="D20" s="23" t="s">
        <v>255</v>
      </c>
      <c r="E20" s="23" t="s">
        <v>256</v>
      </c>
      <c r="F20" s="32"/>
      <c r="H20" s="5"/>
      <c r="I20" s="35"/>
      <c r="J20" s="10"/>
    </row>
    <row r="21" spans="1:10" x14ac:dyDescent="0.3">
      <c r="A21" s="214" t="str">
        <f>D12</f>
        <v>Buy Feature</v>
      </c>
      <c r="B21" s="199"/>
      <c r="C21" s="215">
        <f>1/D21</f>
        <v>1</v>
      </c>
      <c r="D21" s="219">
        <v>1</v>
      </c>
      <c r="E21" s="15" t="s">
        <v>50</v>
      </c>
      <c r="F21" s="32"/>
      <c r="H21" s="5"/>
      <c r="I21" s="35"/>
      <c r="J21" s="10"/>
    </row>
    <row r="22" spans="1:10" x14ac:dyDescent="0.3">
      <c r="A22" s="214"/>
      <c r="B22" s="199"/>
      <c r="C22" s="216"/>
      <c r="D22" s="220"/>
      <c r="E22" s="15" t="s">
        <v>257</v>
      </c>
      <c r="F22" s="32"/>
      <c r="H22" s="5"/>
      <c r="I22" s="35"/>
      <c r="J22" s="10"/>
    </row>
    <row r="23" spans="1:10" x14ac:dyDescent="0.3">
      <c r="F23" s="32"/>
      <c r="H23" s="5"/>
      <c r="I23" s="35"/>
      <c r="J23" s="10"/>
    </row>
    <row r="24" spans="1:10" x14ac:dyDescent="0.3">
      <c r="F24" s="32"/>
      <c r="H24" s="5"/>
      <c r="I24" s="35"/>
      <c r="J24" s="10"/>
    </row>
    <row r="25" spans="1:10" x14ac:dyDescent="0.3">
      <c r="A25" s="23" t="s">
        <v>0</v>
      </c>
      <c r="B25" s="23">
        <v>1</v>
      </c>
      <c r="C25" s="23">
        <v>2</v>
      </c>
      <c r="D25" s="23">
        <v>3</v>
      </c>
      <c r="E25" s="23">
        <v>4</v>
      </c>
      <c r="F25" s="23">
        <v>5</v>
      </c>
      <c r="G25" s="23">
        <v>6</v>
      </c>
    </row>
    <row r="26" spans="1:10" ht="31.2" x14ac:dyDescent="0.3">
      <c r="A26" s="33" t="s">
        <v>1</v>
      </c>
      <c r="B26" s="34">
        <v>5</v>
      </c>
      <c r="C26" s="34">
        <v>6</v>
      </c>
      <c r="D26" s="34">
        <v>6</v>
      </c>
      <c r="E26" s="34">
        <v>6</v>
      </c>
      <c r="F26" s="34">
        <v>6</v>
      </c>
      <c r="G26" s="34">
        <v>5</v>
      </c>
    </row>
    <row r="29" spans="1:10" x14ac:dyDescent="0.3">
      <c r="A29" s="1" t="s">
        <v>53</v>
      </c>
    </row>
    <row r="30" spans="1:10" x14ac:dyDescent="0.3">
      <c r="A30" s="23" t="s">
        <v>49</v>
      </c>
      <c r="B30" s="23" t="s">
        <v>54</v>
      </c>
    </row>
    <row r="31" spans="1:10" x14ac:dyDescent="0.3">
      <c r="A31" s="34">
        <v>4</v>
      </c>
      <c r="B31" s="253">
        <v>8</v>
      </c>
    </row>
    <row r="32" spans="1:10" x14ac:dyDescent="0.3">
      <c r="A32" s="7">
        <v>5</v>
      </c>
      <c r="B32" s="254">
        <v>10</v>
      </c>
    </row>
    <row r="33" spans="1:8" x14ac:dyDescent="0.3">
      <c r="A33" s="7">
        <v>6</v>
      </c>
      <c r="B33" s="254">
        <v>12</v>
      </c>
    </row>
    <row r="34" spans="1:8" x14ac:dyDescent="0.3">
      <c r="A34" s="34">
        <v>7</v>
      </c>
      <c r="B34" s="253">
        <v>14</v>
      </c>
    </row>
    <row r="35" spans="1:8" x14ac:dyDescent="0.3">
      <c r="A35" s="7">
        <v>8</v>
      </c>
      <c r="B35" s="254">
        <v>16</v>
      </c>
    </row>
    <row r="36" spans="1:8" x14ac:dyDescent="0.3">
      <c r="A36" s="7" t="s">
        <v>98</v>
      </c>
      <c r="B36" s="254" t="s">
        <v>98</v>
      </c>
    </row>
    <row r="37" spans="1:8" x14ac:dyDescent="0.3">
      <c r="A37" s="203" t="s">
        <v>258</v>
      </c>
      <c r="B37" s="202"/>
    </row>
    <row r="40" spans="1:8" x14ac:dyDescent="0.3">
      <c r="A40" s="1" t="s">
        <v>259</v>
      </c>
      <c r="B40" s="1" t="str">
        <f>"All wins show for "&amp;A7&amp;" credit bet."</f>
        <v>All wins show for 100 credit bet.</v>
      </c>
    </row>
    <row r="41" spans="1:8" x14ac:dyDescent="0.3">
      <c r="A41" s="23" t="s">
        <v>52</v>
      </c>
      <c r="B41" s="23" t="s">
        <v>4</v>
      </c>
      <c r="C41" s="23">
        <v>3</v>
      </c>
      <c r="D41" s="23">
        <v>4</v>
      </c>
      <c r="E41" s="23">
        <v>5</v>
      </c>
      <c r="F41" s="23">
        <v>6</v>
      </c>
      <c r="G41" s="23" t="s">
        <v>46</v>
      </c>
      <c r="H41" s="16"/>
    </row>
    <row r="42" spans="1:8" x14ac:dyDescent="0.3">
      <c r="A42" s="34" t="s">
        <v>31</v>
      </c>
      <c r="B42" s="34" t="s">
        <v>48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16"/>
    </row>
    <row r="43" spans="1:8" x14ac:dyDescent="0.3">
      <c r="A43" s="7" t="s">
        <v>36</v>
      </c>
      <c r="B43" s="7" t="s">
        <v>51</v>
      </c>
      <c r="C43" s="37">
        <v>0</v>
      </c>
      <c r="D43" s="37">
        <v>0</v>
      </c>
      <c r="E43" s="37">
        <v>0</v>
      </c>
      <c r="F43" s="38">
        <v>0</v>
      </c>
      <c r="G43" s="38">
        <v>1</v>
      </c>
      <c r="H43" s="16"/>
    </row>
    <row r="44" spans="1:8" x14ac:dyDescent="0.3">
      <c r="A44" s="7" t="s">
        <v>32</v>
      </c>
      <c r="B44" s="7" t="s">
        <v>32</v>
      </c>
      <c r="C44" s="25">
        <v>150</v>
      </c>
      <c r="D44" s="25">
        <v>200</v>
      </c>
      <c r="E44" s="25">
        <v>250</v>
      </c>
      <c r="F44" s="25">
        <v>400</v>
      </c>
      <c r="G44" s="38">
        <v>2</v>
      </c>
      <c r="H44" s="16"/>
    </row>
    <row r="45" spans="1:8" x14ac:dyDescent="0.3">
      <c r="A45" s="7" t="s">
        <v>33</v>
      </c>
      <c r="B45" s="7" t="s">
        <v>33</v>
      </c>
      <c r="C45" s="25">
        <v>100</v>
      </c>
      <c r="D45" s="25">
        <v>125</v>
      </c>
      <c r="E45" s="25">
        <v>150</v>
      </c>
      <c r="F45" s="25">
        <v>250</v>
      </c>
      <c r="G45" s="37">
        <v>3</v>
      </c>
      <c r="H45" s="16"/>
    </row>
    <row r="46" spans="1:8" x14ac:dyDescent="0.3">
      <c r="A46" s="7" t="s">
        <v>34</v>
      </c>
      <c r="B46" s="7" t="s">
        <v>34</v>
      </c>
      <c r="C46" s="25">
        <v>50</v>
      </c>
      <c r="D46" s="25">
        <v>125</v>
      </c>
      <c r="E46" s="25">
        <v>150</v>
      </c>
      <c r="F46" s="25">
        <v>200</v>
      </c>
      <c r="G46" s="37">
        <v>4</v>
      </c>
      <c r="H46" s="16"/>
    </row>
    <row r="47" spans="1:8" x14ac:dyDescent="0.3">
      <c r="A47" s="7" t="s">
        <v>35</v>
      </c>
      <c r="B47" s="7" t="s">
        <v>35</v>
      </c>
      <c r="C47" s="25">
        <v>40</v>
      </c>
      <c r="D47" s="25">
        <v>75</v>
      </c>
      <c r="E47" s="25">
        <v>100</v>
      </c>
      <c r="F47" s="25">
        <v>150</v>
      </c>
      <c r="G47" s="37">
        <v>5</v>
      </c>
      <c r="H47" s="16"/>
    </row>
    <row r="48" spans="1:8" x14ac:dyDescent="0.3">
      <c r="A48" s="7" t="s">
        <v>75</v>
      </c>
      <c r="B48" s="7" t="s">
        <v>75</v>
      </c>
      <c r="C48" s="25">
        <v>30</v>
      </c>
      <c r="D48" s="25">
        <v>50</v>
      </c>
      <c r="E48" s="25">
        <v>60</v>
      </c>
      <c r="F48" s="25">
        <v>75</v>
      </c>
      <c r="G48" s="37">
        <v>6</v>
      </c>
      <c r="H48" s="16"/>
    </row>
    <row r="49" spans="1:9" x14ac:dyDescent="0.3">
      <c r="A49" s="7" t="s">
        <v>152</v>
      </c>
      <c r="B49" s="7" t="s">
        <v>152</v>
      </c>
      <c r="C49" s="25">
        <v>30</v>
      </c>
      <c r="D49" s="25">
        <v>50</v>
      </c>
      <c r="E49" s="25">
        <v>60</v>
      </c>
      <c r="F49" s="25">
        <v>75</v>
      </c>
      <c r="G49" s="37">
        <v>7</v>
      </c>
      <c r="H49" s="16"/>
    </row>
    <row r="50" spans="1:9" x14ac:dyDescent="0.3">
      <c r="A50" s="7" t="s">
        <v>25</v>
      </c>
      <c r="B50" s="7" t="s">
        <v>25</v>
      </c>
      <c r="C50" s="25">
        <v>20</v>
      </c>
      <c r="D50" s="25">
        <v>30</v>
      </c>
      <c r="E50" s="25">
        <v>40</v>
      </c>
      <c r="F50" s="25">
        <v>50</v>
      </c>
      <c r="G50" s="37">
        <v>8</v>
      </c>
      <c r="H50" s="16"/>
    </row>
    <row r="51" spans="1:9" x14ac:dyDescent="0.3">
      <c r="A51" s="7" t="s">
        <v>37</v>
      </c>
      <c r="B51" s="7" t="s">
        <v>37</v>
      </c>
      <c r="C51" s="25">
        <v>20</v>
      </c>
      <c r="D51" s="25">
        <v>30</v>
      </c>
      <c r="E51" s="25">
        <v>40</v>
      </c>
      <c r="F51" s="25">
        <v>50</v>
      </c>
      <c r="G51" s="37">
        <v>9</v>
      </c>
      <c r="H51" s="16"/>
    </row>
    <row r="52" spans="1:9" x14ac:dyDescent="0.3">
      <c r="A52" s="7" t="s">
        <v>38</v>
      </c>
      <c r="B52" s="7" t="s">
        <v>38</v>
      </c>
      <c r="C52" s="25">
        <v>5</v>
      </c>
      <c r="D52" s="25">
        <v>10</v>
      </c>
      <c r="E52" s="25">
        <v>15</v>
      </c>
      <c r="F52" s="25">
        <v>20</v>
      </c>
      <c r="G52" s="37">
        <v>10</v>
      </c>
      <c r="H52" s="16"/>
    </row>
    <row r="53" spans="1:9" x14ac:dyDescent="0.3">
      <c r="A53" s="7" t="s">
        <v>39</v>
      </c>
      <c r="B53" s="7" t="s">
        <v>39</v>
      </c>
      <c r="C53" s="25">
        <v>5</v>
      </c>
      <c r="D53" s="25">
        <v>10</v>
      </c>
      <c r="E53" s="25">
        <v>15</v>
      </c>
      <c r="F53" s="25">
        <v>20</v>
      </c>
      <c r="G53" s="37">
        <v>11</v>
      </c>
      <c r="H53" s="16"/>
    </row>
    <row r="54" spans="1:9" x14ac:dyDescent="0.3">
      <c r="A54" s="7" t="s">
        <v>40</v>
      </c>
      <c r="B54" s="7" t="s">
        <v>40</v>
      </c>
      <c r="C54" s="25">
        <v>5</v>
      </c>
      <c r="D54" s="25">
        <v>10</v>
      </c>
      <c r="E54" s="25">
        <v>15</v>
      </c>
      <c r="F54" s="25">
        <v>20</v>
      </c>
      <c r="G54" s="37">
        <v>12</v>
      </c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B83" s="2"/>
      <c r="C83" s="2"/>
      <c r="D83" s="2"/>
    </row>
  </sheetData>
  <mergeCells count="7">
    <mergeCell ref="B4:C4"/>
    <mergeCell ref="A17:A18"/>
    <mergeCell ref="C17:C18"/>
    <mergeCell ref="D17:D18"/>
    <mergeCell ref="A21:A22"/>
    <mergeCell ref="C21:C22"/>
    <mergeCell ref="D21:D22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/>
  <dimension ref="B1:G22"/>
  <sheetViews>
    <sheetView workbookViewId="0">
      <selection activeCell="M23" sqref="M23"/>
    </sheetView>
  </sheetViews>
  <sheetFormatPr defaultColWidth="6.77734375" defaultRowHeight="15.6" x14ac:dyDescent="0.3"/>
  <cols>
    <col min="1" max="2" width="6.77734375" style="16"/>
    <col min="3" max="3" width="9.88671875" style="16" bestFit="1" customWidth="1"/>
    <col min="4" max="5" width="6.77734375" style="16"/>
    <col min="6" max="6" width="9.44140625" style="16" bestFit="1" customWidth="1"/>
    <col min="7" max="16384" width="6.77734375" style="16"/>
  </cols>
  <sheetData>
    <row r="1" spans="2:7" ht="16.2" customHeight="1" x14ac:dyDescent="0.3"/>
    <row r="2" spans="2:7" ht="16.2" customHeight="1" x14ac:dyDescent="0.3">
      <c r="B2" s="17" t="s">
        <v>178</v>
      </c>
      <c r="C2" s="105"/>
      <c r="D2" s="105"/>
      <c r="E2" s="105"/>
      <c r="F2" s="105"/>
      <c r="G2" s="105"/>
    </row>
    <row r="3" spans="2:7" s="83" customFormat="1" ht="16.8" thickBot="1" x14ac:dyDescent="0.35">
      <c r="B3" s="17"/>
      <c r="C3" s="105"/>
      <c r="D3" s="105"/>
      <c r="E3" s="105"/>
      <c r="F3" s="105"/>
      <c r="G3" s="105"/>
    </row>
    <row r="4" spans="2:7" s="84" customFormat="1" ht="16.8" thickBot="1" x14ac:dyDescent="0.35">
      <c r="B4" s="17"/>
      <c r="C4" s="109" t="s">
        <v>172</v>
      </c>
      <c r="D4" s="106" t="s">
        <v>173</v>
      </c>
      <c r="E4" s="105"/>
      <c r="F4" s="138" t="s">
        <v>174</v>
      </c>
      <c r="G4" s="116" t="s">
        <v>173</v>
      </c>
    </row>
    <row r="5" spans="2:7" s="84" customFormat="1" ht="16.2" x14ac:dyDescent="0.3">
      <c r="B5" s="17"/>
      <c r="C5" s="110" t="s">
        <v>175</v>
      </c>
      <c r="D5" s="107">
        <v>1500</v>
      </c>
      <c r="E5" s="105"/>
      <c r="F5" s="142" t="s">
        <v>175</v>
      </c>
      <c r="G5" s="139">
        <v>800</v>
      </c>
    </row>
    <row r="6" spans="2:7" s="84" customFormat="1" ht="16.2" x14ac:dyDescent="0.3">
      <c r="B6" s="17"/>
      <c r="C6" s="111" t="s">
        <v>166</v>
      </c>
      <c r="D6" s="108">
        <v>0</v>
      </c>
      <c r="E6" s="105"/>
      <c r="F6" s="143" t="s">
        <v>166</v>
      </c>
      <c r="G6" s="140">
        <v>300</v>
      </c>
    </row>
    <row r="7" spans="2:7" ht="16.8" thickBot="1" x14ac:dyDescent="0.35">
      <c r="F7" s="144" t="s">
        <v>194</v>
      </c>
      <c r="G7" s="141">
        <v>400</v>
      </c>
    </row>
    <row r="8" spans="2:7" ht="16.2" x14ac:dyDescent="0.3">
      <c r="F8" s="136"/>
      <c r="G8" s="137"/>
    </row>
    <row r="9" spans="2:7" ht="16.2" x14ac:dyDescent="0.3">
      <c r="B9" s="16" t="s">
        <v>179</v>
      </c>
    </row>
    <row r="11" spans="2:7" ht="16.2" x14ac:dyDescent="0.3">
      <c r="B11" s="16" t="s">
        <v>182</v>
      </c>
    </row>
    <row r="13" spans="2:7" ht="16.2" x14ac:dyDescent="0.3">
      <c r="B13" s="16" t="s">
        <v>183</v>
      </c>
    </row>
    <row r="15" spans="2:7" ht="16.2" x14ac:dyDescent="0.3">
      <c r="B15" s="16" t="s">
        <v>185</v>
      </c>
    </row>
    <row r="16" spans="2:7" ht="16.2" thickBot="1" x14ac:dyDescent="0.35"/>
    <row r="17" spans="2:4" ht="16.8" thickBot="1" x14ac:dyDescent="0.35">
      <c r="C17" s="112" t="s">
        <v>184</v>
      </c>
      <c r="D17" s="106" t="s">
        <v>173</v>
      </c>
    </row>
    <row r="18" spans="2:4" ht="16.2" x14ac:dyDescent="0.3">
      <c r="C18" s="113" t="s">
        <v>175</v>
      </c>
      <c r="D18" s="107">
        <v>400</v>
      </c>
    </row>
    <row r="19" spans="2:4" ht="16.2" x14ac:dyDescent="0.3">
      <c r="C19" s="114" t="s">
        <v>166</v>
      </c>
      <c r="D19" s="108">
        <v>0</v>
      </c>
    </row>
    <row r="20" spans="2:4" ht="16.2" x14ac:dyDescent="0.3">
      <c r="C20" s="114" t="s">
        <v>194</v>
      </c>
      <c r="D20" s="108">
        <v>800</v>
      </c>
    </row>
    <row r="22" spans="2:4" ht="16.2" x14ac:dyDescent="0.3">
      <c r="B22" s="16" t="s">
        <v>186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dimension ref="A1"/>
  <sheetViews>
    <sheetView workbookViewId="0">
      <selection activeCell="O30" sqref="O30"/>
    </sheetView>
  </sheetViews>
  <sheetFormatPr defaultRowHeight="16.2" x14ac:dyDescent="0.3"/>
  <sheetData/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/>
  <dimension ref="A2:G68"/>
  <sheetViews>
    <sheetView workbookViewId="0">
      <selection activeCell="O30" sqref="O30"/>
    </sheetView>
  </sheetViews>
  <sheetFormatPr defaultColWidth="8.88671875" defaultRowHeight="16.2" x14ac:dyDescent="0.3"/>
  <cols>
    <col min="1" max="1" width="8.88671875" style="16"/>
    <col min="2" max="2" width="27.109375" style="39" bestFit="1" customWidth="1"/>
    <col min="3" max="7" width="19.44140625" style="39" bestFit="1" customWidth="1"/>
  </cols>
  <sheetData>
    <row r="2" spans="2:7" x14ac:dyDescent="0.3">
      <c r="B2" s="39" t="s">
        <v>25</v>
      </c>
      <c r="C2" s="39" t="s">
        <v>262</v>
      </c>
      <c r="D2" s="39" t="s">
        <v>262</v>
      </c>
      <c r="E2" s="39" t="s">
        <v>263</v>
      </c>
      <c r="F2" s="39" t="s">
        <v>263</v>
      </c>
      <c r="G2" s="39" t="s">
        <v>263</v>
      </c>
    </row>
    <row r="3" spans="2:7" x14ac:dyDescent="0.3">
      <c r="B3" s="23" t="s">
        <v>264</v>
      </c>
      <c r="C3" s="23" t="s">
        <v>265</v>
      </c>
      <c r="D3" s="23" t="s">
        <v>266</v>
      </c>
      <c r="E3" s="23" t="s">
        <v>265</v>
      </c>
      <c r="F3" s="23" t="s">
        <v>266</v>
      </c>
      <c r="G3" s="23" t="s">
        <v>267</v>
      </c>
    </row>
    <row r="4" spans="2:7" x14ac:dyDescent="0.3">
      <c r="B4" s="42" t="s">
        <v>268</v>
      </c>
      <c r="C4" s="204"/>
      <c r="D4" s="204"/>
      <c r="E4" s="93"/>
      <c r="F4" s="93"/>
      <c r="G4" s="93"/>
    </row>
    <row r="5" spans="2:7" x14ac:dyDescent="0.3">
      <c r="B5" s="42" t="s">
        <v>269</v>
      </c>
      <c r="C5" s="204"/>
      <c r="D5" s="204"/>
      <c r="E5" s="93"/>
      <c r="F5" s="93"/>
      <c r="G5" s="93"/>
    </row>
    <row r="6" spans="2:7" x14ac:dyDescent="0.3">
      <c r="B6" s="42" t="s">
        <v>270</v>
      </c>
      <c r="C6" s="204"/>
      <c r="D6" s="204"/>
      <c r="E6" s="93"/>
      <c r="F6" s="93"/>
      <c r="G6" s="93"/>
    </row>
    <row r="7" spans="2:7" x14ac:dyDescent="0.3">
      <c r="B7" s="42" t="s">
        <v>271</v>
      </c>
      <c r="C7" s="204"/>
      <c r="D7" s="204"/>
      <c r="E7" s="93"/>
      <c r="F7" s="93"/>
      <c r="G7" s="93"/>
    </row>
    <row r="8" spans="2:7" x14ac:dyDescent="0.3">
      <c r="B8" s="42" t="s">
        <v>272</v>
      </c>
      <c r="C8" s="204"/>
      <c r="D8" s="204"/>
      <c r="E8" s="93"/>
      <c r="F8" s="93"/>
      <c r="G8" s="93"/>
    </row>
    <row r="9" spans="2:7" x14ac:dyDescent="0.3">
      <c r="B9" s="42" t="s">
        <v>273</v>
      </c>
      <c r="C9" s="204"/>
      <c r="D9" s="204"/>
      <c r="E9" s="93"/>
      <c r="F9" s="93"/>
      <c r="G9" s="93"/>
    </row>
    <row r="10" spans="2:7" x14ac:dyDescent="0.3">
      <c r="B10" s="42" t="s">
        <v>274</v>
      </c>
      <c r="C10" s="204"/>
      <c r="D10" s="204"/>
      <c r="E10" s="93"/>
      <c r="F10" s="93"/>
      <c r="G10" s="93"/>
    </row>
    <row r="11" spans="2:7" x14ac:dyDescent="0.3">
      <c r="B11" s="42" t="s">
        <v>275</v>
      </c>
      <c r="C11" s="204"/>
      <c r="D11" s="204"/>
      <c r="E11" s="93"/>
      <c r="F11" s="93"/>
      <c r="G11" s="93"/>
    </row>
    <row r="12" spans="2:7" x14ac:dyDescent="0.3">
      <c r="B12" s="42" t="s">
        <v>276</v>
      </c>
      <c r="C12" s="204"/>
      <c r="D12" s="204"/>
      <c r="E12" s="93"/>
      <c r="F12" s="93"/>
      <c r="G12" s="93"/>
    </row>
    <row r="13" spans="2:7" x14ac:dyDescent="0.3">
      <c r="B13" s="42" t="s">
        <v>277</v>
      </c>
      <c r="C13" s="204"/>
      <c r="D13" s="204"/>
      <c r="E13" s="93"/>
      <c r="F13" s="93"/>
      <c r="G13" s="93"/>
    </row>
    <row r="14" spans="2:7" x14ac:dyDescent="0.3">
      <c r="B14" s="42" t="s">
        <v>278</v>
      </c>
      <c r="C14" s="204"/>
      <c r="D14" s="204"/>
      <c r="E14" s="93"/>
      <c r="F14" s="93"/>
      <c r="G14" s="93"/>
    </row>
    <row r="15" spans="2:7" x14ac:dyDescent="0.3">
      <c r="B15" s="42" t="s">
        <v>279</v>
      </c>
      <c r="C15" s="204"/>
      <c r="D15" s="204"/>
      <c r="E15" s="93"/>
      <c r="F15" s="93"/>
      <c r="G15" s="93"/>
    </row>
    <row r="16" spans="2:7" x14ac:dyDescent="0.3">
      <c r="B16" s="42" t="s">
        <v>280</v>
      </c>
      <c r="C16" s="204"/>
      <c r="D16" s="204"/>
      <c r="E16" s="93"/>
      <c r="F16" s="93"/>
      <c r="G16" s="93"/>
    </row>
    <row r="17" spans="2:7" x14ac:dyDescent="0.3">
      <c r="B17" s="42" t="s">
        <v>281</v>
      </c>
      <c r="C17" s="204"/>
      <c r="D17" s="204"/>
      <c r="E17" s="93"/>
      <c r="F17" s="93"/>
      <c r="G17" s="93"/>
    </row>
    <row r="18" spans="2:7" x14ac:dyDescent="0.3">
      <c r="B18" s="42" t="s">
        <v>282</v>
      </c>
      <c r="C18" s="204"/>
      <c r="D18" s="204"/>
      <c r="E18" s="93"/>
      <c r="F18" s="93"/>
      <c r="G18" s="93"/>
    </row>
    <row r="19" spans="2:7" x14ac:dyDescent="0.3">
      <c r="B19" s="42" t="s">
        <v>283</v>
      </c>
      <c r="C19" s="204"/>
      <c r="D19" s="204"/>
      <c r="E19" s="93"/>
      <c r="F19" s="93"/>
      <c r="G19" s="93"/>
    </row>
    <row r="20" spans="2:7" x14ac:dyDescent="0.3">
      <c r="B20" s="42" t="s">
        <v>284</v>
      </c>
      <c r="C20" s="204"/>
      <c r="D20" s="204"/>
      <c r="E20" s="93"/>
      <c r="F20" s="93"/>
      <c r="G20" s="93"/>
    </row>
    <row r="21" spans="2:7" x14ac:dyDescent="0.3">
      <c r="B21" s="42" t="s">
        <v>285</v>
      </c>
      <c r="C21" s="204"/>
      <c r="D21" s="204"/>
      <c r="E21" s="93"/>
      <c r="F21" s="93"/>
      <c r="G21" s="93"/>
    </row>
    <row r="22" spans="2:7" x14ac:dyDescent="0.3">
      <c r="B22" s="42" t="s">
        <v>286</v>
      </c>
      <c r="C22" s="204"/>
      <c r="D22" s="204"/>
      <c r="E22" s="93"/>
      <c r="F22" s="93"/>
      <c r="G22" s="93"/>
    </row>
    <row r="23" spans="2:7" x14ac:dyDescent="0.3">
      <c r="B23" s="42" t="s">
        <v>287</v>
      </c>
      <c r="C23" s="204"/>
      <c r="D23" s="204"/>
      <c r="E23" s="93"/>
      <c r="F23" s="93"/>
      <c r="G23" s="93"/>
    </row>
    <row r="24" spans="2:7" x14ac:dyDescent="0.3">
      <c r="B24" s="42" t="s">
        <v>288</v>
      </c>
      <c r="C24" s="204"/>
      <c r="D24" s="204"/>
      <c r="E24" s="93"/>
      <c r="F24" s="93"/>
      <c r="G24" s="93"/>
    </row>
    <row r="25" spans="2:7" x14ac:dyDescent="0.3">
      <c r="B25" s="42" t="s">
        <v>289</v>
      </c>
      <c r="C25" s="204"/>
      <c r="D25" s="204"/>
      <c r="E25" s="93"/>
      <c r="F25" s="93"/>
      <c r="G25" s="93"/>
    </row>
    <row r="26" spans="2:7" x14ac:dyDescent="0.3">
      <c r="B26" s="42" t="s">
        <v>290</v>
      </c>
      <c r="C26" s="204"/>
      <c r="D26" s="204"/>
      <c r="E26" s="93"/>
      <c r="F26" s="93"/>
      <c r="G26" s="93"/>
    </row>
    <row r="27" spans="2:7" x14ac:dyDescent="0.3">
      <c r="B27" s="42" t="s">
        <v>291</v>
      </c>
      <c r="C27" s="204"/>
      <c r="D27" s="204"/>
      <c r="E27" s="93"/>
      <c r="F27" s="93"/>
      <c r="G27" s="93"/>
    </row>
    <row r="28" spans="2:7" x14ac:dyDescent="0.3">
      <c r="B28" s="42" t="s">
        <v>292</v>
      </c>
      <c r="C28" s="204"/>
      <c r="D28" s="204"/>
      <c r="E28" s="93"/>
      <c r="F28" s="93"/>
      <c r="G28" s="93"/>
    </row>
    <row r="29" spans="2:7" x14ac:dyDescent="0.3">
      <c r="B29" s="42" t="s">
        <v>293</v>
      </c>
      <c r="C29" s="204"/>
      <c r="D29" s="204"/>
      <c r="E29" s="93"/>
      <c r="F29" s="93"/>
      <c r="G29" s="93"/>
    </row>
    <row r="30" spans="2:7" x14ac:dyDescent="0.3">
      <c r="B30" s="42" t="s">
        <v>294</v>
      </c>
      <c r="C30" s="204"/>
      <c r="D30" s="204"/>
      <c r="E30" s="93"/>
      <c r="F30" s="93"/>
      <c r="G30" s="93"/>
    </row>
    <row r="31" spans="2:7" x14ac:dyDescent="0.3">
      <c r="B31" s="42" t="s">
        <v>295</v>
      </c>
      <c r="C31" s="204"/>
      <c r="D31" s="204"/>
      <c r="E31" s="93"/>
      <c r="F31" s="93"/>
      <c r="G31" s="93"/>
    </row>
    <row r="32" spans="2:7" x14ac:dyDescent="0.3">
      <c r="B32" s="42" t="s">
        <v>296</v>
      </c>
      <c r="C32" s="204"/>
      <c r="D32" s="204"/>
      <c r="E32" s="93"/>
      <c r="F32" s="93"/>
      <c r="G32" s="93"/>
    </row>
    <row r="33" spans="2:7" x14ac:dyDescent="0.3">
      <c r="B33" s="42" t="s">
        <v>297</v>
      </c>
      <c r="C33" s="204"/>
      <c r="D33" s="204"/>
      <c r="E33" s="93"/>
      <c r="F33" s="93"/>
      <c r="G33" s="93"/>
    </row>
    <row r="34" spans="2:7" x14ac:dyDescent="0.3">
      <c r="B34" s="42" t="s">
        <v>298</v>
      </c>
      <c r="C34" s="204"/>
      <c r="D34" s="204"/>
      <c r="E34" s="93"/>
      <c r="F34" s="93"/>
      <c r="G34" s="93"/>
    </row>
    <row r="35" spans="2:7" x14ac:dyDescent="0.3">
      <c r="B35" s="42" t="s">
        <v>299</v>
      </c>
      <c r="C35" s="204"/>
      <c r="D35" s="204"/>
      <c r="E35" s="93"/>
      <c r="F35" s="93"/>
      <c r="G35" s="93"/>
    </row>
    <row r="36" spans="2:7" x14ac:dyDescent="0.3">
      <c r="B36" s="42" t="s">
        <v>300</v>
      </c>
      <c r="C36" s="204"/>
      <c r="D36" s="204"/>
      <c r="E36" s="93"/>
      <c r="F36" s="93"/>
      <c r="G36" s="93"/>
    </row>
    <row r="37" spans="2:7" x14ac:dyDescent="0.3">
      <c r="B37" s="42" t="s">
        <v>301</v>
      </c>
      <c r="C37" s="204"/>
      <c r="D37" s="204"/>
      <c r="E37" s="93"/>
      <c r="F37" s="93"/>
      <c r="G37" s="93"/>
    </row>
    <row r="38" spans="2:7" x14ac:dyDescent="0.3">
      <c r="B38" s="42" t="s">
        <v>302</v>
      </c>
      <c r="C38" s="204"/>
      <c r="D38" s="204"/>
      <c r="E38" s="93"/>
      <c r="F38" s="93"/>
      <c r="G38" s="93"/>
    </row>
    <row r="39" spans="2:7" x14ac:dyDescent="0.3">
      <c r="B39" s="42" t="s">
        <v>303</v>
      </c>
      <c r="C39" s="204"/>
      <c r="D39" s="204"/>
      <c r="E39" s="93"/>
      <c r="F39" s="93"/>
      <c r="G39" s="93"/>
    </row>
    <row r="40" spans="2:7" x14ac:dyDescent="0.3">
      <c r="B40" s="42" t="s">
        <v>304</v>
      </c>
      <c r="C40" s="204"/>
      <c r="D40" s="204"/>
      <c r="E40" s="93"/>
      <c r="F40" s="93"/>
      <c r="G40" s="93"/>
    </row>
    <row r="41" spans="2:7" x14ac:dyDescent="0.3">
      <c r="B41" s="42" t="s">
        <v>305</v>
      </c>
      <c r="C41" s="204"/>
      <c r="D41" s="204"/>
      <c r="E41" s="93"/>
      <c r="F41" s="93"/>
      <c r="G41" s="93"/>
    </row>
    <row r="42" spans="2:7" x14ac:dyDescent="0.3">
      <c r="B42" s="42" t="s">
        <v>306</v>
      </c>
      <c r="C42" s="204"/>
      <c r="D42" s="204"/>
      <c r="E42" s="93"/>
      <c r="F42" s="93"/>
      <c r="G42" s="93"/>
    </row>
    <row r="43" spans="2:7" x14ac:dyDescent="0.3">
      <c r="B43" s="42" t="s">
        <v>307</v>
      </c>
      <c r="C43" s="204"/>
      <c r="D43" s="204"/>
      <c r="E43" s="93"/>
      <c r="F43" s="93"/>
      <c r="G43" s="93"/>
    </row>
    <row r="44" spans="2:7" x14ac:dyDescent="0.3">
      <c r="B44" s="42" t="s">
        <v>308</v>
      </c>
      <c r="C44" s="204"/>
      <c r="D44" s="204"/>
      <c r="E44" s="93"/>
      <c r="F44" s="93"/>
      <c r="G44" s="93"/>
    </row>
    <row r="45" spans="2:7" x14ac:dyDescent="0.3">
      <c r="B45" s="42" t="s">
        <v>309</v>
      </c>
      <c r="C45" s="204"/>
      <c r="D45" s="204"/>
      <c r="E45" s="93"/>
      <c r="F45" s="93"/>
      <c r="G45" s="93"/>
    </row>
    <row r="46" spans="2:7" x14ac:dyDescent="0.3">
      <c r="B46" s="42" t="s">
        <v>310</v>
      </c>
      <c r="C46" s="204"/>
      <c r="D46" s="204"/>
      <c r="E46" s="93"/>
      <c r="F46" s="93"/>
      <c r="G46" s="93"/>
    </row>
    <row r="47" spans="2:7" x14ac:dyDescent="0.3">
      <c r="B47" s="42" t="s">
        <v>311</v>
      </c>
      <c r="C47" s="204"/>
      <c r="D47" s="204"/>
      <c r="E47" s="93"/>
      <c r="F47" s="93"/>
      <c r="G47" s="93"/>
    </row>
    <row r="48" spans="2:7" x14ac:dyDescent="0.3">
      <c r="B48" s="42" t="s">
        <v>312</v>
      </c>
      <c r="C48" s="204"/>
      <c r="D48" s="204"/>
      <c r="E48" s="93"/>
      <c r="F48" s="93"/>
      <c r="G48" s="93"/>
    </row>
    <row r="49" spans="2:7" x14ac:dyDescent="0.3">
      <c r="B49" s="42" t="s">
        <v>313</v>
      </c>
      <c r="C49" s="204"/>
      <c r="D49" s="204"/>
      <c r="E49" s="93"/>
      <c r="F49" s="93"/>
      <c r="G49" s="93"/>
    </row>
    <row r="50" spans="2:7" x14ac:dyDescent="0.3">
      <c r="B50" s="42" t="s">
        <v>314</v>
      </c>
      <c r="C50" s="204"/>
      <c r="D50" s="204"/>
      <c r="E50" s="93"/>
      <c r="F50" s="93"/>
      <c r="G50" s="93"/>
    </row>
    <row r="51" spans="2:7" x14ac:dyDescent="0.3">
      <c r="B51" s="42" t="s">
        <v>315</v>
      </c>
      <c r="C51" s="204"/>
      <c r="D51" s="204"/>
      <c r="E51" s="93"/>
      <c r="F51" s="93"/>
      <c r="G51" s="93"/>
    </row>
    <row r="52" spans="2:7" x14ac:dyDescent="0.3">
      <c r="B52" s="42" t="s">
        <v>316</v>
      </c>
      <c r="C52" s="204"/>
      <c r="D52" s="204"/>
      <c r="E52" s="93"/>
      <c r="F52" s="93"/>
      <c r="G52" s="93"/>
    </row>
    <row r="53" spans="2:7" x14ac:dyDescent="0.3">
      <c r="B53" s="42" t="s">
        <v>317</v>
      </c>
      <c r="C53" s="204"/>
      <c r="D53" s="204"/>
      <c r="E53" s="93"/>
      <c r="F53" s="93"/>
      <c r="G53" s="93"/>
    </row>
    <row r="54" spans="2:7" x14ac:dyDescent="0.3">
      <c r="B54" s="42" t="s">
        <v>318</v>
      </c>
      <c r="C54" s="204"/>
      <c r="D54" s="204"/>
      <c r="E54" s="93"/>
      <c r="F54" s="93"/>
      <c r="G54" s="93"/>
    </row>
    <row r="55" spans="2:7" x14ac:dyDescent="0.3">
      <c r="B55" s="42" t="s">
        <v>319</v>
      </c>
      <c r="C55" s="204"/>
      <c r="D55" s="204"/>
      <c r="E55" s="93"/>
      <c r="F55" s="93"/>
      <c r="G55" s="93"/>
    </row>
    <row r="56" spans="2:7" x14ac:dyDescent="0.3">
      <c r="B56" s="42" t="s">
        <v>320</v>
      </c>
      <c r="C56" s="204"/>
      <c r="D56" s="204"/>
      <c r="E56" s="93"/>
      <c r="F56" s="93"/>
      <c r="G56" s="93"/>
    </row>
    <row r="57" spans="2:7" x14ac:dyDescent="0.3">
      <c r="B57" s="42" t="s">
        <v>321</v>
      </c>
      <c r="C57" s="204"/>
      <c r="D57" s="204"/>
      <c r="E57" s="93"/>
      <c r="F57" s="93"/>
      <c r="G57" s="93"/>
    </row>
    <row r="58" spans="2:7" x14ac:dyDescent="0.3">
      <c r="B58" s="42" t="s">
        <v>322</v>
      </c>
      <c r="C58" s="204"/>
      <c r="D58" s="204"/>
      <c r="E58" s="93"/>
      <c r="F58" s="93"/>
      <c r="G58" s="93"/>
    </row>
    <row r="59" spans="2:7" x14ac:dyDescent="0.3">
      <c r="B59" s="42" t="s">
        <v>323</v>
      </c>
      <c r="C59" s="204"/>
      <c r="D59" s="204"/>
      <c r="E59" s="93"/>
      <c r="F59" s="93"/>
      <c r="G59" s="93"/>
    </row>
    <row r="60" spans="2:7" x14ac:dyDescent="0.3">
      <c r="B60" s="42" t="s">
        <v>324</v>
      </c>
      <c r="C60" s="204"/>
      <c r="D60" s="204"/>
      <c r="E60" s="93"/>
      <c r="F60" s="93"/>
      <c r="G60" s="93"/>
    </row>
    <row r="61" spans="2:7" x14ac:dyDescent="0.3">
      <c r="B61" s="42" t="s">
        <v>325</v>
      </c>
      <c r="C61" s="204"/>
      <c r="D61" s="204"/>
      <c r="E61" s="93"/>
      <c r="F61" s="93"/>
      <c r="G61" s="93"/>
    </row>
    <row r="62" spans="2:7" x14ac:dyDescent="0.3">
      <c r="B62" s="42" t="s">
        <v>326</v>
      </c>
      <c r="C62" s="204"/>
      <c r="D62" s="204"/>
      <c r="E62" s="93"/>
      <c r="F62" s="93"/>
      <c r="G62" s="93"/>
    </row>
    <row r="63" spans="2:7" x14ac:dyDescent="0.3">
      <c r="B63" s="42" t="s">
        <v>327</v>
      </c>
      <c r="C63" s="204"/>
      <c r="D63" s="204"/>
      <c r="E63" s="93"/>
      <c r="F63" s="93"/>
      <c r="G63" s="93"/>
    </row>
    <row r="64" spans="2:7" x14ac:dyDescent="0.3">
      <c r="B64" s="42" t="s">
        <v>328</v>
      </c>
      <c r="C64" s="204"/>
      <c r="D64" s="204"/>
      <c r="E64" s="93"/>
      <c r="F64" s="93"/>
      <c r="G64" s="93"/>
    </row>
    <row r="65" spans="2:7" x14ac:dyDescent="0.3">
      <c r="B65" s="42" t="s">
        <v>329</v>
      </c>
      <c r="C65" s="204"/>
      <c r="D65" s="204"/>
      <c r="E65" s="93"/>
      <c r="F65" s="93"/>
      <c r="G65" s="93"/>
    </row>
    <row r="66" spans="2:7" x14ac:dyDescent="0.3">
      <c r="B66" s="42" t="s">
        <v>330</v>
      </c>
      <c r="C66" s="204"/>
      <c r="D66" s="204"/>
      <c r="E66" s="93"/>
      <c r="F66" s="93"/>
      <c r="G66" s="93"/>
    </row>
    <row r="67" spans="2:7" x14ac:dyDescent="0.3">
      <c r="B67" s="42" t="s">
        <v>331</v>
      </c>
      <c r="C67" s="204"/>
      <c r="D67" s="204"/>
      <c r="E67" s="93"/>
      <c r="F67" s="93"/>
      <c r="G67" s="93"/>
    </row>
    <row r="68" spans="2:7" x14ac:dyDescent="0.3">
      <c r="B68" s="42" t="s">
        <v>332</v>
      </c>
      <c r="C68" s="204"/>
      <c r="D68" s="94"/>
      <c r="E68" s="93"/>
      <c r="F68" s="94"/>
      <c r="G68" s="9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47F1-8AE5-48AA-87EA-2C4ABA65061C}">
  <dimension ref="A1:BN253"/>
  <sheetViews>
    <sheetView workbookViewId="0">
      <selection activeCell="O30" sqref="O30"/>
    </sheetView>
  </sheetViews>
  <sheetFormatPr defaultColWidth="8.88671875" defaultRowHeight="16.2" x14ac:dyDescent="0.3"/>
  <cols>
    <col min="1" max="1" width="8.88671875" style="174"/>
    <col min="2" max="2" width="11.88671875" style="174" bestFit="1" customWidth="1"/>
    <col min="3" max="3" width="10.44140625" style="174" bestFit="1" customWidth="1"/>
    <col min="4" max="4" width="11.88671875" style="174" bestFit="1" customWidth="1"/>
    <col min="5" max="5" width="8.88671875" style="174"/>
    <col min="6" max="7" width="16.109375" style="174" bestFit="1" customWidth="1"/>
    <col min="8" max="8" width="8.88671875" style="174"/>
    <col min="9" max="9" width="9.21875" style="174" bestFit="1" customWidth="1"/>
    <col min="10" max="10" width="10.44140625" style="174" bestFit="1" customWidth="1"/>
    <col min="11" max="11" width="8.88671875" style="174"/>
    <col min="12" max="12" width="18.88671875" style="174" bestFit="1" customWidth="1"/>
    <col min="13" max="13" width="16.109375" style="174" bestFit="1" customWidth="1"/>
    <col min="14" max="15" width="8.88671875" style="174"/>
    <col min="16" max="16" width="20.44140625" style="174" bestFit="1" customWidth="1"/>
    <col min="17" max="17" width="9.77734375" style="174" bestFit="1" customWidth="1"/>
    <col min="18" max="18" width="9.21875" style="174" bestFit="1" customWidth="1"/>
    <col min="19" max="19" width="27.44140625" style="174" bestFit="1" customWidth="1"/>
    <col min="20" max="20" width="13.21875" style="174" bestFit="1" customWidth="1"/>
    <col min="21" max="22" width="13.21875" style="174" customWidth="1"/>
    <col min="23" max="23" width="27.44140625" style="174" bestFit="1" customWidth="1"/>
    <col min="24" max="24" width="13.21875" style="174" bestFit="1" customWidth="1"/>
    <col min="25" max="26" width="13.21875" style="174" customWidth="1"/>
    <col min="27" max="28" width="14.6640625" style="174" bestFit="1" customWidth="1"/>
    <col min="29" max="30" width="14.6640625" style="174" customWidth="1"/>
    <col min="31" max="32" width="14.6640625" style="174" bestFit="1" customWidth="1"/>
    <col min="33" max="34" width="14.6640625" style="174" customWidth="1"/>
    <col min="35" max="37" width="17.77734375" style="174" bestFit="1" customWidth="1"/>
    <col min="38" max="38" width="17.77734375" style="174" customWidth="1"/>
    <col min="39" max="41" width="17.77734375" style="174" bestFit="1" customWidth="1"/>
    <col min="42" max="42" width="17.77734375" style="174" customWidth="1"/>
    <col min="43" max="45" width="14.6640625" style="174" bestFit="1" customWidth="1"/>
    <col min="46" max="46" width="14.6640625" style="174" customWidth="1"/>
    <col min="47" max="49" width="14.6640625" style="174" bestFit="1" customWidth="1"/>
    <col min="50" max="50" width="14.6640625" style="174" customWidth="1"/>
    <col min="51" max="51" width="21.6640625" style="174" bestFit="1" customWidth="1"/>
    <col min="52" max="52" width="13.21875" style="174" bestFit="1" customWidth="1"/>
    <col min="53" max="53" width="21.6640625" style="174" bestFit="1" customWidth="1"/>
    <col min="54" max="54" width="27.44140625" style="174" bestFit="1" customWidth="1"/>
    <col min="55" max="55" width="21.6640625" style="174" bestFit="1" customWidth="1"/>
    <col min="56" max="56" width="11.88671875" style="174" bestFit="1" customWidth="1"/>
    <col min="57" max="57" width="21.6640625" style="174" bestFit="1" customWidth="1"/>
    <col min="58" max="58" width="11.88671875" style="174" bestFit="1" customWidth="1"/>
    <col min="59" max="59" width="21.6640625" style="174" bestFit="1" customWidth="1"/>
    <col min="60" max="60" width="13.21875" style="174" bestFit="1" customWidth="1"/>
    <col min="61" max="61" width="21.6640625" style="174" bestFit="1" customWidth="1"/>
    <col min="62" max="62" width="27.44140625" style="174" bestFit="1" customWidth="1"/>
    <col min="63" max="63" width="21.6640625" style="174" bestFit="1" customWidth="1"/>
    <col min="64" max="64" width="11.88671875" style="174" bestFit="1" customWidth="1"/>
    <col min="65" max="65" width="21.6640625" style="174" bestFit="1" customWidth="1"/>
    <col min="66" max="66" width="11.88671875" style="174" bestFit="1" customWidth="1"/>
    <col min="67" max="16384" width="8.88671875" style="16"/>
  </cols>
  <sheetData>
    <row r="1" spans="1:66" ht="15.6" x14ac:dyDescent="0.3">
      <c r="A1" s="146"/>
      <c r="B1" s="146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6"/>
      <c r="O1" s="146"/>
      <c r="P1" s="148"/>
      <c r="Q1" s="146"/>
      <c r="R1" s="149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</row>
    <row r="2" spans="1:66" x14ac:dyDescent="0.3">
      <c r="A2" s="146"/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6"/>
      <c r="O2" s="146"/>
      <c r="P2" s="148"/>
      <c r="Q2" s="146"/>
      <c r="R2" s="149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50" t="s">
        <v>153</v>
      </c>
      <c r="BA2" s="146"/>
      <c r="BB2" s="150" t="s">
        <v>154</v>
      </c>
      <c r="BC2" s="146"/>
      <c r="BD2" s="150" t="s">
        <v>198</v>
      </c>
      <c r="BE2" s="146"/>
      <c r="BF2" s="150" t="s">
        <v>198</v>
      </c>
      <c r="BG2" s="146"/>
      <c r="BH2" s="150" t="s">
        <v>198</v>
      </c>
      <c r="BI2" s="146"/>
      <c r="BJ2" s="150" t="s">
        <v>198</v>
      </c>
      <c r="BK2" s="146"/>
      <c r="BL2" s="150" t="s">
        <v>198</v>
      </c>
      <c r="BM2" s="146"/>
      <c r="BN2" s="150" t="s">
        <v>198</v>
      </c>
    </row>
    <row r="3" spans="1:66" s="43" customFormat="1" x14ac:dyDescent="0.3">
      <c r="A3" s="224" t="s">
        <v>57</v>
      </c>
      <c r="B3" s="224" t="s">
        <v>58</v>
      </c>
      <c r="C3" s="225" t="s">
        <v>59</v>
      </c>
      <c r="D3" s="226"/>
      <c r="E3" s="227"/>
      <c r="F3" s="225" t="s">
        <v>60</v>
      </c>
      <c r="G3" s="226"/>
      <c r="H3" s="227"/>
      <c r="I3" s="225" t="s">
        <v>61</v>
      </c>
      <c r="J3" s="226"/>
      <c r="K3" s="227"/>
      <c r="L3" s="225" t="s">
        <v>62</v>
      </c>
      <c r="M3" s="226"/>
      <c r="N3" s="227"/>
      <c r="O3" s="151"/>
      <c r="P3" s="224" t="s">
        <v>63</v>
      </c>
      <c r="Q3" s="225" t="s">
        <v>64</v>
      </c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7"/>
      <c r="AI3" s="228" t="s">
        <v>65</v>
      </c>
      <c r="AJ3" s="229"/>
      <c r="AK3" s="229"/>
      <c r="AL3" s="229"/>
      <c r="AM3" s="229"/>
      <c r="AN3" s="229"/>
      <c r="AO3" s="229"/>
      <c r="AP3" s="230"/>
      <c r="AQ3" s="221">
        <f>10^9</f>
        <v>1000000000</v>
      </c>
      <c r="AR3" s="222"/>
      <c r="AS3" s="222"/>
      <c r="AT3" s="222"/>
      <c r="AU3" s="222"/>
      <c r="AV3" s="222"/>
      <c r="AW3" s="222"/>
      <c r="AX3" s="223"/>
      <c r="AY3" s="152" t="s">
        <v>118</v>
      </c>
      <c r="AZ3" s="153">
        <f>SUM(AY5:AY62)+AZ62*(SUM(AY67:AY125))</f>
        <v>0.93001828891702465</v>
      </c>
      <c r="BA3" s="152" t="s">
        <v>119</v>
      </c>
      <c r="BB3" s="153">
        <f>SUM(BA5:BA62)+BB62*(SUM(BA67:BA125))</f>
        <v>0.9200049096965135</v>
      </c>
      <c r="BC3" s="152" t="s">
        <v>120</v>
      </c>
      <c r="BD3" s="153" t="e">
        <f>SUM(BC5:BC62)+BD62*(SUM(BC67:BC125))</f>
        <v>#DIV/0!</v>
      </c>
      <c r="BE3" s="152" t="s">
        <v>199</v>
      </c>
      <c r="BF3" s="153" t="e">
        <f>SUM(BE5:BE62)+BF62*(SUM(BE67:BE125))</f>
        <v>#DIV/0!</v>
      </c>
      <c r="BG3" s="152" t="s">
        <v>200</v>
      </c>
      <c r="BH3" s="153" t="e">
        <f>SUM(BG5:BG62)+BH62*(SUM(BG67:BG125))</f>
        <v>#DIV/0!</v>
      </c>
      <c r="BI3" s="152" t="s">
        <v>201</v>
      </c>
      <c r="BJ3" s="153" t="e">
        <f>SUM(BI5:BI62)+BJ62*(SUM(BI67:BI125))</f>
        <v>#DIV/0!</v>
      </c>
      <c r="BK3" s="152" t="s">
        <v>202</v>
      </c>
      <c r="BL3" s="153" t="e">
        <f>SUM(BK5:BK62)+BL62*(SUM(BK67:BK125))</f>
        <v>#DIV/0!</v>
      </c>
      <c r="BM3" s="152" t="s">
        <v>203</v>
      </c>
      <c r="BN3" s="153" t="e">
        <f>SUM(BM5:BM62)+BN62*(SUM(BM67:BM125))</f>
        <v>#DIV/0!</v>
      </c>
    </row>
    <row r="4" spans="1:66" x14ac:dyDescent="0.3">
      <c r="A4" s="224"/>
      <c r="B4" s="224"/>
      <c r="C4" s="154" t="s">
        <v>66</v>
      </c>
      <c r="D4" s="154" t="s">
        <v>67</v>
      </c>
      <c r="E4" s="154" t="s">
        <v>68</v>
      </c>
      <c r="F4" s="154" t="s">
        <v>66</v>
      </c>
      <c r="G4" s="154" t="s">
        <v>67</v>
      </c>
      <c r="H4" s="154" t="s">
        <v>68</v>
      </c>
      <c r="I4" s="154" t="s">
        <v>66</v>
      </c>
      <c r="J4" s="154" t="s">
        <v>67</v>
      </c>
      <c r="K4" s="154" t="s">
        <v>68</v>
      </c>
      <c r="L4" s="154" t="s">
        <v>66</v>
      </c>
      <c r="M4" s="154" t="s">
        <v>67</v>
      </c>
      <c r="N4" s="154" t="s">
        <v>68</v>
      </c>
      <c r="O4" s="151"/>
      <c r="P4" s="224"/>
      <c r="Q4" s="154" t="s">
        <v>69</v>
      </c>
      <c r="R4" s="154" t="s">
        <v>70</v>
      </c>
      <c r="S4" s="154" t="s">
        <v>121</v>
      </c>
      <c r="T4" s="154" t="s">
        <v>122</v>
      </c>
      <c r="U4" s="154" t="s">
        <v>123</v>
      </c>
      <c r="V4" s="154" t="s">
        <v>204</v>
      </c>
      <c r="W4" s="154" t="s">
        <v>205</v>
      </c>
      <c r="X4" s="154" t="s">
        <v>206</v>
      </c>
      <c r="Y4" s="154" t="s">
        <v>207</v>
      </c>
      <c r="Z4" s="154" t="s">
        <v>208</v>
      </c>
      <c r="AA4" s="154" t="s">
        <v>124</v>
      </c>
      <c r="AB4" s="154" t="s">
        <v>125</v>
      </c>
      <c r="AC4" s="154" t="s">
        <v>126</v>
      </c>
      <c r="AD4" s="154" t="s">
        <v>209</v>
      </c>
      <c r="AE4" s="154" t="s">
        <v>205</v>
      </c>
      <c r="AF4" s="154" t="s">
        <v>206</v>
      </c>
      <c r="AG4" s="154" t="s">
        <v>207</v>
      </c>
      <c r="AH4" s="154" t="s">
        <v>208</v>
      </c>
      <c r="AI4" s="154" t="s">
        <v>127</v>
      </c>
      <c r="AJ4" s="154" t="s">
        <v>128</v>
      </c>
      <c r="AK4" s="154" t="s">
        <v>129</v>
      </c>
      <c r="AL4" s="154" t="s">
        <v>210</v>
      </c>
      <c r="AM4" s="154" t="s">
        <v>211</v>
      </c>
      <c r="AN4" s="154" t="s">
        <v>212</v>
      </c>
      <c r="AO4" s="154" t="s">
        <v>213</v>
      </c>
      <c r="AP4" s="154" t="s">
        <v>214</v>
      </c>
      <c r="AQ4" s="154" t="s">
        <v>130</v>
      </c>
      <c r="AR4" s="154" t="s">
        <v>131</v>
      </c>
      <c r="AS4" s="154" t="s">
        <v>132</v>
      </c>
      <c r="AT4" s="154" t="s">
        <v>215</v>
      </c>
      <c r="AU4" s="154" t="s">
        <v>216</v>
      </c>
      <c r="AV4" s="154" t="s">
        <v>217</v>
      </c>
      <c r="AW4" s="154" t="s">
        <v>218</v>
      </c>
      <c r="AX4" s="154" t="s">
        <v>219</v>
      </c>
      <c r="AY4" s="154" t="s">
        <v>62</v>
      </c>
      <c r="AZ4" s="154" t="s">
        <v>71</v>
      </c>
      <c r="BA4" s="154" t="s">
        <v>62</v>
      </c>
      <c r="BB4" s="154" t="s">
        <v>71</v>
      </c>
      <c r="BC4" s="154" t="s">
        <v>62</v>
      </c>
      <c r="BD4" s="154" t="s">
        <v>71</v>
      </c>
      <c r="BE4" s="154" t="s">
        <v>62</v>
      </c>
      <c r="BF4" s="154" t="s">
        <v>71</v>
      </c>
      <c r="BG4" s="154" t="s">
        <v>220</v>
      </c>
      <c r="BH4" s="154" t="s">
        <v>221</v>
      </c>
      <c r="BI4" s="154" t="s">
        <v>220</v>
      </c>
      <c r="BJ4" s="154" t="s">
        <v>221</v>
      </c>
      <c r="BK4" s="154" t="s">
        <v>220</v>
      </c>
      <c r="BL4" s="154" t="s">
        <v>221</v>
      </c>
      <c r="BM4" s="154" t="s">
        <v>220</v>
      </c>
      <c r="BN4" s="154" t="s">
        <v>221</v>
      </c>
    </row>
    <row r="5" spans="1:66" ht="15.6" x14ac:dyDescent="0.3">
      <c r="A5" s="155">
        <v>-1</v>
      </c>
      <c r="B5" s="155">
        <v>0</v>
      </c>
      <c r="C5" s="156">
        <v>65390071</v>
      </c>
      <c r="D5" s="156"/>
      <c r="E5" s="156"/>
      <c r="F5" s="156">
        <v>0</v>
      </c>
      <c r="G5" s="156"/>
      <c r="H5" s="156"/>
      <c r="I5" s="157" cm="1">
        <f t="array" ref="I5:I61">_xlfn.LET(_xlpm.x, C5:C61, _xlpm.x/SUM(_xlpm.x))</f>
        <v>0.66407190760638146</v>
      </c>
      <c r="J5" s="157" t="e" cm="1">
        <f t="array" ref="J5:J61">_xlfn.LET(_xlpm.x, D5:D61, _xlpm.x/SUM(_xlpm.x))</f>
        <v>#DIV/0!</v>
      </c>
      <c r="K5" s="157"/>
      <c r="L5" s="158" cm="1">
        <f t="array" ref="L5:L61">F5:F56/C5:C61/30000</f>
        <v>0</v>
      </c>
      <c r="M5" s="158"/>
      <c r="N5" s="157"/>
      <c r="O5" s="146"/>
      <c r="P5" s="159" t="str">
        <f t="shared" ref="P5:P36" si="0">"("&amp;$A5&amp;", "&amp;$B5&amp;"]"</f>
        <v>(-1, 0]</v>
      </c>
      <c r="Q5" s="160" t="s">
        <v>66</v>
      </c>
      <c r="R5" s="157">
        <f>_xlfn.XLOOKUP(Q5, $I$4:$K$4, I5:K5)</f>
        <v>0.66407190760638146</v>
      </c>
      <c r="S5" s="161">
        <v>0.5</v>
      </c>
      <c r="T5" s="162">
        <v>0.47399999999999998</v>
      </c>
      <c r="U5" s="161"/>
      <c r="V5" s="162"/>
      <c r="W5" s="161"/>
      <c r="X5" s="162"/>
      <c r="Y5" s="161"/>
      <c r="Z5" s="162"/>
      <c r="AA5" s="163" cm="1">
        <f t="array" ref="AA5:AA62">$R5:$R62*S5:S62</f>
        <v>0.33203595380319073</v>
      </c>
      <c r="AB5" s="163" cm="1">
        <f t="array" ref="AB5:AB62">$R5:$R62*T5:T62</f>
        <v>0.31477008420542479</v>
      </c>
      <c r="AC5" s="163" cm="1">
        <f t="array" ref="AC5:AC62">$R5:$R62*U5:U62</f>
        <v>0</v>
      </c>
      <c r="AD5" s="163" cm="1">
        <f t="array" ref="AD5:AD62">$R5:$R62*V5:V62</f>
        <v>0</v>
      </c>
      <c r="AE5" s="163" cm="1">
        <f t="array" ref="AE5:AE62">$R5:$R62*W5:W62</f>
        <v>0</v>
      </c>
      <c r="AF5" s="163" cm="1">
        <f t="array" ref="AF5:AF62">$R5:$R62*X5:X62</f>
        <v>0</v>
      </c>
      <c r="AG5" s="163" cm="1">
        <f t="array" ref="AG5:AG62">$R5:$R62*Y5:Y62</f>
        <v>0</v>
      </c>
      <c r="AH5" s="163" cm="1">
        <f t="array" ref="AH5:AH62">$R5:$R62*Z5:Z62</f>
        <v>0</v>
      </c>
      <c r="AI5" s="163" cm="1">
        <f t="array" ref="AI5:AI61">AA5:AA61/SUM(_xlfn.ANCHORARRAY(AA5))</f>
        <v>0.69132741381620011</v>
      </c>
      <c r="AJ5" s="163" cm="1">
        <f t="array" ref="AJ5:AJ61">AB5:AB61/SUM(_xlfn.ANCHORARRAY(AB5))</f>
        <v>0.706909043034326</v>
      </c>
      <c r="AK5" s="163" t="e" cm="1">
        <f t="array" ref="AK5:AK61">AC5:AC61/SUM(_xlfn.ANCHORARRAY(AC5))</f>
        <v>#DIV/0!</v>
      </c>
      <c r="AL5" s="163" t="e" cm="1">
        <f t="array" ref="AL5:AL61">AD5:AD61/SUM(_xlfn.ANCHORARRAY(AD5))</f>
        <v>#DIV/0!</v>
      </c>
      <c r="AM5" s="163" t="e" cm="1">
        <f t="array" ref="AM5:AM61">AE5:AE61/SUM(_xlfn.ANCHORARRAY(AE5))</f>
        <v>#DIV/0!</v>
      </c>
      <c r="AN5" s="163" t="e" cm="1">
        <f t="array" ref="AN5:AN61">AF5:AF61/SUM(_xlfn.ANCHORARRAY(AF5))</f>
        <v>#DIV/0!</v>
      </c>
      <c r="AO5" s="163" t="e" cm="1">
        <f t="array" ref="AO5:AO61">AG5:AG61/SUM(_xlfn.ANCHORARRAY(AG5))</f>
        <v>#DIV/0!</v>
      </c>
      <c r="AP5" s="163" t="e" cm="1">
        <f t="array" ref="AP5:AP61">AH5:AH61/SUM(_xlfn.ANCHORARRAY(AH5))</f>
        <v>#DIV/0!</v>
      </c>
      <c r="AQ5" s="164">
        <f t="shared" ref="AQ5:AX5" si="1">INT($AQ3-SUM(_xlfn.ANCHORARRAY(AQ6)))</f>
        <v>698687947</v>
      </c>
      <c r="AR5" s="164">
        <f t="shared" si="1"/>
        <v>714818213</v>
      </c>
      <c r="AS5" s="164" t="e">
        <f t="shared" si="1"/>
        <v>#DIV/0!</v>
      </c>
      <c r="AT5" s="164" t="e">
        <f t="shared" si="1"/>
        <v>#DIV/0!</v>
      </c>
      <c r="AU5" s="164" t="e">
        <f t="shared" si="1"/>
        <v>#DIV/0!</v>
      </c>
      <c r="AV5" s="164" t="e">
        <f t="shared" si="1"/>
        <v>#DIV/0!</v>
      </c>
      <c r="AW5" s="164" t="e">
        <f t="shared" si="1"/>
        <v>#DIV/0!</v>
      </c>
      <c r="AX5" s="164" t="e">
        <f t="shared" si="1"/>
        <v>#DIV/0!</v>
      </c>
      <c r="AY5" s="165">
        <f t="shared" ref="AY5:AY36" si="2">_xlfn.LET(_xlpm.x, _xlfn.XLOOKUP($Q5, $L$4:$N$4, $L5:$N5), IF(ISERROR(_xlpm.x), 0, _xlpm.x)*AQ5/$AQ$3)</f>
        <v>0</v>
      </c>
      <c r="AZ5" s="165" cm="1">
        <f t="array" ref="AZ5:AZ62">_xlfn.LET(_xlpm.x, AQ5:AQ62, _xlpm.x/SUM(_xlpm.x))</f>
        <v>0.69868794700000003</v>
      </c>
      <c r="BA5" s="165">
        <f t="shared" ref="BA5:BA36" si="3">_xlfn.LET(_xlpm.x, _xlfn.XLOOKUP($Q5, $L$4:$N$4, $L5:$N5), IF(ISERROR(_xlpm.x), 0, _xlpm.x)*AR5/$AQ$3)</f>
        <v>0</v>
      </c>
      <c r="BB5" s="165" cm="1">
        <f t="array" ref="BB5:BB62">_xlfn.LET(_xlpm.x, AR5:AR62, _xlpm.x/SUM(_xlpm.x))</f>
        <v>0.71481821300000004</v>
      </c>
      <c r="BC5" s="165" t="e">
        <f t="shared" ref="BC5:BC36" si="4">_xlfn.LET(_xlpm.x, _xlfn.XLOOKUP($Q5, $L$4:$N$4, $L5:$N5), IF(ISERROR(_xlpm.x), 0, _xlpm.x)*AS5/$AQ$3)</f>
        <v>#DIV/0!</v>
      </c>
      <c r="BD5" s="165" t="e" cm="1">
        <f t="array" ref="BD5:BD62">_xlfn.LET(_xlpm.x, AS5:AS62, _xlpm.x/SUM(_xlpm.x))</f>
        <v>#DIV/0!</v>
      </c>
      <c r="BE5" s="165" t="e">
        <f t="shared" ref="BE5:BE36" si="5">_xlfn.LET(_xlpm.x, _xlfn.XLOOKUP($Q5, $L$4:$N$4, $L5:$N5), IF(ISERROR(_xlpm.x), 0, _xlpm.x)*AT5/$AQ$3)</f>
        <v>#DIV/0!</v>
      </c>
      <c r="BF5" s="165" t="e" cm="1">
        <f t="array" ref="BF5:BF62">_xlfn.LET(_xlpm.x, AT5:AT62, _xlpm.x/SUM(_xlpm.x))</f>
        <v>#DIV/0!</v>
      </c>
      <c r="BG5" s="165" t="e">
        <f t="shared" ref="BG5:BG36" si="6">_xlfn.LET(_xlpm.x, _xlfn.XLOOKUP($Q5, $L$4:$N$4, $L5:$N5), IF(ISERROR(_xlpm.x), 0, _xlpm.x)*AU5/$AQ$3)</f>
        <v>#DIV/0!</v>
      </c>
      <c r="BH5" s="165" t="e" cm="1">
        <f t="array" ref="BH5:BH62">_xlfn.LET(_xlpm.x, AU5:AU62, _xlpm.x/SUM(_xlpm.x))</f>
        <v>#DIV/0!</v>
      </c>
      <c r="BI5" s="165" t="e">
        <f t="shared" ref="BI5:BI36" si="7">_xlfn.LET(_xlpm.x, _xlfn.XLOOKUP($Q5, $L$4:$N$4, $L5:$N5), IF(ISERROR(_xlpm.x), 0, _xlpm.x)*AV5/$AQ$3)</f>
        <v>#DIV/0!</v>
      </c>
      <c r="BJ5" s="165" t="e" cm="1">
        <f t="array" ref="BJ5:BJ62">_xlfn.LET(_xlpm.x, AV5:AV62, _xlpm.x/SUM(_xlpm.x))</f>
        <v>#DIV/0!</v>
      </c>
      <c r="BK5" s="165" t="e">
        <f t="shared" ref="BK5:BK36" si="8">_xlfn.LET(_xlpm.x, _xlfn.XLOOKUP($Q5, $L$4:$N$4, $L5:$N5), IF(ISERROR(_xlpm.x), 0, _xlpm.x)*AW5/$AQ$3)</f>
        <v>#DIV/0!</v>
      </c>
      <c r="BL5" s="165" t="e" cm="1">
        <f t="array" ref="BL5:BL62">_xlfn.LET(_xlpm.x, AW5:AW62, _xlpm.x/SUM(_xlpm.x))</f>
        <v>#DIV/0!</v>
      </c>
      <c r="BM5" s="165" t="e">
        <f t="shared" ref="BM5:BM36" si="9">_xlfn.LET(_xlpm.x, _xlfn.XLOOKUP($Q5, $L$4:$N$4, $L5:$N5), IF(ISERROR(_xlpm.x), 0, _xlpm.x)*AX5/$AQ$3)</f>
        <v>#DIV/0!</v>
      </c>
      <c r="BN5" s="165" t="e" cm="1">
        <f t="array" ref="BN5:BN62">_xlfn.LET(_xlpm.x, AX5:AX62, _xlpm.x/SUM(_xlpm.x))</f>
        <v>#DIV/0!</v>
      </c>
    </row>
    <row r="6" spans="1:66" ht="15.6" x14ac:dyDescent="0.3">
      <c r="A6" s="155">
        <v>0</v>
      </c>
      <c r="B6" s="155">
        <v>1</v>
      </c>
      <c r="C6" s="156">
        <v>17351600</v>
      </c>
      <c r="D6" s="156"/>
      <c r="E6" s="156"/>
      <c r="F6" s="156">
        <v>213835671000</v>
      </c>
      <c r="G6" s="156"/>
      <c r="H6" s="156"/>
      <c r="I6" s="157">
        <v>0.17621498089553822</v>
      </c>
      <c r="J6" s="157" t="e">
        <v>#DIV/0!</v>
      </c>
      <c r="K6" s="157"/>
      <c r="L6" s="157">
        <v>0.41078953525899625</v>
      </c>
      <c r="M6" s="157"/>
      <c r="N6" s="157"/>
      <c r="O6" s="146"/>
      <c r="P6" s="159" t="str">
        <f t="shared" si="0"/>
        <v>(0, 1]</v>
      </c>
      <c r="Q6" s="160" t="s">
        <v>66</v>
      </c>
      <c r="R6" s="157">
        <f t="shared" ref="R6:R37" si="10">_xlfn.SINGLE(_xlfn.XLOOKUP(Q6, $I$4:$K$4, I6:K6))</f>
        <v>0.17621498089553822</v>
      </c>
      <c r="S6" s="161">
        <v>0.5</v>
      </c>
      <c r="T6" s="162">
        <v>0.5</v>
      </c>
      <c r="U6" s="161"/>
      <c r="V6" s="162"/>
      <c r="W6" s="161"/>
      <c r="X6" s="162"/>
      <c r="Y6" s="161"/>
      <c r="Z6" s="162"/>
      <c r="AA6" s="163">
        <v>8.810749044776911E-2</v>
      </c>
      <c r="AB6" s="163">
        <v>8.810749044776911E-2</v>
      </c>
      <c r="AC6" s="163">
        <v>0</v>
      </c>
      <c r="AD6" s="163">
        <v>0</v>
      </c>
      <c r="AE6" s="163">
        <v>0</v>
      </c>
      <c r="AF6" s="163">
        <v>0</v>
      </c>
      <c r="AG6" s="163">
        <v>0</v>
      </c>
      <c r="AH6" s="163">
        <v>0</v>
      </c>
      <c r="AI6" s="163">
        <v>0.18344737312753762</v>
      </c>
      <c r="AJ6" s="163">
        <v>0.19787135081090107</v>
      </c>
      <c r="AK6" s="163" t="e">
        <v>#DIV/0!</v>
      </c>
      <c r="AL6" s="163" t="e">
        <v>#DIV/0!</v>
      </c>
      <c r="AM6" s="163" t="e">
        <v>#DIV/0!</v>
      </c>
      <c r="AN6" s="163" t="e">
        <v>#DIV/0!</v>
      </c>
      <c r="AO6" s="163" t="e">
        <v>#DIV/0!</v>
      </c>
      <c r="AP6" s="163" t="e">
        <v>#DIV/0!</v>
      </c>
      <c r="AQ6" s="164" cm="1">
        <f t="array" ref="AQ6:AQ62">INT(AI6:AI62*$AQ3)</f>
        <v>183447373</v>
      </c>
      <c r="AR6" s="164" cm="1">
        <f t="array" ref="AR6:AR62">INT(AJ6:AJ62*$AQ3)</f>
        <v>197871350</v>
      </c>
      <c r="AS6" s="164" t="e" cm="1">
        <f t="array" ref="AS6:AS62">INT(AK6:AK62*$AQ3)</f>
        <v>#DIV/0!</v>
      </c>
      <c r="AT6" s="164" t="e" cm="1">
        <f t="array" ref="AT6:AT62">INT(AL6:AL62*$AQ3)</f>
        <v>#DIV/0!</v>
      </c>
      <c r="AU6" s="164" t="e" cm="1">
        <f t="array" ref="AU6:AU62">INT(AM6:AM62*$AQ3)</f>
        <v>#DIV/0!</v>
      </c>
      <c r="AV6" s="164" t="e" cm="1">
        <f t="array" ref="AV6:AV62">INT(AN6:AN62*$AQ3)</f>
        <v>#DIV/0!</v>
      </c>
      <c r="AW6" s="164" t="e" cm="1">
        <f t="array" ref="AW6:AW62">INT(AO6:AO62*$AQ3)</f>
        <v>#DIV/0!</v>
      </c>
      <c r="AX6" s="164" t="e" cm="1">
        <f t="array" ref="AX6:AX62">INT(AP6:AP62*$AQ3)</f>
        <v>#DIV/0!</v>
      </c>
      <c r="AY6" s="165">
        <f t="shared" si="2"/>
        <v>7.5358261099153737E-2</v>
      </c>
      <c r="AZ6" s="165">
        <v>0.183447373</v>
      </c>
      <c r="BA6" s="165">
        <f t="shared" si="3"/>
        <v>8.1283479907570177E-2</v>
      </c>
      <c r="BB6" s="165">
        <v>0.19787135</v>
      </c>
      <c r="BC6" s="165" t="e">
        <f t="shared" si="4"/>
        <v>#DIV/0!</v>
      </c>
      <c r="BD6" s="165" t="e">
        <v>#DIV/0!</v>
      </c>
      <c r="BE6" s="165" t="e">
        <f t="shared" si="5"/>
        <v>#DIV/0!</v>
      </c>
      <c r="BF6" s="165" t="e">
        <v>#DIV/0!</v>
      </c>
      <c r="BG6" s="165" t="e">
        <f t="shared" si="6"/>
        <v>#DIV/0!</v>
      </c>
      <c r="BH6" s="165" t="e">
        <v>#DIV/0!</v>
      </c>
      <c r="BI6" s="165" t="e">
        <f t="shared" si="7"/>
        <v>#DIV/0!</v>
      </c>
      <c r="BJ6" s="165" t="e">
        <v>#DIV/0!</v>
      </c>
      <c r="BK6" s="165" t="e">
        <f t="shared" si="8"/>
        <v>#DIV/0!</v>
      </c>
      <c r="BL6" s="165" t="e">
        <v>#DIV/0!</v>
      </c>
      <c r="BM6" s="165" t="e">
        <f t="shared" si="9"/>
        <v>#DIV/0!</v>
      </c>
      <c r="BN6" s="165" t="e">
        <v>#DIV/0!</v>
      </c>
    </row>
    <row r="7" spans="1:66" ht="15.6" x14ac:dyDescent="0.3">
      <c r="A7" s="155">
        <v>1</v>
      </c>
      <c r="B7" s="155">
        <v>2</v>
      </c>
      <c r="C7" s="156">
        <v>5407273</v>
      </c>
      <c r="D7" s="156"/>
      <c r="E7" s="156"/>
      <c r="F7" s="156">
        <v>240782772000</v>
      </c>
      <c r="G7" s="156"/>
      <c r="H7" s="156"/>
      <c r="I7" s="157">
        <v>5.4913812466398468E-2</v>
      </c>
      <c r="J7" s="157" t="e">
        <v>#DIV/0!</v>
      </c>
      <c r="K7" s="157"/>
      <c r="L7" s="157">
        <v>1.4843142560029798</v>
      </c>
      <c r="M7" s="157"/>
      <c r="N7" s="157"/>
      <c r="O7" s="146"/>
      <c r="P7" s="159" t="str">
        <f t="shared" si="0"/>
        <v>(1, 2]</v>
      </c>
      <c r="Q7" s="160" t="s">
        <v>66</v>
      </c>
      <c r="R7" s="157">
        <f t="shared" si="10"/>
        <v>5.4913812466398468E-2</v>
      </c>
      <c r="S7" s="161">
        <v>0.4</v>
      </c>
      <c r="T7" s="162">
        <v>0.3</v>
      </c>
      <c r="U7" s="161"/>
      <c r="V7" s="162"/>
      <c r="W7" s="161"/>
      <c r="X7" s="162"/>
      <c r="Y7" s="161"/>
      <c r="Z7" s="162"/>
      <c r="AA7" s="163">
        <v>2.196552498655939E-2</v>
      </c>
      <c r="AB7" s="163">
        <v>1.6474143739919539E-2</v>
      </c>
      <c r="AC7" s="163">
        <v>0</v>
      </c>
      <c r="AD7" s="163">
        <v>0</v>
      </c>
      <c r="AE7" s="163">
        <v>0</v>
      </c>
      <c r="AF7" s="163">
        <v>0</v>
      </c>
      <c r="AG7" s="163">
        <v>0</v>
      </c>
      <c r="AH7" s="163">
        <v>0</v>
      </c>
      <c r="AI7" s="163">
        <v>4.5734112249404546E-2</v>
      </c>
      <c r="AJ7" s="163">
        <v>3.6997547639871141E-2</v>
      </c>
      <c r="AK7" s="163" t="e">
        <v>#DIV/0!</v>
      </c>
      <c r="AL7" s="163" t="e">
        <v>#DIV/0!</v>
      </c>
      <c r="AM7" s="163" t="e">
        <v>#DIV/0!</v>
      </c>
      <c r="AN7" s="163" t="e">
        <v>#DIV/0!</v>
      </c>
      <c r="AO7" s="163" t="e">
        <v>#DIV/0!</v>
      </c>
      <c r="AP7" s="163" t="e">
        <v>#DIV/0!</v>
      </c>
      <c r="AQ7" s="164">
        <v>45734112</v>
      </c>
      <c r="AR7" s="167">
        <v>36997547</v>
      </c>
      <c r="AS7" s="167" t="e">
        <v>#DIV/0!</v>
      </c>
      <c r="AT7" s="167" t="e">
        <v>#DIV/0!</v>
      </c>
      <c r="AU7" s="164" t="e">
        <v>#DIV/0!</v>
      </c>
      <c r="AV7" s="167" t="e">
        <v>#DIV/0!</v>
      </c>
      <c r="AW7" s="167" t="e">
        <v>#DIV/0!</v>
      </c>
      <c r="AX7" s="167" t="e">
        <v>#DIV/0!</v>
      </c>
      <c r="AY7" s="165">
        <f t="shared" si="2"/>
        <v>6.7883794427236965E-2</v>
      </c>
      <c r="AZ7" s="165">
        <v>4.5734112E-2</v>
      </c>
      <c r="BA7" s="165">
        <f t="shared" si="3"/>
        <v>5.4915986449240284E-2</v>
      </c>
      <c r="BB7" s="165">
        <v>3.6997546999999999E-2</v>
      </c>
      <c r="BC7" s="165" t="e">
        <f t="shared" si="4"/>
        <v>#DIV/0!</v>
      </c>
      <c r="BD7" s="165" t="e">
        <v>#DIV/0!</v>
      </c>
      <c r="BE7" s="165" t="e">
        <f t="shared" si="5"/>
        <v>#DIV/0!</v>
      </c>
      <c r="BF7" s="165" t="e">
        <v>#DIV/0!</v>
      </c>
      <c r="BG7" s="165" t="e">
        <f t="shared" si="6"/>
        <v>#DIV/0!</v>
      </c>
      <c r="BH7" s="165" t="e">
        <v>#DIV/0!</v>
      </c>
      <c r="BI7" s="165" t="e">
        <f t="shared" si="7"/>
        <v>#DIV/0!</v>
      </c>
      <c r="BJ7" s="165" t="e">
        <v>#DIV/0!</v>
      </c>
      <c r="BK7" s="165" t="e">
        <f t="shared" si="8"/>
        <v>#DIV/0!</v>
      </c>
      <c r="BL7" s="165" t="e">
        <v>#DIV/0!</v>
      </c>
      <c r="BM7" s="165" t="e">
        <f t="shared" si="9"/>
        <v>#DIV/0!</v>
      </c>
      <c r="BN7" s="165" t="e">
        <v>#DIV/0!</v>
      </c>
    </row>
    <row r="8" spans="1:66" ht="15.6" x14ac:dyDescent="0.3">
      <c r="A8" s="155">
        <v>2</v>
      </c>
      <c r="B8" s="155">
        <v>3</v>
      </c>
      <c r="C8" s="156">
        <v>2729510</v>
      </c>
      <c r="D8" s="156"/>
      <c r="E8" s="156"/>
      <c r="F8" s="156">
        <v>207304843500</v>
      </c>
      <c r="G8" s="156"/>
      <c r="H8" s="156"/>
      <c r="I8" s="157">
        <v>2.7719665765934008E-2</v>
      </c>
      <c r="J8" s="157" t="e">
        <v>#DIV/0!</v>
      </c>
      <c r="K8" s="157"/>
      <c r="L8" s="157">
        <v>2.5316490688804949</v>
      </c>
      <c r="M8" s="157"/>
      <c r="N8" s="157"/>
      <c r="O8" s="146"/>
      <c r="P8" s="159" t="str">
        <f t="shared" si="0"/>
        <v>(2, 3]</v>
      </c>
      <c r="Q8" s="160" t="s">
        <v>66</v>
      </c>
      <c r="R8" s="157">
        <f t="shared" si="10"/>
        <v>2.7719665765934008E-2</v>
      </c>
      <c r="S8" s="161">
        <v>0.32400000000000001</v>
      </c>
      <c r="T8" s="162">
        <v>0.2</v>
      </c>
      <c r="U8" s="161"/>
      <c r="V8" s="162"/>
      <c r="W8" s="161"/>
      <c r="X8" s="162"/>
      <c r="Y8" s="161"/>
      <c r="Z8" s="162"/>
      <c r="AA8" s="163">
        <v>8.9811717081626184E-3</v>
      </c>
      <c r="AB8" s="163">
        <v>5.5439331531868018E-3</v>
      </c>
      <c r="AC8" s="163">
        <v>0</v>
      </c>
      <c r="AD8" s="163">
        <v>0</v>
      </c>
      <c r="AE8" s="163">
        <v>0</v>
      </c>
      <c r="AF8" s="163">
        <v>0</v>
      </c>
      <c r="AG8" s="163">
        <v>0</v>
      </c>
      <c r="AH8" s="163">
        <v>0</v>
      </c>
      <c r="AI8" s="163">
        <v>1.8699571955763369E-2</v>
      </c>
      <c r="AJ8" s="163">
        <v>1.2450536682539077E-2</v>
      </c>
      <c r="AK8" s="163" t="e">
        <v>#DIV/0!</v>
      </c>
      <c r="AL8" s="163" t="e">
        <v>#DIV/0!</v>
      </c>
      <c r="AM8" s="163" t="e">
        <v>#DIV/0!</v>
      </c>
      <c r="AN8" s="163" t="e">
        <v>#DIV/0!</v>
      </c>
      <c r="AO8" s="163" t="e">
        <v>#DIV/0!</v>
      </c>
      <c r="AP8" s="163" t="e">
        <v>#DIV/0!</v>
      </c>
      <c r="AQ8" s="164">
        <v>18699571</v>
      </c>
      <c r="AR8" s="167">
        <v>12450536</v>
      </c>
      <c r="AS8" s="167" t="e">
        <v>#DIV/0!</v>
      </c>
      <c r="AT8" s="167" t="e">
        <v>#DIV/0!</v>
      </c>
      <c r="AU8" s="164" t="e">
        <v>#DIV/0!</v>
      </c>
      <c r="AV8" s="167" t="e">
        <v>#DIV/0!</v>
      </c>
      <c r="AW8" s="167" t="e">
        <v>#DIV/0!</v>
      </c>
      <c r="AX8" s="167" t="e">
        <v>#DIV/0!</v>
      </c>
      <c r="AY8" s="165">
        <f t="shared" si="2"/>
        <v>4.7340751510614711E-2</v>
      </c>
      <c r="AZ8" s="165">
        <v>1.8699571000000002E-2</v>
      </c>
      <c r="BA8" s="165">
        <f t="shared" si="3"/>
        <v>3.1520387871463086E-2</v>
      </c>
      <c r="BB8" s="165">
        <v>1.2450536E-2</v>
      </c>
      <c r="BC8" s="165" t="e">
        <f t="shared" si="4"/>
        <v>#DIV/0!</v>
      </c>
      <c r="BD8" s="165" t="e">
        <v>#DIV/0!</v>
      </c>
      <c r="BE8" s="165" t="e">
        <f t="shared" si="5"/>
        <v>#DIV/0!</v>
      </c>
      <c r="BF8" s="165" t="e">
        <v>#DIV/0!</v>
      </c>
      <c r="BG8" s="165" t="e">
        <f t="shared" si="6"/>
        <v>#DIV/0!</v>
      </c>
      <c r="BH8" s="165" t="e">
        <v>#DIV/0!</v>
      </c>
      <c r="BI8" s="165" t="e">
        <f t="shared" si="7"/>
        <v>#DIV/0!</v>
      </c>
      <c r="BJ8" s="165" t="e">
        <v>#DIV/0!</v>
      </c>
      <c r="BK8" s="165" t="e">
        <f t="shared" si="8"/>
        <v>#DIV/0!</v>
      </c>
      <c r="BL8" s="165" t="e">
        <v>#DIV/0!</v>
      </c>
      <c r="BM8" s="165" t="e">
        <f t="shared" si="9"/>
        <v>#DIV/0!</v>
      </c>
      <c r="BN8" s="165" t="e">
        <v>#DIV/0!</v>
      </c>
    </row>
    <row r="9" spans="1:66" ht="15.6" x14ac:dyDescent="0.3">
      <c r="A9" s="155">
        <v>3</v>
      </c>
      <c r="B9" s="155">
        <v>4</v>
      </c>
      <c r="C9" s="156">
        <v>1570738</v>
      </c>
      <c r="D9" s="156"/>
      <c r="E9" s="156"/>
      <c r="F9" s="156">
        <v>166846656000</v>
      </c>
      <c r="G9" s="156"/>
      <c r="H9" s="156"/>
      <c r="I9" s="157">
        <v>1.5951702820598442E-2</v>
      </c>
      <c r="J9" s="157" t="e">
        <v>#DIV/0!</v>
      </c>
      <c r="K9" s="157"/>
      <c r="L9" s="157">
        <v>3.5407274796942585</v>
      </c>
      <c r="M9" s="157"/>
      <c r="N9" s="157"/>
      <c r="O9" s="146"/>
      <c r="P9" s="159" t="str">
        <f t="shared" si="0"/>
        <v>(3, 4]</v>
      </c>
      <c r="Q9" s="160" t="s">
        <v>66</v>
      </c>
      <c r="R9" s="157">
        <f t="shared" si="10"/>
        <v>1.5951702820598442E-2</v>
      </c>
      <c r="S9" s="161">
        <v>0.4</v>
      </c>
      <c r="T9" s="162">
        <v>0.2</v>
      </c>
      <c r="U9" s="161"/>
      <c r="V9" s="162"/>
      <c r="W9" s="161"/>
      <c r="X9" s="162"/>
      <c r="Y9" s="161"/>
      <c r="Z9" s="162"/>
      <c r="AA9" s="163">
        <v>6.3806811282393766E-3</v>
      </c>
      <c r="AB9" s="163">
        <v>3.1903405641196883E-3</v>
      </c>
      <c r="AC9" s="163">
        <v>0</v>
      </c>
      <c r="AD9" s="163">
        <v>0</v>
      </c>
      <c r="AE9" s="163">
        <v>0</v>
      </c>
      <c r="AF9" s="163">
        <v>0</v>
      </c>
      <c r="AG9" s="163">
        <v>0</v>
      </c>
      <c r="AH9" s="163">
        <v>0</v>
      </c>
      <c r="AI9" s="163">
        <v>1.3285126903414195E-2</v>
      </c>
      <c r="AJ9" s="163">
        <v>7.1648504997813035E-3</v>
      </c>
      <c r="AK9" s="163" t="e">
        <v>#DIV/0!</v>
      </c>
      <c r="AL9" s="163" t="e">
        <v>#DIV/0!</v>
      </c>
      <c r="AM9" s="163" t="e">
        <v>#DIV/0!</v>
      </c>
      <c r="AN9" s="163" t="e">
        <v>#DIV/0!</v>
      </c>
      <c r="AO9" s="163" t="e">
        <v>#DIV/0!</v>
      </c>
      <c r="AP9" s="163" t="e">
        <v>#DIV/0!</v>
      </c>
      <c r="AQ9" s="164">
        <v>13285126</v>
      </c>
      <c r="AR9" s="167">
        <v>7164850</v>
      </c>
      <c r="AS9" s="167" t="e">
        <v>#DIV/0!</v>
      </c>
      <c r="AT9" s="167" t="e">
        <v>#DIV/0!</v>
      </c>
      <c r="AU9" s="164" t="e">
        <v>#DIV/0!</v>
      </c>
      <c r="AV9" s="167" t="e">
        <v>#DIV/0!</v>
      </c>
      <c r="AW9" s="167" t="e">
        <v>#DIV/0!</v>
      </c>
      <c r="AX9" s="167" t="e">
        <v>#DIV/0!</v>
      </c>
      <c r="AY9" s="165">
        <f t="shared" si="2"/>
        <v>4.7039010699400662E-2</v>
      </c>
      <c r="AZ9" s="165">
        <v>1.3285126E-2</v>
      </c>
      <c r="BA9" s="165">
        <f t="shared" si="3"/>
        <v>2.5368781282887408E-2</v>
      </c>
      <c r="BB9" s="165">
        <v>7.1648500000000004E-3</v>
      </c>
      <c r="BC9" s="165" t="e">
        <f t="shared" si="4"/>
        <v>#DIV/0!</v>
      </c>
      <c r="BD9" s="165" t="e">
        <v>#DIV/0!</v>
      </c>
      <c r="BE9" s="165" t="e">
        <f t="shared" si="5"/>
        <v>#DIV/0!</v>
      </c>
      <c r="BF9" s="165" t="e">
        <v>#DIV/0!</v>
      </c>
      <c r="BG9" s="165" t="e">
        <f t="shared" si="6"/>
        <v>#DIV/0!</v>
      </c>
      <c r="BH9" s="165" t="e">
        <v>#DIV/0!</v>
      </c>
      <c r="BI9" s="165" t="e">
        <f t="shared" si="7"/>
        <v>#DIV/0!</v>
      </c>
      <c r="BJ9" s="165" t="e">
        <v>#DIV/0!</v>
      </c>
      <c r="BK9" s="165" t="e">
        <f t="shared" si="8"/>
        <v>#DIV/0!</v>
      </c>
      <c r="BL9" s="165" t="e">
        <v>#DIV/0!</v>
      </c>
      <c r="BM9" s="165" t="e">
        <f t="shared" si="9"/>
        <v>#DIV/0!</v>
      </c>
      <c r="BN9" s="165" t="e">
        <v>#DIV/0!</v>
      </c>
    </row>
    <row r="10" spans="1:66" ht="15.6" x14ac:dyDescent="0.3">
      <c r="A10" s="155">
        <v>4</v>
      </c>
      <c r="B10" s="155">
        <v>5</v>
      </c>
      <c r="C10" s="156">
        <v>1084233</v>
      </c>
      <c r="D10" s="156"/>
      <c r="E10" s="156"/>
      <c r="F10" s="156">
        <v>148490644500</v>
      </c>
      <c r="G10" s="156"/>
      <c r="H10" s="156"/>
      <c r="I10" s="157">
        <v>1.1010978663714706E-2</v>
      </c>
      <c r="J10" s="157" t="e">
        <v>#DIV/0!</v>
      </c>
      <c r="K10" s="157"/>
      <c r="L10" s="157">
        <v>4.565151724767647</v>
      </c>
      <c r="M10" s="157"/>
      <c r="N10" s="157"/>
      <c r="O10" s="146"/>
      <c r="P10" s="159" t="str">
        <f t="shared" si="0"/>
        <v>(4, 5]</v>
      </c>
      <c r="Q10" s="160" t="s">
        <v>66</v>
      </c>
      <c r="R10" s="157">
        <f t="shared" si="10"/>
        <v>1.1010978663714706E-2</v>
      </c>
      <c r="S10" s="161">
        <v>0.4</v>
      </c>
      <c r="T10" s="162">
        <v>0.2</v>
      </c>
      <c r="U10" s="161"/>
      <c r="V10" s="162"/>
      <c r="W10" s="161"/>
      <c r="X10" s="162"/>
      <c r="Y10" s="161"/>
      <c r="Z10" s="162"/>
      <c r="AA10" s="163">
        <v>4.4043914654858822E-3</v>
      </c>
      <c r="AB10" s="163">
        <v>2.2021957327429411E-3</v>
      </c>
      <c r="AC10" s="163">
        <v>0</v>
      </c>
      <c r="AD10" s="163">
        <v>0</v>
      </c>
      <c r="AE10" s="163">
        <v>0</v>
      </c>
      <c r="AF10" s="163">
        <v>0</v>
      </c>
      <c r="AG10" s="163">
        <v>0</v>
      </c>
      <c r="AH10" s="163">
        <v>0</v>
      </c>
      <c r="AI10" s="163">
        <v>9.1703218473542271E-3</v>
      </c>
      <c r="AJ10" s="163">
        <v>4.9456798981939581E-3</v>
      </c>
      <c r="AK10" s="163" t="e">
        <v>#DIV/0!</v>
      </c>
      <c r="AL10" s="163" t="e">
        <v>#DIV/0!</v>
      </c>
      <c r="AM10" s="163" t="e">
        <v>#DIV/0!</v>
      </c>
      <c r="AN10" s="163" t="e">
        <v>#DIV/0!</v>
      </c>
      <c r="AO10" s="163" t="e">
        <v>#DIV/0!</v>
      </c>
      <c r="AP10" s="163" t="e">
        <v>#DIV/0!</v>
      </c>
      <c r="AQ10" s="164">
        <v>9170321</v>
      </c>
      <c r="AR10" s="167">
        <v>4945679</v>
      </c>
      <c r="AS10" s="167" t="e">
        <v>#DIV/0!</v>
      </c>
      <c r="AT10" s="167" t="e">
        <v>#DIV/0!</v>
      </c>
      <c r="AU10" s="164" t="e">
        <v>#DIV/0!</v>
      </c>
      <c r="AV10" s="167" t="e">
        <v>#DIV/0!</v>
      </c>
      <c r="AW10" s="167" t="e">
        <v>#DIV/0!</v>
      </c>
      <c r="AX10" s="167" t="e">
        <v>#DIV/0!</v>
      </c>
      <c r="AY10" s="165">
        <f t="shared" si="2"/>
        <v>4.1863906729822972E-2</v>
      </c>
      <c r="AZ10" s="165">
        <v>9.1703210000000004E-3</v>
      </c>
      <c r="BA10" s="165">
        <f t="shared" si="3"/>
        <v>2.2577775016997134E-2</v>
      </c>
      <c r="BB10" s="165">
        <v>4.9456789999999997E-3</v>
      </c>
      <c r="BC10" s="165" t="e">
        <f t="shared" si="4"/>
        <v>#DIV/0!</v>
      </c>
      <c r="BD10" s="165" t="e">
        <v>#DIV/0!</v>
      </c>
      <c r="BE10" s="165" t="e">
        <f t="shared" si="5"/>
        <v>#DIV/0!</v>
      </c>
      <c r="BF10" s="165" t="e">
        <v>#DIV/0!</v>
      </c>
      <c r="BG10" s="165" t="e">
        <f t="shared" si="6"/>
        <v>#DIV/0!</v>
      </c>
      <c r="BH10" s="165" t="e">
        <v>#DIV/0!</v>
      </c>
      <c r="BI10" s="165" t="e">
        <f t="shared" si="7"/>
        <v>#DIV/0!</v>
      </c>
      <c r="BJ10" s="165" t="e">
        <v>#DIV/0!</v>
      </c>
      <c r="BK10" s="165" t="e">
        <f t="shared" si="8"/>
        <v>#DIV/0!</v>
      </c>
      <c r="BL10" s="165" t="e">
        <v>#DIV/0!</v>
      </c>
      <c r="BM10" s="165" t="e">
        <f t="shared" si="9"/>
        <v>#DIV/0!</v>
      </c>
      <c r="BN10" s="165" t="e">
        <v>#DIV/0!</v>
      </c>
    </row>
    <row r="11" spans="1:66" ht="15.6" x14ac:dyDescent="0.3">
      <c r="A11" s="155">
        <v>5</v>
      </c>
      <c r="B11" s="155">
        <v>6</v>
      </c>
      <c r="C11" s="156">
        <v>757823</v>
      </c>
      <c r="D11" s="156"/>
      <c r="E11" s="156"/>
      <c r="F11" s="156">
        <v>126896526000</v>
      </c>
      <c r="G11" s="156"/>
      <c r="H11" s="156"/>
      <c r="I11" s="157">
        <v>7.6961067260194723E-3</v>
      </c>
      <c r="J11" s="157" t="e">
        <v>#DIV/0!</v>
      </c>
      <c r="K11" s="157"/>
      <c r="L11" s="157">
        <v>5.5816255246937603</v>
      </c>
      <c r="M11" s="157"/>
      <c r="N11" s="157"/>
      <c r="O11" s="146"/>
      <c r="P11" s="159" t="str">
        <f t="shared" si="0"/>
        <v>(5, 6]</v>
      </c>
      <c r="Q11" s="160" t="s">
        <v>66</v>
      </c>
      <c r="R11" s="157">
        <f t="shared" si="10"/>
        <v>7.6961067260194723E-3</v>
      </c>
      <c r="S11" s="161">
        <v>0.4</v>
      </c>
      <c r="T11" s="162">
        <v>0.2</v>
      </c>
      <c r="U11" s="161"/>
      <c r="V11" s="162"/>
      <c r="W11" s="161"/>
      <c r="X11" s="162"/>
      <c r="Y11" s="161"/>
      <c r="Z11" s="162"/>
      <c r="AA11" s="163">
        <v>3.0784426904077889E-3</v>
      </c>
      <c r="AB11" s="163">
        <v>1.5392213452038945E-3</v>
      </c>
      <c r="AC11" s="163">
        <v>0</v>
      </c>
      <c r="AD11" s="163">
        <v>0</v>
      </c>
      <c r="AE11" s="163">
        <v>0</v>
      </c>
      <c r="AF11" s="163">
        <v>0</v>
      </c>
      <c r="AG11" s="163">
        <v>0</v>
      </c>
      <c r="AH11" s="163">
        <v>0</v>
      </c>
      <c r="AI11" s="163">
        <v>6.4095824544424702E-3</v>
      </c>
      <c r="AJ11" s="163">
        <v>3.4567754140383483E-3</v>
      </c>
      <c r="AK11" s="163" t="e">
        <v>#DIV/0!</v>
      </c>
      <c r="AL11" s="163" t="e">
        <v>#DIV/0!</v>
      </c>
      <c r="AM11" s="163" t="e">
        <v>#DIV/0!</v>
      </c>
      <c r="AN11" s="163" t="e">
        <v>#DIV/0!</v>
      </c>
      <c r="AO11" s="163" t="e">
        <v>#DIV/0!</v>
      </c>
      <c r="AP11" s="163" t="e">
        <v>#DIV/0!</v>
      </c>
      <c r="AQ11" s="164">
        <v>6409582</v>
      </c>
      <c r="AR11" s="167">
        <v>3456775</v>
      </c>
      <c r="AS11" s="167" t="e">
        <v>#DIV/0!</v>
      </c>
      <c r="AT11" s="167" t="e">
        <v>#DIV/0!</v>
      </c>
      <c r="AU11" s="164" t="e">
        <v>#DIV/0!</v>
      </c>
      <c r="AV11" s="167" t="e">
        <v>#DIV/0!</v>
      </c>
      <c r="AW11" s="167" t="e">
        <v>#DIV/0!</v>
      </c>
      <c r="AX11" s="167" t="e">
        <v>#DIV/0!</v>
      </c>
      <c r="AY11" s="165">
        <f t="shared" si="2"/>
        <v>3.5775886493817681E-2</v>
      </c>
      <c r="AZ11" s="165">
        <v>6.4095819999999996E-3</v>
      </c>
      <c r="BA11" s="165">
        <f t="shared" si="3"/>
        <v>1.9294423573123273E-2</v>
      </c>
      <c r="BB11" s="165">
        <v>3.456775E-3</v>
      </c>
      <c r="BC11" s="165" t="e">
        <f t="shared" si="4"/>
        <v>#DIV/0!</v>
      </c>
      <c r="BD11" s="165" t="e">
        <v>#DIV/0!</v>
      </c>
      <c r="BE11" s="165" t="e">
        <f t="shared" si="5"/>
        <v>#DIV/0!</v>
      </c>
      <c r="BF11" s="165" t="e">
        <v>#DIV/0!</v>
      </c>
      <c r="BG11" s="165" t="e">
        <f t="shared" si="6"/>
        <v>#DIV/0!</v>
      </c>
      <c r="BH11" s="165" t="e">
        <v>#DIV/0!</v>
      </c>
      <c r="BI11" s="165" t="e">
        <f t="shared" si="7"/>
        <v>#DIV/0!</v>
      </c>
      <c r="BJ11" s="165" t="e">
        <v>#DIV/0!</v>
      </c>
      <c r="BK11" s="165" t="e">
        <f t="shared" si="8"/>
        <v>#DIV/0!</v>
      </c>
      <c r="BL11" s="165" t="e">
        <v>#DIV/0!</v>
      </c>
      <c r="BM11" s="165" t="e">
        <f t="shared" si="9"/>
        <v>#DIV/0!</v>
      </c>
      <c r="BN11" s="165" t="e">
        <v>#DIV/0!</v>
      </c>
    </row>
    <row r="12" spans="1:66" ht="15.6" x14ac:dyDescent="0.3">
      <c r="A12" s="155">
        <v>6</v>
      </c>
      <c r="B12" s="155">
        <v>7</v>
      </c>
      <c r="C12" s="156">
        <v>540166</v>
      </c>
      <c r="D12" s="156"/>
      <c r="E12" s="156"/>
      <c r="F12" s="156">
        <v>105596152500</v>
      </c>
      <c r="G12" s="156"/>
      <c r="H12" s="156"/>
      <c r="I12" s="157">
        <v>5.4856809383814348E-3</v>
      </c>
      <c r="J12" s="157" t="e">
        <v>#DIV/0!</v>
      </c>
      <c r="K12" s="157"/>
      <c r="L12" s="157">
        <v>6.5162778664336525</v>
      </c>
      <c r="M12" s="157"/>
      <c r="N12" s="157"/>
      <c r="O12" s="146"/>
      <c r="P12" s="159" t="str">
        <f t="shared" si="0"/>
        <v>(6, 7]</v>
      </c>
      <c r="Q12" s="160" t="s">
        <v>66</v>
      </c>
      <c r="R12" s="157">
        <f t="shared" si="10"/>
        <v>5.4856809383814348E-3</v>
      </c>
      <c r="S12" s="161">
        <v>0.6</v>
      </c>
      <c r="T12" s="162">
        <v>0.2</v>
      </c>
      <c r="U12" s="161"/>
      <c r="V12" s="162"/>
      <c r="W12" s="161"/>
      <c r="X12" s="162"/>
      <c r="Y12" s="161"/>
      <c r="Z12" s="162"/>
      <c r="AA12" s="163">
        <v>3.291408563028861E-3</v>
      </c>
      <c r="AB12" s="163">
        <v>1.0971361876762869E-3</v>
      </c>
      <c r="AC12" s="163">
        <v>0</v>
      </c>
      <c r="AD12" s="163">
        <v>0</v>
      </c>
      <c r="AE12" s="163">
        <v>0</v>
      </c>
      <c r="AF12" s="163">
        <v>0</v>
      </c>
      <c r="AG12" s="163">
        <v>0</v>
      </c>
      <c r="AH12" s="163">
        <v>0</v>
      </c>
      <c r="AI12" s="163">
        <v>6.8529957181684342E-3</v>
      </c>
      <c r="AJ12" s="163">
        <v>2.4639428313728115E-3</v>
      </c>
      <c r="AK12" s="163" t="e">
        <v>#DIV/0!</v>
      </c>
      <c r="AL12" s="163" t="e">
        <v>#DIV/0!</v>
      </c>
      <c r="AM12" s="163" t="e">
        <v>#DIV/0!</v>
      </c>
      <c r="AN12" s="163" t="e">
        <v>#DIV/0!</v>
      </c>
      <c r="AO12" s="163" t="e">
        <v>#DIV/0!</v>
      </c>
      <c r="AP12" s="163" t="e">
        <v>#DIV/0!</v>
      </c>
      <c r="AQ12" s="164">
        <v>6852995</v>
      </c>
      <c r="AR12" s="167">
        <v>2463942</v>
      </c>
      <c r="AS12" s="167" t="e">
        <v>#DIV/0!</v>
      </c>
      <c r="AT12" s="167" t="e">
        <v>#DIV/0!</v>
      </c>
      <c r="AU12" s="164" t="e">
        <v>#DIV/0!</v>
      </c>
      <c r="AV12" s="167" t="e">
        <v>#DIV/0!</v>
      </c>
      <c r="AW12" s="167" t="e">
        <v>#DIV/0!</v>
      </c>
      <c r="AX12" s="167" t="e">
        <v>#DIV/0!</v>
      </c>
      <c r="AY12" s="165">
        <f t="shared" si="2"/>
        <v>4.4656019637280484E-2</v>
      </c>
      <c r="AZ12" s="165">
        <v>6.8529949999999997E-3</v>
      </c>
      <c r="BA12" s="165">
        <f t="shared" si="3"/>
        <v>1.6055730718776268E-2</v>
      </c>
      <c r="BB12" s="165">
        <v>2.4639420000000002E-3</v>
      </c>
      <c r="BC12" s="165" t="e">
        <f t="shared" si="4"/>
        <v>#DIV/0!</v>
      </c>
      <c r="BD12" s="165" t="e">
        <v>#DIV/0!</v>
      </c>
      <c r="BE12" s="165" t="e">
        <f t="shared" si="5"/>
        <v>#DIV/0!</v>
      </c>
      <c r="BF12" s="165" t="e">
        <v>#DIV/0!</v>
      </c>
      <c r="BG12" s="165" t="e">
        <f t="shared" si="6"/>
        <v>#DIV/0!</v>
      </c>
      <c r="BH12" s="165" t="e">
        <v>#DIV/0!</v>
      </c>
      <c r="BI12" s="165" t="e">
        <f t="shared" si="7"/>
        <v>#DIV/0!</v>
      </c>
      <c r="BJ12" s="165" t="e">
        <v>#DIV/0!</v>
      </c>
      <c r="BK12" s="165" t="e">
        <f t="shared" si="8"/>
        <v>#DIV/0!</v>
      </c>
      <c r="BL12" s="165" t="e">
        <v>#DIV/0!</v>
      </c>
      <c r="BM12" s="165" t="e">
        <f t="shared" si="9"/>
        <v>#DIV/0!</v>
      </c>
      <c r="BN12" s="165" t="e">
        <v>#DIV/0!</v>
      </c>
    </row>
    <row r="13" spans="1:66" ht="15.6" x14ac:dyDescent="0.3">
      <c r="A13" s="155">
        <v>7</v>
      </c>
      <c r="B13" s="155">
        <v>8</v>
      </c>
      <c r="C13" s="156">
        <v>471377</v>
      </c>
      <c r="D13" s="156"/>
      <c r="E13" s="156"/>
      <c r="F13" s="156">
        <v>106741951500</v>
      </c>
      <c r="G13" s="156"/>
      <c r="H13" s="156"/>
      <c r="I13" s="157">
        <v>4.7870910492171402E-3</v>
      </c>
      <c r="J13" s="157" t="e">
        <v>#DIV/0!</v>
      </c>
      <c r="K13" s="157"/>
      <c r="L13" s="157">
        <v>7.5482364434412368</v>
      </c>
      <c r="M13" s="157"/>
      <c r="N13" s="157"/>
      <c r="O13" s="146"/>
      <c r="P13" s="159" t="str">
        <f t="shared" si="0"/>
        <v>(7, 8]</v>
      </c>
      <c r="Q13" s="160" t="s">
        <v>66</v>
      </c>
      <c r="R13" s="157">
        <f t="shared" si="10"/>
        <v>4.7870910492171402E-3</v>
      </c>
      <c r="S13" s="161">
        <v>0.25600000000000001</v>
      </c>
      <c r="T13" s="162">
        <v>0.12</v>
      </c>
      <c r="U13" s="161"/>
      <c r="V13" s="162"/>
      <c r="W13" s="161"/>
      <c r="X13" s="162"/>
      <c r="Y13" s="161"/>
      <c r="Z13" s="162"/>
      <c r="AA13" s="163">
        <v>1.225495308599588E-3</v>
      </c>
      <c r="AB13" s="163">
        <v>5.744509259060568E-4</v>
      </c>
      <c r="AC13" s="163">
        <v>0</v>
      </c>
      <c r="AD13" s="163">
        <v>0</v>
      </c>
      <c r="AE13" s="163">
        <v>0</v>
      </c>
      <c r="AF13" s="163">
        <v>0</v>
      </c>
      <c r="AG13" s="163">
        <v>0</v>
      </c>
      <c r="AH13" s="163">
        <v>0</v>
      </c>
      <c r="AI13" s="163">
        <v>2.5515866358262369E-3</v>
      </c>
      <c r="AJ13" s="163">
        <v>1.2900989473873089E-3</v>
      </c>
      <c r="AK13" s="163" t="e">
        <v>#DIV/0!</v>
      </c>
      <c r="AL13" s="163" t="e">
        <v>#DIV/0!</v>
      </c>
      <c r="AM13" s="163" t="e">
        <v>#DIV/0!</v>
      </c>
      <c r="AN13" s="163" t="e">
        <v>#DIV/0!</v>
      </c>
      <c r="AO13" s="163" t="e">
        <v>#DIV/0!</v>
      </c>
      <c r="AP13" s="163" t="e">
        <v>#DIV/0!</v>
      </c>
      <c r="AQ13" s="164">
        <v>2551586</v>
      </c>
      <c r="AR13" s="167">
        <v>1290098</v>
      </c>
      <c r="AS13" s="167" t="e">
        <v>#DIV/0!</v>
      </c>
      <c r="AT13" s="167" t="e">
        <v>#DIV/0!</v>
      </c>
      <c r="AU13" s="164" t="e">
        <v>#DIV/0!</v>
      </c>
      <c r="AV13" s="167" t="e">
        <v>#DIV/0!</v>
      </c>
      <c r="AW13" s="167" t="e">
        <v>#DIV/0!</v>
      </c>
      <c r="AX13" s="167" t="e">
        <v>#DIV/0!</v>
      </c>
      <c r="AY13" s="165">
        <f t="shared" si="2"/>
        <v>1.9259974433774453E-2</v>
      </c>
      <c r="AZ13" s="165">
        <v>2.5515859999999998E-3</v>
      </c>
      <c r="BA13" s="165">
        <f t="shared" si="3"/>
        <v>9.7379647392106528E-3</v>
      </c>
      <c r="BB13" s="165">
        <v>1.2900979999999999E-3</v>
      </c>
      <c r="BC13" s="165" t="e">
        <f t="shared" si="4"/>
        <v>#DIV/0!</v>
      </c>
      <c r="BD13" s="165" t="e">
        <v>#DIV/0!</v>
      </c>
      <c r="BE13" s="165" t="e">
        <f t="shared" si="5"/>
        <v>#DIV/0!</v>
      </c>
      <c r="BF13" s="165" t="e">
        <v>#DIV/0!</v>
      </c>
      <c r="BG13" s="165" t="e">
        <f t="shared" si="6"/>
        <v>#DIV/0!</v>
      </c>
      <c r="BH13" s="165" t="e">
        <v>#DIV/0!</v>
      </c>
      <c r="BI13" s="165" t="e">
        <f t="shared" si="7"/>
        <v>#DIV/0!</v>
      </c>
      <c r="BJ13" s="165" t="e">
        <v>#DIV/0!</v>
      </c>
      <c r="BK13" s="165" t="e">
        <f t="shared" si="8"/>
        <v>#DIV/0!</v>
      </c>
      <c r="BL13" s="165" t="e">
        <v>#DIV/0!</v>
      </c>
      <c r="BM13" s="165" t="e">
        <f t="shared" si="9"/>
        <v>#DIV/0!</v>
      </c>
      <c r="BN13" s="165" t="e">
        <v>#DIV/0!</v>
      </c>
    </row>
    <row r="14" spans="1:66" ht="15.6" x14ac:dyDescent="0.3">
      <c r="A14" s="155">
        <v>8</v>
      </c>
      <c r="B14" s="155">
        <v>9</v>
      </c>
      <c r="C14" s="156">
        <v>382555</v>
      </c>
      <c r="D14" s="156"/>
      <c r="E14" s="156"/>
      <c r="F14" s="156">
        <v>98781204000</v>
      </c>
      <c r="G14" s="156"/>
      <c r="H14" s="156"/>
      <c r="I14" s="157">
        <v>3.8850550967341703E-3</v>
      </c>
      <c r="J14" s="157" t="e">
        <v>#DIV/0!</v>
      </c>
      <c r="K14" s="157"/>
      <c r="L14" s="157">
        <v>8.60714616198978</v>
      </c>
      <c r="M14" s="157"/>
      <c r="N14" s="157"/>
      <c r="O14" s="146"/>
      <c r="P14" s="159" t="str">
        <f t="shared" si="0"/>
        <v>(8, 9]</v>
      </c>
      <c r="Q14" s="160" t="s">
        <v>66</v>
      </c>
      <c r="R14" s="157">
        <f t="shared" si="10"/>
        <v>3.8850550967341703E-3</v>
      </c>
      <c r="S14" s="161">
        <v>0.26</v>
      </c>
      <c r="T14" s="162">
        <v>0.12</v>
      </c>
      <c r="U14" s="161"/>
      <c r="V14" s="162"/>
      <c r="W14" s="161"/>
      <c r="X14" s="162"/>
      <c r="Y14" s="161"/>
      <c r="Z14" s="162"/>
      <c r="AA14" s="163">
        <v>1.0101143251508844E-3</v>
      </c>
      <c r="AB14" s="163">
        <v>4.6620661160810042E-4</v>
      </c>
      <c r="AC14" s="163">
        <v>0</v>
      </c>
      <c r="AD14" s="163">
        <v>0</v>
      </c>
      <c r="AE14" s="163">
        <v>0</v>
      </c>
      <c r="AF14" s="163">
        <v>0</v>
      </c>
      <c r="AG14" s="163">
        <v>0</v>
      </c>
      <c r="AH14" s="163">
        <v>0</v>
      </c>
      <c r="AI14" s="163">
        <v>2.1031449036364768E-3</v>
      </c>
      <c r="AJ14" s="163">
        <v>1.047004420703072E-3</v>
      </c>
      <c r="AK14" s="163" t="e">
        <v>#DIV/0!</v>
      </c>
      <c r="AL14" s="163" t="e">
        <v>#DIV/0!</v>
      </c>
      <c r="AM14" s="163" t="e">
        <v>#DIV/0!</v>
      </c>
      <c r="AN14" s="163" t="e">
        <v>#DIV/0!</v>
      </c>
      <c r="AO14" s="163" t="e">
        <v>#DIV/0!</v>
      </c>
      <c r="AP14" s="163" t="e">
        <v>#DIV/0!</v>
      </c>
      <c r="AQ14" s="164">
        <v>2103144</v>
      </c>
      <c r="AR14" s="167">
        <v>1047004</v>
      </c>
      <c r="AS14" s="167" t="e">
        <v>#DIV/0!</v>
      </c>
      <c r="AT14" s="167" t="e">
        <v>#DIV/0!</v>
      </c>
      <c r="AU14" s="164" t="e">
        <v>#DIV/0!</v>
      </c>
      <c r="AV14" s="167" t="e">
        <v>#DIV/0!</v>
      </c>
      <c r="AW14" s="167" t="e">
        <v>#DIV/0!</v>
      </c>
      <c r="AX14" s="167" t="e">
        <v>#DIV/0!</v>
      </c>
      <c r="AY14" s="165">
        <f t="shared" si="2"/>
        <v>1.8102067807711831E-2</v>
      </c>
      <c r="AZ14" s="165">
        <v>2.1031439999999999E-3</v>
      </c>
      <c r="BA14" s="165">
        <f t="shared" si="3"/>
        <v>9.011716460187948E-3</v>
      </c>
      <c r="BB14" s="165">
        <v>1.047004E-3</v>
      </c>
      <c r="BC14" s="165" t="e">
        <f t="shared" si="4"/>
        <v>#DIV/0!</v>
      </c>
      <c r="BD14" s="165" t="e">
        <v>#DIV/0!</v>
      </c>
      <c r="BE14" s="165" t="e">
        <f t="shared" si="5"/>
        <v>#DIV/0!</v>
      </c>
      <c r="BF14" s="165" t="e">
        <v>#DIV/0!</v>
      </c>
      <c r="BG14" s="165" t="e">
        <f t="shared" si="6"/>
        <v>#DIV/0!</v>
      </c>
      <c r="BH14" s="165" t="e">
        <v>#DIV/0!</v>
      </c>
      <c r="BI14" s="165" t="e">
        <f t="shared" si="7"/>
        <v>#DIV/0!</v>
      </c>
      <c r="BJ14" s="165" t="e">
        <v>#DIV/0!</v>
      </c>
      <c r="BK14" s="165" t="e">
        <f t="shared" si="8"/>
        <v>#DIV/0!</v>
      </c>
      <c r="BL14" s="165" t="e">
        <v>#DIV/0!</v>
      </c>
      <c r="BM14" s="165" t="e">
        <f t="shared" si="9"/>
        <v>#DIV/0!</v>
      </c>
      <c r="BN14" s="165" t="e">
        <v>#DIV/0!</v>
      </c>
    </row>
    <row r="15" spans="1:66" ht="15.6" x14ac:dyDescent="0.3">
      <c r="A15" s="155">
        <v>9</v>
      </c>
      <c r="B15" s="155">
        <v>10</v>
      </c>
      <c r="C15" s="156">
        <v>312722</v>
      </c>
      <c r="D15" s="156"/>
      <c r="E15" s="156"/>
      <c r="F15" s="156">
        <v>89754351000</v>
      </c>
      <c r="G15" s="156"/>
      <c r="H15" s="156"/>
      <c r="I15" s="157">
        <v>3.1758628170090657E-3</v>
      </c>
      <c r="J15" s="157" t="e">
        <v>#DIV/0!</v>
      </c>
      <c r="K15" s="157"/>
      <c r="L15" s="157">
        <v>9.5670010424594381</v>
      </c>
      <c r="M15" s="157"/>
      <c r="N15" s="157"/>
      <c r="O15" s="146"/>
      <c r="P15" s="159" t="str">
        <f t="shared" si="0"/>
        <v>(9, 10]</v>
      </c>
      <c r="Q15" s="160" t="s">
        <v>66</v>
      </c>
      <c r="R15" s="157">
        <f t="shared" si="10"/>
        <v>3.1758628170090657E-3</v>
      </c>
      <c r="S15" s="161">
        <v>0.26</v>
      </c>
      <c r="T15" s="162">
        <v>0.12</v>
      </c>
      <c r="U15" s="161"/>
      <c r="V15" s="162"/>
      <c r="W15" s="161"/>
      <c r="X15" s="162"/>
      <c r="Y15" s="161"/>
      <c r="Z15" s="162"/>
      <c r="AA15" s="163">
        <v>8.2572433242235712E-4</v>
      </c>
      <c r="AB15" s="163">
        <v>3.8110353804108785E-4</v>
      </c>
      <c r="AC15" s="163">
        <v>0</v>
      </c>
      <c r="AD15" s="163">
        <v>0</v>
      </c>
      <c r="AE15" s="163">
        <v>0</v>
      </c>
      <c r="AF15" s="163">
        <v>0</v>
      </c>
      <c r="AG15" s="163">
        <v>0</v>
      </c>
      <c r="AH15" s="163">
        <v>0</v>
      </c>
      <c r="AI15" s="163">
        <v>1.7192290796225541E-3</v>
      </c>
      <c r="AJ15" s="163">
        <v>8.5588037393605112E-4</v>
      </c>
      <c r="AK15" s="163" t="e">
        <v>#DIV/0!</v>
      </c>
      <c r="AL15" s="163" t="e">
        <v>#DIV/0!</v>
      </c>
      <c r="AM15" s="163" t="e">
        <v>#DIV/0!</v>
      </c>
      <c r="AN15" s="163" t="e">
        <v>#DIV/0!</v>
      </c>
      <c r="AO15" s="163" t="e">
        <v>#DIV/0!</v>
      </c>
      <c r="AP15" s="163" t="e">
        <v>#DIV/0!</v>
      </c>
      <c r="AQ15" s="164">
        <v>1719229</v>
      </c>
      <c r="AR15" s="167">
        <v>855880</v>
      </c>
      <c r="AS15" s="167" t="e">
        <v>#DIV/0!</v>
      </c>
      <c r="AT15" s="167" t="e">
        <v>#DIV/0!</v>
      </c>
      <c r="AU15" s="164" t="e">
        <v>#DIV/0!</v>
      </c>
      <c r="AV15" s="167" t="e">
        <v>#DIV/0!</v>
      </c>
      <c r="AW15" s="167" t="e">
        <v>#DIV/0!</v>
      </c>
      <c r="AX15" s="167" t="e">
        <v>#DIV/0!</v>
      </c>
      <c r="AY15" s="165">
        <f t="shared" si="2"/>
        <v>1.6447865635226499E-2</v>
      </c>
      <c r="AZ15" s="165">
        <v>1.7192290000000001E-3</v>
      </c>
      <c r="BA15" s="165">
        <f t="shared" si="3"/>
        <v>8.1882048522201843E-3</v>
      </c>
      <c r="BB15" s="165">
        <v>8.5588000000000005E-4</v>
      </c>
      <c r="BC15" s="165" t="e">
        <f t="shared" si="4"/>
        <v>#DIV/0!</v>
      </c>
      <c r="BD15" s="165" t="e">
        <v>#DIV/0!</v>
      </c>
      <c r="BE15" s="165" t="e">
        <f t="shared" si="5"/>
        <v>#DIV/0!</v>
      </c>
      <c r="BF15" s="165" t="e">
        <v>#DIV/0!</v>
      </c>
      <c r="BG15" s="165" t="e">
        <f t="shared" si="6"/>
        <v>#DIV/0!</v>
      </c>
      <c r="BH15" s="165" t="e">
        <v>#DIV/0!</v>
      </c>
      <c r="BI15" s="165" t="e">
        <f t="shared" si="7"/>
        <v>#DIV/0!</v>
      </c>
      <c r="BJ15" s="165" t="e">
        <v>#DIV/0!</v>
      </c>
      <c r="BK15" s="165" t="e">
        <f t="shared" si="8"/>
        <v>#DIV/0!</v>
      </c>
      <c r="BL15" s="165" t="e">
        <v>#DIV/0!</v>
      </c>
      <c r="BM15" s="165" t="e">
        <f t="shared" si="9"/>
        <v>#DIV/0!</v>
      </c>
      <c r="BN15" s="165" t="e">
        <v>#DIV/0!</v>
      </c>
    </row>
    <row r="16" spans="1:66" ht="15.6" x14ac:dyDescent="0.3">
      <c r="A16" s="155">
        <v>10</v>
      </c>
      <c r="B16" s="155">
        <v>15</v>
      </c>
      <c r="C16" s="156">
        <v>914728</v>
      </c>
      <c r="D16" s="156"/>
      <c r="E16" s="156"/>
      <c r="F16" s="156">
        <v>336929416500</v>
      </c>
      <c r="G16" s="156"/>
      <c r="H16" s="156"/>
      <c r="I16" s="157">
        <v>9.2895627518277211E-3</v>
      </c>
      <c r="J16" s="157" t="e">
        <v>#DIV/0!</v>
      </c>
      <c r="K16" s="157"/>
      <c r="L16" s="157">
        <v>12.277945520416999</v>
      </c>
      <c r="M16" s="157"/>
      <c r="N16" s="157"/>
      <c r="O16" s="146"/>
      <c r="P16" s="159" t="str">
        <f t="shared" si="0"/>
        <v>(10, 15]</v>
      </c>
      <c r="Q16" s="160" t="s">
        <v>66</v>
      </c>
      <c r="R16" s="157">
        <f t="shared" si="10"/>
        <v>9.2895627518277211E-3</v>
      </c>
      <c r="S16" s="161">
        <v>0.08</v>
      </c>
      <c r="T16" s="162">
        <v>0.1</v>
      </c>
      <c r="U16" s="161"/>
      <c r="V16" s="162"/>
      <c r="W16" s="161"/>
      <c r="X16" s="162"/>
      <c r="Y16" s="161"/>
      <c r="Z16" s="162"/>
      <c r="AA16" s="163">
        <v>7.4316502014621765E-4</v>
      </c>
      <c r="AB16" s="163">
        <v>9.2895627518277217E-4</v>
      </c>
      <c r="AC16" s="163">
        <v>0</v>
      </c>
      <c r="AD16" s="163">
        <v>0</v>
      </c>
      <c r="AE16" s="163">
        <v>0</v>
      </c>
      <c r="AF16" s="163">
        <v>0</v>
      </c>
      <c r="AG16" s="163">
        <v>0</v>
      </c>
      <c r="AH16" s="163">
        <v>0</v>
      </c>
      <c r="AI16" s="163">
        <v>1.5473334906402291E-3</v>
      </c>
      <c r="AJ16" s="163">
        <v>2.0862452452172012E-3</v>
      </c>
      <c r="AK16" s="163" t="e">
        <v>#DIV/0!</v>
      </c>
      <c r="AL16" s="163" t="e">
        <v>#DIV/0!</v>
      </c>
      <c r="AM16" s="163" t="e">
        <v>#DIV/0!</v>
      </c>
      <c r="AN16" s="163" t="e">
        <v>#DIV/0!</v>
      </c>
      <c r="AO16" s="163" t="e">
        <v>#DIV/0!</v>
      </c>
      <c r="AP16" s="163" t="e">
        <v>#DIV/0!</v>
      </c>
      <c r="AQ16" s="164">
        <v>1547333</v>
      </c>
      <c r="AR16" s="167">
        <v>2086245</v>
      </c>
      <c r="AS16" s="167" t="e">
        <v>#DIV/0!</v>
      </c>
      <c r="AT16" s="167" t="e">
        <v>#DIV/0!</v>
      </c>
      <c r="AU16" s="164" t="e">
        <v>#DIV/0!</v>
      </c>
      <c r="AV16" s="167" t="e">
        <v>#DIV/0!</v>
      </c>
      <c r="AW16" s="167" t="e">
        <v>#DIV/0!</v>
      </c>
      <c r="AX16" s="167" t="e">
        <v>#DIV/0!</v>
      </c>
      <c r="AY16" s="165">
        <f t="shared" si="2"/>
        <v>1.8998070275943395E-2</v>
      </c>
      <c r="AZ16" s="165">
        <v>1.5473329999999999E-3</v>
      </c>
      <c r="BA16" s="165">
        <f t="shared" si="3"/>
        <v>2.5614802452242364E-2</v>
      </c>
      <c r="BB16" s="165">
        <v>2.086245E-3</v>
      </c>
      <c r="BC16" s="165" t="e">
        <f t="shared" si="4"/>
        <v>#DIV/0!</v>
      </c>
      <c r="BD16" s="165" t="e">
        <v>#DIV/0!</v>
      </c>
      <c r="BE16" s="165" t="e">
        <f t="shared" si="5"/>
        <v>#DIV/0!</v>
      </c>
      <c r="BF16" s="165" t="e">
        <v>#DIV/0!</v>
      </c>
      <c r="BG16" s="165" t="e">
        <f t="shared" si="6"/>
        <v>#DIV/0!</v>
      </c>
      <c r="BH16" s="165" t="e">
        <v>#DIV/0!</v>
      </c>
      <c r="BI16" s="165" t="e">
        <f t="shared" si="7"/>
        <v>#DIV/0!</v>
      </c>
      <c r="BJ16" s="165" t="e">
        <v>#DIV/0!</v>
      </c>
      <c r="BK16" s="165" t="e">
        <f t="shared" si="8"/>
        <v>#DIV/0!</v>
      </c>
      <c r="BL16" s="165" t="e">
        <v>#DIV/0!</v>
      </c>
      <c r="BM16" s="165" t="e">
        <f t="shared" si="9"/>
        <v>#DIV/0!</v>
      </c>
      <c r="BN16" s="165" t="e">
        <v>#DIV/0!</v>
      </c>
    </row>
    <row r="17" spans="1:66" ht="15.6" x14ac:dyDescent="0.3">
      <c r="A17" s="155">
        <v>15</v>
      </c>
      <c r="B17" s="155">
        <v>20</v>
      </c>
      <c r="C17" s="156">
        <v>471279</v>
      </c>
      <c r="D17" s="156"/>
      <c r="E17" s="156"/>
      <c r="F17" s="156">
        <v>245766462000</v>
      </c>
      <c r="G17" s="156"/>
      <c r="H17" s="156"/>
      <c r="I17" s="157">
        <v>4.7860958056587495E-3</v>
      </c>
      <c r="J17" s="157" t="e">
        <v>#DIV/0!</v>
      </c>
      <c r="K17" s="157"/>
      <c r="L17" s="157">
        <v>17.382941739394287</v>
      </c>
      <c r="M17" s="157"/>
      <c r="N17" s="157"/>
      <c r="O17" s="146"/>
      <c r="P17" s="159" t="str">
        <f t="shared" si="0"/>
        <v>(15, 20]</v>
      </c>
      <c r="Q17" s="160" t="s">
        <v>66</v>
      </c>
      <c r="R17" s="157">
        <f t="shared" si="10"/>
        <v>4.7860958056587495E-3</v>
      </c>
      <c r="S17" s="161">
        <v>0.3</v>
      </c>
      <c r="T17" s="162">
        <v>0.35</v>
      </c>
      <c r="U17" s="161"/>
      <c r="V17" s="162"/>
      <c r="W17" s="161"/>
      <c r="X17" s="162"/>
      <c r="Y17" s="161"/>
      <c r="Z17" s="162"/>
      <c r="AA17" s="163">
        <v>1.4358287416976249E-3</v>
      </c>
      <c r="AB17" s="163">
        <v>1.6751335319805623E-3</v>
      </c>
      <c r="AC17" s="163">
        <v>0</v>
      </c>
      <c r="AD17" s="163">
        <v>0</v>
      </c>
      <c r="AE17" s="163">
        <v>0</v>
      </c>
      <c r="AF17" s="163">
        <v>0</v>
      </c>
      <c r="AG17" s="163">
        <v>0</v>
      </c>
      <c r="AH17" s="163">
        <v>0</v>
      </c>
      <c r="AI17" s="163">
        <v>2.9895189340524036E-3</v>
      </c>
      <c r="AJ17" s="163">
        <v>3.7620063070360923E-3</v>
      </c>
      <c r="AK17" s="163" t="e">
        <v>#DIV/0!</v>
      </c>
      <c r="AL17" s="163" t="e">
        <v>#DIV/0!</v>
      </c>
      <c r="AM17" s="163" t="e">
        <v>#DIV/0!</v>
      </c>
      <c r="AN17" s="163" t="e">
        <v>#DIV/0!</v>
      </c>
      <c r="AO17" s="163" t="e">
        <v>#DIV/0!</v>
      </c>
      <c r="AP17" s="163" t="e">
        <v>#DIV/0!</v>
      </c>
      <c r="AQ17" s="164">
        <v>2989518</v>
      </c>
      <c r="AR17" s="167">
        <v>3762006</v>
      </c>
      <c r="AS17" s="167" t="e">
        <v>#DIV/0!</v>
      </c>
      <c r="AT17" s="167" t="e">
        <v>#DIV/0!</v>
      </c>
      <c r="AU17" s="164" t="e">
        <v>#DIV/0!</v>
      </c>
      <c r="AV17" s="167" t="e">
        <v>#DIV/0!</v>
      </c>
      <c r="AW17" s="167" t="e">
        <v>#DIV/0!</v>
      </c>
      <c r="AX17" s="167" t="e">
        <v>#DIV/0!</v>
      </c>
      <c r="AY17" s="165">
        <f t="shared" si="2"/>
        <v>5.1966617222870527E-2</v>
      </c>
      <c r="AZ17" s="165">
        <v>2.989518E-3</v>
      </c>
      <c r="BA17" s="165">
        <f t="shared" si="3"/>
        <v>6.5394731121251742E-2</v>
      </c>
      <c r="BB17" s="165">
        <v>3.762006E-3</v>
      </c>
      <c r="BC17" s="165" t="e">
        <f t="shared" si="4"/>
        <v>#DIV/0!</v>
      </c>
      <c r="BD17" s="165" t="e">
        <v>#DIV/0!</v>
      </c>
      <c r="BE17" s="165" t="e">
        <f t="shared" si="5"/>
        <v>#DIV/0!</v>
      </c>
      <c r="BF17" s="165" t="e">
        <v>#DIV/0!</v>
      </c>
      <c r="BG17" s="165" t="e">
        <f t="shared" si="6"/>
        <v>#DIV/0!</v>
      </c>
      <c r="BH17" s="165" t="e">
        <v>#DIV/0!</v>
      </c>
      <c r="BI17" s="165" t="e">
        <f t="shared" si="7"/>
        <v>#DIV/0!</v>
      </c>
      <c r="BJ17" s="165" t="e">
        <v>#DIV/0!</v>
      </c>
      <c r="BK17" s="165" t="e">
        <f t="shared" si="8"/>
        <v>#DIV/0!</v>
      </c>
      <c r="BL17" s="165" t="e">
        <v>#DIV/0!</v>
      </c>
      <c r="BM17" s="165" t="e">
        <f t="shared" si="9"/>
        <v>#DIV/0!</v>
      </c>
      <c r="BN17" s="165" t="e">
        <v>#DIV/0!</v>
      </c>
    </row>
    <row r="18" spans="1:66" ht="15.6" x14ac:dyDescent="0.3">
      <c r="A18" s="155">
        <v>20</v>
      </c>
      <c r="B18" s="155">
        <v>25</v>
      </c>
      <c r="C18" s="156">
        <v>278340</v>
      </c>
      <c r="D18" s="156"/>
      <c r="E18" s="156"/>
      <c r="F18" s="156">
        <v>187199701500</v>
      </c>
      <c r="G18" s="156"/>
      <c r="H18" s="156"/>
      <c r="I18" s="157">
        <v>2.8266948167583457E-3</v>
      </c>
      <c r="J18" s="157" t="e">
        <v>#DIV/0!</v>
      </c>
      <c r="K18" s="157"/>
      <c r="L18" s="157">
        <v>22.418588955953151</v>
      </c>
      <c r="M18" s="157"/>
      <c r="N18" s="157"/>
      <c r="O18" s="146"/>
      <c r="P18" s="159" t="str">
        <f t="shared" si="0"/>
        <v>(20, 25]</v>
      </c>
      <c r="Q18" s="160" t="s">
        <v>66</v>
      </c>
      <c r="R18" s="157">
        <f t="shared" si="10"/>
        <v>2.8266948167583457E-3</v>
      </c>
      <c r="S18" s="161">
        <v>0</v>
      </c>
      <c r="T18" s="162">
        <v>0.15</v>
      </c>
      <c r="U18" s="161"/>
      <c r="V18" s="162"/>
      <c r="W18" s="161"/>
      <c r="X18" s="162"/>
      <c r="Y18" s="161"/>
      <c r="Z18" s="162"/>
      <c r="AA18" s="163">
        <v>0</v>
      </c>
      <c r="AB18" s="163">
        <v>4.2400422251375185E-4</v>
      </c>
      <c r="AC18" s="163">
        <v>0</v>
      </c>
      <c r="AD18" s="163">
        <v>0</v>
      </c>
      <c r="AE18" s="163">
        <v>0</v>
      </c>
      <c r="AF18" s="163">
        <v>0</v>
      </c>
      <c r="AG18" s="163">
        <v>0</v>
      </c>
      <c r="AH18" s="163">
        <v>0</v>
      </c>
      <c r="AI18" s="163">
        <v>0</v>
      </c>
      <c r="AJ18" s="163">
        <v>9.5222651141173514E-4</v>
      </c>
      <c r="AK18" s="163" t="e">
        <v>#DIV/0!</v>
      </c>
      <c r="AL18" s="163" t="e">
        <v>#DIV/0!</v>
      </c>
      <c r="AM18" s="163" t="e">
        <v>#DIV/0!</v>
      </c>
      <c r="AN18" s="163" t="e">
        <v>#DIV/0!</v>
      </c>
      <c r="AO18" s="163" t="e">
        <v>#DIV/0!</v>
      </c>
      <c r="AP18" s="163" t="e">
        <v>#DIV/0!</v>
      </c>
      <c r="AQ18" s="164">
        <v>0</v>
      </c>
      <c r="AR18" s="167">
        <v>952226</v>
      </c>
      <c r="AS18" s="167" t="e">
        <v>#DIV/0!</v>
      </c>
      <c r="AT18" s="167" t="e">
        <v>#DIV/0!</v>
      </c>
      <c r="AU18" s="164" t="e">
        <v>#DIV/0!</v>
      </c>
      <c r="AV18" s="167" t="e">
        <v>#DIV/0!</v>
      </c>
      <c r="AW18" s="167" t="e">
        <v>#DIV/0!</v>
      </c>
      <c r="AX18" s="167" t="e">
        <v>#DIV/0!</v>
      </c>
      <c r="AY18" s="165">
        <f t="shared" si="2"/>
        <v>0</v>
      </c>
      <c r="AZ18" s="165">
        <v>0</v>
      </c>
      <c r="BA18" s="165">
        <f t="shared" si="3"/>
        <v>2.1347563287171446E-2</v>
      </c>
      <c r="BB18" s="165">
        <v>9.5222600000000003E-4</v>
      </c>
      <c r="BC18" s="165" t="e">
        <f t="shared" si="4"/>
        <v>#DIV/0!</v>
      </c>
      <c r="BD18" s="165" t="e">
        <v>#DIV/0!</v>
      </c>
      <c r="BE18" s="165" t="e">
        <f t="shared" si="5"/>
        <v>#DIV/0!</v>
      </c>
      <c r="BF18" s="165" t="e">
        <v>#DIV/0!</v>
      </c>
      <c r="BG18" s="165" t="e">
        <f t="shared" si="6"/>
        <v>#DIV/0!</v>
      </c>
      <c r="BH18" s="165" t="e">
        <v>#DIV/0!</v>
      </c>
      <c r="BI18" s="165" t="e">
        <f t="shared" si="7"/>
        <v>#DIV/0!</v>
      </c>
      <c r="BJ18" s="165" t="e">
        <v>#DIV/0!</v>
      </c>
      <c r="BK18" s="165" t="e">
        <f t="shared" si="8"/>
        <v>#DIV/0!</v>
      </c>
      <c r="BL18" s="165" t="e">
        <v>#DIV/0!</v>
      </c>
      <c r="BM18" s="165" t="e">
        <f t="shared" si="9"/>
        <v>#DIV/0!</v>
      </c>
      <c r="BN18" s="165" t="e">
        <v>#DIV/0!</v>
      </c>
    </row>
    <row r="19" spans="1:66" ht="15.6" x14ac:dyDescent="0.3">
      <c r="A19" s="155">
        <v>25</v>
      </c>
      <c r="B19" s="155">
        <v>30</v>
      </c>
      <c r="C19" s="156">
        <v>187951</v>
      </c>
      <c r="D19" s="156"/>
      <c r="E19" s="156"/>
      <c r="F19" s="156">
        <v>154584171000</v>
      </c>
      <c r="G19" s="156"/>
      <c r="H19" s="156"/>
      <c r="I19" s="157">
        <v>1.9087451228876476E-3</v>
      </c>
      <c r="J19" s="157" t="e">
        <v>#DIV/0!</v>
      </c>
      <c r="K19" s="157"/>
      <c r="L19" s="157">
        <v>27.415686535320376</v>
      </c>
      <c r="M19" s="157"/>
      <c r="N19" s="157"/>
      <c r="O19" s="146"/>
      <c r="P19" s="159" t="str">
        <f t="shared" si="0"/>
        <v>(25, 30]</v>
      </c>
      <c r="Q19" s="160" t="s">
        <v>66</v>
      </c>
      <c r="R19" s="157">
        <f t="shared" si="10"/>
        <v>1.9087451228876476E-3</v>
      </c>
      <c r="S19" s="161">
        <v>0</v>
      </c>
      <c r="T19" s="162">
        <v>0.2</v>
      </c>
      <c r="U19" s="161"/>
      <c r="V19" s="162"/>
      <c r="W19" s="161"/>
      <c r="X19" s="162"/>
      <c r="Y19" s="161"/>
      <c r="Z19" s="162"/>
      <c r="AA19" s="163">
        <v>0</v>
      </c>
      <c r="AB19" s="163">
        <v>3.8174902457752954E-4</v>
      </c>
      <c r="AC19" s="163">
        <v>0</v>
      </c>
      <c r="AD19" s="163">
        <v>0</v>
      </c>
      <c r="AE19" s="163">
        <v>0</v>
      </c>
      <c r="AF19" s="163">
        <v>0</v>
      </c>
      <c r="AG19" s="163">
        <v>0</v>
      </c>
      <c r="AH19" s="163">
        <v>0</v>
      </c>
      <c r="AI19" s="163">
        <v>0</v>
      </c>
      <c r="AJ19" s="163">
        <v>8.5733000429377519E-4</v>
      </c>
      <c r="AK19" s="163" t="e">
        <v>#DIV/0!</v>
      </c>
      <c r="AL19" s="163" t="e">
        <v>#DIV/0!</v>
      </c>
      <c r="AM19" s="163" t="e">
        <v>#DIV/0!</v>
      </c>
      <c r="AN19" s="163" t="e">
        <v>#DIV/0!</v>
      </c>
      <c r="AO19" s="163" t="e">
        <v>#DIV/0!</v>
      </c>
      <c r="AP19" s="163" t="e">
        <v>#DIV/0!</v>
      </c>
      <c r="AQ19" s="164">
        <v>0</v>
      </c>
      <c r="AR19" s="167">
        <v>857330</v>
      </c>
      <c r="AS19" s="167" t="e">
        <v>#DIV/0!</v>
      </c>
      <c r="AT19" s="167" t="e">
        <v>#DIV/0!</v>
      </c>
      <c r="AU19" s="164" t="e">
        <v>#DIV/0!</v>
      </c>
      <c r="AV19" s="167" t="e">
        <v>#DIV/0!</v>
      </c>
      <c r="AW19" s="167" t="e">
        <v>#DIV/0!</v>
      </c>
      <c r="AX19" s="167" t="e">
        <v>#DIV/0!</v>
      </c>
      <c r="AY19" s="165">
        <f t="shared" si="2"/>
        <v>0</v>
      </c>
      <c r="AZ19" s="165">
        <v>0</v>
      </c>
      <c r="BA19" s="165">
        <f t="shared" si="3"/>
        <v>2.3504290537326215E-2</v>
      </c>
      <c r="BB19" s="165">
        <v>8.5733000000000001E-4</v>
      </c>
      <c r="BC19" s="165" t="e">
        <f t="shared" si="4"/>
        <v>#DIV/0!</v>
      </c>
      <c r="BD19" s="165" t="e">
        <v>#DIV/0!</v>
      </c>
      <c r="BE19" s="165" t="e">
        <f t="shared" si="5"/>
        <v>#DIV/0!</v>
      </c>
      <c r="BF19" s="165" t="e">
        <v>#DIV/0!</v>
      </c>
      <c r="BG19" s="165" t="e">
        <f t="shared" si="6"/>
        <v>#DIV/0!</v>
      </c>
      <c r="BH19" s="165" t="e">
        <v>#DIV/0!</v>
      </c>
      <c r="BI19" s="165" t="e">
        <f t="shared" si="7"/>
        <v>#DIV/0!</v>
      </c>
      <c r="BJ19" s="165" t="e">
        <v>#DIV/0!</v>
      </c>
      <c r="BK19" s="165" t="e">
        <f t="shared" si="8"/>
        <v>#DIV/0!</v>
      </c>
      <c r="BL19" s="165" t="e">
        <v>#DIV/0!</v>
      </c>
      <c r="BM19" s="165" t="e">
        <f t="shared" si="9"/>
        <v>#DIV/0!</v>
      </c>
      <c r="BN19" s="165" t="e">
        <v>#DIV/0!</v>
      </c>
    </row>
    <row r="20" spans="1:66" ht="15.6" x14ac:dyDescent="0.3">
      <c r="A20" s="155">
        <v>30</v>
      </c>
      <c r="B20" s="155">
        <v>35</v>
      </c>
      <c r="C20" s="156">
        <v>123190</v>
      </c>
      <c r="D20" s="156"/>
      <c r="E20" s="156"/>
      <c r="F20" s="156">
        <v>119705865000</v>
      </c>
      <c r="G20" s="156"/>
      <c r="H20" s="156"/>
      <c r="I20" s="157">
        <v>1.2510617750824912E-3</v>
      </c>
      <c r="J20" s="157" t="e">
        <v>#DIV/0!</v>
      </c>
      <c r="K20" s="157"/>
      <c r="L20" s="157">
        <v>32.390579592499392</v>
      </c>
      <c r="M20" s="157"/>
      <c r="N20" s="157"/>
      <c r="O20" s="146"/>
      <c r="P20" s="159" t="str">
        <f t="shared" si="0"/>
        <v>(30, 35]</v>
      </c>
      <c r="Q20" s="160" t="s">
        <v>66</v>
      </c>
      <c r="R20" s="157">
        <f t="shared" si="10"/>
        <v>1.2510617750824912E-3</v>
      </c>
      <c r="S20" s="161">
        <v>0</v>
      </c>
      <c r="T20" s="162">
        <v>0.7</v>
      </c>
      <c r="U20" s="161"/>
      <c r="V20" s="162"/>
      <c r="W20" s="161"/>
      <c r="X20" s="162"/>
      <c r="Y20" s="161"/>
      <c r="Z20" s="162"/>
      <c r="AA20" s="163">
        <v>0</v>
      </c>
      <c r="AB20" s="163">
        <v>8.7574324255774375E-4</v>
      </c>
      <c r="AC20" s="163">
        <v>0</v>
      </c>
      <c r="AD20" s="163">
        <v>0</v>
      </c>
      <c r="AE20" s="163">
        <v>0</v>
      </c>
      <c r="AF20" s="163">
        <v>0</v>
      </c>
      <c r="AG20" s="163">
        <v>0</v>
      </c>
      <c r="AH20" s="163">
        <v>0</v>
      </c>
      <c r="AI20" s="163">
        <v>0</v>
      </c>
      <c r="AJ20" s="163">
        <v>1.9667396890749476E-3</v>
      </c>
      <c r="AK20" s="163" t="e">
        <v>#DIV/0!</v>
      </c>
      <c r="AL20" s="163" t="e">
        <v>#DIV/0!</v>
      </c>
      <c r="AM20" s="163" t="e">
        <v>#DIV/0!</v>
      </c>
      <c r="AN20" s="163" t="e">
        <v>#DIV/0!</v>
      </c>
      <c r="AO20" s="163" t="e">
        <v>#DIV/0!</v>
      </c>
      <c r="AP20" s="163" t="e">
        <v>#DIV/0!</v>
      </c>
      <c r="AQ20" s="164">
        <v>0</v>
      </c>
      <c r="AR20" s="167">
        <v>1966739</v>
      </c>
      <c r="AS20" s="167" t="e">
        <v>#DIV/0!</v>
      </c>
      <c r="AT20" s="167" t="e">
        <v>#DIV/0!</v>
      </c>
      <c r="AU20" s="164" t="e">
        <v>#DIV/0!</v>
      </c>
      <c r="AV20" s="167" t="e">
        <v>#DIV/0!</v>
      </c>
      <c r="AW20" s="167" t="e">
        <v>#DIV/0!</v>
      </c>
      <c r="AX20" s="167" t="e">
        <v>#DIV/0!</v>
      </c>
      <c r="AY20" s="165">
        <f t="shared" si="2"/>
        <v>0</v>
      </c>
      <c r="AZ20" s="165">
        <v>0</v>
      </c>
      <c r="BA20" s="165">
        <f t="shared" si="3"/>
        <v>6.3703816117172671E-2</v>
      </c>
      <c r="BB20" s="165">
        <v>1.9667389999999999E-3</v>
      </c>
      <c r="BC20" s="165" t="e">
        <f t="shared" si="4"/>
        <v>#DIV/0!</v>
      </c>
      <c r="BD20" s="165" t="e">
        <v>#DIV/0!</v>
      </c>
      <c r="BE20" s="165" t="e">
        <f t="shared" si="5"/>
        <v>#DIV/0!</v>
      </c>
      <c r="BF20" s="165" t="e">
        <v>#DIV/0!</v>
      </c>
      <c r="BG20" s="165" t="e">
        <f t="shared" si="6"/>
        <v>#DIV/0!</v>
      </c>
      <c r="BH20" s="165" t="e">
        <v>#DIV/0!</v>
      </c>
      <c r="BI20" s="165" t="e">
        <f t="shared" si="7"/>
        <v>#DIV/0!</v>
      </c>
      <c r="BJ20" s="165" t="e">
        <v>#DIV/0!</v>
      </c>
      <c r="BK20" s="165" t="e">
        <f t="shared" si="8"/>
        <v>#DIV/0!</v>
      </c>
      <c r="BL20" s="165" t="e">
        <v>#DIV/0!</v>
      </c>
      <c r="BM20" s="165" t="e">
        <f t="shared" si="9"/>
        <v>#DIV/0!</v>
      </c>
      <c r="BN20" s="165" t="e">
        <v>#DIV/0!</v>
      </c>
    </row>
    <row r="21" spans="1:66" ht="15.6" x14ac:dyDescent="0.3">
      <c r="A21" s="155">
        <v>35</v>
      </c>
      <c r="B21" s="155">
        <v>40</v>
      </c>
      <c r="C21" s="156">
        <v>97176</v>
      </c>
      <c r="D21" s="156"/>
      <c r="E21" s="156"/>
      <c r="F21" s="156">
        <v>109151824500</v>
      </c>
      <c r="G21" s="156"/>
      <c r="H21" s="156"/>
      <c r="I21" s="157">
        <v>9.8687538806247399E-4</v>
      </c>
      <c r="J21" s="157" t="e">
        <v>#DIV/0!</v>
      </c>
      <c r="K21" s="157"/>
      <c r="L21" s="157">
        <v>37.441283341565821</v>
      </c>
      <c r="M21" s="157"/>
      <c r="N21" s="157"/>
      <c r="O21" s="146"/>
      <c r="P21" s="159" t="str">
        <f t="shared" si="0"/>
        <v>(35, 40]</v>
      </c>
      <c r="Q21" s="160" t="s">
        <v>66</v>
      </c>
      <c r="R21" s="157">
        <f t="shared" si="10"/>
        <v>9.8687538806247399E-4</v>
      </c>
      <c r="S21" s="161">
        <v>0</v>
      </c>
      <c r="T21" s="162">
        <v>0.3</v>
      </c>
      <c r="U21" s="161"/>
      <c r="V21" s="162"/>
      <c r="W21" s="161"/>
      <c r="X21" s="162"/>
      <c r="Y21" s="161"/>
      <c r="Z21" s="162"/>
      <c r="AA21" s="163">
        <v>0</v>
      </c>
      <c r="AB21" s="163">
        <v>2.9606261641874221E-4</v>
      </c>
      <c r="AC21" s="163">
        <v>0</v>
      </c>
      <c r="AD21" s="163">
        <v>0</v>
      </c>
      <c r="AE21" s="163">
        <v>0</v>
      </c>
      <c r="AF21" s="163">
        <v>0</v>
      </c>
      <c r="AG21" s="163">
        <v>0</v>
      </c>
      <c r="AH21" s="163">
        <v>0</v>
      </c>
      <c r="AI21" s="163">
        <v>0</v>
      </c>
      <c r="AJ21" s="163">
        <v>6.6489590768805621E-4</v>
      </c>
      <c r="AK21" s="163" t="e">
        <v>#DIV/0!</v>
      </c>
      <c r="AL21" s="163" t="e">
        <v>#DIV/0!</v>
      </c>
      <c r="AM21" s="163" t="e">
        <v>#DIV/0!</v>
      </c>
      <c r="AN21" s="163" t="e">
        <v>#DIV/0!</v>
      </c>
      <c r="AO21" s="163" t="e">
        <v>#DIV/0!</v>
      </c>
      <c r="AP21" s="163" t="e">
        <v>#DIV/0!</v>
      </c>
      <c r="AQ21" s="164">
        <v>0</v>
      </c>
      <c r="AR21" s="167">
        <v>664895</v>
      </c>
      <c r="AS21" s="167" t="e">
        <v>#DIV/0!</v>
      </c>
      <c r="AT21" s="167" t="e">
        <v>#DIV/0!</v>
      </c>
      <c r="AU21" s="164" t="e">
        <v>#DIV/0!</v>
      </c>
      <c r="AV21" s="167" t="e">
        <v>#DIV/0!</v>
      </c>
      <c r="AW21" s="167" t="e">
        <v>#DIV/0!</v>
      </c>
      <c r="AX21" s="167" t="e">
        <v>#DIV/0!</v>
      </c>
      <c r="AY21" s="165">
        <f t="shared" si="2"/>
        <v>0</v>
      </c>
      <c r="AZ21" s="165">
        <v>0</v>
      </c>
      <c r="BA21" s="165">
        <f t="shared" si="3"/>
        <v>2.4894522087390406E-2</v>
      </c>
      <c r="BB21" s="165">
        <v>6.6489499999999998E-4</v>
      </c>
      <c r="BC21" s="165" t="e">
        <f t="shared" si="4"/>
        <v>#DIV/0!</v>
      </c>
      <c r="BD21" s="165" t="e">
        <v>#DIV/0!</v>
      </c>
      <c r="BE21" s="165" t="e">
        <f t="shared" si="5"/>
        <v>#DIV/0!</v>
      </c>
      <c r="BF21" s="165" t="e">
        <v>#DIV/0!</v>
      </c>
      <c r="BG21" s="165" t="e">
        <f t="shared" si="6"/>
        <v>#DIV/0!</v>
      </c>
      <c r="BH21" s="165" t="e">
        <v>#DIV/0!</v>
      </c>
      <c r="BI21" s="165" t="e">
        <f t="shared" si="7"/>
        <v>#DIV/0!</v>
      </c>
      <c r="BJ21" s="165" t="e">
        <v>#DIV/0!</v>
      </c>
      <c r="BK21" s="165" t="e">
        <f t="shared" si="8"/>
        <v>#DIV/0!</v>
      </c>
      <c r="BL21" s="165" t="e">
        <v>#DIV/0!</v>
      </c>
      <c r="BM21" s="165" t="e">
        <f t="shared" si="9"/>
        <v>#DIV/0!</v>
      </c>
      <c r="BN21" s="165" t="e">
        <v>#DIV/0!</v>
      </c>
    </row>
    <row r="22" spans="1:66" ht="15.6" x14ac:dyDescent="0.3">
      <c r="A22" s="155">
        <v>40</v>
      </c>
      <c r="B22" s="155">
        <v>45</v>
      </c>
      <c r="C22" s="156">
        <v>69470</v>
      </c>
      <c r="D22" s="156"/>
      <c r="E22" s="156"/>
      <c r="F22" s="156">
        <v>88433971500</v>
      </c>
      <c r="G22" s="156"/>
      <c r="H22" s="156"/>
      <c r="I22" s="157">
        <v>7.0550581634045513E-4</v>
      </c>
      <c r="J22" s="157" t="e">
        <v>#DIV/0!</v>
      </c>
      <c r="K22" s="157"/>
      <c r="L22" s="157">
        <v>42.432691089678997</v>
      </c>
      <c r="M22" s="157"/>
      <c r="N22" s="157"/>
      <c r="O22" s="146"/>
      <c r="P22" s="159" t="str">
        <f t="shared" si="0"/>
        <v>(40, 45]</v>
      </c>
      <c r="Q22" s="160" t="s">
        <v>66</v>
      </c>
      <c r="R22" s="157">
        <f t="shared" si="10"/>
        <v>7.0550581634045513E-4</v>
      </c>
      <c r="S22" s="161">
        <v>0</v>
      </c>
      <c r="T22" s="162">
        <v>0</v>
      </c>
      <c r="U22" s="161"/>
      <c r="V22" s="162"/>
      <c r="W22" s="161"/>
      <c r="X22" s="162"/>
      <c r="Y22" s="161"/>
      <c r="Z22" s="162"/>
      <c r="AA22" s="163">
        <v>0</v>
      </c>
      <c r="AB22" s="163">
        <v>0</v>
      </c>
      <c r="AC22" s="163">
        <v>0</v>
      </c>
      <c r="AD22" s="163">
        <v>0</v>
      </c>
      <c r="AE22" s="163">
        <v>0</v>
      </c>
      <c r="AF22" s="163">
        <v>0</v>
      </c>
      <c r="AG22" s="163">
        <v>0</v>
      </c>
      <c r="AH22" s="163">
        <v>0</v>
      </c>
      <c r="AI22" s="163">
        <v>0</v>
      </c>
      <c r="AJ22" s="163">
        <v>0</v>
      </c>
      <c r="AK22" s="163" t="e">
        <v>#DIV/0!</v>
      </c>
      <c r="AL22" s="163" t="e">
        <v>#DIV/0!</v>
      </c>
      <c r="AM22" s="163" t="e">
        <v>#DIV/0!</v>
      </c>
      <c r="AN22" s="163" t="e">
        <v>#DIV/0!</v>
      </c>
      <c r="AO22" s="163" t="e">
        <v>#DIV/0!</v>
      </c>
      <c r="AP22" s="163" t="e">
        <v>#DIV/0!</v>
      </c>
      <c r="AQ22" s="164">
        <v>0</v>
      </c>
      <c r="AR22" s="167">
        <v>0</v>
      </c>
      <c r="AS22" s="167" t="e">
        <v>#DIV/0!</v>
      </c>
      <c r="AT22" s="167" t="e">
        <v>#DIV/0!</v>
      </c>
      <c r="AU22" s="164" t="e">
        <v>#DIV/0!</v>
      </c>
      <c r="AV22" s="167" t="e">
        <v>#DIV/0!</v>
      </c>
      <c r="AW22" s="167" t="e">
        <v>#DIV/0!</v>
      </c>
      <c r="AX22" s="167" t="e">
        <v>#DIV/0!</v>
      </c>
      <c r="AY22" s="165">
        <f t="shared" si="2"/>
        <v>0</v>
      </c>
      <c r="AZ22" s="165">
        <v>0</v>
      </c>
      <c r="BA22" s="165">
        <f t="shared" si="3"/>
        <v>0</v>
      </c>
      <c r="BB22" s="165">
        <v>0</v>
      </c>
      <c r="BC22" s="165" t="e">
        <f t="shared" si="4"/>
        <v>#DIV/0!</v>
      </c>
      <c r="BD22" s="165" t="e">
        <v>#DIV/0!</v>
      </c>
      <c r="BE22" s="165" t="e">
        <f t="shared" si="5"/>
        <v>#DIV/0!</v>
      </c>
      <c r="BF22" s="165" t="e">
        <v>#DIV/0!</v>
      </c>
      <c r="BG22" s="165" t="e">
        <f t="shared" si="6"/>
        <v>#DIV/0!</v>
      </c>
      <c r="BH22" s="165" t="e">
        <v>#DIV/0!</v>
      </c>
      <c r="BI22" s="165" t="e">
        <f t="shared" si="7"/>
        <v>#DIV/0!</v>
      </c>
      <c r="BJ22" s="165" t="e">
        <v>#DIV/0!</v>
      </c>
      <c r="BK22" s="165" t="e">
        <f t="shared" si="8"/>
        <v>#DIV/0!</v>
      </c>
      <c r="BL22" s="165" t="e">
        <v>#DIV/0!</v>
      </c>
      <c r="BM22" s="165" t="e">
        <f t="shared" si="9"/>
        <v>#DIV/0!</v>
      </c>
      <c r="BN22" s="165" t="e">
        <v>#DIV/0!</v>
      </c>
    </row>
    <row r="23" spans="1:66" ht="15.6" x14ac:dyDescent="0.3">
      <c r="A23" s="155">
        <v>45</v>
      </c>
      <c r="B23" s="155">
        <v>50</v>
      </c>
      <c r="C23" s="156">
        <v>53505</v>
      </c>
      <c r="D23" s="156"/>
      <c r="E23" s="156"/>
      <c r="F23" s="156">
        <v>76256883000</v>
      </c>
      <c r="G23" s="156"/>
      <c r="H23" s="156"/>
      <c r="I23" s="157">
        <v>5.4337251624148627E-4</v>
      </c>
      <c r="J23" s="157" t="e">
        <v>#DIV/0!</v>
      </c>
      <c r="K23" s="157"/>
      <c r="L23" s="157">
        <v>47.507636669470145</v>
      </c>
      <c r="M23" s="157"/>
      <c r="N23" s="157"/>
      <c r="O23" s="146"/>
      <c r="P23" s="159" t="str">
        <f t="shared" si="0"/>
        <v>(45, 50]</v>
      </c>
      <c r="Q23" s="160" t="s">
        <v>66</v>
      </c>
      <c r="R23" s="157">
        <f t="shared" si="10"/>
        <v>5.4337251624148627E-4</v>
      </c>
      <c r="S23" s="161">
        <v>0</v>
      </c>
      <c r="T23" s="162">
        <v>0</v>
      </c>
      <c r="U23" s="161"/>
      <c r="V23" s="162"/>
      <c r="W23" s="161"/>
      <c r="X23" s="162"/>
      <c r="Y23" s="161"/>
      <c r="Z23" s="162"/>
      <c r="AA23" s="163">
        <v>0</v>
      </c>
      <c r="AB23" s="163">
        <v>0</v>
      </c>
      <c r="AC23" s="163">
        <v>0</v>
      </c>
      <c r="AD23" s="163">
        <v>0</v>
      </c>
      <c r="AE23" s="163">
        <v>0</v>
      </c>
      <c r="AF23" s="163">
        <v>0</v>
      </c>
      <c r="AG23" s="163">
        <v>0</v>
      </c>
      <c r="AH23" s="163">
        <v>0</v>
      </c>
      <c r="AI23" s="163">
        <v>0</v>
      </c>
      <c r="AJ23" s="163">
        <v>0</v>
      </c>
      <c r="AK23" s="163" t="e">
        <v>#DIV/0!</v>
      </c>
      <c r="AL23" s="163" t="e">
        <v>#DIV/0!</v>
      </c>
      <c r="AM23" s="163" t="e">
        <v>#DIV/0!</v>
      </c>
      <c r="AN23" s="163" t="e">
        <v>#DIV/0!</v>
      </c>
      <c r="AO23" s="163" t="e">
        <v>#DIV/0!</v>
      </c>
      <c r="AP23" s="163" t="e">
        <v>#DIV/0!</v>
      </c>
      <c r="AQ23" s="164">
        <v>0</v>
      </c>
      <c r="AR23" s="167">
        <v>0</v>
      </c>
      <c r="AS23" s="167" t="e">
        <v>#DIV/0!</v>
      </c>
      <c r="AT23" s="167" t="e">
        <v>#DIV/0!</v>
      </c>
      <c r="AU23" s="164" t="e">
        <v>#DIV/0!</v>
      </c>
      <c r="AV23" s="167" t="e">
        <v>#DIV/0!</v>
      </c>
      <c r="AW23" s="167" t="e">
        <v>#DIV/0!</v>
      </c>
      <c r="AX23" s="167" t="e">
        <v>#DIV/0!</v>
      </c>
      <c r="AY23" s="165">
        <f t="shared" si="2"/>
        <v>0</v>
      </c>
      <c r="AZ23" s="165">
        <v>0</v>
      </c>
      <c r="BA23" s="165">
        <f t="shared" si="3"/>
        <v>0</v>
      </c>
      <c r="BB23" s="165">
        <v>0</v>
      </c>
      <c r="BC23" s="165" t="e">
        <f t="shared" si="4"/>
        <v>#DIV/0!</v>
      </c>
      <c r="BD23" s="165" t="e">
        <v>#DIV/0!</v>
      </c>
      <c r="BE23" s="165" t="e">
        <f t="shared" si="5"/>
        <v>#DIV/0!</v>
      </c>
      <c r="BF23" s="165" t="e">
        <v>#DIV/0!</v>
      </c>
      <c r="BG23" s="165" t="e">
        <f t="shared" si="6"/>
        <v>#DIV/0!</v>
      </c>
      <c r="BH23" s="165" t="e">
        <v>#DIV/0!</v>
      </c>
      <c r="BI23" s="165" t="e">
        <f t="shared" si="7"/>
        <v>#DIV/0!</v>
      </c>
      <c r="BJ23" s="165" t="e">
        <v>#DIV/0!</v>
      </c>
      <c r="BK23" s="165" t="e">
        <f t="shared" si="8"/>
        <v>#DIV/0!</v>
      </c>
      <c r="BL23" s="165" t="e">
        <v>#DIV/0!</v>
      </c>
      <c r="BM23" s="165" t="e">
        <f t="shared" si="9"/>
        <v>#DIV/0!</v>
      </c>
      <c r="BN23" s="165" t="e">
        <v>#DIV/0!</v>
      </c>
    </row>
    <row r="24" spans="1:66" ht="15.6" x14ac:dyDescent="0.3">
      <c r="A24" s="155">
        <v>50</v>
      </c>
      <c r="B24" s="155">
        <v>60</v>
      </c>
      <c r="C24" s="156">
        <v>77241</v>
      </c>
      <c r="D24" s="156"/>
      <c r="E24" s="156"/>
      <c r="F24" s="156">
        <v>126830425500</v>
      </c>
      <c r="G24" s="156"/>
      <c r="H24" s="156"/>
      <c r="I24" s="157">
        <v>7.8442456830218931E-4</v>
      </c>
      <c r="J24" s="157" t="e">
        <v>#DIV/0!</v>
      </c>
      <c r="K24" s="157"/>
      <c r="L24" s="157">
        <v>54.733636928574207</v>
      </c>
      <c r="M24" s="157"/>
      <c r="N24" s="157"/>
      <c r="O24" s="146"/>
      <c r="P24" s="159" t="str">
        <f t="shared" si="0"/>
        <v>(50, 60]</v>
      </c>
      <c r="Q24" s="160" t="s">
        <v>66</v>
      </c>
      <c r="R24" s="157">
        <f t="shared" si="10"/>
        <v>7.8442456830218931E-4</v>
      </c>
      <c r="S24" s="161">
        <v>0</v>
      </c>
      <c r="T24" s="162">
        <v>0</v>
      </c>
      <c r="U24" s="161"/>
      <c r="V24" s="162"/>
      <c r="W24" s="161"/>
      <c r="X24" s="162"/>
      <c r="Y24" s="161"/>
      <c r="Z24" s="162"/>
      <c r="AA24" s="163">
        <v>0</v>
      </c>
      <c r="AB24" s="163">
        <v>0</v>
      </c>
      <c r="AC24" s="163">
        <v>0</v>
      </c>
      <c r="AD24" s="163">
        <v>0</v>
      </c>
      <c r="AE24" s="163">
        <v>0</v>
      </c>
      <c r="AF24" s="163">
        <v>0</v>
      </c>
      <c r="AG24" s="163">
        <v>0</v>
      </c>
      <c r="AH24" s="163">
        <v>0</v>
      </c>
      <c r="AI24" s="163">
        <v>0</v>
      </c>
      <c r="AJ24" s="163">
        <v>0</v>
      </c>
      <c r="AK24" s="163" t="e">
        <v>#DIV/0!</v>
      </c>
      <c r="AL24" s="163" t="e">
        <v>#DIV/0!</v>
      </c>
      <c r="AM24" s="163" t="e">
        <v>#DIV/0!</v>
      </c>
      <c r="AN24" s="163" t="e">
        <v>#DIV/0!</v>
      </c>
      <c r="AO24" s="163" t="e">
        <v>#DIV/0!</v>
      </c>
      <c r="AP24" s="163" t="e">
        <v>#DIV/0!</v>
      </c>
      <c r="AQ24" s="164">
        <v>0</v>
      </c>
      <c r="AR24" s="167">
        <v>0</v>
      </c>
      <c r="AS24" s="167" t="e">
        <v>#DIV/0!</v>
      </c>
      <c r="AT24" s="167" t="e">
        <v>#DIV/0!</v>
      </c>
      <c r="AU24" s="164" t="e">
        <v>#DIV/0!</v>
      </c>
      <c r="AV24" s="167" t="e">
        <v>#DIV/0!</v>
      </c>
      <c r="AW24" s="167" t="e">
        <v>#DIV/0!</v>
      </c>
      <c r="AX24" s="167" t="e">
        <v>#DIV/0!</v>
      </c>
      <c r="AY24" s="165">
        <f t="shared" si="2"/>
        <v>0</v>
      </c>
      <c r="AZ24" s="165">
        <v>0</v>
      </c>
      <c r="BA24" s="165">
        <f t="shared" si="3"/>
        <v>0</v>
      </c>
      <c r="BB24" s="165">
        <v>0</v>
      </c>
      <c r="BC24" s="165" t="e">
        <f t="shared" si="4"/>
        <v>#DIV/0!</v>
      </c>
      <c r="BD24" s="165" t="e">
        <v>#DIV/0!</v>
      </c>
      <c r="BE24" s="165" t="e">
        <f t="shared" si="5"/>
        <v>#DIV/0!</v>
      </c>
      <c r="BF24" s="165" t="e">
        <v>#DIV/0!</v>
      </c>
      <c r="BG24" s="165" t="e">
        <f t="shared" si="6"/>
        <v>#DIV/0!</v>
      </c>
      <c r="BH24" s="165" t="e">
        <v>#DIV/0!</v>
      </c>
      <c r="BI24" s="165" t="e">
        <f t="shared" si="7"/>
        <v>#DIV/0!</v>
      </c>
      <c r="BJ24" s="165" t="e">
        <v>#DIV/0!</v>
      </c>
      <c r="BK24" s="165" t="e">
        <f t="shared" si="8"/>
        <v>#DIV/0!</v>
      </c>
      <c r="BL24" s="165" t="e">
        <v>#DIV/0!</v>
      </c>
      <c r="BM24" s="165" t="e">
        <f t="shared" si="9"/>
        <v>#DIV/0!</v>
      </c>
      <c r="BN24" s="165" t="e">
        <v>#DIV/0!</v>
      </c>
    </row>
    <row r="25" spans="1:66" ht="15.6" x14ac:dyDescent="0.3">
      <c r="A25" s="155">
        <v>60</v>
      </c>
      <c r="B25" s="155">
        <v>70</v>
      </c>
      <c r="C25" s="156">
        <v>48985</v>
      </c>
      <c r="D25" s="156"/>
      <c r="E25" s="156"/>
      <c r="F25" s="156">
        <v>95040910500</v>
      </c>
      <c r="G25" s="156"/>
      <c r="H25" s="156"/>
      <c r="I25" s="157">
        <v>4.9746944599736854E-4</v>
      </c>
      <c r="J25" s="157" t="e">
        <v>#DIV/0!</v>
      </c>
      <c r="K25" s="157"/>
      <c r="L25" s="157">
        <v>64.673478615902823</v>
      </c>
      <c r="M25" s="157"/>
      <c r="N25" s="157"/>
      <c r="O25" s="146"/>
      <c r="P25" s="159" t="str">
        <f t="shared" si="0"/>
        <v>(60, 70]</v>
      </c>
      <c r="Q25" s="160" t="s">
        <v>66</v>
      </c>
      <c r="R25" s="157">
        <f t="shared" si="10"/>
        <v>4.9746944599736854E-4</v>
      </c>
      <c r="S25" s="161">
        <v>0</v>
      </c>
      <c r="T25" s="162">
        <v>0</v>
      </c>
      <c r="U25" s="161"/>
      <c r="V25" s="162"/>
      <c r="W25" s="161"/>
      <c r="X25" s="162"/>
      <c r="Y25" s="161"/>
      <c r="Z25" s="162"/>
      <c r="AA25" s="163">
        <v>0</v>
      </c>
      <c r="AB25" s="163">
        <v>0</v>
      </c>
      <c r="AC25" s="163">
        <v>0</v>
      </c>
      <c r="AD25" s="163">
        <v>0</v>
      </c>
      <c r="AE25" s="163">
        <v>0</v>
      </c>
      <c r="AF25" s="163">
        <v>0</v>
      </c>
      <c r="AG25" s="163">
        <v>0</v>
      </c>
      <c r="AH25" s="163">
        <v>0</v>
      </c>
      <c r="AI25" s="163">
        <v>0</v>
      </c>
      <c r="AJ25" s="163">
        <v>0</v>
      </c>
      <c r="AK25" s="163" t="e">
        <v>#DIV/0!</v>
      </c>
      <c r="AL25" s="163" t="e">
        <v>#DIV/0!</v>
      </c>
      <c r="AM25" s="163" t="e">
        <v>#DIV/0!</v>
      </c>
      <c r="AN25" s="163" t="e">
        <v>#DIV/0!</v>
      </c>
      <c r="AO25" s="163" t="e">
        <v>#DIV/0!</v>
      </c>
      <c r="AP25" s="163" t="e">
        <v>#DIV/0!</v>
      </c>
      <c r="AQ25" s="164">
        <v>0</v>
      </c>
      <c r="AR25" s="167">
        <v>0</v>
      </c>
      <c r="AS25" s="167" t="e">
        <v>#DIV/0!</v>
      </c>
      <c r="AT25" s="167" t="e">
        <v>#DIV/0!</v>
      </c>
      <c r="AU25" s="164" t="e">
        <v>#DIV/0!</v>
      </c>
      <c r="AV25" s="167" t="e">
        <v>#DIV/0!</v>
      </c>
      <c r="AW25" s="167" t="e">
        <v>#DIV/0!</v>
      </c>
      <c r="AX25" s="167" t="e">
        <v>#DIV/0!</v>
      </c>
      <c r="AY25" s="165">
        <f t="shared" si="2"/>
        <v>0</v>
      </c>
      <c r="AZ25" s="165">
        <v>0</v>
      </c>
      <c r="BA25" s="165">
        <f t="shared" si="3"/>
        <v>0</v>
      </c>
      <c r="BB25" s="165">
        <v>0</v>
      </c>
      <c r="BC25" s="165" t="e">
        <f t="shared" si="4"/>
        <v>#DIV/0!</v>
      </c>
      <c r="BD25" s="165" t="e">
        <v>#DIV/0!</v>
      </c>
      <c r="BE25" s="165" t="e">
        <f t="shared" si="5"/>
        <v>#DIV/0!</v>
      </c>
      <c r="BF25" s="165" t="e">
        <v>#DIV/0!</v>
      </c>
      <c r="BG25" s="165" t="e">
        <f t="shared" si="6"/>
        <v>#DIV/0!</v>
      </c>
      <c r="BH25" s="165" t="e">
        <v>#DIV/0!</v>
      </c>
      <c r="BI25" s="165" t="e">
        <f t="shared" si="7"/>
        <v>#DIV/0!</v>
      </c>
      <c r="BJ25" s="165" t="e">
        <v>#DIV/0!</v>
      </c>
      <c r="BK25" s="165" t="e">
        <f t="shared" si="8"/>
        <v>#DIV/0!</v>
      </c>
      <c r="BL25" s="165" t="e">
        <v>#DIV/0!</v>
      </c>
      <c r="BM25" s="165" t="e">
        <f t="shared" si="9"/>
        <v>#DIV/0!</v>
      </c>
      <c r="BN25" s="165" t="e">
        <v>#DIV/0!</v>
      </c>
    </row>
    <row r="26" spans="1:66" ht="15.6" x14ac:dyDescent="0.3">
      <c r="A26" s="155">
        <v>70</v>
      </c>
      <c r="B26" s="155">
        <v>80</v>
      </c>
      <c r="C26" s="156">
        <v>35139</v>
      </c>
      <c r="D26" s="156"/>
      <c r="E26" s="156"/>
      <c r="F26" s="156">
        <v>78817303500</v>
      </c>
      <c r="G26" s="156"/>
      <c r="H26" s="156"/>
      <c r="I26" s="157">
        <v>3.5685574896195842E-4</v>
      </c>
      <c r="J26" s="157" t="e">
        <v>#DIV/0!</v>
      </c>
      <c r="K26" s="157"/>
      <c r="L26" s="157">
        <v>74.767166111727704</v>
      </c>
      <c r="M26" s="157"/>
      <c r="N26" s="157"/>
      <c r="O26" s="146"/>
      <c r="P26" s="159" t="str">
        <f t="shared" si="0"/>
        <v>(70, 80]</v>
      </c>
      <c r="Q26" s="160" t="s">
        <v>66</v>
      </c>
      <c r="R26" s="157">
        <f t="shared" si="10"/>
        <v>3.5685574896195842E-4</v>
      </c>
      <c r="S26" s="161">
        <v>0</v>
      </c>
      <c r="T26" s="162">
        <v>0</v>
      </c>
      <c r="U26" s="161"/>
      <c r="V26" s="162"/>
      <c r="W26" s="161"/>
      <c r="X26" s="162"/>
      <c r="Y26" s="161"/>
      <c r="Z26" s="162"/>
      <c r="AA26" s="163">
        <v>0</v>
      </c>
      <c r="AB26" s="163">
        <v>0</v>
      </c>
      <c r="AC26" s="163">
        <v>0</v>
      </c>
      <c r="AD26" s="163">
        <v>0</v>
      </c>
      <c r="AE26" s="163">
        <v>0</v>
      </c>
      <c r="AF26" s="163">
        <v>0</v>
      </c>
      <c r="AG26" s="163">
        <v>0</v>
      </c>
      <c r="AH26" s="163">
        <v>0</v>
      </c>
      <c r="AI26" s="163">
        <v>0</v>
      </c>
      <c r="AJ26" s="163">
        <v>0</v>
      </c>
      <c r="AK26" s="163" t="e">
        <v>#DIV/0!</v>
      </c>
      <c r="AL26" s="163" t="e">
        <v>#DIV/0!</v>
      </c>
      <c r="AM26" s="163" t="e">
        <v>#DIV/0!</v>
      </c>
      <c r="AN26" s="163" t="e">
        <v>#DIV/0!</v>
      </c>
      <c r="AO26" s="163" t="e">
        <v>#DIV/0!</v>
      </c>
      <c r="AP26" s="163" t="e">
        <v>#DIV/0!</v>
      </c>
      <c r="AQ26" s="164">
        <v>0</v>
      </c>
      <c r="AR26" s="167">
        <v>0</v>
      </c>
      <c r="AS26" s="167" t="e">
        <v>#DIV/0!</v>
      </c>
      <c r="AT26" s="167" t="e">
        <v>#DIV/0!</v>
      </c>
      <c r="AU26" s="164" t="e">
        <v>#DIV/0!</v>
      </c>
      <c r="AV26" s="167" t="e">
        <v>#DIV/0!</v>
      </c>
      <c r="AW26" s="167" t="e">
        <v>#DIV/0!</v>
      </c>
      <c r="AX26" s="167" t="e">
        <v>#DIV/0!</v>
      </c>
      <c r="AY26" s="165">
        <f t="shared" si="2"/>
        <v>0</v>
      </c>
      <c r="AZ26" s="165">
        <v>0</v>
      </c>
      <c r="BA26" s="165">
        <f t="shared" si="3"/>
        <v>0</v>
      </c>
      <c r="BB26" s="165">
        <v>0</v>
      </c>
      <c r="BC26" s="165" t="e">
        <f t="shared" si="4"/>
        <v>#DIV/0!</v>
      </c>
      <c r="BD26" s="165" t="e">
        <v>#DIV/0!</v>
      </c>
      <c r="BE26" s="165" t="e">
        <f t="shared" si="5"/>
        <v>#DIV/0!</v>
      </c>
      <c r="BF26" s="165" t="e">
        <v>#DIV/0!</v>
      </c>
      <c r="BG26" s="165" t="e">
        <f t="shared" si="6"/>
        <v>#DIV/0!</v>
      </c>
      <c r="BH26" s="165" t="e">
        <v>#DIV/0!</v>
      </c>
      <c r="BI26" s="165" t="e">
        <f t="shared" si="7"/>
        <v>#DIV/0!</v>
      </c>
      <c r="BJ26" s="165" t="e">
        <v>#DIV/0!</v>
      </c>
      <c r="BK26" s="165" t="e">
        <f t="shared" si="8"/>
        <v>#DIV/0!</v>
      </c>
      <c r="BL26" s="165" t="e">
        <v>#DIV/0!</v>
      </c>
      <c r="BM26" s="165" t="e">
        <f t="shared" si="9"/>
        <v>#DIV/0!</v>
      </c>
      <c r="BN26" s="165" t="e">
        <v>#DIV/0!</v>
      </c>
    </row>
    <row r="27" spans="1:66" ht="15.6" x14ac:dyDescent="0.3">
      <c r="A27" s="155">
        <v>80</v>
      </c>
      <c r="B27" s="155">
        <v>90</v>
      </c>
      <c r="C27" s="156">
        <v>24609</v>
      </c>
      <c r="D27" s="156"/>
      <c r="E27" s="156"/>
      <c r="F27" s="156">
        <v>62572501500</v>
      </c>
      <c r="G27" s="156"/>
      <c r="H27" s="156"/>
      <c r="I27" s="157">
        <v>2.4991784416758685E-4</v>
      </c>
      <c r="J27" s="157" t="e">
        <v>#DIV/0!</v>
      </c>
      <c r="K27" s="157"/>
      <c r="L27" s="157">
        <v>84.755579259620461</v>
      </c>
      <c r="M27" s="157"/>
      <c r="N27" s="157"/>
      <c r="O27" s="146"/>
      <c r="P27" s="159" t="str">
        <f t="shared" si="0"/>
        <v>(80, 90]</v>
      </c>
      <c r="Q27" s="160" t="s">
        <v>66</v>
      </c>
      <c r="R27" s="157">
        <f t="shared" si="10"/>
        <v>2.4991784416758685E-4</v>
      </c>
      <c r="S27" s="161">
        <v>0</v>
      </c>
      <c r="T27" s="161">
        <v>0</v>
      </c>
      <c r="U27" s="161"/>
      <c r="V27" s="161"/>
      <c r="W27" s="161"/>
      <c r="X27" s="161"/>
      <c r="Y27" s="161"/>
      <c r="Z27" s="161"/>
      <c r="AA27" s="163">
        <v>0</v>
      </c>
      <c r="AB27" s="163">
        <v>0</v>
      </c>
      <c r="AC27" s="163">
        <v>0</v>
      </c>
      <c r="AD27" s="163">
        <v>0</v>
      </c>
      <c r="AE27" s="163">
        <v>0</v>
      </c>
      <c r="AF27" s="163">
        <v>0</v>
      </c>
      <c r="AG27" s="163">
        <v>0</v>
      </c>
      <c r="AH27" s="163">
        <v>0</v>
      </c>
      <c r="AI27" s="163">
        <v>0</v>
      </c>
      <c r="AJ27" s="163">
        <v>0</v>
      </c>
      <c r="AK27" s="163" t="e">
        <v>#DIV/0!</v>
      </c>
      <c r="AL27" s="163" t="e">
        <v>#DIV/0!</v>
      </c>
      <c r="AM27" s="163" t="e">
        <v>#DIV/0!</v>
      </c>
      <c r="AN27" s="163" t="e">
        <v>#DIV/0!</v>
      </c>
      <c r="AO27" s="163" t="e">
        <v>#DIV/0!</v>
      </c>
      <c r="AP27" s="163" t="e">
        <v>#DIV/0!</v>
      </c>
      <c r="AQ27" s="164">
        <v>0</v>
      </c>
      <c r="AR27" s="167">
        <v>0</v>
      </c>
      <c r="AS27" s="167" t="e">
        <v>#DIV/0!</v>
      </c>
      <c r="AT27" s="167" t="e">
        <v>#DIV/0!</v>
      </c>
      <c r="AU27" s="164" t="e">
        <v>#DIV/0!</v>
      </c>
      <c r="AV27" s="167" t="e">
        <v>#DIV/0!</v>
      </c>
      <c r="AW27" s="167" t="e">
        <v>#DIV/0!</v>
      </c>
      <c r="AX27" s="167" t="e">
        <v>#DIV/0!</v>
      </c>
      <c r="AY27" s="165">
        <f t="shared" si="2"/>
        <v>0</v>
      </c>
      <c r="AZ27" s="165">
        <v>0</v>
      </c>
      <c r="BA27" s="165">
        <f t="shared" si="3"/>
        <v>0</v>
      </c>
      <c r="BB27" s="165">
        <v>0</v>
      </c>
      <c r="BC27" s="165" t="e">
        <f t="shared" si="4"/>
        <v>#DIV/0!</v>
      </c>
      <c r="BD27" s="165" t="e">
        <v>#DIV/0!</v>
      </c>
      <c r="BE27" s="165" t="e">
        <f t="shared" si="5"/>
        <v>#DIV/0!</v>
      </c>
      <c r="BF27" s="165" t="e">
        <v>#DIV/0!</v>
      </c>
      <c r="BG27" s="165" t="e">
        <f t="shared" si="6"/>
        <v>#DIV/0!</v>
      </c>
      <c r="BH27" s="165" t="e">
        <v>#DIV/0!</v>
      </c>
      <c r="BI27" s="165" t="e">
        <f t="shared" si="7"/>
        <v>#DIV/0!</v>
      </c>
      <c r="BJ27" s="165" t="e">
        <v>#DIV/0!</v>
      </c>
      <c r="BK27" s="165" t="e">
        <f t="shared" si="8"/>
        <v>#DIV/0!</v>
      </c>
      <c r="BL27" s="165" t="e">
        <v>#DIV/0!</v>
      </c>
      <c r="BM27" s="165" t="e">
        <f t="shared" si="9"/>
        <v>#DIV/0!</v>
      </c>
      <c r="BN27" s="165" t="e">
        <v>#DIV/0!</v>
      </c>
    </row>
    <row r="28" spans="1:66" ht="15.6" x14ac:dyDescent="0.3">
      <c r="A28" s="155">
        <v>90</v>
      </c>
      <c r="B28" s="155">
        <v>100</v>
      </c>
      <c r="C28" s="156">
        <v>17770</v>
      </c>
      <c r="D28" s="156"/>
      <c r="E28" s="156"/>
      <c r="F28" s="156">
        <v>50541924000</v>
      </c>
      <c r="G28" s="156"/>
      <c r="H28" s="156"/>
      <c r="I28" s="157">
        <v>1.8046406155707338E-4</v>
      </c>
      <c r="J28" s="157" t="e">
        <v>#DIV/0!</v>
      </c>
      <c r="K28" s="157"/>
      <c r="L28" s="157">
        <v>94.807585818795715</v>
      </c>
      <c r="M28" s="157"/>
      <c r="N28" s="157"/>
      <c r="O28" s="146"/>
      <c r="P28" s="159" t="str">
        <f t="shared" si="0"/>
        <v>(90, 100]</v>
      </c>
      <c r="Q28" s="160" t="s">
        <v>66</v>
      </c>
      <c r="R28" s="157">
        <f t="shared" si="10"/>
        <v>1.8046406155707338E-4</v>
      </c>
      <c r="S28" s="161">
        <v>0</v>
      </c>
      <c r="T28" s="161">
        <v>0</v>
      </c>
      <c r="U28" s="161"/>
      <c r="V28" s="161"/>
      <c r="W28" s="161"/>
      <c r="X28" s="161"/>
      <c r="Y28" s="161"/>
      <c r="Z28" s="161"/>
      <c r="AA28" s="163">
        <v>0</v>
      </c>
      <c r="AB28" s="163">
        <v>0</v>
      </c>
      <c r="AC28" s="163">
        <v>0</v>
      </c>
      <c r="AD28" s="163">
        <v>0</v>
      </c>
      <c r="AE28" s="163">
        <v>0</v>
      </c>
      <c r="AF28" s="163">
        <v>0</v>
      </c>
      <c r="AG28" s="163">
        <v>0</v>
      </c>
      <c r="AH28" s="163">
        <v>0</v>
      </c>
      <c r="AI28" s="163">
        <v>0</v>
      </c>
      <c r="AJ28" s="163">
        <v>0</v>
      </c>
      <c r="AK28" s="163" t="e">
        <v>#DIV/0!</v>
      </c>
      <c r="AL28" s="163" t="e">
        <v>#DIV/0!</v>
      </c>
      <c r="AM28" s="163" t="e">
        <v>#DIV/0!</v>
      </c>
      <c r="AN28" s="163" t="e">
        <v>#DIV/0!</v>
      </c>
      <c r="AO28" s="163" t="e">
        <v>#DIV/0!</v>
      </c>
      <c r="AP28" s="163" t="e">
        <v>#DIV/0!</v>
      </c>
      <c r="AQ28" s="164">
        <v>0</v>
      </c>
      <c r="AR28" s="167">
        <v>0</v>
      </c>
      <c r="AS28" s="167" t="e">
        <v>#DIV/0!</v>
      </c>
      <c r="AT28" s="167" t="e">
        <v>#DIV/0!</v>
      </c>
      <c r="AU28" s="164" t="e">
        <v>#DIV/0!</v>
      </c>
      <c r="AV28" s="167" t="e">
        <v>#DIV/0!</v>
      </c>
      <c r="AW28" s="167" t="e">
        <v>#DIV/0!</v>
      </c>
      <c r="AX28" s="167" t="e">
        <v>#DIV/0!</v>
      </c>
      <c r="AY28" s="165">
        <f t="shared" si="2"/>
        <v>0</v>
      </c>
      <c r="AZ28" s="165">
        <v>0</v>
      </c>
      <c r="BA28" s="165">
        <f t="shared" si="3"/>
        <v>0</v>
      </c>
      <c r="BB28" s="165">
        <v>0</v>
      </c>
      <c r="BC28" s="165" t="e">
        <f t="shared" si="4"/>
        <v>#DIV/0!</v>
      </c>
      <c r="BD28" s="165" t="e">
        <v>#DIV/0!</v>
      </c>
      <c r="BE28" s="165" t="e">
        <f t="shared" si="5"/>
        <v>#DIV/0!</v>
      </c>
      <c r="BF28" s="165" t="e">
        <v>#DIV/0!</v>
      </c>
      <c r="BG28" s="165" t="e">
        <f t="shared" si="6"/>
        <v>#DIV/0!</v>
      </c>
      <c r="BH28" s="165" t="e">
        <v>#DIV/0!</v>
      </c>
      <c r="BI28" s="165" t="e">
        <f t="shared" si="7"/>
        <v>#DIV/0!</v>
      </c>
      <c r="BJ28" s="165" t="e">
        <v>#DIV/0!</v>
      </c>
      <c r="BK28" s="165" t="e">
        <f t="shared" si="8"/>
        <v>#DIV/0!</v>
      </c>
      <c r="BL28" s="165" t="e">
        <v>#DIV/0!</v>
      </c>
      <c r="BM28" s="165" t="e">
        <f t="shared" si="9"/>
        <v>#DIV/0!</v>
      </c>
      <c r="BN28" s="165" t="e">
        <v>#DIV/0!</v>
      </c>
    </row>
    <row r="29" spans="1:66" ht="15.6" x14ac:dyDescent="0.3">
      <c r="A29" s="155">
        <v>100</v>
      </c>
      <c r="B29" s="155">
        <v>120</v>
      </c>
      <c r="C29" s="156">
        <v>24292</v>
      </c>
      <c r="D29" s="156"/>
      <c r="E29" s="156"/>
      <c r="F29" s="156">
        <v>79696617000</v>
      </c>
      <c r="G29" s="156"/>
      <c r="H29" s="156"/>
      <c r="I29" s="157">
        <v>2.4669853592259011E-4</v>
      </c>
      <c r="J29" s="157" t="e">
        <v>#DIV/0!</v>
      </c>
      <c r="K29" s="157"/>
      <c r="L29" s="157">
        <v>109.35920879301828</v>
      </c>
      <c r="M29" s="157"/>
      <c r="N29" s="157"/>
      <c r="O29" s="146"/>
      <c r="P29" s="159" t="str">
        <f t="shared" si="0"/>
        <v>(100, 120]</v>
      </c>
      <c r="Q29" s="160" t="s">
        <v>66</v>
      </c>
      <c r="R29" s="157">
        <f t="shared" si="10"/>
        <v>2.4669853592259011E-4</v>
      </c>
      <c r="S29" s="161">
        <v>0</v>
      </c>
      <c r="T29" s="161">
        <v>0</v>
      </c>
      <c r="U29" s="161"/>
      <c r="V29" s="161"/>
      <c r="W29" s="161"/>
      <c r="X29" s="161"/>
      <c r="Y29" s="161"/>
      <c r="Z29" s="161"/>
      <c r="AA29" s="163">
        <v>0</v>
      </c>
      <c r="AB29" s="163">
        <v>0</v>
      </c>
      <c r="AC29" s="163">
        <v>0</v>
      </c>
      <c r="AD29" s="163">
        <v>0</v>
      </c>
      <c r="AE29" s="163">
        <v>0</v>
      </c>
      <c r="AF29" s="163">
        <v>0</v>
      </c>
      <c r="AG29" s="163">
        <v>0</v>
      </c>
      <c r="AH29" s="163">
        <v>0</v>
      </c>
      <c r="AI29" s="163">
        <v>0</v>
      </c>
      <c r="AJ29" s="163">
        <v>0</v>
      </c>
      <c r="AK29" s="163" t="e">
        <v>#DIV/0!</v>
      </c>
      <c r="AL29" s="163" t="e">
        <v>#DIV/0!</v>
      </c>
      <c r="AM29" s="163" t="e">
        <v>#DIV/0!</v>
      </c>
      <c r="AN29" s="163" t="e">
        <v>#DIV/0!</v>
      </c>
      <c r="AO29" s="163" t="e">
        <v>#DIV/0!</v>
      </c>
      <c r="AP29" s="163" t="e">
        <v>#DIV/0!</v>
      </c>
      <c r="AQ29" s="164">
        <v>0</v>
      </c>
      <c r="AR29" s="167">
        <v>0</v>
      </c>
      <c r="AS29" s="167" t="e">
        <v>#DIV/0!</v>
      </c>
      <c r="AT29" s="167" t="e">
        <v>#DIV/0!</v>
      </c>
      <c r="AU29" s="164" t="e">
        <v>#DIV/0!</v>
      </c>
      <c r="AV29" s="167" t="e">
        <v>#DIV/0!</v>
      </c>
      <c r="AW29" s="167" t="e">
        <v>#DIV/0!</v>
      </c>
      <c r="AX29" s="167" t="e">
        <v>#DIV/0!</v>
      </c>
      <c r="AY29" s="165">
        <f t="shared" si="2"/>
        <v>0</v>
      </c>
      <c r="AZ29" s="165">
        <v>0</v>
      </c>
      <c r="BA29" s="165">
        <f t="shared" si="3"/>
        <v>0</v>
      </c>
      <c r="BB29" s="165">
        <v>0</v>
      </c>
      <c r="BC29" s="165" t="e">
        <f t="shared" si="4"/>
        <v>#DIV/0!</v>
      </c>
      <c r="BD29" s="165" t="e">
        <v>#DIV/0!</v>
      </c>
      <c r="BE29" s="165" t="e">
        <f t="shared" si="5"/>
        <v>#DIV/0!</v>
      </c>
      <c r="BF29" s="165" t="e">
        <v>#DIV/0!</v>
      </c>
      <c r="BG29" s="165" t="e">
        <f t="shared" si="6"/>
        <v>#DIV/0!</v>
      </c>
      <c r="BH29" s="165" t="e">
        <v>#DIV/0!</v>
      </c>
      <c r="BI29" s="165" t="e">
        <f t="shared" si="7"/>
        <v>#DIV/0!</v>
      </c>
      <c r="BJ29" s="165" t="e">
        <v>#DIV/0!</v>
      </c>
      <c r="BK29" s="165" t="e">
        <f t="shared" si="8"/>
        <v>#DIV/0!</v>
      </c>
      <c r="BL29" s="165" t="e">
        <v>#DIV/0!</v>
      </c>
      <c r="BM29" s="165" t="e">
        <f t="shared" si="9"/>
        <v>#DIV/0!</v>
      </c>
      <c r="BN29" s="165" t="e">
        <v>#DIV/0!</v>
      </c>
    </row>
    <row r="30" spans="1:66" ht="15.6" x14ac:dyDescent="0.3">
      <c r="A30" s="155">
        <v>120</v>
      </c>
      <c r="B30" s="155">
        <v>140</v>
      </c>
      <c r="C30" s="156">
        <v>13953</v>
      </c>
      <c r="D30" s="156"/>
      <c r="E30" s="156"/>
      <c r="F30" s="156">
        <v>54056515500</v>
      </c>
      <c r="G30" s="156"/>
      <c r="H30" s="156"/>
      <c r="I30" s="157">
        <v>1.4170034051242796E-4</v>
      </c>
      <c r="J30" s="157" t="e">
        <v>#DIV/0!</v>
      </c>
      <c r="K30" s="157"/>
      <c r="L30" s="157">
        <v>129.13952913351966</v>
      </c>
      <c r="M30" s="157"/>
      <c r="N30" s="157"/>
      <c r="O30" s="146"/>
      <c r="P30" s="159" t="str">
        <f t="shared" si="0"/>
        <v>(120, 140]</v>
      </c>
      <c r="Q30" s="160" t="s">
        <v>66</v>
      </c>
      <c r="R30" s="157">
        <f t="shared" si="10"/>
        <v>1.4170034051242796E-4</v>
      </c>
      <c r="S30" s="161">
        <v>0</v>
      </c>
      <c r="T30" s="161">
        <v>0</v>
      </c>
      <c r="U30" s="161"/>
      <c r="V30" s="161"/>
      <c r="W30" s="161"/>
      <c r="X30" s="161"/>
      <c r="Y30" s="161"/>
      <c r="Z30" s="161"/>
      <c r="AA30" s="163">
        <v>0</v>
      </c>
      <c r="AB30" s="163">
        <v>0</v>
      </c>
      <c r="AC30" s="163">
        <v>0</v>
      </c>
      <c r="AD30" s="163">
        <v>0</v>
      </c>
      <c r="AE30" s="163">
        <v>0</v>
      </c>
      <c r="AF30" s="163">
        <v>0</v>
      </c>
      <c r="AG30" s="163">
        <v>0</v>
      </c>
      <c r="AH30" s="163">
        <v>0</v>
      </c>
      <c r="AI30" s="163">
        <v>0</v>
      </c>
      <c r="AJ30" s="163">
        <v>0</v>
      </c>
      <c r="AK30" s="163" t="e">
        <v>#DIV/0!</v>
      </c>
      <c r="AL30" s="163" t="e">
        <v>#DIV/0!</v>
      </c>
      <c r="AM30" s="163" t="e">
        <v>#DIV/0!</v>
      </c>
      <c r="AN30" s="163" t="e">
        <v>#DIV/0!</v>
      </c>
      <c r="AO30" s="163" t="e">
        <v>#DIV/0!</v>
      </c>
      <c r="AP30" s="163" t="e">
        <v>#DIV/0!</v>
      </c>
      <c r="AQ30" s="164">
        <v>0</v>
      </c>
      <c r="AR30" s="167">
        <v>0</v>
      </c>
      <c r="AS30" s="167" t="e">
        <v>#DIV/0!</v>
      </c>
      <c r="AT30" s="167" t="e">
        <v>#DIV/0!</v>
      </c>
      <c r="AU30" s="164" t="e">
        <v>#DIV/0!</v>
      </c>
      <c r="AV30" s="167" t="e">
        <v>#DIV/0!</v>
      </c>
      <c r="AW30" s="167" t="e">
        <v>#DIV/0!</v>
      </c>
      <c r="AX30" s="167" t="e">
        <v>#DIV/0!</v>
      </c>
      <c r="AY30" s="165">
        <f t="shared" si="2"/>
        <v>0</v>
      </c>
      <c r="AZ30" s="165">
        <v>0</v>
      </c>
      <c r="BA30" s="165">
        <f t="shared" si="3"/>
        <v>0</v>
      </c>
      <c r="BB30" s="165">
        <v>0</v>
      </c>
      <c r="BC30" s="165" t="e">
        <f t="shared" si="4"/>
        <v>#DIV/0!</v>
      </c>
      <c r="BD30" s="165" t="e">
        <v>#DIV/0!</v>
      </c>
      <c r="BE30" s="165" t="e">
        <f t="shared" si="5"/>
        <v>#DIV/0!</v>
      </c>
      <c r="BF30" s="165" t="e">
        <v>#DIV/0!</v>
      </c>
      <c r="BG30" s="165" t="e">
        <f t="shared" si="6"/>
        <v>#DIV/0!</v>
      </c>
      <c r="BH30" s="165" t="e">
        <v>#DIV/0!</v>
      </c>
      <c r="BI30" s="165" t="e">
        <f t="shared" si="7"/>
        <v>#DIV/0!</v>
      </c>
      <c r="BJ30" s="165" t="e">
        <v>#DIV/0!</v>
      </c>
      <c r="BK30" s="165" t="e">
        <f t="shared" si="8"/>
        <v>#DIV/0!</v>
      </c>
      <c r="BL30" s="165" t="e">
        <v>#DIV/0!</v>
      </c>
      <c r="BM30" s="165" t="e">
        <f t="shared" si="9"/>
        <v>#DIV/0!</v>
      </c>
      <c r="BN30" s="165" t="e">
        <v>#DIV/0!</v>
      </c>
    </row>
    <row r="31" spans="1:66" ht="15.6" x14ac:dyDescent="0.3">
      <c r="A31" s="155">
        <v>140</v>
      </c>
      <c r="B31" s="155">
        <v>160</v>
      </c>
      <c r="C31" s="156">
        <v>9263</v>
      </c>
      <c r="D31" s="156"/>
      <c r="E31" s="156"/>
      <c r="F31" s="156">
        <v>41541426000</v>
      </c>
      <c r="G31" s="156"/>
      <c r="H31" s="156"/>
      <c r="I31" s="157">
        <v>9.4070827360898744E-5</v>
      </c>
      <c r="J31" s="157" t="e">
        <v>#DIV/0!</v>
      </c>
      <c r="K31" s="157"/>
      <c r="L31" s="157">
        <v>149.48874014897979</v>
      </c>
      <c r="M31" s="157"/>
      <c r="N31" s="157"/>
      <c r="O31" s="146"/>
      <c r="P31" s="159" t="str">
        <f t="shared" si="0"/>
        <v>(140, 160]</v>
      </c>
      <c r="Q31" s="160" t="s">
        <v>66</v>
      </c>
      <c r="R31" s="157">
        <f t="shared" si="10"/>
        <v>9.4070827360898744E-5</v>
      </c>
      <c r="S31" s="161">
        <v>0</v>
      </c>
      <c r="T31" s="161">
        <v>0</v>
      </c>
      <c r="U31" s="161"/>
      <c r="V31" s="161"/>
      <c r="W31" s="161"/>
      <c r="X31" s="161"/>
      <c r="Y31" s="161"/>
      <c r="Z31" s="161"/>
      <c r="AA31" s="163">
        <v>0</v>
      </c>
      <c r="AB31" s="163">
        <v>0</v>
      </c>
      <c r="AC31" s="163">
        <v>0</v>
      </c>
      <c r="AD31" s="163">
        <v>0</v>
      </c>
      <c r="AE31" s="163">
        <v>0</v>
      </c>
      <c r="AF31" s="163">
        <v>0</v>
      </c>
      <c r="AG31" s="163">
        <v>0</v>
      </c>
      <c r="AH31" s="163">
        <v>0</v>
      </c>
      <c r="AI31" s="163">
        <v>0</v>
      </c>
      <c r="AJ31" s="163">
        <v>0</v>
      </c>
      <c r="AK31" s="163" t="e">
        <v>#DIV/0!</v>
      </c>
      <c r="AL31" s="163" t="e">
        <v>#DIV/0!</v>
      </c>
      <c r="AM31" s="163" t="e">
        <v>#DIV/0!</v>
      </c>
      <c r="AN31" s="163" t="e">
        <v>#DIV/0!</v>
      </c>
      <c r="AO31" s="163" t="e">
        <v>#DIV/0!</v>
      </c>
      <c r="AP31" s="163" t="e">
        <v>#DIV/0!</v>
      </c>
      <c r="AQ31" s="164">
        <v>0</v>
      </c>
      <c r="AR31" s="167">
        <v>0</v>
      </c>
      <c r="AS31" s="167" t="e">
        <v>#DIV/0!</v>
      </c>
      <c r="AT31" s="167" t="e">
        <v>#DIV/0!</v>
      </c>
      <c r="AU31" s="164" t="e">
        <v>#DIV/0!</v>
      </c>
      <c r="AV31" s="167" t="e">
        <v>#DIV/0!</v>
      </c>
      <c r="AW31" s="167" t="e">
        <v>#DIV/0!</v>
      </c>
      <c r="AX31" s="167" t="e">
        <v>#DIV/0!</v>
      </c>
      <c r="AY31" s="165">
        <f t="shared" si="2"/>
        <v>0</v>
      </c>
      <c r="AZ31" s="165">
        <v>0</v>
      </c>
      <c r="BA31" s="165">
        <f t="shared" si="3"/>
        <v>0</v>
      </c>
      <c r="BB31" s="165">
        <v>0</v>
      </c>
      <c r="BC31" s="165" t="e">
        <f t="shared" si="4"/>
        <v>#DIV/0!</v>
      </c>
      <c r="BD31" s="165" t="e">
        <v>#DIV/0!</v>
      </c>
      <c r="BE31" s="165" t="e">
        <f t="shared" si="5"/>
        <v>#DIV/0!</v>
      </c>
      <c r="BF31" s="165" t="e">
        <v>#DIV/0!</v>
      </c>
      <c r="BG31" s="165" t="e">
        <f t="shared" si="6"/>
        <v>#DIV/0!</v>
      </c>
      <c r="BH31" s="165" t="e">
        <v>#DIV/0!</v>
      </c>
      <c r="BI31" s="165" t="e">
        <f t="shared" si="7"/>
        <v>#DIV/0!</v>
      </c>
      <c r="BJ31" s="165" t="e">
        <v>#DIV/0!</v>
      </c>
      <c r="BK31" s="165" t="e">
        <f t="shared" si="8"/>
        <v>#DIV/0!</v>
      </c>
      <c r="BL31" s="165" t="e">
        <v>#DIV/0!</v>
      </c>
      <c r="BM31" s="165" t="e">
        <f t="shared" si="9"/>
        <v>#DIV/0!</v>
      </c>
      <c r="BN31" s="165" t="e">
        <v>#DIV/0!</v>
      </c>
    </row>
    <row r="32" spans="1:66" ht="15.6" x14ac:dyDescent="0.3">
      <c r="A32" s="155">
        <v>160</v>
      </c>
      <c r="B32" s="155">
        <v>180</v>
      </c>
      <c r="C32" s="156">
        <v>6214</v>
      </c>
      <c r="D32" s="156"/>
      <c r="E32" s="156"/>
      <c r="F32" s="156">
        <v>31566759000</v>
      </c>
      <c r="G32" s="156"/>
      <c r="H32" s="156"/>
      <c r="I32" s="157">
        <v>6.3106566039147657E-5</v>
      </c>
      <c r="J32" s="157" t="e">
        <v>#DIV/0!</v>
      </c>
      <c r="K32" s="157"/>
      <c r="L32" s="157">
        <v>169.33139684583199</v>
      </c>
      <c r="M32" s="157"/>
      <c r="N32" s="157"/>
      <c r="O32" s="146"/>
      <c r="P32" s="159" t="str">
        <f t="shared" si="0"/>
        <v>(160, 180]</v>
      </c>
      <c r="Q32" s="160" t="s">
        <v>66</v>
      </c>
      <c r="R32" s="157">
        <f t="shared" si="10"/>
        <v>6.3106566039147657E-5</v>
      </c>
      <c r="S32" s="161">
        <v>0</v>
      </c>
      <c r="T32" s="161">
        <v>0</v>
      </c>
      <c r="U32" s="161"/>
      <c r="V32" s="161"/>
      <c r="W32" s="161"/>
      <c r="X32" s="161"/>
      <c r="Y32" s="161"/>
      <c r="Z32" s="161"/>
      <c r="AA32" s="163">
        <v>0</v>
      </c>
      <c r="AB32" s="163">
        <v>0</v>
      </c>
      <c r="AC32" s="163">
        <v>0</v>
      </c>
      <c r="AD32" s="163">
        <v>0</v>
      </c>
      <c r="AE32" s="163">
        <v>0</v>
      </c>
      <c r="AF32" s="163">
        <v>0</v>
      </c>
      <c r="AG32" s="163">
        <v>0</v>
      </c>
      <c r="AH32" s="163">
        <v>0</v>
      </c>
      <c r="AI32" s="163">
        <v>0</v>
      </c>
      <c r="AJ32" s="163">
        <v>0</v>
      </c>
      <c r="AK32" s="163" t="e">
        <v>#DIV/0!</v>
      </c>
      <c r="AL32" s="163" t="e">
        <v>#DIV/0!</v>
      </c>
      <c r="AM32" s="163" t="e">
        <v>#DIV/0!</v>
      </c>
      <c r="AN32" s="163" t="e">
        <v>#DIV/0!</v>
      </c>
      <c r="AO32" s="163" t="e">
        <v>#DIV/0!</v>
      </c>
      <c r="AP32" s="163" t="e">
        <v>#DIV/0!</v>
      </c>
      <c r="AQ32" s="164">
        <v>0</v>
      </c>
      <c r="AR32" s="167">
        <v>0</v>
      </c>
      <c r="AS32" s="167" t="e">
        <v>#DIV/0!</v>
      </c>
      <c r="AT32" s="167" t="e">
        <v>#DIV/0!</v>
      </c>
      <c r="AU32" s="164" t="e">
        <v>#DIV/0!</v>
      </c>
      <c r="AV32" s="167" t="e">
        <v>#DIV/0!</v>
      </c>
      <c r="AW32" s="167" t="e">
        <v>#DIV/0!</v>
      </c>
      <c r="AX32" s="167" t="e">
        <v>#DIV/0!</v>
      </c>
      <c r="AY32" s="165">
        <f t="shared" si="2"/>
        <v>0</v>
      </c>
      <c r="AZ32" s="165">
        <v>0</v>
      </c>
      <c r="BA32" s="165">
        <f t="shared" si="3"/>
        <v>0</v>
      </c>
      <c r="BB32" s="165">
        <v>0</v>
      </c>
      <c r="BC32" s="165" t="e">
        <f t="shared" si="4"/>
        <v>#DIV/0!</v>
      </c>
      <c r="BD32" s="165" t="e">
        <v>#DIV/0!</v>
      </c>
      <c r="BE32" s="165" t="e">
        <f t="shared" si="5"/>
        <v>#DIV/0!</v>
      </c>
      <c r="BF32" s="165" t="e">
        <v>#DIV/0!</v>
      </c>
      <c r="BG32" s="165" t="e">
        <f t="shared" si="6"/>
        <v>#DIV/0!</v>
      </c>
      <c r="BH32" s="165" t="e">
        <v>#DIV/0!</v>
      </c>
      <c r="BI32" s="165" t="e">
        <f t="shared" si="7"/>
        <v>#DIV/0!</v>
      </c>
      <c r="BJ32" s="165" t="e">
        <v>#DIV/0!</v>
      </c>
      <c r="BK32" s="165" t="e">
        <f t="shared" si="8"/>
        <v>#DIV/0!</v>
      </c>
      <c r="BL32" s="165" t="e">
        <v>#DIV/0!</v>
      </c>
      <c r="BM32" s="165" t="e">
        <f t="shared" si="9"/>
        <v>#DIV/0!</v>
      </c>
      <c r="BN32" s="165" t="e">
        <v>#DIV/0!</v>
      </c>
    </row>
    <row r="33" spans="1:66" ht="15.6" x14ac:dyDescent="0.3">
      <c r="A33" s="155">
        <v>180</v>
      </c>
      <c r="B33" s="155">
        <v>200</v>
      </c>
      <c r="C33" s="156">
        <v>4040</v>
      </c>
      <c r="D33" s="156"/>
      <c r="E33" s="156"/>
      <c r="F33" s="156">
        <v>22939216500</v>
      </c>
      <c r="G33" s="156"/>
      <c r="H33" s="156"/>
      <c r="I33" s="157">
        <v>4.1028407917308744E-5</v>
      </c>
      <c r="J33" s="157" t="e">
        <v>#DIV/0!</v>
      </c>
      <c r="K33" s="157"/>
      <c r="L33" s="157">
        <v>189.26746287128714</v>
      </c>
      <c r="M33" s="157"/>
      <c r="N33" s="157"/>
      <c r="O33" s="146"/>
      <c r="P33" s="159" t="str">
        <f t="shared" si="0"/>
        <v>(180, 200]</v>
      </c>
      <c r="Q33" s="160" t="s">
        <v>66</v>
      </c>
      <c r="R33" s="157">
        <f t="shared" si="10"/>
        <v>4.1028407917308744E-5</v>
      </c>
      <c r="S33" s="161">
        <v>0</v>
      </c>
      <c r="T33" s="161">
        <v>0</v>
      </c>
      <c r="U33" s="161"/>
      <c r="V33" s="161"/>
      <c r="W33" s="161"/>
      <c r="X33" s="161"/>
      <c r="Y33" s="161"/>
      <c r="Z33" s="161"/>
      <c r="AA33" s="163">
        <v>0</v>
      </c>
      <c r="AB33" s="163">
        <v>0</v>
      </c>
      <c r="AC33" s="163">
        <v>0</v>
      </c>
      <c r="AD33" s="163">
        <v>0</v>
      </c>
      <c r="AE33" s="163">
        <v>0</v>
      </c>
      <c r="AF33" s="163">
        <v>0</v>
      </c>
      <c r="AG33" s="163">
        <v>0</v>
      </c>
      <c r="AH33" s="163">
        <v>0</v>
      </c>
      <c r="AI33" s="163">
        <v>0</v>
      </c>
      <c r="AJ33" s="163">
        <v>0</v>
      </c>
      <c r="AK33" s="163" t="e">
        <v>#DIV/0!</v>
      </c>
      <c r="AL33" s="163" t="e">
        <v>#DIV/0!</v>
      </c>
      <c r="AM33" s="163" t="e">
        <v>#DIV/0!</v>
      </c>
      <c r="AN33" s="163" t="e">
        <v>#DIV/0!</v>
      </c>
      <c r="AO33" s="163" t="e">
        <v>#DIV/0!</v>
      </c>
      <c r="AP33" s="163" t="e">
        <v>#DIV/0!</v>
      </c>
      <c r="AQ33" s="164">
        <v>0</v>
      </c>
      <c r="AR33" s="167">
        <v>0</v>
      </c>
      <c r="AS33" s="167" t="e">
        <v>#DIV/0!</v>
      </c>
      <c r="AT33" s="167" t="e">
        <v>#DIV/0!</v>
      </c>
      <c r="AU33" s="164" t="e">
        <v>#DIV/0!</v>
      </c>
      <c r="AV33" s="167" t="e">
        <v>#DIV/0!</v>
      </c>
      <c r="AW33" s="167" t="e">
        <v>#DIV/0!</v>
      </c>
      <c r="AX33" s="167" t="e">
        <v>#DIV/0!</v>
      </c>
      <c r="AY33" s="165">
        <f t="shared" si="2"/>
        <v>0</v>
      </c>
      <c r="AZ33" s="165">
        <v>0</v>
      </c>
      <c r="BA33" s="165">
        <f t="shared" si="3"/>
        <v>0</v>
      </c>
      <c r="BB33" s="165">
        <v>0</v>
      </c>
      <c r="BC33" s="165" t="e">
        <f t="shared" si="4"/>
        <v>#DIV/0!</v>
      </c>
      <c r="BD33" s="165" t="e">
        <v>#DIV/0!</v>
      </c>
      <c r="BE33" s="165" t="e">
        <f t="shared" si="5"/>
        <v>#DIV/0!</v>
      </c>
      <c r="BF33" s="165" t="e">
        <v>#DIV/0!</v>
      </c>
      <c r="BG33" s="165" t="e">
        <f t="shared" si="6"/>
        <v>#DIV/0!</v>
      </c>
      <c r="BH33" s="165" t="e">
        <v>#DIV/0!</v>
      </c>
      <c r="BI33" s="165" t="e">
        <f t="shared" si="7"/>
        <v>#DIV/0!</v>
      </c>
      <c r="BJ33" s="165" t="e">
        <v>#DIV/0!</v>
      </c>
      <c r="BK33" s="165" t="e">
        <f t="shared" si="8"/>
        <v>#DIV/0!</v>
      </c>
      <c r="BL33" s="165" t="e">
        <v>#DIV/0!</v>
      </c>
      <c r="BM33" s="165" t="e">
        <f t="shared" si="9"/>
        <v>#DIV/0!</v>
      </c>
      <c r="BN33" s="165" t="e">
        <v>#DIV/0!</v>
      </c>
    </row>
    <row r="34" spans="1:66" ht="15.6" x14ac:dyDescent="0.3">
      <c r="A34" s="155">
        <v>200</v>
      </c>
      <c r="B34" s="155">
        <v>250</v>
      </c>
      <c r="C34" s="156">
        <v>6008</v>
      </c>
      <c r="D34" s="156"/>
      <c r="E34" s="156"/>
      <c r="F34" s="156">
        <v>40076232000</v>
      </c>
      <c r="G34" s="156"/>
      <c r="H34" s="156"/>
      <c r="I34" s="157">
        <v>6.1014523457225484E-5</v>
      </c>
      <c r="J34" s="157" t="e">
        <v>#DIV/0!</v>
      </c>
      <c r="K34" s="157"/>
      <c r="L34" s="157">
        <v>222.3492676431425</v>
      </c>
      <c r="M34" s="157"/>
      <c r="N34" s="157"/>
      <c r="O34" s="146"/>
      <c r="P34" s="159" t="str">
        <f t="shared" si="0"/>
        <v>(200, 250]</v>
      </c>
      <c r="Q34" s="160" t="s">
        <v>66</v>
      </c>
      <c r="R34" s="157">
        <f t="shared" si="10"/>
        <v>6.1014523457225484E-5</v>
      </c>
      <c r="S34" s="161">
        <v>0</v>
      </c>
      <c r="T34" s="161">
        <v>0</v>
      </c>
      <c r="U34" s="161"/>
      <c r="V34" s="161"/>
      <c r="W34" s="161"/>
      <c r="X34" s="161"/>
      <c r="Y34" s="161"/>
      <c r="Z34" s="161"/>
      <c r="AA34" s="163">
        <v>0</v>
      </c>
      <c r="AB34" s="163">
        <v>0</v>
      </c>
      <c r="AC34" s="163">
        <v>0</v>
      </c>
      <c r="AD34" s="163">
        <v>0</v>
      </c>
      <c r="AE34" s="163">
        <v>0</v>
      </c>
      <c r="AF34" s="163">
        <v>0</v>
      </c>
      <c r="AG34" s="163">
        <v>0</v>
      </c>
      <c r="AH34" s="163">
        <v>0</v>
      </c>
      <c r="AI34" s="163">
        <v>0</v>
      </c>
      <c r="AJ34" s="163">
        <v>0</v>
      </c>
      <c r="AK34" s="163" t="e">
        <v>#DIV/0!</v>
      </c>
      <c r="AL34" s="163" t="e">
        <v>#DIV/0!</v>
      </c>
      <c r="AM34" s="163" t="e">
        <v>#DIV/0!</v>
      </c>
      <c r="AN34" s="163" t="e">
        <v>#DIV/0!</v>
      </c>
      <c r="AO34" s="163" t="e">
        <v>#DIV/0!</v>
      </c>
      <c r="AP34" s="163" t="e">
        <v>#DIV/0!</v>
      </c>
      <c r="AQ34" s="164">
        <v>0</v>
      </c>
      <c r="AR34" s="167">
        <v>0</v>
      </c>
      <c r="AS34" s="167" t="e">
        <v>#DIV/0!</v>
      </c>
      <c r="AT34" s="167" t="e">
        <v>#DIV/0!</v>
      </c>
      <c r="AU34" s="164" t="e">
        <v>#DIV/0!</v>
      </c>
      <c r="AV34" s="167" t="e">
        <v>#DIV/0!</v>
      </c>
      <c r="AW34" s="167" t="e">
        <v>#DIV/0!</v>
      </c>
      <c r="AX34" s="167" t="e">
        <v>#DIV/0!</v>
      </c>
      <c r="AY34" s="165">
        <f t="shared" si="2"/>
        <v>0</v>
      </c>
      <c r="AZ34" s="165">
        <v>0</v>
      </c>
      <c r="BA34" s="165">
        <f t="shared" si="3"/>
        <v>0</v>
      </c>
      <c r="BB34" s="165">
        <v>0</v>
      </c>
      <c r="BC34" s="165" t="e">
        <f t="shared" si="4"/>
        <v>#DIV/0!</v>
      </c>
      <c r="BD34" s="165" t="e">
        <v>#DIV/0!</v>
      </c>
      <c r="BE34" s="165" t="e">
        <f t="shared" si="5"/>
        <v>#DIV/0!</v>
      </c>
      <c r="BF34" s="165" t="e">
        <v>#DIV/0!</v>
      </c>
      <c r="BG34" s="165" t="e">
        <f t="shared" si="6"/>
        <v>#DIV/0!</v>
      </c>
      <c r="BH34" s="165" t="e">
        <v>#DIV/0!</v>
      </c>
      <c r="BI34" s="165" t="e">
        <f t="shared" si="7"/>
        <v>#DIV/0!</v>
      </c>
      <c r="BJ34" s="165" t="e">
        <v>#DIV/0!</v>
      </c>
      <c r="BK34" s="165" t="e">
        <f t="shared" si="8"/>
        <v>#DIV/0!</v>
      </c>
      <c r="BL34" s="165" t="e">
        <v>#DIV/0!</v>
      </c>
      <c r="BM34" s="165" t="e">
        <f t="shared" si="9"/>
        <v>#DIV/0!</v>
      </c>
      <c r="BN34" s="165" t="e">
        <v>#DIV/0!</v>
      </c>
    </row>
    <row r="35" spans="1:66" ht="15.6" x14ac:dyDescent="0.3">
      <c r="A35" s="155">
        <v>250</v>
      </c>
      <c r="B35" s="155">
        <v>300</v>
      </c>
      <c r="C35" s="156">
        <v>2761</v>
      </c>
      <c r="D35" s="156"/>
      <c r="E35" s="156"/>
      <c r="F35" s="156">
        <v>22587960000</v>
      </c>
      <c r="G35" s="156"/>
      <c r="H35" s="156"/>
      <c r="I35" s="157">
        <v>2.8039463925665706E-5</v>
      </c>
      <c r="J35" s="157" t="e">
        <v>#DIV/0!</v>
      </c>
      <c r="K35" s="157"/>
      <c r="L35" s="157">
        <v>272.70264396957623</v>
      </c>
      <c r="M35" s="157"/>
      <c r="N35" s="157"/>
      <c r="O35" s="146"/>
      <c r="P35" s="159" t="str">
        <f t="shared" si="0"/>
        <v>(250, 300]</v>
      </c>
      <c r="Q35" s="160" t="s">
        <v>66</v>
      </c>
      <c r="R35" s="157">
        <f t="shared" si="10"/>
        <v>2.8039463925665706E-5</v>
      </c>
      <c r="S35" s="161">
        <v>0</v>
      </c>
      <c r="T35" s="161">
        <v>0</v>
      </c>
      <c r="U35" s="161"/>
      <c r="V35" s="161"/>
      <c r="W35" s="161"/>
      <c r="X35" s="161"/>
      <c r="Y35" s="161"/>
      <c r="Z35" s="161"/>
      <c r="AA35" s="163">
        <v>0</v>
      </c>
      <c r="AB35" s="163">
        <v>0</v>
      </c>
      <c r="AC35" s="163">
        <v>0</v>
      </c>
      <c r="AD35" s="163">
        <v>0</v>
      </c>
      <c r="AE35" s="163">
        <v>0</v>
      </c>
      <c r="AF35" s="163">
        <v>0</v>
      </c>
      <c r="AG35" s="163">
        <v>0</v>
      </c>
      <c r="AH35" s="163">
        <v>0</v>
      </c>
      <c r="AI35" s="163">
        <v>0</v>
      </c>
      <c r="AJ35" s="163">
        <v>0</v>
      </c>
      <c r="AK35" s="163" t="e">
        <v>#DIV/0!</v>
      </c>
      <c r="AL35" s="163" t="e">
        <v>#DIV/0!</v>
      </c>
      <c r="AM35" s="163" t="e">
        <v>#DIV/0!</v>
      </c>
      <c r="AN35" s="163" t="e">
        <v>#DIV/0!</v>
      </c>
      <c r="AO35" s="163" t="e">
        <v>#DIV/0!</v>
      </c>
      <c r="AP35" s="163" t="e">
        <v>#DIV/0!</v>
      </c>
      <c r="AQ35" s="164">
        <v>0</v>
      </c>
      <c r="AR35" s="167">
        <v>0</v>
      </c>
      <c r="AS35" s="167" t="e">
        <v>#DIV/0!</v>
      </c>
      <c r="AT35" s="167" t="e">
        <v>#DIV/0!</v>
      </c>
      <c r="AU35" s="164" t="e">
        <v>#DIV/0!</v>
      </c>
      <c r="AV35" s="167" t="e">
        <v>#DIV/0!</v>
      </c>
      <c r="AW35" s="167" t="e">
        <v>#DIV/0!</v>
      </c>
      <c r="AX35" s="167" t="e">
        <v>#DIV/0!</v>
      </c>
      <c r="AY35" s="165">
        <f t="shared" si="2"/>
        <v>0</v>
      </c>
      <c r="AZ35" s="165">
        <v>0</v>
      </c>
      <c r="BA35" s="165">
        <f t="shared" si="3"/>
        <v>0</v>
      </c>
      <c r="BB35" s="165">
        <v>0</v>
      </c>
      <c r="BC35" s="165" t="e">
        <f t="shared" si="4"/>
        <v>#DIV/0!</v>
      </c>
      <c r="BD35" s="165" t="e">
        <v>#DIV/0!</v>
      </c>
      <c r="BE35" s="165" t="e">
        <f t="shared" si="5"/>
        <v>#DIV/0!</v>
      </c>
      <c r="BF35" s="165" t="e">
        <v>#DIV/0!</v>
      </c>
      <c r="BG35" s="165" t="e">
        <f t="shared" si="6"/>
        <v>#DIV/0!</v>
      </c>
      <c r="BH35" s="165" t="e">
        <v>#DIV/0!</v>
      </c>
      <c r="BI35" s="165" t="e">
        <f t="shared" si="7"/>
        <v>#DIV/0!</v>
      </c>
      <c r="BJ35" s="165" t="e">
        <v>#DIV/0!</v>
      </c>
      <c r="BK35" s="165" t="e">
        <f t="shared" si="8"/>
        <v>#DIV/0!</v>
      </c>
      <c r="BL35" s="165" t="e">
        <v>#DIV/0!</v>
      </c>
      <c r="BM35" s="165" t="e">
        <f t="shared" si="9"/>
        <v>#DIV/0!</v>
      </c>
      <c r="BN35" s="165" t="e">
        <v>#DIV/0!</v>
      </c>
    </row>
    <row r="36" spans="1:66" ht="15.6" x14ac:dyDescent="0.3">
      <c r="A36" s="155">
        <v>300</v>
      </c>
      <c r="B36" s="155">
        <v>350</v>
      </c>
      <c r="C36" s="156">
        <v>1611</v>
      </c>
      <c r="D36" s="156"/>
      <c r="E36" s="156"/>
      <c r="F36" s="156">
        <v>15614289000</v>
      </c>
      <c r="G36" s="156"/>
      <c r="H36" s="156"/>
      <c r="I36" s="157">
        <v>1.6360585434352572E-5</v>
      </c>
      <c r="J36" s="157" t="e">
        <v>#DIV/0!</v>
      </c>
      <c r="K36" s="157"/>
      <c r="L36" s="157">
        <v>323.07653631284916</v>
      </c>
      <c r="M36" s="157"/>
      <c r="N36" s="157"/>
      <c r="O36" s="146"/>
      <c r="P36" s="159" t="str">
        <f t="shared" si="0"/>
        <v>(300, 350]</v>
      </c>
      <c r="Q36" s="160" t="s">
        <v>66</v>
      </c>
      <c r="R36" s="157">
        <f t="shared" si="10"/>
        <v>1.6360585434352572E-5</v>
      </c>
      <c r="S36" s="161">
        <v>0</v>
      </c>
      <c r="T36" s="161">
        <v>0</v>
      </c>
      <c r="U36" s="161"/>
      <c r="V36" s="161"/>
      <c r="W36" s="161"/>
      <c r="X36" s="161"/>
      <c r="Y36" s="161"/>
      <c r="Z36" s="161"/>
      <c r="AA36" s="163">
        <v>0</v>
      </c>
      <c r="AB36" s="163">
        <v>0</v>
      </c>
      <c r="AC36" s="163">
        <v>0</v>
      </c>
      <c r="AD36" s="163">
        <v>0</v>
      </c>
      <c r="AE36" s="163">
        <v>0</v>
      </c>
      <c r="AF36" s="163">
        <v>0</v>
      </c>
      <c r="AG36" s="163">
        <v>0</v>
      </c>
      <c r="AH36" s="163">
        <v>0</v>
      </c>
      <c r="AI36" s="163">
        <v>0</v>
      </c>
      <c r="AJ36" s="163">
        <v>0</v>
      </c>
      <c r="AK36" s="163" t="e">
        <v>#DIV/0!</v>
      </c>
      <c r="AL36" s="163" t="e">
        <v>#DIV/0!</v>
      </c>
      <c r="AM36" s="163" t="e">
        <v>#DIV/0!</v>
      </c>
      <c r="AN36" s="163" t="e">
        <v>#DIV/0!</v>
      </c>
      <c r="AO36" s="163" t="e">
        <v>#DIV/0!</v>
      </c>
      <c r="AP36" s="163" t="e">
        <v>#DIV/0!</v>
      </c>
      <c r="AQ36" s="164">
        <v>0</v>
      </c>
      <c r="AR36" s="167">
        <v>0</v>
      </c>
      <c r="AS36" s="167" t="e">
        <v>#DIV/0!</v>
      </c>
      <c r="AT36" s="167" t="e">
        <v>#DIV/0!</v>
      </c>
      <c r="AU36" s="164" t="e">
        <v>#DIV/0!</v>
      </c>
      <c r="AV36" s="167" t="e">
        <v>#DIV/0!</v>
      </c>
      <c r="AW36" s="167" t="e">
        <v>#DIV/0!</v>
      </c>
      <c r="AX36" s="167" t="e">
        <v>#DIV/0!</v>
      </c>
      <c r="AY36" s="165">
        <f t="shared" si="2"/>
        <v>0</v>
      </c>
      <c r="AZ36" s="165">
        <v>0</v>
      </c>
      <c r="BA36" s="165">
        <f t="shared" si="3"/>
        <v>0</v>
      </c>
      <c r="BB36" s="165">
        <v>0</v>
      </c>
      <c r="BC36" s="165" t="e">
        <f t="shared" si="4"/>
        <v>#DIV/0!</v>
      </c>
      <c r="BD36" s="165" t="e">
        <v>#DIV/0!</v>
      </c>
      <c r="BE36" s="165" t="e">
        <f t="shared" si="5"/>
        <v>#DIV/0!</v>
      </c>
      <c r="BF36" s="165" t="e">
        <v>#DIV/0!</v>
      </c>
      <c r="BG36" s="165" t="e">
        <f t="shared" si="6"/>
        <v>#DIV/0!</v>
      </c>
      <c r="BH36" s="165" t="e">
        <v>#DIV/0!</v>
      </c>
      <c r="BI36" s="165" t="e">
        <f t="shared" si="7"/>
        <v>#DIV/0!</v>
      </c>
      <c r="BJ36" s="165" t="e">
        <v>#DIV/0!</v>
      </c>
      <c r="BK36" s="165" t="e">
        <f t="shared" si="8"/>
        <v>#DIV/0!</v>
      </c>
      <c r="BL36" s="165" t="e">
        <v>#DIV/0!</v>
      </c>
      <c r="BM36" s="165" t="e">
        <f t="shared" si="9"/>
        <v>#DIV/0!</v>
      </c>
      <c r="BN36" s="165" t="e">
        <v>#DIV/0!</v>
      </c>
    </row>
    <row r="37" spans="1:66" ht="15.6" x14ac:dyDescent="0.3">
      <c r="A37" s="155">
        <v>350</v>
      </c>
      <c r="B37" s="155">
        <v>400</v>
      </c>
      <c r="C37" s="156">
        <v>926</v>
      </c>
      <c r="D37" s="156"/>
      <c r="E37" s="156"/>
      <c r="F37" s="156">
        <v>10358100000</v>
      </c>
      <c r="G37" s="156"/>
      <c r="H37" s="156"/>
      <c r="I37" s="157">
        <v>9.4040360721356181E-6</v>
      </c>
      <c r="J37" s="157" t="e">
        <v>#DIV/0!</v>
      </c>
      <c r="K37" s="157"/>
      <c r="L37" s="157">
        <v>372.86177105831536</v>
      </c>
      <c r="M37" s="157"/>
      <c r="N37" s="157"/>
      <c r="O37" s="146"/>
      <c r="P37" s="159" t="str">
        <f t="shared" ref="P37:P61" si="11">"("&amp;$A37&amp;", "&amp;$B37&amp;"]"</f>
        <v>(350, 400]</v>
      </c>
      <c r="Q37" s="160" t="s">
        <v>66</v>
      </c>
      <c r="R37" s="157">
        <f t="shared" si="10"/>
        <v>9.4040360721356181E-6</v>
      </c>
      <c r="S37" s="161">
        <v>0</v>
      </c>
      <c r="T37" s="161">
        <v>0</v>
      </c>
      <c r="U37" s="161"/>
      <c r="V37" s="161"/>
      <c r="W37" s="161"/>
      <c r="X37" s="161"/>
      <c r="Y37" s="161"/>
      <c r="Z37" s="161"/>
      <c r="AA37" s="163">
        <v>0</v>
      </c>
      <c r="AB37" s="163">
        <v>0</v>
      </c>
      <c r="AC37" s="163">
        <v>0</v>
      </c>
      <c r="AD37" s="163">
        <v>0</v>
      </c>
      <c r="AE37" s="163">
        <v>0</v>
      </c>
      <c r="AF37" s="163">
        <v>0</v>
      </c>
      <c r="AG37" s="163">
        <v>0</v>
      </c>
      <c r="AH37" s="163">
        <v>0</v>
      </c>
      <c r="AI37" s="163">
        <v>0</v>
      </c>
      <c r="AJ37" s="163">
        <v>0</v>
      </c>
      <c r="AK37" s="163" t="e">
        <v>#DIV/0!</v>
      </c>
      <c r="AL37" s="163" t="e">
        <v>#DIV/0!</v>
      </c>
      <c r="AM37" s="163" t="e">
        <v>#DIV/0!</v>
      </c>
      <c r="AN37" s="163" t="e">
        <v>#DIV/0!</v>
      </c>
      <c r="AO37" s="163" t="e">
        <v>#DIV/0!</v>
      </c>
      <c r="AP37" s="163" t="e">
        <v>#DIV/0!</v>
      </c>
      <c r="AQ37" s="164">
        <v>0</v>
      </c>
      <c r="AR37" s="167">
        <v>0</v>
      </c>
      <c r="AS37" s="167" t="e">
        <v>#DIV/0!</v>
      </c>
      <c r="AT37" s="167" t="e">
        <v>#DIV/0!</v>
      </c>
      <c r="AU37" s="164" t="e">
        <v>#DIV/0!</v>
      </c>
      <c r="AV37" s="167" t="e">
        <v>#DIV/0!</v>
      </c>
      <c r="AW37" s="167" t="e">
        <v>#DIV/0!</v>
      </c>
      <c r="AX37" s="167" t="e">
        <v>#DIV/0!</v>
      </c>
      <c r="AY37" s="165">
        <f t="shared" ref="AY37:AY61" si="12">_xlfn.LET(_xlpm.x, _xlfn.XLOOKUP($Q37, $L$4:$N$4, $L37:$N37), IF(ISERROR(_xlpm.x), 0, _xlpm.x)*AQ37/$AQ$3)</f>
        <v>0</v>
      </c>
      <c r="AZ37" s="165">
        <v>0</v>
      </c>
      <c r="BA37" s="165">
        <f t="shared" ref="BA37:BA61" si="13">_xlfn.LET(_xlpm.x, _xlfn.XLOOKUP($Q37, $L$4:$N$4, $L37:$N37), IF(ISERROR(_xlpm.x), 0, _xlpm.x)*AR37/$AQ$3)</f>
        <v>0</v>
      </c>
      <c r="BB37" s="165">
        <v>0</v>
      </c>
      <c r="BC37" s="165" t="e">
        <f t="shared" ref="BC37:BC61" si="14">_xlfn.LET(_xlpm.x, _xlfn.XLOOKUP($Q37, $L$4:$N$4, $L37:$N37), IF(ISERROR(_xlpm.x), 0, _xlpm.x)*AS37/$AQ$3)</f>
        <v>#DIV/0!</v>
      </c>
      <c r="BD37" s="165" t="e">
        <v>#DIV/0!</v>
      </c>
      <c r="BE37" s="165" t="e">
        <f t="shared" ref="BE37:BE61" si="15">_xlfn.LET(_xlpm.x, _xlfn.XLOOKUP($Q37, $L$4:$N$4, $L37:$N37), IF(ISERROR(_xlpm.x), 0, _xlpm.x)*AT37/$AQ$3)</f>
        <v>#DIV/0!</v>
      </c>
      <c r="BF37" s="165" t="e">
        <v>#DIV/0!</v>
      </c>
      <c r="BG37" s="165" t="e">
        <f t="shared" ref="BG37:BG61" si="16">_xlfn.LET(_xlpm.x, _xlfn.XLOOKUP($Q37, $L$4:$N$4, $L37:$N37), IF(ISERROR(_xlpm.x), 0, _xlpm.x)*AU37/$AQ$3)</f>
        <v>#DIV/0!</v>
      </c>
      <c r="BH37" s="165" t="e">
        <v>#DIV/0!</v>
      </c>
      <c r="BI37" s="165" t="e">
        <f t="shared" ref="BI37:BI61" si="17">_xlfn.LET(_xlpm.x, _xlfn.XLOOKUP($Q37, $L$4:$N$4, $L37:$N37), IF(ISERROR(_xlpm.x), 0, _xlpm.x)*AV37/$AQ$3)</f>
        <v>#DIV/0!</v>
      </c>
      <c r="BJ37" s="165" t="e">
        <v>#DIV/0!</v>
      </c>
      <c r="BK37" s="165" t="e">
        <f t="shared" ref="BK37:BK61" si="18">_xlfn.LET(_xlpm.x, _xlfn.XLOOKUP($Q37, $L$4:$N$4, $L37:$N37), IF(ISERROR(_xlpm.x), 0, _xlpm.x)*AW37/$AQ$3)</f>
        <v>#DIV/0!</v>
      </c>
      <c r="BL37" s="165" t="e">
        <v>#DIV/0!</v>
      </c>
      <c r="BM37" s="165" t="e">
        <f t="shared" ref="BM37:BM61" si="19">_xlfn.LET(_xlpm.x, _xlfn.XLOOKUP($Q37, $L$4:$N$4, $L37:$N37), IF(ISERROR(_xlpm.x), 0, _xlpm.x)*AX37/$AQ$3)</f>
        <v>#DIV/0!</v>
      </c>
      <c r="BN37" s="165" t="e">
        <v>#DIV/0!</v>
      </c>
    </row>
    <row r="38" spans="1:66" ht="15.6" x14ac:dyDescent="0.3">
      <c r="A38" s="155">
        <v>400</v>
      </c>
      <c r="B38" s="155">
        <v>450</v>
      </c>
      <c r="C38" s="156">
        <v>528</v>
      </c>
      <c r="D38" s="156"/>
      <c r="E38" s="156"/>
      <c r="F38" s="156">
        <v>6721755000</v>
      </c>
      <c r="G38" s="156"/>
      <c r="H38" s="156"/>
      <c r="I38" s="157">
        <v>5.3621285594898559E-6</v>
      </c>
      <c r="J38" s="157" t="e">
        <v>#DIV/0!</v>
      </c>
      <c r="K38" s="157"/>
      <c r="L38" s="157">
        <v>424.35321969696975</v>
      </c>
      <c r="M38" s="157"/>
      <c r="N38" s="157"/>
      <c r="O38" s="146"/>
      <c r="P38" s="159" t="str">
        <f t="shared" si="11"/>
        <v>(400, 450]</v>
      </c>
      <c r="Q38" s="160" t="s">
        <v>66</v>
      </c>
      <c r="R38" s="157">
        <f t="shared" ref="R38:R69" si="20">_xlfn.SINGLE(_xlfn.XLOOKUP(Q38, $I$4:$K$4, I38:K38))</f>
        <v>5.3621285594898559E-6</v>
      </c>
      <c r="S38" s="161">
        <v>0</v>
      </c>
      <c r="T38" s="161">
        <v>0</v>
      </c>
      <c r="U38" s="161"/>
      <c r="V38" s="161"/>
      <c r="W38" s="161"/>
      <c r="X38" s="161"/>
      <c r="Y38" s="161"/>
      <c r="Z38" s="161"/>
      <c r="AA38" s="163">
        <v>0</v>
      </c>
      <c r="AB38" s="163">
        <v>0</v>
      </c>
      <c r="AC38" s="163">
        <v>0</v>
      </c>
      <c r="AD38" s="163">
        <v>0</v>
      </c>
      <c r="AE38" s="163">
        <v>0</v>
      </c>
      <c r="AF38" s="163">
        <v>0</v>
      </c>
      <c r="AG38" s="163">
        <v>0</v>
      </c>
      <c r="AH38" s="163">
        <v>0</v>
      </c>
      <c r="AI38" s="163">
        <v>0</v>
      </c>
      <c r="AJ38" s="163">
        <v>0</v>
      </c>
      <c r="AK38" s="163" t="e">
        <v>#DIV/0!</v>
      </c>
      <c r="AL38" s="163" t="e">
        <v>#DIV/0!</v>
      </c>
      <c r="AM38" s="163" t="e">
        <v>#DIV/0!</v>
      </c>
      <c r="AN38" s="163" t="e">
        <v>#DIV/0!</v>
      </c>
      <c r="AO38" s="163" t="e">
        <v>#DIV/0!</v>
      </c>
      <c r="AP38" s="163" t="e">
        <v>#DIV/0!</v>
      </c>
      <c r="AQ38" s="164">
        <v>0</v>
      </c>
      <c r="AR38" s="167">
        <v>0</v>
      </c>
      <c r="AS38" s="167" t="e">
        <v>#DIV/0!</v>
      </c>
      <c r="AT38" s="167" t="e">
        <v>#DIV/0!</v>
      </c>
      <c r="AU38" s="164" t="e">
        <v>#DIV/0!</v>
      </c>
      <c r="AV38" s="167" t="e">
        <v>#DIV/0!</v>
      </c>
      <c r="AW38" s="167" t="e">
        <v>#DIV/0!</v>
      </c>
      <c r="AX38" s="167" t="e">
        <v>#DIV/0!</v>
      </c>
      <c r="AY38" s="165">
        <f t="shared" si="12"/>
        <v>0</v>
      </c>
      <c r="AZ38" s="165">
        <v>0</v>
      </c>
      <c r="BA38" s="165">
        <f t="shared" si="13"/>
        <v>0</v>
      </c>
      <c r="BB38" s="165">
        <v>0</v>
      </c>
      <c r="BC38" s="165" t="e">
        <f t="shared" si="14"/>
        <v>#DIV/0!</v>
      </c>
      <c r="BD38" s="165" t="e">
        <v>#DIV/0!</v>
      </c>
      <c r="BE38" s="165" t="e">
        <f t="shared" si="15"/>
        <v>#DIV/0!</v>
      </c>
      <c r="BF38" s="165" t="e">
        <v>#DIV/0!</v>
      </c>
      <c r="BG38" s="165" t="e">
        <f t="shared" si="16"/>
        <v>#DIV/0!</v>
      </c>
      <c r="BH38" s="165" t="e">
        <v>#DIV/0!</v>
      </c>
      <c r="BI38" s="165" t="e">
        <f t="shared" si="17"/>
        <v>#DIV/0!</v>
      </c>
      <c r="BJ38" s="165" t="e">
        <v>#DIV/0!</v>
      </c>
      <c r="BK38" s="165" t="e">
        <f t="shared" si="18"/>
        <v>#DIV/0!</v>
      </c>
      <c r="BL38" s="165" t="e">
        <v>#DIV/0!</v>
      </c>
      <c r="BM38" s="165" t="e">
        <f t="shared" si="19"/>
        <v>#DIV/0!</v>
      </c>
      <c r="BN38" s="165" t="e">
        <v>#DIV/0!</v>
      </c>
    </row>
    <row r="39" spans="1:66" ht="15.6" x14ac:dyDescent="0.3">
      <c r="A39" s="155">
        <v>450</v>
      </c>
      <c r="B39" s="155">
        <v>500</v>
      </c>
      <c r="C39" s="156">
        <v>384</v>
      </c>
      <c r="D39" s="156"/>
      <c r="E39" s="156"/>
      <c r="F39" s="156">
        <v>5446342500</v>
      </c>
      <c r="G39" s="156"/>
      <c r="H39" s="156"/>
      <c r="I39" s="157">
        <v>3.8997298614471681E-6</v>
      </c>
      <c r="J39" s="157" t="e">
        <v>#DIV/0!</v>
      </c>
      <c r="K39" s="157"/>
      <c r="L39" s="157">
        <v>472.77278645833331</v>
      </c>
      <c r="M39" s="157"/>
      <c r="N39" s="157"/>
      <c r="O39" s="146"/>
      <c r="P39" s="159" t="str">
        <f t="shared" si="11"/>
        <v>(450, 500]</v>
      </c>
      <c r="Q39" s="160" t="s">
        <v>66</v>
      </c>
      <c r="R39" s="157">
        <f t="shared" si="20"/>
        <v>3.8997298614471681E-6</v>
      </c>
      <c r="S39" s="161">
        <v>0</v>
      </c>
      <c r="T39" s="161">
        <v>0</v>
      </c>
      <c r="U39" s="161"/>
      <c r="V39" s="161"/>
      <c r="W39" s="161"/>
      <c r="X39" s="161"/>
      <c r="Y39" s="161"/>
      <c r="Z39" s="161"/>
      <c r="AA39" s="163">
        <v>0</v>
      </c>
      <c r="AB39" s="163">
        <v>0</v>
      </c>
      <c r="AC39" s="163">
        <v>0</v>
      </c>
      <c r="AD39" s="163">
        <v>0</v>
      </c>
      <c r="AE39" s="163">
        <v>0</v>
      </c>
      <c r="AF39" s="163">
        <v>0</v>
      </c>
      <c r="AG39" s="163">
        <v>0</v>
      </c>
      <c r="AH39" s="163">
        <v>0</v>
      </c>
      <c r="AI39" s="163">
        <v>0</v>
      </c>
      <c r="AJ39" s="163">
        <v>0</v>
      </c>
      <c r="AK39" s="163" t="e">
        <v>#DIV/0!</v>
      </c>
      <c r="AL39" s="163" t="e">
        <v>#DIV/0!</v>
      </c>
      <c r="AM39" s="163" t="e">
        <v>#DIV/0!</v>
      </c>
      <c r="AN39" s="163" t="e">
        <v>#DIV/0!</v>
      </c>
      <c r="AO39" s="163" t="e">
        <v>#DIV/0!</v>
      </c>
      <c r="AP39" s="163" t="e">
        <v>#DIV/0!</v>
      </c>
      <c r="AQ39" s="164">
        <v>0</v>
      </c>
      <c r="AR39" s="167">
        <v>0</v>
      </c>
      <c r="AS39" s="167" t="e">
        <v>#DIV/0!</v>
      </c>
      <c r="AT39" s="167" t="e">
        <v>#DIV/0!</v>
      </c>
      <c r="AU39" s="164" t="e">
        <v>#DIV/0!</v>
      </c>
      <c r="AV39" s="167" t="e">
        <v>#DIV/0!</v>
      </c>
      <c r="AW39" s="167" t="e">
        <v>#DIV/0!</v>
      </c>
      <c r="AX39" s="167" t="e">
        <v>#DIV/0!</v>
      </c>
      <c r="AY39" s="165">
        <f t="shared" si="12"/>
        <v>0</v>
      </c>
      <c r="AZ39" s="165">
        <v>0</v>
      </c>
      <c r="BA39" s="165">
        <f t="shared" si="13"/>
        <v>0</v>
      </c>
      <c r="BB39" s="165">
        <v>0</v>
      </c>
      <c r="BC39" s="165" t="e">
        <f t="shared" si="14"/>
        <v>#DIV/0!</v>
      </c>
      <c r="BD39" s="165" t="e">
        <v>#DIV/0!</v>
      </c>
      <c r="BE39" s="165" t="e">
        <f t="shared" si="15"/>
        <v>#DIV/0!</v>
      </c>
      <c r="BF39" s="165" t="e">
        <v>#DIV/0!</v>
      </c>
      <c r="BG39" s="165" t="e">
        <f t="shared" si="16"/>
        <v>#DIV/0!</v>
      </c>
      <c r="BH39" s="165" t="e">
        <v>#DIV/0!</v>
      </c>
      <c r="BI39" s="165" t="e">
        <f t="shared" si="17"/>
        <v>#DIV/0!</v>
      </c>
      <c r="BJ39" s="165" t="e">
        <v>#DIV/0!</v>
      </c>
      <c r="BK39" s="165" t="e">
        <f t="shared" si="18"/>
        <v>#DIV/0!</v>
      </c>
      <c r="BL39" s="165" t="e">
        <v>#DIV/0!</v>
      </c>
      <c r="BM39" s="165" t="e">
        <f t="shared" si="19"/>
        <v>#DIV/0!</v>
      </c>
      <c r="BN39" s="165" t="e">
        <v>#DIV/0!</v>
      </c>
    </row>
    <row r="40" spans="1:66" ht="15.6" x14ac:dyDescent="0.3">
      <c r="A40" s="155">
        <v>500</v>
      </c>
      <c r="B40" s="155">
        <v>550</v>
      </c>
      <c r="C40" s="156">
        <v>244</v>
      </c>
      <c r="D40" s="156"/>
      <c r="E40" s="156"/>
      <c r="F40" s="156">
        <v>3823576500</v>
      </c>
      <c r="G40" s="156"/>
      <c r="H40" s="156"/>
      <c r="I40" s="157">
        <v>2.4779533494612212E-6</v>
      </c>
      <c r="J40" s="157" t="e">
        <v>#DIV/0!</v>
      </c>
      <c r="K40" s="157"/>
      <c r="L40" s="157">
        <v>522.34651639344258</v>
      </c>
      <c r="M40" s="157"/>
      <c r="N40" s="157"/>
      <c r="O40" s="146"/>
      <c r="P40" s="159" t="str">
        <f t="shared" si="11"/>
        <v>(500, 550]</v>
      </c>
      <c r="Q40" s="160" t="s">
        <v>66</v>
      </c>
      <c r="R40" s="157">
        <f t="shared" si="20"/>
        <v>2.4779533494612212E-6</v>
      </c>
      <c r="S40" s="161">
        <v>0</v>
      </c>
      <c r="T40" s="161">
        <v>0</v>
      </c>
      <c r="U40" s="161"/>
      <c r="V40" s="161"/>
      <c r="W40" s="161"/>
      <c r="X40" s="161"/>
      <c r="Y40" s="161"/>
      <c r="Z40" s="161"/>
      <c r="AA40" s="163">
        <v>0</v>
      </c>
      <c r="AB40" s="163">
        <v>0</v>
      </c>
      <c r="AC40" s="163">
        <v>0</v>
      </c>
      <c r="AD40" s="163">
        <v>0</v>
      </c>
      <c r="AE40" s="163">
        <v>0</v>
      </c>
      <c r="AF40" s="163">
        <v>0</v>
      </c>
      <c r="AG40" s="163">
        <v>0</v>
      </c>
      <c r="AH40" s="163">
        <v>0</v>
      </c>
      <c r="AI40" s="163">
        <v>0</v>
      </c>
      <c r="AJ40" s="163">
        <v>0</v>
      </c>
      <c r="AK40" s="163" t="e">
        <v>#DIV/0!</v>
      </c>
      <c r="AL40" s="163" t="e">
        <v>#DIV/0!</v>
      </c>
      <c r="AM40" s="163" t="e">
        <v>#DIV/0!</v>
      </c>
      <c r="AN40" s="163" t="e">
        <v>#DIV/0!</v>
      </c>
      <c r="AO40" s="163" t="e">
        <v>#DIV/0!</v>
      </c>
      <c r="AP40" s="163" t="e">
        <v>#DIV/0!</v>
      </c>
      <c r="AQ40" s="164">
        <v>0</v>
      </c>
      <c r="AR40" s="167">
        <v>0</v>
      </c>
      <c r="AS40" s="167" t="e">
        <v>#DIV/0!</v>
      </c>
      <c r="AT40" s="167" t="e">
        <v>#DIV/0!</v>
      </c>
      <c r="AU40" s="164" t="e">
        <v>#DIV/0!</v>
      </c>
      <c r="AV40" s="167" t="e">
        <v>#DIV/0!</v>
      </c>
      <c r="AW40" s="167" t="e">
        <v>#DIV/0!</v>
      </c>
      <c r="AX40" s="167" t="e">
        <v>#DIV/0!</v>
      </c>
      <c r="AY40" s="165">
        <f t="shared" si="12"/>
        <v>0</v>
      </c>
      <c r="AZ40" s="165">
        <v>0</v>
      </c>
      <c r="BA40" s="165">
        <f t="shared" si="13"/>
        <v>0</v>
      </c>
      <c r="BB40" s="165">
        <v>0</v>
      </c>
      <c r="BC40" s="165" t="e">
        <f t="shared" si="14"/>
        <v>#DIV/0!</v>
      </c>
      <c r="BD40" s="165" t="e">
        <v>#DIV/0!</v>
      </c>
      <c r="BE40" s="165" t="e">
        <f t="shared" si="15"/>
        <v>#DIV/0!</v>
      </c>
      <c r="BF40" s="165" t="e">
        <v>#DIV/0!</v>
      </c>
      <c r="BG40" s="165" t="e">
        <f t="shared" si="16"/>
        <v>#DIV/0!</v>
      </c>
      <c r="BH40" s="165" t="e">
        <v>#DIV/0!</v>
      </c>
      <c r="BI40" s="165" t="e">
        <f t="shared" si="17"/>
        <v>#DIV/0!</v>
      </c>
      <c r="BJ40" s="165" t="e">
        <v>#DIV/0!</v>
      </c>
      <c r="BK40" s="165" t="e">
        <f t="shared" si="18"/>
        <v>#DIV/0!</v>
      </c>
      <c r="BL40" s="165" t="e">
        <v>#DIV/0!</v>
      </c>
      <c r="BM40" s="165" t="e">
        <f t="shared" si="19"/>
        <v>#DIV/0!</v>
      </c>
      <c r="BN40" s="165" t="e">
        <v>#DIV/0!</v>
      </c>
    </row>
    <row r="41" spans="1:66" ht="15.6" x14ac:dyDescent="0.3">
      <c r="A41" s="155">
        <v>550</v>
      </c>
      <c r="B41" s="155">
        <v>600</v>
      </c>
      <c r="C41" s="156">
        <v>166</v>
      </c>
      <c r="D41" s="156"/>
      <c r="E41" s="156"/>
      <c r="F41" s="156">
        <v>2865883500</v>
      </c>
      <c r="G41" s="156"/>
      <c r="H41" s="156"/>
      <c r="I41" s="157">
        <v>1.6858207213547653E-6</v>
      </c>
      <c r="J41" s="157" t="e">
        <v>#DIV/0!</v>
      </c>
      <c r="K41" s="157"/>
      <c r="L41" s="157">
        <v>575.47861445783133</v>
      </c>
      <c r="M41" s="157"/>
      <c r="N41" s="157"/>
      <c r="O41" s="146"/>
      <c r="P41" s="159" t="str">
        <f t="shared" si="11"/>
        <v>(550, 600]</v>
      </c>
      <c r="Q41" s="160" t="s">
        <v>66</v>
      </c>
      <c r="R41" s="157">
        <f t="shared" si="20"/>
        <v>1.6858207213547653E-6</v>
      </c>
      <c r="S41" s="161">
        <v>0</v>
      </c>
      <c r="T41" s="161">
        <v>0</v>
      </c>
      <c r="U41" s="161"/>
      <c r="V41" s="161"/>
      <c r="W41" s="161"/>
      <c r="X41" s="161"/>
      <c r="Y41" s="161"/>
      <c r="Z41" s="161"/>
      <c r="AA41" s="163">
        <v>0</v>
      </c>
      <c r="AB41" s="163">
        <v>0</v>
      </c>
      <c r="AC41" s="163">
        <v>0</v>
      </c>
      <c r="AD41" s="163">
        <v>0</v>
      </c>
      <c r="AE41" s="163">
        <v>0</v>
      </c>
      <c r="AF41" s="163">
        <v>0</v>
      </c>
      <c r="AG41" s="163">
        <v>0</v>
      </c>
      <c r="AH41" s="163">
        <v>0</v>
      </c>
      <c r="AI41" s="163">
        <v>0</v>
      </c>
      <c r="AJ41" s="163">
        <v>0</v>
      </c>
      <c r="AK41" s="163" t="e">
        <v>#DIV/0!</v>
      </c>
      <c r="AL41" s="163" t="e">
        <v>#DIV/0!</v>
      </c>
      <c r="AM41" s="163" t="e">
        <v>#DIV/0!</v>
      </c>
      <c r="AN41" s="163" t="e">
        <v>#DIV/0!</v>
      </c>
      <c r="AO41" s="163" t="e">
        <v>#DIV/0!</v>
      </c>
      <c r="AP41" s="163" t="e">
        <v>#DIV/0!</v>
      </c>
      <c r="AQ41" s="164">
        <v>0</v>
      </c>
      <c r="AR41" s="167">
        <v>0</v>
      </c>
      <c r="AS41" s="167" t="e">
        <v>#DIV/0!</v>
      </c>
      <c r="AT41" s="167" t="e">
        <v>#DIV/0!</v>
      </c>
      <c r="AU41" s="164" t="e">
        <v>#DIV/0!</v>
      </c>
      <c r="AV41" s="167" t="e">
        <v>#DIV/0!</v>
      </c>
      <c r="AW41" s="167" t="e">
        <v>#DIV/0!</v>
      </c>
      <c r="AX41" s="167" t="e">
        <v>#DIV/0!</v>
      </c>
      <c r="AY41" s="165">
        <f t="shared" si="12"/>
        <v>0</v>
      </c>
      <c r="AZ41" s="165">
        <v>0</v>
      </c>
      <c r="BA41" s="165">
        <f t="shared" si="13"/>
        <v>0</v>
      </c>
      <c r="BB41" s="165">
        <v>0</v>
      </c>
      <c r="BC41" s="165" t="e">
        <f t="shared" si="14"/>
        <v>#DIV/0!</v>
      </c>
      <c r="BD41" s="165" t="e">
        <v>#DIV/0!</v>
      </c>
      <c r="BE41" s="165" t="e">
        <f t="shared" si="15"/>
        <v>#DIV/0!</v>
      </c>
      <c r="BF41" s="165" t="e">
        <v>#DIV/0!</v>
      </c>
      <c r="BG41" s="165" t="e">
        <f t="shared" si="16"/>
        <v>#DIV/0!</v>
      </c>
      <c r="BH41" s="165" t="e">
        <v>#DIV/0!</v>
      </c>
      <c r="BI41" s="165" t="e">
        <f t="shared" si="17"/>
        <v>#DIV/0!</v>
      </c>
      <c r="BJ41" s="165" t="e">
        <v>#DIV/0!</v>
      </c>
      <c r="BK41" s="165" t="e">
        <f t="shared" si="18"/>
        <v>#DIV/0!</v>
      </c>
      <c r="BL41" s="165" t="e">
        <v>#DIV/0!</v>
      </c>
      <c r="BM41" s="165" t="e">
        <f t="shared" si="19"/>
        <v>#DIV/0!</v>
      </c>
      <c r="BN41" s="165" t="e">
        <v>#DIV/0!</v>
      </c>
    </row>
    <row r="42" spans="1:66" ht="15.6" x14ac:dyDescent="0.3">
      <c r="A42" s="155">
        <v>600</v>
      </c>
      <c r="B42" s="155">
        <v>650</v>
      </c>
      <c r="C42" s="156">
        <v>100</v>
      </c>
      <c r="D42" s="156"/>
      <c r="E42" s="156"/>
      <c r="F42" s="156">
        <v>1863682500</v>
      </c>
      <c r="G42" s="156"/>
      <c r="H42" s="156"/>
      <c r="I42" s="157">
        <v>1.0155546514185334E-6</v>
      </c>
      <c r="J42" s="157" t="e">
        <v>#DIV/0!</v>
      </c>
      <c r="K42" s="157"/>
      <c r="L42" s="157">
        <v>621.22749999999996</v>
      </c>
      <c r="M42" s="157"/>
      <c r="N42" s="157"/>
      <c r="O42" s="146"/>
      <c r="P42" s="159" t="str">
        <f t="shared" si="11"/>
        <v>(600, 650]</v>
      </c>
      <c r="Q42" s="160" t="s">
        <v>66</v>
      </c>
      <c r="R42" s="157">
        <f t="shared" si="20"/>
        <v>1.0155546514185334E-6</v>
      </c>
      <c r="S42" s="161">
        <v>0</v>
      </c>
      <c r="T42" s="161">
        <v>0</v>
      </c>
      <c r="U42" s="161"/>
      <c r="V42" s="161"/>
      <c r="W42" s="161"/>
      <c r="X42" s="161"/>
      <c r="Y42" s="161"/>
      <c r="Z42" s="161"/>
      <c r="AA42" s="163">
        <v>0</v>
      </c>
      <c r="AB42" s="163">
        <v>0</v>
      </c>
      <c r="AC42" s="163">
        <v>0</v>
      </c>
      <c r="AD42" s="163">
        <v>0</v>
      </c>
      <c r="AE42" s="163">
        <v>0</v>
      </c>
      <c r="AF42" s="163">
        <v>0</v>
      </c>
      <c r="AG42" s="163">
        <v>0</v>
      </c>
      <c r="AH42" s="163">
        <v>0</v>
      </c>
      <c r="AI42" s="163">
        <v>0</v>
      </c>
      <c r="AJ42" s="163">
        <v>0</v>
      </c>
      <c r="AK42" s="163" t="e">
        <v>#DIV/0!</v>
      </c>
      <c r="AL42" s="163" t="e">
        <v>#DIV/0!</v>
      </c>
      <c r="AM42" s="163" t="e">
        <v>#DIV/0!</v>
      </c>
      <c r="AN42" s="163" t="e">
        <v>#DIV/0!</v>
      </c>
      <c r="AO42" s="163" t="e">
        <v>#DIV/0!</v>
      </c>
      <c r="AP42" s="163" t="e">
        <v>#DIV/0!</v>
      </c>
      <c r="AQ42" s="164">
        <v>0</v>
      </c>
      <c r="AR42" s="167">
        <v>0</v>
      </c>
      <c r="AS42" s="167" t="e">
        <v>#DIV/0!</v>
      </c>
      <c r="AT42" s="167" t="e">
        <v>#DIV/0!</v>
      </c>
      <c r="AU42" s="164" t="e">
        <v>#DIV/0!</v>
      </c>
      <c r="AV42" s="167" t="e">
        <v>#DIV/0!</v>
      </c>
      <c r="AW42" s="167" t="e">
        <v>#DIV/0!</v>
      </c>
      <c r="AX42" s="167" t="e">
        <v>#DIV/0!</v>
      </c>
      <c r="AY42" s="165">
        <f t="shared" si="12"/>
        <v>0</v>
      </c>
      <c r="AZ42" s="165">
        <v>0</v>
      </c>
      <c r="BA42" s="165">
        <f t="shared" si="13"/>
        <v>0</v>
      </c>
      <c r="BB42" s="165">
        <v>0</v>
      </c>
      <c r="BC42" s="165" t="e">
        <f t="shared" si="14"/>
        <v>#DIV/0!</v>
      </c>
      <c r="BD42" s="165" t="e">
        <v>#DIV/0!</v>
      </c>
      <c r="BE42" s="165" t="e">
        <f t="shared" si="15"/>
        <v>#DIV/0!</v>
      </c>
      <c r="BF42" s="165" t="e">
        <v>#DIV/0!</v>
      </c>
      <c r="BG42" s="165" t="e">
        <f t="shared" si="16"/>
        <v>#DIV/0!</v>
      </c>
      <c r="BH42" s="165" t="e">
        <v>#DIV/0!</v>
      </c>
      <c r="BI42" s="165" t="e">
        <f t="shared" si="17"/>
        <v>#DIV/0!</v>
      </c>
      <c r="BJ42" s="165" t="e">
        <v>#DIV/0!</v>
      </c>
      <c r="BK42" s="165" t="e">
        <f t="shared" si="18"/>
        <v>#DIV/0!</v>
      </c>
      <c r="BL42" s="165" t="e">
        <v>#DIV/0!</v>
      </c>
      <c r="BM42" s="165" t="e">
        <f t="shared" si="19"/>
        <v>#DIV/0!</v>
      </c>
      <c r="BN42" s="165" t="e">
        <v>#DIV/0!</v>
      </c>
    </row>
    <row r="43" spans="1:66" ht="15.6" x14ac:dyDescent="0.3">
      <c r="A43" s="155">
        <v>650</v>
      </c>
      <c r="B43" s="155">
        <v>700</v>
      </c>
      <c r="C43" s="156">
        <v>120</v>
      </c>
      <c r="D43" s="156"/>
      <c r="E43" s="156"/>
      <c r="F43" s="156">
        <v>2423569500</v>
      </c>
      <c r="G43" s="156"/>
      <c r="H43" s="156"/>
      <c r="I43" s="157">
        <v>1.2186655817022399E-6</v>
      </c>
      <c r="J43" s="157" t="e">
        <v>#DIV/0!</v>
      </c>
      <c r="K43" s="157"/>
      <c r="L43" s="157">
        <v>673.21375</v>
      </c>
      <c r="M43" s="157"/>
      <c r="N43" s="157"/>
      <c r="O43" s="146"/>
      <c r="P43" s="159" t="str">
        <f t="shared" si="11"/>
        <v>(650, 700]</v>
      </c>
      <c r="Q43" s="160" t="s">
        <v>66</v>
      </c>
      <c r="R43" s="157">
        <f t="shared" si="20"/>
        <v>1.2186655817022399E-6</v>
      </c>
      <c r="S43" s="161">
        <v>0</v>
      </c>
      <c r="T43" s="161">
        <v>0</v>
      </c>
      <c r="U43" s="161"/>
      <c r="V43" s="161"/>
      <c r="W43" s="161"/>
      <c r="X43" s="161"/>
      <c r="Y43" s="161"/>
      <c r="Z43" s="161"/>
      <c r="AA43" s="163">
        <v>0</v>
      </c>
      <c r="AB43" s="163">
        <v>0</v>
      </c>
      <c r="AC43" s="163">
        <v>0</v>
      </c>
      <c r="AD43" s="163">
        <v>0</v>
      </c>
      <c r="AE43" s="163">
        <v>0</v>
      </c>
      <c r="AF43" s="163">
        <v>0</v>
      </c>
      <c r="AG43" s="163">
        <v>0</v>
      </c>
      <c r="AH43" s="163">
        <v>0</v>
      </c>
      <c r="AI43" s="163">
        <v>0</v>
      </c>
      <c r="AJ43" s="163">
        <v>0</v>
      </c>
      <c r="AK43" s="163" t="e">
        <v>#DIV/0!</v>
      </c>
      <c r="AL43" s="163" t="e">
        <v>#DIV/0!</v>
      </c>
      <c r="AM43" s="163" t="e">
        <v>#DIV/0!</v>
      </c>
      <c r="AN43" s="163" t="e">
        <v>#DIV/0!</v>
      </c>
      <c r="AO43" s="163" t="e">
        <v>#DIV/0!</v>
      </c>
      <c r="AP43" s="163" t="e">
        <v>#DIV/0!</v>
      </c>
      <c r="AQ43" s="164">
        <v>0</v>
      </c>
      <c r="AR43" s="167">
        <v>0</v>
      </c>
      <c r="AS43" s="167" t="e">
        <v>#DIV/0!</v>
      </c>
      <c r="AT43" s="167" t="e">
        <v>#DIV/0!</v>
      </c>
      <c r="AU43" s="164" t="e">
        <v>#DIV/0!</v>
      </c>
      <c r="AV43" s="167" t="e">
        <v>#DIV/0!</v>
      </c>
      <c r="AW43" s="167" t="e">
        <v>#DIV/0!</v>
      </c>
      <c r="AX43" s="167" t="e">
        <v>#DIV/0!</v>
      </c>
      <c r="AY43" s="165">
        <f t="shared" si="12"/>
        <v>0</v>
      </c>
      <c r="AZ43" s="165">
        <v>0</v>
      </c>
      <c r="BA43" s="165">
        <f t="shared" si="13"/>
        <v>0</v>
      </c>
      <c r="BB43" s="165">
        <v>0</v>
      </c>
      <c r="BC43" s="165" t="e">
        <f t="shared" si="14"/>
        <v>#DIV/0!</v>
      </c>
      <c r="BD43" s="165" t="e">
        <v>#DIV/0!</v>
      </c>
      <c r="BE43" s="165" t="e">
        <f t="shared" si="15"/>
        <v>#DIV/0!</v>
      </c>
      <c r="BF43" s="165" t="e">
        <v>#DIV/0!</v>
      </c>
      <c r="BG43" s="165" t="e">
        <f t="shared" si="16"/>
        <v>#DIV/0!</v>
      </c>
      <c r="BH43" s="165" t="e">
        <v>#DIV/0!</v>
      </c>
      <c r="BI43" s="165" t="e">
        <f t="shared" si="17"/>
        <v>#DIV/0!</v>
      </c>
      <c r="BJ43" s="165" t="e">
        <v>#DIV/0!</v>
      </c>
      <c r="BK43" s="165" t="e">
        <f t="shared" si="18"/>
        <v>#DIV/0!</v>
      </c>
      <c r="BL43" s="165" t="e">
        <v>#DIV/0!</v>
      </c>
      <c r="BM43" s="165" t="e">
        <f t="shared" si="19"/>
        <v>#DIV/0!</v>
      </c>
      <c r="BN43" s="165" t="e">
        <v>#DIV/0!</v>
      </c>
    </row>
    <row r="44" spans="1:66" ht="15.6" x14ac:dyDescent="0.3">
      <c r="A44" s="155">
        <v>700</v>
      </c>
      <c r="B44" s="155">
        <v>750</v>
      </c>
      <c r="C44" s="156">
        <v>59</v>
      </c>
      <c r="D44" s="156"/>
      <c r="E44" s="156"/>
      <c r="F44" s="156">
        <v>1280740500</v>
      </c>
      <c r="G44" s="156"/>
      <c r="H44" s="156"/>
      <c r="I44" s="157">
        <v>5.9917724433693462E-7</v>
      </c>
      <c r="J44" s="157" t="e">
        <v>#DIV/0!</v>
      </c>
      <c r="K44" s="157"/>
      <c r="L44" s="157">
        <v>723.58220338983051</v>
      </c>
      <c r="M44" s="157"/>
      <c r="N44" s="157"/>
      <c r="O44" s="146"/>
      <c r="P44" s="159" t="str">
        <f t="shared" si="11"/>
        <v>(700, 750]</v>
      </c>
      <c r="Q44" s="160" t="s">
        <v>66</v>
      </c>
      <c r="R44" s="157">
        <f t="shared" si="20"/>
        <v>5.9917724433693462E-7</v>
      </c>
      <c r="S44" s="161">
        <v>0</v>
      </c>
      <c r="T44" s="161">
        <v>0</v>
      </c>
      <c r="U44" s="161"/>
      <c r="V44" s="161"/>
      <c r="W44" s="161"/>
      <c r="X44" s="161"/>
      <c r="Y44" s="161"/>
      <c r="Z44" s="161"/>
      <c r="AA44" s="163">
        <v>0</v>
      </c>
      <c r="AB44" s="163">
        <v>0</v>
      </c>
      <c r="AC44" s="163">
        <v>0</v>
      </c>
      <c r="AD44" s="163">
        <v>0</v>
      </c>
      <c r="AE44" s="163">
        <v>0</v>
      </c>
      <c r="AF44" s="163">
        <v>0</v>
      </c>
      <c r="AG44" s="163">
        <v>0</v>
      </c>
      <c r="AH44" s="163">
        <v>0</v>
      </c>
      <c r="AI44" s="163">
        <v>0</v>
      </c>
      <c r="AJ44" s="163">
        <v>0</v>
      </c>
      <c r="AK44" s="163" t="e">
        <v>#DIV/0!</v>
      </c>
      <c r="AL44" s="163" t="e">
        <v>#DIV/0!</v>
      </c>
      <c r="AM44" s="163" t="e">
        <v>#DIV/0!</v>
      </c>
      <c r="AN44" s="163" t="e">
        <v>#DIV/0!</v>
      </c>
      <c r="AO44" s="163" t="e">
        <v>#DIV/0!</v>
      </c>
      <c r="AP44" s="163" t="e">
        <v>#DIV/0!</v>
      </c>
      <c r="AQ44" s="164">
        <v>0</v>
      </c>
      <c r="AR44" s="167">
        <v>0</v>
      </c>
      <c r="AS44" s="167" t="e">
        <v>#DIV/0!</v>
      </c>
      <c r="AT44" s="167" t="e">
        <v>#DIV/0!</v>
      </c>
      <c r="AU44" s="164" t="e">
        <v>#DIV/0!</v>
      </c>
      <c r="AV44" s="167" t="e">
        <v>#DIV/0!</v>
      </c>
      <c r="AW44" s="167" t="e">
        <v>#DIV/0!</v>
      </c>
      <c r="AX44" s="167" t="e">
        <v>#DIV/0!</v>
      </c>
      <c r="AY44" s="165">
        <f t="shared" si="12"/>
        <v>0</v>
      </c>
      <c r="AZ44" s="165">
        <v>0</v>
      </c>
      <c r="BA44" s="165">
        <f t="shared" si="13"/>
        <v>0</v>
      </c>
      <c r="BB44" s="165">
        <v>0</v>
      </c>
      <c r="BC44" s="165" t="e">
        <f t="shared" si="14"/>
        <v>#DIV/0!</v>
      </c>
      <c r="BD44" s="165" t="e">
        <v>#DIV/0!</v>
      </c>
      <c r="BE44" s="165" t="e">
        <f t="shared" si="15"/>
        <v>#DIV/0!</v>
      </c>
      <c r="BF44" s="165" t="e">
        <v>#DIV/0!</v>
      </c>
      <c r="BG44" s="165" t="e">
        <f t="shared" si="16"/>
        <v>#DIV/0!</v>
      </c>
      <c r="BH44" s="165" t="e">
        <v>#DIV/0!</v>
      </c>
      <c r="BI44" s="165" t="e">
        <f t="shared" si="17"/>
        <v>#DIV/0!</v>
      </c>
      <c r="BJ44" s="165" t="e">
        <v>#DIV/0!</v>
      </c>
      <c r="BK44" s="165" t="e">
        <f t="shared" si="18"/>
        <v>#DIV/0!</v>
      </c>
      <c r="BL44" s="165" t="e">
        <v>#DIV/0!</v>
      </c>
      <c r="BM44" s="165" t="e">
        <f t="shared" si="19"/>
        <v>#DIV/0!</v>
      </c>
      <c r="BN44" s="165" t="e">
        <v>#DIV/0!</v>
      </c>
    </row>
    <row r="45" spans="1:66" ht="15.6" x14ac:dyDescent="0.3">
      <c r="A45" s="155">
        <v>750</v>
      </c>
      <c r="B45" s="155">
        <v>800</v>
      </c>
      <c r="C45" s="156">
        <v>44</v>
      </c>
      <c r="D45" s="156"/>
      <c r="E45" s="156"/>
      <c r="F45" s="156">
        <v>1023289500</v>
      </c>
      <c r="G45" s="156"/>
      <c r="H45" s="156"/>
      <c r="I45" s="157">
        <v>4.4684404662415466E-7</v>
      </c>
      <c r="J45" s="157" t="e">
        <v>#DIV/0!</v>
      </c>
      <c r="K45" s="157"/>
      <c r="L45" s="157">
        <v>775.21931818181827</v>
      </c>
      <c r="M45" s="157"/>
      <c r="N45" s="157"/>
      <c r="O45" s="146"/>
      <c r="P45" s="159" t="str">
        <f t="shared" si="11"/>
        <v>(750, 800]</v>
      </c>
      <c r="Q45" s="160" t="s">
        <v>66</v>
      </c>
      <c r="R45" s="157">
        <f t="shared" si="20"/>
        <v>4.4684404662415466E-7</v>
      </c>
      <c r="S45" s="161">
        <v>0</v>
      </c>
      <c r="T45" s="161">
        <v>0</v>
      </c>
      <c r="U45" s="161"/>
      <c r="V45" s="161"/>
      <c r="W45" s="161"/>
      <c r="X45" s="161"/>
      <c r="Y45" s="161"/>
      <c r="Z45" s="161"/>
      <c r="AA45" s="163">
        <v>0</v>
      </c>
      <c r="AB45" s="163">
        <v>0</v>
      </c>
      <c r="AC45" s="163">
        <v>0</v>
      </c>
      <c r="AD45" s="163">
        <v>0</v>
      </c>
      <c r="AE45" s="163">
        <v>0</v>
      </c>
      <c r="AF45" s="163">
        <v>0</v>
      </c>
      <c r="AG45" s="163">
        <v>0</v>
      </c>
      <c r="AH45" s="163">
        <v>0</v>
      </c>
      <c r="AI45" s="163">
        <v>0</v>
      </c>
      <c r="AJ45" s="163">
        <v>0</v>
      </c>
      <c r="AK45" s="163" t="e">
        <v>#DIV/0!</v>
      </c>
      <c r="AL45" s="163" t="e">
        <v>#DIV/0!</v>
      </c>
      <c r="AM45" s="163" t="e">
        <v>#DIV/0!</v>
      </c>
      <c r="AN45" s="163" t="e">
        <v>#DIV/0!</v>
      </c>
      <c r="AO45" s="163" t="e">
        <v>#DIV/0!</v>
      </c>
      <c r="AP45" s="163" t="e">
        <v>#DIV/0!</v>
      </c>
      <c r="AQ45" s="164">
        <v>0</v>
      </c>
      <c r="AR45" s="167">
        <v>0</v>
      </c>
      <c r="AS45" s="167" t="e">
        <v>#DIV/0!</v>
      </c>
      <c r="AT45" s="167" t="e">
        <v>#DIV/0!</v>
      </c>
      <c r="AU45" s="164" t="e">
        <v>#DIV/0!</v>
      </c>
      <c r="AV45" s="167" t="e">
        <v>#DIV/0!</v>
      </c>
      <c r="AW45" s="167" t="e">
        <v>#DIV/0!</v>
      </c>
      <c r="AX45" s="167" t="e">
        <v>#DIV/0!</v>
      </c>
      <c r="AY45" s="165">
        <f t="shared" si="12"/>
        <v>0</v>
      </c>
      <c r="AZ45" s="165">
        <v>0</v>
      </c>
      <c r="BA45" s="165">
        <f t="shared" si="13"/>
        <v>0</v>
      </c>
      <c r="BB45" s="165">
        <v>0</v>
      </c>
      <c r="BC45" s="165" t="e">
        <f t="shared" si="14"/>
        <v>#DIV/0!</v>
      </c>
      <c r="BD45" s="165" t="e">
        <v>#DIV/0!</v>
      </c>
      <c r="BE45" s="165" t="e">
        <f t="shared" si="15"/>
        <v>#DIV/0!</v>
      </c>
      <c r="BF45" s="165" t="e">
        <v>#DIV/0!</v>
      </c>
      <c r="BG45" s="165" t="e">
        <f t="shared" si="16"/>
        <v>#DIV/0!</v>
      </c>
      <c r="BH45" s="165" t="e">
        <v>#DIV/0!</v>
      </c>
      <c r="BI45" s="165" t="e">
        <f t="shared" si="17"/>
        <v>#DIV/0!</v>
      </c>
      <c r="BJ45" s="165" t="e">
        <v>#DIV/0!</v>
      </c>
      <c r="BK45" s="165" t="e">
        <f t="shared" si="18"/>
        <v>#DIV/0!</v>
      </c>
      <c r="BL45" s="165" t="e">
        <v>#DIV/0!</v>
      </c>
      <c r="BM45" s="165" t="e">
        <f t="shared" si="19"/>
        <v>#DIV/0!</v>
      </c>
      <c r="BN45" s="165" t="e">
        <v>#DIV/0!</v>
      </c>
    </row>
    <row r="46" spans="1:66" ht="15.6" x14ac:dyDescent="0.3">
      <c r="A46" s="155">
        <v>800</v>
      </c>
      <c r="B46" s="155">
        <v>850</v>
      </c>
      <c r="C46" s="156">
        <v>28</v>
      </c>
      <c r="D46" s="156"/>
      <c r="E46" s="156"/>
      <c r="F46" s="156">
        <v>691020000</v>
      </c>
      <c r="G46" s="156"/>
      <c r="H46" s="156"/>
      <c r="I46" s="157">
        <v>2.8435530239718936E-7</v>
      </c>
      <c r="J46" s="157" t="e">
        <v>#DIV/0!</v>
      </c>
      <c r="K46" s="157"/>
      <c r="L46" s="157">
        <v>822.64285714285711</v>
      </c>
      <c r="M46" s="157"/>
      <c r="N46" s="157"/>
      <c r="O46" s="146"/>
      <c r="P46" s="159" t="str">
        <f t="shared" si="11"/>
        <v>(800, 850]</v>
      </c>
      <c r="Q46" s="160" t="s">
        <v>66</v>
      </c>
      <c r="R46" s="157">
        <f t="shared" si="20"/>
        <v>2.8435530239718936E-7</v>
      </c>
      <c r="S46" s="161">
        <v>0</v>
      </c>
      <c r="T46" s="161">
        <v>0</v>
      </c>
      <c r="U46" s="161"/>
      <c r="V46" s="161"/>
      <c r="W46" s="161"/>
      <c r="X46" s="161"/>
      <c r="Y46" s="161"/>
      <c r="Z46" s="161"/>
      <c r="AA46" s="163">
        <v>0</v>
      </c>
      <c r="AB46" s="163">
        <v>0</v>
      </c>
      <c r="AC46" s="163">
        <v>0</v>
      </c>
      <c r="AD46" s="163">
        <v>0</v>
      </c>
      <c r="AE46" s="163">
        <v>0</v>
      </c>
      <c r="AF46" s="163">
        <v>0</v>
      </c>
      <c r="AG46" s="163">
        <v>0</v>
      </c>
      <c r="AH46" s="163">
        <v>0</v>
      </c>
      <c r="AI46" s="163">
        <v>0</v>
      </c>
      <c r="AJ46" s="163">
        <v>0</v>
      </c>
      <c r="AK46" s="163" t="e">
        <v>#DIV/0!</v>
      </c>
      <c r="AL46" s="163" t="e">
        <v>#DIV/0!</v>
      </c>
      <c r="AM46" s="163" t="e">
        <v>#DIV/0!</v>
      </c>
      <c r="AN46" s="163" t="e">
        <v>#DIV/0!</v>
      </c>
      <c r="AO46" s="163" t="e">
        <v>#DIV/0!</v>
      </c>
      <c r="AP46" s="163" t="e">
        <v>#DIV/0!</v>
      </c>
      <c r="AQ46" s="164">
        <v>0</v>
      </c>
      <c r="AR46" s="167">
        <v>0</v>
      </c>
      <c r="AS46" s="167" t="e">
        <v>#DIV/0!</v>
      </c>
      <c r="AT46" s="167" t="e">
        <v>#DIV/0!</v>
      </c>
      <c r="AU46" s="164" t="e">
        <v>#DIV/0!</v>
      </c>
      <c r="AV46" s="167" t="e">
        <v>#DIV/0!</v>
      </c>
      <c r="AW46" s="167" t="e">
        <v>#DIV/0!</v>
      </c>
      <c r="AX46" s="167" t="e">
        <v>#DIV/0!</v>
      </c>
      <c r="AY46" s="165">
        <f t="shared" si="12"/>
        <v>0</v>
      </c>
      <c r="AZ46" s="165">
        <v>0</v>
      </c>
      <c r="BA46" s="165">
        <f t="shared" si="13"/>
        <v>0</v>
      </c>
      <c r="BB46" s="165">
        <v>0</v>
      </c>
      <c r="BC46" s="165" t="e">
        <f t="shared" si="14"/>
        <v>#DIV/0!</v>
      </c>
      <c r="BD46" s="165" t="e">
        <v>#DIV/0!</v>
      </c>
      <c r="BE46" s="165" t="e">
        <f t="shared" si="15"/>
        <v>#DIV/0!</v>
      </c>
      <c r="BF46" s="165" t="e">
        <v>#DIV/0!</v>
      </c>
      <c r="BG46" s="165" t="e">
        <f t="shared" si="16"/>
        <v>#DIV/0!</v>
      </c>
      <c r="BH46" s="165" t="e">
        <v>#DIV/0!</v>
      </c>
      <c r="BI46" s="165" t="e">
        <f t="shared" si="17"/>
        <v>#DIV/0!</v>
      </c>
      <c r="BJ46" s="165" t="e">
        <v>#DIV/0!</v>
      </c>
      <c r="BK46" s="165" t="e">
        <f t="shared" si="18"/>
        <v>#DIV/0!</v>
      </c>
      <c r="BL46" s="165" t="e">
        <v>#DIV/0!</v>
      </c>
      <c r="BM46" s="165" t="e">
        <f t="shared" si="19"/>
        <v>#DIV/0!</v>
      </c>
      <c r="BN46" s="165" t="e">
        <v>#DIV/0!</v>
      </c>
    </row>
    <row r="47" spans="1:66" ht="15.6" x14ac:dyDescent="0.3">
      <c r="A47" s="155">
        <v>850</v>
      </c>
      <c r="B47" s="155">
        <v>900</v>
      </c>
      <c r="C47" s="156">
        <v>32</v>
      </c>
      <c r="D47" s="156"/>
      <c r="E47" s="156"/>
      <c r="F47" s="156">
        <v>842706000</v>
      </c>
      <c r="G47" s="156"/>
      <c r="H47" s="156"/>
      <c r="I47" s="157">
        <v>3.2497748845393066E-7</v>
      </c>
      <c r="J47" s="157" t="e">
        <v>#DIV/0!</v>
      </c>
      <c r="K47" s="157"/>
      <c r="L47" s="157">
        <v>877.81875000000002</v>
      </c>
      <c r="M47" s="157"/>
      <c r="N47" s="157"/>
      <c r="O47" s="146"/>
      <c r="P47" s="159" t="str">
        <f t="shared" si="11"/>
        <v>(850, 900]</v>
      </c>
      <c r="Q47" s="160" t="s">
        <v>66</v>
      </c>
      <c r="R47" s="157">
        <f t="shared" si="20"/>
        <v>3.2497748845393066E-7</v>
      </c>
      <c r="S47" s="161">
        <v>0</v>
      </c>
      <c r="T47" s="161">
        <v>0</v>
      </c>
      <c r="U47" s="161"/>
      <c r="V47" s="161"/>
      <c r="W47" s="161"/>
      <c r="X47" s="161"/>
      <c r="Y47" s="161"/>
      <c r="Z47" s="161"/>
      <c r="AA47" s="163">
        <v>0</v>
      </c>
      <c r="AB47" s="163">
        <v>0</v>
      </c>
      <c r="AC47" s="163">
        <v>0</v>
      </c>
      <c r="AD47" s="163">
        <v>0</v>
      </c>
      <c r="AE47" s="163">
        <v>0</v>
      </c>
      <c r="AF47" s="163">
        <v>0</v>
      </c>
      <c r="AG47" s="163">
        <v>0</v>
      </c>
      <c r="AH47" s="163">
        <v>0</v>
      </c>
      <c r="AI47" s="163">
        <v>0</v>
      </c>
      <c r="AJ47" s="163">
        <v>0</v>
      </c>
      <c r="AK47" s="163" t="e">
        <v>#DIV/0!</v>
      </c>
      <c r="AL47" s="163" t="e">
        <v>#DIV/0!</v>
      </c>
      <c r="AM47" s="163" t="e">
        <v>#DIV/0!</v>
      </c>
      <c r="AN47" s="163" t="e">
        <v>#DIV/0!</v>
      </c>
      <c r="AO47" s="163" t="e">
        <v>#DIV/0!</v>
      </c>
      <c r="AP47" s="163" t="e">
        <v>#DIV/0!</v>
      </c>
      <c r="AQ47" s="164">
        <v>0</v>
      </c>
      <c r="AR47" s="167">
        <v>0</v>
      </c>
      <c r="AS47" s="167" t="e">
        <v>#DIV/0!</v>
      </c>
      <c r="AT47" s="167" t="e">
        <v>#DIV/0!</v>
      </c>
      <c r="AU47" s="164" t="e">
        <v>#DIV/0!</v>
      </c>
      <c r="AV47" s="167" t="e">
        <v>#DIV/0!</v>
      </c>
      <c r="AW47" s="167" t="e">
        <v>#DIV/0!</v>
      </c>
      <c r="AX47" s="167" t="e">
        <v>#DIV/0!</v>
      </c>
      <c r="AY47" s="165">
        <f t="shared" si="12"/>
        <v>0</v>
      </c>
      <c r="AZ47" s="165">
        <v>0</v>
      </c>
      <c r="BA47" s="165">
        <f t="shared" si="13"/>
        <v>0</v>
      </c>
      <c r="BB47" s="165">
        <v>0</v>
      </c>
      <c r="BC47" s="165" t="e">
        <f t="shared" si="14"/>
        <v>#DIV/0!</v>
      </c>
      <c r="BD47" s="165" t="e">
        <v>#DIV/0!</v>
      </c>
      <c r="BE47" s="165" t="e">
        <f t="shared" si="15"/>
        <v>#DIV/0!</v>
      </c>
      <c r="BF47" s="165" t="e">
        <v>#DIV/0!</v>
      </c>
      <c r="BG47" s="165" t="e">
        <f t="shared" si="16"/>
        <v>#DIV/0!</v>
      </c>
      <c r="BH47" s="165" t="e">
        <v>#DIV/0!</v>
      </c>
      <c r="BI47" s="165" t="e">
        <f t="shared" si="17"/>
        <v>#DIV/0!</v>
      </c>
      <c r="BJ47" s="165" t="e">
        <v>#DIV/0!</v>
      </c>
      <c r="BK47" s="165" t="e">
        <f t="shared" si="18"/>
        <v>#DIV/0!</v>
      </c>
      <c r="BL47" s="165" t="e">
        <v>#DIV/0!</v>
      </c>
      <c r="BM47" s="165" t="e">
        <f t="shared" si="19"/>
        <v>#DIV/0!</v>
      </c>
      <c r="BN47" s="165" t="e">
        <v>#DIV/0!</v>
      </c>
    </row>
    <row r="48" spans="1:66" ht="15.6" x14ac:dyDescent="0.3">
      <c r="A48" s="155">
        <v>900</v>
      </c>
      <c r="B48" s="155">
        <v>950</v>
      </c>
      <c r="C48" s="156">
        <v>28</v>
      </c>
      <c r="D48" s="156"/>
      <c r="E48" s="156"/>
      <c r="F48" s="156">
        <v>772776000</v>
      </c>
      <c r="G48" s="156"/>
      <c r="H48" s="156"/>
      <c r="I48" s="157">
        <v>2.8435530239718936E-7</v>
      </c>
      <c r="J48" s="157" t="e">
        <v>#DIV/0!</v>
      </c>
      <c r="K48" s="157"/>
      <c r="L48" s="157">
        <v>919.97142857142865</v>
      </c>
      <c r="M48" s="157"/>
      <c r="N48" s="157"/>
      <c r="O48" s="146"/>
      <c r="P48" s="159" t="str">
        <f t="shared" si="11"/>
        <v>(900, 950]</v>
      </c>
      <c r="Q48" s="160" t="s">
        <v>66</v>
      </c>
      <c r="R48" s="157">
        <f t="shared" si="20"/>
        <v>2.8435530239718936E-7</v>
      </c>
      <c r="S48" s="161">
        <v>0</v>
      </c>
      <c r="T48" s="161">
        <v>0</v>
      </c>
      <c r="U48" s="161"/>
      <c r="V48" s="161"/>
      <c r="W48" s="161"/>
      <c r="X48" s="161"/>
      <c r="Y48" s="161"/>
      <c r="Z48" s="161"/>
      <c r="AA48" s="163">
        <v>0</v>
      </c>
      <c r="AB48" s="163">
        <v>0</v>
      </c>
      <c r="AC48" s="163">
        <v>0</v>
      </c>
      <c r="AD48" s="163">
        <v>0</v>
      </c>
      <c r="AE48" s="163">
        <v>0</v>
      </c>
      <c r="AF48" s="163">
        <v>0</v>
      </c>
      <c r="AG48" s="163">
        <v>0</v>
      </c>
      <c r="AH48" s="163">
        <v>0</v>
      </c>
      <c r="AI48" s="163">
        <v>0</v>
      </c>
      <c r="AJ48" s="163">
        <v>0</v>
      </c>
      <c r="AK48" s="163" t="e">
        <v>#DIV/0!</v>
      </c>
      <c r="AL48" s="163" t="e">
        <v>#DIV/0!</v>
      </c>
      <c r="AM48" s="163" t="e">
        <v>#DIV/0!</v>
      </c>
      <c r="AN48" s="163" t="e">
        <v>#DIV/0!</v>
      </c>
      <c r="AO48" s="163" t="e">
        <v>#DIV/0!</v>
      </c>
      <c r="AP48" s="163" t="e">
        <v>#DIV/0!</v>
      </c>
      <c r="AQ48" s="164">
        <v>0</v>
      </c>
      <c r="AR48" s="167">
        <v>0</v>
      </c>
      <c r="AS48" s="167" t="e">
        <v>#DIV/0!</v>
      </c>
      <c r="AT48" s="167" t="e">
        <v>#DIV/0!</v>
      </c>
      <c r="AU48" s="164" t="e">
        <v>#DIV/0!</v>
      </c>
      <c r="AV48" s="167" t="e">
        <v>#DIV/0!</v>
      </c>
      <c r="AW48" s="167" t="e">
        <v>#DIV/0!</v>
      </c>
      <c r="AX48" s="167" t="e">
        <v>#DIV/0!</v>
      </c>
      <c r="AY48" s="165">
        <f t="shared" si="12"/>
        <v>0</v>
      </c>
      <c r="AZ48" s="165">
        <v>0</v>
      </c>
      <c r="BA48" s="165">
        <f t="shared" si="13"/>
        <v>0</v>
      </c>
      <c r="BB48" s="165">
        <v>0</v>
      </c>
      <c r="BC48" s="165" t="e">
        <f t="shared" si="14"/>
        <v>#DIV/0!</v>
      </c>
      <c r="BD48" s="165" t="e">
        <v>#DIV/0!</v>
      </c>
      <c r="BE48" s="165" t="e">
        <f t="shared" si="15"/>
        <v>#DIV/0!</v>
      </c>
      <c r="BF48" s="165" t="e">
        <v>#DIV/0!</v>
      </c>
      <c r="BG48" s="165" t="e">
        <f t="shared" si="16"/>
        <v>#DIV/0!</v>
      </c>
      <c r="BH48" s="165" t="e">
        <v>#DIV/0!</v>
      </c>
      <c r="BI48" s="165" t="e">
        <f t="shared" si="17"/>
        <v>#DIV/0!</v>
      </c>
      <c r="BJ48" s="165" t="e">
        <v>#DIV/0!</v>
      </c>
      <c r="BK48" s="165" t="e">
        <f t="shared" si="18"/>
        <v>#DIV/0!</v>
      </c>
      <c r="BL48" s="165" t="e">
        <v>#DIV/0!</v>
      </c>
      <c r="BM48" s="165" t="e">
        <f t="shared" si="19"/>
        <v>#DIV/0!</v>
      </c>
      <c r="BN48" s="165" t="e">
        <v>#DIV/0!</v>
      </c>
    </row>
    <row r="49" spans="1:66" ht="15.6" x14ac:dyDescent="0.3">
      <c r="A49" s="155">
        <v>950</v>
      </c>
      <c r="B49" s="155">
        <v>1000</v>
      </c>
      <c r="C49" s="156">
        <v>16</v>
      </c>
      <c r="D49" s="156"/>
      <c r="E49" s="156"/>
      <c r="F49" s="156">
        <v>470653500</v>
      </c>
      <c r="G49" s="156"/>
      <c r="H49" s="156"/>
      <c r="I49" s="157">
        <v>1.6248874422696533E-7</v>
      </c>
      <c r="J49" s="157" t="e">
        <v>#DIV/0!</v>
      </c>
      <c r="K49" s="157"/>
      <c r="L49" s="157">
        <v>980.52812500000005</v>
      </c>
      <c r="M49" s="157"/>
      <c r="N49" s="157"/>
      <c r="O49" s="146"/>
      <c r="P49" s="159" t="str">
        <f t="shared" si="11"/>
        <v>(950, 1000]</v>
      </c>
      <c r="Q49" s="160" t="s">
        <v>66</v>
      </c>
      <c r="R49" s="157">
        <f t="shared" si="20"/>
        <v>1.6248874422696533E-7</v>
      </c>
      <c r="S49" s="161">
        <v>0</v>
      </c>
      <c r="T49" s="161">
        <v>0</v>
      </c>
      <c r="U49" s="161"/>
      <c r="V49" s="161"/>
      <c r="W49" s="161"/>
      <c r="X49" s="161"/>
      <c r="Y49" s="161"/>
      <c r="Z49" s="161"/>
      <c r="AA49" s="163">
        <v>0</v>
      </c>
      <c r="AB49" s="163">
        <v>0</v>
      </c>
      <c r="AC49" s="163">
        <v>0</v>
      </c>
      <c r="AD49" s="163">
        <v>0</v>
      </c>
      <c r="AE49" s="163">
        <v>0</v>
      </c>
      <c r="AF49" s="163">
        <v>0</v>
      </c>
      <c r="AG49" s="163">
        <v>0</v>
      </c>
      <c r="AH49" s="163">
        <v>0</v>
      </c>
      <c r="AI49" s="163">
        <v>0</v>
      </c>
      <c r="AJ49" s="163">
        <v>0</v>
      </c>
      <c r="AK49" s="163" t="e">
        <v>#DIV/0!</v>
      </c>
      <c r="AL49" s="163" t="e">
        <v>#DIV/0!</v>
      </c>
      <c r="AM49" s="163" t="e">
        <v>#DIV/0!</v>
      </c>
      <c r="AN49" s="163" t="e">
        <v>#DIV/0!</v>
      </c>
      <c r="AO49" s="163" t="e">
        <v>#DIV/0!</v>
      </c>
      <c r="AP49" s="163" t="e">
        <v>#DIV/0!</v>
      </c>
      <c r="AQ49" s="164">
        <v>0</v>
      </c>
      <c r="AR49" s="167">
        <v>0</v>
      </c>
      <c r="AS49" s="167" t="e">
        <v>#DIV/0!</v>
      </c>
      <c r="AT49" s="167" t="e">
        <v>#DIV/0!</v>
      </c>
      <c r="AU49" s="164" t="e">
        <v>#DIV/0!</v>
      </c>
      <c r="AV49" s="167" t="e">
        <v>#DIV/0!</v>
      </c>
      <c r="AW49" s="167" t="e">
        <v>#DIV/0!</v>
      </c>
      <c r="AX49" s="167" t="e">
        <v>#DIV/0!</v>
      </c>
      <c r="AY49" s="165">
        <f t="shared" si="12"/>
        <v>0</v>
      </c>
      <c r="AZ49" s="165">
        <v>0</v>
      </c>
      <c r="BA49" s="165">
        <f t="shared" si="13"/>
        <v>0</v>
      </c>
      <c r="BB49" s="165">
        <v>0</v>
      </c>
      <c r="BC49" s="165" t="e">
        <f t="shared" si="14"/>
        <v>#DIV/0!</v>
      </c>
      <c r="BD49" s="165" t="e">
        <v>#DIV/0!</v>
      </c>
      <c r="BE49" s="165" t="e">
        <f t="shared" si="15"/>
        <v>#DIV/0!</v>
      </c>
      <c r="BF49" s="165" t="e">
        <v>#DIV/0!</v>
      </c>
      <c r="BG49" s="165" t="e">
        <f t="shared" si="16"/>
        <v>#DIV/0!</v>
      </c>
      <c r="BH49" s="165" t="e">
        <v>#DIV/0!</v>
      </c>
      <c r="BI49" s="165" t="e">
        <f t="shared" si="17"/>
        <v>#DIV/0!</v>
      </c>
      <c r="BJ49" s="165" t="e">
        <v>#DIV/0!</v>
      </c>
      <c r="BK49" s="165" t="e">
        <f t="shared" si="18"/>
        <v>#DIV/0!</v>
      </c>
      <c r="BL49" s="165" t="e">
        <v>#DIV/0!</v>
      </c>
      <c r="BM49" s="165" t="e">
        <f t="shared" si="19"/>
        <v>#DIV/0!</v>
      </c>
      <c r="BN49" s="165" t="e">
        <v>#DIV/0!</v>
      </c>
    </row>
    <row r="50" spans="1:66" ht="15.6" x14ac:dyDescent="0.3">
      <c r="A50" s="155">
        <v>1000</v>
      </c>
      <c r="B50" s="155">
        <v>2000</v>
      </c>
      <c r="C50" s="156">
        <v>85</v>
      </c>
      <c r="D50" s="156"/>
      <c r="E50" s="156"/>
      <c r="F50" s="156">
        <v>3259533000</v>
      </c>
      <c r="G50" s="156"/>
      <c r="H50" s="156"/>
      <c r="I50" s="157">
        <v>8.632214537057533E-7</v>
      </c>
      <c r="J50" s="157" t="e">
        <v>#DIV/0!</v>
      </c>
      <c r="K50" s="157"/>
      <c r="L50" s="157">
        <v>1278.2482352941174</v>
      </c>
      <c r="M50" s="157"/>
      <c r="N50" s="157"/>
      <c r="O50" s="146"/>
      <c r="P50" s="159" t="str">
        <f t="shared" si="11"/>
        <v>(1000, 2000]</v>
      </c>
      <c r="Q50" s="160" t="s">
        <v>66</v>
      </c>
      <c r="R50" s="157">
        <f t="shared" si="20"/>
        <v>8.632214537057533E-7</v>
      </c>
      <c r="S50" s="161">
        <v>0</v>
      </c>
      <c r="T50" s="161">
        <v>0</v>
      </c>
      <c r="U50" s="161"/>
      <c r="V50" s="161"/>
      <c r="W50" s="161"/>
      <c r="X50" s="161"/>
      <c r="Y50" s="161"/>
      <c r="Z50" s="161"/>
      <c r="AA50" s="163">
        <v>0</v>
      </c>
      <c r="AB50" s="163">
        <v>0</v>
      </c>
      <c r="AC50" s="163">
        <v>0</v>
      </c>
      <c r="AD50" s="163">
        <v>0</v>
      </c>
      <c r="AE50" s="163">
        <v>0</v>
      </c>
      <c r="AF50" s="163">
        <v>0</v>
      </c>
      <c r="AG50" s="163">
        <v>0</v>
      </c>
      <c r="AH50" s="163">
        <v>0</v>
      </c>
      <c r="AI50" s="163">
        <v>0</v>
      </c>
      <c r="AJ50" s="163">
        <v>0</v>
      </c>
      <c r="AK50" s="163" t="e">
        <v>#DIV/0!</v>
      </c>
      <c r="AL50" s="163" t="e">
        <v>#DIV/0!</v>
      </c>
      <c r="AM50" s="163" t="e">
        <v>#DIV/0!</v>
      </c>
      <c r="AN50" s="163" t="e">
        <v>#DIV/0!</v>
      </c>
      <c r="AO50" s="163" t="e">
        <v>#DIV/0!</v>
      </c>
      <c r="AP50" s="163" t="e">
        <v>#DIV/0!</v>
      </c>
      <c r="AQ50" s="164">
        <v>0</v>
      </c>
      <c r="AR50" s="167">
        <v>0</v>
      </c>
      <c r="AS50" s="167" t="e">
        <v>#DIV/0!</v>
      </c>
      <c r="AT50" s="167" t="e">
        <v>#DIV/0!</v>
      </c>
      <c r="AU50" s="164" t="e">
        <v>#DIV/0!</v>
      </c>
      <c r="AV50" s="167" t="e">
        <v>#DIV/0!</v>
      </c>
      <c r="AW50" s="167" t="e">
        <v>#DIV/0!</v>
      </c>
      <c r="AX50" s="167" t="e">
        <v>#DIV/0!</v>
      </c>
      <c r="AY50" s="165">
        <f t="shared" si="12"/>
        <v>0</v>
      </c>
      <c r="AZ50" s="165">
        <v>0</v>
      </c>
      <c r="BA50" s="165">
        <f t="shared" si="13"/>
        <v>0</v>
      </c>
      <c r="BB50" s="165">
        <v>0</v>
      </c>
      <c r="BC50" s="165" t="e">
        <f t="shared" si="14"/>
        <v>#DIV/0!</v>
      </c>
      <c r="BD50" s="165" t="e">
        <v>#DIV/0!</v>
      </c>
      <c r="BE50" s="165" t="e">
        <f t="shared" si="15"/>
        <v>#DIV/0!</v>
      </c>
      <c r="BF50" s="165" t="e">
        <v>#DIV/0!</v>
      </c>
      <c r="BG50" s="165" t="e">
        <f t="shared" si="16"/>
        <v>#DIV/0!</v>
      </c>
      <c r="BH50" s="165" t="e">
        <v>#DIV/0!</v>
      </c>
      <c r="BI50" s="165" t="e">
        <f t="shared" si="17"/>
        <v>#DIV/0!</v>
      </c>
      <c r="BJ50" s="165" t="e">
        <v>#DIV/0!</v>
      </c>
      <c r="BK50" s="165" t="e">
        <f t="shared" si="18"/>
        <v>#DIV/0!</v>
      </c>
      <c r="BL50" s="165" t="e">
        <v>#DIV/0!</v>
      </c>
      <c r="BM50" s="165" t="e">
        <f t="shared" si="19"/>
        <v>#DIV/0!</v>
      </c>
      <c r="BN50" s="165" t="e">
        <v>#DIV/0!</v>
      </c>
    </row>
    <row r="51" spans="1:66" ht="15.6" x14ac:dyDescent="0.3">
      <c r="A51" s="155">
        <v>2000</v>
      </c>
      <c r="B51" s="155">
        <v>3000</v>
      </c>
      <c r="C51" s="156">
        <v>5</v>
      </c>
      <c r="D51" s="156"/>
      <c r="E51" s="156"/>
      <c r="F51" s="156">
        <v>355884000</v>
      </c>
      <c r="G51" s="156"/>
      <c r="H51" s="156"/>
      <c r="I51" s="157">
        <v>5.077773257092667E-8</v>
      </c>
      <c r="J51" s="157" t="e">
        <v>#DIV/0!</v>
      </c>
      <c r="K51" s="157"/>
      <c r="L51" s="157">
        <v>2372.56</v>
      </c>
      <c r="M51" s="157"/>
      <c r="N51" s="157"/>
      <c r="O51" s="146"/>
      <c r="P51" s="159" t="str">
        <f t="shared" si="11"/>
        <v>(2000, 3000]</v>
      </c>
      <c r="Q51" s="160" t="s">
        <v>66</v>
      </c>
      <c r="R51" s="157">
        <f t="shared" si="20"/>
        <v>5.077773257092667E-8</v>
      </c>
      <c r="S51" s="161">
        <v>0</v>
      </c>
      <c r="T51" s="161">
        <v>0</v>
      </c>
      <c r="U51" s="161"/>
      <c r="V51" s="161"/>
      <c r="W51" s="161"/>
      <c r="X51" s="161"/>
      <c r="Y51" s="161"/>
      <c r="Z51" s="161"/>
      <c r="AA51" s="163">
        <v>0</v>
      </c>
      <c r="AB51" s="163">
        <v>0</v>
      </c>
      <c r="AC51" s="163">
        <v>0</v>
      </c>
      <c r="AD51" s="163">
        <v>0</v>
      </c>
      <c r="AE51" s="163">
        <v>0</v>
      </c>
      <c r="AF51" s="163">
        <v>0</v>
      </c>
      <c r="AG51" s="163">
        <v>0</v>
      </c>
      <c r="AH51" s="163">
        <v>0</v>
      </c>
      <c r="AI51" s="163">
        <v>0</v>
      </c>
      <c r="AJ51" s="163">
        <v>0</v>
      </c>
      <c r="AK51" s="163" t="e">
        <v>#DIV/0!</v>
      </c>
      <c r="AL51" s="163" t="e">
        <v>#DIV/0!</v>
      </c>
      <c r="AM51" s="163" t="e">
        <v>#DIV/0!</v>
      </c>
      <c r="AN51" s="163" t="e">
        <v>#DIV/0!</v>
      </c>
      <c r="AO51" s="163" t="e">
        <v>#DIV/0!</v>
      </c>
      <c r="AP51" s="163" t="e">
        <v>#DIV/0!</v>
      </c>
      <c r="AQ51" s="164">
        <v>0</v>
      </c>
      <c r="AR51" s="167">
        <v>0</v>
      </c>
      <c r="AS51" s="167" t="e">
        <v>#DIV/0!</v>
      </c>
      <c r="AT51" s="167" t="e">
        <v>#DIV/0!</v>
      </c>
      <c r="AU51" s="164" t="e">
        <v>#DIV/0!</v>
      </c>
      <c r="AV51" s="167" t="e">
        <v>#DIV/0!</v>
      </c>
      <c r="AW51" s="167" t="e">
        <v>#DIV/0!</v>
      </c>
      <c r="AX51" s="167" t="e">
        <v>#DIV/0!</v>
      </c>
      <c r="AY51" s="165">
        <f t="shared" si="12"/>
        <v>0</v>
      </c>
      <c r="AZ51" s="165">
        <v>0</v>
      </c>
      <c r="BA51" s="165">
        <f t="shared" si="13"/>
        <v>0</v>
      </c>
      <c r="BB51" s="165">
        <v>0</v>
      </c>
      <c r="BC51" s="165" t="e">
        <f t="shared" si="14"/>
        <v>#DIV/0!</v>
      </c>
      <c r="BD51" s="165" t="e">
        <v>#DIV/0!</v>
      </c>
      <c r="BE51" s="165" t="e">
        <f t="shared" si="15"/>
        <v>#DIV/0!</v>
      </c>
      <c r="BF51" s="165" t="e">
        <v>#DIV/0!</v>
      </c>
      <c r="BG51" s="165" t="e">
        <f t="shared" si="16"/>
        <v>#DIV/0!</v>
      </c>
      <c r="BH51" s="165" t="e">
        <v>#DIV/0!</v>
      </c>
      <c r="BI51" s="165" t="e">
        <f t="shared" si="17"/>
        <v>#DIV/0!</v>
      </c>
      <c r="BJ51" s="165" t="e">
        <v>#DIV/0!</v>
      </c>
      <c r="BK51" s="165" t="e">
        <f t="shared" si="18"/>
        <v>#DIV/0!</v>
      </c>
      <c r="BL51" s="165" t="e">
        <v>#DIV/0!</v>
      </c>
      <c r="BM51" s="165" t="e">
        <f t="shared" si="19"/>
        <v>#DIV/0!</v>
      </c>
      <c r="BN51" s="165" t="e">
        <v>#DIV/0!</v>
      </c>
    </row>
    <row r="52" spans="1:66" ht="15.6" x14ac:dyDescent="0.3">
      <c r="A52" s="155">
        <v>3000</v>
      </c>
      <c r="B52" s="155">
        <v>4000</v>
      </c>
      <c r="C52" s="156">
        <v>1</v>
      </c>
      <c r="D52" s="156"/>
      <c r="E52" s="156"/>
      <c r="F52" s="156">
        <v>97923000</v>
      </c>
      <c r="G52" s="156"/>
      <c r="H52" s="156"/>
      <c r="I52" s="157">
        <v>1.0155546514185333E-8</v>
      </c>
      <c r="J52" s="157" t="e">
        <v>#DIV/0!</v>
      </c>
      <c r="K52" s="157"/>
      <c r="L52" s="157">
        <v>3264.1</v>
      </c>
      <c r="M52" s="157"/>
      <c r="N52" s="157"/>
      <c r="O52" s="146"/>
      <c r="P52" s="159" t="str">
        <f t="shared" si="11"/>
        <v>(3000, 4000]</v>
      </c>
      <c r="Q52" s="160" t="s">
        <v>66</v>
      </c>
      <c r="R52" s="157">
        <f t="shared" si="20"/>
        <v>1.0155546514185333E-8</v>
      </c>
      <c r="S52" s="161">
        <v>0</v>
      </c>
      <c r="T52" s="161">
        <v>0</v>
      </c>
      <c r="U52" s="161"/>
      <c r="V52" s="161"/>
      <c r="W52" s="161"/>
      <c r="X52" s="161"/>
      <c r="Y52" s="161"/>
      <c r="Z52" s="161"/>
      <c r="AA52" s="163">
        <v>0</v>
      </c>
      <c r="AB52" s="163">
        <v>0</v>
      </c>
      <c r="AC52" s="163">
        <v>0</v>
      </c>
      <c r="AD52" s="163">
        <v>0</v>
      </c>
      <c r="AE52" s="163">
        <v>0</v>
      </c>
      <c r="AF52" s="163">
        <v>0</v>
      </c>
      <c r="AG52" s="163">
        <v>0</v>
      </c>
      <c r="AH52" s="163">
        <v>0</v>
      </c>
      <c r="AI52" s="163">
        <v>0</v>
      </c>
      <c r="AJ52" s="163">
        <v>0</v>
      </c>
      <c r="AK52" s="163" t="e">
        <v>#DIV/0!</v>
      </c>
      <c r="AL52" s="163" t="e">
        <v>#DIV/0!</v>
      </c>
      <c r="AM52" s="163" t="e">
        <v>#DIV/0!</v>
      </c>
      <c r="AN52" s="163" t="e">
        <v>#DIV/0!</v>
      </c>
      <c r="AO52" s="163" t="e">
        <v>#DIV/0!</v>
      </c>
      <c r="AP52" s="163" t="e">
        <v>#DIV/0!</v>
      </c>
      <c r="AQ52" s="164">
        <v>0</v>
      </c>
      <c r="AR52" s="167">
        <v>0</v>
      </c>
      <c r="AS52" s="167" t="e">
        <v>#DIV/0!</v>
      </c>
      <c r="AT52" s="167" t="e">
        <v>#DIV/0!</v>
      </c>
      <c r="AU52" s="164" t="e">
        <v>#DIV/0!</v>
      </c>
      <c r="AV52" s="167" t="e">
        <v>#DIV/0!</v>
      </c>
      <c r="AW52" s="167" t="e">
        <v>#DIV/0!</v>
      </c>
      <c r="AX52" s="167" t="e">
        <v>#DIV/0!</v>
      </c>
      <c r="AY52" s="165">
        <f t="shared" si="12"/>
        <v>0</v>
      </c>
      <c r="AZ52" s="165">
        <v>0</v>
      </c>
      <c r="BA52" s="165">
        <f t="shared" si="13"/>
        <v>0</v>
      </c>
      <c r="BB52" s="165">
        <v>0</v>
      </c>
      <c r="BC52" s="165" t="e">
        <f t="shared" si="14"/>
        <v>#DIV/0!</v>
      </c>
      <c r="BD52" s="165" t="e">
        <v>#DIV/0!</v>
      </c>
      <c r="BE52" s="165" t="e">
        <f t="shared" si="15"/>
        <v>#DIV/0!</v>
      </c>
      <c r="BF52" s="165" t="e">
        <v>#DIV/0!</v>
      </c>
      <c r="BG52" s="165" t="e">
        <f t="shared" si="16"/>
        <v>#DIV/0!</v>
      </c>
      <c r="BH52" s="165" t="e">
        <v>#DIV/0!</v>
      </c>
      <c r="BI52" s="165" t="e">
        <f t="shared" si="17"/>
        <v>#DIV/0!</v>
      </c>
      <c r="BJ52" s="165" t="e">
        <v>#DIV/0!</v>
      </c>
      <c r="BK52" s="165" t="e">
        <f t="shared" si="18"/>
        <v>#DIV/0!</v>
      </c>
      <c r="BL52" s="165" t="e">
        <v>#DIV/0!</v>
      </c>
      <c r="BM52" s="165" t="e">
        <f t="shared" si="19"/>
        <v>#DIV/0!</v>
      </c>
      <c r="BN52" s="165" t="e">
        <v>#DIV/0!</v>
      </c>
    </row>
    <row r="53" spans="1:66" ht="15.6" x14ac:dyDescent="0.3">
      <c r="A53" s="155">
        <v>4000</v>
      </c>
      <c r="B53" s="155">
        <v>5000</v>
      </c>
      <c r="C53" s="156">
        <v>0</v>
      </c>
      <c r="D53" s="156"/>
      <c r="E53" s="156"/>
      <c r="F53" s="156">
        <v>0</v>
      </c>
      <c r="G53" s="156"/>
      <c r="H53" s="156"/>
      <c r="I53" s="157">
        <v>0</v>
      </c>
      <c r="J53" s="157" t="e">
        <v>#DIV/0!</v>
      </c>
      <c r="K53" s="157"/>
      <c r="L53" s="157" t="e">
        <v>#DIV/0!</v>
      </c>
      <c r="M53" s="157"/>
      <c r="N53" s="157"/>
      <c r="O53" s="146"/>
      <c r="P53" s="159" t="str">
        <f t="shared" si="11"/>
        <v>(4000, 5000]</v>
      </c>
      <c r="Q53" s="160" t="s">
        <v>66</v>
      </c>
      <c r="R53" s="157">
        <f t="shared" si="20"/>
        <v>0</v>
      </c>
      <c r="S53" s="161">
        <v>0</v>
      </c>
      <c r="T53" s="161">
        <v>0</v>
      </c>
      <c r="U53" s="161"/>
      <c r="V53" s="161"/>
      <c r="W53" s="161"/>
      <c r="X53" s="161"/>
      <c r="Y53" s="161"/>
      <c r="Z53" s="161"/>
      <c r="AA53" s="163">
        <v>0</v>
      </c>
      <c r="AB53" s="163">
        <v>0</v>
      </c>
      <c r="AC53" s="163">
        <v>0</v>
      </c>
      <c r="AD53" s="163">
        <v>0</v>
      </c>
      <c r="AE53" s="163">
        <v>0</v>
      </c>
      <c r="AF53" s="163">
        <v>0</v>
      </c>
      <c r="AG53" s="163">
        <v>0</v>
      </c>
      <c r="AH53" s="163">
        <v>0</v>
      </c>
      <c r="AI53" s="163">
        <v>0</v>
      </c>
      <c r="AJ53" s="163">
        <v>0</v>
      </c>
      <c r="AK53" s="163" t="e">
        <v>#DIV/0!</v>
      </c>
      <c r="AL53" s="163" t="e">
        <v>#DIV/0!</v>
      </c>
      <c r="AM53" s="163" t="e">
        <v>#DIV/0!</v>
      </c>
      <c r="AN53" s="163" t="e">
        <v>#DIV/0!</v>
      </c>
      <c r="AO53" s="163" t="e">
        <v>#DIV/0!</v>
      </c>
      <c r="AP53" s="163" t="e">
        <v>#DIV/0!</v>
      </c>
      <c r="AQ53" s="164">
        <v>0</v>
      </c>
      <c r="AR53" s="167">
        <v>0</v>
      </c>
      <c r="AS53" s="167" t="e">
        <v>#DIV/0!</v>
      </c>
      <c r="AT53" s="167" t="e">
        <v>#DIV/0!</v>
      </c>
      <c r="AU53" s="164" t="e">
        <v>#DIV/0!</v>
      </c>
      <c r="AV53" s="167" t="e">
        <v>#DIV/0!</v>
      </c>
      <c r="AW53" s="167" t="e">
        <v>#DIV/0!</v>
      </c>
      <c r="AX53" s="167" t="e">
        <v>#DIV/0!</v>
      </c>
      <c r="AY53" s="165">
        <f t="shared" si="12"/>
        <v>0</v>
      </c>
      <c r="AZ53" s="165">
        <v>0</v>
      </c>
      <c r="BA53" s="165">
        <f t="shared" si="13"/>
        <v>0</v>
      </c>
      <c r="BB53" s="165">
        <v>0</v>
      </c>
      <c r="BC53" s="165" t="e">
        <f t="shared" si="14"/>
        <v>#DIV/0!</v>
      </c>
      <c r="BD53" s="165" t="e">
        <v>#DIV/0!</v>
      </c>
      <c r="BE53" s="165" t="e">
        <f t="shared" si="15"/>
        <v>#DIV/0!</v>
      </c>
      <c r="BF53" s="165" t="e">
        <v>#DIV/0!</v>
      </c>
      <c r="BG53" s="165" t="e">
        <f t="shared" si="16"/>
        <v>#DIV/0!</v>
      </c>
      <c r="BH53" s="165" t="e">
        <v>#DIV/0!</v>
      </c>
      <c r="BI53" s="165" t="e">
        <f t="shared" si="17"/>
        <v>#DIV/0!</v>
      </c>
      <c r="BJ53" s="165" t="e">
        <v>#DIV/0!</v>
      </c>
      <c r="BK53" s="165" t="e">
        <f t="shared" si="18"/>
        <v>#DIV/0!</v>
      </c>
      <c r="BL53" s="165" t="e">
        <v>#DIV/0!</v>
      </c>
      <c r="BM53" s="165" t="e">
        <f t="shared" si="19"/>
        <v>#DIV/0!</v>
      </c>
      <c r="BN53" s="165" t="e">
        <v>#DIV/0!</v>
      </c>
    </row>
    <row r="54" spans="1:66" ht="15.6" x14ac:dyDescent="0.3">
      <c r="A54" s="155">
        <v>5000</v>
      </c>
      <c r="B54" s="155">
        <v>6000</v>
      </c>
      <c r="C54" s="156">
        <v>0</v>
      </c>
      <c r="D54" s="156"/>
      <c r="E54" s="156"/>
      <c r="F54" s="156">
        <v>0</v>
      </c>
      <c r="G54" s="156"/>
      <c r="H54" s="156"/>
      <c r="I54" s="157">
        <v>0</v>
      </c>
      <c r="J54" s="157" t="e">
        <v>#DIV/0!</v>
      </c>
      <c r="K54" s="157"/>
      <c r="L54" s="157" t="e">
        <v>#DIV/0!</v>
      </c>
      <c r="M54" s="157"/>
      <c r="N54" s="157"/>
      <c r="O54" s="146"/>
      <c r="P54" s="159" t="str">
        <f t="shared" si="11"/>
        <v>(5000, 6000]</v>
      </c>
      <c r="Q54" s="160" t="s">
        <v>66</v>
      </c>
      <c r="R54" s="157">
        <f t="shared" si="20"/>
        <v>0</v>
      </c>
      <c r="S54" s="161">
        <v>0</v>
      </c>
      <c r="T54" s="161">
        <v>0</v>
      </c>
      <c r="U54" s="161"/>
      <c r="V54" s="161"/>
      <c r="W54" s="161"/>
      <c r="X54" s="161"/>
      <c r="Y54" s="161"/>
      <c r="Z54" s="161"/>
      <c r="AA54" s="163">
        <v>0</v>
      </c>
      <c r="AB54" s="163">
        <v>0</v>
      </c>
      <c r="AC54" s="163">
        <v>0</v>
      </c>
      <c r="AD54" s="163">
        <v>0</v>
      </c>
      <c r="AE54" s="163">
        <v>0</v>
      </c>
      <c r="AF54" s="163">
        <v>0</v>
      </c>
      <c r="AG54" s="163">
        <v>0</v>
      </c>
      <c r="AH54" s="163">
        <v>0</v>
      </c>
      <c r="AI54" s="163">
        <v>0</v>
      </c>
      <c r="AJ54" s="163">
        <v>0</v>
      </c>
      <c r="AK54" s="163" t="e">
        <v>#DIV/0!</v>
      </c>
      <c r="AL54" s="163" t="e">
        <v>#DIV/0!</v>
      </c>
      <c r="AM54" s="163" t="e">
        <v>#DIV/0!</v>
      </c>
      <c r="AN54" s="163" t="e">
        <v>#DIV/0!</v>
      </c>
      <c r="AO54" s="163" t="e">
        <v>#DIV/0!</v>
      </c>
      <c r="AP54" s="163" t="e">
        <v>#DIV/0!</v>
      </c>
      <c r="AQ54" s="164">
        <v>0</v>
      </c>
      <c r="AR54" s="167">
        <v>0</v>
      </c>
      <c r="AS54" s="167" t="e">
        <v>#DIV/0!</v>
      </c>
      <c r="AT54" s="167" t="e">
        <v>#DIV/0!</v>
      </c>
      <c r="AU54" s="164" t="e">
        <v>#DIV/0!</v>
      </c>
      <c r="AV54" s="167" t="e">
        <v>#DIV/0!</v>
      </c>
      <c r="AW54" s="167" t="e">
        <v>#DIV/0!</v>
      </c>
      <c r="AX54" s="167" t="e">
        <v>#DIV/0!</v>
      </c>
      <c r="AY54" s="165">
        <f t="shared" si="12"/>
        <v>0</v>
      </c>
      <c r="AZ54" s="165">
        <v>0</v>
      </c>
      <c r="BA54" s="165">
        <f t="shared" si="13"/>
        <v>0</v>
      </c>
      <c r="BB54" s="165">
        <v>0</v>
      </c>
      <c r="BC54" s="165" t="e">
        <f t="shared" si="14"/>
        <v>#DIV/0!</v>
      </c>
      <c r="BD54" s="165" t="e">
        <v>#DIV/0!</v>
      </c>
      <c r="BE54" s="165" t="e">
        <f t="shared" si="15"/>
        <v>#DIV/0!</v>
      </c>
      <c r="BF54" s="165" t="e">
        <v>#DIV/0!</v>
      </c>
      <c r="BG54" s="165" t="e">
        <f t="shared" si="16"/>
        <v>#DIV/0!</v>
      </c>
      <c r="BH54" s="165" t="e">
        <v>#DIV/0!</v>
      </c>
      <c r="BI54" s="165" t="e">
        <f t="shared" si="17"/>
        <v>#DIV/0!</v>
      </c>
      <c r="BJ54" s="165" t="e">
        <v>#DIV/0!</v>
      </c>
      <c r="BK54" s="165" t="e">
        <f t="shared" si="18"/>
        <v>#DIV/0!</v>
      </c>
      <c r="BL54" s="165" t="e">
        <v>#DIV/0!</v>
      </c>
      <c r="BM54" s="165" t="e">
        <f t="shared" si="19"/>
        <v>#DIV/0!</v>
      </c>
      <c r="BN54" s="165" t="e">
        <v>#DIV/0!</v>
      </c>
    </row>
    <row r="55" spans="1:66" ht="15.6" x14ac:dyDescent="0.3">
      <c r="A55" s="155">
        <v>6000</v>
      </c>
      <c r="B55" s="155">
        <v>7000</v>
      </c>
      <c r="C55" s="156">
        <v>0</v>
      </c>
      <c r="D55" s="156"/>
      <c r="E55" s="156"/>
      <c r="F55" s="156">
        <v>0</v>
      </c>
      <c r="G55" s="156"/>
      <c r="H55" s="156"/>
      <c r="I55" s="157">
        <v>0</v>
      </c>
      <c r="J55" s="157" t="e">
        <v>#DIV/0!</v>
      </c>
      <c r="K55" s="157"/>
      <c r="L55" s="157" t="e">
        <v>#DIV/0!</v>
      </c>
      <c r="M55" s="157"/>
      <c r="N55" s="157"/>
      <c r="O55" s="146"/>
      <c r="P55" s="159" t="str">
        <f t="shared" si="11"/>
        <v>(6000, 7000]</v>
      </c>
      <c r="Q55" s="160" t="s">
        <v>66</v>
      </c>
      <c r="R55" s="157">
        <f t="shared" si="20"/>
        <v>0</v>
      </c>
      <c r="S55" s="161">
        <v>0</v>
      </c>
      <c r="T55" s="161">
        <v>0</v>
      </c>
      <c r="U55" s="161"/>
      <c r="V55" s="161"/>
      <c r="W55" s="161"/>
      <c r="X55" s="161"/>
      <c r="Y55" s="161"/>
      <c r="Z55" s="161"/>
      <c r="AA55" s="163">
        <v>0</v>
      </c>
      <c r="AB55" s="163">
        <v>0</v>
      </c>
      <c r="AC55" s="163">
        <v>0</v>
      </c>
      <c r="AD55" s="163">
        <v>0</v>
      </c>
      <c r="AE55" s="163">
        <v>0</v>
      </c>
      <c r="AF55" s="163">
        <v>0</v>
      </c>
      <c r="AG55" s="163">
        <v>0</v>
      </c>
      <c r="AH55" s="163">
        <v>0</v>
      </c>
      <c r="AI55" s="163">
        <v>0</v>
      </c>
      <c r="AJ55" s="163">
        <v>0</v>
      </c>
      <c r="AK55" s="163" t="e">
        <v>#DIV/0!</v>
      </c>
      <c r="AL55" s="163" t="e">
        <v>#DIV/0!</v>
      </c>
      <c r="AM55" s="163" t="e">
        <v>#DIV/0!</v>
      </c>
      <c r="AN55" s="163" t="e">
        <v>#DIV/0!</v>
      </c>
      <c r="AO55" s="163" t="e">
        <v>#DIV/0!</v>
      </c>
      <c r="AP55" s="163" t="e">
        <v>#DIV/0!</v>
      </c>
      <c r="AQ55" s="164">
        <v>0</v>
      </c>
      <c r="AR55" s="167">
        <v>0</v>
      </c>
      <c r="AS55" s="167" t="e">
        <v>#DIV/0!</v>
      </c>
      <c r="AT55" s="167" t="e">
        <v>#DIV/0!</v>
      </c>
      <c r="AU55" s="164" t="e">
        <v>#DIV/0!</v>
      </c>
      <c r="AV55" s="167" t="e">
        <v>#DIV/0!</v>
      </c>
      <c r="AW55" s="167" t="e">
        <v>#DIV/0!</v>
      </c>
      <c r="AX55" s="167" t="e">
        <v>#DIV/0!</v>
      </c>
      <c r="AY55" s="165">
        <f t="shared" si="12"/>
        <v>0</v>
      </c>
      <c r="AZ55" s="165">
        <v>0</v>
      </c>
      <c r="BA55" s="165">
        <f t="shared" si="13"/>
        <v>0</v>
      </c>
      <c r="BB55" s="165">
        <v>0</v>
      </c>
      <c r="BC55" s="165" t="e">
        <f t="shared" si="14"/>
        <v>#DIV/0!</v>
      </c>
      <c r="BD55" s="165" t="e">
        <v>#DIV/0!</v>
      </c>
      <c r="BE55" s="165" t="e">
        <f t="shared" si="15"/>
        <v>#DIV/0!</v>
      </c>
      <c r="BF55" s="165" t="e">
        <v>#DIV/0!</v>
      </c>
      <c r="BG55" s="165" t="e">
        <f t="shared" si="16"/>
        <v>#DIV/0!</v>
      </c>
      <c r="BH55" s="165" t="e">
        <v>#DIV/0!</v>
      </c>
      <c r="BI55" s="165" t="e">
        <f t="shared" si="17"/>
        <v>#DIV/0!</v>
      </c>
      <c r="BJ55" s="165" t="e">
        <v>#DIV/0!</v>
      </c>
      <c r="BK55" s="165" t="e">
        <f t="shared" si="18"/>
        <v>#DIV/0!</v>
      </c>
      <c r="BL55" s="165" t="e">
        <v>#DIV/0!</v>
      </c>
      <c r="BM55" s="165" t="e">
        <f t="shared" si="19"/>
        <v>#DIV/0!</v>
      </c>
      <c r="BN55" s="165" t="e">
        <v>#DIV/0!</v>
      </c>
    </row>
    <row r="56" spans="1:66" ht="15.6" x14ac:dyDescent="0.3">
      <c r="A56" s="155">
        <v>7000</v>
      </c>
      <c r="B56" s="155">
        <v>8000</v>
      </c>
      <c r="C56" s="156">
        <v>0</v>
      </c>
      <c r="D56" s="156"/>
      <c r="E56" s="156"/>
      <c r="F56" s="156">
        <v>0</v>
      </c>
      <c r="G56" s="156"/>
      <c r="H56" s="156"/>
      <c r="I56" s="157">
        <v>0</v>
      </c>
      <c r="J56" s="157" t="e">
        <v>#DIV/0!</v>
      </c>
      <c r="K56" s="157"/>
      <c r="L56" s="157" t="e">
        <v>#DIV/0!</v>
      </c>
      <c r="M56" s="157"/>
      <c r="N56" s="157"/>
      <c r="O56" s="146"/>
      <c r="P56" s="159" t="str">
        <f t="shared" si="11"/>
        <v>(7000, 8000]</v>
      </c>
      <c r="Q56" s="160" t="s">
        <v>66</v>
      </c>
      <c r="R56" s="157">
        <f t="shared" si="20"/>
        <v>0</v>
      </c>
      <c r="S56" s="161">
        <v>0</v>
      </c>
      <c r="T56" s="161">
        <v>0</v>
      </c>
      <c r="U56" s="161"/>
      <c r="V56" s="161"/>
      <c r="W56" s="161"/>
      <c r="X56" s="161"/>
      <c r="Y56" s="161"/>
      <c r="Z56" s="161"/>
      <c r="AA56" s="163">
        <v>0</v>
      </c>
      <c r="AB56" s="163">
        <v>0</v>
      </c>
      <c r="AC56" s="163">
        <v>0</v>
      </c>
      <c r="AD56" s="163">
        <v>0</v>
      </c>
      <c r="AE56" s="163">
        <v>0</v>
      </c>
      <c r="AF56" s="163">
        <v>0</v>
      </c>
      <c r="AG56" s="163">
        <v>0</v>
      </c>
      <c r="AH56" s="163">
        <v>0</v>
      </c>
      <c r="AI56" s="163">
        <v>0</v>
      </c>
      <c r="AJ56" s="163">
        <v>0</v>
      </c>
      <c r="AK56" s="163" t="e">
        <v>#DIV/0!</v>
      </c>
      <c r="AL56" s="163" t="e">
        <v>#DIV/0!</v>
      </c>
      <c r="AM56" s="163" t="e">
        <v>#DIV/0!</v>
      </c>
      <c r="AN56" s="163" t="e">
        <v>#DIV/0!</v>
      </c>
      <c r="AO56" s="163" t="e">
        <v>#DIV/0!</v>
      </c>
      <c r="AP56" s="163" t="e">
        <v>#DIV/0!</v>
      </c>
      <c r="AQ56" s="164">
        <v>0</v>
      </c>
      <c r="AR56" s="167">
        <v>0</v>
      </c>
      <c r="AS56" s="167" t="e">
        <v>#DIV/0!</v>
      </c>
      <c r="AT56" s="167" t="e">
        <v>#DIV/0!</v>
      </c>
      <c r="AU56" s="164" t="e">
        <v>#DIV/0!</v>
      </c>
      <c r="AV56" s="167" t="e">
        <v>#DIV/0!</v>
      </c>
      <c r="AW56" s="167" t="e">
        <v>#DIV/0!</v>
      </c>
      <c r="AX56" s="167" t="e">
        <v>#DIV/0!</v>
      </c>
      <c r="AY56" s="165">
        <f t="shared" si="12"/>
        <v>0</v>
      </c>
      <c r="AZ56" s="165">
        <v>0</v>
      </c>
      <c r="BA56" s="165">
        <f t="shared" si="13"/>
        <v>0</v>
      </c>
      <c r="BB56" s="165">
        <v>0</v>
      </c>
      <c r="BC56" s="165" t="e">
        <f t="shared" si="14"/>
        <v>#DIV/0!</v>
      </c>
      <c r="BD56" s="165" t="e">
        <v>#DIV/0!</v>
      </c>
      <c r="BE56" s="165" t="e">
        <f t="shared" si="15"/>
        <v>#DIV/0!</v>
      </c>
      <c r="BF56" s="165" t="e">
        <v>#DIV/0!</v>
      </c>
      <c r="BG56" s="165" t="e">
        <f t="shared" si="16"/>
        <v>#DIV/0!</v>
      </c>
      <c r="BH56" s="165" t="e">
        <v>#DIV/0!</v>
      </c>
      <c r="BI56" s="165" t="e">
        <f t="shared" si="17"/>
        <v>#DIV/0!</v>
      </c>
      <c r="BJ56" s="165" t="e">
        <v>#DIV/0!</v>
      </c>
      <c r="BK56" s="165" t="e">
        <f t="shared" si="18"/>
        <v>#DIV/0!</v>
      </c>
      <c r="BL56" s="165" t="e">
        <v>#DIV/0!</v>
      </c>
      <c r="BM56" s="165" t="e">
        <f t="shared" si="19"/>
        <v>#DIV/0!</v>
      </c>
      <c r="BN56" s="165" t="e">
        <v>#DIV/0!</v>
      </c>
    </row>
    <row r="57" spans="1:66" ht="15.6" x14ac:dyDescent="0.3">
      <c r="A57" s="155">
        <v>8000</v>
      </c>
      <c r="B57" s="155">
        <v>9000</v>
      </c>
      <c r="C57" s="156">
        <v>0</v>
      </c>
      <c r="D57" s="156"/>
      <c r="E57" s="156"/>
      <c r="F57" s="156">
        <v>0</v>
      </c>
      <c r="G57" s="156"/>
      <c r="H57" s="156"/>
      <c r="I57" s="157">
        <v>0</v>
      </c>
      <c r="J57" s="157" t="e">
        <v>#DIV/0!</v>
      </c>
      <c r="K57" s="157"/>
      <c r="L57" s="157" t="e">
        <v>#N/A</v>
      </c>
      <c r="M57" s="157"/>
      <c r="N57" s="157"/>
      <c r="O57" s="146"/>
      <c r="P57" s="159" t="str">
        <f t="shared" si="11"/>
        <v>(8000, 9000]</v>
      </c>
      <c r="Q57" s="160" t="s">
        <v>66</v>
      </c>
      <c r="R57" s="157">
        <f t="shared" si="20"/>
        <v>0</v>
      </c>
      <c r="S57" s="161">
        <v>0</v>
      </c>
      <c r="T57" s="161">
        <v>0</v>
      </c>
      <c r="U57" s="161"/>
      <c r="V57" s="161"/>
      <c r="W57" s="161"/>
      <c r="X57" s="161"/>
      <c r="Y57" s="161"/>
      <c r="Z57" s="161"/>
      <c r="AA57" s="163">
        <v>0</v>
      </c>
      <c r="AB57" s="163">
        <v>0</v>
      </c>
      <c r="AC57" s="163">
        <v>0</v>
      </c>
      <c r="AD57" s="163">
        <v>0</v>
      </c>
      <c r="AE57" s="163">
        <v>0</v>
      </c>
      <c r="AF57" s="163">
        <v>0</v>
      </c>
      <c r="AG57" s="163">
        <v>0</v>
      </c>
      <c r="AH57" s="163">
        <v>0</v>
      </c>
      <c r="AI57" s="163">
        <v>0</v>
      </c>
      <c r="AJ57" s="163">
        <v>0</v>
      </c>
      <c r="AK57" s="163" t="e">
        <v>#DIV/0!</v>
      </c>
      <c r="AL57" s="163" t="e">
        <v>#DIV/0!</v>
      </c>
      <c r="AM57" s="163" t="e">
        <v>#DIV/0!</v>
      </c>
      <c r="AN57" s="163" t="e">
        <v>#DIV/0!</v>
      </c>
      <c r="AO57" s="163" t="e">
        <v>#DIV/0!</v>
      </c>
      <c r="AP57" s="163" t="e">
        <v>#DIV/0!</v>
      </c>
      <c r="AQ57" s="164">
        <v>0</v>
      </c>
      <c r="AR57" s="167">
        <v>0</v>
      </c>
      <c r="AS57" s="167" t="e">
        <v>#DIV/0!</v>
      </c>
      <c r="AT57" s="167" t="e">
        <v>#DIV/0!</v>
      </c>
      <c r="AU57" s="164" t="e">
        <v>#DIV/0!</v>
      </c>
      <c r="AV57" s="167" t="e">
        <v>#DIV/0!</v>
      </c>
      <c r="AW57" s="167" t="e">
        <v>#DIV/0!</v>
      </c>
      <c r="AX57" s="167" t="e">
        <v>#DIV/0!</v>
      </c>
      <c r="AY57" s="165">
        <f t="shared" si="12"/>
        <v>0</v>
      </c>
      <c r="AZ57" s="165">
        <v>0</v>
      </c>
      <c r="BA57" s="165">
        <f t="shared" si="13"/>
        <v>0</v>
      </c>
      <c r="BB57" s="165">
        <v>0</v>
      </c>
      <c r="BC57" s="165" t="e">
        <f t="shared" si="14"/>
        <v>#DIV/0!</v>
      </c>
      <c r="BD57" s="165" t="e">
        <v>#DIV/0!</v>
      </c>
      <c r="BE57" s="165" t="e">
        <f t="shared" si="15"/>
        <v>#DIV/0!</v>
      </c>
      <c r="BF57" s="165" t="e">
        <v>#DIV/0!</v>
      </c>
      <c r="BG57" s="165" t="e">
        <f t="shared" si="16"/>
        <v>#DIV/0!</v>
      </c>
      <c r="BH57" s="165" t="e">
        <v>#DIV/0!</v>
      </c>
      <c r="BI57" s="165" t="e">
        <f t="shared" si="17"/>
        <v>#DIV/0!</v>
      </c>
      <c r="BJ57" s="165" t="e">
        <v>#DIV/0!</v>
      </c>
      <c r="BK57" s="165" t="e">
        <f t="shared" si="18"/>
        <v>#DIV/0!</v>
      </c>
      <c r="BL57" s="165" t="e">
        <v>#DIV/0!</v>
      </c>
      <c r="BM57" s="165" t="e">
        <f t="shared" si="19"/>
        <v>#DIV/0!</v>
      </c>
      <c r="BN57" s="165" t="e">
        <v>#DIV/0!</v>
      </c>
    </row>
    <row r="58" spans="1:66" ht="15.6" x14ac:dyDescent="0.3">
      <c r="A58" s="155">
        <v>9000</v>
      </c>
      <c r="B58" s="155">
        <v>10000</v>
      </c>
      <c r="C58" s="156">
        <v>0</v>
      </c>
      <c r="D58" s="156"/>
      <c r="E58" s="156"/>
      <c r="F58" s="156">
        <v>0</v>
      </c>
      <c r="G58" s="156"/>
      <c r="H58" s="156"/>
      <c r="I58" s="157">
        <v>0</v>
      </c>
      <c r="J58" s="157" t="e">
        <v>#DIV/0!</v>
      </c>
      <c r="K58" s="157"/>
      <c r="L58" s="157" t="e">
        <v>#N/A</v>
      </c>
      <c r="M58" s="157"/>
      <c r="N58" s="157"/>
      <c r="O58" s="146"/>
      <c r="P58" s="159" t="str">
        <f t="shared" si="11"/>
        <v>(9000, 10000]</v>
      </c>
      <c r="Q58" s="160" t="s">
        <v>66</v>
      </c>
      <c r="R58" s="157">
        <f t="shared" si="20"/>
        <v>0</v>
      </c>
      <c r="S58" s="161">
        <v>0</v>
      </c>
      <c r="T58" s="161">
        <v>0</v>
      </c>
      <c r="U58" s="161"/>
      <c r="V58" s="161"/>
      <c r="W58" s="161"/>
      <c r="X58" s="161"/>
      <c r="Y58" s="161"/>
      <c r="Z58" s="161"/>
      <c r="AA58" s="163">
        <v>0</v>
      </c>
      <c r="AB58" s="163">
        <v>0</v>
      </c>
      <c r="AC58" s="163">
        <v>0</v>
      </c>
      <c r="AD58" s="163">
        <v>0</v>
      </c>
      <c r="AE58" s="163">
        <v>0</v>
      </c>
      <c r="AF58" s="163">
        <v>0</v>
      </c>
      <c r="AG58" s="163">
        <v>0</v>
      </c>
      <c r="AH58" s="163">
        <v>0</v>
      </c>
      <c r="AI58" s="163">
        <v>0</v>
      </c>
      <c r="AJ58" s="163">
        <v>0</v>
      </c>
      <c r="AK58" s="163" t="e">
        <v>#DIV/0!</v>
      </c>
      <c r="AL58" s="163" t="e">
        <v>#DIV/0!</v>
      </c>
      <c r="AM58" s="163" t="e">
        <v>#DIV/0!</v>
      </c>
      <c r="AN58" s="163" t="e">
        <v>#DIV/0!</v>
      </c>
      <c r="AO58" s="163" t="e">
        <v>#DIV/0!</v>
      </c>
      <c r="AP58" s="163" t="e">
        <v>#DIV/0!</v>
      </c>
      <c r="AQ58" s="164">
        <v>0</v>
      </c>
      <c r="AR58" s="167">
        <v>0</v>
      </c>
      <c r="AS58" s="167" t="e">
        <v>#DIV/0!</v>
      </c>
      <c r="AT58" s="167" t="e">
        <v>#DIV/0!</v>
      </c>
      <c r="AU58" s="164" t="e">
        <v>#DIV/0!</v>
      </c>
      <c r="AV58" s="167" t="e">
        <v>#DIV/0!</v>
      </c>
      <c r="AW58" s="167" t="e">
        <v>#DIV/0!</v>
      </c>
      <c r="AX58" s="167" t="e">
        <v>#DIV/0!</v>
      </c>
      <c r="AY58" s="165">
        <f t="shared" si="12"/>
        <v>0</v>
      </c>
      <c r="AZ58" s="165">
        <v>0</v>
      </c>
      <c r="BA58" s="165">
        <f t="shared" si="13"/>
        <v>0</v>
      </c>
      <c r="BB58" s="165">
        <v>0</v>
      </c>
      <c r="BC58" s="165" t="e">
        <f t="shared" si="14"/>
        <v>#DIV/0!</v>
      </c>
      <c r="BD58" s="165" t="e">
        <v>#DIV/0!</v>
      </c>
      <c r="BE58" s="165" t="e">
        <f t="shared" si="15"/>
        <v>#DIV/0!</v>
      </c>
      <c r="BF58" s="165" t="e">
        <v>#DIV/0!</v>
      </c>
      <c r="BG58" s="165" t="e">
        <f t="shared" si="16"/>
        <v>#DIV/0!</v>
      </c>
      <c r="BH58" s="165" t="e">
        <v>#DIV/0!</v>
      </c>
      <c r="BI58" s="165" t="e">
        <f t="shared" si="17"/>
        <v>#DIV/0!</v>
      </c>
      <c r="BJ58" s="165" t="e">
        <v>#DIV/0!</v>
      </c>
      <c r="BK58" s="165" t="e">
        <f t="shared" si="18"/>
        <v>#DIV/0!</v>
      </c>
      <c r="BL58" s="165" t="e">
        <v>#DIV/0!</v>
      </c>
      <c r="BM58" s="165" t="e">
        <f t="shared" si="19"/>
        <v>#DIV/0!</v>
      </c>
      <c r="BN58" s="165" t="e">
        <v>#DIV/0!</v>
      </c>
    </row>
    <row r="59" spans="1:66" ht="15.6" x14ac:dyDescent="0.3">
      <c r="A59" s="155">
        <v>10000</v>
      </c>
      <c r="B59" s="155">
        <v>20000</v>
      </c>
      <c r="C59" s="156">
        <v>0</v>
      </c>
      <c r="D59" s="156"/>
      <c r="E59" s="156"/>
      <c r="F59" s="156">
        <v>0</v>
      </c>
      <c r="G59" s="156"/>
      <c r="H59" s="156"/>
      <c r="I59" s="157">
        <v>0</v>
      </c>
      <c r="J59" s="157" t="e">
        <v>#DIV/0!</v>
      </c>
      <c r="K59" s="157"/>
      <c r="L59" s="157" t="e">
        <v>#N/A</v>
      </c>
      <c r="M59" s="157"/>
      <c r="N59" s="157"/>
      <c r="O59" s="146"/>
      <c r="P59" s="159" t="str">
        <f t="shared" si="11"/>
        <v>(10000, 20000]</v>
      </c>
      <c r="Q59" s="160" t="s">
        <v>66</v>
      </c>
      <c r="R59" s="157">
        <f t="shared" si="20"/>
        <v>0</v>
      </c>
      <c r="S59" s="161">
        <v>0</v>
      </c>
      <c r="T59" s="161">
        <v>0</v>
      </c>
      <c r="U59" s="161"/>
      <c r="V59" s="161"/>
      <c r="W59" s="161"/>
      <c r="X59" s="161"/>
      <c r="Y59" s="161"/>
      <c r="Z59" s="161"/>
      <c r="AA59" s="163">
        <v>0</v>
      </c>
      <c r="AB59" s="163">
        <v>0</v>
      </c>
      <c r="AC59" s="163">
        <v>0</v>
      </c>
      <c r="AD59" s="163">
        <v>0</v>
      </c>
      <c r="AE59" s="163">
        <v>0</v>
      </c>
      <c r="AF59" s="163">
        <v>0</v>
      </c>
      <c r="AG59" s="163">
        <v>0</v>
      </c>
      <c r="AH59" s="163">
        <v>0</v>
      </c>
      <c r="AI59" s="163">
        <v>0</v>
      </c>
      <c r="AJ59" s="163">
        <v>0</v>
      </c>
      <c r="AK59" s="163" t="e">
        <v>#DIV/0!</v>
      </c>
      <c r="AL59" s="163" t="e">
        <v>#DIV/0!</v>
      </c>
      <c r="AM59" s="163" t="e">
        <v>#DIV/0!</v>
      </c>
      <c r="AN59" s="163" t="e">
        <v>#DIV/0!</v>
      </c>
      <c r="AO59" s="163" t="e">
        <v>#DIV/0!</v>
      </c>
      <c r="AP59" s="163" t="e">
        <v>#DIV/0!</v>
      </c>
      <c r="AQ59" s="164">
        <v>0</v>
      </c>
      <c r="AR59" s="167">
        <v>0</v>
      </c>
      <c r="AS59" s="167" t="e">
        <v>#DIV/0!</v>
      </c>
      <c r="AT59" s="167" t="e">
        <v>#DIV/0!</v>
      </c>
      <c r="AU59" s="164" t="e">
        <v>#DIV/0!</v>
      </c>
      <c r="AV59" s="167" t="e">
        <v>#DIV/0!</v>
      </c>
      <c r="AW59" s="167" t="e">
        <v>#DIV/0!</v>
      </c>
      <c r="AX59" s="167" t="e">
        <v>#DIV/0!</v>
      </c>
      <c r="AY59" s="165">
        <f t="shared" si="12"/>
        <v>0</v>
      </c>
      <c r="AZ59" s="165">
        <v>0</v>
      </c>
      <c r="BA59" s="165">
        <f t="shared" si="13"/>
        <v>0</v>
      </c>
      <c r="BB59" s="165">
        <v>0</v>
      </c>
      <c r="BC59" s="165" t="e">
        <f t="shared" si="14"/>
        <v>#DIV/0!</v>
      </c>
      <c r="BD59" s="165" t="e">
        <v>#DIV/0!</v>
      </c>
      <c r="BE59" s="165" t="e">
        <f t="shared" si="15"/>
        <v>#DIV/0!</v>
      </c>
      <c r="BF59" s="165" t="e">
        <v>#DIV/0!</v>
      </c>
      <c r="BG59" s="165" t="e">
        <f t="shared" si="16"/>
        <v>#DIV/0!</v>
      </c>
      <c r="BH59" s="165" t="e">
        <v>#DIV/0!</v>
      </c>
      <c r="BI59" s="165" t="e">
        <f t="shared" si="17"/>
        <v>#DIV/0!</v>
      </c>
      <c r="BJ59" s="165" t="e">
        <v>#DIV/0!</v>
      </c>
      <c r="BK59" s="165" t="e">
        <f t="shared" si="18"/>
        <v>#DIV/0!</v>
      </c>
      <c r="BL59" s="165" t="e">
        <v>#DIV/0!</v>
      </c>
      <c r="BM59" s="165" t="e">
        <f t="shared" si="19"/>
        <v>#DIV/0!</v>
      </c>
      <c r="BN59" s="165" t="e">
        <v>#DIV/0!</v>
      </c>
    </row>
    <row r="60" spans="1:66" ht="15.6" x14ac:dyDescent="0.3">
      <c r="A60" s="155">
        <v>20000</v>
      </c>
      <c r="B60" s="155">
        <v>30000</v>
      </c>
      <c r="C60" s="156">
        <v>0</v>
      </c>
      <c r="D60" s="156"/>
      <c r="E60" s="156"/>
      <c r="F60" s="156">
        <v>0</v>
      </c>
      <c r="G60" s="156"/>
      <c r="H60" s="156"/>
      <c r="I60" s="157">
        <v>0</v>
      </c>
      <c r="J60" s="157" t="e">
        <v>#DIV/0!</v>
      </c>
      <c r="K60" s="157"/>
      <c r="L60" s="157" t="e">
        <v>#N/A</v>
      </c>
      <c r="M60" s="157"/>
      <c r="N60" s="157"/>
      <c r="O60" s="146"/>
      <c r="P60" s="159" t="str">
        <f t="shared" si="11"/>
        <v>(20000, 30000]</v>
      </c>
      <c r="Q60" s="160" t="s">
        <v>66</v>
      </c>
      <c r="R60" s="157">
        <f t="shared" si="20"/>
        <v>0</v>
      </c>
      <c r="S60" s="161">
        <v>0</v>
      </c>
      <c r="T60" s="161">
        <v>0</v>
      </c>
      <c r="U60" s="161"/>
      <c r="V60" s="161"/>
      <c r="W60" s="161"/>
      <c r="X60" s="161"/>
      <c r="Y60" s="161"/>
      <c r="Z60" s="161"/>
      <c r="AA60" s="163">
        <v>0</v>
      </c>
      <c r="AB60" s="163">
        <v>0</v>
      </c>
      <c r="AC60" s="163">
        <v>0</v>
      </c>
      <c r="AD60" s="163">
        <v>0</v>
      </c>
      <c r="AE60" s="163">
        <v>0</v>
      </c>
      <c r="AF60" s="163">
        <v>0</v>
      </c>
      <c r="AG60" s="163">
        <v>0</v>
      </c>
      <c r="AH60" s="163">
        <v>0</v>
      </c>
      <c r="AI60" s="163">
        <v>0</v>
      </c>
      <c r="AJ60" s="163">
        <v>0</v>
      </c>
      <c r="AK60" s="163" t="e">
        <v>#DIV/0!</v>
      </c>
      <c r="AL60" s="163" t="e">
        <v>#DIV/0!</v>
      </c>
      <c r="AM60" s="163" t="e">
        <v>#DIV/0!</v>
      </c>
      <c r="AN60" s="163" t="e">
        <v>#DIV/0!</v>
      </c>
      <c r="AO60" s="163" t="e">
        <v>#DIV/0!</v>
      </c>
      <c r="AP60" s="163" t="e">
        <v>#DIV/0!</v>
      </c>
      <c r="AQ60" s="164">
        <v>0</v>
      </c>
      <c r="AR60" s="167">
        <v>0</v>
      </c>
      <c r="AS60" s="167" t="e">
        <v>#DIV/0!</v>
      </c>
      <c r="AT60" s="167" t="e">
        <v>#DIV/0!</v>
      </c>
      <c r="AU60" s="164" t="e">
        <v>#DIV/0!</v>
      </c>
      <c r="AV60" s="167" t="e">
        <v>#DIV/0!</v>
      </c>
      <c r="AW60" s="167" t="e">
        <v>#DIV/0!</v>
      </c>
      <c r="AX60" s="167" t="e">
        <v>#DIV/0!</v>
      </c>
      <c r="AY60" s="165">
        <f t="shared" si="12"/>
        <v>0</v>
      </c>
      <c r="AZ60" s="165">
        <v>0</v>
      </c>
      <c r="BA60" s="165">
        <f t="shared" si="13"/>
        <v>0</v>
      </c>
      <c r="BB60" s="165">
        <v>0</v>
      </c>
      <c r="BC60" s="165" t="e">
        <f t="shared" si="14"/>
        <v>#DIV/0!</v>
      </c>
      <c r="BD60" s="165" t="e">
        <v>#DIV/0!</v>
      </c>
      <c r="BE60" s="165" t="e">
        <f t="shared" si="15"/>
        <v>#DIV/0!</v>
      </c>
      <c r="BF60" s="165" t="e">
        <v>#DIV/0!</v>
      </c>
      <c r="BG60" s="165" t="e">
        <f t="shared" si="16"/>
        <v>#DIV/0!</v>
      </c>
      <c r="BH60" s="165" t="e">
        <v>#DIV/0!</v>
      </c>
      <c r="BI60" s="165" t="e">
        <f t="shared" si="17"/>
        <v>#DIV/0!</v>
      </c>
      <c r="BJ60" s="165" t="e">
        <v>#DIV/0!</v>
      </c>
      <c r="BK60" s="165" t="e">
        <f t="shared" si="18"/>
        <v>#DIV/0!</v>
      </c>
      <c r="BL60" s="165" t="e">
        <v>#DIV/0!</v>
      </c>
      <c r="BM60" s="165" t="e">
        <f t="shared" si="19"/>
        <v>#DIV/0!</v>
      </c>
      <c r="BN60" s="165" t="e">
        <v>#DIV/0!</v>
      </c>
    </row>
    <row r="61" spans="1:66" ht="15.6" x14ac:dyDescent="0.3">
      <c r="A61" s="155">
        <v>30000</v>
      </c>
      <c r="B61" s="155">
        <v>99999999</v>
      </c>
      <c r="C61" s="156"/>
      <c r="D61" s="156"/>
      <c r="E61" s="156"/>
      <c r="F61" s="156"/>
      <c r="G61" s="156"/>
      <c r="H61" s="156"/>
      <c r="I61" s="157">
        <v>0</v>
      </c>
      <c r="J61" s="157" t="e">
        <v>#DIV/0!</v>
      </c>
      <c r="K61" s="157"/>
      <c r="L61" s="157" t="e">
        <v>#N/A</v>
      </c>
      <c r="M61" s="157"/>
      <c r="N61" s="157"/>
      <c r="O61" s="146"/>
      <c r="P61" s="159" t="str">
        <f t="shared" si="11"/>
        <v>(30000, 99999999]</v>
      </c>
      <c r="Q61" s="160" t="s">
        <v>66</v>
      </c>
      <c r="R61" s="157">
        <f t="shared" si="20"/>
        <v>0</v>
      </c>
      <c r="S61" s="161">
        <v>0</v>
      </c>
      <c r="T61" s="161">
        <v>0</v>
      </c>
      <c r="U61" s="161"/>
      <c r="V61" s="161"/>
      <c r="W61" s="161"/>
      <c r="X61" s="161"/>
      <c r="Y61" s="161"/>
      <c r="Z61" s="161"/>
      <c r="AA61" s="163">
        <v>0</v>
      </c>
      <c r="AB61" s="163">
        <v>0</v>
      </c>
      <c r="AC61" s="163">
        <v>0</v>
      </c>
      <c r="AD61" s="163">
        <v>0</v>
      </c>
      <c r="AE61" s="163">
        <v>0</v>
      </c>
      <c r="AF61" s="163">
        <v>0</v>
      </c>
      <c r="AG61" s="163">
        <v>0</v>
      </c>
      <c r="AH61" s="163">
        <v>0</v>
      </c>
      <c r="AI61" s="163">
        <v>0</v>
      </c>
      <c r="AJ61" s="163">
        <v>0</v>
      </c>
      <c r="AK61" s="163" t="e">
        <v>#DIV/0!</v>
      </c>
      <c r="AL61" s="163" t="e">
        <v>#DIV/0!</v>
      </c>
      <c r="AM61" s="163" t="e">
        <v>#DIV/0!</v>
      </c>
      <c r="AN61" s="163" t="e">
        <v>#DIV/0!</v>
      </c>
      <c r="AO61" s="163" t="e">
        <v>#DIV/0!</v>
      </c>
      <c r="AP61" s="163" t="e">
        <v>#DIV/0!</v>
      </c>
      <c r="AQ61" s="164">
        <v>0</v>
      </c>
      <c r="AR61" s="167">
        <v>0</v>
      </c>
      <c r="AS61" s="167" t="e">
        <v>#DIV/0!</v>
      </c>
      <c r="AT61" s="167" t="e">
        <v>#DIV/0!</v>
      </c>
      <c r="AU61" s="164" t="e">
        <v>#DIV/0!</v>
      </c>
      <c r="AV61" s="167" t="e">
        <v>#DIV/0!</v>
      </c>
      <c r="AW61" s="167" t="e">
        <v>#DIV/0!</v>
      </c>
      <c r="AX61" s="167" t="e">
        <v>#DIV/0!</v>
      </c>
      <c r="AY61" s="165">
        <f t="shared" si="12"/>
        <v>0</v>
      </c>
      <c r="AZ61" s="165">
        <v>0</v>
      </c>
      <c r="BA61" s="165">
        <f t="shared" si="13"/>
        <v>0</v>
      </c>
      <c r="BB61" s="165">
        <v>0</v>
      </c>
      <c r="BC61" s="165" t="e">
        <f t="shared" si="14"/>
        <v>#DIV/0!</v>
      </c>
      <c r="BD61" s="165" t="e">
        <v>#DIV/0!</v>
      </c>
      <c r="BE61" s="165" t="e">
        <f t="shared" si="15"/>
        <v>#DIV/0!</v>
      </c>
      <c r="BF61" s="165" t="e">
        <v>#DIV/0!</v>
      </c>
      <c r="BG61" s="165" t="e">
        <f t="shared" si="16"/>
        <v>#DIV/0!</v>
      </c>
      <c r="BH61" s="165" t="e">
        <v>#DIV/0!</v>
      </c>
      <c r="BI61" s="165" t="e">
        <f t="shared" si="17"/>
        <v>#DIV/0!</v>
      </c>
      <c r="BJ61" s="165" t="e">
        <v>#DIV/0!</v>
      </c>
      <c r="BK61" s="165" t="e">
        <f t="shared" si="18"/>
        <v>#DIV/0!</v>
      </c>
      <c r="BL61" s="165" t="e">
        <v>#DIV/0!</v>
      </c>
      <c r="BM61" s="165" t="e">
        <f t="shared" si="19"/>
        <v>#DIV/0!</v>
      </c>
      <c r="BN61" s="165" t="e">
        <v>#DIV/0!</v>
      </c>
    </row>
    <row r="62" spans="1:66" ht="15.6" x14ac:dyDescent="0.3">
      <c r="A62" s="155" t="s">
        <v>72</v>
      </c>
      <c r="B62" s="168">
        <f>C62/SUM(C5:C62)</f>
        <v>2.2673877422939723E-2</v>
      </c>
      <c r="C62" s="156">
        <v>2284457</v>
      </c>
      <c r="D62" s="147"/>
      <c r="E62" s="147"/>
      <c r="F62" s="169">
        <v>57058864500</v>
      </c>
      <c r="G62" s="147"/>
      <c r="H62" s="147"/>
      <c r="I62" s="147"/>
      <c r="J62" s="147"/>
      <c r="K62" s="147"/>
      <c r="L62" s="147"/>
      <c r="M62" s="147"/>
      <c r="N62" s="146"/>
      <c r="O62" s="146"/>
      <c r="P62" s="159" t="s">
        <v>72</v>
      </c>
      <c r="Q62" s="160" t="s">
        <v>66</v>
      </c>
      <c r="R62" s="157">
        <f>B62</f>
        <v>2.2673877422939723E-2</v>
      </c>
      <c r="S62" s="161">
        <v>0.3</v>
      </c>
      <c r="T62" s="161">
        <v>0.28000000000000003</v>
      </c>
      <c r="U62" s="161"/>
      <c r="V62" s="161"/>
      <c r="W62" s="161"/>
      <c r="X62" s="161"/>
      <c r="Y62" s="161"/>
      <c r="Z62" s="161"/>
      <c r="AA62" s="157">
        <v>6.8021632268819169E-3</v>
      </c>
      <c r="AB62" s="157">
        <v>6.348685678423123E-3</v>
      </c>
      <c r="AC62" s="157">
        <v>0</v>
      </c>
      <c r="AD62" s="157">
        <v>0</v>
      </c>
      <c r="AE62" s="157">
        <v>0</v>
      </c>
      <c r="AF62" s="157">
        <v>0</v>
      </c>
      <c r="AG62" s="157">
        <v>0</v>
      </c>
      <c r="AH62" s="157">
        <v>0</v>
      </c>
      <c r="AI62" s="157">
        <f t="shared" ref="AI62:AP62" si="21">AA62</f>
        <v>6.8021632268819169E-3</v>
      </c>
      <c r="AJ62" s="157">
        <f t="shared" si="21"/>
        <v>6.348685678423123E-3</v>
      </c>
      <c r="AK62" s="157">
        <f t="shared" si="21"/>
        <v>0</v>
      </c>
      <c r="AL62" s="157">
        <f t="shared" si="21"/>
        <v>0</v>
      </c>
      <c r="AM62" s="157">
        <f t="shared" si="21"/>
        <v>0</v>
      </c>
      <c r="AN62" s="157">
        <f t="shared" si="21"/>
        <v>0</v>
      </c>
      <c r="AO62" s="157">
        <f t="shared" si="21"/>
        <v>0</v>
      </c>
      <c r="AP62" s="157">
        <f t="shared" si="21"/>
        <v>0</v>
      </c>
      <c r="AQ62" s="164">
        <v>6802163</v>
      </c>
      <c r="AR62" s="164">
        <v>6348685</v>
      </c>
      <c r="AS62" s="164">
        <v>0</v>
      </c>
      <c r="AT62" s="164">
        <v>0</v>
      </c>
      <c r="AU62" s="164">
        <v>0</v>
      </c>
      <c r="AV62" s="164">
        <v>0</v>
      </c>
      <c r="AW62" s="164">
        <v>0</v>
      </c>
      <c r="AX62" s="164">
        <v>0</v>
      </c>
      <c r="AY62" s="166">
        <f>F62/C62/30000*AQ62/AQ3</f>
        <v>5.6632523895746118E-3</v>
      </c>
      <c r="AZ62" s="166">
        <v>6.802163E-3</v>
      </c>
      <c r="BA62" s="166">
        <f>F62/C62/30000*AR62/AQ3</f>
        <v>5.2857018417386487E-3</v>
      </c>
      <c r="BB62" s="166">
        <v>6.3486849999999997E-3</v>
      </c>
      <c r="BC62" s="166">
        <f>F62/C62/500*AS62/AQ3</f>
        <v>0</v>
      </c>
      <c r="BD62" s="166" t="e">
        <v>#DIV/0!</v>
      </c>
      <c r="BE62" s="166">
        <f>F62/C62/500*AT62/AQ3</f>
        <v>0</v>
      </c>
      <c r="BF62" s="166" t="e">
        <v>#DIV/0!</v>
      </c>
      <c r="BG62" s="166">
        <f>F62/C62/500*AU62/AQ3</f>
        <v>0</v>
      </c>
      <c r="BH62" s="166" t="e">
        <v>#DIV/0!</v>
      </c>
      <c r="BI62" s="166">
        <f>F62/C62/500*AV62/AQ3</f>
        <v>0</v>
      </c>
      <c r="BJ62" s="166" t="e">
        <v>#DIV/0!</v>
      </c>
      <c r="BK62" s="166">
        <f>F62/C62/500*AW62/AQ3</f>
        <v>0</v>
      </c>
      <c r="BL62" s="166" t="e">
        <v>#DIV/0!</v>
      </c>
      <c r="BM62" s="166">
        <f>F62/C62/500*AX62/AQ3</f>
        <v>0</v>
      </c>
      <c r="BN62" s="166" t="e">
        <v>#DIV/0!</v>
      </c>
    </row>
    <row r="63" spans="1:66" ht="15.6" x14ac:dyDescent="0.3">
      <c r="A63" s="170"/>
      <c r="B63" s="146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6"/>
      <c r="O63" s="146"/>
      <c r="P63" s="148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71"/>
      <c r="BC63" s="146"/>
      <c r="BD63" s="146"/>
      <c r="BE63" s="146"/>
      <c r="BF63" s="146"/>
      <c r="BG63" s="146"/>
      <c r="BH63" s="146"/>
      <c r="BI63" s="146"/>
      <c r="BJ63" s="171"/>
      <c r="BK63" s="146"/>
      <c r="BL63" s="146"/>
      <c r="BM63" s="146"/>
      <c r="BN63" s="146"/>
    </row>
    <row r="64" spans="1:66" x14ac:dyDescent="0.3">
      <c r="A64" s="146"/>
      <c r="B64" s="146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6"/>
      <c r="O64" s="146"/>
      <c r="P64" s="148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50" t="s">
        <v>153</v>
      </c>
      <c r="BA64" s="146"/>
      <c r="BB64" s="150" t="s">
        <v>154</v>
      </c>
      <c r="BC64" s="146"/>
      <c r="BD64" s="150" t="s">
        <v>198</v>
      </c>
      <c r="BE64" s="146"/>
      <c r="BF64" s="150" t="s">
        <v>198</v>
      </c>
      <c r="BG64" s="146"/>
      <c r="BH64" s="150" t="s">
        <v>198</v>
      </c>
      <c r="BI64" s="146"/>
      <c r="BJ64" s="150" t="s">
        <v>198</v>
      </c>
      <c r="BK64" s="146"/>
      <c r="BL64" s="150" t="s">
        <v>198</v>
      </c>
      <c r="BM64" s="146"/>
      <c r="BN64" s="150" t="s">
        <v>198</v>
      </c>
    </row>
    <row r="65" spans="1:66" x14ac:dyDescent="0.3">
      <c r="A65" s="231" t="s">
        <v>57</v>
      </c>
      <c r="B65" s="231" t="s">
        <v>58</v>
      </c>
      <c r="C65" s="225" t="s">
        <v>59</v>
      </c>
      <c r="D65" s="226"/>
      <c r="E65" s="227"/>
      <c r="F65" s="225" t="s">
        <v>60</v>
      </c>
      <c r="G65" s="226"/>
      <c r="H65" s="227"/>
      <c r="I65" s="225" t="s">
        <v>61</v>
      </c>
      <c r="J65" s="226"/>
      <c r="K65" s="227"/>
      <c r="L65" s="225" t="s">
        <v>62</v>
      </c>
      <c r="M65" s="226"/>
      <c r="N65" s="227"/>
      <c r="O65" s="146"/>
      <c r="P65" s="224" t="s">
        <v>63</v>
      </c>
      <c r="Q65" s="225" t="s">
        <v>73</v>
      </c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7"/>
      <c r="AI65" s="228" t="s">
        <v>65</v>
      </c>
      <c r="AJ65" s="229"/>
      <c r="AK65" s="229"/>
      <c r="AL65" s="229"/>
      <c r="AM65" s="229"/>
      <c r="AN65" s="229"/>
      <c r="AO65" s="229"/>
      <c r="AP65" s="230"/>
      <c r="AQ65" s="221">
        <f>10^9</f>
        <v>1000000000</v>
      </c>
      <c r="AR65" s="222"/>
      <c r="AS65" s="222"/>
      <c r="AT65" s="222"/>
      <c r="AU65" s="222"/>
      <c r="AV65" s="222"/>
      <c r="AW65" s="222"/>
      <c r="AX65" s="223"/>
      <c r="AY65" s="152" t="s">
        <v>133</v>
      </c>
      <c r="AZ65" s="153">
        <f>SUM(AY67:AY125)*AZ62</f>
        <v>0.43966281055459605</v>
      </c>
      <c r="BA65" s="152" t="s">
        <v>134</v>
      </c>
      <c r="BB65" s="153">
        <f>SUM(BA67:BA125)*BB62</f>
        <v>0.41230503138054359</v>
      </c>
      <c r="BC65" s="152" t="s">
        <v>135</v>
      </c>
      <c r="BD65" s="153" t="e">
        <f>SUM(BC67:BC125)*BD62</f>
        <v>#DIV/0!</v>
      </c>
      <c r="BE65" s="152" t="s">
        <v>135</v>
      </c>
      <c r="BF65" s="153" t="e">
        <f>SUM(BE67:BE125)*BF62</f>
        <v>#DIV/0!</v>
      </c>
      <c r="BG65" s="152" t="s">
        <v>222</v>
      </c>
      <c r="BH65" s="153" t="e">
        <f>SUM(BG67:BG125)*BH62</f>
        <v>#DIV/0!</v>
      </c>
      <c r="BI65" s="152" t="s">
        <v>223</v>
      </c>
      <c r="BJ65" s="153" t="e">
        <f>SUM(BI67:BI125)*BJ62</f>
        <v>#DIV/0!</v>
      </c>
      <c r="BK65" s="152" t="s">
        <v>224</v>
      </c>
      <c r="BL65" s="153" t="e">
        <f>SUM(BK67:BK125)*BL62</f>
        <v>#DIV/0!</v>
      </c>
      <c r="BM65" s="152" t="s">
        <v>224</v>
      </c>
      <c r="BN65" s="153" t="e">
        <f>SUM(BM67:BM125)*BN62</f>
        <v>#DIV/0!</v>
      </c>
    </row>
    <row r="66" spans="1:66" x14ac:dyDescent="0.3">
      <c r="A66" s="232"/>
      <c r="B66" s="232"/>
      <c r="C66" s="154" t="s">
        <v>136</v>
      </c>
      <c r="D66" s="154" t="s">
        <v>137</v>
      </c>
      <c r="E66" s="154" t="s">
        <v>138</v>
      </c>
      <c r="F66" s="154" t="s">
        <v>136</v>
      </c>
      <c r="G66" s="154" t="s">
        <v>137</v>
      </c>
      <c r="H66" s="154" t="s">
        <v>138</v>
      </c>
      <c r="I66" s="154" t="s">
        <v>136</v>
      </c>
      <c r="J66" s="154" t="s">
        <v>137</v>
      </c>
      <c r="K66" s="154" t="s">
        <v>138</v>
      </c>
      <c r="L66" s="154" t="s">
        <v>136</v>
      </c>
      <c r="M66" s="154" t="s">
        <v>137</v>
      </c>
      <c r="N66" s="154" t="s">
        <v>138</v>
      </c>
      <c r="O66" s="146"/>
      <c r="P66" s="224"/>
      <c r="Q66" s="154" t="s">
        <v>69</v>
      </c>
      <c r="R66" s="154" t="s">
        <v>70</v>
      </c>
      <c r="S66" s="154" t="s">
        <v>121</v>
      </c>
      <c r="T66" s="154" t="s">
        <v>122</v>
      </c>
      <c r="U66" s="154" t="s">
        <v>123</v>
      </c>
      <c r="V66" s="154" t="s">
        <v>204</v>
      </c>
      <c r="W66" s="154" t="s">
        <v>225</v>
      </c>
      <c r="X66" s="154" t="s">
        <v>226</v>
      </c>
      <c r="Y66" s="154" t="s">
        <v>227</v>
      </c>
      <c r="Z66" s="154" t="s">
        <v>228</v>
      </c>
      <c r="AA66" s="154" t="s">
        <v>124</v>
      </c>
      <c r="AB66" s="154" t="s">
        <v>125</v>
      </c>
      <c r="AC66" s="154" t="s">
        <v>126</v>
      </c>
      <c r="AD66" s="154" t="s">
        <v>209</v>
      </c>
      <c r="AE66" s="154" t="s">
        <v>229</v>
      </c>
      <c r="AF66" s="154" t="s">
        <v>230</v>
      </c>
      <c r="AG66" s="154" t="s">
        <v>231</v>
      </c>
      <c r="AH66" s="154" t="s">
        <v>232</v>
      </c>
      <c r="AI66" s="154" t="s">
        <v>127</v>
      </c>
      <c r="AJ66" s="154" t="s">
        <v>128</v>
      </c>
      <c r="AK66" s="154" t="s">
        <v>129</v>
      </c>
      <c r="AL66" s="154" t="s">
        <v>210</v>
      </c>
      <c r="AM66" s="154" t="s">
        <v>211</v>
      </c>
      <c r="AN66" s="154" t="s">
        <v>212</v>
      </c>
      <c r="AO66" s="154" t="s">
        <v>213</v>
      </c>
      <c r="AP66" s="154" t="s">
        <v>214</v>
      </c>
      <c r="AQ66" s="154" t="s">
        <v>130</v>
      </c>
      <c r="AR66" s="154" t="s">
        <v>131</v>
      </c>
      <c r="AS66" s="154" t="s">
        <v>132</v>
      </c>
      <c r="AT66" s="154" t="s">
        <v>215</v>
      </c>
      <c r="AU66" s="154" t="s">
        <v>216</v>
      </c>
      <c r="AV66" s="154" t="s">
        <v>217</v>
      </c>
      <c r="AW66" s="154" t="s">
        <v>218</v>
      </c>
      <c r="AX66" s="154" t="s">
        <v>219</v>
      </c>
      <c r="AY66" s="154" t="s">
        <v>62</v>
      </c>
      <c r="AZ66" s="154" t="s">
        <v>71</v>
      </c>
      <c r="BA66" s="154" t="s">
        <v>62</v>
      </c>
      <c r="BB66" s="154" t="s">
        <v>71</v>
      </c>
      <c r="BC66" s="154" t="s">
        <v>62</v>
      </c>
      <c r="BD66" s="154" t="s">
        <v>71</v>
      </c>
      <c r="BE66" s="154" t="s">
        <v>62</v>
      </c>
      <c r="BF66" s="154" t="s">
        <v>71</v>
      </c>
      <c r="BG66" s="154" t="s">
        <v>220</v>
      </c>
      <c r="BH66" s="154" t="s">
        <v>221</v>
      </c>
      <c r="BI66" s="154" t="s">
        <v>220</v>
      </c>
      <c r="BJ66" s="154" t="s">
        <v>221</v>
      </c>
      <c r="BK66" s="154" t="s">
        <v>220</v>
      </c>
      <c r="BL66" s="154" t="s">
        <v>221</v>
      </c>
      <c r="BM66" s="154" t="s">
        <v>220</v>
      </c>
      <c r="BN66" s="154" t="s">
        <v>221</v>
      </c>
    </row>
    <row r="67" spans="1:66" ht="15.6" x14ac:dyDescent="0.3">
      <c r="A67" s="155">
        <v>-1</v>
      </c>
      <c r="B67" s="155">
        <v>0</v>
      </c>
      <c r="C67" s="156">
        <v>6070</v>
      </c>
      <c r="D67" s="156"/>
      <c r="E67" s="156"/>
      <c r="F67" s="156">
        <v>0</v>
      </c>
      <c r="G67" s="156"/>
      <c r="H67" s="172"/>
      <c r="I67" s="157" cm="1">
        <f t="array" ref="I67:I125">_xlfn.LET(_xlpm.x, C67:C125, _xlpm.x/SUM(_xlpm.x))</f>
        <v>2.664165481983526E-3</v>
      </c>
      <c r="J67" s="157" t="e" cm="1">
        <f t="array" ref="J67:J125">_xlfn.LET(_xlpm.x, D67:D125, _xlpm.x/SUM(_xlpm.x))</f>
        <v>#DIV/0!</v>
      </c>
      <c r="K67" s="157"/>
      <c r="L67" s="157" cm="1">
        <f t="array" ref="L67:L125">F67:F125/C67:C125/30000</f>
        <v>0</v>
      </c>
      <c r="M67" s="158"/>
      <c r="N67" s="157"/>
      <c r="O67" s="146"/>
      <c r="P67" s="159" t="str">
        <f t="shared" ref="P67:P98" si="22">"("&amp;$A67&amp;", "&amp;$B67&amp;"]"</f>
        <v>(-1, 0]</v>
      </c>
      <c r="Q67" s="160" t="s">
        <v>139</v>
      </c>
      <c r="R67" s="157">
        <f t="shared" ref="R67:R98" si="23">_xlfn.SINGLE(_xlfn.XLOOKUP(Q67, $I$66:$K$66, I67:K67))</f>
        <v>2.664165481983526E-3</v>
      </c>
      <c r="S67" s="162">
        <v>0</v>
      </c>
      <c r="T67" s="162">
        <v>0</v>
      </c>
      <c r="U67" s="162"/>
      <c r="V67" s="162"/>
      <c r="W67" s="162"/>
      <c r="X67" s="162"/>
      <c r="Y67" s="162"/>
      <c r="Z67" s="162"/>
      <c r="AA67" s="163" cm="1">
        <f t="array" ref="AA67:AA125">$R67:$R125*S67:S125</f>
        <v>0</v>
      </c>
      <c r="AB67" s="163" cm="1">
        <f t="array" ref="AB67:AB125">$R67:$R125*T67:T125</f>
        <v>0</v>
      </c>
      <c r="AC67" s="163" cm="1">
        <f t="array" ref="AC67:AC125">$R67:$R125*U67:U125</f>
        <v>0</v>
      </c>
      <c r="AD67" s="163" cm="1">
        <f t="array" ref="AD67:AD125">$R67:$R125*V67:V125</f>
        <v>0</v>
      </c>
      <c r="AE67" s="163" cm="1">
        <f t="array" ref="AE67:AE125">$R67:$R125*W67:W125</f>
        <v>0</v>
      </c>
      <c r="AF67" s="163" cm="1">
        <f t="array" ref="AF67:AF125">$R67:$R125*X67:X125</f>
        <v>0</v>
      </c>
      <c r="AG67" s="163" cm="1">
        <f t="array" ref="AG67:AG125">$R67:$R125*Y67:Y125</f>
        <v>0</v>
      </c>
      <c r="AH67" s="163" cm="1">
        <f t="array" ref="AH67:AH125">$R67:$R125*Z67:Z125</f>
        <v>0</v>
      </c>
      <c r="AI67" s="163" cm="1">
        <f t="array" ref="AI67:AI125">_xlfn.LET(_xlpm.x,_xlfn.ANCHORARRAY( AA67), _xlpm.x/SUM(_xlpm.x))</f>
        <v>0</v>
      </c>
      <c r="AJ67" s="163" cm="1">
        <f t="array" ref="AJ67:AJ125">_xlfn.LET(_xlpm.x,_xlfn.ANCHORARRAY( AB67), _xlpm.x/SUM(_xlpm.x))</f>
        <v>0</v>
      </c>
      <c r="AK67" s="163" t="e" cm="1">
        <f t="array" ref="AK67:AK125">_xlfn.LET(_xlpm.x,_xlfn.ANCHORARRAY( AC67), _xlpm.x/SUM(_xlpm.x))</f>
        <v>#DIV/0!</v>
      </c>
      <c r="AL67" s="163" t="e" cm="1">
        <f t="array" ref="AL67:AL125">_xlfn.LET(_xlpm.x,_xlfn.ANCHORARRAY( AD67), _xlpm.x/SUM(_xlpm.x))</f>
        <v>#DIV/0!</v>
      </c>
      <c r="AM67" s="163" t="e" cm="1">
        <f t="array" ref="AM67:AM125">_xlfn.LET(_xlpm.x,_xlfn.ANCHORARRAY( AE67), _xlpm.x/SUM(_xlpm.x))</f>
        <v>#DIV/0!</v>
      </c>
      <c r="AN67" s="163" t="e" cm="1">
        <f t="array" ref="AN67:AN125">_xlfn.LET(_xlpm.x,_xlfn.ANCHORARRAY( AF67), _xlpm.x/SUM(_xlpm.x))</f>
        <v>#DIV/0!</v>
      </c>
      <c r="AO67" s="163" t="e" cm="1">
        <f t="array" ref="AO67:AO125">_xlfn.LET(_xlpm.x,_xlfn.ANCHORARRAY( AG67), _xlpm.x/SUM(_xlpm.x))</f>
        <v>#DIV/0!</v>
      </c>
      <c r="AP67" s="163" t="e" cm="1">
        <f t="array" ref="AP67:AP125">_xlfn.LET(_xlpm.x,_xlfn.ANCHORARRAY( AH67), _xlpm.x/SUM(_xlpm.x))</f>
        <v>#DIV/0!</v>
      </c>
      <c r="AQ67" s="164">
        <f t="shared" ref="AQ67:AQ98" si="24">INT(AI67*$AQ$65)</f>
        <v>0</v>
      </c>
      <c r="AR67" s="164">
        <f t="shared" ref="AR67:AR98" si="25">INT(AJ67*$AQ$65)</f>
        <v>0</v>
      </c>
      <c r="AS67" s="164" t="e">
        <f t="shared" ref="AS67:AS98" si="26">INT(AK67*$AQ$65)</f>
        <v>#DIV/0!</v>
      </c>
      <c r="AT67" s="164" t="e">
        <f t="shared" ref="AT67:AT98" si="27">INT(AL67*$AQ$65)</f>
        <v>#DIV/0!</v>
      </c>
      <c r="AU67" s="164" t="e">
        <f t="shared" ref="AU67:AU98" si="28">INT(AM67*$AQ$65)</f>
        <v>#DIV/0!</v>
      </c>
      <c r="AV67" s="164" t="e">
        <f t="shared" ref="AV67:AV98" si="29">INT(AN67*$AQ$65)</f>
        <v>#DIV/0!</v>
      </c>
      <c r="AW67" s="164" t="e">
        <f t="shared" ref="AW67:AW98" si="30">INT(AO67*$AQ$65)</f>
        <v>#DIV/0!</v>
      </c>
      <c r="AX67" s="164" t="e">
        <f t="shared" ref="AX67:AX98" si="31">INT(AP67*$AQ$65)</f>
        <v>#DIV/0!</v>
      </c>
      <c r="AY67" s="165">
        <f t="shared" ref="AY67:AY98" si="32">_xlfn.LET(_xlpm.x, _xlfn.XLOOKUP($Q67, $L$66:$N$66, $L67:$N67), IF(ISERROR(_xlpm.x), 0, _xlpm.x)*AQ67/$AQ$65)</f>
        <v>0</v>
      </c>
      <c r="AZ67" s="165" cm="1">
        <f t="array" ref="AZ67:AZ125">_xlfn.LET(_xlpm.x, AQ67:AQ125, _xlpm.x/SUM(_xlpm.x))</f>
        <v>0</v>
      </c>
      <c r="BA67" s="165">
        <f t="shared" ref="BA67:BA98" si="33">_xlfn.LET(_xlpm.x, _xlfn.XLOOKUP($Q67, $L$66:$N$66, $L67:$N67), IF(ISERROR(_xlpm.x), 0, _xlpm.x)*AR67/$AQ$65)</f>
        <v>0</v>
      </c>
      <c r="BB67" s="165" cm="1">
        <f t="array" ref="BB67:BB125">_xlfn.LET(_xlpm.x, AR67:AR125, _xlpm.x/SUM(_xlpm.x))</f>
        <v>0</v>
      </c>
      <c r="BC67" s="165" t="e">
        <f t="shared" ref="BC67:BC98" si="34">_xlfn.LET(_xlpm.x, _xlfn.XLOOKUP($Q67, $L$66:$N$66, $L67:$N67), IF(ISERROR(_xlpm.x), 0, _xlpm.x)*AS67/$AQ$65)</f>
        <v>#DIV/0!</v>
      </c>
      <c r="BD67" s="165" t="e" cm="1">
        <f t="array" ref="BD67:BD125">_xlfn.LET(_xlpm.x, AS67:AS125, _xlpm.x/SUM(_xlpm.x))</f>
        <v>#DIV/0!</v>
      </c>
      <c r="BE67" s="165" t="e">
        <f t="shared" ref="BE67:BE98" si="35">_xlfn.LET(_xlpm.x, _xlfn.XLOOKUP($Q67, $L$66:$N$66, $L67:$N67), IF(ISERROR(_xlpm.x), 0, _xlpm.x)*AT67/$AQ$65)</f>
        <v>#DIV/0!</v>
      </c>
      <c r="BF67" s="165" t="e" cm="1">
        <f t="array" ref="BF67:BF125">_xlfn.LET(_xlpm.x, AT67:AT125, _xlpm.x/SUM(_xlpm.x))</f>
        <v>#DIV/0!</v>
      </c>
      <c r="BG67" s="165" t="e">
        <f t="shared" ref="BG67:BG98" si="36">_xlfn.LET(_xlpm.x, _xlfn.XLOOKUP($Q67, $L$66:$N$66, $L67:$N67), IF(ISERROR(_xlpm.x), 0, _xlpm.x)*AU67/$AQ$65)</f>
        <v>#DIV/0!</v>
      </c>
      <c r="BH67" s="165" t="e" cm="1">
        <f t="array" ref="BH67:BH125">_xlfn.LET(_xlpm.x, AU67:AU125, _xlpm.x/SUM(_xlpm.x))</f>
        <v>#DIV/0!</v>
      </c>
      <c r="BI67" s="165" t="e">
        <f t="shared" ref="BI67:BI98" si="37">_xlfn.LET(_xlpm.x, _xlfn.XLOOKUP($Q67, $L$66:$N$66, $L67:$N67), IF(ISERROR(_xlpm.x), 0, _xlpm.x)*AV67/$AQ$65)</f>
        <v>#DIV/0!</v>
      </c>
      <c r="BJ67" s="165" t="e" cm="1">
        <f t="array" ref="BJ67:BJ125">_xlfn.LET(_xlpm.x, AV67:AV125, _xlpm.x/SUM(_xlpm.x))</f>
        <v>#DIV/0!</v>
      </c>
      <c r="BK67" s="165" t="e">
        <f t="shared" ref="BK67:BK98" si="38">_xlfn.LET(_xlpm.x, _xlfn.XLOOKUP($Q67, $L$66:$N$66, $L67:$N67), IF(ISERROR(_xlpm.x), 0, _xlpm.x)*AW67/$AQ$65)</f>
        <v>#DIV/0!</v>
      </c>
      <c r="BL67" s="165" t="e" cm="1">
        <f t="array" ref="BL67:BL125">_xlfn.LET(_xlpm.x, AW67:AW125, _xlpm.x/SUM(_xlpm.x))</f>
        <v>#DIV/0!</v>
      </c>
      <c r="BM67" s="165" t="e">
        <f t="shared" ref="BM67:BM98" si="39">_xlfn.LET(_xlpm.x, _xlfn.XLOOKUP($Q67, $L$66:$N$66, $L67:$N67), IF(ISERROR(_xlpm.x), 0, _xlpm.x)*AX67/$AQ$65)</f>
        <v>#DIV/0!</v>
      </c>
      <c r="BN67" s="165" t="e" cm="1">
        <f t="array" ref="BN67:BN125">_xlfn.LET(_xlpm.x, AX67:AX125, _xlpm.x/SUM(_xlpm.x))</f>
        <v>#DIV/0!</v>
      </c>
    </row>
    <row r="68" spans="1:66" ht="15.6" x14ac:dyDescent="0.3">
      <c r="A68" s="155">
        <v>0</v>
      </c>
      <c r="B68" s="155">
        <v>1</v>
      </c>
      <c r="C68" s="156">
        <v>13289</v>
      </c>
      <c r="D68" s="156"/>
      <c r="E68" s="156"/>
      <c r="F68" s="156">
        <v>327180000</v>
      </c>
      <c r="G68" s="156"/>
      <c r="H68" s="172"/>
      <c r="I68" s="157">
        <v>5.8326351054496014E-3</v>
      </c>
      <c r="J68" s="157" t="e">
        <v>#DIV/0!</v>
      </c>
      <c r="K68" s="157"/>
      <c r="L68" s="157">
        <v>0.82067875686658143</v>
      </c>
      <c r="M68" s="158"/>
      <c r="N68" s="157"/>
      <c r="O68" s="146"/>
      <c r="P68" s="159" t="str">
        <f t="shared" si="22"/>
        <v>(0, 1]</v>
      </c>
      <c r="Q68" s="160" t="s">
        <v>139</v>
      </c>
      <c r="R68" s="157">
        <f t="shared" si="23"/>
        <v>5.8326351054496014E-3</v>
      </c>
      <c r="S68" s="162">
        <v>0</v>
      </c>
      <c r="T68" s="162">
        <v>0</v>
      </c>
      <c r="U68" s="162"/>
      <c r="V68" s="162"/>
      <c r="W68" s="162"/>
      <c r="X68" s="162"/>
      <c r="Y68" s="162"/>
      <c r="Z68" s="162"/>
      <c r="AA68" s="163">
        <v>0</v>
      </c>
      <c r="AB68" s="163">
        <v>0</v>
      </c>
      <c r="AC68" s="163">
        <v>0</v>
      </c>
      <c r="AD68" s="163">
        <v>0</v>
      </c>
      <c r="AE68" s="163">
        <v>0</v>
      </c>
      <c r="AF68" s="163">
        <v>0</v>
      </c>
      <c r="AG68" s="163">
        <v>0</v>
      </c>
      <c r="AH68" s="163">
        <v>0</v>
      </c>
      <c r="AI68" s="163">
        <v>0</v>
      </c>
      <c r="AJ68" s="163">
        <v>0</v>
      </c>
      <c r="AK68" s="163" t="e">
        <v>#DIV/0!</v>
      </c>
      <c r="AL68" s="163" t="e">
        <v>#DIV/0!</v>
      </c>
      <c r="AM68" s="163" t="e">
        <v>#DIV/0!</v>
      </c>
      <c r="AN68" s="163" t="e">
        <v>#DIV/0!</v>
      </c>
      <c r="AO68" s="163" t="e">
        <v>#DIV/0!</v>
      </c>
      <c r="AP68" s="163" t="e">
        <v>#DIV/0!</v>
      </c>
      <c r="AQ68" s="164">
        <f t="shared" si="24"/>
        <v>0</v>
      </c>
      <c r="AR68" s="164">
        <f t="shared" si="25"/>
        <v>0</v>
      </c>
      <c r="AS68" s="164" t="e">
        <f t="shared" si="26"/>
        <v>#DIV/0!</v>
      </c>
      <c r="AT68" s="164" t="e">
        <f t="shared" si="27"/>
        <v>#DIV/0!</v>
      </c>
      <c r="AU68" s="164" t="e">
        <f t="shared" si="28"/>
        <v>#DIV/0!</v>
      </c>
      <c r="AV68" s="164" t="e">
        <f t="shared" si="29"/>
        <v>#DIV/0!</v>
      </c>
      <c r="AW68" s="164" t="e">
        <f t="shared" si="30"/>
        <v>#DIV/0!</v>
      </c>
      <c r="AX68" s="164" t="e">
        <f t="shared" si="31"/>
        <v>#DIV/0!</v>
      </c>
      <c r="AY68" s="165">
        <f t="shared" si="32"/>
        <v>0</v>
      </c>
      <c r="AZ68" s="165">
        <v>0</v>
      </c>
      <c r="BA68" s="165">
        <f t="shared" si="33"/>
        <v>0</v>
      </c>
      <c r="BB68" s="165">
        <v>0</v>
      </c>
      <c r="BC68" s="165" t="e">
        <f t="shared" si="34"/>
        <v>#DIV/0!</v>
      </c>
      <c r="BD68" s="165" t="e">
        <v>#DIV/0!</v>
      </c>
      <c r="BE68" s="165" t="e">
        <f t="shared" si="35"/>
        <v>#DIV/0!</v>
      </c>
      <c r="BF68" s="165" t="e">
        <v>#DIV/0!</v>
      </c>
      <c r="BG68" s="165" t="e">
        <f t="shared" si="36"/>
        <v>#DIV/0!</v>
      </c>
      <c r="BH68" s="165" t="e">
        <v>#DIV/0!</v>
      </c>
      <c r="BI68" s="165" t="e">
        <f t="shared" si="37"/>
        <v>#DIV/0!</v>
      </c>
      <c r="BJ68" s="165" t="e">
        <v>#DIV/0!</v>
      </c>
      <c r="BK68" s="165" t="e">
        <f t="shared" si="38"/>
        <v>#DIV/0!</v>
      </c>
      <c r="BL68" s="165" t="e">
        <v>#DIV/0!</v>
      </c>
      <c r="BM68" s="165" t="e">
        <f t="shared" si="39"/>
        <v>#DIV/0!</v>
      </c>
      <c r="BN68" s="165" t="e">
        <v>#DIV/0!</v>
      </c>
    </row>
    <row r="69" spans="1:66" s="43" customFormat="1" ht="15.6" x14ac:dyDescent="0.3">
      <c r="A69" s="155">
        <v>1</v>
      </c>
      <c r="B69" s="155">
        <v>2</v>
      </c>
      <c r="C69" s="156">
        <v>20810</v>
      </c>
      <c r="D69" s="156"/>
      <c r="E69" s="156"/>
      <c r="F69" s="156">
        <v>970119000</v>
      </c>
      <c r="G69" s="156"/>
      <c r="H69" s="172"/>
      <c r="I69" s="157">
        <v>9.1336546425168329E-3</v>
      </c>
      <c r="J69" s="157" t="e">
        <v>#DIV/0!</v>
      </c>
      <c r="K69" s="157"/>
      <c r="L69" s="157">
        <v>1.5539308024987986</v>
      </c>
      <c r="M69" s="158"/>
      <c r="N69" s="157"/>
      <c r="O69" s="146"/>
      <c r="P69" s="159" t="str">
        <f t="shared" si="22"/>
        <v>(1, 2]</v>
      </c>
      <c r="Q69" s="160" t="s">
        <v>139</v>
      </c>
      <c r="R69" s="157">
        <f t="shared" si="23"/>
        <v>9.1336546425168329E-3</v>
      </c>
      <c r="S69" s="162">
        <v>0</v>
      </c>
      <c r="T69" s="162">
        <v>0</v>
      </c>
      <c r="U69" s="162"/>
      <c r="V69" s="162"/>
      <c r="W69" s="162"/>
      <c r="X69" s="162"/>
      <c r="Y69" s="162"/>
      <c r="Z69" s="162"/>
      <c r="AA69" s="163">
        <v>0</v>
      </c>
      <c r="AB69" s="163">
        <v>0</v>
      </c>
      <c r="AC69" s="163">
        <v>0</v>
      </c>
      <c r="AD69" s="163">
        <v>0</v>
      </c>
      <c r="AE69" s="163">
        <v>0</v>
      </c>
      <c r="AF69" s="163">
        <v>0</v>
      </c>
      <c r="AG69" s="163">
        <v>0</v>
      </c>
      <c r="AH69" s="163">
        <v>0</v>
      </c>
      <c r="AI69" s="163">
        <v>0</v>
      </c>
      <c r="AJ69" s="163">
        <v>0</v>
      </c>
      <c r="AK69" s="163" t="e">
        <v>#DIV/0!</v>
      </c>
      <c r="AL69" s="163" t="e">
        <v>#DIV/0!</v>
      </c>
      <c r="AM69" s="163" t="e">
        <v>#DIV/0!</v>
      </c>
      <c r="AN69" s="163" t="e">
        <v>#DIV/0!</v>
      </c>
      <c r="AO69" s="163" t="e">
        <v>#DIV/0!</v>
      </c>
      <c r="AP69" s="163" t="e">
        <v>#DIV/0!</v>
      </c>
      <c r="AQ69" s="164">
        <f t="shared" si="24"/>
        <v>0</v>
      </c>
      <c r="AR69" s="164">
        <f t="shared" si="25"/>
        <v>0</v>
      </c>
      <c r="AS69" s="164" t="e">
        <f t="shared" si="26"/>
        <v>#DIV/0!</v>
      </c>
      <c r="AT69" s="164" t="e">
        <f t="shared" si="27"/>
        <v>#DIV/0!</v>
      </c>
      <c r="AU69" s="164" t="e">
        <f t="shared" si="28"/>
        <v>#DIV/0!</v>
      </c>
      <c r="AV69" s="164" t="e">
        <f t="shared" si="29"/>
        <v>#DIV/0!</v>
      </c>
      <c r="AW69" s="164" t="e">
        <f t="shared" si="30"/>
        <v>#DIV/0!</v>
      </c>
      <c r="AX69" s="164" t="e">
        <f t="shared" si="31"/>
        <v>#DIV/0!</v>
      </c>
      <c r="AY69" s="165">
        <f t="shared" si="32"/>
        <v>0</v>
      </c>
      <c r="AZ69" s="165">
        <v>0</v>
      </c>
      <c r="BA69" s="165">
        <f t="shared" si="33"/>
        <v>0</v>
      </c>
      <c r="BB69" s="165">
        <v>0</v>
      </c>
      <c r="BC69" s="165" t="e">
        <f t="shared" si="34"/>
        <v>#DIV/0!</v>
      </c>
      <c r="BD69" s="165" t="e">
        <v>#DIV/0!</v>
      </c>
      <c r="BE69" s="165" t="e">
        <f t="shared" si="35"/>
        <v>#DIV/0!</v>
      </c>
      <c r="BF69" s="165" t="e">
        <v>#DIV/0!</v>
      </c>
      <c r="BG69" s="165" t="e">
        <f t="shared" si="36"/>
        <v>#DIV/0!</v>
      </c>
      <c r="BH69" s="165" t="e">
        <v>#DIV/0!</v>
      </c>
      <c r="BI69" s="165" t="e">
        <f t="shared" si="37"/>
        <v>#DIV/0!</v>
      </c>
      <c r="BJ69" s="165" t="e">
        <v>#DIV/0!</v>
      </c>
      <c r="BK69" s="165" t="e">
        <f t="shared" si="38"/>
        <v>#DIV/0!</v>
      </c>
      <c r="BL69" s="165" t="e">
        <v>#DIV/0!</v>
      </c>
      <c r="BM69" s="165" t="e">
        <f t="shared" si="39"/>
        <v>#DIV/0!</v>
      </c>
      <c r="BN69" s="165" t="e">
        <v>#DIV/0!</v>
      </c>
    </row>
    <row r="70" spans="1:66" ht="15.6" x14ac:dyDescent="0.3">
      <c r="A70" s="155">
        <v>2</v>
      </c>
      <c r="B70" s="155">
        <v>3</v>
      </c>
      <c r="C70" s="156">
        <v>21254</v>
      </c>
      <c r="D70" s="156"/>
      <c r="E70" s="156"/>
      <c r="F70" s="156">
        <v>1629435000</v>
      </c>
      <c r="G70" s="156"/>
      <c r="H70" s="172"/>
      <c r="I70" s="157">
        <v>9.3285293499304547E-3</v>
      </c>
      <c r="J70" s="157" t="e">
        <v>#DIV/0!</v>
      </c>
      <c r="K70" s="157"/>
      <c r="L70" s="157">
        <v>2.5554954361531945</v>
      </c>
      <c r="M70" s="158"/>
      <c r="N70" s="157"/>
      <c r="O70" s="146"/>
      <c r="P70" s="159" t="str">
        <f t="shared" si="22"/>
        <v>(2, 3]</v>
      </c>
      <c r="Q70" s="160" t="s">
        <v>139</v>
      </c>
      <c r="R70" s="157">
        <f t="shared" si="23"/>
        <v>9.3285293499304547E-3</v>
      </c>
      <c r="S70" s="162">
        <v>0</v>
      </c>
      <c r="T70" s="162">
        <v>0</v>
      </c>
      <c r="U70" s="162"/>
      <c r="V70" s="162"/>
      <c r="W70" s="162"/>
      <c r="X70" s="162"/>
      <c r="Y70" s="162"/>
      <c r="Z70" s="162"/>
      <c r="AA70" s="163">
        <v>0</v>
      </c>
      <c r="AB70" s="163">
        <v>0</v>
      </c>
      <c r="AC70" s="163">
        <v>0</v>
      </c>
      <c r="AD70" s="163">
        <v>0</v>
      </c>
      <c r="AE70" s="163">
        <v>0</v>
      </c>
      <c r="AF70" s="163">
        <v>0</v>
      </c>
      <c r="AG70" s="163">
        <v>0</v>
      </c>
      <c r="AH70" s="163">
        <v>0</v>
      </c>
      <c r="AI70" s="163">
        <v>0</v>
      </c>
      <c r="AJ70" s="163">
        <v>0</v>
      </c>
      <c r="AK70" s="163" t="e">
        <v>#DIV/0!</v>
      </c>
      <c r="AL70" s="163" t="e">
        <v>#DIV/0!</v>
      </c>
      <c r="AM70" s="163" t="e">
        <v>#DIV/0!</v>
      </c>
      <c r="AN70" s="163" t="e">
        <v>#DIV/0!</v>
      </c>
      <c r="AO70" s="163" t="e">
        <v>#DIV/0!</v>
      </c>
      <c r="AP70" s="163" t="e">
        <v>#DIV/0!</v>
      </c>
      <c r="AQ70" s="164">
        <f t="shared" si="24"/>
        <v>0</v>
      </c>
      <c r="AR70" s="164">
        <f t="shared" si="25"/>
        <v>0</v>
      </c>
      <c r="AS70" s="164" t="e">
        <f t="shared" si="26"/>
        <v>#DIV/0!</v>
      </c>
      <c r="AT70" s="164" t="e">
        <f t="shared" si="27"/>
        <v>#DIV/0!</v>
      </c>
      <c r="AU70" s="164" t="e">
        <f t="shared" si="28"/>
        <v>#DIV/0!</v>
      </c>
      <c r="AV70" s="164" t="e">
        <f t="shared" si="29"/>
        <v>#DIV/0!</v>
      </c>
      <c r="AW70" s="164" t="e">
        <f t="shared" si="30"/>
        <v>#DIV/0!</v>
      </c>
      <c r="AX70" s="164" t="e">
        <f t="shared" si="31"/>
        <v>#DIV/0!</v>
      </c>
      <c r="AY70" s="165">
        <f t="shared" si="32"/>
        <v>0</v>
      </c>
      <c r="AZ70" s="165">
        <v>0</v>
      </c>
      <c r="BA70" s="165">
        <f t="shared" si="33"/>
        <v>0</v>
      </c>
      <c r="BB70" s="165">
        <v>0</v>
      </c>
      <c r="BC70" s="165" t="e">
        <f t="shared" si="34"/>
        <v>#DIV/0!</v>
      </c>
      <c r="BD70" s="165" t="e">
        <v>#DIV/0!</v>
      </c>
      <c r="BE70" s="165" t="e">
        <f t="shared" si="35"/>
        <v>#DIV/0!</v>
      </c>
      <c r="BF70" s="165" t="e">
        <v>#DIV/0!</v>
      </c>
      <c r="BG70" s="165" t="e">
        <f t="shared" si="36"/>
        <v>#DIV/0!</v>
      </c>
      <c r="BH70" s="165" t="e">
        <v>#DIV/0!</v>
      </c>
      <c r="BI70" s="165" t="e">
        <f t="shared" si="37"/>
        <v>#DIV/0!</v>
      </c>
      <c r="BJ70" s="165" t="e">
        <v>#DIV/0!</v>
      </c>
      <c r="BK70" s="165" t="e">
        <f t="shared" si="38"/>
        <v>#DIV/0!</v>
      </c>
      <c r="BL70" s="165" t="e">
        <v>#DIV/0!</v>
      </c>
      <c r="BM70" s="165" t="e">
        <f t="shared" si="39"/>
        <v>#DIV/0!</v>
      </c>
      <c r="BN70" s="165" t="e">
        <v>#DIV/0!</v>
      </c>
    </row>
    <row r="71" spans="1:66" ht="15.6" x14ac:dyDescent="0.3">
      <c r="A71" s="155">
        <v>3</v>
      </c>
      <c r="B71" s="155">
        <v>4</v>
      </c>
      <c r="C71" s="156">
        <v>21645</v>
      </c>
      <c r="D71" s="156"/>
      <c r="E71" s="156"/>
      <c r="F71" s="156">
        <v>2308797000</v>
      </c>
      <c r="G71" s="156"/>
      <c r="H71" s="172"/>
      <c r="I71" s="157">
        <v>9.5001419864140721E-3</v>
      </c>
      <c r="J71" s="157" t="e">
        <v>#DIV/0!</v>
      </c>
      <c r="K71" s="157"/>
      <c r="L71" s="157">
        <v>3.5555509355509356</v>
      </c>
      <c r="M71" s="158"/>
      <c r="N71" s="157"/>
      <c r="O71" s="146"/>
      <c r="P71" s="159" t="str">
        <f t="shared" si="22"/>
        <v>(3, 4]</v>
      </c>
      <c r="Q71" s="160" t="s">
        <v>139</v>
      </c>
      <c r="R71" s="157">
        <f t="shared" si="23"/>
        <v>9.5001419864140721E-3</v>
      </c>
      <c r="S71" s="162">
        <v>0</v>
      </c>
      <c r="T71" s="162">
        <v>0</v>
      </c>
      <c r="U71" s="162"/>
      <c r="V71" s="162"/>
      <c r="W71" s="162"/>
      <c r="X71" s="162"/>
      <c r="Y71" s="162"/>
      <c r="Z71" s="162"/>
      <c r="AA71" s="163">
        <v>0</v>
      </c>
      <c r="AB71" s="163">
        <v>0</v>
      </c>
      <c r="AC71" s="163">
        <v>0</v>
      </c>
      <c r="AD71" s="163">
        <v>0</v>
      </c>
      <c r="AE71" s="163">
        <v>0</v>
      </c>
      <c r="AF71" s="163">
        <v>0</v>
      </c>
      <c r="AG71" s="163">
        <v>0</v>
      </c>
      <c r="AH71" s="163">
        <v>0</v>
      </c>
      <c r="AI71" s="163">
        <v>0</v>
      </c>
      <c r="AJ71" s="163">
        <v>0</v>
      </c>
      <c r="AK71" s="163" t="e">
        <v>#DIV/0!</v>
      </c>
      <c r="AL71" s="163" t="e">
        <v>#DIV/0!</v>
      </c>
      <c r="AM71" s="163" t="e">
        <v>#DIV/0!</v>
      </c>
      <c r="AN71" s="163" t="e">
        <v>#DIV/0!</v>
      </c>
      <c r="AO71" s="163" t="e">
        <v>#DIV/0!</v>
      </c>
      <c r="AP71" s="163" t="e">
        <v>#DIV/0!</v>
      </c>
      <c r="AQ71" s="164">
        <f t="shared" si="24"/>
        <v>0</v>
      </c>
      <c r="AR71" s="164">
        <f t="shared" si="25"/>
        <v>0</v>
      </c>
      <c r="AS71" s="164" t="e">
        <f t="shared" si="26"/>
        <v>#DIV/0!</v>
      </c>
      <c r="AT71" s="164" t="e">
        <f t="shared" si="27"/>
        <v>#DIV/0!</v>
      </c>
      <c r="AU71" s="164" t="e">
        <f t="shared" si="28"/>
        <v>#DIV/0!</v>
      </c>
      <c r="AV71" s="164" t="e">
        <f t="shared" si="29"/>
        <v>#DIV/0!</v>
      </c>
      <c r="AW71" s="164" t="e">
        <f t="shared" si="30"/>
        <v>#DIV/0!</v>
      </c>
      <c r="AX71" s="164" t="e">
        <f t="shared" si="31"/>
        <v>#DIV/0!</v>
      </c>
      <c r="AY71" s="165">
        <f t="shared" si="32"/>
        <v>0</v>
      </c>
      <c r="AZ71" s="165">
        <v>0</v>
      </c>
      <c r="BA71" s="165">
        <f t="shared" si="33"/>
        <v>0</v>
      </c>
      <c r="BB71" s="165">
        <v>0</v>
      </c>
      <c r="BC71" s="165" t="e">
        <f t="shared" si="34"/>
        <v>#DIV/0!</v>
      </c>
      <c r="BD71" s="165" t="e">
        <v>#DIV/0!</v>
      </c>
      <c r="BE71" s="165" t="e">
        <f t="shared" si="35"/>
        <v>#DIV/0!</v>
      </c>
      <c r="BF71" s="165" t="e">
        <v>#DIV/0!</v>
      </c>
      <c r="BG71" s="165" t="e">
        <f t="shared" si="36"/>
        <v>#DIV/0!</v>
      </c>
      <c r="BH71" s="165" t="e">
        <v>#DIV/0!</v>
      </c>
      <c r="BI71" s="165" t="e">
        <f t="shared" si="37"/>
        <v>#DIV/0!</v>
      </c>
      <c r="BJ71" s="165" t="e">
        <v>#DIV/0!</v>
      </c>
      <c r="BK71" s="165" t="e">
        <f t="shared" si="38"/>
        <v>#DIV/0!</v>
      </c>
      <c r="BL71" s="165" t="e">
        <v>#DIV/0!</v>
      </c>
      <c r="BM71" s="165" t="e">
        <f t="shared" si="39"/>
        <v>#DIV/0!</v>
      </c>
      <c r="BN71" s="165" t="e">
        <v>#DIV/0!</v>
      </c>
    </row>
    <row r="72" spans="1:66" ht="15.6" x14ac:dyDescent="0.3">
      <c r="A72" s="155">
        <v>4</v>
      </c>
      <c r="B72" s="155">
        <v>5</v>
      </c>
      <c r="C72" s="156">
        <v>21438</v>
      </c>
      <c r="D72" s="156"/>
      <c r="E72" s="156"/>
      <c r="F72" s="156">
        <v>2929314000</v>
      </c>
      <c r="G72" s="156"/>
      <c r="H72" s="172"/>
      <c r="I72" s="157">
        <v>9.4092882376874513E-3</v>
      </c>
      <c r="J72" s="157" t="e">
        <v>#DIV/0!</v>
      </c>
      <c r="K72" s="157"/>
      <c r="L72" s="157">
        <v>4.5547065957645305</v>
      </c>
      <c r="M72" s="158"/>
      <c r="N72" s="157"/>
      <c r="O72" s="146"/>
      <c r="P72" s="159" t="str">
        <f t="shared" si="22"/>
        <v>(4, 5]</v>
      </c>
      <c r="Q72" s="160" t="s">
        <v>139</v>
      </c>
      <c r="R72" s="157">
        <f t="shared" si="23"/>
        <v>9.4092882376874513E-3</v>
      </c>
      <c r="S72" s="162">
        <v>0</v>
      </c>
      <c r="T72" s="162">
        <v>0</v>
      </c>
      <c r="U72" s="162"/>
      <c r="V72" s="162"/>
      <c r="W72" s="162"/>
      <c r="X72" s="162"/>
      <c r="Y72" s="162"/>
      <c r="Z72" s="162"/>
      <c r="AA72" s="163">
        <v>0</v>
      </c>
      <c r="AB72" s="163">
        <v>0</v>
      </c>
      <c r="AC72" s="163">
        <v>0</v>
      </c>
      <c r="AD72" s="163">
        <v>0</v>
      </c>
      <c r="AE72" s="163">
        <v>0</v>
      </c>
      <c r="AF72" s="163">
        <v>0</v>
      </c>
      <c r="AG72" s="163">
        <v>0</v>
      </c>
      <c r="AH72" s="163">
        <v>0</v>
      </c>
      <c r="AI72" s="163">
        <v>0</v>
      </c>
      <c r="AJ72" s="163">
        <v>0</v>
      </c>
      <c r="AK72" s="163" t="e">
        <v>#DIV/0!</v>
      </c>
      <c r="AL72" s="163" t="e">
        <v>#DIV/0!</v>
      </c>
      <c r="AM72" s="163" t="e">
        <v>#DIV/0!</v>
      </c>
      <c r="AN72" s="163" t="e">
        <v>#DIV/0!</v>
      </c>
      <c r="AO72" s="163" t="e">
        <v>#DIV/0!</v>
      </c>
      <c r="AP72" s="163" t="e">
        <v>#DIV/0!</v>
      </c>
      <c r="AQ72" s="164">
        <f t="shared" si="24"/>
        <v>0</v>
      </c>
      <c r="AR72" s="164">
        <f t="shared" si="25"/>
        <v>0</v>
      </c>
      <c r="AS72" s="164" t="e">
        <f t="shared" si="26"/>
        <v>#DIV/0!</v>
      </c>
      <c r="AT72" s="164" t="e">
        <f t="shared" si="27"/>
        <v>#DIV/0!</v>
      </c>
      <c r="AU72" s="164" t="e">
        <f t="shared" si="28"/>
        <v>#DIV/0!</v>
      </c>
      <c r="AV72" s="164" t="e">
        <f t="shared" si="29"/>
        <v>#DIV/0!</v>
      </c>
      <c r="AW72" s="164" t="e">
        <f t="shared" si="30"/>
        <v>#DIV/0!</v>
      </c>
      <c r="AX72" s="164" t="e">
        <f t="shared" si="31"/>
        <v>#DIV/0!</v>
      </c>
      <c r="AY72" s="165">
        <f t="shared" si="32"/>
        <v>0</v>
      </c>
      <c r="AZ72" s="165">
        <v>0</v>
      </c>
      <c r="BA72" s="165">
        <f t="shared" si="33"/>
        <v>0</v>
      </c>
      <c r="BB72" s="165">
        <v>0</v>
      </c>
      <c r="BC72" s="165" t="e">
        <f t="shared" si="34"/>
        <v>#DIV/0!</v>
      </c>
      <c r="BD72" s="165" t="e">
        <v>#DIV/0!</v>
      </c>
      <c r="BE72" s="165" t="e">
        <f t="shared" si="35"/>
        <v>#DIV/0!</v>
      </c>
      <c r="BF72" s="165" t="e">
        <v>#DIV/0!</v>
      </c>
      <c r="BG72" s="165" t="e">
        <f t="shared" si="36"/>
        <v>#DIV/0!</v>
      </c>
      <c r="BH72" s="165" t="e">
        <v>#DIV/0!</v>
      </c>
      <c r="BI72" s="165" t="e">
        <f t="shared" si="37"/>
        <v>#DIV/0!</v>
      </c>
      <c r="BJ72" s="165" t="e">
        <v>#DIV/0!</v>
      </c>
      <c r="BK72" s="165" t="e">
        <f t="shared" si="38"/>
        <v>#DIV/0!</v>
      </c>
      <c r="BL72" s="165" t="e">
        <v>#DIV/0!</v>
      </c>
      <c r="BM72" s="165" t="e">
        <f t="shared" si="39"/>
        <v>#DIV/0!</v>
      </c>
      <c r="BN72" s="165" t="e">
        <v>#DIV/0!</v>
      </c>
    </row>
    <row r="73" spans="1:66" ht="15.6" x14ac:dyDescent="0.3">
      <c r="A73" s="155">
        <v>5</v>
      </c>
      <c r="B73" s="155">
        <v>6</v>
      </c>
      <c r="C73" s="156">
        <v>21633</v>
      </c>
      <c r="D73" s="156"/>
      <c r="E73" s="156"/>
      <c r="F73" s="156">
        <v>3605877000</v>
      </c>
      <c r="G73" s="156"/>
      <c r="H73" s="172"/>
      <c r="I73" s="157">
        <v>9.4948751024299203E-3</v>
      </c>
      <c r="J73" s="157" t="e">
        <v>#DIV/0!</v>
      </c>
      <c r="K73" s="157"/>
      <c r="L73" s="157">
        <v>5.5561364581888784</v>
      </c>
      <c r="M73" s="158"/>
      <c r="N73" s="157"/>
      <c r="O73" s="146"/>
      <c r="P73" s="159" t="str">
        <f t="shared" si="22"/>
        <v>(5, 6]</v>
      </c>
      <c r="Q73" s="160" t="s">
        <v>139</v>
      </c>
      <c r="R73" s="157">
        <f t="shared" si="23"/>
        <v>9.4948751024299203E-3</v>
      </c>
      <c r="S73" s="162">
        <v>0</v>
      </c>
      <c r="T73" s="162">
        <v>0</v>
      </c>
      <c r="U73" s="162"/>
      <c r="V73" s="162"/>
      <c r="W73" s="162"/>
      <c r="X73" s="162"/>
      <c r="Y73" s="162"/>
      <c r="Z73" s="162"/>
      <c r="AA73" s="163">
        <v>0</v>
      </c>
      <c r="AB73" s="163">
        <v>0</v>
      </c>
      <c r="AC73" s="163">
        <v>0</v>
      </c>
      <c r="AD73" s="163">
        <v>0</v>
      </c>
      <c r="AE73" s="163">
        <v>0</v>
      </c>
      <c r="AF73" s="163">
        <v>0</v>
      </c>
      <c r="AG73" s="163">
        <v>0</v>
      </c>
      <c r="AH73" s="163">
        <v>0</v>
      </c>
      <c r="AI73" s="163">
        <v>0</v>
      </c>
      <c r="AJ73" s="163">
        <v>0</v>
      </c>
      <c r="AK73" s="163" t="e">
        <v>#DIV/0!</v>
      </c>
      <c r="AL73" s="163" t="e">
        <v>#DIV/0!</v>
      </c>
      <c r="AM73" s="163" t="e">
        <v>#DIV/0!</v>
      </c>
      <c r="AN73" s="163" t="e">
        <v>#DIV/0!</v>
      </c>
      <c r="AO73" s="163" t="e">
        <v>#DIV/0!</v>
      </c>
      <c r="AP73" s="163" t="e">
        <v>#DIV/0!</v>
      </c>
      <c r="AQ73" s="164">
        <f t="shared" si="24"/>
        <v>0</v>
      </c>
      <c r="AR73" s="164">
        <f t="shared" si="25"/>
        <v>0</v>
      </c>
      <c r="AS73" s="164" t="e">
        <f t="shared" si="26"/>
        <v>#DIV/0!</v>
      </c>
      <c r="AT73" s="164" t="e">
        <f t="shared" si="27"/>
        <v>#DIV/0!</v>
      </c>
      <c r="AU73" s="164" t="e">
        <f t="shared" si="28"/>
        <v>#DIV/0!</v>
      </c>
      <c r="AV73" s="164" t="e">
        <f t="shared" si="29"/>
        <v>#DIV/0!</v>
      </c>
      <c r="AW73" s="164" t="e">
        <f t="shared" si="30"/>
        <v>#DIV/0!</v>
      </c>
      <c r="AX73" s="164" t="e">
        <f t="shared" si="31"/>
        <v>#DIV/0!</v>
      </c>
      <c r="AY73" s="165">
        <f t="shared" si="32"/>
        <v>0</v>
      </c>
      <c r="AZ73" s="165">
        <v>0</v>
      </c>
      <c r="BA73" s="165">
        <f t="shared" si="33"/>
        <v>0</v>
      </c>
      <c r="BB73" s="165">
        <v>0</v>
      </c>
      <c r="BC73" s="165" t="e">
        <f t="shared" si="34"/>
        <v>#DIV/0!</v>
      </c>
      <c r="BD73" s="165" t="e">
        <v>#DIV/0!</v>
      </c>
      <c r="BE73" s="165" t="e">
        <f t="shared" si="35"/>
        <v>#DIV/0!</v>
      </c>
      <c r="BF73" s="165" t="e">
        <v>#DIV/0!</v>
      </c>
      <c r="BG73" s="165" t="e">
        <f t="shared" si="36"/>
        <v>#DIV/0!</v>
      </c>
      <c r="BH73" s="165" t="e">
        <v>#DIV/0!</v>
      </c>
      <c r="BI73" s="165" t="e">
        <f t="shared" si="37"/>
        <v>#DIV/0!</v>
      </c>
      <c r="BJ73" s="165" t="e">
        <v>#DIV/0!</v>
      </c>
      <c r="BK73" s="165" t="e">
        <f t="shared" si="38"/>
        <v>#DIV/0!</v>
      </c>
      <c r="BL73" s="165" t="e">
        <v>#DIV/0!</v>
      </c>
      <c r="BM73" s="165" t="e">
        <f t="shared" si="39"/>
        <v>#DIV/0!</v>
      </c>
      <c r="BN73" s="165" t="e">
        <v>#DIV/0!</v>
      </c>
    </row>
    <row r="74" spans="1:66" ht="15.6" x14ac:dyDescent="0.3">
      <c r="A74" s="155">
        <v>6</v>
      </c>
      <c r="B74" s="155">
        <v>7</v>
      </c>
      <c r="C74" s="156">
        <v>20646</v>
      </c>
      <c r="D74" s="156"/>
      <c r="E74" s="156"/>
      <c r="F74" s="156">
        <v>4053862500</v>
      </c>
      <c r="G74" s="156"/>
      <c r="H74" s="172"/>
      <c r="I74" s="157">
        <v>9.0616738947334238E-3</v>
      </c>
      <c r="J74" s="157" t="e">
        <v>#DIV/0!</v>
      </c>
      <c r="K74" s="157"/>
      <c r="L74" s="157">
        <v>6.5450329361619684</v>
      </c>
      <c r="M74" s="158"/>
      <c r="N74" s="157"/>
      <c r="O74" s="146"/>
      <c r="P74" s="159" t="str">
        <f t="shared" si="22"/>
        <v>(6, 7]</v>
      </c>
      <c r="Q74" s="160" t="s">
        <v>139</v>
      </c>
      <c r="R74" s="157">
        <f t="shared" si="23"/>
        <v>9.0616738947334238E-3</v>
      </c>
      <c r="S74" s="162">
        <v>0</v>
      </c>
      <c r="T74" s="162">
        <v>0</v>
      </c>
      <c r="U74" s="162"/>
      <c r="V74" s="162"/>
      <c r="W74" s="162"/>
      <c r="X74" s="162"/>
      <c r="Y74" s="162"/>
      <c r="Z74" s="162"/>
      <c r="AA74" s="163">
        <v>0</v>
      </c>
      <c r="AB74" s="163">
        <v>0</v>
      </c>
      <c r="AC74" s="163">
        <v>0</v>
      </c>
      <c r="AD74" s="163">
        <v>0</v>
      </c>
      <c r="AE74" s="163">
        <v>0</v>
      </c>
      <c r="AF74" s="163">
        <v>0</v>
      </c>
      <c r="AG74" s="163">
        <v>0</v>
      </c>
      <c r="AH74" s="163">
        <v>0</v>
      </c>
      <c r="AI74" s="163">
        <v>0</v>
      </c>
      <c r="AJ74" s="163">
        <v>0</v>
      </c>
      <c r="AK74" s="163" t="e">
        <v>#DIV/0!</v>
      </c>
      <c r="AL74" s="163" t="e">
        <v>#DIV/0!</v>
      </c>
      <c r="AM74" s="163" t="e">
        <v>#DIV/0!</v>
      </c>
      <c r="AN74" s="163" t="e">
        <v>#DIV/0!</v>
      </c>
      <c r="AO74" s="163" t="e">
        <v>#DIV/0!</v>
      </c>
      <c r="AP74" s="163" t="e">
        <v>#DIV/0!</v>
      </c>
      <c r="AQ74" s="164">
        <f t="shared" si="24"/>
        <v>0</v>
      </c>
      <c r="AR74" s="164">
        <f t="shared" si="25"/>
        <v>0</v>
      </c>
      <c r="AS74" s="164" t="e">
        <f t="shared" si="26"/>
        <v>#DIV/0!</v>
      </c>
      <c r="AT74" s="164" t="e">
        <f t="shared" si="27"/>
        <v>#DIV/0!</v>
      </c>
      <c r="AU74" s="164" t="e">
        <f t="shared" si="28"/>
        <v>#DIV/0!</v>
      </c>
      <c r="AV74" s="164" t="e">
        <f t="shared" si="29"/>
        <v>#DIV/0!</v>
      </c>
      <c r="AW74" s="164" t="e">
        <f t="shared" si="30"/>
        <v>#DIV/0!</v>
      </c>
      <c r="AX74" s="164" t="e">
        <f t="shared" si="31"/>
        <v>#DIV/0!</v>
      </c>
      <c r="AY74" s="165">
        <f t="shared" si="32"/>
        <v>0</v>
      </c>
      <c r="AZ74" s="165">
        <v>0</v>
      </c>
      <c r="BA74" s="165">
        <f t="shared" si="33"/>
        <v>0</v>
      </c>
      <c r="BB74" s="165">
        <v>0</v>
      </c>
      <c r="BC74" s="165" t="e">
        <f t="shared" si="34"/>
        <v>#DIV/0!</v>
      </c>
      <c r="BD74" s="165" t="e">
        <v>#DIV/0!</v>
      </c>
      <c r="BE74" s="165" t="e">
        <f t="shared" si="35"/>
        <v>#DIV/0!</v>
      </c>
      <c r="BF74" s="165" t="e">
        <v>#DIV/0!</v>
      </c>
      <c r="BG74" s="165" t="e">
        <f t="shared" si="36"/>
        <v>#DIV/0!</v>
      </c>
      <c r="BH74" s="165" t="e">
        <v>#DIV/0!</v>
      </c>
      <c r="BI74" s="165" t="e">
        <f t="shared" si="37"/>
        <v>#DIV/0!</v>
      </c>
      <c r="BJ74" s="165" t="e">
        <v>#DIV/0!</v>
      </c>
      <c r="BK74" s="165" t="e">
        <f t="shared" si="38"/>
        <v>#DIV/0!</v>
      </c>
      <c r="BL74" s="165" t="e">
        <v>#DIV/0!</v>
      </c>
      <c r="BM74" s="165" t="e">
        <f t="shared" si="39"/>
        <v>#DIV/0!</v>
      </c>
      <c r="BN74" s="165" t="e">
        <v>#DIV/0!</v>
      </c>
    </row>
    <row r="75" spans="1:66" ht="15.6" customHeight="1" x14ac:dyDescent="0.3">
      <c r="A75" s="155">
        <v>7</v>
      </c>
      <c r="B75" s="155">
        <v>8</v>
      </c>
      <c r="C75" s="156">
        <v>20886</v>
      </c>
      <c r="D75" s="156"/>
      <c r="E75" s="156"/>
      <c r="F75" s="156">
        <v>4729476000</v>
      </c>
      <c r="G75" s="156"/>
      <c r="H75" s="172"/>
      <c r="I75" s="157">
        <v>9.1670115744164615E-3</v>
      </c>
      <c r="J75" s="157" t="e">
        <v>#DIV/0!</v>
      </c>
      <c r="K75" s="157"/>
      <c r="L75" s="157">
        <v>7.548080053624437</v>
      </c>
      <c r="M75" s="157"/>
      <c r="N75" s="157"/>
      <c r="O75" s="146"/>
      <c r="P75" s="159" t="str">
        <f t="shared" si="22"/>
        <v>(7, 8]</v>
      </c>
      <c r="Q75" s="160" t="s">
        <v>139</v>
      </c>
      <c r="R75" s="157">
        <f t="shared" si="23"/>
        <v>9.1670115744164615E-3</v>
      </c>
      <c r="S75" s="162">
        <v>0</v>
      </c>
      <c r="T75" s="162">
        <v>0</v>
      </c>
      <c r="U75" s="162"/>
      <c r="V75" s="162"/>
      <c r="W75" s="162"/>
      <c r="X75" s="162"/>
      <c r="Y75" s="162"/>
      <c r="Z75" s="162"/>
      <c r="AA75" s="163">
        <v>0</v>
      </c>
      <c r="AB75" s="163">
        <v>0</v>
      </c>
      <c r="AC75" s="163">
        <v>0</v>
      </c>
      <c r="AD75" s="163">
        <v>0</v>
      </c>
      <c r="AE75" s="163">
        <v>0</v>
      </c>
      <c r="AF75" s="163">
        <v>0</v>
      </c>
      <c r="AG75" s="163">
        <v>0</v>
      </c>
      <c r="AH75" s="163">
        <v>0</v>
      </c>
      <c r="AI75" s="163">
        <v>0</v>
      </c>
      <c r="AJ75" s="163">
        <v>0</v>
      </c>
      <c r="AK75" s="163" t="e">
        <v>#DIV/0!</v>
      </c>
      <c r="AL75" s="163" t="e">
        <v>#DIV/0!</v>
      </c>
      <c r="AM75" s="163" t="e">
        <v>#DIV/0!</v>
      </c>
      <c r="AN75" s="163" t="e">
        <v>#DIV/0!</v>
      </c>
      <c r="AO75" s="163" t="e">
        <v>#DIV/0!</v>
      </c>
      <c r="AP75" s="163" t="e">
        <v>#DIV/0!</v>
      </c>
      <c r="AQ75" s="164">
        <f t="shared" si="24"/>
        <v>0</v>
      </c>
      <c r="AR75" s="164">
        <f t="shared" si="25"/>
        <v>0</v>
      </c>
      <c r="AS75" s="164" t="e">
        <f t="shared" si="26"/>
        <v>#DIV/0!</v>
      </c>
      <c r="AT75" s="164" t="e">
        <f t="shared" si="27"/>
        <v>#DIV/0!</v>
      </c>
      <c r="AU75" s="164" t="e">
        <f t="shared" si="28"/>
        <v>#DIV/0!</v>
      </c>
      <c r="AV75" s="164" t="e">
        <f t="shared" si="29"/>
        <v>#DIV/0!</v>
      </c>
      <c r="AW75" s="164" t="e">
        <f t="shared" si="30"/>
        <v>#DIV/0!</v>
      </c>
      <c r="AX75" s="164" t="e">
        <f t="shared" si="31"/>
        <v>#DIV/0!</v>
      </c>
      <c r="AY75" s="165">
        <f t="shared" si="32"/>
        <v>0</v>
      </c>
      <c r="AZ75" s="165">
        <v>0</v>
      </c>
      <c r="BA75" s="165">
        <f t="shared" si="33"/>
        <v>0</v>
      </c>
      <c r="BB75" s="165">
        <v>0</v>
      </c>
      <c r="BC75" s="165" t="e">
        <f t="shared" si="34"/>
        <v>#DIV/0!</v>
      </c>
      <c r="BD75" s="165" t="e">
        <v>#DIV/0!</v>
      </c>
      <c r="BE75" s="165" t="e">
        <f t="shared" si="35"/>
        <v>#DIV/0!</v>
      </c>
      <c r="BF75" s="165" t="e">
        <v>#DIV/0!</v>
      </c>
      <c r="BG75" s="165" t="e">
        <f t="shared" si="36"/>
        <v>#DIV/0!</v>
      </c>
      <c r="BH75" s="165" t="e">
        <v>#DIV/0!</v>
      </c>
      <c r="BI75" s="165" t="e">
        <f t="shared" si="37"/>
        <v>#DIV/0!</v>
      </c>
      <c r="BJ75" s="165" t="e">
        <v>#DIV/0!</v>
      </c>
      <c r="BK75" s="165" t="e">
        <f t="shared" si="38"/>
        <v>#DIV/0!</v>
      </c>
      <c r="BL75" s="165" t="e">
        <v>#DIV/0!</v>
      </c>
      <c r="BM75" s="165" t="e">
        <f t="shared" si="39"/>
        <v>#DIV/0!</v>
      </c>
      <c r="BN75" s="165" t="e">
        <v>#DIV/0!</v>
      </c>
    </row>
    <row r="76" spans="1:66" ht="15.6" x14ac:dyDescent="0.3">
      <c r="A76" s="155">
        <v>8</v>
      </c>
      <c r="B76" s="155">
        <v>9</v>
      </c>
      <c r="C76" s="156">
        <v>20446</v>
      </c>
      <c r="D76" s="156"/>
      <c r="E76" s="156"/>
      <c r="F76" s="156">
        <v>5246083500</v>
      </c>
      <c r="G76" s="156"/>
      <c r="H76" s="172"/>
      <c r="I76" s="157">
        <v>8.9738924949975575E-3</v>
      </c>
      <c r="J76" s="157" t="e">
        <v>#DIV/0!</v>
      </c>
      <c r="K76" s="157"/>
      <c r="L76" s="157">
        <v>8.5527462584368585</v>
      </c>
      <c r="M76" s="157"/>
      <c r="N76" s="157"/>
      <c r="O76" s="146"/>
      <c r="P76" s="159" t="str">
        <f t="shared" si="22"/>
        <v>(8, 9]</v>
      </c>
      <c r="Q76" s="160" t="s">
        <v>139</v>
      </c>
      <c r="R76" s="157">
        <f t="shared" si="23"/>
        <v>8.9738924949975575E-3</v>
      </c>
      <c r="S76" s="162">
        <v>0</v>
      </c>
      <c r="T76" s="162">
        <v>0</v>
      </c>
      <c r="U76" s="162"/>
      <c r="V76" s="162"/>
      <c r="W76" s="162"/>
      <c r="X76" s="162"/>
      <c r="Y76" s="162"/>
      <c r="Z76" s="162"/>
      <c r="AA76" s="163">
        <v>0</v>
      </c>
      <c r="AB76" s="163">
        <v>0</v>
      </c>
      <c r="AC76" s="163">
        <v>0</v>
      </c>
      <c r="AD76" s="163">
        <v>0</v>
      </c>
      <c r="AE76" s="163">
        <v>0</v>
      </c>
      <c r="AF76" s="163">
        <v>0</v>
      </c>
      <c r="AG76" s="163">
        <v>0</v>
      </c>
      <c r="AH76" s="163">
        <v>0</v>
      </c>
      <c r="AI76" s="163">
        <v>0</v>
      </c>
      <c r="AJ76" s="163">
        <v>0</v>
      </c>
      <c r="AK76" s="163" t="e">
        <v>#DIV/0!</v>
      </c>
      <c r="AL76" s="163" t="e">
        <v>#DIV/0!</v>
      </c>
      <c r="AM76" s="163" t="e">
        <v>#DIV/0!</v>
      </c>
      <c r="AN76" s="163" t="e">
        <v>#DIV/0!</v>
      </c>
      <c r="AO76" s="163" t="e">
        <v>#DIV/0!</v>
      </c>
      <c r="AP76" s="163" t="e">
        <v>#DIV/0!</v>
      </c>
      <c r="AQ76" s="164">
        <f t="shared" si="24"/>
        <v>0</v>
      </c>
      <c r="AR76" s="164">
        <f t="shared" si="25"/>
        <v>0</v>
      </c>
      <c r="AS76" s="164" t="e">
        <f t="shared" si="26"/>
        <v>#DIV/0!</v>
      </c>
      <c r="AT76" s="164" t="e">
        <f t="shared" si="27"/>
        <v>#DIV/0!</v>
      </c>
      <c r="AU76" s="164" t="e">
        <f t="shared" si="28"/>
        <v>#DIV/0!</v>
      </c>
      <c r="AV76" s="164" t="e">
        <f t="shared" si="29"/>
        <v>#DIV/0!</v>
      </c>
      <c r="AW76" s="164" t="e">
        <f t="shared" si="30"/>
        <v>#DIV/0!</v>
      </c>
      <c r="AX76" s="164" t="e">
        <f t="shared" si="31"/>
        <v>#DIV/0!</v>
      </c>
      <c r="AY76" s="165">
        <f t="shared" si="32"/>
        <v>0</v>
      </c>
      <c r="AZ76" s="165">
        <v>0</v>
      </c>
      <c r="BA76" s="165">
        <f t="shared" si="33"/>
        <v>0</v>
      </c>
      <c r="BB76" s="165">
        <v>0</v>
      </c>
      <c r="BC76" s="165" t="e">
        <f t="shared" si="34"/>
        <v>#DIV/0!</v>
      </c>
      <c r="BD76" s="165" t="e">
        <v>#DIV/0!</v>
      </c>
      <c r="BE76" s="165" t="e">
        <f t="shared" si="35"/>
        <v>#DIV/0!</v>
      </c>
      <c r="BF76" s="165" t="e">
        <v>#DIV/0!</v>
      </c>
      <c r="BG76" s="165" t="e">
        <f t="shared" si="36"/>
        <v>#DIV/0!</v>
      </c>
      <c r="BH76" s="165" t="e">
        <v>#DIV/0!</v>
      </c>
      <c r="BI76" s="165" t="e">
        <f t="shared" si="37"/>
        <v>#DIV/0!</v>
      </c>
      <c r="BJ76" s="165" t="e">
        <v>#DIV/0!</v>
      </c>
      <c r="BK76" s="165" t="e">
        <f t="shared" si="38"/>
        <v>#DIV/0!</v>
      </c>
      <c r="BL76" s="165" t="e">
        <v>#DIV/0!</v>
      </c>
      <c r="BM76" s="165" t="e">
        <f t="shared" si="39"/>
        <v>#DIV/0!</v>
      </c>
      <c r="BN76" s="165" t="e">
        <v>#DIV/0!</v>
      </c>
    </row>
    <row r="77" spans="1:66" ht="15.6" x14ac:dyDescent="0.3">
      <c r="A77" s="155">
        <v>9</v>
      </c>
      <c r="B77" s="155">
        <v>10</v>
      </c>
      <c r="C77" s="156">
        <v>19920</v>
      </c>
      <c r="D77" s="156"/>
      <c r="E77" s="156"/>
      <c r="F77" s="156">
        <v>5709103500</v>
      </c>
      <c r="G77" s="156"/>
      <c r="H77" s="172"/>
      <c r="I77" s="157">
        <v>8.7430274136922302E-3</v>
      </c>
      <c r="J77" s="157" t="e">
        <v>#DIV/0!</v>
      </c>
      <c r="K77" s="157"/>
      <c r="L77" s="157">
        <v>9.5533860441767064</v>
      </c>
      <c r="M77" s="157"/>
      <c r="N77" s="157"/>
      <c r="O77" s="146"/>
      <c r="P77" s="159" t="str">
        <f t="shared" si="22"/>
        <v>(9, 10]</v>
      </c>
      <c r="Q77" s="160" t="s">
        <v>139</v>
      </c>
      <c r="R77" s="157">
        <f t="shared" si="23"/>
        <v>8.7430274136922302E-3</v>
      </c>
      <c r="S77" s="162">
        <v>0</v>
      </c>
      <c r="T77" s="162">
        <v>0</v>
      </c>
      <c r="U77" s="162"/>
      <c r="V77" s="162"/>
      <c r="W77" s="162"/>
      <c r="X77" s="162"/>
      <c r="Y77" s="162"/>
      <c r="Z77" s="162"/>
      <c r="AA77" s="163">
        <v>0</v>
      </c>
      <c r="AB77" s="163">
        <v>0</v>
      </c>
      <c r="AC77" s="163">
        <v>0</v>
      </c>
      <c r="AD77" s="163">
        <v>0</v>
      </c>
      <c r="AE77" s="163">
        <v>0</v>
      </c>
      <c r="AF77" s="163">
        <v>0</v>
      </c>
      <c r="AG77" s="163">
        <v>0</v>
      </c>
      <c r="AH77" s="163">
        <v>0</v>
      </c>
      <c r="AI77" s="163">
        <v>0</v>
      </c>
      <c r="AJ77" s="163">
        <v>0</v>
      </c>
      <c r="AK77" s="163" t="e">
        <v>#DIV/0!</v>
      </c>
      <c r="AL77" s="163" t="e">
        <v>#DIV/0!</v>
      </c>
      <c r="AM77" s="163" t="e">
        <v>#DIV/0!</v>
      </c>
      <c r="AN77" s="163" t="e">
        <v>#DIV/0!</v>
      </c>
      <c r="AO77" s="163" t="e">
        <v>#DIV/0!</v>
      </c>
      <c r="AP77" s="163" t="e">
        <v>#DIV/0!</v>
      </c>
      <c r="AQ77" s="164">
        <f t="shared" si="24"/>
        <v>0</v>
      </c>
      <c r="AR77" s="164">
        <f t="shared" si="25"/>
        <v>0</v>
      </c>
      <c r="AS77" s="164" t="e">
        <f t="shared" si="26"/>
        <v>#DIV/0!</v>
      </c>
      <c r="AT77" s="164" t="e">
        <f t="shared" si="27"/>
        <v>#DIV/0!</v>
      </c>
      <c r="AU77" s="164" t="e">
        <f t="shared" si="28"/>
        <v>#DIV/0!</v>
      </c>
      <c r="AV77" s="164" t="e">
        <f t="shared" si="29"/>
        <v>#DIV/0!</v>
      </c>
      <c r="AW77" s="164" t="e">
        <f t="shared" si="30"/>
        <v>#DIV/0!</v>
      </c>
      <c r="AX77" s="164" t="e">
        <f t="shared" si="31"/>
        <v>#DIV/0!</v>
      </c>
      <c r="AY77" s="165">
        <f t="shared" si="32"/>
        <v>0</v>
      </c>
      <c r="AZ77" s="165">
        <v>0</v>
      </c>
      <c r="BA77" s="165">
        <f t="shared" si="33"/>
        <v>0</v>
      </c>
      <c r="BB77" s="165">
        <v>0</v>
      </c>
      <c r="BC77" s="165" t="e">
        <f t="shared" si="34"/>
        <v>#DIV/0!</v>
      </c>
      <c r="BD77" s="165" t="e">
        <v>#DIV/0!</v>
      </c>
      <c r="BE77" s="165" t="e">
        <f t="shared" si="35"/>
        <v>#DIV/0!</v>
      </c>
      <c r="BF77" s="165" t="e">
        <v>#DIV/0!</v>
      </c>
      <c r="BG77" s="165" t="e">
        <f t="shared" si="36"/>
        <v>#DIV/0!</v>
      </c>
      <c r="BH77" s="165" t="e">
        <v>#DIV/0!</v>
      </c>
      <c r="BI77" s="165" t="e">
        <f t="shared" si="37"/>
        <v>#DIV/0!</v>
      </c>
      <c r="BJ77" s="165" t="e">
        <v>#DIV/0!</v>
      </c>
      <c r="BK77" s="165" t="e">
        <f t="shared" si="38"/>
        <v>#DIV/0!</v>
      </c>
      <c r="BL77" s="165" t="e">
        <v>#DIV/0!</v>
      </c>
      <c r="BM77" s="165" t="e">
        <f t="shared" si="39"/>
        <v>#DIV/0!</v>
      </c>
      <c r="BN77" s="165" t="e">
        <v>#DIV/0!</v>
      </c>
    </row>
    <row r="78" spans="1:66" ht="15.6" x14ac:dyDescent="0.3">
      <c r="A78" s="155">
        <v>10</v>
      </c>
      <c r="B78" s="155">
        <v>15</v>
      </c>
      <c r="C78" s="156">
        <v>95890</v>
      </c>
      <c r="D78" s="156"/>
      <c r="E78" s="156"/>
      <c r="F78" s="156">
        <v>36026155500</v>
      </c>
      <c r="G78" s="156"/>
      <c r="H78" s="172"/>
      <c r="I78" s="157">
        <v>4.2086792103360846E-2</v>
      </c>
      <c r="J78" s="157" t="e">
        <v>#DIV/0!</v>
      </c>
      <c r="K78" s="157"/>
      <c r="L78" s="157">
        <v>12.523431536135154</v>
      </c>
      <c r="M78" s="157"/>
      <c r="N78" s="157"/>
      <c r="O78" s="146"/>
      <c r="P78" s="159" t="str">
        <f t="shared" si="22"/>
        <v>(10, 15]</v>
      </c>
      <c r="Q78" s="160" t="s">
        <v>139</v>
      </c>
      <c r="R78" s="157">
        <f t="shared" si="23"/>
        <v>4.2086792103360846E-2</v>
      </c>
      <c r="S78" s="162">
        <v>2E-8</v>
      </c>
      <c r="T78" s="162">
        <v>2E-8</v>
      </c>
      <c r="U78" s="162"/>
      <c r="V78" s="162"/>
      <c r="W78" s="162"/>
      <c r="X78" s="162"/>
      <c r="Y78" s="162"/>
      <c r="Z78" s="162"/>
      <c r="AA78" s="163">
        <v>8.417358420672169E-10</v>
      </c>
      <c r="AB78" s="163">
        <v>8.417358420672169E-10</v>
      </c>
      <c r="AC78" s="163">
        <v>0</v>
      </c>
      <c r="AD78" s="163">
        <v>0</v>
      </c>
      <c r="AE78" s="163">
        <v>0</v>
      </c>
      <c r="AF78" s="163">
        <v>0</v>
      </c>
      <c r="AG78" s="163">
        <v>0</v>
      </c>
      <c r="AH78" s="163">
        <v>0</v>
      </c>
      <c r="AI78" s="163">
        <v>1.9769841652108584E-9</v>
      </c>
      <c r="AJ78" s="163">
        <v>1.6977387957102682E-9</v>
      </c>
      <c r="AK78" s="163" t="e">
        <v>#DIV/0!</v>
      </c>
      <c r="AL78" s="163" t="e">
        <v>#DIV/0!</v>
      </c>
      <c r="AM78" s="163" t="e">
        <v>#DIV/0!</v>
      </c>
      <c r="AN78" s="163" t="e">
        <v>#DIV/0!</v>
      </c>
      <c r="AO78" s="163" t="e">
        <v>#DIV/0!</v>
      </c>
      <c r="AP78" s="163" t="e">
        <v>#DIV/0!</v>
      </c>
      <c r="AQ78" s="164">
        <f t="shared" si="24"/>
        <v>1</v>
      </c>
      <c r="AR78" s="164">
        <f t="shared" si="25"/>
        <v>1</v>
      </c>
      <c r="AS78" s="164" t="e">
        <f t="shared" si="26"/>
        <v>#DIV/0!</v>
      </c>
      <c r="AT78" s="164" t="e">
        <f t="shared" si="27"/>
        <v>#DIV/0!</v>
      </c>
      <c r="AU78" s="164" t="e">
        <f t="shared" si="28"/>
        <v>#DIV/0!</v>
      </c>
      <c r="AV78" s="164" t="e">
        <f t="shared" si="29"/>
        <v>#DIV/0!</v>
      </c>
      <c r="AW78" s="164" t="e">
        <f t="shared" si="30"/>
        <v>#DIV/0!</v>
      </c>
      <c r="AX78" s="164" t="e">
        <f t="shared" si="31"/>
        <v>#DIV/0!</v>
      </c>
      <c r="AY78" s="165">
        <f t="shared" si="32"/>
        <v>1.2523431536135154E-8</v>
      </c>
      <c r="AZ78" s="165">
        <v>1.000000008E-9</v>
      </c>
      <c r="BA78" s="165">
        <f t="shared" si="33"/>
        <v>1.2523431536135154E-8</v>
      </c>
      <c r="BB78" s="165">
        <v>1.0000000170000003E-9</v>
      </c>
      <c r="BC78" s="165" t="e">
        <f t="shared" si="34"/>
        <v>#DIV/0!</v>
      </c>
      <c r="BD78" s="165" t="e">
        <v>#DIV/0!</v>
      </c>
      <c r="BE78" s="165" t="e">
        <f t="shared" si="35"/>
        <v>#DIV/0!</v>
      </c>
      <c r="BF78" s="165" t="e">
        <v>#DIV/0!</v>
      </c>
      <c r="BG78" s="165" t="e">
        <f t="shared" si="36"/>
        <v>#DIV/0!</v>
      </c>
      <c r="BH78" s="165" t="e">
        <v>#DIV/0!</v>
      </c>
      <c r="BI78" s="165" t="e">
        <f t="shared" si="37"/>
        <v>#DIV/0!</v>
      </c>
      <c r="BJ78" s="165" t="e">
        <v>#DIV/0!</v>
      </c>
      <c r="BK78" s="165" t="e">
        <f t="shared" si="38"/>
        <v>#DIV/0!</v>
      </c>
      <c r="BL78" s="165" t="e">
        <v>#DIV/0!</v>
      </c>
      <c r="BM78" s="165" t="e">
        <f t="shared" si="39"/>
        <v>#DIV/0!</v>
      </c>
      <c r="BN78" s="165" t="e">
        <v>#DIV/0!</v>
      </c>
    </row>
    <row r="79" spans="1:66" ht="15.6" x14ac:dyDescent="0.3">
      <c r="A79" s="155">
        <v>15</v>
      </c>
      <c r="B79" s="155">
        <v>20</v>
      </c>
      <c r="C79" s="156">
        <v>89276</v>
      </c>
      <c r="D79" s="156"/>
      <c r="E79" s="156"/>
      <c r="F79" s="156">
        <v>46925365500</v>
      </c>
      <c r="G79" s="156"/>
      <c r="H79" s="172"/>
      <c r="I79" s="157">
        <v>3.9183861214095762E-2</v>
      </c>
      <c r="J79" s="157" t="e">
        <v>#DIV/0!</v>
      </c>
      <c r="K79" s="157"/>
      <c r="L79" s="157">
        <v>17.520709373179805</v>
      </c>
      <c r="M79" s="157"/>
      <c r="N79" s="157"/>
      <c r="O79" s="146"/>
      <c r="P79" s="159" t="str">
        <f t="shared" si="22"/>
        <v>(15, 20]</v>
      </c>
      <c r="Q79" s="160" t="s">
        <v>139</v>
      </c>
      <c r="R79" s="157">
        <f t="shared" si="23"/>
        <v>3.9183861214095762E-2</v>
      </c>
      <c r="S79" s="162">
        <v>2E-8</v>
      </c>
      <c r="T79" s="162">
        <v>2E-8</v>
      </c>
      <c r="U79" s="162"/>
      <c r="V79" s="162"/>
      <c r="W79" s="162"/>
      <c r="X79" s="162"/>
      <c r="Y79" s="162"/>
      <c r="Z79" s="162"/>
      <c r="AA79" s="163">
        <v>7.8367722428191528E-10</v>
      </c>
      <c r="AB79" s="163">
        <v>7.8367722428191528E-10</v>
      </c>
      <c r="AC79" s="163">
        <v>0</v>
      </c>
      <c r="AD79" s="163">
        <v>0</v>
      </c>
      <c r="AE79" s="163">
        <v>0</v>
      </c>
      <c r="AF79" s="163">
        <v>0</v>
      </c>
      <c r="AG79" s="163">
        <v>0</v>
      </c>
      <c r="AH79" s="163">
        <v>0</v>
      </c>
      <c r="AI79" s="163">
        <v>1.8406219452848534E-9</v>
      </c>
      <c r="AJ79" s="163">
        <v>1.5806374880157463E-9</v>
      </c>
      <c r="AK79" s="163" t="e">
        <v>#DIV/0!</v>
      </c>
      <c r="AL79" s="163" t="e">
        <v>#DIV/0!</v>
      </c>
      <c r="AM79" s="163" t="e">
        <v>#DIV/0!</v>
      </c>
      <c r="AN79" s="163" t="e">
        <v>#DIV/0!</v>
      </c>
      <c r="AO79" s="163" t="e">
        <v>#DIV/0!</v>
      </c>
      <c r="AP79" s="163" t="e">
        <v>#DIV/0!</v>
      </c>
      <c r="AQ79" s="164">
        <f t="shared" si="24"/>
        <v>1</v>
      </c>
      <c r="AR79" s="164">
        <f t="shared" si="25"/>
        <v>1</v>
      </c>
      <c r="AS79" s="164" t="e">
        <f t="shared" si="26"/>
        <v>#DIV/0!</v>
      </c>
      <c r="AT79" s="164" t="e">
        <f t="shared" si="27"/>
        <v>#DIV/0!</v>
      </c>
      <c r="AU79" s="164" t="e">
        <f t="shared" si="28"/>
        <v>#DIV/0!</v>
      </c>
      <c r="AV79" s="164" t="e">
        <f t="shared" si="29"/>
        <v>#DIV/0!</v>
      </c>
      <c r="AW79" s="164" t="e">
        <f t="shared" si="30"/>
        <v>#DIV/0!</v>
      </c>
      <c r="AX79" s="164" t="e">
        <f t="shared" si="31"/>
        <v>#DIV/0!</v>
      </c>
      <c r="AY79" s="165">
        <f t="shared" si="32"/>
        <v>1.7520709373179805E-8</v>
      </c>
      <c r="AZ79" s="165">
        <v>1.000000008E-9</v>
      </c>
      <c r="BA79" s="165">
        <f t="shared" si="33"/>
        <v>1.7520709373179805E-8</v>
      </c>
      <c r="BB79" s="165">
        <v>1.0000000170000003E-9</v>
      </c>
      <c r="BC79" s="165" t="e">
        <f t="shared" si="34"/>
        <v>#DIV/0!</v>
      </c>
      <c r="BD79" s="165" t="e">
        <v>#DIV/0!</v>
      </c>
      <c r="BE79" s="165" t="e">
        <f t="shared" si="35"/>
        <v>#DIV/0!</v>
      </c>
      <c r="BF79" s="165" t="e">
        <v>#DIV/0!</v>
      </c>
      <c r="BG79" s="165" t="e">
        <f t="shared" si="36"/>
        <v>#DIV/0!</v>
      </c>
      <c r="BH79" s="165" t="e">
        <v>#DIV/0!</v>
      </c>
      <c r="BI79" s="165" t="e">
        <f t="shared" si="37"/>
        <v>#DIV/0!</v>
      </c>
      <c r="BJ79" s="165" t="e">
        <v>#DIV/0!</v>
      </c>
      <c r="BK79" s="165" t="e">
        <f t="shared" si="38"/>
        <v>#DIV/0!</v>
      </c>
      <c r="BL79" s="165" t="e">
        <v>#DIV/0!</v>
      </c>
      <c r="BM79" s="165" t="e">
        <f t="shared" si="39"/>
        <v>#DIV/0!</v>
      </c>
      <c r="BN79" s="165" t="e">
        <v>#DIV/0!</v>
      </c>
    </row>
    <row r="80" spans="1:66" ht="15.6" x14ac:dyDescent="0.3">
      <c r="A80" s="155">
        <v>20</v>
      </c>
      <c r="B80" s="155">
        <v>25</v>
      </c>
      <c r="C80" s="156">
        <v>82338</v>
      </c>
      <c r="D80" s="156"/>
      <c r="E80" s="156"/>
      <c r="F80" s="156">
        <v>55590268500</v>
      </c>
      <c r="G80" s="156"/>
      <c r="H80" s="172"/>
      <c r="I80" s="157">
        <v>3.6138724457258575E-2</v>
      </c>
      <c r="J80" s="157" t="e">
        <v>#DIV/0!</v>
      </c>
      <c r="K80" s="157"/>
      <c r="L80" s="157">
        <v>22.504905997230928</v>
      </c>
      <c r="M80" s="157"/>
      <c r="N80" s="157"/>
      <c r="O80" s="146"/>
      <c r="P80" s="159" t="str">
        <f t="shared" si="22"/>
        <v>(20, 25]</v>
      </c>
      <c r="Q80" s="160" t="s">
        <v>139</v>
      </c>
      <c r="R80" s="157">
        <f t="shared" si="23"/>
        <v>3.6138724457258575E-2</v>
      </c>
      <c r="S80" s="162">
        <v>2E-8</v>
      </c>
      <c r="T80" s="162">
        <v>1.5</v>
      </c>
      <c r="U80" s="162"/>
      <c r="V80" s="162"/>
      <c r="W80" s="162"/>
      <c r="X80" s="162"/>
      <c r="Y80" s="162"/>
      <c r="Z80" s="162"/>
      <c r="AA80" s="163">
        <v>7.2277448914517152E-10</v>
      </c>
      <c r="AB80" s="163">
        <v>5.4208086685887863E-2</v>
      </c>
      <c r="AC80" s="163">
        <v>0</v>
      </c>
      <c r="AD80" s="163">
        <v>0</v>
      </c>
      <c r="AE80" s="163">
        <v>0</v>
      </c>
      <c r="AF80" s="163">
        <v>0</v>
      </c>
      <c r="AG80" s="163">
        <v>0</v>
      </c>
      <c r="AH80" s="163">
        <v>0</v>
      </c>
      <c r="AI80" s="163">
        <v>1.6975797496624427E-9</v>
      </c>
      <c r="AJ80" s="163">
        <v>0.10933498041599128</v>
      </c>
      <c r="AK80" s="163" t="e">
        <v>#DIV/0!</v>
      </c>
      <c r="AL80" s="163" t="e">
        <v>#DIV/0!</v>
      </c>
      <c r="AM80" s="163" t="e">
        <v>#DIV/0!</v>
      </c>
      <c r="AN80" s="163" t="e">
        <v>#DIV/0!</v>
      </c>
      <c r="AO80" s="163" t="e">
        <v>#DIV/0!</v>
      </c>
      <c r="AP80" s="163" t="e">
        <v>#DIV/0!</v>
      </c>
      <c r="AQ80" s="164">
        <f t="shared" si="24"/>
        <v>1</v>
      </c>
      <c r="AR80" s="164">
        <f t="shared" si="25"/>
        <v>109334980</v>
      </c>
      <c r="AS80" s="164" t="e">
        <f t="shared" si="26"/>
        <v>#DIV/0!</v>
      </c>
      <c r="AT80" s="164" t="e">
        <f t="shared" si="27"/>
        <v>#DIV/0!</v>
      </c>
      <c r="AU80" s="164" t="e">
        <f t="shared" si="28"/>
        <v>#DIV/0!</v>
      </c>
      <c r="AV80" s="164" t="e">
        <f t="shared" si="29"/>
        <v>#DIV/0!</v>
      </c>
      <c r="AW80" s="164" t="e">
        <f t="shared" si="30"/>
        <v>#DIV/0!</v>
      </c>
      <c r="AX80" s="164" t="e">
        <f t="shared" si="31"/>
        <v>#DIV/0!</v>
      </c>
      <c r="AY80" s="165">
        <f t="shared" si="32"/>
        <v>2.2504905997230929E-8</v>
      </c>
      <c r="AZ80" s="165">
        <v>1.000000008E-9</v>
      </c>
      <c r="BA80" s="165">
        <f t="shared" si="33"/>
        <v>2.4605734471091236</v>
      </c>
      <c r="BB80" s="165">
        <v>0.1093349818586947</v>
      </c>
      <c r="BC80" s="165" t="e">
        <f t="shared" si="34"/>
        <v>#DIV/0!</v>
      </c>
      <c r="BD80" s="165" t="e">
        <v>#DIV/0!</v>
      </c>
      <c r="BE80" s="165" t="e">
        <f t="shared" si="35"/>
        <v>#DIV/0!</v>
      </c>
      <c r="BF80" s="165" t="e">
        <v>#DIV/0!</v>
      </c>
      <c r="BG80" s="165" t="e">
        <f t="shared" si="36"/>
        <v>#DIV/0!</v>
      </c>
      <c r="BH80" s="165" t="e">
        <v>#DIV/0!</v>
      </c>
      <c r="BI80" s="165" t="e">
        <f t="shared" si="37"/>
        <v>#DIV/0!</v>
      </c>
      <c r="BJ80" s="165" t="e">
        <v>#DIV/0!</v>
      </c>
      <c r="BK80" s="165" t="e">
        <f t="shared" si="38"/>
        <v>#DIV/0!</v>
      </c>
      <c r="BL80" s="165" t="e">
        <v>#DIV/0!</v>
      </c>
      <c r="BM80" s="165" t="e">
        <f t="shared" si="39"/>
        <v>#DIV/0!</v>
      </c>
      <c r="BN80" s="165" t="e">
        <v>#DIV/0!</v>
      </c>
    </row>
    <row r="81" spans="1:66" ht="15.6" x14ac:dyDescent="0.3">
      <c r="A81" s="155">
        <v>25</v>
      </c>
      <c r="B81" s="155">
        <v>30</v>
      </c>
      <c r="C81" s="156">
        <v>76062</v>
      </c>
      <c r="D81" s="156"/>
      <c r="E81" s="156"/>
      <c r="F81" s="156">
        <v>62784630000</v>
      </c>
      <c r="G81" s="156"/>
      <c r="H81" s="172"/>
      <c r="I81" s="157">
        <v>3.3384144133547108E-2</v>
      </c>
      <c r="J81" s="157" t="e">
        <v>#DIV/0!</v>
      </c>
      <c r="K81" s="157"/>
      <c r="L81" s="157">
        <v>27.514672241066496</v>
      </c>
      <c r="M81" s="157"/>
      <c r="N81" s="157"/>
      <c r="O81" s="146"/>
      <c r="P81" s="159" t="str">
        <f t="shared" si="22"/>
        <v>(25, 30]</v>
      </c>
      <c r="Q81" s="160" t="s">
        <v>139</v>
      </c>
      <c r="R81" s="157">
        <f t="shared" si="23"/>
        <v>3.3384144133547108E-2</v>
      </c>
      <c r="S81" s="162">
        <v>2E-8</v>
      </c>
      <c r="T81" s="162">
        <v>1.5</v>
      </c>
      <c r="U81" s="162"/>
      <c r="V81" s="162"/>
      <c r="W81" s="162"/>
      <c r="X81" s="162"/>
      <c r="Y81" s="162"/>
      <c r="Z81" s="162"/>
      <c r="AA81" s="163">
        <v>6.6768288267094223E-10</v>
      </c>
      <c r="AB81" s="163">
        <v>5.0076216200320663E-2</v>
      </c>
      <c r="AC81" s="163">
        <v>0</v>
      </c>
      <c r="AD81" s="163">
        <v>0</v>
      </c>
      <c r="AE81" s="163">
        <v>0</v>
      </c>
      <c r="AF81" s="163">
        <v>0</v>
      </c>
      <c r="AG81" s="163">
        <v>0</v>
      </c>
      <c r="AH81" s="163">
        <v>0</v>
      </c>
      <c r="AI81" s="163">
        <v>1.5681861463579967E-9</v>
      </c>
      <c r="AJ81" s="163">
        <v>0.10100120576648848</v>
      </c>
      <c r="AK81" s="163" t="e">
        <v>#DIV/0!</v>
      </c>
      <c r="AL81" s="163" t="e">
        <v>#DIV/0!</v>
      </c>
      <c r="AM81" s="163" t="e">
        <v>#DIV/0!</v>
      </c>
      <c r="AN81" s="163" t="e">
        <v>#DIV/0!</v>
      </c>
      <c r="AO81" s="163" t="e">
        <v>#DIV/0!</v>
      </c>
      <c r="AP81" s="163" t="e">
        <v>#DIV/0!</v>
      </c>
      <c r="AQ81" s="164">
        <f t="shared" si="24"/>
        <v>1</v>
      </c>
      <c r="AR81" s="164">
        <f t="shared" si="25"/>
        <v>101001205</v>
      </c>
      <c r="AS81" s="164" t="e">
        <f t="shared" si="26"/>
        <v>#DIV/0!</v>
      </c>
      <c r="AT81" s="164" t="e">
        <f t="shared" si="27"/>
        <v>#DIV/0!</v>
      </c>
      <c r="AU81" s="164" t="e">
        <f t="shared" si="28"/>
        <v>#DIV/0!</v>
      </c>
      <c r="AV81" s="164" t="e">
        <f t="shared" si="29"/>
        <v>#DIV/0!</v>
      </c>
      <c r="AW81" s="164" t="e">
        <f t="shared" si="30"/>
        <v>#DIV/0!</v>
      </c>
      <c r="AX81" s="164" t="e">
        <f t="shared" si="31"/>
        <v>#DIV/0!</v>
      </c>
      <c r="AY81" s="165">
        <f t="shared" si="32"/>
        <v>2.7514672241066496E-8</v>
      </c>
      <c r="AZ81" s="165">
        <v>1.000000008E-9</v>
      </c>
      <c r="BA81" s="165">
        <f t="shared" si="33"/>
        <v>2.7790150515277667</v>
      </c>
      <c r="BB81" s="165">
        <v>0.10100120671702051</v>
      </c>
      <c r="BC81" s="165" t="e">
        <f t="shared" si="34"/>
        <v>#DIV/0!</v>
      </c>
      <c r="BD81" s="165" t="e">
        <v>#DIV/0!</v>
      </c>
      <c r="BE81" s="165" t="e">
        <f t="shared" si="35"/>
        <v>#DIV/0!</v>
      </c>
      <c r="BF81" s="165" t="e">
        <v>#DIV/0!</v>
      </c>
      <c r="BG81" s="165" t="e">
        <f t="shared" si="36"/>
        <v>#DIV/0!</v>
      </c>
      <c r="BH81" s="165" t="e">
        <v>#DIV/0!</v>
      </c>
      <c r="BI81" s="165" t="e">
        <f t="shared" si="37"/>
        <v>#DIV/0!</v>
      </c>
      <c r="BJ81" s="165" t="e">
        <v>#DIV/0!</v>
      </c>
      <c r="BK81" s="165" t="e">
        <f t="shared" si="38"/>
        <v>#DIV/0!</v>
      </c>
      <c r="BL81" s="165" t="e">
        <v>#DIV/0!</v>
      </c>
      <c r="BM81" s="165" t="e">
        <f t="shared" si="39"/>
        <v>#DIV/0!</v>
      </c>
      <c r="BN81" s="165" t="e">
        <v>#DIV/0!</v>
      </c>
    </row>
    <row r="82" spans="1:66" ht="15.6" x14ac:dyDescent="0.3">
      <c r="A82" s="155">
        <v>30</v>
      </c>
      <c r="B82" s="155">
        <v>35</v>
      </c>
      <c r="C82" s="156">
        <v>70584</v>
      </c>
      <c r="D82" s="156"/>
      <c r="E82" s="156"/>
      <c r="F82" s="156">
        <v>68860291500</v>
      </c>
      <c r="G82" s="156"/>
      <c r="H82" s="172"/>
      <c r="I82" s="157">
        <v>3.0979811594781748E-2</v>
      </c>
      <c r="J82" s="157" t="e">
        <v>#DIV/0!</v>
      </c>
      <c r="K82" s="157"/>
      <c r="L82" s="157">
        <v>32.519311033662021</v>
      </c>
      <c r="M82" s="157"/>
      <c r="N82" s="157"/>
      <c r="O82" s="146"/>
      <c r="P82" s="159" t="str">
        <f t="shared" si="22"/>
        <v>(30, 35]</v>
      </c>
      <c r="Q82" s="160" t="s">
        <v>139</v>
      </c>
      <c r="R82" s="157">
        <f t="shared" si="23"/>
        <v>3.0979811594781748E-2</v>
      </c>
      <c r="S82" s="162">
        <v>2E-8</v>
      </c>
      <c r="T82" s="162">
        <v>1.6</v>
      </c>
      <c r="U82" s="162"/>
      <c r="V82" s="162"/>
      <c r="W82" s="162"/>
      <c r="X82" s="162"/>
      <c r="Y82" s="162"/>
      <c r="Z82" s="162"/>
      <c r="AA82" s="163">
        <v>6.1959623189563499E-10</v>
      </c>
      <c r="AB82" s="163">
        <v>4.9567698551650802E-2</v>
      </c>
      <c r="AC82" s="163">
        <v>0</v>
      </c>
      <c r="AD82" s="163">
        <v>0</v>
      </c>
      <c r="AE82" s="163">
        <v>0</v>
      </c>
      <c r="AF82" s="163">
        <v>0</v>
      </c>
      <c r="AG82" s="163">
        <v>0</v>
      </c>
      <c r="AH82" s="163">
        <v>0</v>
      </c>
      <c r="AI82" s="163">
        <v>1.4552450757872898E-9</v>
      </c>
      <c r="AJ82" s="163">
        <v>9.9975551282856262E-2</v>
      </c>
      <c r="AK82" s="163" t="e">
        <v>#DIV/0!</v>
      </c>
      <c r="AL82" s="163" t="e">
        <v>#DIV/0!</v>
      </c>
      <c r="AM82" s="163" t="e">
        <v>#DIV/0!</v>
      </c>
      <c r="AN82" s="163" t="e">
        <v>#DIV/0!</v>
      </c>
      <c r="AO82" s="163" t="e">
        <v>#DIV/0!</v>
      </c>
      <c r="AP82" s="163" t="e">
        <v>#DIV/0!</v>
      </c>
      <c r="AQ82" s="164">
        <f t="shared" si="24"/>
        <v>1</v>
      </c>
      <c r="AR82" s="164">
        <f t="shared" si="25"/>
        <v>99975551</v>
      </c>
      <c r="AS82" s="164" t="e">
        <f t="shared" si="26"/>
        <v>#DIV/0!</v>
      </c>
      <c r="AT82" s="164" t="e">
        <f t="shared" si="27"/>
        <v>#DIV/0!</v>
      </c>
      <c r="AU82" s="164" t="e">
        <f t="shared" si="28"/>
        <v>#DIV/0!</v>
      </c>
      <c r="AV82" s="164" t="e">
        <f t="shared" si="29"/>
        <v>#DIV/0!</v>
      </c>
      <c r="AW82" s="164" t="e">
        <f t="shared" si="30"/>
        <v>#DIV/0!</v>
      </c>
      <c r="AX82" s="164" t="e">
        <f t="shared" si="31"/>
        <v>#DIV/0!</v>
      </c>
      <c r="AY82" s="165">
        <f t="shared" si="32"/>
        <v>3.251931103366202E-8</v>
      </c>
      <c r="AZ82" s="165">
        <v>1.000000008E-9</v>
      </c>
      <c r="BA82" s="165">
        <f t="shared" si="33"/>
        <v>3.2511360387307402</v>
      </c>
      <c r="BB82" s="165">
        <v>9.99755526995844E-2</v>
      </c>
      <c r="BC82" s="165" t="e">
        <f t="shared" si="34"/>
        <v>#DIV/0!</v>
      </c>
      <c r="BD82" s="165" t="e">
        <v>#DIV/0!</v>
      </c>
      <c r="BE82" s="165" t="e">
        <f t="shared" si="35"/>
        <v>#DIV/0!</v>
      </c>
      <c r="BF82" s="165" t="e">
        <v>#DIV/0!</v>
      </c>
      <c r="BG82" s="165" t="e">
        <f t="shared" si="36"/>
        <v>#DIV/0!</v>
      </c>
      <c r="BH82" s="165" t="e">
        <v>#DIV/0!</v>
      </c>
      <c r="BI82" s="165" t="e">
        <f t="shared" si="37"/>
        <v>#DIV/0!</v>
      </c>
      <c r="BJ82" s="165" t="e">
        <v>#DIV/0!</v>
      </c>
      <c r="BK82" s="165" t="e">
        <f t="shared" si="38"/>
        <v>#DIV/0!</v>
      </c>
      <c r="BL82" s="165" t="e">
        <v>#DIV/0!</v>
      </c>
      <c r="BM82" s="165" t="e">
        <f t="shared" si="39"/>
        <v>#DIV/0!</v>
      </c>
      <c r="BN82" s="165" t="e">
        <v>#DIV/0!</v>
      </c>
    </row>
    <row r="83" spans="1:66" ht="15.6" x14ac:dyDescent="0.3">
      <c r="A83" s="155">
        <v>35</v>
      </c>
      <c r="B83" s="155">
        <v>40</v>
      </c>
      <c r="C83" s="156">
        <v>65100</v>
      </c>
      <c r="D83" s="156"/>
      <c r="E83" s="156"/>
      <c r="F83" s="156">
        <v>73285413000</v>
      </c>
      <c r="G83" s="156"/>
      <c r="H83" s="172"/>
      <c r="I83" s="157">
        <v>2.8572845614024307E-2</v>
      </c>
      <c r="J83" s="157" t="e">
        <v>#DIV/0!</v>
      </c>
      <c r="K83" s="157"/>
      <c r="L83" s="157">
        <v>37.524533026113673</v>
      </c>
      <c r="M83" s="157"/>
      <c r="N83" s="157"/>
      <c r="O83" s="146"/>
      <c r="P83" s="159" t="str">
        <f t="shared" si="22"/>
        <v>(35, 40]</v>
      </c>
      <c r="Q83" s="160" t="s">
        <v>139</v>
      </c>
      <c r="R83" s="157">
        <f t="shared" si="23"/>
        <v>2.8572845614024307E-2</v>
      </c>
      <c r="S83" s="162">
        <v>2E-8</v>
      </c>
      <c r="T83" s="162">
        <v>1.6</v>
      </c>
      <c r="U83" s="162"/>
      <c r="V83" s="162"/>
      <c r="W83" s="162"/>
      <c r="X83" s="162"/>
      <c r="Y83" s="162"/>
      <c r="Z83" s="162"/>
      <c r="AA83" s="163">
        <v>5.7145691228048618E-10</v>
      </c>
      <c r="AB83" s="163">
        <v>4.5716552982438895E-2</v>
      </c>
      <c r="AC83" s="163">
        <v>0</v>
      </c>
      <c r="AD83" s="163">
        <v>0</v>
      </c>
      <c r="AE83" s="163">
        <v>0</v>
      </c>
      <c r="AF83" s="163">
        <v>0</v>
      </c>
      <c r="AG83" s="163">
        <v>0</v>
      </c>
      <c r="AH83" s="163">
        <v>0</v>
      </c>
      <c r="AI83" s="163">
        <v>1.3421803019629458E-9</v>
      </c>
      <c r="AJ83" s="163">
        <v>9.2207984649693153E-2</v>
      </c>
      <c r="AK83" s="163" t="e">
        <v>#DIV/0!</v>
      </c>
      <c r="AL83" s="163" t="e">
        <v>#DIV/0!</v>
      </c>
      <c r="AM83" s="163" t="e">
        <v>#DIV/0!</v>
      </c>
      <c r="AN83" s="163" t="e">
        <v>#DIV/0!</v>
      </c>
      <c r="AO83" s="163" t="e">
        <v>#DIV/0!</v>
      </c>
      <c r="AP83" s="163" t="e">
        <v>#DIV/0!</v>
      </c>
      <c r="AQ83" s="164">
        <f t="shared" si="24"/>
        <v>1</v>
      </c>
      <c r="AR83" s="164">
        <f t="shared" si="25"/>
        <v>92207984</v>
      </c>
      <c r="AS83" s="164" t="e">
        <f t="shared" si="26"/>
        <v>#DIV/0!</v>
      </c>
      <c r="AT83" s="164" t="e">
        <f t="shared" si="27"/>
        <v>#DIV/0!</v>
      </c>
      <c r="AU83" s="164" t="e">
        <f t="shared" si="28"/>
        <v>#DIV/0!</v>
      </c>
      <c r="AV83" s="164" t="e">
        <f t="shared" si="29"/>
        <v>#DIV/0!</v>
      </c>
      <c r="AW83" s="164" t="e">
        <f t="shared" si="30"/>
        <v>#DIV/0!</v>
      </c>
      <c r="AX83" s="164" t="e">
        <f t="shared" si="31"/>
        <v>#DIV/0!</v>
      </c>
      <c r="AY83" s="165">
        <f t="shared" si="32"/>
        <v>3.7524533026113675E-8</v>
      </c>
      <c r="AZ83" s="165">
        <v>1.000000008E-9</v>
      </c>
      <c r="BA83" s="165">
        <f t="shared" si="33"/>
        <v>3.4600615408793614</v>
      </c>
      <c r="BB83" s="165">
        <v>9.2207985567535761E-2</v>
      </c>
      <c r="BC83" s="165" t="e">
        <f t="shared" si="34"/>
        <v>#DIV/0!</v>
      </c>
      <c r="BD83" s="165" t="e">
        <v>#DIV/0!</v>
      </c>
      <c r="BE83" s="165" t="e">
        <f t="shared" si="35"/>
        <v>#DIV/0!</v>
      </c>
      <c r="BF83" s="165" t="e">
        <v>#DIV/0!</v>
      </c>
      <c r="BG83" s="165" t="e">
        <f t="shared" si="36"/>
        <v>#DIV/0!</v>
      </c>
      <c r="BH83" s="165" t="e">
        <v>#DIV/0!</v>
      </c>
      <c r="BI83" s="165" t="e">
        <f t="shared" si="37"/>
        <v>#DIV/0!</v>
      </c>
      <c r="BJ83" s="165" t="e">
        <v>#DIV/0!</v>
      </c>
      <c r="BK83" s="165" t="e">
        <f t="shared" si="38"/>
        <v>#DIV/0!</v>
      </c>
      <c r="BL83" s="165" t="e">
        <v>#DIV/0!</v>
      </c>
      <c r="BM83" s="165" t="e">
        <f t="shared" si="39"/>
        <v>#DIV/0!</v>
      </c>
      <c r="BN83" s="165" t="e">
        <v>#DIV/0!</v>
      </c>
    </row>
    <row r="84" spans="1:66" ht="15.6" x14ac:dyDescent="0.3">
      <c r="A84" s="155">
        <v>40</v>
      </c>
      <c r="B84" s="155">
        <v>45</v>
      </c>
      <c r="C84" s="156">
        <v>61979</v>
      </c>
      <c r="D84" s="156"/>
      <c r="E84" s="156"/>
      <c r="F84" s="156">
        <v>79058508000</v>
      </c>
      <c r="G84" s="156"/>
      <c r="H84" s="172"/>
      <c r="I84" s="157">
        <v>2.7203016871146121E-2</v>
      </c>
      <c r="J84" s="157" t="e">
        <v>#DIV/0!</v>
      </c>
      <c r="K84" s="157"/>
      <c r="L84" s="157">
        <v>42.518975782119746</v>
      </c>
      <c r="M84" s="157"/>
      <c r="N84" s="157"/>
      <c r="O84" s="146"/>
      <c r="P84" s="159" t="str">
        <f t="shared" si="22"/>
        <v>(40, 45]</v>
      </c>
      <c r="Q84" s="160" t="s">
        <v>139</v>
      </c>
      <c r="R84" s="157">
        <f t="shared" si="23"/>
        <v>2.7203016871146121E-2</v>
      </c>
      <c r="S84" s="162">
        <v>3</v>
      </c>
      <c r="T84" s="162">
        <v>1.7</v>
      </c>
      <c r="U84" s="162"/>
      <c r="V84" s="162"/>
      <c r="W84" s="162"/>
      <c r="X84" s="162"/>
      <c r="Y84" s="162"/>
      <c r="Z84" s="162"/>
      <c r="AA84" s="163">
        <v>8.1609050613438358E-2</v>
      </c>
      <c r="AB84" s="163">
        <v>4.6245128680948405E-2</v>
      </c>
      <c r="AC84" s="163">
        <v>0</v>
      </c>
      <c r="AD84" s="163">
        <v>0</v>
      </c>
      <c r="AE84" s="163">
        <v>0</v>
      </c>
      <c r="AF84" s="163">
        <v>0</v>
      </c>
      <c r="AG84" s="163">
        <v>0</v>
      </c>
      <c r="AH84" s="163">
        <v>0</v>
      </c>
      <c r="AI84" s="163">
        <v>0.19167509892940415</v>
      </c>
      <c r="AJ84" s="163">
        <v>9.327409520953979E-2</v>
      </c>
      <c r="AK84" s="163" t="e">
        <v>#DIV/0!</v>
      </c>
      <c r="AL84" s="163" t="e">
        <v>#DIV/0!</v>
      </c>
      <c r="AM84" s="163" t="e">
        <v>#DIV/0!</v>
      </c>
      <c r="AN84" s="163" t="e">
        <v>#DIV/0!</v>
      </c>
      <c r="AO84" s="163" t="e">
        <v>#DIV/0!</v>
      </c>
      <c r="AP84" s="163" t="e">
        <v>#DIV/0!</v>
      </c>
      <c r="AQ84" s="164">
        <f t="shared" si="24"/>
        <v>191675098</v>
      </c>
      <c r="AR84" s="164">
        <f t="shared" si="25"/>
        <v>93274095</v>
      </c>
      <c r="AS84" s="164" t="e">
        <f t="shared" si="26"/>
        <v>#DIV/0!</v>
      </c>
      <c r="AT84" s="164" t="e">
        <f t="shared" si="27"/>
        <v>#DIV/0!</v>
      </c>
      <c r="AU84" s="164" t="e">
        <f t="shared" si="28"/>
        <v>#DIV/0!</v>
      </c>
      <c r="AV84" s="164" t="e">
        <f t="shared" si="29"/>
        <v>#DIV/0!</v>
      </c>
      <c r="AW84" s="164" t="e">
        <f t="shared" si="30"/>
        <v>#DIV/0!</v>
      </c>
      <c r="AX84" s="164" t="e">
        <f t="shared" si="31"/>
        <v>#DIV/0!</v>
      </c>
      <c r="AY84" s="165">
        <f t="shared" si="32"/>
        <v>8.1498288498974283</v>
      </c>
      <c r="AZ84" s="165">
        <v>0.19167509953340078</v>
      </c>
      <c r="BA84" s="165">
        <f t="shared" si="33"/>
        <v>3.9659189864041369</v>
      </c>
      <c r="BB84" s="165">
        <v>9.3274096585659647E-2</v>
      </c>
      <c r="BC84" s="165" t="e">
        <f t="shared" si="34"/>
        <v>#DIV/0!</v>
      </c>
      <c r="BD84" s="165" t="e">
        <v>#DIV/0!</v>
      </c>
      <c r="BE84" s="165" t="e">
        <f t="shared" si="35"/>
        <v>#DIV/0!</v>
      </c>
      <c r="BF84" s="165" t="e">
        <v>#DIV/0!</v>
      </c>
      <c r="BG84" s="165" t="e">
        <f t="shared" si="36"/>
        <v>#DIV/0!</v>
      </c>
      <c r="BH84" s="165" t="e">
        <v>#DIV/0!</v>
      </c>
      <c r="BI84" s="165" t="e">
        <f t="shared" si="37"/>
        <v>#DIV/0!</v>
      </c>
      <c r="BJ84" s="165" t="e">
        <v>#DIV/0!</v>
      </c>
      <c r="BK84" s="165" t="e">
        <f t="shared" si="38"/>
        <v>#DIV/0!</v>
      </c>
      <c r="BL84" s="165" t="e">
        <v>#DIV/0!</v>
      </c>
      <c r="BM84" s="165" t="e">
        <f t="shared" si="39"/>
        <v>#DIV/0!</v>
      </c>
      <c r="BN84" s="165" t="e">
        <v>#DIV/0!</v>
      </c>
    </row>
    <row r="85" spans="1:66" ht="15.6" x14ac:dyDescent="0.3">
      <c r="A85" s="155">
        <v>45</v>
      </c>
      <c r="B85" s="155">
        <v>50</v>
      </c>
      <c r="C85" s="156">
        <v>57512</v>
      </c>
      <c r="D85" s="156"/>
      <c r="E85" s="156"/>
      <c r="F85" s="156">
        <v>82004344500</v>
      </c>
      <c r="G85" s="156"/>
      <c r="H85" s="172"/>
      <c r="I85" s="157">
        <v>2.524241930804556E-2</v>
      </c>
      <c r="J85" s="157" t="e">
        <v>#DIV/0!</v>
      </c>
      <c r="K85" s="157"/>
      <c r="L85" s="157">
        <v>47.528831374321875</v>
      </c>
      <c r="M85" s="157"/>
      <c r="N85" s="157"/>
      <c r="O85" s="146"/>
      <c r="P85" s="159" t="str">
        <f t="shared" si="22"/>
        <v>(45, 50]</v>
      </c>
      <c r="Q85" s="160" t="s">
        <v>139</v>
      </c>
      <c r="R85" s="157">
        <f t="shared" si="23"/>
        <v>2.524241930804556E-2</v>
      </c>
      <c r="S85" s="162">
        <v>3</v>
      </c>
      <c r="T85" s="162">
        <v>1.7</v>
      </c>
      <c r="U85" s="162"/>
      <c r="V85" s="162"/>
      <c r="W85" s="162"/>
      <c r="X85" s="162"/>
      <c r="Y85" s="162"/>
      <c r="Z85" s="162"/>
      <c r="AA85" s="163">
        <v>7.5727257924136676E-2</v>
      </c>
      <c r="AB85" s="163">
        <v>4.2912112823677448E-2</v>
      </c>
      <c r="AC85" s="163">
        <v>0</v>
      </c>
      <c r="AD85" s="163">
        <v>0</v>
      </c>
      <c r="AE85" s="163">
        <v>0</v>
      </c>
      <c r="AF85" s="163">
        <v>0</v>
      </c>
      <c r="AG85" s="163">
        <v>0</v>
      </c>
      <c r="AH85" s="163">
        <v>0</v>
      </c>
      <c r="AI85" s="163">
        <v>0.1778605380794768</v>
      </c>
      <c r="AJ85" s="163">
        <v>8.655157010747272E-2</v>
      </c>
      <c r="AK85" s="163" t="e">
        <v>#DIV/0!</v>
      </c>
      <c r="AL85" s="163" t="e">
        <v>#DIV/0!</v>
      </c>
      <c r="AM85" s="163" t="e">
        <v>#DIV/0!</v>
      </c>
      <c r="AN85" s="163" t="e">
        <v>#DIV/0!</v>
      </c>
      <c r="AO85" s="163" t="e">
        <v>#DIV/0!</v>
      </c>
      <c r="AP85" s="163" t="e">
        <v>#DIV/0!</v>
      </c>
      <c r="AQ85" s="164">
        <f t="shared" si="24"/>
        <v>177860538</v>
      </c>
      <c r="AR85" s="164">
        <f t="shared" si="25"/>
        <v>86551570</v>
      </c>
      <c r="AS85" s="164" t="e">
        <f t="shared" si="26"/>
        <v>#DIV/0!</v>
      </c>
      <c r="AT85" s="164" t="e">
        <f t="shared" si="27"/>
        <v>#DIV/0!</v>
      </c>
      <c r="AU85" s="164" t="e">
        <f t="shared" si="28"/>
        <v>#DIV/0!</v>
      </c>
      <c r="AV85" s="164" t="e">
        <f t="shared" si="29"/>
        <v>#DIV/0!</v>
      </c>
      <c r="AW85" s="164" t="e">
        <f t="shared" si="30"/>
        <v>#DIV/0!</v>
      </c>
      <c r="AX85" s="164" t="e">
        <f t="shared" si="31"/>
        <v>#DIV/0!</v>
      </c>
      <c r="AY85" s="165">
        <f t="shared" si="32"/>
        <v>8.4535035187481675</v>
      </c>
      <c r="AZ85" s="165">
        <v>0.17786053942288432</v>
      </c>
      <c r="BA85" s="165">
        <f t="shared" si="33"/>
        <v>4.1136949757128161</v>
      </c>
      <c r="BB85" s="165">
        <v>8.6551571471376709E-2</v>
      </c>
      <c r="BC85" s="165" t="e">
        <f t="shared" si="34"/>
        <v>#DIV/0!</v>
      </c>
      <c r="BD85" s="165" t="e">
        <v>#DIV/0!</v>
      </c>
      <c r="BE85" s="165" t="e">
        <f t="shared" si="35"/>
        <v>#DIV/0!</v>
      </c>
      <c r="BF85" s="165" t="e">
        <v>#DIV/0!</v>
      </c>
      <c r="BG85" s="165" t="e">
        <f t="shared" si="36"/>
        <v>#DIV/0!</v>
      </c>
      <c r="BH85" s="165" t="e">
        <v>#DIV/0!</v>
      </c>
      <c r="BI85" s="165" t="e">
        <f t="shared" si="37"/>
        <v>#DIV/0!</v>
      </c>
      <c r="BJ85" s="165" t="e">
        <v>#DIV/0!</v>
      </c>
      <c r="BK85" s="165" t="e">
        <f t="shared" si="38"/>
        <v>#DIV/0!</v>
      </c>
      <c r="BL85" s="165" t="e">
        <v>#DIV/0!</v>
      </c>
      <c r="BM85" s="165" t="e">
        <f t="shared" si="39"/>
        <v>#DIV/0!</v>
      </c>
      <c r="BN85" s="165" t="e">
        <v>#DIV/0!</v>
      </c>
    </row>
    <row r="86" spans="1:66" ht="15.6" x14ac:dyDescent="0.3">
      <c r="A86" s="155">
        <v>50</v>
      </c>
      <c r="B86" s="155">
        <v>60</v>
      </c>
      <c r="C86" s="156">
        <v>104777</v>
      </c>
      <c r="D86" s="156"/>
      <c r="E86" s="156"/>
      <c r="F86" s="156">
        <v>172691140500</v>
      </c>
      <c r="G86" s="156"/>
      <c r="H86" s="172"/>
      <c r="I86" s="157">
        <v>4.5987358600624036E-2</v>
      </c>
      <c r="J86" s="157" t="e">
        <v>#DIV/0!</v>
      </c>
      <c r="K86" s="157"/>
      <c r="L86" s="157">
        <v>54.939264819569182</v>
      </c>
      <c r="M86" s="157"/>
      <c r="N86" s="157"/>
      <c r="O86" s="146"/>
      <c r="P86" s="159" t="str">
        <f t="shared" si="22"/>
        <v>(50, 60]</v>
      </c>
      <c r="Q86" s="160" t="s">
        <v>139</v>
      </c>
      <c r="R86" s="157">
        <f t="shared" si="23"/>
        <v>4.5987358600624036E-2</v>
      </c>
      <c r="S86" s="162">
        <v>1.5</v>
      </c>
      <c r="T86" s="162">
        <v>1.3</v>
      </c>
      <c r="U86" s="162"/>
      <c r="V86" s="162"/>
      <c r="W86" s="162"/>
      <c r="X86" s="162"/>
      <c r="Y86" s="162"/>
      <c r="Z86" s="162"/>
      <c r="AA86" s="163">
        <v>6.8981037900936057E-2</v>
      </c>
      <c r="AB86" s="163">
        <v>5.9783566180811251E-2</v>
      </c>
      <c r="AC86" s="163">
        <v>0</v>
      </c>
      <c r="AD86" s="163">
        <v>0</v>
      </c>
      <c r="AE86" s="163">
        <v>0</v>
      </c>
      <c r="AF86" s="163">
        <v>0</v>
      </c>
      <c r="AG86" s="163">
        <v>0</v>
      </c>
      <c r="AH86" s="163">
        <v>0</v>
      </c>
      <c r="AI86" s="163">
        <v>0.16201569757922993</v>
      </c>
      <c r="AJ86" s="163">
        <v>0.12058044172362874</v>
      </c>
      <c r="AK86" s="163" t="e">
        <v>#DIV/0!</v>
      </c>
      <c r="AL86" s="163" t="e">
        <v>#DIV/0!</v>
      </c>
      <c r="AM86" s="163" t="e">
        <v>#DIV/0!</v>
      </c>
      <c r="AN86" s="163" t="e">
        <v>#DIV/0!</v>
      </c>
      <c r="AO86" s="163" t="e">
        <v>#DIV/0!</v>
      </c>
      <c r="AP86" s="163" t="e">
        <v>#DIV/0!</v>
      </c>
      <c r="AQ86" s="164">
        <f t="shared" si="24"/>
        <v>162015697</v>
      </c>
      <c r="AR86" s="164">
        <f t="shared" si="25"/>
        <v>120580441</v>
      </c>
      <c r="AS86" s="164" t="e">
        <f t="shared" si="26"/>
        <v>#DIV/0!</v>
      </c>
      <c r="AT86" s="164" t="e">
        <f t="shared" si="27"/>
        <v>#DIV/0!</v>
      </c>
      <c r="AU86" s="164" t="e">
        <f t="shared" si="28"/>
        <v>#DIV/0!</v>
      </c>
      <c r="AV86" s="164" t="e">
        <f t="shared" si="29"/>
        <v>#DIV/0!</v>
      </c>
      <c r="AW86" s="164" t="e">
        <f t="shared" si="30"/>
        <v>#DIV/0!</v>
      </c>
      <c r="AX86" s="164" t="e">
        <f t="shared" si="31"/>
        <v>#DIV/0!</v>
      </c>
      <c r="AY86" s="165">
        <f t="shared" si="32"/>
        <v>8.9010232824100797</v>
      </c>
      <c r="AZ86" s="165">
        <v>0.16201569829612558</v>
      </c>
      <c r="BA86" s="165">
        <f t="shared" si="33"/>
        <v>6.6246007801594375</v>
      </c>
      <c r="BB86" s="165">
        <v>0.12058044304986754</v>
      </c>
      <c r="BC86" s="165" t="e">
        <f t="shared" si="34"/>
        <v>#DIV/0!</v>
      </c>
      <c r="BD86" s="165" t="e">
        <v>#DIV/0!</v>
      </c>
      <c r="BE86" s="165" t="e">
        <f t="shared" si="35"/>
        <v>#DIV/0!</v>
      </c>
      <c r="BF86" s="165" t="e">
        <v>#DIV/0!</v>
      </c>
      <c r="BG86" s="165" t="e">
        <f t="shared" si="36"/>
        <v>#DIV/0!</v>
      </c>
      <c r="BH86" s="165" t="e">
        <v>#DIV/0!</v>
      </c>
      <c r="BI86" s="165" t="e">
        <f t="shared" si="37"/>
        <v>#DIV/0!</v>
      </c>
      <c r="BJ86" s="165" t="e">
        <v>#DIV/0!</v>
      </c>
      <c r="BK86" s="165" t="e">
        <f t="shared" si="38"/>
        <v>#DIV/0!</v>
      </c>
      <c r="BL86" s="165" t="e">
        <v>#DIV/0!</v>
      </c>
      <c r="BM86" s="165" t="e">
        <f t="shared" si="39"/>
        <v>#DIV/0!</v>
      </c>
      <c r="BN86" s="165" t="e">
        <v>#DIV/0!</v>
      </c>
    </row>
    <row r="87" spans="1:66" ht="15.6" x14ac:dyDescent="0.3">
      <c r="A87" s="155">
        <v>60</v>
      </c>
      <c r="B87" s="155">
        <v>70</v>
      </c>
      <c r="C87" s="156">
        <v>92873</v>
      </c>
      <c r="D87" s="156"/>
      <c r="E87" s="156"/>
      <c r="F87" s="156">
        <v>180911398500</v>
      </c>
      <c r="G87" s="156"/>
      <c r="H87" s="172"/>
      <c r="I87" s="157">
        <v>4.076260968834531E-2</v>
      </c>
      <c r="J87" s="157" t="e">
        <v>#DIV/0!</v>
      </c>
      <c r="K87" s="157"/>
      <c r="L87" s="157">
        <v>64.931465011359592</v>
      </c>
      <c r="M87" s="157"/>
      <c r="N87" s="157"/>
      <c r="O87" s="146"/>
      <c r="P87" s="159" t="str">
        <f t="shared" si="22"/>
        <v>(60, 70]</v>
      </c>
      <c r="Q87" s="160" t="s">
        <v>139</v>
      </c>
      <c r="R87" s="157">
        <f t="shared" si="23"/>
        <v>4.076260968834531E-2</v>
      </c>
      <c r="S87" s="162">
        <v>1.4</v>
      </c>
      <c r="T87" s="162">
        <v>0.38748558718583959</v>
      </c>
      <c r="U87" s="162"/>
      <c r="V87" s="162"/>
      <c r="W87" s="162"/>
      <c r="X87" s="162"/>
      <c r="Y87" s="162"/>
      <c r="Z87" s="162"/>
      <c r="AA87" s="163">
        <v>5.7067653563683429E-2</v>
      </c>
      <c r="AB87" s="163">
        <v>1.5794923750315677E-2</v>
      </c>
      <c r="AC87" s="163">
        <v>0</v>
      </c>
      <c r="AD87" s="163">
        <v>0</v>
      </c>
      <c r="AE87" s="163">
        <v>0</v>
      </c>
      <c r="AF87" s="163">
        <v>0</v>
      </c>
      <c r="AG87" s="163">
        <v>0</v>
      </c>
      <c r="AH87" s="163">
        <v>0</v>
      </c>
      <c r="AI87" s="163">
        <v>0.13403474320882222</v>
      </c>
      <c r="AJ87" s="163">
        <v>3.1857565623367008E-2</v>
      </c>
      <c r="AK87" s="163" t="e">
        <v>#DIV/0!</v>
      </c>
      <c r="AL87" s="163" t="e">
        <v>#DIV/0!</v>
      </c>
      <c r="AM87" s="163" t="e">
        <v>#DIV/0!</v>
      </c>
      <c r="AN87" s="163" t="e">
        <v>#DIV/0!</v>
      </c>
      <c r="AO87" s="163" t="e">
        <v>#DIV/0!</v>
      </c>
      <c r="AP87" s="163" t="e">
        <v>#DIV/0!</v>
      </c>
      <c r="AQ87" s="164">
        <f t="shared" si="24"/>
        <v>134034743</v>
      </c>
      <c r="AR87" s="164">
        <f t="shared" si="25"/>
        <v>31857565</v>
      </c>
      <c r="AS87" s="164" t="e">
        <f t="shared" si="26"/>
        <v>#DIV/0!</v>
      </c>
      <c r="AT87" s="164" t="e">
        <f t="shared" si="27"/>
        <v>#DIV/0!</v>
      </c>
      <c r="AU87" s="164" t="e">
        <f t="shared" si="28"/>
        <v>#DIV/0!</v>
      </c>
      <c r="AV87" s="164" t="e">
        <f t="shared" si="29"/>
        <v>#DIV/0!</v>
      </c>
      <c r="AW87" s="164" t="e">
        <f t="shared" si="30"/>
        <v>#DIV/0!</v>
      </c>
      <c r="AX87" s="164" t="e">
        <f t="shared" si="31"/>
        <v>#DIV/0!</v>
      </c>
      <c r="AY87" s="165">
        <f t="shared" si="32"/>
        <v>8.7030722254110753</v>
      </c>
      <c r="AZ87" s="165">
        <v>0.13403474407227794</v>
      </c>
      <c r="BA87" s="165">
        <f t="shared" si="33"/>
        <v>2.0685583671446142</v>
      </c>
      <c r="BB87" s="165">
        <v>3.1857565541578613E-2</v>
      </c>
      <c r="BC87" s="165" t="e">
        <f t="shared" si="34"/>
        <v>#DIV/0!</v>
      </c>
      <c r="BD87" s="165" t="e">
        <v>#DIV/0!</v>
      </c>
      <c r="BE87" s="165" t="e">
        <f t="shared" si="35"/>
        <v>#DIV/0!</v>
      </c>
      <c r="BF87" s="165" t="e">
        <v>#DIV/0!</v>
      </c>
      <c r="BG87" s="165" t="e">
        <f t="shared" si="36"/>
        <v>#DIV/0!</v>
      </c>
      <c r="BH87" s="165" t="e">
        <v>#DIV/0!</v>
      </c>
      <c r="BI87" s="165" t="e">
        <f t="shared" si="37"/>
        <v>#DIV/0!</v>
      </c>
      <c r="BJ87" s="165" t="e">
        <v>#DIV/0!</v>
      </c>
      <c r="BK87" s="165" t="e">
        <f t="shared" si="38"/>
        <v>#DIV/0!</v>
      </c>
      <c r="BL87" s="165" t="e">
        <v>#DIV/0!</v>
      </c>
      <c r="BM87" s="165" t="e">
        <f t="shared" si="39"/>
        <v>#DIV/0!</v>
      </c>
      <c r="BN87" s="165" t="e">
        <v>#DIV/0!</v>
      </c>
    </row>
    <row r="88" spans="1:66" ht="15.6" x14ac:dyDescent="0.3">
      <c r="A88" s="155">
        <v>70</v>
      </c>
      <c r="B88" s="155">
        <v>80</v>
      </c>
      <c r="C88" s="156">
        <v>83293</v>
      </c>
      <c r="D88" s="156"/>
      <c r="E88" s="156"/>
      <c r="F88" s="156">
        <v>187274500500</v>
      </c>
      <c r="G88" s="156"/>
      <c r="H88" s="172"/>
      <c r="I88" s="157">
        <v>3.6557880640997339E-2</v>
      </c>
      <c r="J88" s="157" t="e">
        <v>#DIV/0!</v>
      </c>
      <c r="K88" s="157"/>
      <c r="L88" s="157">
        <v>74.946074099864333</v>
      </c>
      <c r="M88" s="157"/>
      <c r="N88" s="157"/>
      <c r="O88" s="146"/>
      <c r="P88" s="159" t="str">
        <f t="shared" si="22"/>
        <v>(70, 80]</v>
      </c>
      <c r="Q88" s="160" t="s">
        <v>139</v>
      </c>
      <c r="R88" s="157">
        <f t="shared" si="23"/>
        <v>3.6557880640997339E-2</v>
      </c>
      <c r="S88" s="162">
        <v>1.2</v>
      </c>
      <c r="T88" s="162">
        <v>0.4</v>
      </c>
      <c r="U88" s="162"/>
      <c r="V88" s="162"/>
      <c r="W88" s="162"/>
      <c r="X88" s="162"/>
      <c r="Y88" s="162"/>
      <c r="Z88" s="162"/>
      <c r="AA88" s="163">
        <v>4.3869456769196805E-2</v>
      </c>
      <c r="AB88" s="163">
        <v>1.4623152256398937E-2</v>
      </c>
      <c r="AC88" s="163">
        <v>0</v>
      </c>
      <c r="AD88" s="163">
        <v>0</v>
      </c>
      <c r="AE88" s="163">
        <v>0</v>
      </c>
      <c r="AF88" s="163">
        <v>0</v>
      </c>
      <c r="AG88" s="163">
        <v>0</v>
      </c>
      <c r="AH88" s="163">
        <v>0</v>
      </c>
      <c r="AI88" s="163">
        <v>0.10303615105198123</v>
      </c>
      <c r="AJ88" s="163">
        <v>2.949416154157793E-2</v>
      </c>
      <c r="AK88" s="163" t="e">
        <v>#DIV/0!</v>
      </c>
      <c r="AL88" s="163" t="e">
        <v>#DIV/0!</v>
      </c>
      <c r="AM88" s="163" t="e">
        <v>#DIV/0!</v>
      </c>
      <c r="AN88" s="163" t="e">
        <v>#DIV/0!</v>
      </c>
      <c r="AO88" s="163" t="e">
        <v>#DIV/0!</v>
      </c>
      <c r="AP88" s="163" t="e">
        <v>#DIV/0!</v>
      </c>
      <c r="AQ88" s="164">
        <f t="shared" si="24"/>
        <v>103036151</v>
      </c>
      <c r="AR88" s="164">
        <f t="shared" si="25"/>
        <v>29494161</v>
      </c>
      <c r="AS88" s="164" t="e">
        <f t="shared" si="26"/>
        <v>#DIV/0!</v>
      </c>
      <c r="AT88" s="164" t="e">
        <f t="shared" si="27"/>
        <v>#DIV/0!</v>
      </c>
      <c r="AU88" s="164" t="e">
        <f t="shared" si="28"/>
        <v>#DIV/0!</v>
      </c>
      <c r="AV88" s="164" t="e">
        <f t="shared" si="29"/>
        <v>#DIV/0!</v>
      </c>
      <c r="AW88" s="164" t="e">
        <f t="shared" si="30"/>
        <v>#DIV/0!</v>
      </c>
      <c r="AX88" s="164" t="e">
        <f t="shared" si="31"/>
        <v>#DIV/0!</v>
      </c>
      <c r="AY88" s="165">
        <f t="shared" si="32"/>
        <v>7.7221550078108097</v>
      </c>
      <c r="AZ88" s="165">
        <v>0.10303615182428921</v>
      </c>
      <c r="BA88" s="165">
        <f t="shared" si="33"/>
        <v>2.2104715758193287</v>
      </c>
      <c r="BB88" s="165">
        <v>2.9494161501400745E-2</v>
      </c>
      <c r="BC88" s="165" t="e">
        <f t="shared" si="34"/>
        <v>#DIV/0!</v>
      </c>
      <c r="BD88" s="165" t="e">
        <v>#DIV/0!</v>
      </c>
      <c r="BE88" s="165" t="e">
        <f t="shared" si="35"/>
        <v>#DIV/0!</v>
      </c>
      <c r="BF88" s="165" t="e">
        <v>#DIV/0!</v>
      </c>
      <c r="BG88" s="165" t="e">
        <f t="shared" si="36"/>
        <v>#DIV/0!</v>
      </c>
      <c r="BH88" s="165" t="e">
        <v>#DIV/0!</v>
      </c>
      <c r="BI88" s="165" t="e">
        <f t="shared" si="37"/>
        <v>#DIV/0!</v>
      </c>
      <c r="BJ88" s="165" t="e">
        <v>#DIV/0!</v>
      </c>
      <c r="BK88" s="165" t="e">
        <f t="shared" si="38"/>
        <v>#DIV/0!</v>
      </c>
      <c r="BL88" s="165" t="e">
        <v>#DIV/0!</v>
      </c>
      <c r="BM88" s="165" t="e">
        <f t="shared" si="39"/>
        <v>#DIV/0!</v>
      </c>
      <c r="BN88" s="165" t="e">
        <v>#DIV/0!</v>
      </c>
    </row>
    <row r="89" spans="1:66" ht="15.6" x14ac:dyDescent="0.3">
      <c r="A89" s="155">
        <v>80</v>
      </c>
      <c r="B89" s="155">
        <v>90</v>
      </c>
      <c r="C89" s="156">
        <v>74862</v>
      </c>
      <c r="D89" s="156"/>
      <c r="E89" s="156"/>
      <c r="F89" s="156">
        <v>190793497500</v>
      </c>
      <c r="G89" s="156"/>
      <c r="H89" s="172"/>
      <c r="I89" s="157">
        <v>3.2857455735131914E-2</v>
      </c>
      <c r="J89" s="157" t="e">
        <v>#DIV/0!</v>
      </c>
      <c r="K89" s="157"/>
      <c r="L89" s="157">
        <v>84.953424300713309</v>
      </c>
      <c r="M89" s="157"/>
      <c r="N89" s="157"/>
      <c r="O89" s="146"/>
      <c r="P89" s="159" t="str">
        <f t="shared" si="22"/>
        <v>(80, 90]</v>
      </c>
      <c r="Q89" s="160" t="s">
        <v>139</v>
      </c>
      <c r="R89" s="157">
        <f t="shared" si="23"/>
        <v>3.2857455735131914E-2</v>
      </c>
      <c r="S89" s="162">
        <v>1.2</v>
      </c>
      <c r="T89" s="162">
        <v>0.4</v>
      </c>
      <c r="U89" s="162"/>
      <c r="V89" s="162"/>
      <c r="W89" s="162"/>
      <c r="X89" s="162"/>
      <c r="Y89" s="162"/>
      <c r="Z89" s="162"/>
      <c r="AA89" s="163">
        <v>3.9428946882158297E-2</v>
      </c>
      <c r="AB89" s="163">
        <v>1.3142982294052766E-2</v>
      </c>
      <c r="AC89" s="163">
        <v>0</v>
      </c>
      <c r="AD89" s="163">
        <v>0</v>
      </c>
      <c r="AE89" s="163">
        <v>0</v>
      </c>
      <c r="AF89" s="163">
        <v>0</v>
      </c>
      <c r="AG89" s="163">
        <v>0</v>
      </c>
      <c r="AH89" s="163">
        <v>0</v>
      </c>
      <c r="AI89" s="163">
        <v>9.260672973783414E-2</v>
      </c>
      <c r="AJ89" s="163">
        <v>2.6508733282816162E-2</v>
      </c>
      <c r="AK89" s="163" t="e">
        <v>#DIV/0!</v>
      </c>
      <c r="AL89" s="163" t="e">
        <v>#DIV/0!</v>
      </c>
      <c r="AM89" s="163" t="e">
        <v>#DIV/0!</v>
      </c>
      <c r="AN89" s="163" t="e">
        <v>#DIV/0!</v>
      </c>
      <c r="AO89" s="163" t="e">
        <v>#DIV/0!</v>
      </c>
      <c r="AP89" s="163" t="e">
        <v>#DIV/0!</v>
      </c>
      <c r="AQ89" s="164">
        <f t="shared" si="24"/>
        <v>92606729</v>
      </c>
      <c r="AR89" s="164">
        <f t="shared" si="25"/>
        <v>26508733</v>
      </c>
      <c r="AS89" s="164" t="e">
        <f t="shared" si="26"/>
        <v>#DIV/0!</v>
      </c>
      <c r="AT89" s="164" t="e">
        <f t="shared" si="27"/>
        <v>#DIV/0!</v>
      </c>
      <c r="AU89" s="164" t="e">
        <f t="shared" si="28"/>
        <v>#DIV/0!</v>
      </c>
      <c r="AV89" s="164" t="e">
        <f t="shared" si="29"/>
        <v>#DIV/0!</v>
      </c>
      <c r="AW89" s="164" t="e">
        <f t="shared" si="30"/>
        <v>#DIV/0!</v>
      </c>
      <c r="AX89" s="164" t="e">
        <f t="shared" si="31"/>
        <v>#DIV/0!</v>
      </c>
      <c r="AY89" s="165">
        <f t="shared" si="32"/>
        <v>7.8672587418381719</v>
      </c>
      <c r="AZ89" s="165">
        <v>9.2606729740853835E-2</v>
      </c>
      <c r="BA89" s="165">
        <f t="shared" si="33"/>
        <v>2.2520076422233211</v>
      </c>
      <c r="BB89" s="165">
        <v>2.650873345064847E-2</v>
      </c>
      <c r="BC89" s="165" t="e">
        <f t="shared" si="34"/>
        <v>#DIV/0!</v>
      </c>
      <c r="BD89" s="165" t="e">
        <v>#DIV/0!</v>
      </c>
      <c r="BE89" s="165" t="e">
        <f t="shared" si="35"/>
        <v>#DIV/0!</v>
      </c>
      <c r="BF89" s="165" t="e">
        <v>#DIV/0!</v>
      </c>
      <c r="BG89" s="165" t="e">
        <f t="shared" si="36"/>
        <v>#DIV/0!</v>
      </c>
      <c r="BH89" s="165" t="e">
        <v>#DIV/0!</v>
      </c>
      <c r="BI89" s="165" t="e">
        <f t="shared" si="37"/>
        <v>#DIV/0!</v>
      </c>
      <c r="BJ89" s="165" t="e">
        <v>#DIV/0!</v>
      </c>
      <c r="BK89" s="165" t="e">
        <f t="shared" si="38"/>
        <v>#DIV/0!</v>
      </c>
      <c r="BL89" s="165" t="e">
        <v>#DIV/0!</v>
      </c>
      <c r="BM89" s="165" t="e">
        <f t="shared" si="39"/>
        <v>#DIV/0!</v>
      </c>
      <c r="BN89" s="165" t="e">
        <v>#DIV/0!</v>
      </c>
    </row>
    <row r="90" spans="1:66" ht="15.6" x14ac:dyDescent="0.3">
      <c r="A90" s="155">
        <v>90</v>
      </c>
      <c r="B90" s="155">
        <v>100</v>
      </c>
      <c r="C90" s="156">
        <v>67374</v>
      </c>
      <c r="D90" s="156"/>
      <c r="E90" s="156"/>
      <c r="F90" s="156">
        <v>191925060000</v>
      </c>
      <c r="G90" s="156"/>
      <c r="H90" s="172"/>
      <c r="I90" s="157">
        <v>2.95709201290211E-2</v>
      </c>
      <c r="J90" s="157" t="e">
        <v>#DIV/0!</v>
      </c>
      <c r="K90" s="157"/>
      <c r="L90" s="157">
        <v>94.955056846854873</v>
      </c>
      <c r="M90" s="157"/>
      <c r="N90" s="157"/>
      <c r="O90" s="146"/>
      <c r="P90" s="159" t="str">
        <f t="shared" si="22"/>
        <v>(90, 100]</v>
      </c>
      <c r="Q90" s="160" t="s">
        <v>139</v>
      </c>
      <c r="R90" s="157">
        <f t="shared" si="23"/>
        <v>2.95709201290211E-2</v>
      </c>
      <c r="S90" s="162">
        <v>0.93</v>
      </c>
      <c r="T90" s="162">
        <v>0.8</v>
      </c>
      <c r="U90" s="162"/>
      <c r="V90" s="162"/>
      <c r="W90" s="162"/>
      <c r="X90" s="162"/>
      <c r="Y90" s="162"/>
      <c r="Z90" s="162"/>
      <c r="AA90" s="163">
        <v>2.7500955719989624E-2</v>
      </c>
      <c r="AB90" s="163">
        <v>2.3656736103216881E-2</v>
      </c>
      <c r="AC90" s="163">
        <v>0</v>
      </c>
      <c r="AD90" s="163">
        <v>0</v>
      </c>
      <c r="AE90" s="163">
        <v>0</v>
      </c>
      <c r="AF90" s="163">
        <v>0</v>
      </c>
      <c r="AG90" s="163">
        <v>0</v>
      </c>
      <c r="AH90" s="163">
        <v>0</v>
      </c>
      <c r="AI90" s="163">
        <v>6.4591468331751084E-2</v>
      </c>
      <c r="AJ90" s="163">
        <v>4.7714445144304347E-2</v>
      </c>
      <c r="AK90" s="163" t="e">
        <v>#DIV/0!</v>
      </c>
      <c r="AL90" s="163" t="e">
        <v>#DIV/0!</v>
      </c>
      <c r="AM90" s="163" t="e">
        <v>#DIV/0!</v>
      </c>
      <c r="AN90" s="163" t="e">
        <v>#DIV/0!</v>
      </c>
      <c r="AO90" s="163" t="e">
        <v>#DIV/0!</v>
      </c>
      <c r="AP90" s="163" t="e">
        <v>#DIV/0!</v>
      </c>
      <c r="AQ90" s="164">
        <f t="shared" si="24"/>
        <v>64591468</v>
      </c>
      <c r="AR90" s="164">
        <f t="shared" si="25"/>
        <v>47714445</v>
      </c>
      <c r="AS90" s="164" t="e">
        <f t="shared" si="26"/>
        <v>#DIV/0!</v>
      </c>
      <c r="AT90" s="164" t="e">
        <f t="shared" si="27"/>
        <v>#DIV/0!</v>
      </c>
      <c r="AU90" s="164" t="e">
        <f t="shared" si="28"/>
        <v>#DIV/0!</v>
      </c>
      <c r="AV90" s="164" t="e">
        <f t="shared" si="29"/>
        <v>#DIV/0!</v>
      </c>
      <c r="AW90" s="164" t="e">
        <f t="shared" si="30"/>
        <v>#DIV/0!</v>
      </c>
      <c r="AX90" s="164" t="e">
        <f t="shared" si="31"/>
        <v>#DIV/0!</v>
      </c>
      <c r="AY90" s="165">
        <f t="shared" si="32"/>
        <v>6.1332865157618075</v>
      </c>
      <c r="AZ90" s="165">
        <v>6.4591468516731754E-2</v>
      </c>
      <c r="BA90" s="165">
        <f t="shared" si="33"/>
        <v>4.5307278373911304</v>
      </c>
      <c r="BB90" s="165">
        <v>4.7714445811145575E-2</v>
      </c>
      <c r="BC90" s="165" t="e">
        <f t="shared" si="34"/>
        <v>#DIV/0!</v>
      </c>
      <c r="BD90" s="165" t="e">
        <v>#DIV/0!</v>
      </c>
      <c r="BE90" s="165" t="e">
        <f t="shared" si="35"/>
        <v>#DIV/0!</v>
      </c>
      <c r="BF90" s="165" t="e">
        <v>#DIV/0!</v>
      </c>
      <c r="BG90" s="165" t="e">
        <f t="shared" si="36"/>
        <v>#DIV/0!</v>
      </c>
      <c r="BH90" s="165" t="e">
        <v>#DIV/0!</v>
      </c>
      <c r="BI90" s="165" t="e">
        <f t="shared" si="37"/>
        <v>#DIV/0!</v>
      </c>
      <c r="BJ90" s="165" t="e">
        <v>#DIV/0!</v>
      </c>
      <c r="BK90" s="165" t="e">
        <f t="shared" si="38"/>
        <v>#DIV/0!</v>
      </c>
      <c r="BL90" s="165" t="e">
        <v>#DIV/0!</v>
      </c>
      <c r="BM90" s="165" t="e">
        <f t="shared" si="39"/>
        <v>#DIV/0!</v>
      </c>
      <c r="BN90" s="165" t="e">
        <v>#DIV/0!</v>
      </c>
    </row>
    <row r="91" spans="1:66" ht="15.6" x14ac:dyDescent="0.3">
      <c r="A91" s="155">
        <v>100</v>
      </c>
      <c r="B91" s="155">
        <v>120</v>
      </c>
      <c r="C91" s="156">
        <v>117138</v>
      </c>
      <c r="D91" s="156"/>
      <c r="E91" s="156"/>
      <c r="F91" s="156">
        <v>385572387000</v>
      </c>
      <c r="G91" s="156"/>
      <c r="H91" s="172"/>
      <c r="I91" s="157">
        <v>5.1412688011299224E-2</v>
      </c>
      <c r="J91" s="157" t="e">
        <v>#DIV/0!</v>
      </c>
      <c r="K91" s="157"/>
      <c r="L91" s="157">
        <v>109.72026925506668</v>
      </c>
      <c r="M91" s="157"/>
      <c r="N91" s="157"/>
      <c r="O91" s="146"/>
      <c r="P91" s="159" t="str">
        <f t="shared" si="22"/>
        <v>(100, 120]</v>
      </c>
      <c r="Q91" s="160" t="s">
        <v>139</v>
      </c>
      <c r="R91" s="157">
        <f t="shared" si="23"/>
        <v>5.1412688011299224E-2</v>
      </c>
      <c r="S91" s="162">
        <v>0.38</v>
      </c>
      <c r="T91" s="162">
        <v>0.6</v>
      </c>
      <c r="U91" s="162"/>
      <c r="V91" s="162"/>
      <c r="W91" s="162"/>
      <c r="X91" s="162"/>
      <c r="Y91" s="162"/>
      <c r="Z91" s="162"/>
      <c r="AA91" s="163">
        <v>1.9536821444293705E-2</v>
      </c>
      <c r="AB91" s="163">
        <v>3.0847612806779532E-2</v>
      </c>
      <c r="AC91" s="163">
        <v>0</v>
      </c>
      <c r="AD91" s="163">
        <v>0</v>
      </c>
      <c r="AE91" s="163">
        <v>0</v>
      </c>
      <c r="AF91" s="163">
        <v>0</v>
      </c>
      <c r="AG91" s="163">
        <v>0</v>
      </c>
      <c r="AH91" s="163">
        <v>0</v>
      </c>
      <c r="AI91" s="163">
        <v>4.5886113794399011E-2</v>
      </c>
      <c r="AJ91" s="163">
        <v>6.2218081255159888E-2</v>
      </c>
      <c r="AK91" s="163" t="e">
        <v>#DIV/0!</v>
      </c>
      <c r="AL91" s="163" t="e">
        <v>#DIV/0!</v>
      </c>
      <c r="AM91" s="163" t="e">
        <v>#DIV/0!</v>
      </c>
      <c r="AN91" s="163" t="e">
        <v>#DIV/0!</v>
      </c>
      <c r="AO91" s="163" t="e">
        <v>#DIV/0!</v>
      </c>
      <c r="AP91" s="163" t="e">
        <v>#DIV/0!</v>
      </c>
      <c r="AQ91" s="164">
        <f t="shared" si="24"/>
        <v>45886113</v>
      </c>
      <c r="AR91" s="164">
        <f t="shared" si="25"/>
        <v>62218081</v>
      </c>
      <c r="AS91" s="164" t="e">
        <f t="shared" si="26"/>
        <v>#DIV/0!</v>
      </c>
      <c r="AT91" s="164" t="e">
        <f t="shared" si="27"/>
        <v>#DIV/0!</v>
      </c>
      <c r="AU91" s="164" t="e">
        <f t="shared" si="28"/>
        <v>#DIV/0!</v>
      </c>
      <c r="AV91" s="164" t="e">
        <f t="shared" si="29"/>
        <v>#DIV/0!</v>
      </c>
      <c r="AW91" s="164" t="e">
        <f t="shared" si="30"/>
        <v>#DIV/0!</v>
      </c>
      <c r="AX91" s="164" t="e">
        <f t="shared" si="31"/>
        <v>#DIV/0!</v>
      </c>
      <c r="AY91" s="165">
        <f t="shared" si="32"/>
        <v>5.0346366734284151</v>
      </c>
      <c r="AZ91" s="165">
        <v>4.5886113367088907E-2</v>
      </c>
      <c r="BA91" s="165">
        <f t="shared" si="33"/>
        <v>6.8265845998535477</v>
      </c>
      <c r="BB91" s="165">
        <v>6.2218082057707395E-2</v>
      </c>
      <c r="BC91" s="165" t="e">
        <f t="shared" si="34"/>
        <v>#DIV/0!</v>
      </c>
      <c r="BD91" s="165" t="e">
        <v>#DIV/0!</v>
      </c>
      <c r="BE91" s="165" t="e">
        <f t="shared" si="35"/>
        <v>#DIV/0!</v>
      </c>
      <c r="BF91" s="165" t="e">
        <v>#DIV/0!</v>
      </c>
      <c r="BG91" s="165" t="e">
        <f t="shared" si="36"/>
        <v>#DIV/0!</v>
      </c>
      <c r="BH91" s="165" t="e">
        <v>#DIV/0!</v>
      </c>
      <c r="BI91" s="165" t="e">
        <f t="shared" si="37"/>
        <v>#DIV/0!</v>
      </c>
      <c r="BJ91" s="165" t="e">
        <v>#DIV/0!</v>
      </c>
      <c r="BK91" s="165" t="e">
        <f t="shared" si="38"/>
        <v>#DIV/0!</v>
      </c>
      <c r="BL91" s="165" t="e">
        <v>#DIV/0!</v>
      </c>
      <c r="BM91" s="165" t="e">
        <f t="shared" si="39"/>
        <v>#DIV/0!</v>
      </c>
      <c r="BN91" s="165" t="e">
        <v>#DIV/0!</v>
      </c>
    </row>
    <row r="92" spans="1:66" ht="15.6" x14ac:dyDescent="0.3">
      <c r="A92" s="155">
        <v>120</v>
      </c>
      <c r="B92" s="155">
        <v>140</v>
      </c>
      <c r="C92" s="156">
        <v>98023</v>
      </c>
      <c r="D92" s="156"/>
      <c r="E92" s="156"/>
      <c r="F92" s="156">
        <v>381543700500</v>
      </c>
      <c r="G92" s="156"/>
      <c r="H92" s="172"/>
      <c r="I92" s="157">
        <v>4.3022980731543849E-2</v>
      </c>
      <c r="J92" s="157" t="e">
        <v>#DIV/0!</v>
      </c>
      <c r="K92" s="157"/>
      <c r="L92" s="157">
        <v>129.7463182110321</v>
      </c>
      <c r="M92" s="157"/>
      <c r="N92" s="157"/>
      <c r="O92" s="146"/>
      <c r="P92" s="159" t="str">
        <f t="shared" si="22"/>
        <v>(120, 140]</v>
      </c>
      <c r="Q92" s="160" t="s">
        <v>139</v>
      </c>
      <c r="R92" s="157">
        <f t="shared" si="23"/>
        <v>4.3022980731543849E-2</v>
      </c>
      <c r="S92" s="162">
        <v>0.28000000000000003</v>
      </c>
      <c r="T92" s="162">
        <v>0.5</v>
      </c>
      <c r="U92" s="162"/>
      <c r="V92" s="162"/>
      <c r="W92" s="162"/>
      <c r="X92" s="162"/>
      <c r="Y92" s="162"/>
      <c r="Z92" s="162"/>
      <c r="AA92" s="163">
        <v>1.2046434604832278E-2</v>
      </c>
      <c r="AB92" s="163">
        <v>2.1511490365771924E-2</v>
      </c>
      <c r="AC92" s="163">
        <v>0</v>
      </c>
      <c r="AD92" s="163">
        <v>0</v>
      </c>
      <c r="AE92" s="163">
        <v>0</v>
      </c>
      <c r="AF92" s="163">
        <v>0</v>
      </c>
      <c r="AG92" s="163">
        <v>0</v>
      </c>
      <c r="AH92" s="163">
        <v>0</v>
      </c>
      <c r="AI92" s="163">
        <v>2.8293449406304051E-2</v>
      </c>
      <c r="AJ92" s="163">
        <v>4.3387592546643969E-2</v>
      </c>
      <c r="AK92" s="163" t="e">
        <v>#DIV/0!</v>
      </c>
      <c r="AL92" s="163" t="e">
        <v>#DIV/0!</v>
      </c>
      <c r="AM92" s="163" t="e">
        <v>#DIV/0!</v>
      </c>
      <c r="AN92" s="163" t="e">
        <v>#DIV/0!</v>
      </c>
      <c r="AO92" s="163" t="e">
        <v>#DIV/0!</v>
      </c>
      <c r="AP92" s="163" t="e">
        <v>#DIV/0!</v>
      </c>
      <c r="AQ92" s="164">
        <f t="shared" si="24"/>
        <v>28293449</v>
      </c>
      <c r="AR92" s="164">
        <f t="shared" si="25"/>
        <v>43387592</v>
      </c>
      <c r="AS92" s="164" t="e">
        <f t="shared" si="26"/>
        <v>#DIV/0!</v>
      </c>
      <c r="AT92" s="164" t="e">
        <f t="shared" si="27"/>
        <v>#DIV/0!</v>
      </c>
      <c r="AU92" s="164" t="e">
        <f t="shared" si="28"/>
        <v>#DIV/0!</v>
      </c>
      <c r="AV92" s="164" t="e">
        <f t="shared" si="29"/>
        <v>#DIV/0!</v>
      </c>
      <c r="AW92" s="164" t="e">
        <f t="shared" si="30"/>
        <v>#DIV/0!</v>
      </c>
      <c r="AX92" s="164" t="e">
        <f t="shared" si="31"/>
        <v>#DIV/0!</v>
      </c>
      <c r="AY92" s="165">
        <f t="shared" si="32"/>
        <v>3.6709708372416081</v>
      </c>
      <c r="AZ92" s="165">
        <v>2.8293449226347595E-2</v>
      </c>
      <c r="BA92" s="165">
        <f t="shared" si="33"/>
        <v>5.6293803180424309</v>
      </c>
      <c r="BB92" s="165">
        <v>4.3387592737589076E-2</v>
      </c>
      <c r="BC92" s="165" t="e">
        <f t="shared" si="34"/>
        <v>#DIV/0!</v>
      </c>
      <c r="BD92" s="165" t="e">
        <v>#DIV/0!</v>
      </c>
      <c r="BE92" s="165" t="e">
        <f t="shared" si="35"/>
        <v>#DIV/0!</v>
      </c>
      <c r="BF92" s="165" t="e">
        <v>#DIV/0!</v>
      </c>
      <c r="BG92" s="165" t="e">
        <f t="shared" si="36"/>
        <v>#DIV/0!</v>
      </c>
      <c r="BH92" s="165" t="e">
        <v>#DIV/0!</v>
      </c>
      <c r="BI92" s="165" t="e">
        <f t="shared" si="37"/>
        <v>#DIV/0!</v>
      </c>
      <c r="BJ92" s="165" t="e">
        <v>#DIV/0!</v>
      </c>
      <c r="BK92" s="165" t="e">
        <f t="shared" si="38"/>
        <v>#DIV/0!</v>
      </c>
      <c r="BL92" s="165" t="e">
        <v>#DIV/0!</v>
      </c>
      <c r="BM92" s="165" t="e">
        <f t="shared" si="39"/>
        <v>#DIV/0!</v>
      </c>
      <c r="BN92" s="165" t="e">
        <v>#DIV/0!</v>
      </c>
    </row>
    <row r="93" spans="1:66" ht="15.6" x14ac:dyDescent="0.3">
      <c r="A93" s="155">
        <v>140</v>
      </c>
      <c r="B93" s="155">
        <v>160</v>
      </c>
      <c r="C93" s="156">
        <v>83073</v>
      </c>
      <c r="D93" s="156"/>
      <c r="E93" s="156"/>
      <c r="F93" s="156">
        <v>373284648000</v>
      </c>
      <c r="G93" s="156"/>
      <c r="H93" s="172"/>
      <c r="I93" s="157">
        <v>3.6461321101287886E-2</v>
      </c>
      <c r="J93" s="157" t="e">
        <v>#DIV/0!</v>
      </c>
      <c r="K93" s="157"/>
      <c r="L93" s="157">
        <v>149.7817774728251</v>
      </c>
      <c r="M93" s="157"/>
      <c r="N93" s="157"/>
      <c r="O93" s="146"/>
      <c r="P93" s="159" t="str">
        <f t="shared" si="22"/>
        <v>(140, 160]</v>
      </c>
      <c r="Q93" s="160" t="s">
        <v>139</v>
      </c>
      <c r="R93" s="157">
        <f t="shared" si="23"/>
        <v>3.6461321101287886E-2</v>
      </c>
      <c r="S93" s="162">
        <v>0</v>
      </c>
      <c r="T93" s="162">
        <v>0.15</v>
      </c>
      <c r="U93" s="162"/>
      <c r="V93" s="162"/>
      <c r="W93" s="162"/>
      <c r="X93" s="162"/>
      <c r="Y93" s="162"/>
      <c r="Z93" s="162"/>
      <c r="AA93" s="163">
        <v>0</v>
      </c>
      <c r="AB93" s="163">
        <v>5.4691981651931827E-3</v>
      </c>
      <c r="AC93" s="163">
        <v>0</v>
      </c>
      <c r="AD93" s="163">
        <v>0</v>
      </c>
      <c r="AE93" s="163">
        <v>0</v>
      </c>
      <c r="AF93" s="163">
        <v>0</v>
      </c>
      <c r="AG93" s="163">
        <v>0</v>
      </c>
      <c r="AH93" s="163">
        <v>0</v>
      </c>
      <c r="AI93" s="163">
        <v>0</v>
      </c>
      <c r="AJ93" s="163">
        <v>1.1031097218899711E-2</v>
      </c>
      <c r="AK93" s="163" t="e">
        <v>#DIV/0!</v>
      </c>
      <c r="AL93" s="163" t="e">
        <v>#DIV/0!</v>
      </c>
      <c r="AM93" s="163" t="e">
        <v>#DIV/0!</v>
      </c>
      <c r="AN93" s="163" t="e">
        <v>#DIV/0!</v>
      </c>
      <c r="AO93" s="163" t="e">
        <v>#DIV/0!</v>
      </c>
      <c r="AP93" s="163" t="e">
        <v>#DIV/0!</v>
      </c>
      <c r="AQ93" s="164">
        <f t="shared" si="24"/>
        <v>0</v>
      </c>
      <c r="AR93" s="164">
        <f t="shared" si="25"/>
        <v>11031097</v>
      </c>
      <c r="AS93" s="164" t="e">
        <f t="shared" si="26"/>
        <v>#DIV/0!</v>
      </c>
      <c r="AT93" s="164" t="e">
        <f t="shared" si="27"/>
        <v>#DIV/0!</v>
      </c>
      <c r="AU93" s="164" t="e">
        <f t="shared" si="28"/>
        <v>#DIV/0!</v>
      </c>
      <c r="AV93" s="164" t="e">
        <f t="shared" si="29"/>
        <v>#DIV/0!</v>
      </c>
      <c r="AW93" s="164" t="e">
        <f t="shared" si="30"/>
        <v>#DIV/0!</v>
      </c>
      <c r="AX93" s="164" t="e">
        <f t="shared" si="31"/>
        <v>#DIV/0!</v>
      </c>
      <c r="AY93" s="165">
        <f t="shared" si="32"/>
        <v>0</v>
      </c>
      <c r="AZ93" s="165">
        <v>0</v>
      </c>
      <c r="BA93" s="165">
        <f t="shared" si="33"/>
        <v>1.6522573161351486</v>
      </c>
      <c r="BB93" s="165">
        <v>1.1031097187528652E-2</v>
      </c>
      <c r="BC93" s="165" t="e">
        <f t="shared" si="34"/>
        <v>#DIV/0!</v>
      </c>
      <c r="BD93" s="165" t="e">
        <v>#DIV/0!</v>
      </c>
      <c r="BE93" s="165" t="e">
        <f t="shared" si="35"/>
        <v>#DIV/0!</v>
      </c>
      <c r="BF93" s="165" t="e">
        <v>#DIV/0!</v>
      </c>
      <c r="BG93" s="165" t="e">
        <f t="shared" si="36"/>
        <v>#DIV/0!</v>
      </c>
      <c r="BH93" s="165" t="e">
        <v>#DIV/0!</v>
      </c>
      <c r="BI93" s="165" t="e">
        <f t="shared" si="37"/>
        <v>#DIV/0!</v>
      </c>
      <c r="BJ93" s="165" t="e">
        <v>#DIV/0!</v>
      </c>
      <c r="BK93" s="165" t="e">
        <f t="shared" si="38"/>
        <v>#DIV/0!</v>
      </c>
      <c r="BL93" s="165" t="e">
        <v>#DIV/0!</v>
      </c>
      <c r="BM93" s="165" t="e">
        <f t="shared" si="39"/>
        <v>#DIV/0!</v>
      </c>
      <c r="BN93" s="165" t="e">
        <v>#DIV/0!</v>
      </c>
    </row>
    <row r="94" spans="1:66" ht="15.6" x14ac:dyDescent="0.3">
      <c r="A94" s="155">
        <v>160</v>
      </c>
      <c r="B94" s="155">
        <v>180</v>
      </c>
      <c r="C94" s="156">
        <v>71278</v>
      </c>
      <c r="D94" s="156"/>
      <c r="E94" s="156"/>
      <c r="F94" s="156">
        <v>363124815000</v>
      </c>
      <c r="G94" s="156"/>
      <c r="H94" s="172"/>
      <c r="I94" s="157">
        <v>3.1284413051865204E-2</v>
      </c>
      <c r="J94" s="157" t="e">
        <v>#DIV/0!</v>
      </c>
      <c r="K94" s="157"/>
      <c r="L94" s="157">
        <v>169.81621959089762</v>
      </c>
      <c r="M94" s="157"/>
      <c r="N94" s="157"/>
      <c r="O94" s="146"/>
      <c r="P94" s="159" t="str">
        <f t="shared" si="22"/>
        <v>(160, 180]</v>
      </c>
      <c r="Q94" s="160" t="s">
        <v>139</v>
      </c>
      <c r="R94" s="157">
        <f t="shared" si="23"/>
        <v>3.1284413051865204E-2</v>
      </c>
      <c r="S94" s="162">
        <v>0</v>
      </c>
      <c r="T94" s="162">
        <v>0.15</v>
      </c>
      <c r="U94" s="162"/>
      <c r="V94" s="162"/>
      <c r="W94" s="162"/>
      <c r="X94" s="162"/>
      <c r="Y94" s="162"/>
      <c r="Z94" s="162"/>
      <c r="AA94" s="163">
        <v>0</v>
      </c>
      <c r="AB94" s="163">
        <v>4.6926619577797807E-3</v>
      </c>
      <c r="AC94" s="163">
        <v>0</v>
      </c>
      <c r="AD94" s="163">
        <v>0</v>
      </c>
      <c r="AE94" s="163">
        <v>0</v>
      </c>
      <c r="AF94" s="163">
        <v>0</v>
      </c>
      <c r="AG94" s="163">
        <v>0</v>
      </c>
      <c r="AH94" s="163">
        <v>0</v>
      </c>
      <c r="AI94" s="163">
        <v>0</v>
      </c>
      <c r="AJ94" s="163">
        <v>9.4648628022189363E-3</v>
      </c>
      <c r="AK94" s="163" t="e">
        <v>#DIV/0!</v>
      </c>
      <c r="AL94" s="163" t="e">
        <v>#DIV/0!</v>
      </c>
      <c r="AM94" s="163" t="e">
        <v>#DIV/0!</v>
      </c>
      <c r="AN94" s="163" t="e">
        <v>#DIV/0!</v>
      </c>
      <c r="AO94" s="163" t="e">
        <v>#DIV/0!</v>
      </c>
      <c r="AP94" s="163" t="e">
        <v>#DIV/0!</v>
      </c>
      <c r="AQ94" s="164">
        <f t="shared" si="24"/>
        <v>0</v>
      </c>
      <c r="AR94" s="164">
        <f t="shared" si="25"/>
        <v>9464862</v>
      </c>
      <c r="AS94" s="164" t="e">
        <f t="shared" si="26"/>
        <v>#DIV/0!</v>
      </c>
      <c r="AT94" s="164" t="e">
        <f t="shared" si="27"/>
        <v>#DIV/0!</v>
      </c>
      <c r="AU94" s="164" t="e">
        <f t="shared" si="28"/>
        <v>#DIV/0!</v>
      </c>
      <c r="AV94" s="164" t="e">
        <f t="shared" si="29"/>
        <v>#DIV/0!</v>
      </c>
      <c r="AW94" s="164" t="e">
        <f t="shared" si="30"/>
        <v>#DIV/0!</v>
      </c>
      <c r="AX94" s="164" t="e">
        <f t="shared" si="31"/>
        <v>#DIV/0!</v>
      </c>
      <c r="AY94" s="165">
        <f t="shared" si="32"/>
        <v>0</v>
      </c>
      <c r="AZ94" s="165">
        <v>0</v>
      </c>
      <c r="BA94" s="165">
        <f t="shared" si="33"/>
        <v>1.6072870837895423</v>
      </c>
      <c r="BB94" s="165">
        <v>9.4648621609026568E-3</v>
      </c>
      <c r="BC94" s="165" t="e">
        <f t="shared" si="34"/>
        <v>#DIV/0!</v>
      </c>
      <c r="BD94" s="165" t="e">
        <v>#DIV/0!</v>
      </c>
      <c r="BE94" s="165" t="e">
        <f t="shared" si="35"/>
        <v>#DIV/0!</v>
      </c>
      <c r="BF94" s="165" t="e">
        <v>#DIV/0!</v>
      </c>
      <c r="BG94" s="165" t="e">
        <f t="shared" si="36"/>
        <v>#DIV/0!</v>
      </c>
      <c r="BH94" s="165" t="e">
        <v>#DIV/0!</v>
      </c>
      <c r="BI94" s="165" t="e">
        <f t="shared" si="37"/>
        <v>#DIV/0!</v>
      </c>
      <c r="BJ94" s="165" t="e">
        <v>#DIV/0!</v>
      </c>
      <c r="BK94" s="165" t="e">
        <f t="shared" si="38"/>
        <v>#DIV/0!</v>
      </c>
      <c r="BL94" s="165" t="e">
        <v>#DIV/0!</v>
      </c>
      <c r="BM94" s="165" t="e">
        <f t="shared" si="39"/>
        <v>#DIV/0!</v>
      </c>
      <c r="BN94" s="165" t="e">
        <v>#DIV/0!</v>
      </c>
    </row>
    <row r="95" spans="1:66" ht="15.6" x14ac:dyDescent="0.3">
      <c r="A95" s="155">
        <v>180</v>
      </c>
      <c r="B95" s="155">
        <v>200</v>
      </c>
      <c r="C95" s="156">
        <v>61850</v>
      </c>
      <c r="D95" s="156"/>
      <c r="E95" s="156"/>
      <c r="F95" s="156">
        <v>352204626000</v>
      </c>
      <c r="G95" s="156"/>
      <c r="H95" s="172"/>
      <c r="I95" s="157">
        <v>2.7146397868316487E-2</v>
      </c>
      <c r="J95" s="157" t="e">
        <v>#DIV/0!</v>
      </c>
      <c r="K95" s="157"/>
      <c r="L95" s="157">
        <v>189.81655941794665</v>
      </c>
      <c r="M95" s="157"/>
      <c r="N95" s="157"/>
      <c r="O95" s="146"/>
      <c r="P95" s="159" t="str">
        <f t="shared" si="22"/>
        <v>(180, 200]</v>
      </c>
      <c r="Q95" s="160" t="s">
        <v>139</v>
      </c>
      <c r="R95" s="157">
        <f t="shared" si="23"/>
        <v>2.7146397868316487E-2</v>
      </c>
      <c r="S95" s="162">
        <v>0</v>
      </c>
      <c r="T95" s="162">
        <v>0.12</v>
      </c>
      <c r="U95" s="162"/>
      <c r="V95" s="162"/>
      <c r="W95" s="162"/>
      <c r="X95" s="162"/>
      <c r="Y95" s="162"/>
      <c r="Z95" s="162"/>
      <c r="AA95" s="163">
        <v>0</v>
      </c>
      <c r="AB95" s="163">
        <v>3.2575677441979783E-3</v>
      </c>
      <c r="AC95" s="163">
        <v>0</v>
      </c>
      <c r="AD95" s="163">
        <v>0</v>
      </c>
      <c r="AE95" s="163">
        <v>0</v>
      </c>
      <c r="AF95" s="163">
        <v>0</v>
      </c>
      <c r="AG95" s="163">
        <v>0</v>
      </c>
      <c r="AH95" s="163">
        <v>0</v>
      </c>
      <c r="AI95" s="163">
        <v>0</v>
      </c>
      <c r="AJ95" s="163">
        <v>6.5703500582759457E-3</v>
      </c>
      <c r="AK95" s="163" t="e">
        <v>#DIV/0!</v>
      </c>
      <c r="AL95" s="163" t="e">
        <v>#DIV/0!</v>
      </c>
      <c r="AM95" s="163" t="e">
        <v>#DIV/0!</v>
      </c>
      <c r="AN95" s="163" t="e">
        <v>#DIV/0!</v>
      </c>
      <c r="AO95" s="163" t="e">
        <v>#DIV/0!</v>
      </c>
      <c r="AP95" s="163" t="e">
        <v>#DIV/0!</v>
      </c>
      <c r="AQ95" s="164">
        <f t="shared" si="24"/>
        <v>0</v>
      </c>
      <c r="AR95" s="164">
        <f t="shared" si="25"/>
        <v>6570350</v>
      </c>
      <c r="AS95" s="164" t="e">
        <f t="shared" si="26"/>
        <v>#DIV/0!</v>
      </c>
      <c r="AT95" s="164" t="e">
        <f t="shared" si="27"/>
        <v>#DIV/0!</v>
      </c>
      <c r="AU95" s="164" t="e">
        <f t="shared" si="28"/>
        <v>#DIV/0!</v>
      </c>
      <c r="AV95" s="164" t="e">
        <f t="shared" si="29"/>
        <v>#DIV/0!</v>
      </c>
      <c r="AW95" s="164" t="e">
        <f t="shared" si="30"/>
        <v>#DIV/0!</v>
      </c>
      <c r="AX95" s="164" t="e">
        <f t="shared" si="31"/>
        <v>#DIV/0!</v>
      </c>
      <c r="AY95" s="165">
        <f t="shared" si="32"/>
        <v>0</v>
      </c>
      <c r="AZ95" s="165">
        <v>0</v>
      </c>
      <c r="BA95" s="165">
        <f t="shared" si="33"/>
        <v>1.2471612311717057</v>
      </c>
      <c r="BB95" s="165">
        <v>6.5703501116959519E-3</v>
      </c>
      <c r="BC95" s="165" t="e">
        <f t="shared" si="34"/>
        <v>#DIV/0!</v>
      </c>
      <c r="BD95" s="165" t="e">
        <v>#DIV/0!</v>
      </c>
      <c r="BE95" s="165" t="e">
        <f t="shared" si="35"/>
        <v>#DIV/0!</v>
      </c>
      <c r="BF95" s="165" t="e">
        <v>#DIV/0!</v>
      </c>
      <c r="BG95" s="165" t="e">
        <f t="shared" si="36"/>
        <v>#DIV/0!</v>
      </c>
      <c r="BH95" s="165" t="e">
        <v>#DIV/0!</v>
      </c>
      <c r="BI95" s="165" t="e">
        <f t="shared" si="37"/>
        <v>#DIV/0!</v>
      </c>
      <c r="BJ95" s="165" t="e">
        <v>#DIV/0!</v>
      </c>
      <c r="BK95" s="165" t="e">
        <f t="shared" si="38"/>
        <v>#DIV/0!</v>
      </c>
      <c r="BL95" s="165" t="e">
        <v>#DIV/0!</v>
      </c>
      <c r="BM95" s="165" t="e">
        <f t="shared" si="39"/>
        <v>#DIV/0!</v>
      </c>
      <c r="BN95" s="165" t="e">
        <v>#DIV/0!</v>
      </c>
    </row>
    <row r="96" spans="1:66" ht="15.6" x14ac:dyDescent="0.3">
      <c r="A96" s="155">
        <v>200</v>
      </c>
      <c r="B96" s="155">
        <v>250</v>
      </c>
      <c r="C96" s="156">
        <v>123505</v>
      </c>
      <c r="D96" s="156"/>
      <c r="E96" s="156"/>
      <c r="F96" s="156">
        <v>829012758000</v>
      </c>
      <c r="G96" s="156"/>
      <c r="H96" s="172"/>
      <c r="I96" s="157">
        <v>5.4207208871890511E-2</v>
      </c>
      <c r="J96" s="157" t="e">
        <v>#DIV/0!</v>
      </c>
      <c r="K96" s="157"/>
      <c r="L96" s="157">
        <v>223.74607181895468</v>
      </c>
      <c r="M96" s="157"/>
      <c r="N96" s="157"/>
      <c r="O96" s="146"/>
      <c r="P96" s="159" t="str">
        <f t="shared" si="22"/>
        <v>(200, 250]</v>
      </c>
      <c r="Q96" s="160" t="s">
        <v>139</v>
      </c>
      <c r="R96" s="157">
        <f t="shared" si="23"/>
        <v>5.4207208871890511E-2</v>
      </c>
      <c r="S96" s="162">
        <v>0</v>
      </c>
      <c r="T96" s="162">
        <v>7.0000000000000007E-2</v>
      </c>
      <c r="U96" s="162"/>
      <c r="V96" s="162"/>
      <c r="W96" s="162"/>
      <c r="X96" s="162"/>
      <c r="Y96" s="162"/>
      <c r="Z96" s="162"/>
      <c r="AA96" s="163">
        <v>0</v>
      </c>
      <c r="AB96" s="163">
        <v>3.794504621032336E-3</v>
      </c>
      <c r="AC96" s="163">
        <v>0</v>
      </c>
      <c r="AD96" s="163">
        <v>0</v>
      </c>
      <c r="AE96" s="163">
        <v>0</v>
      </c>
      <c r="AF96" s="163">
        <v>0</v>
      </c>
      <c r="AG96" s="163">
        <v>0</v>
      </c>
      <c r="AH96" s="163">
        <v>0</v>
      </c>
      <c r="AI96" s="163">
        <v>0</v>
      </c>
      <c r="AJ96" s="163">
        <v>7.653324693656152E-3</v>
      </c>
      <c r="AK96" s="163" t="e">
        <v>#DIV/0!</v>
      </c>
      <c r="AL96" s="163" t="e">
        <v>#DIV/0!</v>
      </c>
      <c r="AM96" s="163" t="e">
        <v>#DIV/0!</v>
      </c>
      <c r="AN96" s="163" t="e">
        <v>#DIV/0!</v>
      </c>
      <c r="AO96" s="163" t="e">
        <v>#DIV/0!</v>
      </c>
      <c r="AP96" s="163" t="e">
        <v>#DIV/0!</v>
      </c>
      <c r="AQ96" s="164">
        <f t="shared" si="24"/>
        <v>0</v>
      </c>
      <c r="AR96" s="164">
        <f t="shared" si="25"/>
        <v>7653324</v>
      </c>
      <c r="AS96" s="164" t="e">
        <f t="shared" si="26"/>
        <v>#DIV/0!</v>
      </c>
      <c r="AT96" s="164" t="e">
        <f t="shared" si="27"/>
        <v>#DIV/0!</v>
      </c>
      <c r="AU96" s="164" t="e">
        <f t="shared" si="28"/>
        <v>#DIV/0!</v>
      </c>
      <c r="AV96" s="164" t="e">
        <f t="shared" si="29"/>
        <v>#DIV/0!</v>
      </c>
      <c r="AW96" s="164" t="e">
        <f t="shared" si="30"/>
        <v>#DIV/0!</v>
      </c>
      <c r="AX96" s="164" t="e">
        <f t="shared" si="31"/>
        <v>#DIV/0!</v>
      </c>
      <c r="AY96" s="165">
        <f t="shared" si="32"/>
        <v>0</v>
      </c>
      <c r="AZ96" s="165">
        <v>0</v>
      </c>
      <c r="BA96" s="165">
        <f t="shared" si="33"/>
        <v>1.7124011813577293</v>
      </c>
      <c r="BB96" s="165">
        <v>7.6533241301065102E-3</v>
      </c>
      <c r="BC96" s="165" t="e">
        <f t="shared" si="34"/>
        <v>#DIV/0!</v>
      </c>
      <c r="BD96" s="165" t="e">
        <v>#DIV/0!</v>
      </c>
      <c r="BE96" s="165" t="e">
        <f t="shared" si="35"/>
        <v>#DIV/0!</v>
      </c>
      <c r="BF96" s="165" t="e">
        <v>#DIV/0!</v>
      </c>
      <c r="BG96" s="165" t="e">
        <f t="shared" si="36"/>
        <v>#DIV/0!</v>
      </c>
      <c r="BH96" s="165" t="e">
        <v>#DIV/0!</v>
      </c>
      <c r="BI96" s="165" t="e">
        <f t="shared" si="37"/>
        <v>#DIV/0!</v>
      </c>
      <c r="BJ96" s="165" t="e">
        <v>#DIV/0!</v>
      </c>
      <c r="BK96" s="165" t="e">
        <f t="shared" si="38"/>
        <v>#DIV/0!</v>
      </c>
      <c r="BL96" s="165" t="e">
        <v>#DIV/0!</v>
      </c>
      <c r="BM96" s="165" t="e">
        <f t="shared" si="39"/>
        <v>#DIV/0!</v>
      </c>
      <c r="BN96" s="165" t="e">
        <v>#DIV/0!</v>
      </c>
    </row>
    <row r="97" spans="1:66" ht="15.6" x14ac:dyDescent="0.3">
      <c r="A97" s="155">
        <v>250</v>
      </c>
      <c r="B97" s="155">
        <v>300</v>
      </c>
      <c r="C97" s="156">
        <v>91171</v>
      </c>
      <c r="D97" s="156"/>
      <c r="E97" s="156"/>
      <c r="F97" s="156">
        <v>749139811500</v>
      </c>
      <c r="G97" s="156"/>
      <c r="H97" s="172"/>
      <c r="I97" s="157">
        <v>4.0015589976593088E-2</v>
      </c>
      <c r="J97" s="157" t="e">
        <v>#DIV/0!</v>
      </c>
      <c r="K97" s="157"/>
      <c r="L97" s="157">
        <v>273.89550460124383</v>
      </c>
      <c r="M97" s="157"/>
      <c r="N97" s="157"/>
      <c r="O97" s="146"/>
      <c r="P97" s="159" t="str">
        <f t="shared" si="22"/>
        <v>(250, 300]</v>
      </c>
      <c r="Q97" s="160" t="s">
        <v>139</v>
      </c>
      <c r="R97" s="157">
        <f t="shared" si="23"/>
        <v>4.0015589976593088E-2</v>
      </c>
      <c r="S97" s="162">
        <v>0</v>
      </c>
      <c r="T97" s="162">
        <v>0.05</v>
      </c>
      <c r="U97" s="162"/>
      <c r="V97" s="162"/>
      <c r="W97" s="162"/>
      <c r="X97" s="162"/>
      <c r="Y97" s="162"/>
      <c r="Z97" s="162"/>
      <c r="AA97" s="163">
        <v>0</v>
      </c>
      <c r="AB97" s="163">
        <v>2.0007794988296545E-3</v>
      </c>
      <c r="AC97" s="163">
        <v>0</v>
      </c>
      <c r="AD97" s="163">
        <v>0</v>
      </c>
      <c r="AE97" s="163">
        <v>0</v>
      </c>
      <c r="AF97" s="163">
        <v>0</v>
      </c>
      <c r="AG97" s="163">
        <v>0</v>
      </c>
      <c r="AH97" s="163">
        <v>0</v>
      </c>
      <c r="AI97" s="163">
        <v>0</v>
      </c>
      <c r="AJ97" s="163">
        <v>4.0354714710527911E-3</v>
      </c>
      <c r="AK97" s="163" t="e">
        <v>#DIV/0!</v>
      </c>
      <c r="AL97" s="163" t="e">
        <v>#DIV/0!</v>
      </c>
      <c r="AM97" s="163" t="e">
        <v>#DIV/0!</v>
      </c>
      <c r="AN97" s="163" t="e">
        <v>#DIV/0!</v>
      </c>
      <c r="AO97" s="163" t="e">
        <v>#DIV/0!</v>
      </c>
      <c r="AP97" s="163" t="e">
        <v>#DIV/0!</v>
      </c>
      <c r="AQ97" s="164">
        <f t="shared" si="24"/>
        <v>0</v>
      </c>
      <c r="AR97" s="164">
        <f t="shared" si="25"/>
        <v>4035471</v>
      </c>
      <c r="AS97" s="164" t="e">
        <f t="shared" si="26"/>
        <v>#DIV/0!</v>
      </c>
      <c r="AT97" s="164" t="e">
        <f t="shared" si="27"/>
        <v>#DIV/0!</v>
      </c>
      <c r="AU97" s="164" t="e">
        <f t="shared" si="28"/>
        <v>#DIV/0!</v>
      </c>
      <c r="AV97" s="164" t="e">
        <f t="shared" si="29"/>
        <v>#DIV/0!</v>
      </c>
      <c r="AW97" s="164" t="e">
        <f t="shared" si="30"/>
        <v>#DIV/0!</v>
      </c>
      <c r="AX97" s="164" t="e">
        <f t="shared" si="31"/>
        <v>#DIV/0!</v>
      </c>
      <c r="AY97" s="165">
        <f t="shared" si="32"/>
        <v>0</v>
      </c>
      <c r="AZ97" s="165">
        <v>0</v>
      </c>
      <c r="BA97" s="165">
        <f t="shared" si="33"/>
        <v>1.105297365848686</v>
      </c>
      <c r="BB97" s="165">
        <v>4.0354710686030084E-3</v>
      </c>
      <c r="BC97" s="165" t="e">
        <f t="shared" si="34"/>
        <v>#DIV/0!</v>
      </c>
      <c r="BD97" s="165" t="e">
        <v>#DIV/0!</v>
      </c>
      <c r="BE97" s="165" t="e">
        <f t="shared" si="35"/>
        <v>#DIV/0!</v>
      </c>
      <c r="BF97" s="165" t="e">
        <v>#DIV/0!</v>
      </c>
      <c r="BG97" s="165" t="e">
        <f t="shared" si="36"/>
        <v>#DIV/0!</v>
      </c>
      <c r="BH97" s="165" t="e">
        <v>#DIV/0!</v>
      </c>
      <c r="BI97" s="165" t="e">
        <f t="shared" si="37"/>
        <v>#DIV/0!</v>
      </c>
      <c r="BJ97" s="165" t="e">
        <v>#DIV/0!</v>
      </c>
      <c r="BK97" s="165" t="e">
        <f t="shared" si="38"/>
        <v>#DIV/0!</v>
      </c>
      <c r="BL97" s="165" t="e">
        <v>#DIV/0!</v>
      </c>
      <c r="BM97" s="165" t="e">
        <f t="shared" si="39"/>
        <v>#DIV/0!</v>
      </c>
      <c r="BN97" s="165" t="e">
        <v>#DIV/0!</v>
      </c>
    </row>
    <row r="98" spans="1:66" ht="15.6" x14ac:dyDescent="0.3">
      <c r="A98" s="155">
        <v>300</v>
      </c>
      <c r="B98" s="155">
        <v>350</v>
      </c>
      <c r="C98" s="156">
        <v>70283</v>
      </c>
      <c r="D98" s="156"/>
      <c r="E98" s="156"/>
      <c r="F98" s="156">
        <v>683242429500</v>
      </c>
      <c r="G98" s="156"/>
      <c r="H98" s="172"/>
      <c r="I98" s="157">
        <v>3.0847700588179268E-2</v>
      </c>
      <c r="J98" s="157" t="e">
        <v>#DIV/0!</v>
      </c>
      <c r="K98" s="157"/>
      <c r="L98" s="157">
        <v>324.04347637408762</v>
      </c>
      <c r="M98" s="157"/>
      <c r="N98" s="157"/>
      <c r="O98" s="146"/>
      <c r="P98" s="159" t="str">
        <f t="shared" si="22"/>
        <v>(300, 350]</v>
      </c>
      <c r="Q98" s="160" t="s">
        <v>139</v>
      </c>
      <c r="R98" s="157">
        <f t="shared" si="23"/>
        <v>3.0847700588179268E-2</v>
      </c>
      <c r="S98" s="162">
        <v>0</v>
      </c>
      <c r="T98" s="162">
        <v>0.1</v>
      </c>
      <c r="U98" s="162"/>
      <c r="V98" s="162"/>
      <c r="W98" s="162"/>
      <c r="X98" s="162"/>
      <c r="Y98" s="162"/>
      <c r="Z98" s="162"/>
      <c r="AA98" s="163">
        <v>0</v>
      </c>
      <c r="AB98" s="163">
        <v>3.0847700588179268E-3</v>
      </c>
      <c r="AC98" s="163">
        <v>0</v>
      </c>
      <c r="AD98" s="163">
        <v>0</v>
      </c>
      <c r="AE98" s="163">
        <v>0</v>
      </c>
      <c r="AF98" s="163">
        <v>0</v>
      </c>
      <c r="AG98" s="163">
        <v>0</v>
      </c>
      <c r="AH98" s="163">
        <v>0</v>
      </c>
      <c r="AI98" s="163">
        <v>0</v>
      </c>
      <c r="AJ98" s="163">
        <v>6.2218258305821658E-3</v>
      </c>
      <c r="AK98" s="163" t="e">
        <v>#DIV/0!</v>
      </c>
      <c r="AL98" s="163" t="e">
        <v>#DIV/0!</v>
      </c>
      <c r="AM98" s="163" t="e">
        <v>#DIV/0!</v>
      </c>
      <c r="AN98" s="163" t="e">
        <v>#DIV/0!</v>
      </c>
      <c r="AO98" s="163" t="e">
        <v>#DIV/0!</v>
      </c>
      <c r="AP98" s="163" t="e">
        <v>#DIV/0!</v>
      </c>
      <c r="AQ98" s="164">
        <f t="shared" si="24"/>
        <v>0</v>
      </c>
      <c r="AR98" s="164">
        <f t="shared" si="25"/>
        <v>6221825</v>
      </c>
      <c r="AS98" s="164" t="e">
        <f t="shared" si="26"/>
        <v>#DIV/0!</v>
      </c>
      <c r="AT98" s="164" t="e">
        <f t="shared" si="27"/>
        <v>#DIV/0!</v>
      </c>
      <c r="AU98" s="164" t="e">
        <f t="shared" si="28"/>
        <v>#DIV/0!</v>
      </c>
      <c r="AV98" s="164" t="e">
        <f t="shared" si="29"/>
        <v>#DIV/0!</v>
      </c>
      <c r="AW98" s="164" t="e">
        <f t="shared" si="30"/>
        <v>#DIV/0!</v>
      </c>
      <c r="AX98" s="164" t="e">
        <f t="shared" si="31"/>
        <v>#DIV/0!</v>
      </c>
      <c r="AY98" s="165">
        <f t="shared" si="32"/>
        <v>0</v>
      </c>
      <c r="AZ98" s="165">
        <v>0</v>
      </c>
      <c r="BA98" s="165">
        <f t="shared" si="33"/>
        <v>2.0161418023912079</v>
      </c>
      <c r="BB98" s="165">
        <v>6.2218251057710268E-3</v>
      </c>
      <c r="BC98" s="165" t="e">
        <f t="shared" si="34"/>
        <v>#DIV/0!</v>
      </c>
      <c r="BD98" s="165" t="e">
        <v>#DIV/0!</v>
      </c>
      <c r="BE98" s="165" t="e">
        <f t="shared" si="35"/>
        <v>#DIV/0!</v>
      </c>
      <c r="BF98" s="165" t="e">
        <v>#DIV/0!</v>
      </c>
      <c r="BG98" s="165" t="e">
        <f t="shared" si="36"/>
        <v>#DIV/0!</v>
      </c>
      <c r="BH98" s="165" t="e">
        <v>#DIV/0!</v>
      </c>
      <c r="BI98" s="165" t="e">
        <f t="shared" si="37"/>
        <v>#DIV/0!</v>
      </c>
      <c r="BJ98" s="165" t="e">
        <v>#DIV/0!</v>
      </c>
      <c r="BK98" s="165" t="e">
        <f t="shared" si="38"/>
        <v>#DIV/0!</v>
      </c>
      <c r="BL98" s="165" t="e">
        <v>#DIV/0!</v>
      </c>
      <c r="BM98" s="165" t="e">
        <f t="shared" si="39"/>
        <v>#DIV/0!</v>
      </c>
      <c r="BN98" s="165" t="e">
        <v>#DIV/0!</v>
      </c>
    </row>
    <row r="99" spans="1:66" ht="15.6" x14ac:dyDescent="0.3">
      <c r="A99" s="155">
        <v>350</v>
      </c>
      <c r="B99" s="155">
        <v>400</v>
      </c>
      <c r="C99" s="156">
        <v>54191</v>
      </c>
      <c r="D99" s="156"/>
      <c r="E99" s="156"/>
      <c r="F99" s="156">
        <v>608097045000</v>
      </c>
      <c r="G99" s="156"/>
      <c r="H99" s="172"/>
      <c r="I99" s="157">
        <v>2.3784809165431509E-2</v>
      </c>
      <c r="J99" s="157" t="e">
        <v>#DIV/0!</v>
      </c>
      <c r="K99" s="157"/>
      <c r="L99" s="157">
        <v>374.04553339115353</v>
      </c>
      <c r="M99" s="157"/>
      <c r="N99" s="157"/>
      <c r="O99" s="146"/>
      <c r="P99" s="159" t="str">
        <f t="shared" ref="P99:P125" si="40">"("&amp;$A99&amp;", "&amp;$B99&amp;"]"</f>
        <v>(350, 400]</v>
      </c>
      <c r="Q99" s="160" t="s">
        <v>139</v>
      </c>
      <c r="R99" s="157">
        <f t="shared" ref="R99:R130" si="41">_xlfn.SINGLE(_xlfn.XLOOKUP(Q99, $I$66:$K$66, I99:K99))</f>
        <v>2.3784809165431509E-2</v>
      </c>
      <c r="S99" s="162">
        <v>0</v>
      </c>
      <c r="T99" s="162">
        <v>0.06</v>
      </c>
      <c r="U99" s="162"/>
      <c r="V99" s="162"/>
      <c r="W99" s="162"/>
      <c r="X99" s="162"/>
      <c r="Y99" s="162"/>
      <c r="Z99" s="162"/>
      <c r="AA99" s="163">
        <v>0</v>
      </c>
      <c r="AB99" s="163">
        <v>1.4270885499258906E-3</v>
      </c>
      <c r="AC99" s="163">
        <v>0</v>
      </c>
      <c r="AD99" s="163">
        <v>0</v>
      </c>
      <c r="AE99" s="163">
        <v>0</v>
      </c>
      <c r="AF99" s="163">
        <v>0</v>
      </c>
      <c r="AG99" s="163">
        <v>0</v>
      </c>
      <c r="AH99" s="163">
        <v>0</v>
      </c>
      <c r="AI99" s="163">
        <v>0</v>
      </c>
      <c r="AJ99" s="163">
        <v>2.8783657235895862E-3</v>
      </c>
      <c r="AK99" s="163" t="e">
        <v>#DIV/0!</v>
      </c>
      <c r="AL99" s="163" t="e">
        <v>#DIV/0!</v>
      </c>
      <c r="AM99" s="163" t="e">
        <v>#DIV/0!</v>
      </c>
      <c r="AN99" s="163" t="e">
        <v>#DIV/0!</v>
      </c>
      <c r="AO99" s="163" t="e">
        <v>#DIV/0!</v>
      </c>
      <c r="AP99" s="163" t="e">
        <v>#DIV/0!</v>
      </c>
      <c r="AQ99" s="164">
        <f t="shared" ref="AQ99:AQ125" si="42">INT(AI99*$AQ$65)</f>
        <v>0</v>
      </c>
      <c r="AR99" s="164">
        <f t="shared" ref="AR99:AR125" si="43">INT(AJ99*$AQ$65)</f>
        <v>2878365</v>
      </c>
      <c r="AS99" s="164" t="e">
        <f t="shared" ref="AS99:AS125" si="44">INT(AK99*$AQ$65)</f>
        <v>#DIV/0!</v>
      </c>
      <c r="AT99" s="164" t="e">
        <f t="shared" ref="AT99:AT125" si="45">INT(AL99*$AQ$65)</f>
        <v>#DIV/0!</v>
      </c>
      <c r="AU99" s="164" t="e">
        <f t="shared" ref="AU99:AU125" si="46">INT(AM99*$AQ$65)</f>
        <v>#DIV/0!</v>
      </c>
      <c r="AV99" s="164" t="e">
        <f t="shared" ref="AV99:AV125" si="47">INT(AN99*$AQ$65)</f>
        <v>#DIV/0!</v>
      </c>
      <c r="AW99" s="164" t="e">
        <f t="shared" ref="AW99:AW125" si="48">INT(AO99*$AQ$65)</f>
        <v>#DIV/0!</v>
      </c>
      <c r="AX99" s="164" t="e">
        <f t="shared" ref="AX99:AX125" si="49">INT(AP99*$AQ$65)</f>
        <v>#DIV/0!</v>
      </c>
      <c r="AY99" s="165">
        <f t="shared" ref="AY99:AY125" si="50">_xlfn.LET(_xlpm.x, _xlfn.XLOOKUP($Q99, $L$66:$N$66, $L99:$N99), IF(ISERROR(_xlpm.x), 0, _xlpm.x)*AQ99/$AQ$65)</f>
        <v>0</v>
      </c>
      <c r="AZ99" s="165">
        <v>0</v>
      </c>
      <c r="BA99" s="165">
        <f t="shared" ref="BA99:BA125" si="51">_xlfn.LET(_xlpm.x, _xlfn.XLOOKUP($Q99, $L$66:$N$66, $L99:$N99), IF(ISERROR(_xlpm.x), 0, _xlpm.x)*AR99/$AQ$65)</f>
        <v>1.0766395717194275</v>
      </c>
      <c r="BB99" s="165">
        <v>2.8783650489322059E-3</v>
      </c>
      <c r="BC99" s="165" t="e">
        <f t="shared" ref="BC99:BC125" si="52">_xlfn.LET(_xlpm.x, _xlfn.XLOOKUP($Q99, $L$66:$N$66, $L99:$N99), IF(ISERROR(_xlpm.x), 0, _xlpm.x)*AS99/$AQ$65)</f>
        <v>#DIV/0!</v>
      </c>
      <c r="BD99" s="165" t="e">
        <v>#DIV/0!</v>
      </c>
      <c r="BE99" s="165" t="e">
        <f t="shared" ref="BE99:BE125" si="53">_xlfn.LET(_xlpm.x, _xlfn.XLOOKUP($Q99, $L$66:$N$66, $L99:$N99), IF(ISERROR(_xlpm.x), 0, _xlpm.x)*AT99/$AQ$65)</f>
        <v>#DIV/0!</v>
      </c>
      <c r="BF99" s="165" t="e">
        <v>#DIV/0!</v>
      </c>
      <c r="BG99" s="165" t="e">
        <f t="shared" ref="BG99:BG125" si="54">_xlfn.LET(_xlpm.x, _xlfn.XLOOKUP($Q99, $L$66:$N$66, $L99:$N99), IF(ISERROR(_xlpm.x), 0, _xlpm.x)*AU99/$AQ$65)</f>
        <v>#DIV/0!</v>
      </c>
      <c r="BH99" s="165" t="e">
        <v>#DIV/0!</v>
      </c>
      <c r="BI99" s="165" t="e">
        <f t="shared" ref="BI99:BI125" si="55">_xlfn.LET(_xlpm.x, _xlfn.XLOOKUP($Q99, $L$66:$N$66, $L99:$N99), IF(ISERROR(_xlpm.x), 0, _xlpm.x)*AV99/$AQ$65)</f>
        <v>#DIV/0!</v>
      </c>
      <c r="BJ99" s="165" t="e">
        <v>#DIV/0!</v>
      </c>
      <c r="BK99" s="165" t="e">
        <f t="shared" ref="BK99:BK125" si="56">_xlfn.LET(_xlpm.x, _xlfn.XLOOKUP($Q99, $L$66:$N$66, $L99:$N99), IF(ISERROR(_xlpm.x), 0, _xlpm.x)*AW99/$AQ$65)</f>
        <v>#DIV/0!</v>
      </c>
      <c r="BL99" s="165" t="e">
        <v>#DIV/0!</v>
      </c>
      <c r="BM99" s="165" t="e">
        <f t="shared" ref="BM99:BM125" si="57">_xlfn.LET(_xlpm.x, _xlfn.XLOOKUP($Q99, $L$66:$N$66, $L99:$N99), IF(ISERROR(_xlpm.x), 0, _xlpm.x)*AX99/$AQ$65)</f>
        <v>#DIV/0!</v>
      </c>
      <c r="BN99" s="165" t="e">
        <v>#DIV/0!</v>
      </c>
    </row>
    <row r="100" spans="1:66" ht="15.6" x14ac:dyDescent="0.3">
      <c r="A100" s="155">
        <v>400</v>
      </c>
      <c r="B100" s="155">
        <v>450</v>
      </c>
      <c r="C100" s="156">
        <v>43300</v>
      </c>
      <c r="D100" s="156"/>
      <c r="E100" s="156"/>
      <c r="F100" s="156">
        <v>550847445000</v>
      </c>
      <c r="G100" s="156"/>
      <c r="H100" s="172"/>
      <c r="I100" s="157">
        <v>1.9004673042814939E-2</v>
      </c>
      <c r="J100" s="157" t="e">
        <v>#DIV/0!</v>
      </c>
      <c r="K100" s="157"/>
      <c r="L100" s="157">
        <v>424.05500000000001</v>
      </c>
      <c r="M100" s="157"/>
      <c r="N100" s="157"/>
      <c r="O100" s="146"/>
      <c r="P100" s="159" t="str">
        <f t="shared" si="40"/>
        <v>(400, 450]</v>
      </c>
      <c r="Q100" s="160" t="s">
        <v>139</v>
      </c>
      <c r="R100" s="157">
        <f t="shared" si="41"/>
        <v>1.9004673042814939E-2</v>
      </c>
      <c r="S100" s="162">
        <v>0</v>
      </c>
      <c r="T100" s="162">
        <v>0.05</v>
      </c>
      <c r="U100" s="162"/>
      <c r="V100" s="162"/>
      <c r="W100" s="162"/>
      <c r="X100" s="162"/>
      <c r="Y100" s="162"/>
      <c r="Z100" s="162"/>
      <c r="AA100" s="163">
        <v>0</v>
      </c>
      <c r="AB100" s="163">
        <v>9.5023365214074698E-4</v>
      </c>
      <c r="AC100" s="163">
        <v>0</v>
      </c>
      <c r="AD100" s="163">
        <v>0</v>
      </c>
      <c r="AE100" s="163">
        <v>0</v>
      </c>
      <c r="AF100" s="163">
        <v>0</v>
      </c>
      <c r="AG100" s="163">
        <v>0</v>
      </c>
      <c r="AH100" s="163">
        <v>0</v>
      </c>
      <c r="AI100" s="163">
        <v>0</v>
      </c>
      <c r="AJ100" s="163">
        <v>1.9165734136576966E-3</v>
      </c>
      <c r="AK100" s="163" t="e">
        <v>#DIV/0!</v>
      </c>
      <c r="AL100" s="163" t="e">
        <v>#DIV/0!</v>
      </c>
      <c r="AM100" s="163" t="e">
        <v>#DIV/0!</v>
      </c>
      <c r="AN100" s="163" t="e">
        <v>#DIV/0!</v>
      </c>
      <c r="AO100" s="163" t="e">
        <v>#DIV/0!</v>
      </c>
      <c r="AP100" s="163" t="e">
        <v>#DIV/0!</v>
      </c>
      <c r="AQ100" s="164">
        <f t="shared" si="42"/>
        <v>0</v>
      </c>
      <c r="AR100" s="164">
        <f t="shared" si="43"/>
        <v>1916573</v>
      </c>
      <c r="AS100" s="164" t="e">
        <f t="shared" si="44"/>
        <v>#DIV/0!</v>
      </c>
      <c r="AT100" s="164" t="e">
        <f t="shared" si="45"/>
        <v>#DIV/0!</v>
      </c>
      <c r="AU100" s="164" t="e">
        <f t="shared" si="46"/>
        <v>#DIV/0!</v>
      </c>
      <c r="AV100" s="164" t="e">
        <f t="shared" si="47"/>
        <v>#DIV/0!</v>
      </c>
      <c r="AW100" s="164" t="e">
        <f t="shared" si="48"/>
        <v>#DIV/0!</v>
      </c>
      <c r="AX100" s="164" t="e">
        <f t="shared" si="49"/>
        <v>#DIV/0!</v>
      </c>
      <c r="AY100" s="165">
        <f t="shared" si="50"/>
        <v>0</v>
      </c>
      <c r="AZ100" s="165">
        <v>0</v>
      </c>
      <c r="BA100" s="165">
        <f t="shared" si="51"/>
        <v>0.812732363515</v>
      </c>
      <c r="BB100" s="165">
        <v>1.9165730325817415E-3</v>
      </c>
      <c r="BC100" s="165" t="e">
        <f t="shared" si="52"/>
        <v>#DIV/0!</v>
      </c>
      <c r="BD100" s="165" t="e">
        <v>#DIV/0!</v>
      </c>
      <c r="BE100" s="165" t="e">
        <f t="shared" si="53"/>
        <v>#DIV/0!</v>
      </c>
      <c r="BF100" s="165" t="e">
        <v>#DIV/0!</v>
      </c>
      <c r="BG100" s="165" t="e">
        <f t="shared" si="54"/>
        <v>#DIV/0!</v>
      </c>
      <c r="BH100" s="165" t="e">
        <v>#DIV/0!</v>
      </c>
      <c r="BI100" s="165" t="e">
        <f t="shared" si="55"/>
        <v>#DIV/0!</v>
      </c>
      <c r="BJ100" s="165" t="e">
        <v>#DIV/0!</v>
      </c>
      <c r="BK100" s="165" t="e">
        <f t="shared" si="56"/>
        <v>#DIV/0!</v>
      </c>
      <c r="BL100" s="165" t="e">
        <v>#DIV/0!</v>
      </c>
      <c r="BM100" s="165" t="e">
        <f t="shared" si="57"/>
        <v>#DIV/0!</v>
      </c>
      <c r="BN100" s="165" t="e">
        <v>#DIV/0!</v>
      </c>
    </row>
    <row r="101" spans="1:66" ht="15.6" x14ac:dyDescent="0.3">
      <c r="A101" s="155">
        <v>450</v>
      </c>
      <c r="B101" s="155">
        <v>500</v>
      </c>
      <c r="C101" s="156">
        <v>35047</v>
      </c>
      <c r="D101" s="156"/>
      <c r="E101" s="156"/>
      <c r="F101" s="156">
        <v>498481450500</v>
      </c>
      <c r="G101" s="156"/>
      <c r="H101" s="172"/>
      <c r="I101" s="157">
        <v>1.5382373582714439E-2</v>
      </c>
      <c r="J101" s="157" t="e">
        <v>#DIV/0!</v>
      </c>
      <c r="K101" s="157"/>
      <c r="L101" s="157">
        <v>474.10757982138273</v>
      </c>
      <c r="M101" s="157"/>
      <c r="N101" s="157"/>
      <c r="O101" s="146"/>
      <c r="P101" s="159" t="str">
        <f t="shared" si="40"/>
        <v>(450, 500]</v>
      </c>
      <c r="Q101" s="160" t="s">
        <v>139</v>
      </c>
      <c r="R101" s="157">
        <f t="shared" si="41"/>
        <v>1.5382373582714439E-2</v>
      </c>
      <c r="S101" s="162">
        <v>0</v>
      </c>
      <c r="T101" s="162">
        <v>0.05</v>
      </c>
      <c r="U101" s="162"/>
      <c r="V101" s="162"/>
      <c r="W101" s="162"/>
      <c r="X101" s="162"/>
      <c r="Y101" s="162"/>
      <c r="Z101" s="162"/>
      <c r="AA101" s="163">
        <v>0</v>
      </c>
      <c r="AB101" s="163">
        <v>7.69118679135722E-4</v>
      </c>
      <c r="AC101" s="163">
        <v>0</v>
      </c>
      <c r="AD101" s="163">
        <v>0</v>
      </c>
      <c r="AE101" s="163">
        <v>0</v>
      </c>
      <c r="AF101" s="163">
        <v>0</v>
      </c>
      <c r="AG101" s="163">
        <v>0</v>
      </c>
      <c r="AH101" s="163">
        <v>0</v>
      </c>
      <c r="AI101" s="163">
        <v>0</v>
      </c>
      <c r="AJ101" s="163">
        <v>1.5512736357612309E-3</v>
      </c>
      <c r="AK101" s="163" t="e">
        <v>#DIV/0!</v>
      </c>
      <c r="AL101" s="163" t="e">
        <v>#DIV/0!</v>
      </c>
      <c r="AM101" s="163" t="e">
        <v>#DIV/0!</v>
      </c>
      <c r="AN101" s="163" t="e">
        <v>#DIV/0!</v>
      </c>
      <c r="AO101" s="163" t="e">
        <v>#DIV/0!</v>
      </c>
      <c r="AP101" s="163" t="e">
        <v>#DIV/0!</v>
      </c>
      <c r="AQ101" s="164">
        <f t="shared" si="42"/>
        <v>0</v>
      </c>
      <c r="AR101" s="164">
        <f t="shared" si="43"/>
        <v>1551273</v>
      </c>
      <c r="AS101" s="164" t="e">
        <f t="shared" si="44"/>
        <v>#DIV/0!</v>
      </c>
      <c r="AT101" s="164" t="e">
        <f t="shared" si="45"/>
        <v>#DIV/0!</v>
      </c>
      <c r="AU101" s="164" t="e">
        <f t="shared" si="46"/>
        <v>#DIV/0!</v>
      </c>
      <c r="AV101" s="164" t="e">
        <f t="shared" si="47"/>
        <v>#DIV/0!</v>
      </c>
      <c r="AW101" s="164" t="e">
        <f t="shared" si="48"/>
        <v>#DIV/0!</v>
      </c>
      <c r="AX101" s="164" t="e">
        <f t="shared" si="49"/>
        <v>#DIV/0!</v>
      </c>
      <c r="AY101" s="165">
        <f t="shared" si="50"/>
        <v>0</v>
      </c>
      <c r="AZ101" s="165">
        <v>0</v>
      </c>
      <c r="BA101" s="165">
        <f t="shared" si="51"/>
        <v>0.73547028767225586</v>
      </c>
      <c r="BB101" s="165">
        <v>1.5512730263716413E-3</v>
      </c>
      <c r="BC101" s="165" t="e">
        <f t="shared" si="52"/>
        <v>#DIV/0!</v>
      </c>
      <c r="BD101" s="165" t="e">
        <v>#DIV/0!</v>
      </c>
      <c r="BE101" s="165" t="e">
        <f t="shared" si="53"/>
        <v>#DIV/0!</v>
      </c>
      <c r="BF101" s="165" t="e">
        <v>#DIV/0!</v>
      </c>
      <c r="BG101" s="165" t="e">
        <f t="shared" si="54"/>
        <v>#DIV/0!</v>
      </c>
      <c r="BH101" s="165" t="e">
        <v>#DIV/0!</v>
      </c>
      <c r="BI101" s="165" t="e">
        <f t="shared" si="55"/>
        <v>#DIV/0!</v>
      </c>
      <c r="BJ101" s="165" t="e">
        <v>#DIV/0!</v>
      </c>
      <c r="BK101" s="165" t="e">
        <f t="shared" si="56"/>
        <v>#DIV/0!</v>
      </c>
      <c r="BL101" s="165" t="e">
        <v>#DIV/0!</v>
      </c>
      <c r="BM101" s="165" t="e">
        <f t="shared" si="57"/>
        <v>#DIV/0!</v>
      </c>
      <c r="BN101" s="165" t="e">
        <v>#DIV/0!</v>
      </c>
    </row>
    <row r="102" spans="1:66" ht="15.6" x14ac:dyDescent="0.3">
      <c r="A102" s="155">
        <v>500</v>
      </c>
      <c r="B102" s="155">
        <v>550</v>
      </c>
      <c r="C102" s="156">
        <v>28158</v>
      </c>
      <c r="D102" s="156"/>
      <c r="E102" s="156"/>
      <c r="F102" s="156">
        <v>442869673500</v>
      </c>
      <c r="G102" s="156"/>
      <c r="H102" s="172"/>
      <c r="I102" s="157">
        <v>1.2358743268812542E-2</v>
      </c>
      <c r="J102" s="157" t="e">
        <v>#DIV/0!</v>
      </c>
      <c r="K102" s="157"/>
      <c r="L102" s="157">
        <v>524.26743554229711</v>
      </c>
      <c r="M102" s="157"/>
      <c r="N102" s="157"/>
      <c r="O102" s="146"/>
      <c r="P102" s="159" t="str">
        <f t="shared" si="40"/>
        <v>(500, 550]</v>
      </c>
      <c r="Q102" s="160" t="s">
        <v>139</v>
      </c>
      <c r="R102" s="157">
        <f t="shared" si="41"/>
        <v>1.2358743268812542E-2</v>
      </c>
      <c r="S102" s="162">
        <v>0</v>
      </c>
      <c r="T102" s="162">
        <v>0.1</v>
      </c>
      <c r="U102" s="162"/>
      <c r="V102" s="162"/>
      <c r="W102" s="162"/>
      <c r="X102" s="162"/>
      <c r="Y102" s="162"/>
      <c r="Z102" s="162"/>
      <c r="AA102" s="163">
        <v>0</v>
      </c>
      <c r="AB102" s="163">
        <v>1.2358743268812544E-3</v>
      </c>
      <c r="AC102" s="163">
        <v>0</v>
      </c>
      <c r="AD102" s="163">
        <v>0</v>
      </c>
      <c r="AE102" s="163">
        <v>0</v>
      </c>
      <c r="AF102" s="163">
        <v>0</v>
      </c>
      <c r="AG102" s="163">
        <v>0</v>
      </c>
      <c r="AH102" s="163">
        <v>0</v>
      </c>
      <c r="AI102" s="163">
        <v>0</v>
      </c>
      <c r="AJ102" s="163">
        <v>2.4926962670565093E-3</v>
      </c>
      <c r="AK102" s="163" t="e">
        <v>#DIV/0!</v>
      </c>
      <c r="AL102" s="163" t="e">
        <v>#DIV/0!</v>
      </c>
      <c r="AM102" s="163" t="e">
        <v>#DIV/0!</v>
      </c>
      <c r="AN102" s="163" t="e">
        <v>#DIV/0!</v>
      </c>
      <c r="AO102" s="163" t="e">
        <v>#DIV/0!</v>
      </c>
      <c r="AP102" s="163" t="e">
        <v>#DIV/0!</v>
      </c>
      <c r="AQ102" s="164">
        <f t="shared" si="42"/>
        <v>0</v>
      </c>
      <c r="AR102" s="164">
        <f t="shared" si="43"/>
        <v>2492696</v>
      </c>
      <c r="AS102" s="164" t="e">
        <f t="shared" si="44"/>
        <v>#DIV/0!</v>
      </c>
      <c r="AT102" s="164" t="e">
        <f t="shared" si="45"/>
        <v>#DIV/0!</v>
      </c>
      <c r="AU102" s="164" t="e">
        <f t="shared" si="46"/>
        <v>#DIV/0!</v>
      </c>
      <c r="AV102" s="164" t="e">
        <f t="shared" si="47"/>
        <v>#DIV/0!</v>
      </c>
      <c r="AW102" s="164" t="e">
        <f t="shared" si="48"/>
        <v>#DIV/0!</v>
      </c>
      <c r="AX102" s="164" t="e">
        <f t="shared" si="49"/>
        <v>#DIV/0!</v>
      </c>
      <c r="AY102" s="165">
        <f t="shared" si="50"/>
        <v>0</v>
      </c>
      <c r="AZ102" s="165">
        <v>0</v>
      </c>
      <c r="BA102" s="165">
        <f t="shared" si="51"/>
        <v>1.3068393395065416</v>
      </c>
      <c r="BB102" s="165">
        <v>2.4926960423758329E-3</v>
      </c>
      <c r="BC102" s="165" t="e">
        <f t="shared" si="52"/>
        <v>#DIV/0!</v>
      </c>
      <c r="BD102" s="165" t="e">
        <v>#DIV/0!</v>
      </c>
      <c r="BE102" s="165" t="e">
        <f t="shared" si="53"/>
        <v>#DIV/0!</v>
      </c>
      <c r="BF102" s="165" t="e">
        <v>#DIV/0!</v>
      </c>
      <c r="BG102" s="165" t="e">
        <f t="shared" si="54"/>
        <v>#DIV/0!</v>
      </c>
      <c r="BH102" s="165" t="e">
        <v>#DIV/0!</v>
      </c>
      <c r="BI102" s="165" t="e">
        <f t="shared" si="55"/>
        <v>#DIV/0!</v>
      </c>
      <c r="BJ102" s="165" t="e">
        <v>#DIV/0!</v>
      </c>
      <c r="BK102" s="165" t="e">
        <f t="shared" si="56"/>
        <v>#DIV/0!</v>
      </c>
      <c r="BL102" s="165" t="e">
        <v>#DIV/0!</v>
      </c>
      <c r="BM102" s="165" t="e">
        <f t="shared" si="57"/>
        <v>#DIV/0!</v>
      </c>
      <c r="BN102" s="165" t="e">
        <v>#DIV/0!</v>
      </c>
    </row>
    <row r="103" spans="1:66" ht="15.6" x14ac:dyDescent="0.3">
      <c r="A103" s="155">
        <v>550</v>
      </c>
      <c r="B103" s="155">
        <v>600</v>
      </c>
      <c r="C103" s="156">
        <v>23509</v>
      </c>
      <c r="D103" s="156"/>
      <c r="E103" s="156"/>
      <c r="F103" s="156">
        <v>405068590500</v>
      </c>
      <c r="G103" s="156"/>
      <c r="H103" s="172"/>
      <c r="I103" s="157">
        <v>1.0318264631952342E-2</v>
      </c>
      <c r="J103" s="157" t="e">
        <v>#DIV/0!</v>
      </c>
      <c r="K103" s="157"/>
      <c r="L103" s="157">
        <v>574.34541452209783</v>
      </c>
      <c r="M103" s="157"/>
      <c r="N103" s="157"/>
      <c r="O103" s="146"/>
      <c r="P103" s="159" t="str">
        <f t="shared" si="40"/>
        <v>(550, 600]</v>
      </c>
      <c r="Q103" s="160" t="s">
        <v>139</v>
      </c>
      <c r="R103" s="157">
        <f t="shared" si="41"/>
        <v>1.0318264631952342E-2</v>
      </c>
      <c r="S103" s="162">
        <v>0</v>
      </c>
      <c r="T103" s="162">
        <v>0.05</v>
      </c>
      <c r="U103" s="162"/>
      <c r="V103" s="162"/>
      <c r="W103" s="162"/>
      <c r="X103" s="162"/>
      <c r="Y103" s="162"/>
      <c r="Z103" s="162"/>
      <c r="AA103" s="163">
        <v>0</v>
      </c>
      <c r="AB103" s="163">
        <v>5.1591323159761707E-4</v>
      </c>
      <c r="AC103" s="163">
        <v>0</v>
      </c>
      <c r="AD103" s="163">
        <v>0</v>
      </c>
      <c r="AE103" s="163">
        <v>0</v>
      </c>
      <c r="AF103" s="163">
        <v>0</v>
      </c>
      <c r="AG103" s="163">
        <v>0</v>
      </c>
      <c r="AH103" s="163">
        <v>0</v>
      </c>
      <c r="AI103" s="163">
        <v>0</v>
      </c>
      <c r="AJ103" s="163">
        <v>1.0405710018863462E-3</v>
      </c>
      <c r="AK103" s="163" t="e">
        <v>#DIV/0!</v>
      </c>
      <c r="AL103" s="163" t="e">
        <v>#DIV/0!</v>
      </c>
      <c r="AM103" s="163" t="e">
        <v>#DIV/0!</v>
      </c>
      <c r="AN103" s="163" t="e">
        <v>#DIV/0!</v>
      </c>
      <c r="AO103" s="163" t="e">
        <v>#DIV/0!</v>
      </c>
      <c r="AP103" s="163" t="e">
        <v>#DIV/0!</v>
      </c>
      <c r="AQ103" s="164">
        <f t="shared" si="42"/>
        <v>0</v>
      </c>
      <c r="AR103" s="164">
        <f t="shared" si="43"/>
        <v>1040571</v>
      </c>
      <c r="AS103" s="164" t="e">
        <f t="shared" si="44"/>
        <v>#DIV/0!</v>
      </c>
      <c r="AT103" s="164" t="e">
        <f t="shared" si="45"/>
        <v>#DIV/0!</v>
      </c>
      <c r="AU103" s="164" t="e">
        <f t="shared" si="46"/>
        <v>#DIV/0!</v>
      </c>
      <c r="AV103" s="164" t="e">
        <f t="shared" si="47"/>
        <v>#DIV/0!</v>
      </c>
      <c r="AW103" s="164" t="e">
        <f t="shared" si="48"/>
        <v>#DIV/0!</v>
      </c>
      <c r="AX103" s="164" t="e">
        <f t="shared" si="49"/>
        <v>#DIV/0!</v>
      </c>
      <c r="AY103" s="165">
        <f t="shared" si="50"/>
        <v>0</v>
      </c>
      <c r="AZ103" s="165">
        <v>0</v>
      </c>
      <c r="BA103" s="165">
        <f t="shared" si="51"/>
        <v>0.59764718233467384</v>
      </c>
      <c r="BB103" s="165">
        <v>1.0405710176897072E-3</v>
      </c>
      <c r="BC103" s="165" t="e">
        <f t="shared" si="52"/>
        <v>#DIV/0!</v>
      </c>
      <c r="BD103" s="165" t="e">
        <v>#DIV/0!</v>
      </c>
      <c r="BE103" s="165" t="e">
        <f t="shared" si="53"/>
        <v>#DIV/0!</v>
      </c>
      <c r="BF103" s="165" t="e">
        <v>#DIV/0!</v>
      </c>
      <c r="BG103" s="165" t="e">
        <f t="shared" si="54"/>
        <v>#DIV/0!</v>
      </c>
      <c r="BH103" s="165" t="e">
        <v>#DIV/0!</v>
      </c>
      <c r="BI103" s="165" t="e">
        <f t="shared" si="55"/>
        <v>#DIV/0!</v>
      </c>
      <c r="BJ103" s="165" t="e">
        <v>#DIV/0!</v>
      </c>
      <c r="BK103" s="165" t="e">
        <f t="shared" si="56"/>
        <v>#DIV/0!</v>
      </c>
      <c r="BL103" s="165" t="e">
        <v>#DIV/0!</v>
      </c>
      <c r="BM103" s="165" t="e">
        <f t="shared" si="57"/>
        <v>#DIV/0!</v>
      </c>
      <c r="BN103" s="165" t="e">
        <v>#DIV/0!</v>
      </c>
    </row>
    <row r="104" spans="1:66" ht="15.6" x14ac:dyDescent="0.3">
      <c r="A104" s="155">
        <v>600</v>
      </c>
      <c r="B104" s="155">
        <v>650</v>
      </c>
      <c r="C104" s="156">
        <v>19576</v>
      </c>
      <c r="D104" s="156"/>
      <c r="E104" s="156"/>
      <c r="F104" s="156">
        <v>366659379000</v>
      </c>
      <c r="G104" s="156"/>
      <c r="H104" s="172"/>
      <c r="I104" s="157">
        <v>8.5920434061465406E-3</v>
      </c>
      <c r="J104" s="157" t="e">
        <v>#DIV/0!</v>
      </c>
      <c r="K104" s="157"/>
      <c r="L104" s="157">
        <v>624.33486411932984</v>
      </c>
      <c r="M104" s="157"/>
      <c r="N104" s="157"/>
      <c r="O104" s="146"/>
      <c r="P104" s="159" t="str">
        <f t="shared" si="40"/>
        <v>(600, 650]</v>
      </c>
      <c r="Q104" s="160" t="s">
        <v>139</v>
      </c>
      <c r="R104" s="157">
        <f t="shared" si="41"/>
        <v>8.5920434061465406E-3</v>
      </c>
      <c r="S104" s="162">
        <v>0</v>
      </c>
      <c r="T104" s="162">
        <v>0.01</v>
      </c>
      <c r="U104" s="162"/>
      <c r="V104" s="162"/>
      <c r="W104" s="162"/>
      <c r="X104" s="162"/>
      <c r="Y104" s="162"/>
      <c r="Z104" s="162"/>
      <c r="AA104" s="163">
        <v>0</v>
      </c>
      <c r="AB104" s="163">
        <v>8.5920434061465404E-5</v>
      </c>
      <c r="AC104" s="163">
        <v>0</v>
      </c>
      <c r="AD104" s="163">
        <v>0</v>
      </c>
      <c r="AE104" s="163">
        <v>0</v>
      </c>
      <c r="AF104" s="163">
        <v>0</v>
      </c>
      <c r="AG104" s="163">
        <v>0</v>
      </c>
      <c r="AH104" s="163">
        <v>0</v>
      </c>
      <c r="AI104" s="163">
        <v>0</v>
      </c>
      <c r="AJ104" s="163">
        <v>1.7329718774024511E-4</v>
      </c>
      <c r="AK104" s="163" t="e">
        <v>#DIV/0!</v>
      </c>
      <c r="AL104" s="163" t="e">
        <v>#DIV/0!</v>
      </c>
      <c r="AM104" s="163" t="e">
        <v>#DIV/0!</v>
      </c>
      <c r="AN104" s="163" t="e">
        <v>#DIV/0!</v>
      </c>
      <c r="AO104" s="163" t="e">
        <v>#DIV/0!</v>
      </c>
      <c r="AP104" s="163" t="e">
        <v>#DIV/0!</v>
      </c>
      <c r="AQ104" s="164">
        <f t="shared" si="42"/>
        <v>0</v>
      </c>
      <c r="AR104" s="164">
        <f t="shared" si="43"/>
        <v>173297</v>
      </c>
      <c r="AS104" s="164" t="e">
        <f t="shared" si="44"/>
        <v>#DIV/0!</v>
      </c>
      <c r="AT104" s="164" t="e">
        <f t="shared" si="45"/>
        <v>#DIV/0!</v>
      </c>
      <c r="AU104" s="164" t="e">
        <f t="shared" si="46"/>
        <v>#DIV/0!</v>
      </c>
      <c r="AV104" s="164" t="e">
        <f t="shared" si="47"/>
        <v>#DIV/0!</v>
      </c>
      <c r="AW104" s="164" t="e">
        <f t="shared" si="48"/>
        <v>#DIV/0!</v>
      </c>
      <c r="AX104" s="164" t="e">
        <f t="shared" si="49"/>
        <v>#DIV/0!</v>
      </c>
      <c r="AY104" s="165">
        <f t="shared" si="50"/>
        <v>0</v>
      </c>
      <c r="AZ104" s="165">
        <v>0</v>
      </c>
      <c r="BA104" s="165">
        <f t="shared" si="51"/>
        <v>0.1081953589472875</v>
      </c>
      <c r="BB104" s="165">
        <v>1.7329700294604905E-4</v>
      </c>
      <c r="BC104" s="165" t="e">
        <f t="shared" si="52"/>
        <v>#DIV/0!</v>
      </c>
      <c r="BD104" s="165" t="e">
        <v>#DIV/0!</v>
      </c>
      <c r="BE104" s="165" t="e">
        <f t="shared" si="53"/>
        <v>#DIV/0!</v>
      </c>
      <c r="BF104" s="165" t="e">
        <v>#DIV/0!</v>
      </c>
      <c r="BG104" s="165" t="e">
        <f t="shared" si="54"/>
        <v>#DIV/0!</v>
      </c>
      <c r="BH104" s="165" t="e">
        <v>#DIV/0!</v>
      </c>
      <c r="BI104" s="165" t="e">
        <f t="shared" si="55"/>
        <v>#DIV/0!</v>
      </c>
      <c r="BJ104" s="165" t="e">
        <v>#DIV/0!</v>
      </c>
      <c r="BK104" s="165" t="e">
        <f t="shared" si="56"/>
        <v>#DIV/0!</v>
      </c>
      <c r="BL104" s="165" t="e">
        <v>#DIV/0!</v>
      </c>
      <c r="BM104" s="165" t="e">
        <f t="shared" si="57"/>
        <v>#DIV/0!</v>
      </c>
      <c r="BN104" s="165" t="e">
        <v>#DIV/0!</v>
      </c>
    </row>
    <row r="105" spans="1:66" ht="15.6" x14ac:dyDescent="0.3">
      <c r="A105" s="155">
        <v>650</v>
      </c>
      <c r="B105" s="155">
        <v>700</v>
      </c>
      <c r="C105" s="156">
        <v>16323</v>
      </c>
      <c r="D105" s="156"/>
      <c r="E105" s="156"/>
      <c r="F105" s="156">
        <v>330188008500</v>
      </c>
      <c r="G105" s="156"/>
      <c r="H105" s="172"/>
      <c r="I105" s="157">
        <v>7.1642789394426847E-3</v>
      </c>
      <c r="J105" s="157" t="e">
        <v>#DIV/0!</v>
      </c>
      <c r="K105" s="157"/>
      <c r="L105" s="157">
        <v>674.27966366476755</v>
      </c>
      <c r="M105" s="157"/>
      <c r="N105" s="157"/>
      <c r="O105" s="146"/>
      <c r="P105" s="159" t="str">
        <f t="shared" si="40"/>
        <v>(650, 700]</v>
      </c>
      <c r="Q105" s="160" t="s">
        <v>139</v>
      </c>
      <c r="R105" s="157">
        <f t="shared" si="41"/>
        <v>7.1642789394426847E-3</v>
      </c>
      <c r="S105" s="162">
        <v>0</v>
      </c>
      <c r="T105" s="162">
        <v>0.01</v>
      </c>
      <c r="U105" s="162"/>
      <c r="V105" s="162"/>
      <c r="W105" s="162"/>
      <c r="X105" s="162"/>
      <c r="Y105" s="162"/>
      <c r="Z105" s="162"/>
      <c r="AA105" s="163">
        <v>0</v>
      </c>
      <c r="AB105" s="163">
        <v>7.1642789394426849E-5</v>
      </c>
      <c r="AC105" s="163">
        <v>0</v>
      </c>
      <c r="AD105" s="163">
        <v>0</v>
      </c>
      <c r="AE105" s="163">
        <v>0</v>
      </c>
      <c r="AF105" s="163">
        <v>0</v>
      </c>
      <c r="AG105" s="163">
        <v>0</v>
      </c>
      <c r="AH105" s="163">
        <v>0</v>
      </c>
      <c r="AI105" s="163">
        <v>0</v>
      </c>
      <c r="AJ105" s="163">
        <v>1.4449989760339298E-4</v>
      </c>
      <c r="AK105" s="163" t="e">
        <v>#DIV/0!</v>
      </c>
      <c r="AL105" s="163" t="e">
        <v>#DIV/0!</v>
      </c>
      <c r="AM105" s="163" t="e">
        <v>#DIV/0!</v>
      </c>
      <c r="AN105" s="163" t="e">
        <v>#DIV/0!</v>
      </c>
      <c r="AO105" s="163" t="e">
        <v>#DIV/0!</v>
      </c>
      <c r="AP105" s="163" t="e">
        <v>#DIV/0!</v>
      </c>
      <c r="AQ105" s="164">
        <f t="shared" si="42"/>
        <v>0</v>
      </c>
      <c r="AR105" s="164">
        <f t="shared" si="43"/>
        <v>144499</v>
      </c>
      <c r="AS105" s="164" t="e">
        <f t="shared" si="44"/>
        <v>#DIV/0!</v>
      </c>
      <c r="AT105" s="164" t="e">
        <f t="shared" si="45"/>
        <v>#DIV/0!</v>
      </c>
      <c r="AU105" s="164" t="e">
        <f t="shared" si="46"/>
        <v>#DIV/0!</v>
      </c>
      <c r="AV105" s="164" t="e">
        <f t="shared" si="47"/>
        <v>#DIV/0!</v>
      </c>
      <c r="AW105" s="164" t="e">
        <f t="shared" si="48"/>
        <v>#DIV/0!</v>
      </c>
      <c r="AX105" s="164" t="e">
        <f t="shared" si="49"/>
        <v>#DIV/0!</v>
      </c>
      <c r="AY105" s="165">
        <f t="shared" si="50"/>
        <v>0</v>
      </c>
      <c r="AZ105" s="165">
        <v>0</v>
      </c>
      <c r="BA105" s="165">
        <f t="shared" si="51"/>
        <v>9.7432737119895252E-2</v>
      </c>
      <c r="BB105" s="165">
        <v>1.4449900245648304E-4</v>
      </c>
      <c r="BC105" s="165" t="e">
        <f t="shared" si="52"/>
        <v>#DIV/0!</v>
      </c>
      <c r="BD105" s="165" t="e">
        <v>#DIV/0!</v>
      </c>
      <c r="BE105" s="165" t="e">
        <f t="shared" si="53"/>
        <v>#DIV/0!</v>
      </c>
      <c r="BF105" s="165" t="e">
        <v>#DIV/0!</v>
      </c>
      <c r="BG105" s="165" t="e">
        <f t="shared" si="54"/>
        <v>#DIV/0!</v>
      </c>
      <c r="BH105" s="165" t="e">
        <v>#DIV/0!</v>
      </c>
      <c r="BI105" s="165" t="e">
        <f t="shared" si="55"/>
        <v>#DIV/0!</v>
      </c>
      <c r="BJ105" s="165" t="e">
        <v>#DIV/0!</v>
      </c>
      <c r="BK105" s="165" t="e">
        <f t="shared" si="56"/>
        <v>#DIV/0!</v>
      </c>
      <c r="BL105" s="165" t="e">
        <v>#DIV/0!</v>
      </c>
      <c r="BM105" s="165" t="e">
        <f t="shared" si="57"/>
        <v>#DIV/0!</v>
      </c>
      <c r="BN105" s="165" t="e">
        <v>#DIV/0!</v>
      </c>
    </row>
    <row r="106" spans="1:66" ht="15.6" x14ac:dyDescent="0.3">
      <c r="A106" s="155">
        <v>700</v>
      </c>
      <c r="B106" s="155">
        <v>750</v>
      </c>
      <c r="C106" s="156">
        <v>13958</v>
      </c>
      <c r="D106" s="156"/>
      <c r="E106" s="156"/>
      <c r="F106" s="156">
        <v>303268159500</v>
      </c>
      <c r="G106" s="156"/>
      <c r="H106" s="172"/>
      <c r="I106" s="157">
        <v>6.1262638875660717E-3</v>
      </c>
      <c r="J106" s="157" t="e">
        <v>#DIV/0!</v>
      </c>
      <c r="K106" s="157"/>
      <c r="L106" s="157">
        <v>724.23976572574861</v>
      </c>
      <c r="M106" s="157"/>
      <c r="N106" s="157"/>
      <c r="O106" s="146"/>
      <c r="P106" s="159" t="str">
        <f t="shared" si="40"/>
        <v>(700, 750]</v>
      </c>
      <c r="Q106" s="160" t="s">
        <v>139</v>
      </c>
      <c r="R106" s="157">
        <f t="shared" si="41"/>
        <v>6.1262638875660717E-3</v>
      </c>
      <c r="S106" s="162">
        <v>0</v>
      </c>
      <c r="T106" s="162">
        <v>0.01</v>
      </c>
      <c r="U106" s="162"/>
      <c r="V106" s="162"/>
      <c r="W106" s="162"/>
      <c r="X106" s="162"/>
      <c r="Y106" s="162"/>
      <c r="Z106" s="162"/>
      <c r="AA106" s="163">
        <v>0</v>
      </c>
      <c r="AB106" s="163">
        <v>6.1262638875660719E-5</v>
      </c>
      <c r="AC106" s="163">
        <v>0</v>
      </c>
      <c r="AD106" s="163">
        <v>0</v>
      </c>
      <c r="AE106" s="163">
        <v>0</v>
      </c>
      <c r="AF106" s="163">
        <v>0</v>
      </c>
      <c r="AG106" s="163">
        <v>0</v>
      </c>
      <c r="AH106" s="163">
        <v>0</v>
      </c>
      <c r="AI106" s="163">
        <v>0</v>
      </c>
      <c r="AJ106" s="163">
        <v>1.2356365684911837E-4</v>
      </c>
      <c r="AK106" s="163" t="e">
        <v>#DIV/0!</v>
      </c>
      <c r="AL106" s="163" t="e">
        <v>#DIV/0!</v>
      </c>
      <c r="AM106" s="163" t="e">
        <v>#DIV/0!</v>
      </c>
      <c r="AN106" s="163" t="e">
        <v>#DIV/0!</v>
      </c>
      <c r="AO106" s="163" t="e">
        <v>#DIV/0!</v>
      </c>
      <c r="AP106" s="163" t="e">
        <v>#DIV/0!</v>
      </c>
      <c r="AQ106" s="164">
        <f t="shared" si="42"/>
        <v>0</v>
      </c>
      <c r="AR106" s="164">
        <f t="shared" si="43"/>
        <v>123563</v>
      </c>
      <c r="AS106" s="164" t="e">
        <f t="shared" si="44"/>
        <v>#DIV/0!</v>
      </c>
      <c r="AT106" s="164" t="e">
        <f t="shared" si="45"/>
        <v>#DIV/0!</v>
      </c>
      <c r="AU106" s="164" t="e">
        <f t="shared" si="46"/>
        <v>#DIV/0!</v>
      </c>
      <c r="AV106" s="164" t="e">
        <f t="shared" si="47"/>
        <v>#DIV/0!</v>
      </c>
      <c r="AW106" s="164" t="e">
        <f t="shared" si="48"/>
        <v>#DIV/0!</v>
      </c>
      <c r="AX106" s="164" t="e">
        <f t="shared" si="49"/>
        <v>#DIV/0!</v>
      </c>
      <c r="AY106" s="165">
        <f t="shared" si="50"/>
        <v>0</v>
      </c>
      <c r="AZ106" s="165">
        <v>0</v>
      </c>
      <c r="BA106" s="165">
        <f t="shared" si="51"/>
        <v>8.9489238172370672E-2</v>
      </c>
      <c r="BB106" s="165">
        <v>1.2356300210057103E-4</v>
      </c>
      <c r="BC106" s="165" t="e">
        <f t="shared" si="52"/>
        <v>#DIV/0!</v>
      </c>
      <c r="BD106" s="165" t="e">
        <v>#DIV/0!</v>
      </c>
      <c r="BE106" s="165" t="e">
        <f t="shared" si="53"/>
        <v>#DIV/0!</v>
      </c>
      <c r="BF106" s="165" t="e">
        <v>#DIV/0!</v>
      </c>
      <c r="BG106" s="165" t="e">
        <f t="shared" si="54"/>
        <v>#DIV/0!</v>
      </c>
      <c r="BH106" s="165" t="e">
        <v>#DIV/0!</v>
      </c>
      <c r="BI106" s="165" t="e">
        <f t="shared" si="55"/>
        <v>#DIV/0!</v>
      </c>
      <c r="BJ106" s="165" t="e">
        <v>#DIV/0!</v>
      </c>
      <c r="BK106" s="165" t="e">
        <f t="shared" si="56"/>
        <v>#DIV/0!</v>
      </c>
      <c r="BL106" s="165" t="e">
        <v>#DIV/0!</v>
      </c>
      <c r="BM106" s="165" t="e">
        <f t="shared" si="57"/>
        <v>#DIV/0!</v>
      </c>
      <c r="BN106" s="165" t="e">
        <v>#DIV/0!</v>
      </c>
    </row>
    <row r="107" spans="1:66" ht="15.6" x14ac:dyDescent="0.3">
      <c r="A107" s="155">
        <v>750</v>
      </c>
      <c r="B107" s="155">
        <v>800</v>
      </c>
      <c r="C107" s="173">
        <v>11691</v>
      </c>
      <c r="D107" s="156"/>
      <c r="E107" s="156"/>
      <c r="F107" s="156">
        <v>271550059500</v>
      </c>
      <c r="G107" s="156"/>
      <c r="H107" s="172"/>
      <c r="I107" s="157">
        <v>5.1312617215600338E-3</v>
      </c>
      <c r="J107" s="157" t="e">
        <v>#DIV/0!</v>
      </c>
      <c r="K107" s="157"/>
      <c r="L107" s="157">
        <v>774.24246428876916</v>
      </c>
      <c r="M107" s="157"/>
      <c r="N107" s="157"/>
      <c r="O107" s="146"/>
      <c r="P107" s="159" t="str">
        <f t="shared" si="40"/>
        <v>(750, 800]</v>
      </c>
      <c r="Q107" s="160" t="s">
        <v>139</v>
      </c>
      <c r="R107" s="157">
        <f t="shared" si="41"/>
        <v>5.1312617215600338E-3</v>
      </c>
      <c r="S107" s="162">
        <v>0</v>
      </c>
      <c r="T107" s="162">
        <v>0.01</v>
      </c>
      <c r="U107" s="162"/>
      <c r="V107" s="162"/>
      <c r="W107" s="162"/>
      <c r="X107" s="162"/>
      <c r="Y107" s="162"/>
      <c r="Z107" s="162"/>
      <c r="AA107" s="163">
        <v>0</v>
      </c>
      <c r="AB107" s="163">
        <v>5.1312617215600338E-5</v>
      </c>
      <c r="AC107" s="163">
        <v>0</v>
      </c>
      <c r="AD107" s="163">
        <v>0</v>
      </c>
      <c r="AE107" s="163">
        <v>0</v>
      </c>
      <c r="AF107" s="163">
        <v>0</v>
      </c>
      <c r="AG107" s="163">
        <v>0</v>
      </c>
      <c r="AH107" s="163">
        <v>0</v>
      </c>
      <c r="AI107" s="163">
        <v>0</v>
      </c>
      <c r="AJ107" s="163">
        <v>1.0349496433751563E-4</v>
      </c>
      <c r="AK107" s="163" t="e">
        <v>#DIV/0!</v>
      </c>
      <c r="AL107" s="163" t="e">
        <v>#DIV/0!</v>
      </c>
      <c r="AM107" s="163" t="e">
        <v>#DIV/0!</v>
      </c>
      <c r="AN107" s="163" t="e">
        <v>#DIV/0!</v>
      </c>
      <c r="AO107" s="163" t="e">
        <v>#DIV/0!</v>
      </c>
      <c r="AP107" s="163" t="e">
        <v>#DIV/0!</v>
      </c>
      <c r="AQ107" s="164">
        <f t="shared" si="42"/>
        <v>0</v>
      </c>
      <c r="AR107" s="164">
        <f t="shared" si="43"/>
        <v>103494</v>
      </c>
      <c r="AS107" s="164" t="e">
        <f t="shared" si="44"/>
        <v>#DIV/0!</v>
      </c>
      <c r="AT107" s="164" t="e">
        <f t="shared" si="45"/>
        <v>#DIV/0!</v>
      </c>
      <c r="AU107" s="164" t="e">
        <f t="shared" si="46"/>
        <v>#DIV/0!</v>
      </c>
      <c r="AV107" s="164" t="e">
        <f t="shared" si="47"/>
        <v>#DIV/0!</v>
      </c>
      <c r="AW107" s="164" t="e">
        <f t="shared" si="48"/>
        <v>#DIV/0!</v>
      </c>
      <c r="AX107" s="164" t="e">
        <f t="shared" si="49"/>
        <v>#DIV/0!</v>
      </c>
      <c r="AY107" s="165">
        <f t="shared" si="50"/>
        <v>0</v>
      </c>
      <c r="AZ107" s="165">
        <v>0</v>
      </c>
      <c r="BA107" s="165">
        <f t="shared" si="51"/>
        <v>8.0129449599101871E-2</v>
      </c>
      <c r="BB107" s="165">
        <v>1.0349400175939803E-4</v>
      </c>
      <c r="BC107" s="165" t="e">
        <f t="shared" si="52"/>
        <v>#DIV/0!</v>
      </c>
      <c r="BD107" s="165" t="e">
        <v>#DIV/0!</v>
      </c>
      <c r="BE107" s="165" t="e">
        <f t="shared" si="53"/>
        <v>#DIV/0!</v>
      </c>
      <c r="BF107" s="165" t="e">
        <v>#DIV/0!</v>
      </c>
      <c r="BG107" s="165" t="e">
        <f t="shared" si="54"/>
        <v>#DIV/0!</v>
      </c>
      <c r="BH107" s="165" t="e">
        <v>#DIV/0!</v>
      </c>
      <c r="BI107" s="165" t="e">
        <f t="shared" si="55"/>
        <v>#DIV/0!</v>
      </c>
      <c r="BJ107" s="165" t="e">
        <v>#DIV/0!</v>
      </c>
      <c r="BK107" s="165" t="e">
        <f t="shared" si="56"/>
        <v>#DIV/0!</v>
      </c>
      <c r="BL107" s="165" t="e">
        <v>#DIV/0!</v>
      </c>
      <c r="BM107" s="165" t="e">
        <f t="shared" si="57"/>
        <v>#DIV/0!</v>
      </c>
      <c r="BN107" s="165" t="e">
        <v>#DIV/0!</v>
      </c>
    </row>
    <row r="108" spans="1:66" ht="15.6" x14ac:dyDescent="0.3">
      <c r="A108" s="155">
        <v>800</v>
      </c>
      <c r="B108" s="155">
        <v>850</v>
      </c>
      <c r="C108" s="156">
        <v>10300</v>
      </c>
      <c r="D108" s="156"/>
      <c r="E108" s="156"/>
      <c r="F108" s="156">
        <v>254747641500</v>
      </c>
      <c r="G108" s="156"/>
      <c r="H108" s="172"/>
      <c r="I108" s="157">
        <v>4.5207420863970869E-3</v>
      </c>
      <c r="J108" s="157" t="e">
        <v>#DIV/0!</v>
      </c>
      <c r="K108" s="157"/>
      <c r="L108" s="157">
        <v>824.42602427184465</v>
      </c>
      <c r="M108" s="157"/>
      <c r="N108" s="157"/>
      <c r="O108" s="146"/>
      <c r="P108" s="159" t="str">
        <f t="shared" si="40"/>
        <v>(800, 850]</v>
      </c>
      <c r="Q108" s="160" t="s">
        <v>139</v>
      </c>
      <c r="R108" s="157">
        <f t="shared" si="41"/>
        <v>4.5207420863970869E-3</v>
      </c>
      <c r="S108" s="162">
        <v>0</v>
      </c>
      <c r="T108" s="162">
        <v>0.01</v>
      </c>
      <c r="U108" s="162"/>
      <c r="V108" s="162"/>
      <c r="W108" s="162"/>
      <c r="X108" s="162"/>
      <c r="Y108" s="162"/>
      <c r="Z108" s="162"/>
      <c r="AA108" s="163">
        <v>0</v>
      </c>
      <c r="AB108" s="163">
        <v>4.5207420863970867E-5</v>
      </c>
      <c r="AC108" s="163">
        <v>0</v>
      </c>
      <c r="AD108" s="163">
        <v>0</v>
      </c>
      <c r="AE108" s="163">
        <v>0</v>
      </c>
      <c r="AF108" s="163">
        <v>0</v>
      </c>
      <c r="AG108" s="163">
        <v>0</v>
      </c>
      <c r="AH108" s="163">
        <v>0</v>
      </c>
      <c r="AI108" s="163">
        <v>0</v>
      </c>
      <c r="AJ108" s="163">
        <v>9.118109081142852E-5</v>
      </c>
      <c r="AK108" s="163" t="e">
        <v>#DIV/0!</v>
      </c>
      <c r="AL108" s="163" t="e">
        <v>#DIV/0!</v>
      </c>
      <c r="AM108" s="163" t="e">
        <v>#DIV/0!</v>
      </c>
      <c r="AN108" s="163" t="e">
        <v>#DIV/0!</v>
      </c>
      <c r="AO108" s="163" t="e">
        <v>#DIV/0!</v>
      </c>
      <c r="AP108" s="163" t="e">
        <v>#DIV/0!</v>
      </c>
      <c r="AQ108" s="164">
        <f t="shared" si="42"/>
        <v>0</v>
      </c>
      <c r="AR108" s="164">
        <f t="shared" si="43"/>
        <v>91181</v>
      </c>
      <c r="AS108" s="164" t="e">
        <f t="shared" si="44"/>
        <v>#DIV/0!</v>
      </c>
      <c r="AT108" s="164" t="e">
        <f t="shared" si="45"/>
        <v>#DIV/0!</v>
      </c>
      <c r="AU108" s="164" t="e">
        <f t="shared" si="46"/>
        <v>#DIV/0!</v>
      </c>
      <c r="AV108" s="164" t="e">
        <f t="shared" si="47"/>
        <v>#DIV/0!</v>
      </c>
      <c r="AW108" s="164" t="e">
        <f t="shared" si="48"/>
        <v>#DIV/0!</v>
      </c>
      <c r="AX108" s="164" t="e">
        <f t="shared" si="49"/>
        <v>#DIV/0!</v>
      </c>
      <c r="AY108" s="165">
        <f t="shared" si="50"/>
        <v>0</v>
      </c>
      <c r="AZ108" s="165">
        <v>0</v>
      </c>
      <c r="BA108" s="165">
        <f t="shared" si="51"/>
        <v>7.5171989319131063E-2</v>
      </c>
      <c r="BB108" s="165">
        <v>9.1181001550077022E-5</v>
      </c>
      <c r="BC108" s="165" t="e">
        <f t="shared" si="52"/>
        <v>#DIV/0!</v>
      </c>
      <c r="BD108" s="165" t="e">
        <v>#DIV/0!</v>
      </c>
      <c r="BE108" s="165" t="e">
        <f t="shared" si="53"/>
        <v>#DIV/0!</v>
      </c>
      <c r="BF108" s="165" t="e">
        <v>#DIV/0!</v>
      </c>
      <c r="BG108" s="165" t="e">
        <f t="shared" si="54"/>
        <v>#DIV/0!</v>
      </c>
      <c r="BH108" s="165" t="e">
        <v>#DIV/0!</v>
      </c>
      <c r="BI108" s="165" t="e">
        <f t="shared" si="55"/>
        <v>#DIV/0!</v>
      </c>
      <c r="BJ108" s="165" t="e">
        <v>#DIV/0!</v>
      </c>
      <c r="BK108" s="165" t="e">
        <f t="shared" si="56"/>
        <v>#DIV/0!</v>
      </c>
      <c r="BL108" s="165" t="e">
        <v>#DIV/0!</v>
      </c>
      <c r="BM108" s="165" t="e">
        <f t="shared" si="57"/>
        <v>#DIV/0!</v>
      </c>
      <c r="BN108" s="165" t="e">
        <v>#DIV/0!</v>
      </c>
    </row>
    <row r="109" spans="1:66" ht="15.6" x14ac:dyDescent="0.3">
      <c r="A109" s="155">
        <v>850</v>
      </c>
      <c r="B109" s="155">
        <v>900</v>
      </c>
      <c r="C109" s="156">
        <v>8545</v>
      </c>
      <c r="D109" s="156"/>
      <c r="E109" s="156"/>
      <c r="F109" s="156">
        <v>224171985000</v>
      </c>
      <c r="G109" s="156"/>
      <c r="H109" s="172"/>
      <c r="I109" s="157">
        <v>3.7504603037148651E-3</v>
      </c>
      <c r="J109" s="157" t="e">
        <v>#DIV/0!</v>
      </c>
      <c r="K109" s="157"/>
      <c r="L109" s="157">
        <v>874.47624341720302</v>
      </c>
      <c r="M109" s="157"/>
      <c r="N109" s="157"/>
      <c r="O109" s="146"/>
      <c r="P109" s="159" t="str">
        <f t="shared" si="40"/>
        <v>(850, 900]</v>
      </c>
      <c r="Q109" s="160" t="s">
        <v>139</v>
      </c>
      <c r="R109" s="157">
        <f t="shared" si="41"/>
        <v>3.7504603037148651E-3</v>
      </c>
      <c r="S109" s="162">
        <v>0</v>
      </c>
      <c r="T109" s="162">
        <v>0.01</v>
      </c>
      <c r="U109" s="162"/>
      <c r="V109" s="162"/>
      <c r="W109" s="162"/>
      <c r="X109" s="162"/>
      <c r="Y109" s="162"/>
      <c r="Z109" s="162"/>
      <c r="AA109" s="163">
        <v>0</v>
      </c>
      <c r="AB109" s="163">
        <v>3.7504603037148651E-5</v>
      </c>
      <c r="AC109" s="163">
        <v>0</v>
      </c>
      <c r="AD109" s="163">
        <v>0</v>
      </c>
      <c r="AE109" s="163">
        <v>0</v>
      </c>
      <c r="AF109" s="163">
        <v>0</v>
      </c>
      <c r="AG109" s="163">
        <v>0</v>
      </c>
      <c r="AH109" s="163">
        <v>0</v>
      </c>
      <c r="AI109" s="163">
        <v>0</v>
      </c>
      <c r="AJ109" s="163">
        <v>7.5644895241131724E-5</v>
      </c>
      <c r="AK109" s="163" t="e">
        <v>#DIV/0!</v>
      </c>
      <c r="AL109" s="163" t="e">
        <v>#DIV/0!</v>
      </c>
      <c r="AM109" s="163" t="e">
        <v>#DIV/0!</v>
      </c>
      <c r="AN109" s="163" t="e">
        <v>#DIV/0!</v>
      </c>
      <c r="AO109" s="163" t="e">
        <v>#DIV/0!</v>
      </c>
      <c r="AP109" s="163" t="e">
        <v>#DIV/0!</v>
      </c>
      <c r="AQ109" s="164">
        <f t="shared" si="42"/>
        <v>0</v>
      </c>
      <c r="AR109" s="164">
        <f t="shared" si="43"/>
        <v>75644</v>
      </c>
      <c r="AS109" s="164" t="e">
        <f t="shared" si="44"/>
        <v>#DIV/0!</v>
      </c>
      <c r="AT109" s="164" t="e">
        <f t="shared" si="45"/>
        <v>#DIV/0!</v>
      </c>
      <c r="AU109" s="164" t="e">
        <f t="shared" si="46"/>
        <v>#DIV/0!</v>
      </c>
      <c r="AV109" s="164" t="e">
        <f t="shared" si="47"/>
        <v>#DIV/0!</v>
      </c>
      <c r="AW109" s="164" t="e">
        <f t="shared" si="48"/>
        <v>#DIV/0!</v>
      </c>
      <c r="AX109" s="164" t="e">
        <f t="shared" si="49"/>
        <v>#DIV/0!</v>
      </c>
      <c r="AY109" s="165">
        <f t="shared" si="50"/>
        <v>0</v>
      </c>
      <c r="AZ109" s="165">
        <v>0</v>
      </c>
      <c r="BA109" s="165">
        <f t="shared" si="51"/>
        <v>6.6148880957050904E-2</v>
      </c>
      <c r="BB109" s="165">
        <v>7.5644001285948015E-5</v>
      </c>
      <c r="BC109" s="165" t="e">
        <f t="shared" si="52"/>
        <v>#DIV/0!</v>
      </c>
      <c r="BD109" s="165" t="e">
        <v>#DIV/0!</v>
      </c>
      <c r="BE109" s="165" t="e">
        <f t="shared" si="53"/>
        <v>#DIV/0!</v>
      </c>
      <c r="BF109" s="165" t="e">
        <v>#DIV/0!</v>
      </c>
      <c r="BG109" s="165" t="e">
        <f t="shared" si="54"/>
        <v>#DIV/0!</v>
      </c>
      <c r="BH109" s="165" t="e">
        <v>#DIV/0!</v>
      </c>
      <c r="BI109" s="165" t="e">
        <f t="shared" si="55"/>
        <v>#DIV/0!</v>
      </c>
      <c r="BJ109" s="165" t="e">
        <v>#DIV/0!</v>
      </c>
      <c r="BK109" s="165" t="e">
        <f t="shared" si="56"/>
        <v>#DIV/0!</v>
      </c>
      <c r="BL109" s="165" t="e">
        <v>#DIV/0!</v>
      </c>
      <c r="BM109" s="165" t="e">
        <f t="shared" si="57"/>
        <v>#DIV/0!</v>
      </c>
      <c r="BN109" s="165" t="e">
        <v>#DIV/0!</v>
      </c>
    </row>
    <row r="110" spans="1:66" ht="15.6" x14ac:dyDescent="0.3">
      <c r="A110" s="155">
        <v>900</v>
      </c>
      <c r="B110" s="155">
        <v>950</v>
      </c>
      <c r="C110" s="156">
        <v>7531</v>
      </c>
      <c r="D110" s="156"/>
      <c r="E110" s="156"/>
      <c r="F110" s="156">
        <v>208879338000</v>
      </c>
      <c r="G110" s="156"/>
      <c r="H110" s="172"/>
      <c r="I110" s="157">
        <v>3.3054086070540257E-3</v>
      </c>
      <c r="J110" s="157" t="e">
        <v>#DIV/0!</v>
      </c>
      <c r="K110" s="157"/>
      <c r="L110" s="157">
        <v>924.53121763378033</v>
      </c>
      <c r="M110" s="157"/>
      <c r="N110" s="157"/>
      <c r="O110" s="146"/>
      <c r="P110" s="159" t="str">
        <f t="shared" si="40"/>
        <v>(900, 950]</v>
      </c>
      <c r="Q110" s="160" t="s">
        <v>139</v>
      </c>
      <c r="R110" s="157">
        <f t="shared" si="41"/>
        <v>3.3054086070540257E-3</v>
      </c>
      <c r="S110" s="162">
        <v>0</v>
      </c>
      <c r="T110" s="162">
        <v>0.01</v>
      </c>
      <c r="U110" s="162"/>
      <c r="V110" s="162"/>
      <c r="W110" s="162"/>
      <c r="X110" s="162"/>
      <c r="Y110" s="162"/>
      <c r="Z110" s="162"/>
      <c r="AA110" s="163">
        <v>0</v>
      </c>
      <c r="AB110" s="163">
        <v>3.3054086070540254E-5</v>
      </c>
      <c r="AC110" s="163">
        <v>0</v>
      </c>
      <c r="AD110" s="163">
        <v>0</v>
      </c>
      <c r="AE110" s="163">
        <v>0</v>
      </c>
      <c r="AF110" s="163">
        <v>0</v>
      </c>
      <c r="AG110" s="163">
        <v>0</v>
      </c>
      <c r="AH110" s="163">
        <v>0</v>
      </c>
      <c r="AI110" s="163">
        <v>0</v>
      </c>
      <c r="AJ110" s="163">
        <v>6.6668426689404681E-5</v>
      </c>
      <c r="AK110" s="163" t="e">
        <v>#DIV/0!</v>
      </c>
      <c r="AL110" s="163" t="e">
        <v>#DIV/0!</v>
      </c>
      <c r="AM110" s="163" t="e">
        <v>#DIV/0!</v>
      </c>
      <c r="AN110" s="163" t="e">
        <v>#DIV/0!</v>
      </c>
      <c r="AO110" s="163" t="e">
        <v>#DIV/0!</v>
      </c>
      <c r="AP110" s="163" t="e">
        <v>#DIV/0!</v>
      </c>
      <c r="AQ110" s="164">
        <f t="shared" si="42"/>
        <v>0</v>
      </c>
      <c r="AR110" s="164">
        <f t="shared" si="43"/>
        <v>66668</v>
      </c>
      <c r="AS110" s="164" t="e">
        <f t="shared" si="44"/>
        <v>#DIV/0!</v>
      </c>
      <c r="AT110" s="164" t="e">
        <f t="shared" si="45"/>
        <v>#DIV/0!</v>
      </c>
      <c r="AU110" s="164" t="e">
        <f t="shared" si="46"/>
        <v>#DIV/0!</v>
      </c>
      <c r="AV110" s="164" t="e">
        <f t="shared" si="47"/>
        <v>#DIV/0!</v>
      </c>
      <c r="AW110" s="164" t="e">
        <f t="shared" si="48"/>
        <v>#DIV/0!</v>
      </c>
      <c r="AX110" s="164" t="e">
        <f t="shared" si="49"/>
        <v>#DIV/0!</v>
      </c>
      <c r="AY110" s="165">
        <f t="shared" si="50"/>
        <v>0</v>
      </c>
      <c r="AZ110" s="165">
        <v>0</v>
      </c>
      <c r="BA110" s="165">
        <f t="shared" si="51"/>
        <v>6.1636647217208872E-2</v>
      </c>
      <c r="BB110" s="165">
        <v>6.6668001133356016E-5</v>
      </c>
      <c r="BC110" s="165" t="e">
        <f t="shared" si="52"/>
        <v>#DIV/0!</v>
      </c>
      <c r="BD110" s="165" t="e">
        <v>#DIV/0!</v>
      </c>
      <c r="BE110" s="165" t="e">
        <f t="shared" si="53"/>
        <v>#DIV/0!</v>
      </c>
      <c r="BF110" s="165" t="e">
        <v>#DIV/0!</v>
      </c>
      <c r="BG110" s="165" t="e">
        <f t="shared" si="54"/>
        <v>#DIV/0!</v>
      </c>
      <c r="BH110" s="165" t="e">
        <v>#DIV/0!</v>
      </c>
      <c r="BI110" s="165" t="e">
        <f t="shared" si="55"/>
        <v>#DIV/0!</v>
      </c>
      <c r="BJ110" s="165" t="e">
        <v>#DIV/0!</v>
      </c>
      <c r="BK110" s="165" t="e">
        <f t="shared" si="56"/>
        <v>#DIV/0!</v>
      </c>
      <c r="BL110" s="165" t="e">
        <v>#DIV/0!</v>
      </c>
      <c r="BM110" s="165" t="e">
        <f t="shared" si="57"/>
        <v>#DIV/0!</v>
      </c>
      <c r="BN110" s="165" t="e">
        <v>#DIV/0!</v>
      </c>
    </row>
    <row r="111" spans="1:66" ht="15.6" x14ac:dyDescent="0.3">
      <c r="A111" s="155">
        <v>950</v>
      </c>
      <c r="B111" s="155">
        <v>1000</v>
      </c>
      <c r="C111" s="156">
        <v>6522</v>
      </c>
      <c r="D111" s="156"/>
      <c r="E111" s="156"/>
      <c r="F111" s="156">
        <v>190651905000</v>
      </c>
      <c r="G111" s="156"/>
      <c r="H111" s="172"/>
      <c r="I111" s="157">
        <v>2.8625514453865827E-3</v>
      </c>
      <c r="J111" s="157" t="e">
        <v>#DIV/0!</v>
      </c>
      <c r="K111" s="157"/>
      <c r="L111" s="157">
        <v>974.4040938362466</v>
      </c>
      <c r="M111" s="157"/>
      <c r="N111" s="157"/>
      <c r="O111" s="146"/>
      <c r="P111" s="159" t="str">
        <f t="shared" si="40"/>
        <v>(950, 1000]</v>
      </c>
      <c r="Q111" s="160" t="s">
        <v>139</v>
      </c>
      <c r="R111" s="157">
        <f t="shared" si="41"/>
        <v>2.8625514453865827E-3</v>
      </c>
      <c r="S111" s="162">
        <v>0</v>
      </c>
      <c r="T111" s="162">
        <v>0.01</v>
      </c>
      <c r="U111" s="162"/>
      <c r="V111" s="162"/>
      <c r="W111" s="162"/>
      <c r="X111" s="162"/>
      <c r="Y111" s="162"/>
      <c r="Z111" s="162"/>
      <c r="AA111" s="163">
        <v>0</v>
      </c>
      <c r="AB111" s="163">
        <v>2.8625514453865827E-5</v>
      </c>
      <c r="AC111" s="163">
        <v>0</v>
      </c>
      <c r="AD111" s="163">
        <v>0</v>
      </c>
      <c r="AE111" s="163">
        <v>0</v>
      </c>
      <c r="AF111" s="163">
        <v>0</v>
      </c>
      <c r="AG111" s="163">
        <v>0</v>
      </c>
      <c r="AH111" s="163">
        <v>0</v>
      </c>
      <c r="AI111" s="163">
        <v>0</v>
      </c>
      <c r="AJ111" s="163">
        <v>5.7736220803120082E-5</v>
      </c>
      <c r="AK111" s="163" t="e">
        <v>#DIV/0!</v>
      </c>
      <c r="AL111" s="163" t="e">
        <v>#DIV/0!</v>
      </c>
      <c r="AM111" s="163" t="e">
        <v>#DIV/0!</v>
      </c>
      <c r="AN111" s="163" t="e">
        <v>#DIV/0!</v>
      </c>
      <c r="AO111" s="163" t="e">
        <v>#DIV/0!</v>
      </c>
      <c r="AP111" s="163" t="e">
        <v>#DIV/0!</v>
      </c>
      <c r="AQ111" s="164">
        <f t="shared" si="42"/>
        <v>0</v>
      </c>
      <c r="AR111" s="164">
        <f t="shared" si="43"/>
        <v>57736</v>
      </c>
      <c r="AS111" s="164" t="e">
        <f t="shared" si="44"/>
        <v>#DIV/0!</v>
      </c>
      <c r="AT111" s="164" t="e">
        <f t="shared" si="45"/>
        <v>#DIV/0!</v>
      </c>
      <c r="AU111" s="164" t="e">
        <f t="shared" si="46"/>
        <v>#DIV/0!</v>
      </c>
      <c r="AV111" s="164" t="e">
        <f t="shared" si="47"/>
        <v>#DIV/0!</v>
      </c>
      <c r="AW111" s="164" t="e">
        <f t="shared" si="48"/>
        <v>#DIV/0!</v>
      </c>
      <c r="AX111" s="164" t="e">
        <f t="shared" si="49"/>
        <v>#DIV/0!</v>
      </c>
      <c r="AY111" s="165">
        <f t="shared" si="50"/>
        <v>0</v>
      </c>
      <c r="AZ111" s="165">
        <v>0</v>
      </c>
      <c r="BA111" s="165">
        <f t="shared" si="51"/>
        <v>5.6258194761729531E-2</v>
      </c>
      <c r="BB111" s="165">
        <v>5.7736000981512015E-5</v>
      </c>
      <c r="BC111" s="165" t="e">
        <f t="shared" si="52"/>
        <v>#DIV/0!</v>
      </c>
      <c r="BD111" s="165" t="e">
        <v>#DIV/0!</v>
      </c>
      <c r="BE111" s="165" t="e">
        <f t="shared" si="53"/>
        <v>#DIV/0!</v>
      </c>
      <c r="BF111" s="165" t="e">
        <v>#DIV/0!</v>
      </c>
      <c r="BG111" s="165" t="e">
        <f t="shared" si="54"/>
        <v>#DIV/0!</v>
      </c>
      <c r="BH111" s="165" t="e">
        <v>#DIV/0!</v>
      </c>
      <c r="BI111" s="165" t="e">
        <f t="shared" si="55"/>
        <v>#DIV/0!</v>
      </c>
      <c r="BJ111" s="165" t="e">
        <v>#DIV/0!</v>
      </c>
      <c r="BK111" s="165" t="e">
        <f t="shared" si="56"/>
        <v>#DIV/0!</v>
      </c>
      <c r="BL111" s="165" t="e">
        <v>#DIV/0!</v>
      </c>
      <c r="BM111" s="165" t="e">
        <f t="shared" si="57"/>
        <v>#DIV/0!</v>
      </c>
      <c r="BN111" s="165" t="e">
        <v>#DIV/0!</v>
      </c>
    </row>
    <row r="112" spans="1:66" ht="15.6" x14ac:dyDescent="0.3">
      <c r="A112" s="155">
        <v>1000</v>
      </c>
      <c r="B112" s="155">
        <v>2000</v>
      </c>
      <c r="C112" s="156">
        <v>45431</v>
      </c>
      <c r="D112" s="156"/>
      <c r="E112" s="156"/>
      <c r="F112" s="156">
        <v>1804958902500</v>
      </c>
      <c r="G112" s="156"/>
      <c r="H112" s="172"/>
      <c r="I112" s="157">
        <v>1.993998385700059E-2</v>
      </c>
      <c r="J112" s="157" t="e">
        <v>#DIV/0!</v>
      </c>
      <c r="K112" s="157"/>
      <c r="L112" s="157">
        <v>1324.3225275692807</v>
      </c>
      <c r="M112" s="157"/>
      <c r="N112" s="157"/>
      <c r="O112" s="146"/>
      <c r="P112" s="159" t="str">
        <f t="shared" si="40"/>
        <v>(1000, 2000]</v>
      </c>
      <c r="Q112" s="160" t="s">
        <v>139</v>
      </c>
      <c r="R112" s="157">
        <f t="shared" si="41"/>
        <v>1.993998385700059E-2</v>
      </c>
      <c r="S112" s="162">
        <v>0</v>
      </c>
      <c r="T112" s="162">
        <v>5.0000000000000001E-3</v>
      </c>
      <c r="U112" s="162"/>
      <c r="V112" s="162"/>
      <c r="W112" s="162"/>
      <c r="X112" s="162"/>
      <c r="Y112" s="162"/>
      <c r="Z112" s="162"/>
      <c r="AA112" s="163">
        <v>0</v>
      </c>
      <c r="AB112" s="163">
        <v>9.9699919285002947E-5</v>
      </c>
      <c r="AC112" s="163">
        <v>0</v>
      </c>
      <c r="AD112" s="163">
        <v>0</v>
      </c>
      <c r="AE112" s="163">
        <v>0</v>
      </c>
      <c r="AF112" s="163">
        <v>0</v>
      </c>
      <c r="AG112" s="163">
        <v>0</v>
      </c>
      <c r="AH112" s="163">
        <v>0</v>
      </c>
      <c r="AI112" s="163">
        <v>0</v>
      </c>
      <c r="AJ112" s="163">
        <v>2.0108971537155385E-4</v>
      </c>
      <c r="AK112" s="163" t="e">
        <v>#DIV/0!</v>
      </c>
      <c r="AL112" s="163" t="e">
        <v>#DIV/0!</v>
      </c>
      <c r="AM112" s="163" t="e">
        <v>#DIV/0!</v>
      </c>
      <c r="AN112" s="163" t="e">
        <v>#DIV/0!</v>
      </c>
      <c r="AO112" s="163" t="e">
        <v>#DIV/0!</v>
      </c>
      <c r="AP112" s="163" t="e">
        <v>#DIV/0!</v>
      </c>
      <c r="AQ112" s="164">
        <f t="shared" si="42"/>
        <v>0</v>
      </c>
      <c r="AR112" s="164">
        <f t="shared" si="43"/>
        <v>201089</v>
      </c>
      <c r="AS112" s="164" t="e">
        <f t="shared" si="44"/>
        <v>#DIV/0!</v>
      </c>
      <c r="AT112" s="164" t="e">
        <f t="shared" si="45"/>
        <v>#DIV/0!</v>
      </c>
      <c r="AU112" s="164" t="e">
        <f t="shared" si="46"/>
        <v>#DIV/0!</v>
      </c>
      <c r="AV112" s="164" t="e">
        <f t="shared" si="47"/>
        <v>#DIV/0!</v>
      </c>
      <c r="AW112" s="164" t="e">
        <f t="shared" si="48"/>
        <v>#DIV/0!</v>
      </c>
      <c r="AX112" s="164" t="e">
        <f t="shared" si="49"/>
        <v>#DIV/0!</v>
      </c>
      <c r="AY112" s="165">
        <f t="shared" si="50"/>
        <v>0</v>
      </c>
      <c r="AZ112" s="165">
        <v>0</v>
      </c>
      <c r="BA112" s="165">
        <f t="shared" si="51"/>
        <v>0.26630669274637908</v>
      </c>
      <c r="BB112" s="165">
        <v>2.0108900341851306E-4</v>
      </c>
      <c r="BC112" s="165" t="e">
        <f t="shared" si="52"/>
        <v>#DIV/0!</v>
      </c>
      <c r="BD112" s="165" t="e">
        <v>#DIV/0!</v>
      </c>
      <c r="BE112" s="165" t="e">
        <f t="shared" si="53"/>
        <v>#DIV/0!</v>
      </c>
      <c r="BF112" s="165" t="e">
        <v>#DIV/0!</v>
      </c>
      <c r="BG112" s="165" t="e">
        <f t="shared" si="54"/>
        <v>#DIV/0!</v>
      </c>
      <c r="BH112" s="165" t="e">
        <v>#DIV/0!</v>
      </c>
      <c r="BI112" s="165" t="e">
        <f t="shared" si="55"/>
        <v>#DIV/0!</v>
      </c>
      <c r="BJ112" s="165" t="e">
        <v>#DIV/0!</v>
      </c>
      <c r="BK112" s="165" t="e">
        <f t="shared" si="56"/>
        <v>#DIV/0!</v>
      </c>
      <c r="BL112" s="165" t="e">
        <v>#DIV/0!</v>
      </c>
      <c r="BM112" s="165" t="e">
        <f t="shared" si="57"/>
        <v>#DIV/0!</v>
      </c>
      <c r="BN112" s="165" t="e">
        <v>#DIV/0!</v>
      </c>
    </row>
    <row r="113" spans="1:66" ht="15.6" x14ac:dyDescent="0.3">
      <c r="A113" s="155">
        <v>2000</v>
      </c>
      <c r="B113" s="155">
        <v>3000</v>
      </c>
      <c r="C113" s="156">
        <v>6086</v>
      </c>
      <c r="D113" s="173"/>
      <c r="E113" s="156"/>
      <c r="F113" s="156">
        <v>431820136500</v>
      </c>
      <c r="G113" s="173"/>
      <c r="H113" s="172"/>
      <c r="I113" s="157">
        <v>2.6711879939623952E-3</v>
      </c>
      <c r="J113" s="157" t="e">
        <v>#DIV/0!</v>
      </c>
      <c r="K113" s="157"/>
      <c r="L113" s="157">
        <v>2365.1009776536312</v>
      </c>
      <c r="M113" s="157"/>
      <c r="N113" s="157"/>
      <c r="O113" s="146"/>
      <c r="P113" s="159" t="str">
        <f t="shared" si="40"/>
        <v>(2000, 3000]</v>
      </c>
      <c r="Q113" s="160" t="s">
        <v>139</v>
      </c>
      <c r="R113" s="157">
        <f t="shared" si="41"/>
        <v>2.6711879939623952E-3</v>
      </c>
      <c r="S113" s="161">
        <v>0</v>
      </c>
      <c r="T113" s="161">
        <v>0</v>
      </c>
      <c r="U113" s="161"/>
      <c r="V113" s="161"/>
      <c r="W113" s="161"/>
      <c r="X113" s="161"/>
      <c r="Y113" s="161"/>
      <c r="Z113" s="161"/>
      <c r="AA113" s="163">
        <v>0</v>
      </c>
      <c r="AB113" s="163">
        <v>0</v>
      </c>
      <c r="AC113" s="163">
        <v>0</v>
      </c>
      <c r="AD113" s="163">
        <v>0</v>
      </c>
      <c r="AE113" s="163">
        <v>0</v>
      </c>
      <c r="AF113" s="163">
        <v>0</v>
      </c>
      <c r="AG113" s="163">
        <v>0</v>
      </c>
      <c r="AH113" s="163">
        <v>0</v>
      </c>
      <c r="AI113" s="163">
        <v>0</v>
      </c>
      <c r="AJ113" s="163">
        <v>0</v>
      </c>
      <c r="AK113" s="163" t="e">
        <v>#DIV/0!</v>
      </c>
      <c r="AL113" s="163" t="e">
        <v>#DIV/0!</v>
      </c>
      <c r="AM113" s="163" t="e">
        <v>#DIV/0!</v>
      </c>
      <c r="AN113" s="163" t="e">
        <v>#DIV/0!</v>
      </c>
      <c r="AO113" s="163" t="e">
        <v>#DIV/0!</v>
      </c>
      <c r="AP113" s="163" t="e">
        <v>#DIV/0!</v>
      </c>
      <c r="AQ113" s="164">
        <f t="shared" si="42"/>
        <v>0</v>
      </c>
      <c r="AR113" s="164">
        <f t="shared" si="43"/>
        <v>0</v>
      </c>
      <c r="AS113" s="164" t="e">
        <f t="shared" si="44"/>
        <v>#DIV/0!</v>
      </c>
      <c r="AT113" s="164" t="e">
        <f t="shared" si="45"/>
        <v>#DIV/0!</v>
      </c>
      <c r="AU113" s="164" t="e">
        <f t="shared" si="46"/>
        <v>#DIV/0!</v>
      </c>
      <c r="AV113" s="164" t="e">
        <f t="shared" si="47"/>
        <v>#DIV/0!</v>
      </c>
      <c r="AW113" s="164" t="e">
        <f t="shared" si="48"/>
        <v>#DIV/0!</v>
      </c>
      <c r="AX113" s="164" t="e">
        <f t="shared" si="49"/>
        <v>#DIV/0!</v>
      </c>
      <c r="AY113" s="165">
        <f t="shared" si="50"/>
        <v>0</v>
      </c>
      <c r="AZ113" s="165">
        <v>0</v>
      </c>
      <c r="BA113" s="165">
        <f t="shared" si="51"/>
        <v>0</v>
      </c>
      <c r="BB113" s="165">
        <v>0</v>
      </c>
      <c r="BC113" s="165" t="e">
        <f t="shared" si="52"/>
        <v>#DIV/0!</v>
      </c>
      <c r="BD113" s="165" t="e">
        <v>#DIV/0!</v>
      </c>
      <c r="BE113" s="165" t="e">
        <f t="shared" si="53"/>
        <v>#DIV/0!</v>
      </c>
      <c r="BF113" s="165" t="e">
        <v>#DIV/0!</v>
      </c>
      <c r="BG113" s="165" t="e">
        <f t="shared" si="54"/>
        <v>#DIV/0!</v>
      </c>
      <c r="BH113" s="165" t="e">
        <v>#DIV/0!</v>
      </c>
      <c r="BI113" s="165" t="e">
        <f t="shared" si="55"/>
        <v>#DIV/0!</v>
      </c>
      <c r="BJ113" s="165" t="e">
        <v>#DIV/0!</v>
      </c>
      <c r="BK113" s="165" t="e">
        <f t="shared" si="56"/>
        <v>#DIV/0!</v>
      </c>
      <c r="BL113" s="165" t="e">
        <v>#DIV/0!</v>
      </c>
      <c r="BM113" s="165" t="e">
        <f t="shared" si="57"/>
        <v>#DIV/0!</v>
      </c>
      <c r="BN113" s="165" t="e">
        <v>#DIV/0!</v>
      </c>
    </row>
    <row r="114" spans="1:66" ht="15.6" x14ac:dyDescent="0.3">
      <c r="A114" s="155">
        <v>3000</v>
      </c>
      <c r="B114" s="155">
        <v>4000</v>
      </c>
      <c r="C114" s="156">
        <v>1330</v>
      </c>
      <c r="D114" s="156"/>
      <c r="E114" s="156"/>
      <c r="F114" s="156">
        <v>135388782000</v>
      </c>
      <c r="G114" s="156"/>
      <c r="H114" s="172"/>
      <c r="I114" s="157">
        <v>5.8374630824350733E-4</v>
      </c>
      <c r="J114" s="157" t="e">
        <v>#DIV/0!</v>
      </c>
      <c r="K114" s="157"/>
      <c r="L114" s="157">
        <v>3393.2025563909774</v>
      </c>
      <c r="M114" s="157"/>
      <c r="N114" s="157"/>
      <c r="O114" s="146"/>
      <c r="P114" s="159" t="str">
        <f t="shared" si="40"/>
        <v>(3000, 4000]</v>
      </c>
      <c r="Q114" s="160" t="s">
        <v>139</v>
      </c>
      <c r="R114" s="157">
        <f t="shared" si="41"/>
        <v>5.8374630824350733E-4</v>
      </c>
      <c r="S114" s="161">
        <v>0</v>
      </c>
      <c r="T114" s="161">
        <v>0</v>
      </c>
      <c r="U114" s="161"/>
      <c r="V114" s="161"/>
      <c r="W114" s="161"/>
      <c r="X114" s="161"/>
      <c r="Y114" s="161"/>
      <c r="Z114" s="161"/>
      <c r="AA114" s="163">
        <v>0</v>
      </c>
      <c r="AB114" s="163">
        <v>0</v>
      </c>
      <c r="AC114" s="163">
        <v>0</v>
      </c>
      <c r="AD114" s="163">
        <v>0</v>
      </c>
      <c r="AE114" s="163">
        <v>0</v>
      </c>
      <c r="AF114" s="163">
        <v>0</v>
      </c>
      <c r="AG114" s="163">
        <v>0</v>
      </c>
      <c r="AH114" s="163">
        <v>0</v>
      </c>
      <c r="AI114" s="163">
        <v>0</v>
      </c>
      <c r="AJ114" s="163">
        <v>0</v>
      </c>
      <c r="AK114" s="163" t="e">
        <v>#DIV/0!</v>
      </c>
      <c r="AL114" s="163" t="e">
        <v>#DIV/0!</v>
      </c>
      <c r="AM114" s="163" t="e">
        <v>#DIV/0!</v>
      </c>
      <c r="AN114" s="163" t="e">
        <v>#DIV/0!</v>
      </c>
      <c r="AO114" s="163" t="e">
        <v>#DIV/0!</v>
      </c>
      <c r="AP114" s="163" t="e">
        <v>#DIV/0!</v>
      </c>
      <c r="AQ114" s="164">
        <f t="shared" si="42"/>
        <v>0</v>
      </c>
      <c r="AR114" s="164">
        <f t="shared" si="43"/>
        <v>0</v>
      </c>
      <c r="AS114" s="164" t="e">
        <f t="shared" si="44"/>
        <v>#DIV/0!</v>
      </c>
      <c r="AT114" s="164" t="e">
        <f t="shared" si="45"/>
        <v>#DIV/0!</v>
      </c>
      <c r="AU114" s="164" t="e">
        <f t="shared" si="46"/>
        <v>#DIV/0!</v>
      </c>
      <c r="AV114" s="164" t="e">
        <f t="shared" si="47"/>
        <v>#DIV/0!</v>
      </c>
      <c r="AW114" s="164" t="e">
        <f t="shared" si="48"/>
        <v>#DIV/0!</v>
      </c>
      <c r="AX114" s="164" t="e">
        <f t="shared" si="49"/>
        <v>#DIV/0!</v>
      </c>
      <c r="AY114" s="165">
        <f t="shared" si="50"/>
        <v>0</v>
      </c>
      <c r="AZ114" s="165">
        <v>0</v>
      </c>
      <c r="BA114" s="165">
        <f t="shared" si="51"/>
        <v>0</v>
      </c>
      <c r="BB114" s="165">
        <v>0</v>
      </c>
      <c r="BC114" s="165" t="e">
        <f t="shared" si="52"/>
        <v>#DIV/0!</v>
      </c>
      <c r="BD114" s="165" t="e">
        <v>#DIV/0!</v>
      </c>
      <c r="BE114" s="165" t="e">
        <f t="shared" si="53"/>
        <v>#DIV/0!</v>
      </c>
      <c r="BF114" s="165" t="e">
        <v>#DIV/0!</v>
      </c>
      <c r="BG114" s="165" t="e">
        <f t="shared" si="54"/>
        <v>#DIV/0!</v>
      </c>
      <c r="BH114" s="165" t="e">
        <v>#DIV/0!</v>
      </c>
      <c r="BI114" s="165" t="e">
        <f t="shared" si="55"/>
        <v>#DIV/0!</v>
      </c>
      <c r="BJ114" s="165" t="e">
        <v>#DIV/0!</v>
      </c>
      <c r="BK114" s="165" t="e">
        <f t="shared" si="56"/>
        <v>#DIV/0!</v>
      </c>
      <c r="BL114" s="165" t="e">
        <v>#DIV/0!</v>
      </c>
      <c r="BM114" s="165" t="e">
        <f t="shared" si="57"/>
        <v>#DIV/0!</v>
      </c>
      <c r="BN114" s="165" t="e">
        <v>#DIV/0!</v>
      </c>
    </row>
    <row r="115" spans="1:66" ht="15.6" x14ac:dyDescent="0.3">
      <c r="A115" s="155">
        <v>4000</v>
      </c>
      <c r="B115" s="155">
        <v>5000</v>
      </c>
      <c r="C115" s="156">
        <v>361</v>
      </c>
      <c r="D115" s="156"/>
      <c r="E115" s="156"/>
      <c r="F115" s="156">
        <v>47694724500</v>
      </c>
      <c r="G115" s="156"/>
      <c r="H115" s="172"/>
      <c r="I115" s="157">
        <v>1.5844542652323771E-4</v>
      </c>
      <c r="J115" s="157" t="e">
        <v>#DIV/0!</v>
      </c>
      <c r="K115" s="157"/>
      <c r="L115" s="157">
        <v>4403.9450138504153</v>
      </c>
      <c r="M115" s="157"/>
      <c r="N115" s="157"/>
      <c r="O115" s="146"/>
      <c r="P115" s="159" t="str">
        <f t="shared" si="40"/>
        <v>(4000, 5000]</v>
      </c>
      <c r="Q115" s="160" t="s">
        <v>139</v>
      </c>
      <c r="R115" s="157">
        <f t="shared" si="41"/>
        <v>1.5844542652323771E-4</v>
      </c>
      <c r="S115" s="161">
        <v>0</v>
      </c>
      <c r="T115" s="161">
        <v>0</v>
      </c>
      <c r="U115" s="161"/>
      <c r="V115" s="161"/>
      <c r="W115" s="161"/>
      <c r="X115" s="161"/>
      <c r="Y115" s="161"/>
      <c r="Z115" s="161"/>
      <c r="AA115" s="163">
        <v>0</v>
      </c>
      <c r="AB115" s="163">
        <v>0</v>
      </c>
      <c r="AC115" s="163">
        <v>0</v>
      </c>
      <c r="AD115" s="163">
        <v>0</v>
      </c>
      <c r="AE115" s="163">
        <v>0</v>
      </c>
      <c r="AF115" s="163">
        <v>0</v>
      </c>
      <c r="AG115" s="163">
        <v>0</v>
      </c>
      <c r="AH115" s="163">
        <v>0</v>
      </c>
      <c r="AI115" s="163">
        <v>0</v>
      </c>
      <c r="AJ115" s="163">
        <v>0</v>
      </c>
      <c r="AK115" s="163" t="e">
        <v>#DIV/0!</v>
      </c>
      <c r="AL115" s="163" t="e">
        <v>#DIV/0!</v>
      </c>
      <c r="AM115" s="163" t="e">
        <v>#DIV/0!</v>
      </c>
      <c r="AN115" s="163" t="e">
        <v>#DIV/0!</v>
      </c>
      <c r="AO115" s="163" t="e">
        <v>#DIV/0!</v>
      </c>
      <c r="AP115" s="163" t="e">
        <v>#DIV/0!</v>
      </c>
      <c r="AQ115" s="164">
        <f t="shared" si="42"/>
        <v>0</v>
      </c>
      <c r="AR115" s="164">
        <f t="shared" si="43"/>
        <v>0</v>
      </c>
      <c r="AS115" s="164" t="e">
        <f t="shared" si="44"/>
        <v>#DIV/0!</v>
      </c>
      <c r="AT115" s="164" t="e">
        <f t="shared" si="45"/>
        <v>#DIV/0!</v>
      </c>
      <c r="AU115" s="164" t="e">
        <f t="shared" si="46"/>
        <v>#DIV/0!</v>
      </c>
      <c r="AV115" s="164" t="e">
        <f t="shared" si="47"/>
        <v>#DIV/0!</v>
      </c>
      <c r="AW115" s="164" t="e">
        <f t="shared" si="48"/>
        <v>#DIV/0!</v>
      </c>
      <c r="AX115" s="164" t="e">
        <f t="shared" si="49"/>
        <v>#DIV/0!</v>
      </c>
      <c r="AY115" s="165">
        <f t="shared" si="50"/>
        <v>0</v>
      </c>
      <c r="AZ115" s="165">
        <v>0</v>
      </c>
      <c r="BA115" s="165">
        <f t="shared" si="51"/>
        <v>0</v>
      </c>
      <c r="BB115" s="165">
        <v>0</v>
      </c>
      <c r="BC115" s="165" t="e">
        <f t="shared" si="52"/>
        <v>#DIV/0!</v>
      </c>
      <c r="BD115" s="165" t="e">
        <v>#DIV/0!</v>
      </c>
      <c r="BE115" s="165" t="e">
        <f t="shared" si="53"/>
        <v>#DIV/0!</v>
      </c>
      <c r="BF115" s="165" t="e">
        <v>#DIV/0!</v>
      </c>
      <c r="BG115" s="165" t="e">
        <f t="shared" si="54"/>
        <v>#DIV/0!</v>
      </c>
      <c r="BH115" s="165" t="e">
        <v>#DIV/0!</v>
      </c>
      <c r="BI115" s="165" t="e">
        <f t="shared" si="55"/>
        <v>#DIV/0!</v>
      </c>
      <c r="BJ115" s="165" t="e">
        <v>#DIV/0!</v>
      </c>
      <c r="BK115" s="165" t="e">
        <f t="shared" si="56"/>
        <v>#DIV/0!</v>
      </c>
      <c r="BL115" s="165" t="e">
        <v>#DIV/0!</v>
      </c>
      <c r="BM115" s="165" t="e">
        <f t="shared" si="57"/>
        <v>#DIV/0!</v>
      </c>
      <c r="BN115" s="165" t="e">
        <v>#DIV/0!</v>
      </c>
    </row>
    <row r="116" spans="1:66" ht="15.6" x14ac:dyDescent="0.3">
      <c r="A116" s="155">
        <v>5000</v>
      </c>
      <c r="B116" s="155">
        <v>6000</v>
      </c>
      <c r="C116" s="156">
        <v>133</v>
      </c>
      <c r="D116" s="156"/>
      <c r="E116" s="156"/>
      <c r="F116" s="156">
        <v>21608289000</v>
      </c>
      <c r="G116" s="156"/>
      <c r="H116" s="172"/>
      <c r="I116" s="157">
        <v>5.8374630824350737E-5</v>
      </c>
      <c r="J116" s="157" t="e">
        <v>#DIV/0!</v>
      </c>
      <c r="K116" s="157"/>
      <c r="L116" s="157">
        <v>5415.611278195488</v>
      </c>
      <c r="M116" s="157"/>
      <c r="N116" s="157"/>
      <c r="O116" s="146"/>
      <c r="P116" s="159" t="str">
        <f t="shared" si="40"/>
        <v>(5000, 6000]</v>
      </c>
      <c r="Q116" s="160" t="s">
        <v>139</v>
      </c>
      <c r="R116" s="157">
        <f t="shared" si="41"/>
        <v>5.8374630824350737E-5</v>
      </c>
      <c r="S116" s="161">
        <v>0</v>
      </c>
      <c r="T116" s="161">
        <v>0</v>
      </c>
      <c r="U116" s="161"/>
      <c r="V116" s="161"/>
      <c r="W116" s="161"/>
      <c r="X116" s="161"/>
      <c r="Y116" s="161"/>
      <c r="Z116" s="161"/>
      <c r="AA116" s="163">
        <v>0</v>
      </c>
      <c r="AB116" s="163">
        <v>0</v>
      </c>
      <c r="AC116" s="163">
        <v>0</v>
      </c>
      <c r="AD116" s="163">
        <v>0</v>
      </c>
      <c r="AE116" s="163">
        <v>0</v>
      </c>
      <c r="AF116" s="163">
        <v>0</v>
      </c>
      <c r="AG116" s="163">
        <v>0</v>
      </c>
      <c r="AH116" s="163">
        <v>0</v>
      </c>
      <c r="AI116" s="163">
        <v>0</v>
      </c>
      <c r="AJ116" s="163">
        <v>0</v>
      </c>
      <c r="AK116" s="163" t="e">
        <v>#DIV/0!</v>
      </c>
      <c r="AL116" s="163" t="e">
        <v>#DIV/0!</v>
      </c>
      <c r="AM116" s="163" t="e">
        <v>#DIV/0!</v>
      </c>
      <c r="AN116" s="163" t="e">
        <v>#DIV/0!</v>
      </c>
      <c r="AO116" s="163" t="e">
        <v>#DIV/0!</v>
      </c>
      <c r="AP116" s="163" t="e">
        <v>#DIV/0!</v>
      </c>
      <c r="AQ116" s="164">
        <f t="shared" si="42"/>
        <v>0</v>
      </c>
      <c r="AR116" s="164">
        <f t="shared" si="43"/>
        <v>0</v>
      </c>
      <c r="AS116" s="164" t="e">
        <f t="shared" si="44"/>
        <v>#DIV/0!</v>
      </c>
      <c r="AT116" s="164" t="e">
        <f t="shared" si="45"/>
        <v>#DIV/0!</v>
      </c>
      <c r="AU116" s="164" t="e">
        <f t="shared" si="46"/>
        <v>#DIV/0!</v>
      </c>
      <c r="AV116" s="164" t="e">
        <f t="shared" si="47"/>
        <v>#DIV/0!</v>
      </c>
      <c r="AW116" s="164" t="e">
        <f t="shared" si="48"/>
        <v>#DIV/0!</v>
      </c>
      <c r="AX116" s="164" t="e">
        <f t="shared" si="49"/>
        <v>#DIV/0!</v>
      </c>
      <c r="AY116" s="165">
        <f t="shared" si="50"/>
        <v>0</v>
      </c>
      <c r="AZ116" s="165">
        <v>0</v>
      </c>
      <c r="BA116" s="165">
        <f t="shared" si="51"/>
        <v>0</v>
      </c>
      <c r="BB116" s="165">
        <v>0</v>
      </c>
      <c r="BC116" s="165" t="e">
        <f t="shared" si="52"/>
        <v>#DIV/0!</v>
      </c>
      <c r="BD116" s="165" t="e">
        <v>#DIV/0!</v>
      </c>
      <c r="BE116" s="165" t="e">
        <f t="shared" si="53"/>
        <v>#DIV/0!</v>
      </c>
      <c r="BF116" s="165" t="e">
        <v>#DIV/0!</v>
      </c>
      <c r="BG116" s="165" t="e">
        <f t="shared" si="54"/>
        <v>#DIV/0!</v>
      </c>
      <c r="BH116" s="165" t="e">
        <v>#DIV/0!</v>
      </c>
      <c r="BI116" s="165" t="e">
        <f t="shared" si="55"/>
        <v>#DIV/0!</v>
      </c>
      <c r="BJ116" s="165" t="e">
        <v>#DIV/0!</v>
      </c>
      <c r="BK116" s="165" t="e">
        <f t="shared" si="56"/>
        <v>#DIV/0!</v>
      </c>
      <c r="BL116" s="165" t="e">
        <v>#DIV/0!</v>
      </c>
      <c r="BM116" s="165" t="e">
        <f t="shared" si="57"/>
        <v>#DIV/0!</v>
      </c>
      <c r="BN116" s="165" t="e">
        <v>#DIV/0!</v>
      </c>
    </row>
    <row r="117" spans="1:66" ht="15.6" x14ac:dyDescent="0.3">
      <c r="A117" s="155">
        <v>6000</v>
      </c>
      <c r="B117" s="155">
        <v>7000</v>
      </c>
      <c r="C117" s="156">
        <v>48</v>
      </c>
      <c r="D117" s="156"/>
      <c r="E117" s="156"/>
      <c r="F117" s="156">
        <v>9261567000</v>
      </c>
      <c r="G117" s="156"/>
      <c r="H117" s="172"/>
      <c r="I117" s="157">
        <v>2.1067535936607783E-5</v>
      </c>
      <c r="J117" s="157" t="e">
        <v>#DIV/0!</v>
      </c>
      <c r="K117" s="157"/>
      <c r="L117" s="157">
        <v>6431.6437500000002</v>
      </c>
      <c r="M117" s="157"/>
      <c r="N117" s="157"/>
      <c r="O117" s="146"/>
      <c r="P117" s="159" t="str">
        <f t="shared" si="40"/>
        <v>(6000, 7000]</v>
      </c>
      <c r="Q117" s="160" t="s">
        <v>139</v>
      </c>
      <c r="R117" s="157">
        <f t="shared" si="41"/>
        <v>2.1067535936607783E-5</v>
      </c>
      <c r="S117" s="161">
        <v>0</v>
      </c>
      <c r="T117" s="161">
        <v>0</v>
      </c>
      <c r="U117" s="161"/>
      <c r="V117" s="161"/>
      <c r="W117" s="161"/>
      <c r="X117" s="161"/>
      <c r="Y117" s="161"/>
      <c r="Z117" s="161"/>
      <c r="AA117" s="163">
        <v>0</v>
      </c>
      <c r="AB117" s="163">
        <v>0</v>
      </c>
      <c r="AC117" s="163">
        <v>0</v>
      </c>
      <c r="AD117" s="163">
        <v>0</v>
      </c>
      <c r="AE117" s="163">
        <v>0</v>
      </c>
      <c r="AF117" s="163">
        <v>0</v>
      </c>
      <c r="AG117" s="163">
        <v>0</v>
      </c>
      <c r="AH117" s="163">
        <v>0</v>
      </c>
      <c r="AI117" s="163">
        <v>0</v>
      </c>
      <c r="AJ117" s="163">
        <v>0</v>
      </c>
      <c r="AK117" s="163" t="e">
        <v>#DIV/0!</v>
      </c>
      <c r="AL117" s="163" t="e">
        <v>#DIV/0!</v>
      </c>
      <c r="AM117" s="163" t="e">
        <v>#DIV/0!</v>
      </c>
      <c r="AN117" s="163" t="e">
        <v>#DIV/0!</v>
      </c>
      <c r="AO117" s="163" t="e">
        <v>#DIV/0!</v>
      </c>
      <c r="AP117" s="163" t="e">
        <v>#DIV/0!</v>
      </c>
      <c r="AQ117" s="164">
        <f t="shared" si="42"/>
        <v>0</v>
      </c>
      <c r="AR117" s="164">
        <f t="shared" si="43"/>
        <v>0</v>
      </c>
      <c r="AS117" s="164" t="e">
        <f t="shared" si="44"/>
        <v>#DIV/0!</v>
      </c>
      <c r="AT117" s="164" t="e">
        <f t="shared" si="45"/>
        <v>#DIV/0!</v>
      </c>
      <c r="AU117" s="164" t="e">
        <f t="shared" si="46"/>
        <v>#DIV/0!</v>
      </c>
      <c r="AV117" s="164" t="e">
        <f t="shared" si="47"/>
        <v>#DIV/0!</v>
      </c>
      <c r="AW117" s="164" t="e">
        <f t="shared" si="48"/>
        <v>#DIV/0!</v>
      </c>
      <c r="AX117" s="164" t="e">
        <f t="shared" si="49"/>
        <v>#DIV/0!</v>
      </c>
      <c r="AY117" s="165">
        <f t="shared" si="50"/>
        <v>0</v>
      </c>
      <c r="AZ117" s="165">
        <v>0</v>
      </c>
      <c r="BA117" s="165">
        <f t="shared" si="51"/>
        <v>0</v>
      </c>
      <c r="BB117" s="165">
        <v>0</v>
      </c>
      <c r="BC117" s="165" t="e">
        <f t="shared" si="52"/>
        <v>#DIV/0!</v>
      </c>
      <c r="BD117" s="165" t="e">
        <v>#DIV/0!</v>
      </c>
      <c r="BE117" s="165" t="e">
        <f t="shared" si="53"/>
        <v>#DIV/0!</v>
      </c>
      <c r="BF117" s="165" t="e">
        <v>#DIV/0!</v>
      </c>
      <c r="BG117" s="165" t="e">
        <f t="shared" si="54"/>
        <v>#DIV/0!</v>
      </c>
      <c r="BH117" s="165" t="e">
        <v>#DIV/0!</v>
      </c>
      <c r="BI117" s="165" t="e">
        <f t="shared" si="55"/>
        <v>#DIV/0!</v>
      </c>
      <c r="BJ117" s="165" t="e">
        <v>#DIV/0!</v>
      </c>
      <c r="BK117" s="165" t="e">
        <f t="shared" si="56"/>
        <v>#DIV/0!</v>
      </c>
      <c r="BL117" s="165" t="e">
        <v>#DIV/0!</v>
      </c>
      <c r="BM117" s="165" t="e">
        <f t="shared" si="57"/>
        <v>#DIV/0!</v>
      </c>
      <c r="BN117" s="165" t="e">
        <v>#DIV/0!</v>
      </c>
    </row>
    <row r="118" spans="1:66" ht="15.6" x14ac:dyDescent="0.3">
      <c r="A118" s="155">
        <v>7000</v>
      </c>
      <c r="B118" s="155">
        <v>8000</v>
      </c>
      <c r="C118" s="156">
        <v>27</v>
      </c>
      <c r="D118" s="156"/>
      <c r="E118" s="156"/>
      <c r="F118" s="156">
        <v>6010689000</v>
      </c>
      <c r="G118" s="156"/>
      <c r="H118" s="172"/>
      <c r="I118" s="157">
        <v>1.1850488964341879E-5</v>
      </c>
      <c r="J118" s="157" t="e">
        <v>#DIV/0!</v>
      </c>
      <c r="K118" s="157"/>
      <c r="L118" s="157">
        <v>7420.6037037037031</v>
      </c>
      <c r="M118" s="157"/>
      <c r="N118" s="157"/>
      <c r="O118" s="146"/>
      <c r="P118" s="159" t="str">
        <f t="shared" si="40"/>
        <v>(7000, 8000]</v>
      </c>
      <c r="Q118" s="160" t="s">
        <v>139</v>
      </c>
      <c r="R118" s="157">
        <f t="shared" si="41"/>
        <v>1.1850488964341879E-5</v>
      </c>
      <c r="S118" s="161">
        <v>0</v>
      </c>
      <c r="T118" s="161">
        <v>0</v>
      </c>
      <c r="U118" s="161"/>
      <c r="V118" s="161"/>
      <c r="W118" s="161"/>
      <c r="X118" s="161"/>
      <c r="Y118" s="161"/>
      <c r="Z118" s="161"/>
      <c r="AA118" s="163">
        <v>0</v>
      </c>
      <c r="AB118" s="163">
        <v>0</v>
      </c>
      <c r="AC118" s="163">
        <v>0</v>
      </c>
      <c r="AD118" s="163">
        <v>0</v>
      </c>
      <c r="AE118" s="163">
        <v>0</v>
      </c>
      <c r="AF118" s="163">
        <v>0</v>
      </c>
      <c r="AG118" s="163">
        <v>0</v>
      </c>
      <c r="AH118" s="163">
        <v>0</v>
      </c>
      <c r="AI118" s="163">
        <v>0</v>
      </c>
      <c r="AJ118" s="163">
        <v>0</v>
      </c>
      <c r="AK118" s="163" t="e">
        <v>#DIV/0!</v>
      </c>
      <c r="AL118" s="163" t="e">
        <v>#DIV/0!</v>
      </c>
      <c r="AM118" s="163" t="e">
        <v>#DIV/0!</v>
      </c>
      <c r="AN118" s="163" t="e">
        <v>#DIV/0!</v>
      </c>
      <c r="AO118" s="163" t="e">
        <v>#DIV/0!</v>
      </c>
      <c r="AP118" s="163" t="e">
        <v>#DIV/0!</v>
      </c>
      <c r="AQ118" s="164">
        <f t="shared" si="42"/>
        <v>0</v>
      </c>
      <c r="AR118" s="164">
        <f t="shared" si="43"/>
        <v>0</v>
      </c>
      <c r="AS118" s="164" t="e">
        <f t="shared" si="44"/>
        <v>#DIV/0!</v>
      </c>
      <c r="AT118" s="164" t="e">
        <f t="shared" si="45"/>
        <v>#DIV/0!</v>
      </c>
      <c r="AU118" s="164" t="e">
        <f t="shared" si="46"/>
        <v>#DIV/0!</v>
      </c>
      <c r="AV118" s="164" t="e">
        <f t="shared" si="47"/>
        <v>#DIV/0!</v>
      </c>
      <c r="AW118" s="164" t="e">
        <f t="shared" si="48"/>
        <v>#DIV/0!</v>
      </c>
      <c r="AX118" s="164" t="e">
        <f t="shared" si="49"/>
        <v>#DIV/0!</v>
      </c>
      <c r="AY118" s="165">
        <f t="shared" si="50"/>
        <v>0</v>
      </c>
      <c r="AZ118" s="165">
        <v>0</v>
      </c>
      <c r="BA118" s="165">
        <f t="shared" si="51"/>
        <v>0</v>
      </c>
      <c r="BB118" s="165">
        <v>0</v>
      </c>
      <c r="BC118" s="165" t="e">
        <f t="shared" si="52"/>
        <v>#DIV/0!</v>
      </c>
      <c r="BD118" s="165" t="e">
        <v>#DIV/0!</v>
      </c>
      <c r="BE118" s="165" t="e">
        <f t="shared" si="53"/>
        <v>#DIV/0!</v>
      </c>
      <c r="BF118" s="165" t="e">
        <v>#DIV/0!</v>
      </c>
      <c r="BG118" s="165" t="e">
        <f t="shared" si="54"/>
        <v>#DIV/0!</v>
      </c>
      <c r="BH118" s="165" t="e">
        <v>#DIV/0!</v>
      </c>
      <c r="BI118" s="165" t="e">
        <f t="shared" si="55"/>
        <v>#DIV/0!</v>
      </c>
      <c r="BJ118" s="165" t="e">
        <v>#DIV/0!</v>
      </c>
      <c r="BK118" s="165" t="e">
        <f t="shared" si="56"/>
        <v>#DIV/0!</v>
      </c>
      <c r="BL118" s="165" t="e">
        <v>#DIV/0!</v>
      </c>
      <c r="BM118" s="165" t="e">
        <f t="shared" si="57"/>
        <v>#DIV/0!</v>
      </c>
      <c r="BN118" s="165" t="e">
        <v>#DIV/0!</v>
      </c>
    </row>
    <row r="119" spans="1:66" ht="15.6" x14ac:dyDescent="0.3">
      <c r="A119" s="155">
        <v>8000</v>
      </c>
      <c r="B119" s="155">
        <v>9000</v>
      </c>
      <c r="C119" s="156">
        <v>19</v>
      </c>
      <c r="D119" s="156"/>
      <c r="E119" s="156"/>
      <c r="F119" s="156">
        <v>4761744000</v>
      </c>
      <c r="G119" s="156"/>
      <c r="H119" s="172"/>
      <c r="I119" s="157">
        <v>8.3392329749072486E-6</v>
      </c>
      <c r="J119" s="157" t="e">
        <v>#DIV/0!</v>
      </c>
      <c r="K119" s="157"/>
      <c r="L119" s="157">
        <v>8353.9368421052641</v>
      </c>
      <c r="M119" s="157"/>
      <c r="N119" s="157"/>
      <c r="O119" s="146"/>
      <c r="P119" s="159" t="str">
        <f t="shared" si="40"/>
        <v>(8000, 9000]</v>
      </c>
      <c r="Q119" s="160" t="s">
        <v>139</v>
      </c>
      <c r="R119" s="157">
        <f t="shared" si="41"/>
        <v>8.3392329749072486E-6</v>
      </c>
      <c r="S119" s="161">
        <v>0</v>
      </c>
      <c r="T119" s="161">
        <v>0</v>
      </c>
      <c r="U119" s="161"/>
      <c r="V119" s="161"/>
      <c r="W119" s="161"/>
      <c r="X119" s="161"/>
      <c r="Y119" s="161"/>
      <c r="Z119" s="161"/>
      <c r="AA119" s="163">
        <v>0</v>
      </c>
      <c r="AB119" s="163">
        <v>0</v>
      </c>
      <c r="AC119" s="163">
        <v>0</v>
      </c>
      <c r="AD119" s="163">
        <v>0</v>
      </c>
      <c r="AE119" s="163">
        <v>0</v>
      </c>
      <c r="AF119" s="163">
        <v>0</v>
      </c>
      <c r="AG119" s="163">
        <v>0</v>
      </c>
      <c r="AH119" s="163">
        <v>0</v>
      </c>
      <c r="AI119" s="163">
        <v>0</v>
      </c>
      <c r="AJ119" s="163">
        <v>0</v>
      </c>
      <c r="AK119" s="163" t="e">
        <v>#DIV/0!</v>
      </c>
      <c r="AL119" s="163" t="e">
        <v>#DIV/0!</v>
      </c>
      <c r="AM119" s="163" t="e">
        <v>#DIV/0!</v>
      </c>
      <c r="AN119" s="163" t="e">
        <v>#DIV/0!</v>
      </c>
      <c r="AO119" s="163" t="e">
        <v>#DIV/0!</v>
      </c>
      <c r="AP119" s="163" t="e">
        <v>#DIV/0!</v>
      </c>
      <c r="AQ119" s="164">
        <f t="shared" si="42"/>
        <v>0</v>
      </c>
      <c r="AR119" s="164">
        <f t="shared" si="43"/>
        <v>0</v>
      </c>
      <c r="AS119" s="164" t="e">
        <f t="shared" si="44"/>
        <v>#DIV/0!</v>
      </c>
      <c r="AT119" s="164" t="e">
        <f t="shared" si="45"/>
        <v>#DIV/0!</v>
      </c>
      <c r="AU119" s="164" t="e">
        <f t="shared" si="46"/>
        <v>#DIV/0!</v>
      </c>
      <c r="AV119" s="164" t="e">
        <f t="shared" si="47"/>
        <v>#DIV/0!</v>
      </c>
      <c r="AW119" s="164" t="e">
        <f t="shared" si="48"/>
        <v>#DIV/0!</v>
      </c>
      <c r="AX119" s="164" t="e">
        <f t="shared" si="49"/>
        <v>#DIV/0!</v>
      </c>
      <c r="AY119" s="165">
        <f t="shared" si="50"/>
        <v>0</v>
      </c>
      <c r="AZ119" s="165">
        <v>0</v>
      </c>
      <c r="BA119" s="165">
        <f t="shared" si="51"/>
        <v>0</v>
      </c>
      <c r="BB119" s="165">
        <v>0</v>
      </c>
      <c r="BC119" s="165" t="e">
        <f t="shared" si="52"/>
        <v>#DIV/0!</v>
      </c>
      <c r="BD119" s="165" t="e">
        <v>#DIV/0!</v>
      </c>
      <c r="BE119" s="165" t="e">
        <f t="shared" si="53"/>
        <v>#DIV/0!</v>
      </c>
      <c r="BF119" s="165" t="e">
        <v>#DIV/0!</v>
      </c>
      <c r="BG119" s="165" t="e">
        <f t="shared" si="54"/>
        <v>#DIV/0!</v>
      </c>
      <c r="BH119" s="165" t="e">
        <v>#DIV/0!</v>
      </c>
      <c r="BI119" s="165" t="e">
        <f t="shared" si="55"/>
        <v>#DIV/0!</v>
      </c>
      <c r="BJ119" s="165" t="e">
        <v>#DIV/0!</v>
      </c>
      <c r="BK119" s="165" t="e">
        <f t="shared" si="56"/>
        <v>#DIV/0!</v>
      </c>
      <c r="BL119" s="165" t="e">
        <v>#DIV/0!</v>
      </c>
      <c r="BM119" s="165" t="e">
        <f t="shared" si="57"/>
        <v>#DIV/0!</v>
      </c>
      <c r="BN119" s="165" t="e">
        <v>#DIV/0!</v>
      </c>
    </row>
    <row r="120" spans="1:66" ht="15.6" x14ac:dyDescent="0.3">
      <c r="A120" s="155">
        <v>9000</v>
      </c>
      <c r="B120" s="155">
        <v>10000</v>
      </c>
      <c r="C120" s="156">
        <v>11</v>
      </c>
      <c r="D120" s="156"/>
      <c r="E120" s="156"/>
      <c r="F120" s="156">
        <v>3114868500</v>
      </c>
      <c r="G120" s="156"/>
      <c r="H120" s="172"/>
      <c r="I120" s="157">
        <v>4.8279769854726173E-6</v>
      </c>
      <c r="J120" s="157" t="e">
        <v>#DIV/0!</v>
      </c>
      <c r="K120" s="157"/>
      <c r="L120" s="157">
        <v>9438.9954545454548</v>
      </c>
      <c r="M120" s="157"/>
      <c r="N120" s="157"/>
      <c r="O120" s="146"/>
      <c r="P120" s="159" t="str">
        <f t="shared" si="40"/>
        <v>(9000, 10000]</v>
      </c>
      <c r="Q120" s="160" t="s">
        <v>139</v>
      </c>
      <c r="R120" s="157">
        <f t="shared" si="41"/>
        <v>4.8279769854726173E-6</v>
      </c>
      <c r="S120" s="161">
        <v>0</v>
      </c>
      <c r="T120" s="161">
        <v>0</v>
      </c>
      <c r="U120" s="161"/>
      <c r="V120" s="161"/>
      <c r="W120" s="161"/>
      <c r="X120" s="161"/>
      <c r="Y120" s="161"/>
      <c r="Z120" s="161"/>
      <c r="AA120" s="163">
        <v>0</v>
      </c>
      <c r="AB120" s="163">
        <v>0</v>
      </c>
      <c r="AC120" s="163">
        <v>0</v>
      </c>
      <c r="AD120" s="163">
        <v>0</v>
      </c>
      <c r="AE120" s="163">
        <v>0</v>
      </c>
      <c r="AF120" s="163">
        <v>0</v>
      </c>
      <c r="AG120" s="163">
        <v>0</v>
      </c>
      <c r="AH120" s="163">
        <v>0</v>
      </c>
      <c r="AI120" s="163">
        <v>0</v>
      </c>
      <c r="AJ120" s="163">
        <v>0</v>
      </c>
      <c r="AK120" s="163" t="e">
        <v>#DIV/0!</v>
      </c>
      <c r="AL120" s="163" t="e">
        <v>#DIV/0!</v>
      </c>
      <c r="AM120" s="163" t="e">
        <v>#DIV/0!</v>
      </c>
      <c r="AN120" s="163" t="e">
        <v>#DIV/0!</v>
      </c>
      <c r="AO120" s="163" t="e">
        <v>#DIV/0!</v>
      </c>
      <c r="AP120" s="163" t="e">
        <v>#DIV/0!</v>
      </c>
      <c r="AQ120" s="164">
        <f t="shared" si="42"/>
        <v>0</v>
      </c>
      <c r="AR120" s="164">
        <f t="shared" si="43"/>
        <v>0</v>
      </c>
      <c r="AS120" s="164" t="e">
        <f t="shared" si="44"/>
        <v>#DIV/0!</v>
      </c>
      <c r="AT120" s="164" t="e">
        <f t="shared" si="45"/>
        <v>#DIV/0!</v>
      </c>
      <c r="AU120" s="164" t="e">
        <f t="shared" si="46"/>
        <v>#DIV/0!</v>
      </c>
      <c r="AV120" s="164" t="e">
        <f t="shared" si="47"/>
        <v>#DIV/0!</v>
      </c>
      <c r="AW120" s="164" t="e">
        <f t="shared" si="48"/>
        <v>#DIV/0!</v>
      </c>
      <c r="AX120" s="164" t="e">
        <f t="shared" si="49"/>
        <v>#DIV/0!</v>
      </c>
      <c r="AY120" s="165">
        <f t="shared" si="50"/>
        <v>0</v>
      </c>
      <c r="AZ120" s="165">
        <v>0</v>
      </c>
      <c r="BA120" s="165">
        <f t="shared" si="51"/>
        <v>0</v>
      </c>
      <c r="BB120" s="165">
        <v>0</v>
      </c>
      <c r="BC120" s="165" t="e">
        <f t="shared" si="52"/>
        <v>#DIV/0!</v>
      </c>
      <c r="BD120" s="165" t="e">
        <v>#DIV/0!</v>
      </c>
      <c r="BE120" s="165" t="e">
        <f t="shared" si="53"/>
        <v>#DIV/0!</v>
      </c>
      <c r="BF120" s="165" t="e">
        <v>#DIV/0!</v>
      </c>
      <c r="BG120" s="165" t="e">
        <f t="shared" si="54"/>
        <v>#DIV/0!</v>
      </c>
      <c r="BH120" s="165" t="e">
        <v>#DIV/0!</v>
      </c>
      <c r="BI120" s="165" t="e">
        <f t="shared" si="55"/>
        <v>#DIV/0!</v>
      </c>
      <c r="BJ120" s="165" t="e">
        <v>#DIV/0!</v>
      </c>
      <c r="BK120" s="165" t="e">
        <f t="shared" si="56"/>
        <v>#DIV/0!</v>
      </c>
      <c r="BL120" s="165" t="e">
        <v>#DIV/0!</v>
      </c>
      <c r="BM120" s="165" t="e">
        <f t="shared" si="57"/>
        <v>#DIV/0!</v>
      </c>
      <c r="BN120" s="165" t="e">
        <v>#DIV/0!</v>
      </c>
    </row>
    <row r="121" spans="1:66" ht="15.6" x14ac:dyDescent="0.3">
      <c r="A121" s="155">
        <v>10000</v>
      </c>
      <c r="B121" s="155">
        <v>20000</v>
      </c>
      <c r="C121" s="156">
        <v>12</v>
      </c>
      <c r="D121" s="156"/>
      <c r="E121" s="156"/>
      <c r="F121" s="156">
        <v>4280365500</v>
      </c>
      <c r="G121" s="156"/>
      <c r="H121" s="172"/>
      <c r="I121" s="157">
        <v>5.2668839841519457E-6</v>
      </c>
      <c r="J121" s="157" t="e">
        <v>#DIV/0!</v>
      </c>
      <c r="K121" s="157"/>
      <c r="L121" s="157">
        <v>11889.904166666667</v>
      </c>
      <c r="M121" s="157"/>
      <c r="N121" s="157"/>
      <c r="O121" s="146"/>
      <c r="P121" s="159" t="str">
        <f t="shared" si="40"/>
        <v>(10000, 20000]</v>
      </c>
      <c r="Q121" s="160" t="s">
        <v>139</v>
      </c>
      <c r="R121" s="157">
        <f t="shared" si="41"/>
        <v>5.2668839841519457E-6</v>
      </c>
      <c r="S121" s="161">
        <v>0</v>
      </c>
      <c r="T121" s="161">
        <v>0</v>
      </c>
      <c r="U121" s="161"/>
      <c r="V121" s="161"/>
      <c r="W121" s="161"/>
      <c r="X121" s="161"/>
      <c r="Y121" s="161"/>
      <c r="Z121" s="161"/>
      <c r="AA121" s="163">
        <v>0</v>
      </c>
      <c r="AB121" s="163">
        <v>0</v>
      </c>
      <c r="AC121" s="163">
        <v>0</v>
      </c>
      <c r="AD121" s="163">
        <v>0</v>
      </c>
      <c r="AE121" s="163">
        <v>0</v>
      </c>
      <c r="AF121" s="163">
        <v>0</v>
      </c>
      <c r="AG121" s="163">
        <v>0</v>
      </c>
      <c r="AH121" s="163">
        <v>0</v>
      </c>
      <c r="AI121" s="163">
        <v>0</v>
      </c>
      <c r="AJ121" s="163">
        <v>0</v>
      </c>
      <c r="AK121" s="163" t="e">
        <v>#DIV/0!</v>
      </c>
      <c r="AL121" s="163" t="e">
        <v>#DIV/0!</v>
      </c>
      <c r="AM121" s="163" t="e">
        <v>#DIV/0!</v>
      </c>
      <c r="AN121" s="163" t="e">
        <v>#DIV/0!</v>
      </c>
      <c r="AO121" s="163" t="e">
        <v>#DIV/0!</v>
      </c>
      <c r="AP121" s="163" t="e">
        <v>#DIV/0!</v>
      </c>
      <c r="AQ121" s="164">
        <f t="shared" si="42"/>
        <v>0</v>
      </c>
      <c r="AR121" s="164">
        <f t="shared" si="43"/>
        <v>0</v>
      </c>
      <c r="AS121" s="164" t="e">
        <f t="shared" si="44"/>
        <v>#DIV/0!</v>
      </c>
      <c r="AT121" s="164" t="e">
        <f t="shared" si="45"/>
        <v>#DIV/0!</v>
      </c>
      <c r="AU121" s="164" t="e">
        <f t="shared" si="46"/>
        <v>#DIV/0!</v>
      </c>
      <c r="AV121" s="164" t="e">
        <f t="shared" si="47"/>
        <v>#DIV/0!</v>
      </c>
      <c r="AW121" s="164" t="e">
        <f t="shared" si="48"/>
        <v>#DIV/0!</v>
      </c>
      <c r="AX121" s="164" t="e">
        <f t="shared" si="49"/>
        <v>#DIV/0!</v>
      </c>
      <c r="AY121" s="165">
        <f t="shared" si="50"/>
        <v>0</v>
      </c>
      <c r="AZ121" s="165">
        <v>0</v>
      </c>
      <c r="BA121" s="165">
        <f t="shared" si="51"/>
        <v>0</v>
      </c>
      <c r="BB121" s="165">
        <v>0</v>
      </c>
      <c r="BC121" s="165" t="e">
        <f t="shared" si="52"/>
        <v>#DIV/0!</v>
      </c>
      <c r="BD121" s="165" t="e">
        <v>#DIV/0!</v>
      </c>
      <c r="BE121" s="165" t="e">
        <f t="shared" si="53"/>
        <v>#DIV/0!</v>
      </c>
      <c r="BF121" s="165" t="e">
        <v>#DIV/0!</v>
      </c>
      <c r="BG121" s="165" t="e">
        <f t="shared" si="54"/>
        <v>#DIV/0!</v>
      </c>
      <c r="BH121" s="165" t="e">
        <v>#DIV/0!</v>
      </c>
      <c r="BI121" s="165" t="e">
        <f t="shared" si="55"/>
        <v>#DIV/0!</v>
      </c>
      <c r="BJ121" s="165" t="e">
        <v>#DIV/0!</v>
      </c>
      <c r="BK121" s="165" t="e">
        <f t="shared" si="56"/>
        <v>#DIV/0!</v>
      </c>
      <c r="BL121" s="165" t="e">
        <v>#DIV/0!</v>
      </c>
      <c r="BM121" s="165" t="e">
        <f t="shared" si="57"/>
        <v>#DIV/0!</v>
      </c>
      <c r="BN121" s="165" t="e">
        <v>#DIV/0!</v>
      </c>
    </row>
    <row r="122" spans="1:66" ht="15.6" x14ac:dyDescent="0.3">
      <c r="A122" s="155">
        <v>20000</v>
      </c>
      <c r="B122" s="155">
        <v>30000</v>
      </c>
      <c r="C122" s="156">
        <v>0</v>
      </c>
      <c r="D122" s="156"/>
      <c r="E122" s="156"/>
      <c r="F122" s="156">
        <v>0</v>
      </c>
      <c r="G122" s="156"/>
      <c r="H122" s="172"/>
      <c r="I122" s="157">
        <v>0</v>
      </c>
      <c r="J122" s="157" t="e">
        <v>#DIV/0!</v>
      </c>
      <c r="K122" s="157"/>
      <c r="L122" s="157" t="e">
        <v>#DIV/0!</v>
      </c>
      <c r="M122" s="157"/>
      <c r="N122" s="157"/>
      <c r="O122" s="146"/>
      <c r="P122" s="159" t="str">
        <f t="shared" si="40"/>
        <v>(20000, 30000]</v>
      </c>
      <c r="Q122" s="160" t="s">
        <v>139</v>
      </c>
      <c r="R122" s="157">
        <f t="shared" si="41"/>
        <v>0</v>
      </c>
      <c r="S122" s="161">
        <v>0</v>
      </c>
      <c r="T122" s="161">
        <v>0</v>
      </c>
      <c r="U122" s="161"/>
      <c r="V122" s="161"/>
      <c r="W122" s="161"/>
      <c r="X122" s="161"/>
      <c r="Y122" s="161"/>
      <c r="Z122" s="161"/>
      <c r="AA122" s="163">
        <v>0</v>
      </c>
      <c r="AB122" s="163">
        <v>0</v>
      </c>
      <c r="AC122" s="163">
        <v>0</v>
      </c>
      <c r="AD122" s="163">
        <v>0</v>
      </c>
      <c r="AE122" s="163">
        <v>0</v>
      </c>
      <c r="AF122" s="163">
        <v>0</v>
      </c>
      <c r="AG122" s="163">
        <v>0</v>
      </c>
      <c r="AH122" s="163">
        <v>0</v>
      </c>
      <c r="AI122" s="163">
        <v>0</v>
      </c>
      <c r="AJ122" s="163">
        <v>0</v>
      </c>
      <c r="AK122" s="163" t="e">
        <v>#DIV/0!</v>
      </c>
      <c r="AL122" s="163" t="e">
        <v>#DIV/0!</v>
      </c>
      <c r="AM122" s="163" t="e">
        <v>#DIV/0!</v>
      </c>
      <c r="AN122" s="163" t="e">
        <v>#DIV/0!</v>
      </c>
      <c r="AO122" s="163" t="e">
        <v>#DIV/0!</v>
      </c>
      <c r="AP122" s="163" t="e">
        <v>#DIV/0!</v>
      </c>
      <c r="AQ122" s="164">
        <f t="shared" si="42"/>
        <v>0</v>
      </c>
      <c r="AR122" s="164">
        <f t="shared" si="43"/>
        <v>0</v>
      </c>
      <c r="AS122" s="164" t="e">
        <f t="shared" si="44"/>
        <v>#DIV/0!</v>
      </c>
      <c r="AT122" s="164" t="e">
        <f t="shared" si="45"/>
        <v>#DIV/0!</v>
      </c>
      <c r="AU122" s="164" t="e">
        <f t="shared" si="46"/>
        <v>#DIV/0!</v>
      </c>
      <c r="AV122" s="164" t="e">
        <f t="shared" si="47"/>
        <v>#DIV/0!</v>
      </c>
      <c r="AW122" s="164" t="e">
        <f t="shared" si="48"/>
        <v>#DIV/0!</v>
      </c>
      <c r="AX122" s="164" t="e">
        <f t="shared" si="49"/>
        <v>#DIV/0!</v>
      </c>
      <c r="AY122" s="165">
        <f t="shared" si="50"/>
        <v>0</v>
      </c>
      <c r="AZ122" s="165">
        <v>0</v>
      </c>
      <c r="BA122" s="165">
        <f t="shared" si="51"/>
        <v>0</v>
      </c>
      <c r="BB122" s="165">
        <v>0</v>
      </c>
      <c r="BC122" s="165" t="e">
        <f t="shared" si="52"/>
        <v>#DIV/0!</v>
      </c>
      <c r="BD122" s="165" t="e">
        <v>#DIV/0!</v>
      </c>
      <c r="BE122" s="165" t="e">
        <f t="shared" si="53"/>
        <v>#DIV/0!</v>
      </c>
      <c r="BF122" s="165" t="e">
        <v>#DIV/0!</v>
      </c>
      <c r="BG122" s="165" t="e">
        <f t="shared" si="54"/>
        <v>#DIV/0!</v>
      </c>
      <c r="BH122" s="165" t="e">
        <v>#DIV/0!</v>
      </c>
      <c r="BI122" s="165" t="e">
        <f t="shared" si="55"/>
        <v>#DIV/0!</v>
      </c>
      <c r="BJ122" s="165" t="e">
        <v>#DIV/0!</v>
      </c>
      <c r="BK122" s="165" t="e">
        <f t="shared" si="56"/>
        <v>#DIV/0!</v>
      </c>
      <c r="BL122" s="165" t="e">
        <v>#DIV/0!</v>
      </c>
      <c r="BM122" s="165" t="e">
        <f t="shared" si="57"/>
        <v>#DIV/0!</v>
      </c>
      <c r="BN122" s="165" t="e">
        <v>#DIV/0!</v>
      </c>
    </row>
    <row r="123" spans="1:66" ht="15.6" x14ac:dyDescent="0.3">
      <c r="A123" s="155">
        <v>30000</v>
      </c>
      <c r="B123" s="155">
        <v>99999999</v>
      </c>
      <c r="C123" s="156"/>
      <c r="D123" s="156"/>
      <c r="E123" s="156"/>
      <c r="F123" s="156"/>
      <c r="G123" s="156"/>
      <c r="H123" s="172"/>
      <c r="I123" s="157">
        <v>0</v>
      </c>
      <c r="J123" s="157" t="e">
        <v>#DIV/0!</v>
      </c>
      <c r="K123" s="157"/>
      <c r="L123" s="157" t="e">
        <v>#DIV/0!</v>
      </c>
      <c r="M123" s="157"/>
      <c r="N123" s="157"/>
      <c r="O123" s="146"/>
      <c r="P123" s="159" t="str">
        <f t="shared" si="40"/>
        <v>(30000, 99999999]</v>
      </c>
      <c r="Q123" s="160" t="s">
        <v>139</v>
      </c>
      <c r="R123" s="157">
        <f t="shared" si="41"/>
        <v>0</v>
      </c>
      <c r="S123" s="161">
        <v>0</v>
      </c>
      <c r="T123" s="161">
        <v>0</v>
      </c>
      <c r="U123" s="161"/>
      <c r="V123" s="161"/>
      <c r="W123" s="161"/>
      <c r="X123" s="161"/>
      <c r="Y123" s="161"/>
      <c r="Z123" s="161"/>
      <c r="AA123" s="163">
        <v>0</v>
      </c>
      <c r="AB123" s="163">
        <v>0</v>
      </c>
      <c r="AC123" s="163">
        <v>0</v>
      </c>
      <c r="AD123" s="163">
        <v>0</v>
      </c>
      <c r="AE123" s="163">
        <v>0</v>
      </c>
      <c r="AF123" s="163">
        <v>0</v>
      </c>
      <c r="AG123" s="163">
        <v>0</v>
      </c>
      <c r="AH123" s="163">
        <v>0</v>
      </c>
      <c r="AI123" s="163">
        <v>0</v>
      </c>
      <c r="AJ123" s="163">
        <v>0</v>
      </c>
      <c r="AK123" s="163" t="e">
        <v>#DIV/0!</v>
      </c>
      <c r="AL123" s="163" t="e">
        <v>#DIV/0!</v>
      </c>
      <c r="AM123" s="163" t="e">
        <v>#DIV/0!</v>
      </c>
      <c r="AN123" s="163" t="e">
        <v>#DIV/0!</v>
      </c>
      <c r="AO123" s="163" t="e">
        <v>#DIV/0!</v>
      </c>
      <c r="AP123" s="163" t="e">
        <v>#DIV/0!</v>
      </c>
      <c r="AQ123" s="164">
        <f t="shared" si="42"/>
        <v>0</v>
      </c>
      <c r="AR123" s="164">
        <f t="shared" si="43"/>
        <v>0</v>
      </c>
      <c r="AS123" s="164" t="e">
        <f t="shared" si="44"/>
        <v>#DIV/0!</v>
      </c>
      <c r="AT123" s="164" t="e">
        <f t="shared" si="45"/>
        <v>#DIV/0!</v>
      </c>
      <c r="AU123" s="164" t="e">
        <f t="shared" si="46"/>
        <v>#DIV/0!</v>
      </c>
      <c r="AV123" s="164" t="e">
        <f t="shared" si="47"/>
        <v>#DIV/0!</v>
      </c>
      <c r="AW123" s="164" t="e">
        <f t="shared" si="48"/>
        <v>#DIV/0!</v>
      </c>
      <c r="AX123" s="164" t="e">
        <f t="shared" si="49"/>
        <v>#DIV/0!</v>
      </c>
      <c r="AY123" s="165">
        <f t="shared" si="50"/>
        <v>0</v>
      </c>
      <c r="AZ123" s="165">
        <v>0</v>
      </c>
      <c r="BA123" s="165">
        <f t="shared" si="51"/>
        <v>0</v>
      </c>
      <c r="BB123" s="165">
        <v>0</v>
      </c>
      <c r="BC123" s="165" t="e">
        <f t="shared" si="52"/>
        <v>#DIV/0!</v>
      </c>
      <c r="BD123" s="165" t="e">
        <v>#DIV/0!</v>
      </c>
      <c r="BE123" s="165" t="e">
        <f t="shared" si="53"/>
        <v>#DIV/0!</v>
      </c>
      <c r="BF123" s="165" t="e">
        <v>#DIV/0!</v>
      </c>
      <c r="BG123" s="165" t="e">
        <f t="shared" si="54"/>
        <v>#DIV/0!</v>
      </c>
      <c r="BH123" s="165" t="e">
        <v>#DIV/0!</v>
      </c>
      <c r="BI123" s="165" t="e">
        <f t="shared" si="55"/>
        <v>#DIV/0!</v>
      </c>
      <c r="BJ123" s="165" t="e">
        <v>#DIV/0!</v>
      </c>
      <c r="BK123" s="165" t="e">
        <f t="shared" si="56"/>
        <v>#DIV/0!</v>
      </c>
      <c r="BL123" s="165" t="e">
        <v>#DIV/0!</v>
      </c>
      <c r="BM123" s="165" t="e">
        <f t="shared" si="57"/>
        <v>#DIV/0!</v>
      </c>
      <c r="BN123" s="165" t="e">
        <v>#DIV/0!</v>
      </c>
    </row>
    <row r="124" spans="1:66" ht="15.6" x14ac:dyDescent="0.3">
      <c r="A124" s="155"/>
      <c r="B124" s="155"/>
      <c r="C124" s="156"/>
      <c r="D124" s="156"/>
      <c r="E124" s="156"/>
      <c r="F124" s="156"/>
      <c r="G124" s="156"/>
      <c r="H124" s="172"/>
      <c r="I124" s="157">
        <v>0</v>
      </c>
      <c r="J124" s="157" t="e">
        <v>#DIV/0!</v>
      </c>
      <c r="K124" s="157"/>
      <c r="L124" s="157" t="e">
        <v>#DIV/0!</v>
      </c>
      <c r="M124" s="157"/>
      <c r="N124" s="157"/>
      <c r="O124" s="146"/>
      <c r="P124" s="159" t="str">
        <f t="shared" si="40"/>
        <v>(, ]</v>
      </c>
      <c r="Q124" s="160" t="s">
        <v>139</v>
      </c>
      <c r="R124" s="157">
        <f t="shared" si="41"/>
        <v>0</v>
      </c>
      <c r="S124" s="161">
        <v>0</v>
      </c>
      <c r="T124" s="161">
        <v>0</v>
      </c>
      <c r="U124" s="161"/>
      <c r="V124" s="161"/>
      <c r="W124" s="161"/>
      <c r="X124" s="161"/>
      <c r="Y124" s="161"/>
      <c r="Z124" s="161"/>
      <c r="AA124" s="163">
        <v>0</v>
      </c>
      <c r="AB124" s="163">
        <v>0</v>
      </c>
      <c r="AC124" s="163">
        <v>0</v>
      </c>
      <c r="AD124" s="163">
        <v>0</v>
      </c>
      <c r="AE124" s="163">
        <v>0</v>
      </c>
      <c r="AF124" s="163">
        <v>0</v>
      </c>
      <c r="AG124" s="163">
        <v>0</v>
      </c>
      <c r="AH124" s="163">
        <v>0</v>
      </c>
      <c r="AI124" s="163">
        <v>0</v>
      </c>
      <c r="AJ124" s="163">
        <v>0</v>
      </c>
      <c r="AK124" s="163" t="e">
        <v>#DIV/0!</v>
      </c>
      <c r="AL124" s="163" t="e">
        <v>#DIV/0!</v>
      </c>
      <c r="AM124" s="163" t="e">
        <v>#DIV/0!</v>
      </c>
      <c r="AN124" s="163" t="e">
        <v>#DIV/0!</v>
      </c>
      <c r="AO124" s="163" t="e">
        <v>#DIV/0!</v>
      </c>
      <c r="AP124" s="163" t="e">
        <v>#DIV/0!</v>
      </c>
      <c r="AQ124" s="164">
        <f t="shared" si="42"/>
        <v>0</v>
      </c>
      <c r="AR124" s="164">
        <f t="shared" si="43"/>
        <v>0</v>
      </c>
      <c r="AS124" s="164" t="e">
        <f t="shared" si="44"/>
        <v>#DIV/0!</v>
      </c>
      <c r="AT124" s="164" t="e">
        <f t="shared" si="45"/>
        <v>#DIV/0!</v>
      </c>
      <c r="AU124" s="164" t="e">
        <f t="shared" si="46"/>
        <v>#DIV/0!</v>
      </c>
      <c r="AV124" s="164" t="e">
        <f t="shared" si="47"/>
        <v>#DIV/0!</v>
      </c>
      <c r="AW124" s="164" t="e">
        <f t="shared" si="48"/>
        <v>#DIV/0!</v>
      </c>
      <c r="AX124" s="164" t="e">
        <f t="shared" si="49"/>
        <v>#DIV/0!</v>
      </c>
      <c r="AY124" s="165">
        <f t="shared" si="50"/>
        <v>0</v>
      </c>
      <c r="AZ124" s="165">
        <v>0</v>
      </c>
      <c r="BA124" s="165">
        <f t="shared" si="51"/>
        <v>0</v>
      </c>
      <c r="BB124" s="165">
        <v>0</v>
      </c>
      <c r="BC124" s="165" t="e">
        <f t="shared" si="52"/>
        <v>#DIV/0!</v>
      </c>
      <c r="BD124" s="165" t="e">
        <v>#DIV/0!</v>
      </c>
      <c r="BE124" s="165" t="e">
        <f t="shared" si="53"/>
        <v>#DIV/0!</v>
      </c>
      <c r="BF124" s="165" t="e">
        <v>#DIV/0!</v>
      </c>
      <c r="BG124" s="165" t="e">
        <f t="shared" si="54"/>
        <v>#DIV/0!</v>
      </c>
      <c r="BH124" s="165" t="e">
        <v>#DIV/0!</v>
      </c>
      <c r="BI124" s="165" t="e">
        <f t="shared" si="55"/>
        <v>#DIV/0!</v>
      </c>
      <c r="BJ124" s="165" t="e">
        <v>#DIV/0!</v>
      </c>
      <c r="BK124" s="165" t="e">
        <f t="shared" si="56"/>
        <v>#DIV/0!</v>
      </c>
      <c r="BL124" s="165" t="e">
        <v>#DIV/0!</v>
      </c>
      <c r="BM124" s="165" t="e">
        <f t="shared" si="57"/>
        <v>#DIV/0!</v>
      </c>
      <c r="BN124" s="165" t="e">
        <v>#DIV/0!</v>
      </c>
    </row>
    <row r="125" spans="1:66" ht="15.6" x14ac:dyDescent="0.3">
      <c r="A125" s="155"/>
      <c r="B125" s="155"/>
      <c r="C125" s="156"/>
      <c r="D125" s="156"/>
      <c r="E125" s="156"/>
      <c r="F125" s="156"/>
      <c r="G125" s="156"/>
      <c r="H125" s="172"/>
      <c r="I125" s="157">
        <v>0</v>
      </c>
      <c r="J125" s="157" t="e">
        <v>#DIV/0!</v>
      </c>
      <c r="K125" s="157"/>
      <c r="L125" s="155" t="e">
        <v>#DIV/0!</v>
      </c>
      <c r="M125" s="155"/>
      <c r="N125" s="157"/>
      <c r="O125" s="146"/>
      <c r="P125" s="159" t="str">
        <f t="shared" si="40"/>
        <v>(, ]</v>
      </c>
      <c r="Q125" s="160" t="s">
        <v>139</v>
      </c>
      <c r="R125" s="157">
        <f t="shared" si="41"/>
        <v>0</v>
      </c>
      <c r="S125" s="161">
        <v>0</v>
      </c>
      <c r="T125" s="161">
        <v>0</v>
      </c>
      <c r="U125" s="161"/>
      <c r="V125" s="161"/>
      <c r="W125" s="161"/>
      <c r="X125" s="161"/>
      <c r="Y125" s="161"/>
      <c r="Z125" s="161"/>
      <c r="AA125" s="163">
        <v>0</v>
      </c>
      <c r="AB125" s="163">
        <v>0</v>
      </c>
      <c r="AC125" s="163">
        <v>0</v>
      </c>
      <c r="AD125" s="163">
        <v>0</v>
      </c>
      <c r="AE125" s="163">
        <v>0</v>
      </c>
      <c r="AF125" s="163">
        <v>0</v>
      </c>
      <c r="AG125" s="163">
        <v>0</v>
      </c>
      <c r="AH125" s="163">
        <v>0</v>
      </c>
      <c r="AI125" s="163">
        <v>0</v>
      </c>
      <c r="AJ125" s="163">
        <v>0</v>
      </c>
      <c r="AK125" s="163" t="e">
        <v>#DIV/0!</v>
      </c>
      <c r="AL125" s="163" t="e">
        <v>#DIV/0!</v>
      </c>
      <c r="AM125" s="163" t="e">
        <v>#DIV/0!</v>
      </c>
      <c r="AN125" s="163" t="e">
        <v>#DIV/0!</v>
      </c>
      <c r="AO125" s="163" t="e">
        <v>#DIV/0!</v>
      </c>
      <c r="AP125" s="163" t="e">
        <v>#DIV/0!</v>
      </c>
      <c r="AQ125" s="164">
        <f t="shared" si="42"/>
        <v>0</v>
      </c>
      <c r="AR125" s="164">
        <f t="shared" si="43"/>
        <v>0</v>
      </c>
      <c r="AS125" s="164" t="e">
        <f t="shared" si="44"/>
        <v>#DIV/0!</v>
      </c>
      <c r="AT125" s="164" t="e">
        <f t="shared" si="45"/>
        <v>#DIV/0!</v>
      </c>
      <c r="AU125" s="164" t="e">
        <f t="shared" si="46"/>
        <v>#DIV/0!</v>
      </c>
      <c r="AV125" s="164" t="e">
        <f t="shared" si="47"/>
        <v>#DIV/0!</v>
      </c>
      <c r="AW125" s="164" t="e">
        <f t="shared" si="48"/>
        <v>#DIV/0!</v>
      </c>
      <c r="AX125" s="164" t="e">
        <f t="shared" si="49"/>
        <v>#DIV/0!</v>
      </c>
      <c r="AY125" s="165">
        <f t="shared" si="50"/>
        <v>0</v>
      </c>
      <c r="AZ125" s="165">
        <v>0</v>
      </c>
      <c r="BA125" s="165">
        <f t="shared" si="51"/>
        <v>0</v>
      </c>
      <c r="BB125" s="165">
        <v>0</v>
      </c>
      <c r="BC125" s="165" t="e">
        <f t="shared" si="52"/>
        <v>#DIV/0!</v>
      </c>
      <c r="BD125" s="165" t="e">
        <v>#DIV/0!</v>
      </c>
      <c r="BE125" s="165" t="e">
        <f t="shared" si="53"/>
        <v>#DIV/0!</v>
      </c>
      <c r="BF125" s="165" t="e">
        <v>#DIV/0!</v>
      </c>
      <c r="BG125" s="165" t="e">
        <f t="shared" si="54"/>
        <v>#DIV/0!</v>
      </c>
      <c r="BH125" s="165" t="e">
        <v>#DIV/0!</v>
      </c>
      <c r="BI125" s="165" t="e">
        <f t="shared" si="55"/>
        <v>#DIV/0!</v>
      </c>
      <c r="BJ125" s="165" t="e">
        <v>#DIV/0!</v>
      </c>
      <c r="BK125" s="165" t="e">
        <f t="shared" si="56"/>
        <v>#DIV/0!</v>
      </c>
      <c r="BL125" s="165" t="e">
        <v>#DIV/0!</v>
      </c>
      <c r="BM125" s="165" t="e">
        <f t="shared" si="57"/>
        <v>#DIV/0!</v>
      </c>
      <c r="BN125" s="165" t="e">
        <v>#DIV/0!</v>
      </c>
    </row>
    <row r="126" spans="1:66" x14ac:dyDescent="0.3">
      <c r="F126" s="147"/>
      <c r="G126" s="147"/>
    </row>
    <row r="127" spans="1:66" x14ac:dyDescent="0.3">
      <c r="F127" s="175"/>
      <c r="G127" s="175"/>
    </row>
    <row r="129" spans="1:66" x14ac:dyDescent="0.3">
      <c r="AZ129" s="150" t="s">
        <v>233</v>
      </c>
      <c r="BA129" s="146"/>
      <c r="BB129" s="150" t="s">
        <v>140</v>
      </c>
      <c r="BC129" s="146"/>
      <c r="BD129" s="150" t="s">
        <v>140</v>
      </c>
      <c r="BE129" s="146"/>
      <c r="BF129" s="150" t="s">
        <v>140</v>
      </c>
      <c r="BH129" s="150" t="s">
        <v>234</v>
      </c>
      <c r="BI129" s="146"/>
      <c r="BJ129" s="150" t="s">
        <v>235</v>
      </c>
      <c r="BK129" s="146"/>
      <c r="BL129" s="150" t="s">
        <v>235</v>
      </c>
      <c r="BM129" s="146"/>
      <c r="BN129" s="150" t="s">
        <v>235</v>
      </c>
    </row>
    <row r="130" spans="1:66" x14ac:dyDescent="0.3">
      <c r="A130" s="231" t="s">
        <v>57</v>
      </c>
      <c r="B130" s="231" t="s">
        <v>58</v>
      </c>
      <c r="C130" s="225" t="s">
        <v>59</v>
      </c>
      <c r="D130" s="226"/>
      <c r="E130" s="227"/>
      <c r="F130" s="225" t="s">
        <v>60</v>
      </c>
      <c r="G130" s="226"/>
      <c r="H130" s="227"/>
      <c r="I130" s="225" t="s">
        <v>61</v>
      </c>
      <c r="J130" s="226"/>
      <c r="K130" s="227"/>
      <c r="L130" s="225" t="s">
        <v>62</v>
      </c>
      <c r="M130" s="226"/>
      <c r="N130" s="227"/>
      <c r="O130" s="146"/>
      <c r="P130" s="224" t="s">
        <v>63</v>
      </c>
      <c r="Q130" s="225" t="s">
        <v>141</v>
      </c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7"/>
      <c r="AI130" s="228" t="s">
        <v>65</v>
      </c>
      <c r="AJ130" s="229"/>
      <c r="AK130" s="229"/>
      <c r="AL130" s="229"/>
      <c r="AM130" s="229"/>
      <c r="AN130" s="229"/>
      <c r="AO130" s="229"/>
      <c r="AP130" s="230"/>
      <c r="AQ130" s="221">
        <f>10^9</f>
        <v>1000000000</v>
      </c>
      <c r="AR130" s="222"/>
      <c r="AS130" s="222"/>
      <c r="AT130" s="222"/>
      <c r="AU130" s="222"/>
      <c r="AV130" s="222"/>
      <c r="AW130" s="222"/>
      <c r="AX130" s="223"/>
      <c r="AY130" s="152" t="s">
        <v>142</v>
      </c>
      <c r="AZ130" s="153">
        <f>SUM(AY132:AY190)</f>
        <v>69.375105290243923</v>
      </c>
      <c r="BA130" s="152" t="s">
        <v>143</v>
      </c>
      <c r="BB130" s="153">
        <f>SUM(BA132:BA190)</f>
        <v>107.94502915323959</v>
      </c>
      <c r="BC130" s="152" t="s">
        <v>144</v>
      </c>
      <c r="BD130" s="153">
        <f>SUM(BC132:BC190)</f>
        <v>36.816188845109046</v>
      </c>
      <c r="BE130" s="152" t="s">
        <v>236</v>
      </c>
      <c r="BF130" s="153">
        <f>SUM(BE132:BE190)</f>
        <v>36.816188845109046</v>
      </c>
      <c r="BG130" s="152" t="s">
        <v>237</v>
      </c>
      <c r="BH130" s="153">
        <f>SUM(AY132:AY190)</f>
        <v>69.375105290243923</v>
      </c>
      <c r="BI130" s="152" t="s">
        <v>238</v>
      </c>
      <c r="BJ130" s="153">
        <f>SUM(BA132:BA190)</f>
        <v>107.94502915323959</v>
      </c>
      <c r="BK130" s="152" t="s">
        <v>239</v>
      </c>
      <c r="BL130" s="153">
        <f>SUM(BC132:BC190)</f>
        <v>36.816188845109046</v>
      </c>
      <c r="BM130" s="152" t="s">
        <v>240</v>
      </c>
      <c r="BN130" s="153">
        <f>SUM(BE132:BE190)</f>
        <v>36.816188845109046</v>
      </c>
    </row>
    <row r="131" spans="1:66" x14ac:dyDescent="0.3">
      <c r="A131" s="232"/>
      <c r="B131" s="232"/>
      <c r="C131" s="154" t="s">
        <v>136</v>
      </c>
      <c r="D131" s="154" t="s">
        <v>137</v>
      </c>
      <c r="E131" s="154" t="s">
        <v>138</v>
      </c>
      <c r="F131" s="154" t="s">
        <v>136</v>
      </c>
      <c r="G131" s="154" t="s">
        <v>137</v>
      </c>
      <c r="H131" s="154" t="s">
        <v>138</v>
      </c>
      <c r="I131" s="154" t="s">
        <v>136</v>
      </c>
      <c r="J131" s="154" t="s">
        <v>137</v>
      </c>
      <c r="K131" s="154" t="s">
        <v>138</v>
      </c>
      <c r="L131" s="154" t="s">
        <v>136</v>
      </c>
      <c r="M131" s="154" t="s">
        <v>137</v>
      </c>
      <c r="N131" s="154" t="s">
        <v>138</v>
      </c>
      <c r="O131" s="146"/>
      <c r="P131" s="224"/>
      <c r="Q131" s="154" t="s">
        <v>69</v>
      </c>
      <c r="R131" s="154" t="s">
        <v>70</v>
      </c>
      <c r="S131" s="154" t="s">
        <v>121</v>
      </c>
      <c r="T131" s="154" t="s">
        <v>122</v>
      </c>
      <c r="U131" s="154" t="s">
        <v>123</v>
      </c>
      <c r="V131" s="154" t="s">
        <v>204</v>
      </c>
      <c r="W131" s="154" t="s">
        <v>225</v>
      </c>
      <c r="X131" s="154" t="s">
        <v>226</v>
      </c>
      <c r="Y131" s="154" t="s">
        <v>227</v>
      </c>
      <c r="Z131" s="154" t="s">
        <v>228</v>
      </c>
      <c r="AA131" s="154" t="s">
        <v>124</v>
      </c>
      <c r="AB131" s="154" t="s">
        <v>125</v>
      </c>
      <c r="AC131" s="154" t="s">
        <v>126</v>
      </c>
      <c r="AD131" s="154" t="s">
        <v>209</v>
      </c>
      <c r="AE131" s="154" t="s">
        <v>229</v>
      </c>
      <c r="AF131" s="154" t="s">
        <v>230</v>
      </c>
      <c r="AG131" s="154" t="s">
        <v>231</v>
      </c>
      <c r="AH131" s="154" t="s">
        <v>232</v>
      </c>
      <c r="AI131" s="154" t="s">
        <v>127</v>
      </c>
      <c r="AJ131" s="154" t="s">
        <v>128</v>
      </c>
      <c r="AK131" s="154" t="s">
        <v>129</v>
      </c>
      <c r="AL131" s="154" t="s">
        <v>210</v>
      </c>
      <c r="AM131" s="154" t="s">
        <v>211</v>
      </c>
      <c r="AN131" s="154" t="s">
        <v>212</v>
      </c>
      <c r="AO131" s="154" t="s">
        <v>213</v>
      </c>
      <c r="AP131" s="154" t="s">
        <v>214</v>
      </c>
      <c r="AQ131" s="154" t="s">
        <v>130</v>
      </c>
      <c r="AR131" s="154" t="s">
        <v>131</v>
      </c>
      <c r="AS131" s="154" t="s">
        <v>132</v>
      </c>
      <c r="AT131" s="154" t="s">
        <v>241</v>
      </c>
      <c r="AU131" s="154" t="s">
        <v>216</v>
      </c>
      <c r="AV131" s="154" t="s">
        <v>217</v>
      </c>
      <c r="AW131" s="154" t="s">
        <v>218</v>
      </c>
      <c r="AX131" s="154" t="s">
        <v>219</v>
      </c>
      <c r="AY131" s="154" t="s">
        <v>62</v>
      </c>
      <c r="AZ131" s="154" t="s">
        <v>71</v>
      </c>
      <c r="BA131" s="154" t="s">
        <v>62</v>
      </c>
      <c r="BB131" s="154" t="s">
        <v>71</v>
      </c>
      <c r="BC131" s="154" t="s">
        <v>62</v>
      </c>
      <c r="BD131" s="154" t="s">
        <v>71</v>
      </c>
      <c r="BE131" s="154" t="s">
        <v>62</v>
      </c>
      <c r="BF131" s="154" t="s">
        <v>71</v>
      </c>
      <c r="BG131" s="154" t="s">
        <v>220</v>
      </c>
      <c r="BH131" s="154" t="s">
        <v>221</v>
      </c>
      <c r="BI131" s="154" t="s">
        <v>220</v>
      </c>
      <c r="BJ131" s="154" t="s">
        <v>221</v>
      </c>
      <c r="BK131" s="154" t="s">
        <v>220</v>
      </c>
      <c r="BL131" s="154" t="s">
        <v>221</v>
      </c>
      <c r="BM131" s="154" t="s">
        <v>220</v>
      </c>
      <c r="BN131" s="154" t="s">
        <v>221</v>
      </c>
    </row>
    <row r="132" spans="1:66" ht="15.6" x14ac:dyDescent="0.3">
      <c r="A132" s="155">
        <v>-1</v>
      </c>
      <c r="B132" s="155">
        <v>0</v>
      </c>
      <c r="C132" s="156">
        <v>28095</v>
      </c>
      <c r="D132" s="156"/>
      <c r="E132" s="156"/>
      <c r="F132" s="156">
        <v>0</v>
      </c>
      <c r="G132" s="156"/>
      <c r="H132" s="172"/>
      <c r="I132" s="157" cm="1">
        <f t="array" ref="I132:I190">_xlfn.LET(_xlpm.x, C132:C190, _xlpm.x/SUM(_xlpm.x))</f>
        <v>2.8174155289285249E-3</v>
      </c>
      <c r="J132" s="157" t="e" cm="1">
        <f t="array" ref="J132:J190">_xlfn.LET(_xlpm.x, D132:D190, _xlpm.x/SUM(_xlpm.x))</f>
        <v>#DIV/0!</v>
      </c>
      <c r="K132" s="157"/>
      <c r="L132" s="158" cm="1">
        <f t="array" ref="L132:L190">F132:F190/C132:C190/30000</f>
        <v>0</v>
      </c>
      <c r="M132" s="158"/>
      <c r="N132" s="163"/>
      <c r="O132" s="176"/>
      <c r="P132" s="177" t="str">
        <f t="shared" ref="P132:P163" si="58">"("&amp;$A132&amp;", "&amp;$B132&amp;"]"</f>
        <v>(-1, 0]</v>
      </c>
      <c r="Q132" s="160" t="s">
        <v>139</v>
      </c>
      <c r="R132" s="157">
        <f t="shared" ref="R132:R163" si="59">_xlfn.XLOOKUP(Q132, $I$131:$K$131, I132:K132)</f>
        <v>2.8174155289285249E-3</v>
      </c>
      <c r="S132" s="162">
        <v>0</v>
      </c>
      <c r="T132" s="162">
        <v>0</v>
      </c>
      <c r="U132" s="161">
        <v>0</v>
      </c>
      <c r="V132" s="161">
        <v>0</v>
      </c>
      <c r="W132" s="162">
        <v>0</v>
      </c>
      <c r="X132" s="178">
        <v>0</v>
      </c>
      <c r="Y132" s="161">
        <v>0</v>
      </c>
      <c r="Z132" s="161">
        <v>0</v>
      </c>
      <c r="AA132" s="163" cm="1">
        <f t="array" ref="AA132:AA190">$R132:$R190*S132:S190</f>
        <v>0</v>
      </c>
      <c r="AB132" s="163" cm="1">
        <f t="array" ref="AB132:AB190">$R132:$R190*T132:T190</f>
        <v>0</v>
      </c>
      <c r="AC132" s="163" cm="1">
        <f t="array" ref="AC132:AC190">$R132:$R190*U132:U190</f>
        <v>0</v>
      </c>
      <c r="AD132" s="163" cm="1">
        <f t="array" ref="AD132:AD190">$R132:$R190*V132:V190</f>
        <v>0</v>
      </c>
      <c r="AE132" s="163" cm="1">
        <f t="array" ref="AE132:AE190">$R132:$R190*W132:W190</f>
        <v>0</v>
      </c>
      <c r="AF132" s="163" cm="1">
        <f t="array" ref="AF132:AF190">$R132:$R190*X132:X190</f>
        <v>0</v>
      </c>
      <c r="AG132" s="163" cm="1">
        <f t="array" ref="AG132:AG190">$R132:$R190*Y132:Y190</f>
        <v>0</v>
      </c>
      <c r="AH132" s="163" cm="1">
        <f t="array" ref="AH132:AH190">$R132:$R190*Z132:Z190</f>
        <v>0</v>
      </c>
      <c r="AI132" s="163" cm="1">
        <f t="array" ref="AI132:AI190">_xlfn.LET(_xlpm.x,_xlfn.ANCHORARRAY( AA132), _xlpm.x/SUM(_xlpm.x))</f>
        <v>0</v>
      </c>
      <c r="AJ132" s="163" cm="1">
        <f t="array" ref="AJ132:AJ190">_xlfn.LET(_xlpm.x,_xlfn.ANCHORARRAY( AB132), _xlpm.x/SUM(_xlpm.x))</f>
        <v>0</v>
      </c>
      <c r="AK132" s="163" cm="1">
        <f t="array" ref="AK132:AK190">_xlfn.LET(_xlpm.x,_xlfn.ANCHORARRAY( AC132), _xlpm.x/SUM(_xlpm.x))</f>
        <v>0</v>
      </c>
      <c r="AL132" s="163" cm="1">
        <f t="array" ref="AL132:AL190">_xlfn.LET(_xlpm.x,_xlfn.ANCHORARRAY( AD132), _xlpm.x/SUM(_xlpm.x))</f>
        <v>0</v>
      </c>
      <c r="AM132" s="163" cm="1">
        <f t="array" ref="AM132:AM190">_xlfn.LET(_xlpm.x,_xlfn.ANCHORARRAY( AE132), _xlpm.x/SUM(_xlpm.x))</f>
        <v>0</v>
      </c>
      <c r="AN132" s="163" cm="1">
        <f t="array" ref="AN132:AN190">_xlfn.LET(_xlpm.x,_xlfn.ANCHORARRAY( AF132), _xlpm.x/SUM(_xlpm.x))</f>
        <v>0</v>
      </c>
      <c r="AO132" s="163" cm="1">
        <f t="array" ref="AO132:AO190">_xlfn.LET(_xlpm.x,_xlfn.ANCHORARRAY( AG132), _xlpm.x/SUM(_xlpm.x))</f>
        <v>0</v>
      </c>
      <c r="AP132" s="163" cm="1">
        <f t="array" ref="AP132:AP190">_xlfn.LET(_xlpm.x,_xlfn.ANCHORARRAY( AH132), _xlpm.x/SUM(_xlpm.x))</f>
        <v>0</v>
      </c>
      <c r="AQ132" s="164">
        <f t="shared" ref="AQ132:AQ163" si="60">INT(AI132*$AQ$65)</f>
        <v>0</v>
      </c>
      <c r="AR132" s="164">
        <f t="shared" ref="AR132:AR163" si="61">INT(AJ132*$AQ$65)</f>
        <v>0</v>
      </c>
      <c r="AS132" s="164">
        <f t="shared" ref="AS132:AS163" si="62">INT(AK132*$AQ$65)</f>
        <v>0</v>
      </c>
      <c r="AT132" s="164">
        <f t="shared" ref="AT132:AT163" si="63">INT(AL132*$AQ$65)</f>
        <v>0</v>
      </c>
      <c r="AU132" s="164">
        <f t="shared" ref="AU132:AU163" si="64">INT(AM132*$AQ$65)</f>
        <v>0</v>
      </c>
      <c r="AV132" s="164">
        <f t="shared" ref="AV132:AV163" si="65">INT(AN132*$AQ$65)</f>
        <v>0</v>
      </c>
      <c r="AW132" s="164">
        <f t="shared" ref="AW132:AW163" si="66">INT(AO132*$AQ$65)</f>
        <v>0</v>
      </c>
      <c r="AX132" s="164">
        <f t="shared" ref="AX132:AX163" si="67">INT(AP132*$AQ$65)</f>
        <v>0</v>
      </c>
      <c r="AY132" s="165">
        <f t="shared" ref="AY132:AY163" si="68">_xlfn.LET(_xlpm.x, _xlfn.XLOOKUP($Q132, $L$131:$N$131, $L132:$N132), IF(ISERROR(_xlpm.x), 0, _xlpm.x)*AQ132/$AQ$130)</f>
        <v>0</v>
      </c>
      <c r="AZ132" s="165" cm="1">
        <f t="array" ref="AZ132:AZ190">_xlfn.LET(_xlpm.x, AQ132:AQ190, _xlpm.x/SUM(_xlpm.x))</f>
        <v>0</v>
      </c>
      <c r="BA132" s="165">
        <f t="shared" ref="BA132:BA163" si="69">_xlfn.LET(_xlpm.x, _xlfn.XLOOKUP($Q132, $L$131:$N$131, $L132:$N132), IF(ISERROR(_xlpm.x), 0, _xlpm.x)*AR132/$AQ$130)</f>
        <v>0</v>
      </c>
      <c r="BB132" s="165" cm="1">
        <f t="array" ref="BB132:BB190">_xlfn.LET(_xlpm.x, AR132:AR190, _xlpm.x/SUM(_xlpm.x))</f>
        <v>0</v>
      </c>
      <c r="BC132" s="165">
        <f t="shared" ref="BC132:BC163" si="70">_xlfn.LET(_xlpm.x, _xlfn.XLOOKUP($Q132, $L$131:$N$131, $L132:$N132), IF(ISERROR(_xlpm.x), 0, _xlpm.x)*AS132/$AQ$130)</f>
        <v>0</v>
      </c>
      <c r="BD132" s="165" cm="1">
        <f t="array" ref="BD132:BD190">_xlfn.LET(_xlpm.x, AS132:AS190, _xlpm.x/SUM(_xlpm.x))</f>
        <v>0</v>
      </c>
      <c r="BE132" s="165">
        <f t="shared" ref="BE132:BE163" si="71">_xlfn.LET(_xlpm.x, _xlfn.XLOOKUP($Q132, $L$131:$N$131, $L132:$N132), IF(ISERROR(_xlpm.x), 0, _xlpm.x)*AT132/$AQ$130)</f>
        <v>0</v>
      </c>
      <c r="BF132" s="165" cm="1">
        <f t="array" ref="BF132:BF190">_xlfn.LET(_xlpm.x, AT132:AT190, _xlpm.x/SUM(_xlpm.x))</f>
        <v>0</v>
      </c>
      <c r="BG132" s="165">
        <f t="shared" ref="BG132:BG163" si="72">_xlfn.LET(_xlpm.x, _xlfn.XLOOKUP($Q132, $L$131:$N$131, $L132:$N132), IF(ISERROR(_xlpm.x), 0, _xlpm.x)*AQ132/$AQ$130)</f>
        <v>0</v>
      </c>
      <c r="BH132" s="165" cm="1">
        <f t="array" ref="BH132:BH190">_xlfn.LET(_xlpm.x, AQ132:AQ190, _xlpm.x/SUM(_xlpm.x))</f>
        <v>0</v>
      </c>
      <c r="BI132" s="165">
        <f t="shared" ref="BI132:BI163" si="73">_xlfn.LET(_xlpm.x, _xlfn.XLOOKUP($Q132, $L$131:$N$131, $L132:$N132), IF(ISERROR(_xlpm.x), 0, _xlpm.x)*AR132/$AQ$130)</f>
        <v>0</v>
      </c>
      <c r="BJ132" s="165" cm="1">
        <f t="array" ref="BJ132:BJ190">_xlfn.LET(_xlpm.x, AR132:AR190, _xlpm.x/SUM(_xlpm.x))</f>
        <v>0</v>
      </c>
      <c r="BK132" s="165">
        <f t="shared" ref="BK132:BK163" si="74">_xlfn.LET(_xlpm.x, _xlfn.XLOOKUP($Q132, $L$131:$N$131, $L132:$N132), IF(ISERROR(_xlpm.x), 0, _xlpm.x)*AS132/$AQ$130)</f>
        <v>0</v>
      </c>
      <c r="BL132" s="165" cm="1">
        <f t="array" ref="BL132:BL190">_xlfn.LET(_xlpm.x, AS132:AS190, _xlpm.x/SUM(_xlpm.x))</f>
        <v>0</v>
      </c>
      <c r="BM132" s="165">
        <f t="shared" ref="BM132:BM163" si="75">_xlfn.LET(_xlpm.x, _xlfn.XLOOKUP($Q132, $L$131:$N$131, $L132:$N132), IF(ISERROR(_xlpm.x), 0, _xlpm.x)*AT132/$AQ$130)</f>
        <v>0</v>
      </c>
      <c r="BN132" s="165" cm="1">
        <f t="array" ref="BN132:BN190">_xlfn.LET(_xlpm.x, AT132:AT190, _xlpm.x/SUM(_xlpm.x))</f>
        <v>0</v>
      </c>
    </row>
    <row r="133" spans="1:66" ht="15.6" x14ac:dyDescent="0.3">
      <c r="A133" s="155">
        <v>0</v>
      </c>
      <c r="B133" s="155">
        <v>1</v>
      </c>
      <c r="C133" s="156">
        <v>60857</v>
      </c>
      <c r="D133" s="156"/>
      <c r="E133" s="156"/>
      <c r="F133" s="156">
        <v>1493869500</v>
      </c>
      <c r="G133" s="156"/>
      <c r="H133" s="172"/>
      <c r="I133" s="157">
        <v>6.1028459456844006E-3</v>
      </c>
      <c r="J133" s="157" t="e">
        <v>#DIV/0!</v>
      </c>
      <c r="K133" s="157"/>
      <c r="L133" s="158">
        <v>0.81824030103357048</v>
      </c>
      <c r="M133" s="158"/>
      <c r="N133" s="163"/>
      <c r="O133" s="179"/>
      <c r="P133" s="177" t="str">
        <f t="shared" si="58"/>
        <v>(0, 1]</v>
      </c>
      <c r="Q133" s="160" t="s">
        <v>139</v>
      </c>
      <c r="R133" s="157">
        <f t="shared" si="59"/>
        <v>6.1028459456844006E-3</v>
      </c>
      <c r="S133" s="162">
        <v>0</v>
      </c>
      <c r="T133" s="162">
        <v>0</v>
      </c>
      <c r="U133" s="161">
        <v>0</v>
      </c>
      <c r="V133" s="161">
        <v>0</v>
      </c>
      <c r="W133" s="162">
        <v>0</v>
      </c>
      <c r="X133" s="178">
        <v>0</v>
      </c>
      <c r="Y133" s="161">
        <v>0</v>
      </c>
      <c r="Z133" s="161">
        <v>0</v>
      </c>
      <c r="AA133" s="163">
        <v>0</v>
      </c>
      <c r="AB133" s="163">
        <v>0</v>
      </c>
      <c r="AC133" s="163">
        <v>0</v>
      </c>
      <c r="AD133" s="163">
        <v>0</v>
      </c>
      <c r="AE133" s="163">
        <v>0</v>
      </c>
      <c r="AF133" s="163">
        <v>0</v>
      </c>
      <c r="AG133" s="163">
        <v>0</v>
      </c>
      <c r="AH133" s="163">
        <v>0</v>
      </c>
      <c r="AI133" s="163">
        <v>0</v>
      </c>
      <c r="AJ133" s="163">
        <v>0</v>
      </c>
      <c r="AK133" s="163">
        <v>0</v>
      </c>
      <c r="AL133" s="163">
        <v>0</v>
      </c>
      <c r="AM133" s="163">
        <v>0</v>
      </c>
      <c r="AN133" s="163">
        <v>0</v>
      </c>
      <c r="AO133" s="163">
        <v>0</v>
      </c>
      <c r="AP133" s="163">
        <v>0</v>
      </c>
      <c r="AQ133" s="164">
        <f t="shared" si="60"/>
        <v>0</v>
      </c>
      <c r="AR133" s="164">
        <f t="shared" si="61"/>
        <v>0</v>
      </c>
      <c r="AS133" s="164">
        <f t="shared" si="62"/>
        <v>0</v>
      </c>
      <c r="AT133" s="164">
        <f t="shared" si="63"/>
        <v>0</v>
      </c>
      <c r="AU133" s="164">
        <f t="shared" si="64"/>
        <v>0</v>
      </c>
      <c r="AV133" s="164">
        <f t="shared" si="65"/>
        <v>0</v>
      </c>
      <c r="AW133" s="164">
        <f t="shared" si="66"/>
        <v>0</v>
      </c>
      <c r="AX133" s="164">
        <f t="shared" si="67"/>
        <v>0</v>
      </c>
      <c r="AY133" s="165">
        <f t="shared" si="68"/>
        <v>0</v>
      </c>
      <c r="AZ133" s="165">
        <v>0</v>
      </c>
      <c r="BA133" s="165">
        <f t="shared" si="69"/>
        <v>0</v>
      </c>
      <c r="BB133" s="165">
        <v>0</v>
      </c>
      <c r="BC133" s="165">
        <f t="shared" si="70"/>
        <v>0</v>
      </c>
      <c r="BD133" s="165">
        <v>0</v>
      </c>
      <c r="BE133" s="165">
        <f t="shared" si="71"/>
        <v>0</v>
      </c>
      <c r="BF133" s="165">
        <v>0</v>
      </c>
      <c r="BG133" s="165">
        <f t="shared" si="72"/>
        <v>0</v>
      </c>
      <c r="BH133" s="165">
        <v>0</v>
      </c>
      <c r="BI133" s="165">
        <f t="shared" si="73"/>
        <v>0</v>
      </c>
      <c r="BJ133" s="165">
        <v>0</v>
      </c>
      <c r="BK133" s="165">
        <f t="shared" si="74"/>
        <v>0</v>
      </c>
      <c r="BL133" s="165">
        <v>0</v>
      </c>
      <c r="BM133" s="165">
        <f t="shared" si="75"/>
        <v>0</v>
      </c>
      <c r="BN133" s="165">
        <v>0</v>
      </c>
    </row>
    <row r="134" spans="1:66" ht="15.6" x14ac:dyDescent="0.3">
      <c r="A134" s="155">
        <v>1</v>
      </c>
      <c r="B134" s="155">
        <v>2</v>
      </c>
      <c r="C134" s="156">
        <v>97276</v>
      </c>
      <c r="D134" s="156"/>
      <c r="E134" s="156"/>
      <c r="F134" s="156">
        <v>4529089500</v>
      </c>
      <c r="G134" s="156"/>
      <c r="H134" s="172"/>
      <c r="I134" s="157">
        <v>9.7550066912992055E-3</v>
      </c>
      <c r="J134" s="157" t="e">
        <v>#DIV/0!</v>
      </c>
      <c r="K134" s="157"/>
      <c r="L134" s="158">
        <v>1.5519722233644475</v>
      </c>
      <c r="M134" s="158"/>
      <c r="N134" s="163"/>
      <c r="O134" s="179"/>
      <c r="P134" s="177" t="str">
        <f t="shared" si="58"/>
        <v>(1, 2]</v>
      </c>
      <c r="Q134" s="160" t="s">
        <v>139</v>
      </c>
      <c r="R134" s="157">
        <f t="shared" si="59"/>
        <v>9.7550066912992055E-3</v>
      </c>
      <c r="S134" s="162">
        <v>0</v>
      </c>
      <c r="T134" s="162">
        <v>0</v>
      </c>
      <c r="U134" s="161">
        <v>0</v>
      </c>
      <c r="V134" s="161">
        <v>0</v>
      </c>
      <c r="W134" s="162">
        <v>0</v>
      </c>
      <c r="X134" s="178">
        <v>0</v>
      </c>
      <c r="Y134" s="161">
        <v>0</v>
      </c>
      <c r="Z134" s="161">
        <v>0</v>
      </c>
      <c r="AA134" s="163">
        <v>0</v>
      </c>
      <c r="AB134" s="163">
        <v>0</v>
      </c>
      <c r="AC134" s="163">
        <v>0</v>
      </c>
      <c r="AD134" s="163">
        <v>0</v>
      </c>
      <c r="AE134" s="163">
        <v>0</v>
      </c>
      <c r="AF134" s="163">
        <v>0</v>
      </c>
      <c r="AG134" s="163">
        <v>0</v>
      </c>
      <c r="AH134" s="163">
        <v>0</v>
      </c>
      <c r="AI134" s="163">
        <v>0</v>
      </c>
      <c r="AJ134" s="163">
        <v>0</v>
      </c>
      <c r="AK134" s="163">
        <v>0</v>
      </c>
      <c r="AL134" s="163">
        <v>0</v>
      </c>
      <c r="AM134" s="163">
        <v>0</v>
      </c>
      <c r="AN134" s="163">
        <v>0</v>
      </c>
      <c r="AO134" s="163">
        <v>0</v>
      </c>
      <c r="AP134" s="163">
        <v>0</v>
      </c>
      <c r="AQ134" s="164">
        <f t="shared" si="60"/>
        <v>0</v>
      </c>
      <c r="AR134" s="164">
        <f t="shared" si="61"/>
        <v>0</v>
      </c>
      <c r="AS134" s="164">
        <f t="shared" si="62"/>
        <v>0</v>
      </c>
      <c r="AT134" s="164">
        <f t="shared" si="63"/>
        <v>0</v>
      </c>
      <c r="AU134" s="164">
        <f t="shared" si="64"/>
        <v>0</v>
      </c>
      <c r="AV134" s="164">
        <f t="shared" si="65"/>
        <v>0</v>
      </c>
      <c r="AW134" s="164">
        <f t="shared" si="66"/>
        <v>0</v>
      </c>
      <c r="AX134" s="164">
        <f t="shared" si="67"/>
        <v>0</v>
      </c>
      <c r="AY134" s="165">
        <f t="shared" si="68"/>
        <v>0</v>
      </c>
      <c r="AZ134" s="165">
        <v>0</v>
      </c>
      <c r="BA134" s="165">
        <f t="shared" si="69"/>
        <v>0</v>
      </c>
      <c r="BB134" s="165">
        <v>0</v>
      </c>
      <c r="BC134" s="165">
        <f t="shared" si="70"/>
        <v>0</v>
      </c>
      <c r="BD134" s="165">
        <v>0</v>
      </c>
      <c r="BE134" s="165">
        <f t="shared" si="71"/>
        <v>0</v>
      </c>
      <c r="BF134" s="165">
        <v>0</v>
      </c>
      <c r="BG134" s="165">
        <f t="shared" si="72"/>
        <v>0</v>
      </c>
      <c r="BH134" s="165">
        <v>0</v>
      </c>
      <c r="BI134" s="165">
        <f t="shared" si="73"/>
        <v>0</v>
      </c>
      <c r="BJ134" s="165">
        <v>0</v>
      </c>
      <c r="BK134" s="165">
        <f t="shared" si="74"/>
        <v>0</v>
      </c>
      <c r="BL134" s="165">
        <v>0</v>
      </c>
      <c r="BM134" s="165">
        <f t="shared" si="75"/>
        <v>0</v>
      </c>
      <c r="BN134" s="165">
        <v>0</v>
      </c>
    </row>
    <row r="135" spans="1:66" ht="15.6" x14ac:dyDescent="0.3">
      <c r="A135" s="155">
        <v>2</v>
      </c>
      <c r="B135" s="155">
        <v>3</v>
      </c>
      <c r="C135" s="156">
        <v>97700</v>
      </c>
      <c r="D135" s="156"/>
      <c r="E135" s="156"/>
      <c r="F135" s="156">
        <v>7489414500</v>
      </c>
      <c r="G135" s="156"/>
      <c r="H135" s="172"/>
      <c r="I135" s="157">
        <v>9.7975261497176315E-3</v>
      </c>
      <c r="J135" s="157" t="e">
        <v>#DIV/0!</v>
      </c>
      <c r="K135" s="157"/>
      <c r="L135" s="158">
        <v>2.5552420675537362</v>
      </c>
      <c r="M135" s="158"/>
      <c r="N135" s="163"/>
      <c r="O135" s="179"/>
      <c r="P135" s="177" t="str">
        <f t="shared" si="58"/>
        <v>(2, 3]</v>
      </c>
      <c r="Q135" s="160" t="s">
        <v>139</v>
      </c>
      <c r="R135" s="157">
        <f t="shared" si="59"/>
        <v>9.7975261497176315E-3</v>
      </c>
      <c r="S135" s="162">
        <v>0</v>
      </c>
      <c r="T135" s="162">
        <v>0</v>
      </c>
      <c r="U135" s="161">
        <v>0</v>
      </c>
      <c r="V135" s="161">
        <v>0</v>
      </c>
      <c r="W135" s="162">
        <v>0</v>
      </c>
      <c r="X135" s="178">
        <v>0</v>
      </c>
      <c r="Y135" s="161">
        <v>0</v>
      </c>
      <c r="Z135" s="161">
        <v>0</v>
      </c>
      <c r="AA135" s="163">
        <v>0</v>
      </c>
      <c r="AB135" s="163">
        <v>0</v>
      </c>
      <c r="AC135" s="163">
        <v>0</v>
      </c>
      <c r="AD135" s="163">
        <v>0</v>
      </c>
      <c r="AE135" s="163">
        <v>0</v>
      </c>
      <c r="AF135" s="163">
        <v>0</v>
      </c>
      <c r="AG135" s="163">
        <v>0</v>
      </c>
      <c r="AH135" s="163">
        <v>0</v>
      </c>
      <c r="AI135" s="163">
        <v>0</v>
      </c>
      <c r="AJ135" s="163">
        <v>0</v>
      </c>
      <c r="AK135" s="163">
        <v>0</v>
      </c>
      <c r="AL135" s="163">
        <v>0</v>
      </c>
      <c r="AM135" s="163">
        <v>0</v>
      </c>
      <c r="AN135" s="163">
        <v>0</v>
      </c>
      <c r="AO135" s="163">
        <v>0</v>
      </c>
      <c r="AP135" s="163">
        <v>0</v>
      </c>
      <c r="AQ135" s="164">
        <f t="shared" si="60"/>
        <v>0</v>
      </c>
      <c r="AR135" s="164">
        <f t="shared" si="61"/>
        <v>0</v>
      </c>
      <c r="AS135" s="164">
        <f t="shared" si="62"/>
        <v>0</v>
      </c>
      <c r="AT135" s="164">
        <f t="shared" si="63"/>
        <v>0</v>
      </c>
      <c r="AU135" s="164">
        <f t="shared" si="64"/>
        <v>0</v>
      </c>
      <c r="AV135" s="164">
        <f t="shared" si="65"/>
        <v>0</v>
      </c>
      <c r="AW135" s="164">
        <f t="shared" si="66"/>
        <v>0</v>
      </c>
      <c r="AX135" s="164">
        <f t="shared" si="67"/>
        <v>0</v>
      </c>
      <c r="AY135" s="165">
        <f t="shared" si="68"/>
        <v>0</v>
      </c>
      <c r="AZ135" s="165">
        <v>0</v>
      </c>
      <c r="BA135" s="165">
        <f t="shared" si="69"/>
        <v>0</v>
      </c>
      <c r="BB135" s="165">
        <v>0</v>
      </c>
      <c r="BC135" s="165">
        <f t="shared" si="70"/>
        <v>0</v>
      </c>
      <c r="BD135" s="165">
        <v>0</v>
      </c>
      <c r="BE135" s="165">
        <f t="shared" si="71"/>
        <v>0</v>
      </c>
      <c r="BF135" s="165">
        <v>0</v>
      </c>
      <c r="BG135" s="165">
        <f t="shared" si="72"/>
        <v>0</v>
      </c>
      <c r="BH135" s="165">
        <v>0</v>
      </c>
      <c r="BI135" s="165">
        <f t="shared" si="73"/>
        <v>0</v>
      </c>
      <c r="BJ135" s="165">
        <v>0</v>
      </c>
      <c r="BK135" s="165">
        <f t="shared" si="74"/>
        <v>0</v>
      </c>
      <c r="BL135" s="165">
        <v>0</v>
      </c>
      <c r="BM135" s="165">
        <f t="shared" si="75"/>
        <v>0</v>
      </c>
      <c r="BN135" s="165">
        <v>0</v>
      </c>
    </row>
    <row r="136" spans="1:66" ht="15.6" x14ac:dyDescent="0.3">
      <c r="A136" s="155">
        <v>3</v>
      </c>
      <c r="B136" s="155">
        <v>4</v>
      </c>
      <c r="C136" s="156">
        <v>98556</v>
      </c>
      <c r="D136" s="156"/>
      <c r="E136" s="156"/>
      <c r="F136" s="156">
        <v>10503825000</v>
      </c>
      <c r="G136" s="156"/>
      <c r="H136" s="172"/>
      <c r="I136" s="157">
        <v>9.8833673204869084E-3</v>
      </c>
      <c r="J136" s="157" t="e">
        <v>#DIV/0!</v>
      </c>
      <c r="K136" s="157"/>
      <c r="L136" s="158">
        <v>3.5525741710296685</v>
      </c>
      <c r="M136" s="158"/>
      <c r="N136" s="163"/>
      <c r="O136" s="179"/>
      <c r="P136" s="177" t="str">
        <f t="shared" si="58"/>
        <v>(3, 4]</v>
      </c>
      <c r="Q136" s="160" t="s">
        <v>139</v>
      </c>
      <c r="R136" s="157">
        <f t="shared" si="59"/>
        <v>9.8833673204869084E-3</v>
      </c>
      <c r="S136" s="162">
        <v>0</v>
      </c>
      <c r="T136" s="162">
        <v>0</v>
      </c>
      <c r="U136" s="161">
        <v>0</v>
      </c>
      <c r="V136" s="161">
        <v>0</v>
      </c>
      <c r="W136" s="162">
        <v>0</v>
      </c>
      <c r="X136" s="178">
        <v>0</v>
      </c>
      <c r="Y136" s="161">
        <v>0</v>
      </c>
      <c r="Z136" s="161">
        <v>0</v>
      </c>
      <c r="AA136" s="163">
        <v>0</v>
      </c>
      <c r="AB136" s="163">
        <v>0</v>
      </c>
      <c r="AC136" s="163">
        <v>0</v>
      </c>
      <c r="AD136" s="163">
        <v>0</v>
      </c>
      <c r="AE136" s="163">
        <v>0</v>
      </c>
      <c r="AF136" s="163">
        <v>0</v>
      </c>
      <c r="AG136" s="163">
        <v>0</v>
      </c>
      <c r="AH136" s="163">
        <v>0</v>
      </c>
      <c r="AI136" s="163">
        <v>0</v>
      </c>
      <c r="AJ136" s="163">
        <v>0</v>
      </c>
      <c r="AK136" s="163">
        <v>0</v>
      </c>
      <c r="AL136" s="163">
        <v>0</v>
      </c>
      <c r="AM136" s="163">
        <v>0</v>
      </c>
      <c r="AN136" s="163">
        <v>0</v>
      </c>
      <c r="AO136" s="163">
        <v>0</v>
      </c>
      <c r="AP136" s="163">
        <v>0</v>
      </c>
      <c r="AQ136" s="164">
        <f t="shared" si="60"/>
        <v>0</v>
      </c>
      <c r="AR136" s="164">
        <f t="shared" si="61"/>
        <v>0</v>
      </c>
      <c r="AS136" s="164">
        <f t="shared" si="62"/>
        <v>0</v>
      </c>
      <c r="AT136" s="164">
        <f t="shared" si="63"/>
        <v>0</v>
      </c>
      <c r="AU136" s="164">
        <f t="shared" si="64"/>
        <v>0</v>
      </c>
      <c r="AV136" s="164">
        <f t="shared" si="65"/>
        <v>0</v>
      </c>
      <c r="AW136" s="164">
        <f t="shared" si="66"/>
        <v>0</v>
      </c>
      <c r="AX136" s="164">
        <f t="shared" si="67"/>
        <v>0</v>
      </c>
      <c r="AY136" s="165">
        <f t="shared" si="68"/>
        <v>0</v>
      </c>
      <c r="AZ136" s="165">
        <v>0</v>
      </c>
      <c r="BA136" s="165">
        <f t="shared" si="69"/>
        <v>0</v>
      </c>
      <c r="BB136" s="165">
        <v>0</v>
      </c>
      <c r="BC136" s="165">
        <f t="shared" si="70"/>
        <v>0</v>
      </c>
      <c r="BD136" s="165">
        <v>0</v>
      </c>
      <c r="BE136" s="165">
        <f t="shared" si="71"/>
        <v>0</v>
      </c>
      <c r="BF136" s="165">
        <v>0</v>
      </c>
      <c r="BG136" s="165">
        <f t="shared" si="72"/>
        <v>0</v>
      </c>
      <c r="BH136" s="165">
        <v>0</v>
      </c>
      <c r="BI136" s="165">
        <f t="shared" si="73"/>
        <v>0</v>
      </c>
      <c r="BJ136" s="165">
        <v>0</v>
      </c>
      <c r="BK136" s="165">
        <f t="shared" si="74"/>
        <v>0</v>
      </c>
      <c r="BL136" s="165">
        <v>0</v>
      </c>
      <c r="BM136" s="165">
        <f t="shared" si="75"/>
        <v>0</v>
      </c>
      <c r="BN136" s="165">
        <v>0</v>
      </c>
    </row>
    <row r="137" spans="1:66" ht="15.6" x14ac:dyDescent="0.3">
      <c r="A137" s="155">
        <v>4</v>
      </c>
      <c r="B137" s="155">
        <v>5</v>
      </c>
      <c r="C137" s="156">
        <v>97934</v>
      </c>
      <c r="D137" s="156"/>
      <c r="E137" s="156"/>
      <c r="F137" s="156">
        <v>13379859000</v>
      </c>
      <c r="G137" s="156"/>
      <c r="H137" s="172"/>
      <c r="I137" s="157">
        <v>9.8209920772410093E-3</v>
      </c>
      <c r="J137" s="157" t="e">
        <v>#DIV/0!</v>
      </c>
      <c r="K137" s="157"/>
      <c r="L137" s="158">
        <v>4.5540394551432595</v>
      </c>
      <c r="M137" s="158"/>
      <c r="N137" s="163"/>
      <c r="O137" s="179"/>
      <c r="P137" s="177" t="str">
        <f t="shared" si="58"/>
        <v>(4, 5]</v>
      </c>
      <c r="Q137" s="160" t="s">
        <v>139</v>
      </c>
      <c r="R137" s="157">
        <f t="shared" si="59"/>
        <v>9.8209920772410093E-3</v>
      </c>
      <c r="S137" s="162">
        <v>0</v>
      </c>
      <c r="T137" s="162">
        <v>0</v>
      </c>
      <c r="U137" s="161">
        <v>0</v>
      </c>
      <c r="V137" s="161">
        <v>0</v>
      </c>
      <c r="W137" s="162">
        <v>0</v>
      </c>
      <c r="X137" s="178">
        <v>0</v>
      </c>
      <c r="Y137" s="161">
        <v>0</v>
      </c>
      <c r="Z137" s="161">
        <v>0</v>
      </c>
      <c r="AA137" s="163">
        <v>0</v>
      </c>
      <c r="AB137" s="163">
        <v>0</v>
      </c>
      <c r="AC137" s="163">
        <v>0</v>
      </c>
      <c r="AD137" s="163">
        <v>0</v>
      </c>
      <c r="AE137" s="163">
        <v>0</v>
      </c>
      <c r="AF137" s="163">
        <v>0</v>
      </c>
      <c r="AG137" s="163">
        <v>0</v>
      </c>
      <c r="AH137" s="163">
        <v>0</v>
      </c>
      <c r="AI137" s="163">
        <v>0</v>
      </c>
      <c r="AJ137" s="163">
        <v>0</v>
      </c>
      <c r="AK137" s="163">
        <v>0</v>
      </c>
      <c r="AL137" s="163">
        <v>0</v>
      </c>
      <c r="AM137" s="163">
        <v>0</v>
      </c>
      <c r="AN137" s="163">
        <v>0</v>
      </c>
      <c r="AO137" s="163">
        <v>0</v>
      </c>
      <c r="AP137" s="163">
        <v>0</v>
      </c>
      <c r="AQ137" s="164">
        <f t="shared" si="60"/>
        <v>0</v>
      </c>
      <c r="AR137" s="164">
        <f t="shared" si="61"/>
        <v>0</v>
      </c>
      <c r="AS137" s="164">
        <f t="shared" si="62"/>
        <v>0</v>
      </c>
      <c r="AT137" s="164">
        <f t="shared" si="63"/>
        <v>0</v>
      </c>
      <c r="AU137" s="164">
        <f t="shared" si="64"/>
        <v>0</v>
      </c>
      <c r="AV137" s="164">
        <f t="shared" si="65"/>
        <v>0</v>
      </c>
      <c r="AW137" s="164">
        <f t="shared" si="66"/>
        <v>0</v>
      </c>
      <c r="AX137" s="164">
        <f t="shared" si="67"/>
        <v>0</v>
      </c>
      <c r="AY137" s="165">
        <f t="shared" si="68"/>
        <v>0</v>
      </c>
      <c r="AZ137" s="165">
        <v>0</v>
      </c>
      <c r="BA137" s="165">
        <f t="shared" si="69"/>
        <v>0</v>
      </c>
      <c r="BB137" s="165">
        <v>0</v>
      </c>
      <c r="BC137" s="165">
        <f t="shared" si="70"/>
        <v>0</v>
      </c>
      <c r="BD137" s="165">
        <v>0</v>
      </c>
      <c r="BE137" s="165">
        <f t="shared" si="71"/>
        <v>0</v>
      </c>
      <c r="BF137" s="165">
        <v>0</v>
      </c>
      <c r="BG137" s="165">
        <f t="shared" si="72"/>
        <v>0</v>
      </c>
      <c r="BH137" s="165">
        <v>0</v>
      </c>
      <c r="BI137" s="165">
        <f t="shared" si="73"/>
        <v>0</v>
      </c>
      <c r="BJ137" s="165">
        <v>0</v>
      </c>
      <c r="BK137" s="165">
        <f t="shared" si="74"/>
        <v>0</v>
      </c>
      <c r="BL137" s="165">
        <v>0</v>
      </c>
      <c r="BM137" s="165">
        <f t="shared" si="75"/>
        <v>0</v>
      </c>
      <c r="BN137" s="165">
        <v>0</v>
      </c>
    </row>
    <row r="138" spans="1:66" ht="15.6" x14ac:dyDescent="0.3">
      <c r="A138" s="155">
        <v>5</v>
      </c>
      <c r="B138" s="155">
        <v>6</v>
      </c>
      <c r="C138" s="156">
        <v>97306</v>
      </c>
      <c r="D138" s="156"/>
      <c r="E138" s="156"/>
      <c r="F138" s="156">
        <v>16213825500</v>
      </c>
      <c r="G138" s="156"/>
      <c r="H138" s="172"/>
      <c r="I138" s="157">
        <v>9.7580151435457917E-3</v>
      </c>
      <c r="J138" s="157" t="e">
        <v>#DIV/0!</v>
      </c>
      <c r="K138" s="157"/>
      <c r="L138" s="158">
        <v>5.554239718003001</v>
      </c>
      <c r="M138" s="158"/>
      <c r="N138" s="163"/>
      <c r="O138" s="179"/>
      <c r="P138" s="177" t="str">
        <f t="shared" si="58"/>
        <v>(5, 6]</v>
      </c>
      <c r="Q138" s="160" t="s">
        <v>139</v>
      </c>
      <c r="R138" s="157">
        <f t="shared" si="59"/>
        <v>9.7580151435457917E-3</v>
      </c>
      <c r="S138" s="162">
        <v>0</v>
      </c>
      <c r="T138" s="162">
        <v>0</v>
      </c>
      <c r="U138" s="161">
        <v>0</v>
      </c>
      <c r="V138" s="161">
        <v>0</v>
      </c>
      <c r="W138" s="162">
        <v>2</v>
      </c>
      <c r="X138" s="178">
        <v>2</v>
      </c>
      <c r="Y138" s="161">
        <v>0</v>
      </c>
      <c r="Z138" s="161">
        <v>0</v>
      </c>
      <c r="AA138" s="163">
        <v>0</v>
      </c>
      <c r="AB138" s="163">
        <v>0</v>
      </c>
      <c r="AC138" s="163">
        <v>0</v>
      </c>
      <c r="AD138" s="163">
        <v>0</v>
      </c>
      <c r="AE138" s="163">
        <v>1.9516030287091583E-2</v>
      </c>
      <c r="AF138" s="163">
        <v>1.9516030287091583E-2</v>
      </c>
      <c r="AG138" s="163">
        <v>0</v>
      </c>
      <c r="AH138" s="163">
        <v>0</v>
      </c>
      <c r="AI138" s="163">
        <v>0</v>
      </c>
      <c r="AJ138" s="163">
        <v>0</v>
      </c>
      <c r="AK138" s="163">
        <v>0</v>
      </c>
      <c r="AL138" s="163">
        <v>0</v>
      </c>
      <c r="AM138" s="163">
        <v>2.0931117198021477E-2</v>
      </c>
      <c r="AN138" s="163">
        <v>1.2970465505321646E-2</v>
      </c>
      <c r="AO138" s="163">
        <v>0</v>
      </c>
      <c r="AP138" s="163">
        <v>0</v>
      </c>
      <c r="AQ138" s="164">
        <f t="shared" si="60"/>
        <v>0</v>
      </c>
      <c r="AR138" s="164">
        <f t="shared" si="61"/>
        <v>0</v>
      </c>
      <c r="AS138" s="164">
        <f t="shared" si="62"/>
        <v>0</v>
      </c>
      <c r="AT138" s="164">
        <f t="shared" si="63"/>
        <v>0</v>
      </c>
      <c r="AU138" s="164">
        <f t="shared" si="64"/>
        <v>20931117</v>
      </c>
      <c r="AV138" s="164">
        <f t="shared" si="65"/>
        <v>12970465</v>
      </c>
      <c r="AW138" s="164">
        <f t="shared" si="66"/>
        <v>0</v>
      </c>
      <c r="AX138" s="164">
        <f t="shared" si="67"/>
        <v>0</v>
      </c>
      <c r="AY138" s="165">
        <f t="shared" si="68"/>
        <v>0</v>
      </c>
      <c r="AZ138" s="165">
        <v>0</v>
      </c>
      <c r="BA138" s="165">
        <f t="shared" si="69"/>
        <v>0</v>
      </c>
      <c r="BB138" s="165">
        <v>0</v>
      </c>
      <c r="BC138" s="165">
        <f t="shared" si="70"/>
        <v>0</v>
      </c>
      <c r="BD138" s="165">
        <v>0</v>
      </c>
      <c r="BE138" s="165">
        <f t="shared" si="71"/>
        <v>0</v>
      </c>
      <c r="BF138" s="165">
        <v>0</v>
      </c>
      <c r="BG138" s="165">
        <f t="shared" si="72"/>
        <v>0</v>
      </c>
      <c r="BH138" s="165">
        <v>0</v>
      </c>
      <c r="BI138" s="165">
        <f t="shared" si="73"/>
        <v>0</v>
      </c>
      <c r="BJ138" s="165">
        <v>0</v>
      </c>
      <c r="BK138" s="165">
        <f t="shared" si="74"/>
        <v>0</v>
      </c>
      <c r="BL138" s="165">
        <v>0</v>
      </c>
      <c r="BM138" s="165">
        <f t="shared" si="75"/>
        <v>0</v>
      </c>
      <c r="BN138" s="165">
        <v>0</v>
      </c>
    </row>
    <row r="139" spans="1:66" ht="15.6" x14ac:dyDescent="0.3">
      <c r="A139" s="155">
        <v>6</v>
      </c>
      <c r="B139" s="155">
        <v>7</v>
      </c>
      <c r="C139" s="156">
        <v>94547</v>
      </c>
      <c r="D139" s="156"/>
      <c r="E139" s="156"/>
      <c r="F139" s="156">
        <v>18570538500</v>
      </c>
      <c r="G139" s="156"/>
      <c r="H139" s="172"/>
      <c r="I139" s="157">
        <v>9.4813378186013597E-3</v>
      </c>
      <c r="J139" s="157" t="e">
        <v>#DIV/0!</v>
      </c>
      <c r="K139" s="157"/>
      <c r="L139" s="158">
        <v>6.5471982188752689</v>
      </c>
      <c r="M139" s="158"/>
      <c r="N139" s="163"/>
      <c r="O139" s="179"/>
      <c r="P139" s="177" t="str">
        <f t="shared" si="58"/>
        <v>(6, 7]</v>
      </c>
      <c r="Q139" s="160" t="s">
        <v>139</v>
      </c>
      <c r="R139" s="157">
        <f t="shared" si="59"/>
        <v>9.4813378186013597E-3</v>
      </c>
      <c r="S139" s="162">
        <v>0</v>
      </c>
      <c r="T139" s="162">
        <v>0</v>
      </c>
      <c r="U139" s="161">
        <v>0</v>
      </c>
      <c r="V139" s="161">
        <v>0</v>
      </c>
      <c r="W139" s="162">
        <v>2</v>
      </c>
      <c r="X139" s="178">
        <v>3</v>
      </c>
      <c r="Y139" s="161">
        <v>0</v>
      </c>
      <c r="Z139" s="161">
        <v>0</v>
      </c>
      <c r="AA139" s="163">
        <v>0</v>
      </c>
      <c r="AB139" s="163">
        <v>0</v>
      </c>
      <c r="AC139" s="163">
        <v>0</v>
      </c>
      <c r="AD139" s="163">
        <v>0</v>
      </c>
      <c r="AE139" s="163">
        <v>1.8962675637202719E-2</v>
      </c>
      <c r="AF139" s="163">
        <v>2.8444013455804079E-2</v>
      </c>
      <c r="AG139" s="163">
        <v>0</v>
      </c>
      <c r="AH139" s="163">
        <v>0</v>
      </c>
      <c r="AI139" s="163">
        <v>0</v>
      </c>
      <c r="AJ139" s="163">
        <v>0</v>
      </c>
      <c r="AK139" s="163">
        <v>0</v>
      </c>
      <c r="AL139" s="163">
        <v>0</v>
      </c>
      <c r="AM139" s="163">
        <v>2.0337639382168995E-2</v>
      </c>
      <c r="AN139" s="163">
        <v>1.8904054253565745E-2</v>
      </c>
      <c r="AO139" s="163">
        <v>0</v>
      </c>
      <c r="AP139" s="163">
        <v>0</v>
      </c>
      <c r="AQ139" s="164">
        <f t="shared" si="60"/>
        <v>0</v>
      </c>
      <c r="AR139" s="164">
        <f t="shared" si="61"/>
        <v>0</v>
      </c>
      <c r="AS139" s="164">
        <f t="shared" si="62"/>
        <v>0</v>
      </c>
      <c r="AT139" s="164">
        <f t="shared" si="63"/>
        <v>0</v>
      </c>
      <c r="AU139" s="164">
        <f t="shared" si="64"/>
        <v>20337639</v>
      </c>
      <c r="AV139" s="164">
        <f t="shared" si="65"/>
        <v>18904054</v>
      </c>
      <c r="AW139" s="164">
        <f t="shared" si="66"/>
        <v>0</v>
      </c>
      <c r="AX139" s="164">
        <f t="shared" si="67"/>
        <v>0</v>
      </c>
      <c r="AY139" s="165">
        <f t="shared" si="68"/>
        <v>0</v>
      </c>
      <c r="AZ139" s="165">
        <v>0</v>
      </c>
      <c r="BA139" s="165">
        <f t="shared" si="69"/>
        <v>0</v>
      </c>
      <c r="BB139" s="165">
        <v>0</v>
      </c>
      <c r="BC139" s="165">
        <f t="shared" si="70"/>
        <v>0</v>
      </c>
      <c r="BD139" s="165">
        <v>0</v>
      </c>
      <c r="BE139" s="165">
        <f t="shared" si="71"/>
        <v>0</v>
      </c>
      <c r="BF139" s="165">
        <v>0</v>
      </c>
      <c r="BG139" s="165">
        <f t="shared" si="72"/>
        <v>0</v>
      </c>
      <c r="BH139" s="165">
        <v>0</v>
      </c>
      <c r="BI139" s="165">
        <f t="shared" si="73"/>
        <v>0</v>
      </c>
      <c r="BJ139" s="165">
        <v>0</v>
      </c>
      <c r="BK139" s="165">
        <f t="shared" si="74"/>
        <v>0</v>
      </c>
      <c r="BL139" s="165">
        <v>0</v>
      </c>
      <c r="BM139" s="165">
        <f t="shared" si="75"/>
        <v>0</v>
      </c>
      <c r="BN139" s="165">
        <v>0</v>
      </c>
    </row>
    <row r="140" spans="1:66" ht="15.6" x14ac:dyDescent="0.3">
      <c r="A140" s="155">
        <v>7</v>
      </c>
      <c r="B140" s="155">
        <v>8</v>
      </c>
      <c r="C140" s="156">
        <v>95215</v>
      </c>
      <c r="D140" s="156"/>
      <c r="E140" s="156"/>
      <c r="F140" s="156">
        <v>21561520500</v>
      </c>
      <c r="G140" s="156"/>
      <c r="H140" s="172"/>
      <c r="I140" s="157">
        <v>9.5483260219586929E-3</v>
      </c>
      <c r="J140" s="157" t="e">
        <v>#DIV/0!</v>
      </c>
      <c r="K140" s="157"/>
      <c r="L140" s="157">
        <v>7.5483626529433385</v>
      </c>
      <c r="M140" s="157"/>
      <c r="N140" s="163"/>
      <c r="O140" s="179"/>
      <c r="P140" s="177" t="str">
        <f t="shared" si="58"/>
        <v>(7, 8]</v>
      </c>
      <c r="Q140" s="160" t="s">
        <v>139</v>
      </c>
      <c r="R140" s="157">
        <f t="shared" si="59"/>
        <v>9.5483260219586929E-3</v>
      </c>
      <c r="S140" s="162">
        <v>0</v>
      </c>
      <c r="T140" s="162">
        <v>0</v>
      </c>
      <c r="U140" s="161">
        <v>0.1</v>
      </c>
      <c r="V140" s="161">
        <v>0.1</v>
      </c>
      <c r="W140" s="162">
        <v>2</v>
      </c>
      <c r="X140" s="178">
        <v>4</v>
      </c>
      <c r="Y140" s="161">
        <v>0.1</v>
      </c>
      <c r="Z140" s="161">
        <v>0.1</v>
      </c>
      <c r="AA140" s="163">
        <v>0</v>
      </c>
      <c r="AB140" s="163">
        <v>0</v>
      </c>
      <c r="AC140" s="163">
        <v>9.5483260219586931E-4</v>
      </c>
      <c r="AD140" s="163">
        <v>9.5483260219586931E-4</v>
      </c>
      <c r="AE140" s="163">
        <v>1.9096652043917386E-2</v>
      </c>
      <c r="AF140" s="163">
        <v>3.8193304087834772E-2</v>
      </c>
      <c r="AG140" s="163">
        <v>9.5483260219586931E-4</v>
      </c>
      <c r="AH140" s="163">
        <v>9.5483260219586931E-4</v>
      </c>
      <c r="AI140" s="163">
        <v>0</v>
      </c>
      <c r="AJ140" s="163">
        <v>0</v>
      </c>
      <c r="AK140" s="163">
        <v>1.1691055908863771E-3</v>
      </c>
      <c r="AL140" s="163">
        <v>1.1691055908863771E-3</v>
      </c>
      <c r="AM140" s="163">
        <v>2.0481330277779531E-2</v>
      </c>
      <c r="AN140" s="163">
        <v>2.5383488645904683E-2</v>
      </c>
      <c r="AO140" s="163">
        <v>1.1691055908863771E-3</v>
      </c>
      <c r="AP140" s="163">
        <v>1.1691055908863771E-3</v>
      </c>
      <c r="AQ140" s="164">
        <f t="shared" si="60"/>
        <v>0</v>
      </c>
      <c r="AR140" s="164">
        <f t="shared" si="61"/>
        <v>0</v>
      </c>
      <c r="AS140" s="164">
        <f t="shared" si="62"/>
        <v>1169105</v>
      </c>
      <c r="AT140" s="164">
        <f t="shared" si="63"/>
        <v>1169105</v>
      </c>
      <c r="AU140" s="164">
        <f t="shared" si="64"/>
        <v>20481330</v>
      </c>
      <c r="AV140" s="164">
        <f t="shared" si="65"/>
        <v>25383488</v>
      </c>
      <c r="AW140" s="164">
        <f t="shared" si="66"/>
        <v>1169105</v>
      </c>
      <c r="AX140" s="164">
        <f t="shared" si="67"/>
        <v>1169105</v>
      </c>
      <c r="AY140" s="165">
        <f t="shared" si="68"/>
        <v>0</v>
      </c>
      <c r="AZ140" s="165">
        <v>0</v>
      </c>
      <c r="BA140" s="165">
        <f t="shared" si="69"/>
        <v>0</v>
      </c>
      <c r="BB140" s="165">
        <v>0</v>
      </c>
      <c r="BC140" s="165">
        <f t="shared" si="70"/>
        <v>8.8248285193693217E-3</v>
      </c>
      <c r="BD140" s="165">
        <v>1.1691050151983653E-3</v>
      </c>
      <c r="BE140" s="165">
        <f t="shared" si="71"/>
        <v>8.8248285193693217E-3</v>
      </c>
      <c r="BF140" s="165">
        <v>1.1691050151983653E-3</v>
      </c>
      <c r="BG140" s="165">
        <f t="shared" si="72"/>
        <v>0</v>
      </c>
      <c r="BH140" s="165">
        <v>0</v>
      </c>
      <c r="BI140" s="165">
        <f t="shared" si="73"/>
        <v>0</v>
      </c>
      <c r="BJ140" s="165">
        <v>0</v>
      </c>
      <c r="BK140" s="165">
        <f t="shared" si="74"/>
        <v>8.8248285193693217E-3</v>
      </c>
      <c r="BL140" s="165">
        <v>1.1691050151983653E-3</v>
      </c>
      <c r="BM140" s="165">
        <f t="shared" si="75"/>
        <v>8.8248285193693217E-3</v>
      </c>
      <c r="BN140" s="165">
        <v>1.1691050151983653E-3</v>
      </c>
    </row>
    <row r="141" spans="1:66" ht="15.6" x14ac:dyDescent="0.3">
      <c r="A141" s="155">
        <v>8</v>
      </c>
      <c r="B141" s="155">
        <v>9</v>
      </c>
      <c r="C141" s="156">
        <v>92673</v>
      </c>
      <c r="D141" s="156"/>
      <c r="E141" s="156"/>
      <c r="F141" s="156">
        <v>23771272500</v>
      </c>
      <c r="G141" s="156"/>
      <c r="H141" s="172"/>
      <c r="I141" s="157">
        <v>9.2934098349312395E-3</v>
      </c>
      <c r="J141" s="157" t="e">
        <v>#DIV/0!</v>
      </c>
      <c r="K141" s="157"/>
      <c r="L141" s="157">
        <v>8.5502330775954167</v>
      </c>
      <c r="M141" s="157"/>
      <c r="N141" s="163"/>
      <c r="O141" s="179"/>
      <c r="P141" s="177" t="str">
        <f t="shared" si="58"/>
        <v>(8, 9]</v>
      </c>
      <c r="Q141" s="160" t="s">
        <v>139</v>
      </c>
      <c r="R141" s="157">
        <f t="shared" si="59"/>
        <v>9.2934098349312395E-3</v>
      </c>
      <c r="S141" s="162">
        <v>0</v>
      </c>
      <c r="T141" s="162">
        <v>0</v>
      </c>
      <c r="U141" s="161">
        <v>0.2</v>
      </c>
      <c r="V141" s="161">
        <v>0.2</v>
      </c>
      <c r="W141" s="162">
        <v>2</v>
      </c>
      <c r="X141" s="178">
        <v>5</v>
      </c>
      <c r="Y141" s="161">
        <v>0.2</v>
      </c>
      <c r="Z141" s="161">
        <v>0.2</v>
      </c>
      <c r="AA141" s="163">
        <v>0</v>
      </c>
      <c r="AB141" s="163">
        <v>0</v>
      </c>
      <c r="AC141" s="163">
        <v>1.8586819669862481E-3</v>
      </c>
      <c r="AD141" s="163">
        <v>1.8586819669862481E-3</v>
      </c>
      <c r="AE141" s="163">
        <v>1.8586819669862479E-2</v>
      </c>
      <c r="AF141" s="163">
        <v>4.6467049174656196E-2</v>
      </c>
      <c r="AG141" s="163">
        <v>1.8586819669862481E-3</v>
      </c>
      <c r="AH141" s="163">
        <v>1.8586819669862481E-3</v>
      </c>
      <c r="AI141" s="163">
        <v>0</v>
      </c>
      <c r="AJ141" s="163">
        <v>0</v>
      </c>
      <c r="AK141" s="163">
        <v>2.2757868492194137E-3</v>
      </c>
      <c r="AL141" s="163">
        <v>2.2757868492194137E-3</v>
      </c>
      <c r="AM141" s="163">
        <v>1.9934530492387359E-2</v>
      </c>
      <c r="AN141" s="163">
        <v>3.0882267017827082E-2</v>
      </c>
      <c r="AO141" s="163">
        <v>2.2757868492194137E-3</v>
      </c>
      <c r="AP141" s="163">
        <v>2.2757868492194137E-3</v>
      </c>
      <c r="AQ141" s="164">
        <f t="shared" si="60"/>
        <v>0</v>
      </c>
      <c r="AR141" s="164">
        <f t="shared" si="61"/>
        <v>0</v>
      </c>
      <c r="AS141" s="164">
        <f t="shared" si="62"/>
        <v>2275786</v>
      </c>
      <c r="AT141" s="164">
        <f t="shared" si="63"/>
        <v>2275786</v>
      </c>
      <c r="AU141" s="164">
        <f t="shared" si="64"/>
        <v>19934530</v>
      </c>
      <c r="AV141" s="164">
        <f t="shared" si="65"/>
        <v>30882267</v>
      </c>
      <c r="AW141" s="164">
        <f t="shared" si="66"/>
        <v>2275786</v>
      </c>
      <c r="AX141" s="164">
        <f t="shared" si="67"/>
        <v>2275786</v>
      </c>
      <c r="AY141" s="165">
        <f t="shared" si="68"/>
        <v>0</v>
      </c>
      <c r="AZ141" s="165">
        <v>0</v>
      </c>
      <c r="BA141" s="165">
        <f t="shared" si="69"/>
        <v>0</v>
      </c>
      <c r="BB141" s="165">
        <v>0</v>
      </c>
      <c r="BC141" s="165">
        <f t="shared" si="70"/>
        <v>1.9458500734728563E-2</v>
      </c>
      <c r="BD141" s="165">
        <v>2.2757860295852185E-3</v>
      </c>
      <c r="BE141" s="165">
        <f t="shared" si="71"/>
        <v>1.9458500734728563E-2</v>
      </c>
      <c r="BF141" s="165">
        <v>2.2757860295852185E-3</v>
      </c>
      <c r="BG141" s="165">
        <f t="shared" si="72"/>
        <v>0</v>
      </c>
      <c r="BH141" s="165">
        <v>0</v>
      </c>
      <c r="BI141" s="165">
        <f t="shared" si="73"/>
        <v>0</v>
      </c>
      <c r="BJ141" s="165">
        <v>0</v>
      </c>
      <c r="BK141" s="165">
        <f t="shared" si="74"/>
        <v>1.9458500734728563E-2</v>
      </c>
      <c r="BL141" s="165">
        <v>2.2757860295852185E-3</v>
      </c>
      <c r="BM141" s="165">
        <f t="shared" si="75"/>
        <v>1.9458500734728563E-2</v>
      </c>
      <c r="BN141" s="165">
        <v>2.2757860295852185E-3</v>
      </c>
    </row>
    <row r="142" spans="1:66" ht="15.6" x14ac:dyDescent="0.3">
      <c r="A142" s="155">
        <v>9</v>
      </c>
      <c r="B142" s="155">
        <v>10</v>
      </c>
      <c r="C142" s="156">
        <v>92246</v>
      </c>
      <c r="D142" s="156"/>
      <c r="E142" s="156"/>
      <c r="F142" s="156">
        <v>26434014000</v>
      </c>
      <c r="G142" s="156"/>
      <c r="H142" s="172"/>
      <c r="I142" s="157">
        <v>9.2505895312881541E-3</v>
      </c>
      <c r="J142" s="157" t="e">
        <v>#DIV/0!</v>
      </c>
      <c r="K142" s="157"/>
      <c r="L142" s="157">
        <v>9.5520000867246289</v>
      </c>
      <c r="M142" s="157"/>
      <c r="N142" s="163"/>
      <c r="O142" s="179"/>
      <c r="P142" s="177" t="str">
        <f t="shared" si="58"/>
        <v>(9, 10]</v>
      </c>
      <c r="Q142" s="160" t="s">
        <v>139</v>
      </c>
      <c r="R142" s="157">
        <f t="shared" si="59"/>
        <v>9.2505895312881541E-3</v>
      </c>
      <c r="S142" s="162">
        <v>0</v>
      </c>
      <c r="T142" s="162">
        <v>0</v>
      </c>
      <c r="U142" s="161">
        <v>0.3</v>
      </c>
      <c r="V142" s="161">
        <v>0.3</v>
      </c>
      <c r="W142" s="162">
        <v>2.1523837470633413</v>
      </c>
      <c r="X142" s="178">
        <v>6</v>
      </c>
      <c r="Y142" s="161">
        <v>0.3</v>
      </c>
      <c r="Z142" s="161">
        <v>0.3</v>
      </c>
      <c r="AA142" s="163">
        <v>0</v>
      </c>
      <c r="AB142" s="163">
        <v>0</v>
      </c>
      <c r="AC142" s="163">
        <v>2.775176859386446E-3</v>
      </c>
      <c r="AD142" s="163">
        <v>2.775176859386446E-3</v>
      </c>
      <c r="AE142" s="163">
        <v>1.9910818557898915E-2</v>
      </c>
      <c r="AF142" s="163">
        <v>5.5503537187728921E-2</v>
      </c>
      <c r="AG142" s="163">
        <v>2.775176859386446E-3</v>
      </c>
      <c r="AH142" s="163">
        <v>2.775176859386446E-3</v>
      </c>
      <c r="AI142" s="163">
        <v>0</v>
      </c>
      <c r="AJ142" s="163">
        <v>0</v>
      </c>
      <c r="AK142" s="163">
        <v>3.3979514048281703E-3</v>
      </c>
      <c r="AL142" s="163">
        <v>3.3979514048281703E-3</v>
      </c>
      <c r="AM142" s="163">
        <v>2.1354531152760935E-2</v>
      </c>
      <c r="AN142" s="163">
        <v>3.6887968707085911E-2</v>
      </c>
      <c r="AO142" s="163">
        <v>3.3979514048281703E-3</v>
      </c>
      <c r="AP142" s="163">
        <v>3.3979514048281703E-3</v>
      </c>
      <c r="AQ142" s="164">
        <f t="shared" si="60"/>
        <v>0</v>
      </c>
      <c r="AR142" s="164">
        <f t="shared" si="61"/>
        <v>0</v>
      </c>
      <c r="AS142" s="164">
        <f t="shared" si="62"/>
        <v>3397951</v>
      </c>
      <c r="AT142" s="164">
        <f t="shared" si="63"/>
        <v>3397951</v>
      </c>
      <c r="AU142" s="164">
        <f t="shared" si="64"/>
        <v>21354531</v>
      </c>
      <c r="AV142" s="164">
        <f t="shared" si="65"/>
        <v>36887968</v>
      </c>
      <c r="AW142" s="164">
        <f t="shared" si="66"/>
        <v>3397951</v>
      </c>
      <c r="AX142" s="164">
        <f t="shared" si="67"/>
        <v>3397951</v>
      </c>
      <c r="AY142" s="165">
        <f t="shared" si="68"/>
        <v>0</v>
      </c>
      <c r="AZ142" s="165">
        <v>0</v>
      </c>
      <c r="BA142" s="165">
        <f t="shared" si="69"/>
        <v>0</v>
      </c>
      <c r="BB142" s="165">
        <v>0</v>
      </c>
      <c r="BC142" s="165">
        <f t="shared" si="70"/>
        <v>3.2457228246686037E-2</v>
      </c>
      <c r="BD142" s="165">
        <v>3.3979510441733635E-3</v>
      </c>
      <c r="BE142" s="165">
        <f t="shared" si="71"/>
        <v>3.2457228246686037E-2</v>
      </c>
      <c r="BF142" s="165">
        <v>3.3979510441733635E-3</v>
      </c>
      <c r="BG142" s="165">
        <f t="shared" si="72"/>
        <v>0</v>
      </c>
      <c r="BH142" s="165">
        <v>0</v>
      </c>
      <c r="BI142" s="165">
        <f t="shared" si="73"/>
        <v>0</v>
      </c>
      <c r="BJ142" s="165">
        <v>0</v>
      </c>
      <c r="BK142" s="165">
        <f t="shared" si="74"/>
        <v>3.2457228246686037E-2</v>
      </c>
      <c r="BL142" s="165">
        <v>3.3979510441733635E-3</v>
      </c>
      <c r="BM142" s="165">
        <f t="shared" si="75"/>
        <v>3.2457228246686037E-2</v>
      </c>
      <c r="BN142" s="165">
        <v>3.3979510441733635E-3</v>
      </c>
    </row>
    <row r="143" spans="1:66" ht="15.6" x14ac:dyDescent="0.3">
      <c r="A143" s="155">
        <v>10</v>
      </c>
      <c r="B143" s="155">
        <v>15</v>
      </c>
      <c r="C143" s="156">
        <v>434167</v>
      </c>
      <c r="D143" s="156"/>
      <c r="E143" s="156"/>
      <c r="F143" s="156">
        <v>162988855500</v>
      </c>
      <c r="G143" s="156"/>
      <c r="H143" s="172"/>
      <c r="I143" s="157">
        <v>4.3539022884794831E-2</v>
      </c>
      <c r="J143" s="157" t="e">
        <v>#DIV/0!</v>
      </c>
      <c r="K143" s="157"/>
      <c r="L143" s="157">
        <v>12.513530162356881</v>
      </c>
      <c r="M143" s="157"/>
      <c r="N143" s="163"/>
      <c r="O143" s="179"/>
      <c r="P143" s="177" t="str">
        <f t="shared" si="58"/>
        <v>(10, 15]</v>
      </c>
      <c r="Q143" s="160" t="s">
        <v>139</v>
      </c>
      <c r="R143" s="157">
        <f t="shared" si="59"/>
        <v>4.3539022884794831E-2</v>
      </c>
      <c r="S143" s="162">
        <v>0</v>
      </c>
      <c r="T143" s="162">
        <v>0</v>
      </c>
      <c r="U143" s="161">
        <v>0.2</v>
      </c>
      <c r="V143" s="161">
        <v>0.2</v>
      </c>
      <c r="W143" s="162">
        <v>1.925</v>
      </c>
      <c r="X143" s="178">
        <v>3</v>
      </c>
      <c r="Y143" s="161">
        <v>0.2</v>
      </c>
      <c r="Z143" s="161">
        <v>0.2</v>
      </c>
      <c r="AA143" s="163">
        <v>0</v>
      </c>
      <c r="AB143" s="163">
        <v>0</v>
      </c>
      <c r="AC143" s="163">
        <v>8.7078045769589663E-3</v>
      </c>
      <c r="AD143" s="163">
        <v>8.7078045769589663E-3</v>
      </c>
      <c r="AE143" s="163">
        <v>8.381261905323005E-2</v>
      </c>
      <c r="AF143" s="163">
        <v>0.13061706865438449</v>
      </c>
      <c r="AG143" s="163">
        <v>8.7078045769589663E-3</v>
      </c>
      <c r="AH143" s="163">
        <v>8.7078045769589663E-3</v>
      </c>
      <c r="AI143" s="163">
        <v>0</v>
      </c>
      <c r="AJ143" s="163">
        <v>0</v>
      </c>
      <c r="AK143" s="163">
        <v>1.0661913922771953E-2</v>
      </c>
      <c r="AL143" s="163">
        <v>1.0661913922771953E-2</v>
      </c>
      <c r="AM143" s="163">
        <v>8.9889784257847799E-2</v>
      </c>
      <c r="AN143" s="163">
        <v>8.6808851926638383E-2</v>
      </c>
      <c r="AO143" s="163">
        <v>1.0661913922771953E-2</v>
      </c>
      <c r="AP143" s="163">
        <v>1.0661913922771953E-2</v>
      </c>
      <c r="AQ143" s="164">
        <f t="shared" si="60"/>
        <v>0</v>
      </c>
      <c r="AR143" s="164">
        <f t="shared" si="61"/>
        <v>0</v>
      </c>
      <c r="AS143" s="164">
        <f t="shared" si="62"/>
        <v>10661913</v>
      </c>
      <c r="AT143" s="164">
        <f t="shared" si="63"/>
        <v>10661913</v>
      </c>
      <c r="AU143" s="164">
        <f t="shared" si="64"/>
        <v>89889784</v>
      </c>
      <c r="AV143" s="164">
        <f t="shared" si="65"/>
        <v>86808851</v>
      </c>
      <c r="AW143" s="164">
        <f t="shared" si="66"/>
        <v>10661913</v>
      </c>
      <c r="AX143" s="164">
        <f t="shared" si="67"/>
        <v>10661913</v>
      </c>
      <c r="AY143" s="165">
        <f t="shared" si="68"/>
        <v>0</v>
      </c>
      <c r="AZ143" s="165">
        <v>0</v>
      </c>
      <c r="BA143" s="165">
        <f t="shared" si="69"/>
        <v>0</v>
      </c>
      <c r="BB143" s="165">
        <v>0</v>
      </c>
      <c r="BC143" s="165">
        <f t="shared" si="70"/>
        <v>0.13341816991392494</v>
      </c>
      <c r="BD143" s="165">
        <v>1.0661913138604871E-2</v>
      </c>
      <c r="BE143" s="165">
        <f t="shared" si="71"/>
        <v>0.13341816991392494</v>
      </c>
      <c r="BF143" s="165">
        <v>1.0661913138604871E-2</v>
      </c>
      <c r="BG143" s="165">
        <f t="shared" si="72"/>
        <v>0</v>
      </c>
      <c r="BH143" s="165">
        <v>0</v>
      </c>
      <c r="BI143" s="165">
        <f t="shared" si="73"/>
        <v>0</v>
      </c>
      <c r="BJ143" s="165">
        <v>0</v>
      </c>
      <c r="BK143" s="165">
        <f t="shared" si="74"/>
        <v>0.13341816991392494</v>
      </c>
      <c r="BL143" s="165">
        <v>1.0661913138604871E-2</v>
      </c>
      <c r="BM143" s="165">
        <f t="shared" si="75"/>
        <v>0.13341816991392494</v>
      </c>
      <c r="BN143" s="165">
        <v>1.0661913138604871E-2</v>
      </c>
    </row>
    <row r="144" spans="1:66" ht="15.6" x14ac:dyDescent="0.3">
      <c r="A144" s="155">
        <v>15</v>
      </c>
      <c r="B144" s="155">
        <v>20</v>
      </c>
      <c r="C144" s="156">
        <v>400499</v>
      </c>
      <c r="D144" s="156"/>
      <c r="E144" s="156"/>
      <c r="F144" s="156">
        <v>210445183500</v>
      </c>
      <c r="G144" s="156"/>
      <c r="H144" s="172"/>
      <c r="I144" s="157">
        <v>4.0162737210192034E-2</v>
      </c>
      <c r="J144" s="157" t="e">
        <v>#DIV/0!</v>
      </c>
      <c r="K144" s="157"/>
      <c r="L144" s="157">
        <v>17.515248352680032</v>
      </c>
      <c r="M144" s="157"/>
      <c r="N144" s="163"/>
      <c r="O144" s="179"/>
      <c r="P144" s="177" t="str">
        <f t="shared" si="58"/>
        <v>(15, 20]</v>
      </c>
      <c r="Q144" s="160" t="s">
        <v>139</v>
      </c>
      <c r="R144" s="157">
        <f t="shared" si="59"/>
        <v>4.0162737210192034E-2</v>
      </c>
      <c r="S144" s="162">
        <v>2.5</v>
      </c>
      <c r="T144" s="162">
        <v>0.1</v>
      </c>
      <c r="U144" s="161">
        <v>0.4</v>
      </c>
      <c r="V144" s="161">
        <v>0.4</v>
      </c>
      <c r="W144" s="162">
        <v>1.3201189753926277</v>
      </c>
      <c r="X144" s="178">
        <v>4</v>
      </c>
      <c r="Y144" s="161">
        <v>0.4</v>
      </c>
      <c r="Z144" s="161">
        <v>0.4</v>
      </c>
      <c r="AA144" s="163">
        <v>0.10040684302548009</v>
      </c>
      <c r="AB144" s="163">
        <v>4.0162737210192034E-3</v>
      </c>
      <c r="AC144" s="163">
        <v>1.6065094884076814E-2</v>
      </c>
      <c r="AD144" s="163">
        <v>1.6065094884076814E-2</v>
      </c>
      <c r="AE144" s="163">
        <v>5.3019591494882071E-2</v>
      </c>
      <c r="AF144" s="163">
        <v>0.16065094884076814</v>
      </c>
      <c r="AG144" s="163">
        <v>1.6065094884076814E-2</v>
      </c>
      <c r="AH144" s="163">
        <v>1.6065094884076814E-2</v>
      </c>
      <c r="AI144" s="163">
        <v>9.4651942813673701E-2</v>
      </c>
      <c r="AJ144" s="163">
        <v>1.0441138112904768E-2</v>
      </c>
      <c r="AK144" s="163">
        <v>1.9670246076538493E-2</v>
      </c>
      <c r="AL144" s="163">
        <v>1.9670246076538493E-2</v>
      </c>
      <c r="AM144" s="163">
        <v>5.6863986530325449E-2</v>
      </c>
      <c r="AN144" s="163">
        <v>0.10676954071518331</v>
      </c>
      <c r="AO144" s="163">
        <v>1.9670246076538493E-2</v>
      </c>
      <c r="AP144" s="163">
        <v>1.9670246076538493E-2</v>
      </c>
      <c r="AQ144" s="164">
        <f t="shared" si="60"/>
        <v>94651942</v>
      </c>
      <c r="AR144" s="164">
        <f t="shared" si="61"/>
        <v>10441138</v>
      </c>
      <c r="AS144" s="164">
        <f t="shared" si="62"/>
        <v>19670246</v>
      </c>
      <c r="AT144" s="164">
        <f t="shared" si="63"/>
        <v>19670246</v>
      </c>
      <c r="AU144" s="164">
        <f t="shared" si="64"/>
        <v>56863986</v>
      </c>
      <c r="AV144" s="164">
        <f t="shared" si="65"/>
        <v>106769540</v>
      </c>
      <c r="AW144" s="164">
        <f t="shared" si="66"/>
        <v>19670246</v>
      </c>
      <c r="AX144" s="164">
        <f t="shared" si="67"/>
        <v>19670246</v>
      </c>
      <c r="AY144" s="165">
        <f t="shared" si="68"/>
        <v>1.657852271193466</v>
      </c>
      <c r="AZ144" s="165">
        <v>9.4651943893038881E-2</v>
      </c>
      <c r="BA144" s="165">
        <f t="shared" si="69"/>
        <v>0.18287912515460489</v>
      </c>
      <c r="BB144" s="165">
        <v>1.0441138208822764E-2</v>
      </c>
      <c r="BC144" s="165">
        <f t="shared" si="70"/>
        <v>0.34452924384831102</v>
      </c>
      <c r="BD144" s="165">
        <v>1.9670246255713203E-2</v>
      </c>
      <c r="BE144" s="165">
        <f t="shared" si="71"/>
        <v>0.34452924384831102</v>
      </c>
      <c r="BF144" s="165">
        <v>1.9670246255713203E-2</v>
      </c>
      <c r="BG144" s="165">
        <f t="shared" si="72"/>
        <v>1.657852271193466</v>
      </c>
      <c r="BH144" s="165">
        <v>9.4651943893038881E-2</v>
      </c>
      <c r="BI144" s="165">
        <f t="shared" si="73"/>
        <v>0.18287912515460489</v>
      </c>
      <c r="BJ144" s="165">
        <v>1.0441138208822764E-2</v>
      </c>
      <c r="BK144" s="165">
        <f t="shared" si="74"/>
        <v>0.34452924384831102</v>
      </c>
      <c r="BL144" s="165">
        <v>1.9670246255713203E-2</v>
      </c>
      <c r="BM144" s="165">
        <f t="shared" si="75"/>
        <v>0.34452924384831102</v>
      </c>
      <c r="BN144" s="165">
        <v>1.9670246255713203E-2</v>
      </c>
    </row>
    <row r="145" spans="1:66" ht="15.6" x14ac:dyDescent="0.3">
      <c r="A145" s="155">
        <v>20</v>
      </c>
      <c r="B145" s="155">
        <v>25</v>
      </c>
      <c r="C145" s="156">
        <v>368687</v>
      </c>
      <c r="D145" s="156"/>
      <c r="E145" s="156"/>
      <c r="F145" s="156">
        <v>249069297000</v>
      </c>
      <c r="G145" s="156"/>
      <c r="H145" s="172"/>
      <c r="I145" s="157">
        <v>3.697257444791141E-2</v>
      </c>
      <c r="J145" s="157" t="e">
        <v>#DIV/0!</v>
      </c>
      <c r="K145" s="157"/>
      <c r="L145" s="157">
        <v>22.518585955024182</v>
      </c>
      <c r="M145" s="157"/>
      <c r="N145" s="163"/>
      <c r="O145" s="179"/>
      <c r="P145" s="177" t="str">
        <f t="shared" si="58"/>
        <v>(20, 25]</v>
      </c>
      <c r="Q145" s="160" t="s">
        <v>139</v>
      </c>
      <c r="R145" s="157">
        <f t="shared" si="59"/>
        <v>3.697257444791141E-2</v>
      </c>
      <c r="S145" s="162">
        <v>2.5</v>
      </c>
      <c r="T145" s="162">
        <v>0.15</v>
      </c>
      <c r="U145" s="161">
        <v>0.8</v>
      </c>
      <c r="V145" s="161">
        <v>0.8</v>
      </c>
      <c r="W145" s="162">
        <v>1.2372037902150517</v>
      </c>
      <c r="X145" s="178">
        <v>3.5</v>
      </c>
      <c r="Y145" s="161">
        <v>0.8</v>
      </c>
      <c r="Z145" s="161">
        <v>0.8</v>
      </c>
      <c r="AA145" s="163">
        <v>9.2431436119778526E-2</v>
      </c>
      <c r="AB145" s="163">
        <v>5.5458861671867114E-3</v>
      </c>
      <c r="AC145" s="163">
        <v>2.957805955832913E-2</v>
      </c>
      <c r="AD145" s="163">
        <v>2.957805955832913E-2</v>
      </c>
      <c r="AE145" s="163">
        <v>4.5742609240964169E-2</v>
      </c>
      <c r="AF145" s="163">
        <v>0.12940401056768994</v>
      </c>
      <c r="AG145" s="163">
        <v>2.957805955832913E-2</v>
      </c>
      <c r="AH145" s="163">
        <v>2.957805955832913E-2</v>
      </c>
      <c r="AI145" s="163">
        <v>8.7133652868408962E-2</v>
      </c>
      <c r="AJ145" s="163">
        <v>1.441768351768364E-2</v>
      </c>
      <c r="AK145" s="163">
        <v>3.6215641063876557E-2</v>
      </c>
      <c r="AL145" s="163">
        <v>3.6215641063876557E-2</v>
      </c>
      <c r="AM145" s="163">
        <v>4.9059357916614831E-2</v>
      </c>
      <c r="AN145" s="163">
        <v>8.6002646574526886E-2</v>
      </c>
      <c r="AO145" s="163">
        <v>3.6215641063876557E-2</v>
      </c>
      <c r="AP145" s="163">
        <v>3.6215641063876557E-2</v>
      </c>
      <c r="AQ145" s="164">
        <f t="shared" si="60"/>
        <v>87133652</v>
      </c>
      <c r="AR145" s="164">
        <f t="shared" si="61"/>
        <v>14417683</v>
      </c>
      <c r="AS145" s="164">
        <f t="shared" si="62"/>
        <v>36215641</v>
      </c>
      <c r="AT145" s="164">
        <f t="shared" si="63"/>
        <v>36215641</v>
      </c>
      <c r="AU145" s="164">
        <f t="shared" si="64"/>
        <v>49059357</v>
      </c>
      <c r="AV145" s="164">
        <f t="shared" si="65"/>
        <v>86002646</v>
      </c>
      <c r="AW145" s="164">
        <f t="shared" si="66"/>
        <v>36215641</v>
      </c>
      <c r="AX145" s="164">
        <f t="shared" si="67"/>
        <v>36215641</v>
      </c>
      <c r="AY145" s="165">
        <f t="shared" si="68"/>
        <v>1.9621266321371649</v>
      </c>
      <c r="AZ145" s="165">
        <v>8.7133653742673081E-2</v>
      </c>
      <c r="BA145" s="165">
        <f t="shared" si="69"/>
        <v>0.32466583390779091</v>
      </c>
      <c r="BB145" s="165">
        <v>1.4417683288353666E-2</v>
      </c>
      <c r="BC145" s="165">
        <f t="shared" si="70"/>
        <v>0.81552502477479794</v>
      </c>
      <c r="BD145" s="165">
        <v>3.6215641470803341E-2</v>
      </c>
      <c r="BE145" s="165">
        <f t="shared" si="71"/>
        <v>0.81552502477479794</v>
      </c>
      <c r="BF145" s="165">
        <v>3.6215641470803341E-2</v>
      </c>
      <c r="BG145" s="165">
        <f t="shared" si="72"/>
        <v>1.9621266321371649</v>
      </c>
      <c r="BH145" s="165">
        <v>8.7133653742673081E-2</v>
      </c>
      <c r="BI145" s="165">
        <f t="shared" si="73"/>
        <v>0.32466583390779091</v>
      </c>
      <c r="BJ145" s="165">
        <v>1.4417683288353666E-2</v>
      </c>
      <c r="BK145" s="165">
        <f t="shared" si="74"/>
        <v>0.81552502477479794</v>
      </c>
      <c r="BL145" s="165">
        <v>3.6215641470803341E-2</v>
      </c>
      <c r="BM145" s="165">
        <f t="shared" si="75"/>
        <v>0.81552502477479794</v>
      </c>
      <c r="BN145" s="165">
        <v>3.6215641470803341E-2</v>
      </c>
    </row>
    <row r="146" spans="1:66" ht="15.6" x14ac:dyDescent="0.3">
      <c r="A146" s="155">
        <v>25</v>
      </c>
      <c r="B146" s="155">
        <v>30</v>
      </c>
      <c r="C146" s="156">
        <v>341424</v>
      </c>
      <c r="D146" s="156"/>
      <c r="E146" s="156"/>
      <c r="F146" s="156">
        <v>281857321500</v>
      </c>
      <c r="G146" s="156"/>
      <c r="H146" s="172"/>
      <c r="I146" s="157">
        <v>3.423859332795489E-2</v>
      </c>
      <c r="J146" s="157" t="e">
        <v>#DIV/0!</v>
      </c>
      <c r="K146" s="157"/>
      <c r="L146" s="157">
        <v>27.517819631894653</v>
      </c>
      <c r="M146" s="157"/>
      <c r="N146" s="163"/>
      <c r="O146" s="179"/>
      <c r="P146" s="177" t="str">
        <f t="shared" si="58"/>
        <v>(25, 30]</v>
      </c>
      <c r="Q146" s="160" t="s">
        <v>139</v>
      </c>
      <c r="R146" s="157">
        <f t="shared" si="59"/>
        <v>3.423859332795489E-2</v>
      </c>
      <c r="S146" s="162">
        <v>2.5</v>
      </c>
      <c r="T146" s="162">
        <v>0.3</v>
      </c>
      <c r="U146" s="161">
        <v>0.8</v>
      </c>
      <c r="V146" s="161">
        <v>0.8</v>
      </c>
      <c r="W146" s="162">
        <v>0.92559837646753751</v>
      </c>
      <c r="X146" s="178">
        <v>3.5</v>
      </c>
      <c r="Y146" s="161">
        <v>0.8</v>
      </c>
      <c r="Z146" s="161">
        <v>0.8</v>
      </c>
      <c r="AA146" s="163">
        <v>8.5596483319887229E-2</v>
      </c>
      <c r="AB146" s="163">
        <v>1.0271577998386466E-2</v>
      </c>
      <c r="AC146" s="163">
        <v>2.7390874662363913E-2</v>
      </c>
      <c r="AD146" s="163">
        <v>2.7390874662363913E-2</v>
      </c>
      <c r="AE146" s="163">
        <v>3.1691186396887311E-2</v>
      </c>
      <c r="AF146" s="163">
        <v>0.11983507664784211</v>
      </c>
      <c r="AG146" s="163">
        <v>2.7390874662363913E-2</v>
      </c>
      <c r="AH146" s="163">
        <v>2.7390874662363913E-2</v>
      </c>
      <c r="AI146" s="163">
        <v>8.0690450970453687E-2</v>
      </c>
      <c r="AJ146" s="163">
        <v>2.670310142392663E-2</v>
      </c>
      <c r="AK146" s="163">
        <v>3.3537632285903729E-2</v>
      </c>
      <c r="AL146" s="163">
        <v>3.3537632285903729E-2</v>
      </c>
      <c r="AM146" s="163">
        <v>3.3989081122524058E-2</v>
      </c>
      <c r="AN146" s="163">
        <v>7.9643078286083496E-2</v>
      </c>
      <c r="AO146" s="163">
        <v>3.3537632285903729E-2</v>
      </c>
      <c r="AP146" s="163">
        <v>3.3537632285903729E-2</v>
      </c>
      <c r="AQ146" s="164">
        <f t="shared" si="60"/>
        <v>80690450</v>
      </c>
      <c r="AR146" s="164">
        <f t="shared" si="61"/>
        <v>26703101</v>
      </c>
      <c r="AS146" s="164">
        <f t="shared" si="62"/>
        <v>33537632</v>
      </c>
      <c r="AT146" s="164">
        <f t="shared" si="63"/>
        <v>33537632</v>
      </c>
      <c r="AU146" s="164">
        <f t="shared" si="64"/>
        <v>33989081</v>
      </c>
      <c r="AV146" s="164">
        <f t="shared" si="65"/>
        <v>79643078</v>
      </c>
      <c r="AW146" s="164">
        <f t="shared" si="66"/>
        <v>33537632</v>
      </c>
      <c r="AX146" s="164">
        <f t="shared" si="67"/>
        <v>33537632</v>
      </c>
      <c r="AY146" s="165">
        <f t="shared" si="68"/>
        <v>2.2204252491164143</v>
      </c>
      <c r="AZ146" s="165">
        <v>8.0690451613809028E-2</v>
      </c>
      <c r="BA146" s="165">
        <f t="shared" si="69"/>
        <v>0.7348111169302658</v>
      </c>
      <c r="BB146" s="165">
        <v>2.6703101534062031E-2</v>
      </c>
      <c r="BC146" s="165">
        <f t="shared" si="70"/>
        <v>0.92288250825685836</v>
      </c>
      <c r="BD146" s="165">
        <v>3.3537632435989222E-2</v>
      </c>
      <c r="BE146" s="165">
        <f t="shared" si="71"/>
        <v>0.92288250825685836</v>
      </c>
      <c r="BF146" s="165">
        <v>3.3537632435989222E-2</v>
      </c>
      <c r="BG146" s="165">
        <f t="shared" si="72"/>
        <v>2.2204252491164143</v>
      </c>
      <c r="BH146" s="165">
        <v>8.0690451613809028E-2</v>
      </c>
      <c r="BI146" s="165">
        <f t="shared" si="73"/>
        <v>0.7348111169302658</v>
      </c>
      <c r="BJ146" s="165">
        <v>2.6703101534062031E-2</v>
      </c>
      <c r="BK146" s="165">
        <f t="shared" si="74"/>
        <v>0.92288250825685836</v>
      </c>
      <c r="BL146" s="165">
        <v>3.3537632435989222E-2</v>
      </c>
      <c r="BM146" s="165">
        <f t="shared" si="75"/>
        <v>0.92288250825685836</v>
      </c>
      <c r="BN146" s="165">
        <v>3.3537632435989222E-2</v>
      </c>
    </row>
    <row r="147" spans="1:66" ht="15.6" x14ac:dyDescent="0.3">
      <c r="A147" s="155">
        <v>30</v>
      </c>
      <c r="B147" s="155">
        <v>35</v>
      </c>
      <c r="C147" s="156">
        <v>315216</v>
      </c>
      <c r="D147" s="156"/>
      <c r="E147" s="156"/>
      <c r="F147" s="156">
        <v>307448745000</v>
      </c>
      <c r="G147" s="156"/>
      <c r="H147" s="172"/>
      <c r="I147" s="157">
        <v>3.1610409445336676E-2</v>
      </c>
      <c r="J147" s="157" t="e">
        <v>#DIV/0!</v>
      </c>
      <c r="K147" s="157"/>
      <c r="L147" s="157">
        <v>32.511964811430893</v>
      </c>
      <c r="M147" s="157"/>
      <c r="N147" s="163"/>
      <c r="O147" s="179"/>
      <c r="P147" s="177" t="str">
        <f t="shared" si="58"/>
        <v>(30, 35]</v>
      </c>
      <c r="Q147" s="160" t="s">
        <v>139</v>
      </c>
      <c r="R147" s="157">
        <f t="shared" si="59"/>
        <v>3.1610409445336676E-2</v>
      </c>
      <c r="S147" s="162">
        <v>2.5</v>
      </c>
      <c r="T147" s="162">
        <v>0.4</v>
      </c>
      <c r="U147" s="161">
        <v>12</v>
      </c>
      <c r="V147" s="161">
        <v>12</v>
      </c>
      <c r="W147" s="162">
        <v>0.91781292705548689</v>
      </c>
      <c r="X147" s="178">
        <v>3.5</v>
      </c>
      <c r="Y147" s="161">
        <v>12</v>
      </c>
      <c r="Z147" s="161">
        <v>12</v>
      </c>
      <c r="AA147" s="163">
        <v>7.9026023613341684E-2</v>
      </c>
      <c r="AB147" s="163">
        <v>1.2644163778134671E-2</v>
      </c>
      <c r="AC147" s="163">
        <v>0.37932491334404012</v>
      </c>
      <c r="AD147" s="163">
        <v>0.37932491334404012</v>
      </c>
      <c r="AE147" s="163">
        <v>2.9012442418446863E-2</v>
      </c>
      <c r="AF147" s="163">
        <v>0.11063643305867837</v>
      </c>
      <c r="AG147" s="163">
        <v>0.37932491334404012</v>
      </c>
      <c r="AH147" s="163">
        <v>0.37932491334404012</v>
      </c>
      <c r="AI147" s="163">
        <v>7.4496582528183516E-2</v>
      </c>
      <c r="AJ147" s="163">
        <v>3.2871131177829555E-2</v>
      </c>
      <c r="AK147" s="163">
        <v>0.46444882163966639</v>
      </c>
      <c r="AL147" s="163">
        <v>0.46444882163966639</v>
      </c>
      <c r="AM147" s="163">
        <v>3.1116104224485682E-2</v>
      </c>
      <c r="AN147" s="163">
        <v>7.3529607072221337E-2</v>
      </c>
      <c r="AO147" s="163">
        <v>0.46444882163966639</v>
      </c>
      <c r="AP147" s="163">
        <v>0.46444882163966639</v>
      </c>
      <c r="AQ147" s="164">
        <f t="shared" si="60"/>
        <v>74496582</v>
      </c>
      <c r="AR147" s="164">
        <f t="shared" si="61"/>
        <v>32871131</v>
      </c>
      <c r="AS147" s="164">
        <f t="shared" si="62"/>
        <v>464448821</v>
      </c>
      <c r="AT147" s="164">
        <f t="shared" si="63"/>
        <v>464448821</v>
      </c>
      <c r="AU147" s="164">
        <f t="shared" si="64"/>
        <v>31116104</v>
      </c>
      <c r="AV147" s="164">
        <f t="shared" si="65"/>
        <v>73529607</v>
      </c>
      <c r="AW147" s="164">
        <f t="shared" si="66"/>
        <v>464448821</v>
      </c>
      <c r="AX147" s="164">
        <f t="shared" si="67"/>
        <v>464448821</v>
      </c>
      <c r="AY147" s="165">
        <f t="shared" si="68"/>
        <v>2.4220302525558761</v>
      </c>
      <c r="AZ147" s="165">
        <v>7.449658348993167E-2</v>
      </c>
      <c r="BA147" s="165">
        <f t="shared" si="69"/>
        <v>1.0687050543839351</v>
      </c>
      <c r="BB147" s="165">
        <v>3.2871131657422635E-2</v>
      </c>
      <c r="BC147" s="165">
        <f t="shared" si="70"/>
        <v>15.100143725062566</v>
      </c>
      <c r="BD147" s="165">
        <v>0.46444882703783474</v>
      </c>
      <c r="BE147" s="165">
        <f t="shared" si="71"/>
        <v>15.100143725062566</v>
      </c>
      <c r="BF147" s="165">
        <v>0.46444882703783474</v>
      </c>
      <c r="BG147" s="165">
        <f t="shared" si="72"/>
        <v>2.4220302525558761</v>
      </c>
      <c r="BH147" s="165">
        <v>7.449658348993167E-2</v>
      </c>
      <c r="BI147" s="165">
        <f t="shared" si="73"/>
        <v>1.0687050543839351</v>
      </c>
      <c r="BJ147" s="165">
        <v>3.2871131657422635E-2</v>
      </c>
      <c r="BK147" s="165">
        <f t="shared" si="74"/>
        <v>15.100143725062566</v>
      </c>
      <c r="BL147" s="165">
        <v>0.46444882703783474</v>
      </c>
      <c r="BM147" s="165">
        <f t="shared" si="75"/>
        <v>15.100143725062566</v>
      </c>
      <c r="BN147" s="165">
        <v>0.46444882703783474</v>
      </c>
    </row>
    <row r="148" spans="1:66" ht="15.6" x14ac:dyDescent="0.3">
      <c r="A148" s="155">
        <v>35</v>
      </c>
      <c r="B148" s="155">
        <v>40</v>
      </c>
      <c r="C148" s="156">
        <v>294025</v>
      </c>
      <c r="D148" s="156"/>
      <c r="E148" s="156"/>
      <c r="F148" s="156">
        <v>330946792500</v>
      </c>
      <c r="G148" s="156"/>
      <c r="H148" s="172"/>
      <c r="I148" s="157">
        <v>2.9485339060089322E-2</v>
      </c>
      <c r="J148" s="157" t="e">
        <v>#DIV/0!</v>
      </c>
      <c r="K148" s="157"/>
      <c r="L148" s="157">
        <v>37.519121673327092</v>
      </c>
      <c r="M148" s="157"/>
      <c r="N148" s="163"/>
      <c r="O148" s="179"/>
      <c r="P148" s="177" t="str">
        <f t="shared" si="58"/>
        <v>(35, 40]</v>
      </c>
      <c r="Q148" s="160" t="s">
        <v>139</v>
      </c>
      <c r="R148" s="157">
        <f t="shared" si="59"/>
        <v>2.9485339060089322E-2</v>
      </c>
      <c r="S148" s="162">
        <v>2.5</v>
      </c>
      <c r="T148" s="162">
        <v>0.54</v>
      </c>
      <c r="U148" s="161">
        <v>5</v>
      </c>
      <c r="V148" s="161">
        <v>5</v>
      </c>
      <c r="W148" s="162">
        <v>0.51312100766600865</v>
      </c>
      <c r="X148" s="178">
        <v>3</v>
      </c>
      <c r="Y148" s="161">
        <v>5</v>
      </c>
      <c r="Z148" s="161">
        <v>5</v>
      </c>
      <c r="AA148" s="163">
        <v>7.3713347650223304E-2</v>
      </c>
      <c r="AB148" s="163">
        <v>1.5922083092448233E-2</v>
      </c>
      <c r="AC148" s="163">
        <v>0.14742669530044661</v>
      </c>
      <c r="AD148" s="163">
        <v>0.14742669530044661</v>
      </c>
      <c r="AE148" s="163">
        <v>1.5129546889886956E-2</v>
      </c>
      <c r="AF148" s="163">
        <v>8.8456017180267965E-2</v>
      </c>
      <c r="AG148" s="163">
        <v>0.14742669530044661</v>
      </c>
      <c r="AH148" s="163">
        <v>0.14742669530044661</v>
      </c>
      <c r="AI148" s="163">
        <v>6.9488406926834806E-2</v>
      </c>
      <c r="AJ148" s="163">
        <v>4.1392763581664001E-2</v>
      </c>
      <c r="AK148" s="163">
        <v>0.18051056627651477</v>
      </c>
      <c r="AL148" s="163">
        <v>0.18051056627651477</v>
      </c>
      <c r="AM148" s="163">
        <v>1.6226574485009106E-2</v>
      </c>
      <c r="AN148" s="163">
        <v>5.8788375642851373E-2</v>
      </c>
      <c r="AO148" s="163">
        <v>0.18051056627651477</v>
      </c>
      <c r="AP148" s="163">
        <v>0.18051056627651477</v>
      </c>
      <c r="AQ148" s="164">
        <f t="shared" si="60"/>
        <v>69488406</v>
      </c>
      <c r="AR148" s="164">
        <f t="shared" si="61"/>
        <v>41392763</v>
      </c>
      <c r="AS148" s="164">
        <f t="shared" si="62"/>
        <v>180510566</v>
      </c>
      <c r="AT148" s="164">
        <f t="shared" si="63"/>
        <v>180510566</v>
      </c>
      <c r="AU148" s="164">
        <f t="shared" si="64"/>
        <v>16226574</v>
      </c>
      <c r="AV148" s="164">
        <f t="shared" si="65"/>
        <v>58788375</v>
      </c>
      <c r="AW148" s="164">
        <f t="shared" si="66"/>
        <v>180510566</v>
      </c>
      <c r="AX148" s="164">
        <f t="shared" si="67"/>
        <v>180510566</v>
      </c>
      <c r="AY148" s="165">
        <f t="shared" si="68"/>
        <v>2.607143959599552</v>
      </c>
      <c r="AZ148" s="165">
        <v>6.948840738976815E-2</v>
      </c>
      <c r="BA148" s="165">
        <f t="shared" si="69"/>
        <v>1.5530201113921915</v>
      </c>
      <c r="BB148" s="165">
        <v>4.1392763827855276E-2</v>
      </c>
      <c r="BC148" s="165">
        <f t="shared" si="70"/>
        <v>6.7725978890751408</v>
      </c>
      <c r="BD148" s="165">
        <v>0.1805105683466374</v>
      </c>
      <c r="BE148" s="165">
        <f t="shared" si="71"/>
        <v>6.7725978890751408</v>
      </c>
      <c r="BF148" s="165">
        <v>0.1805105683466374</v>
      </c>
      <c r="BG148" s="165">
        <f t="shared" si="72"/>
        <v>2.607143959599552</v>
      </c>
      <c r="BH148" s="165">
        <v>6.948840738976815E-2</v>
      </c>
      <c r="BI148" s="165">
        <f t="shared" si="73"/>
        <v>1.5530201113921915</v>
      </c>
      <c r="BJ148" s="165">
        <v>4.1392763827855276E-2</v>
      </c>
      <c r="BK148" s="165">
        <f t="shared" si="74"/>
        <v>6.7725978890751408</v>
      </c>
      <c r="BL148" s="165">
        <v>0.1805105683466374</v>
      </c>
      <c r="BM148" s="165">
        <f t="shared" si="75"/>
        <v>6.7725978890751408</v>
      </c>
      <c r="BN148" s="165">
        <v>0.1805105683466374</v>
      </c>
    </row>
    <row r="149" spans="1:66" ht="15.6" x14ac:dyDescent="0.3">
      <c r="A149" s="155">
        <v>40</v>
      </c>
      <c r="B149" s="155">
        <v>45</v>
      </c>
      <c r="C149" s="156">
        <v>273182</v>
      </c>
      <c r="D149" s="156"/>
      <c r="E149" s="156"/>
      <c r="F149" s="156">
        <v>348426444000</v>
      </c>
      <c r="G149" s="156"/>
      <c r="H149" s="172"/>
      <c r="I149" s="157">
        <v>2.7395166720902375E-2</v>
      </c>
      <c r="J149" s="157" t="e">
        <v>#DIV/0!</v>
      </c>
      <c r="K149" s="157"/>
      <c r="L149" s="157">
        <v>42.514568309771512</v>
      </c>
      <c r="M149" s="157"/>
      <c r="N149" s="163"/>
      <c r="O149" s="179"/>
      <c r="P149" s="177" t="str">
        <f t="shared" si="58"/>
        <v>(40, 45]</v>
      </c>
      <c r="Q149" s="160" t="s">
        <v>139</v>
      </c>
      <c r="R149" s="157">
        <f t="shared" si="59"/>
        <v>2.7395166720902375E-2</v>
      </c>
      <c r="S149" s="162">
        <v>3</v>
      </c>
      <c r="T149" s="162">
        <v>0.7</v>
      </c>
      <c r="U149" s="161">
        <v>3</v>
      </c>
      <c r="V149" s="161">
        <v>3</v>
      </c>
      <c r="W149" s="162">
        <v>1.1391609966767329</v>
      </c>
      <c r="X149" s="178">
        <v>2.5</v>
      </c>
      <c r="Y149" s="161">
        <v>3</v>
      </c>
      <c r="Z149" s="161">
        <v>3</v>
      </c>
      <c r="AA149" s="163">
        <v>8.218550016270712E-2</v>
      </c>
      <c r="AB149" s="163">
        <v>1.9176616704631663E-2</v>
      </c>
      <c r="AC149" s="163">
        <v>8.218550016270712E-2</v>
      </c>
      <c r="AD149" s="163">
        <v>8.218550016270712E-2</v>
      </c>
      <c r="AE149" s="163">
        <v>3.1207505425908413E-2</v>
      </c>
      <c r="AF149" s="163">
        <v>6.8487916802255938E-2</v>
      </c>
      <c r="AG149" s="163">
        <v>8.218550016270712E-2</v>
      </c>
      <c r="AH149" s="163">
        <v>8.218550016270712E-2</v>
      </c>
      <c r="AI149" s="163">
        <v>7.7474971098729362E-2</v>
      </c>
      <c r="AJ149" s="163">
        <v>4.9853599993300482E-2</v>
      </c>
      <c r="AK149" s="163">
        <v>0.10062866256247091</v>
      </c>
      <c r="AL149" s="163">
        <v>0.10062866256247091</v>
      </c>
      <c r="AM149" s="163">
        <v>3.3470328951048463E-2</v>
      </c>
      <c r="AN149" s="163">
        <v>4.551746176590829E-2</v>
      </c>
      <c r="AO149" s="163">
        <v>0.10062866256247091</v>
      </c>
      <c r="AP149" s="163">
        <v>0.10062866256247091</v>
      </c>
      <c r="AQ149" s="164">
        <f t="shared" si="60"/>
        <v>77474971</v>
      </c>
      <c r="AR149" s="164">
        <f t="shared" si="61"/>
        <v>49853599</v>
      </c>
      <c r="AS149" s="164">
        <f t="shared" si="62"/>
        <v>100628662</v>
      </c>
      <c r="AT149" s="164">
        <f t="shared" si="63"/>
        <v>100628662</v>
      </c>
      <c r="AU149" s="164">
        <f t="shared" si="64"/>
        <v>33470328</v>
      </c>
      <c r="AV149" s="164">
        <f t="shared" si="65"/>
        <v>45517461</v>
      </c>
      <c r="AW149" s="164">
        <f t="shared" si="66"/>
        <v>100628662</v>
      </c>
      <c r="AX149" s="164">
        <f t="shared" si="67"/>
        <v>100628662</v>
      </c>
      <c r="AY149" s="165">
        <f t="shared" si="68"/>
        <v>3.2938149468770672</v>
      </c>
      <c r="AZ149" s="165">
        <v>7.7474972549499449E-2</v>
      </c>
      <c r="BA149" s="165">
        <f t="shared" si="69"/>
        <v>2.1195042401734567</v>
      </c>
      <c r="BB149" s="165">
        <v>4.9853599997072E-2</v>
      </c>
      <c r="BC149" s="165">
        <f t="shared" si="70"/>
        <v>4.2781841245199086</v>
      </c>
      <c r="BD149" s="165">
        <v>0.10062866330817262</v>
      </c>
      <c r="BE149" s="165">
        <f t="shared" si="71"/>
        <v>4.2781841245199086</v>
      </c>
      <c r="BF149" s="165">
        <v>0.10062866330817262</v>
      </c>
      <c r="BG149" s="165">
        <f t="shared" si="72"/>
        <v>3.2938149468770672</v>
      </c>
      <c r="BH149" s="165">
        <v>7.7474972549499449E-2</v>
      </c>
      <c r="BI149" s="165">
        <f t="shared" si="73"/>
        <v>2.1195042401734567</v>
      </c>
      <c r="BJ149" s="165">
        <v>4.9853599997072E-2</v>
      </c>
      <c r="BK149" s="165">
        <f t="shared" si="74"/>
        <v>4.2781841245199086</v>
      </c>
      <c r="BL149" s="165">
        <v>0.10062866330817262</v>
      </c>
      <c r="BM149" s="165">
        <f t="shared" si="75"/>
        <v>4.2781841245199086</v>
      </c>
      <c r="BN149" s="165">
        <v>0.10062866330817262</v>
      </c>
    </row>
    <row r="150" spans="1:66" ht="15.6" x14ac:dyDescent="0.3">
      <c r="A150" s="155">
        <v>45</v>
      </c>
      <c r="B150" s="155">
        <v>50</v>
      </c>
      <c r="C150" s="156">
        <v>255595</v>
      </c>
      <c r="D150" s="156"/>
      <c r="E150" s="156"/>
      <c r="F150" s="156">
        <v>364373367000</v>
      </c>
      <c r="G150" s="156"/>
      <c r="H150" s="172"/>
      <c r="I150" s="157">
        <v>2.5631511732211648E-2</v>
      </c>
      <c r="J150" s="157" t="e">
        <v>#DIV/0!</v>
      </c>
      <c r="K150" s="157"/>
      <c r="L150" s="157">
        <v>47.519626362018037</v>
      </c>
      <c r="M150" s="157"/>
      <c r="N150" s="163"/>
      <c r="O150" s="179"/>
      <c r="P150" s="177" t="str">
        <f t="shared" si="58"/>
        <v>(45, 50]</v>
      </c>
      <c r="Q150" s="160" t="s">
        <v>139</v>
      </c>
      <c r="R150" s="157">
        <f t="shared" si="59"/>
        <v>2.5631511732211648E-2</v>
      </c>
      <c r="S150" s="162">
        <v>3</v>
      </c>
      <c r="T150" s="162">
        <v>0.85</v>
      </c>
      <c r="U150" s="161">
        <v>2</v>
      </c>
      <c r="V150" s="161">
        <v>2</v>
      </c>
      <c r="W150" s="162">
        <v>0.71401975892598479</v>
      </c>
      <c r="X150" s="178">
        <v>2</v>
      </c>
      <c r="Y150" s="161">
        <v>2</v>
      </c>
      <c r="Z150" s="161">
        <v>2</v>
      </c>
      <c r="AA150" s="163">
        <v>7.6894535196634944E-2</v>
      </c>
      <c r="AB150" s="163">
        <v>2.1786784972379899E-2</v>
      </c>
      <c r="AC150" s="163">
        <v>5.1263023464423296E-2</v>
      </c>
      <c r="AD150" s="163">
        <v>5.1263023464423296E-2</v>
      </c>
      <c r="AE150" s="163">
        <v>1.8301405827942312E-2</v>
      </c>
      <c r="AF150" s="163">
        <v>5.1263023464423296E-2</v>
      </c>
      <c r="AG150" s="163">
        <v>5.1263023464423296E-2</v>
      </c>
      <c r="AH150" s="163">
        <v>5.1263023464423296E-2</v>
      </c>
      <c r="AI150" s="163">
        <v>7.2487262110899439E-2</v>
      </c>
      <c r="AJ150" s="163">
        <v>5.6639274794012213E-2</v>
      </c>
      <c r="AK150" s="163">
        <v>6.2766905110035937E-2</v>
      </c>
      <c r="AL150" s="163">
        <v>6.2766905110035937E-2</v>
      </c>
      <c r="AM150" s="163">
        <v>1.9628421591791935E-2</v>
      </c>
      <c r="AN150" s="163">
        <v>3.4069698999369888E-2</v>
      </c>
      <c r="AO150" s="163">
        <v>6.2766905110035937E-2</v>
      </c>
      <c r="AP150" s="163">
        <v>6.2766905110035937E-2</v>
      </c>
      <c r="AQ150" s="164">
        <f t="shared" si="60"/>
        <v>72487262</v>
      </c>
      <c r="AR150" s="164">
        <f t="shared" si="61"/>
        <v>56639274</v>
      </c>
      <c r="AS150" s="164">
        <f t="shared" si="62"/>
        <v>62766905</v>
      </c>
      <c r="AT150" s="164">
        <f t="shared" si="63"/>
        <v>62766905</v>
      </c>
      <c r="AU150" s="164">
        <f t="shared" si="64"/>
        <v>19628421</v>
      </c>
      <c r="AV150" s="164">
        <f t="shared" si="65"/>
        <v>34069698</v>
      </c>
      <c r="AW150" s="164">
        <f t="shared" si="66"/>
        <v>62766905</v>
      </c>
      <c r="AX150" s="164">
        <f t="shared" si="67"/>
        <v>62766905</v>
      </c>
      <c r="AY150" s="165">
        <f t="shared" si="68"/>
        <v>3.4445676062457085</v>
      </c>
      <c r="AZ150" s="165">
        <v>7.2487263449745265E-2</v>
      </c>
      <c r="BA150" s="165">
        <f t="shared" si="69"/>
        <v>2.6914771378959625</v>
      </c>
      <c r="BB150" s="165">
        <v>5.6639275132785501E-2</v>
      </c>
      <c r="BC150" s="165">
        <f t="shared" si="70"/>
        <v>2.9826598735002818</v>
      </c>
      <c r="BD150" s="165">
        <v>6.2766905815969776E-2</v>
      </c>
      <c r="BE150" s="165">
        <f t="shared" si="71"/>
        <v>2.9826598735002818</v>
      </c>
      <c r="BF150" s="165">
        <v>6.2766905815969776E-2</v>
      </c>
      <c r="BG150" s="165">
        <f t="shared" si="72"/>
        <v>3.4445676062457085</v>
      </c>
      <c r="BH150" s="165">
        <v>7.2487263449745265E-2</v>
      </c>
      <c r="BI150" s="165">
        <f t="shared" si="73"/>
        <v>2.6914771378959625</v>
      </c>
      <c r="BJ150" s="165">
        <v>5.6639275132785501E-2</v>
      </c>
      <c r="BK150" s="165">
        <f t="shared" si="74"/>
        <v>2.9826598735002818</v>
      </c>
      <c r="BL150" s="165">
        <v>6.2766905815969776E-2</v>
      </c>
      <c r="BM150" s="165">
        <f t="shared" si="75"/>
        <v>2.9826598735002818</v>
      </c>
      <c r="BN150" s="165">
        <v>6.2766905815969776E-2</v>
      </c>
    </row>
    <row r="151" spans="1:66" ht="15.6" x14ac:dyDescent="0.3">
      <c r="A151" s="155">
        <v>50</v>
      </c>
      <c r="B151" s="155">
        <v>60</v>
      </c>
      <c r="C151" s="156">
        <v>463634</v>
      </c>
      <c r="D151" s="156"/>
      <c r="E151" s="156"/>
      <c r="F151" s="156">
        <v>764189277000</v>
      </c>
      <c r="G151" s="156"/>
      <c r="H151" s="172"/>
      <c r="I151" s="157">
        <v>4.6494024963133922E-2</v>
      </c>
      <c r="J151" s="157" t="e">
        <v>#DIV/0!</v>
      </c>
      <c r="K151" s="157"/>
      <c r="L151" s="157">
        <v>54.941992821924188</v>
      </c>
      <c r="M151" s="157"/>
      <c r="N151" s="163"/>
      <c r="O151" s="179"/>
      <c r="P151" s="177" t="str">
        <f t="shared" si="58"/>
        <v>(50, 60]</v>
      </c>
      <c r="Q151" s="160" t="s">
        <v>139</v>
      </c>
      <c r="R151" s="157">
        <f t="shared" si="59"/>
        <v>4.6494024963133922E-2</v>
      </c>
      <c r="S151" s="162">
        <v>2</v>
      </c>
      <c r="T151" s="162">
        <v>0.55000000000000004</v>
      </c>
      <c r="U151" s="161">
        <v>1.1950000000000001</v>
      </c>
      <c r="V151" s="161">
        <v>1.1950000000000001</v>
      </c>
      <c r="W151" s="162">
        <v>0.32092844930481718</v>
      </c>
      <c r="X151" s="178">
        <v>0.8</v>
      </c>
      <c r="Y151" s="161">
        <v>1.1950000000000001</v>
      </c>
      <c r="Z151" s="161">
        <v>1.1950000000000001</v>
      </c>
      <c r="AA151" s="163">
        <v>9.2988049926267843E-2</v>
      </c>
      <c r="AB151" s="163">
        <v>2.5571713729723659E-2</v>
      </c>
      <c r="AC151" s="163">
        <v>5.5560359830945039E-2</v>
      </c>
      <c r="AD151" s="163">
        <v>5.5560359830945039E-2</v>
      </c>
      <c r="AE151" s="163">
        <v>1.4921255333358028E-2</v>
      </c>
      <c r="AF151" s="163">
        <v>3.7195219970507142E-2</v>
      </c>
      <c r="AG151" s="163">
        <v>5.5560359830945039E-2</v>
      </c>
      <c r="AH151" s="163">
        <v>5.5560359830945039E-2</v>
      </c>
      <c r="AI151" s="163">
        <v>8.7658363899984354E-2</v>
      </c>
      <c r="AJ151" s="163">
        <v>6.6478983600737299E-2</v>
      </c>
      <c r="AK151" s="163">
        <v>6.8028602249896805E-2</v>
      </c>
      <c r="AL151" s="163">
        <v>6.8028602249896805E-2</v>
      </c>
      <c r="AM151" s="163">
        <v>1.6003179925924569E-2</v>
      </c>
      <c r="AN151" s="163">
        <v>2.4720156225080864E-2</v>
      </c>
      <c r="AO151" s="163">
        <v>6.8028602249896805E-2</v>
      </c>
      <c r="AP151" s="163">
        <v>6.8028602249896805E-2</v>
      </c>
      <c r="AQ151" s="164">
        <f t="shared" si="60"/>
        <v>87658363</v>
      </c>
      <c r="AR151" s="164">
        <f t="shared" si="61"/>
        <v>66478983</v>
      </c>
      <c r="AS151" s="164">
        <f t="shared" si="62"/>
        <v>68028602</v>
      </c>
      <c r="AT151" s="164">
        <f t="shared" si="63"/>
        <v>68028602</v>
      </c>
      <c r="AU151" s="164">
        <f t="shared" si="64"/>
        <v>16003179</v>
      </c>
      <c r="AV151" s="164">
        <f t="shared" si="65"/>
        <v>24720156</v>
      </c>
      <c r="AW151" s="164">
        <f t="shared" si="66"/>
        <v>68028602</v>
      </c>
      <c r="AX151" s="164">
        <f t="shared" si="67"/>
        <v>68028602</v>
      </c>
      <c r="AY151" s="165">
        <f t="shared" si="68"/>
        <v>4.8161251507276246</v>
      </c>
      <c r="AZ151" s="165">
        <v>8.7658364753167295E-2</v>
      </c>
      <c r="BA151" s="165">
        <f t="shared" si="69"/>
        <v>3.6524878067948201</v>
      </c>
      <c r="BB151" s="165">
        <v>6.6478984329579688E-2</v>
      </c>
      <c r="BC151" s="165">
        <f t="shared" si="70"/>
        <v>3.7376269627695375</v>
      </c>
      <c r="BD151" s="165">
        <v>6.8028602884371833E-2</v>
      </c>
      <c r="BE151" s="165">
        <f t="shared" si="71"/>
        <v>3.7376269627695375</v>
      </c>
      <c r="BF151" s="165">
        <v>6.8028602884371833E-2</v>
      </c>
      <c r="BG151" s="165">
        <f t="shared" si="72"/>
        <v>4.8161251507276246</v>
      </c>
      <c r="BH151" s="165">
        <v>8.7658364753167295E-2</v>
      </c>
      <c r="BI151" s="165">
        <f t="shared" si="73"/>
        <v>3.6524878067948201</v>
      </c>
      <c r="BJ151" s="165">
        <v>6.6478984329579688E-2</v>
      </c>
      <c r="BK151" s="165">
        <f t="shared" si="74"/>
        <v>3.7376269627695375</v>
      </c>
      <c r="BL151" s="165">
        <v>6.8028602884371833E-2</v>
      </c>
      <c r="BM151" s="165">
        <f t="shared" si="75"/>
        <v>3.7376269627695375</v>
      </c>
      <c r="BN151" s="165">
        <v>6.8028602884371833E-2</v>
      </c>
    </row>
    <row r="152" spans="1:66" ht="15.6" x14ac:dyDescent="0.3">
      <c r="A152" s="155">
        <v>60</v>
      </c>
      <c r="B152" s="155">
        <v>70</v>
      </c>
      <c r="C152" s="156">
        <v>408721</v>
      </c>
      <c r="D152" s="156"/>
      <c r="E152" s="156"/>
      <c r="F152" s="156">
        <v>796380576000</v>
      </c>
      <c r="G152" s="156"/>
      <c r="H152" s="172"/>
      <c r="I152" s="157">
        <v>4.0987253689239916E-2</v>
      </c>
      <c r="J152" s="157" t="e">
        <v>#DIV/0!</v>
      </c>
      <c r="K152" s="157"/>
      <c r="L152" s="157">
        <v>64.948997482390183</v>
      </c>
      <c r="M152" s="157"/>
      <c r="N152" s="163"/>
      <c r="O152" s="179"/>
      <c r="P152" s="177" t="str">
        <f t="shared" si="58"/>
        <v>(60, 70]</v>
      </c>
      <c r="Q152" s="160" t="s">
        <v>139</v>
      </c>
      <c r="R152" s="157">
        <f t="shared" si="59"/>
        <v>4.0987253689239916E-2</v>
      </c>
      <c r="S152" s="162">
        <v>1.8</v>
      </c>
      <c r="T152" s="162">
        <v>0.6</v>
      </c>
      <c r="U152" s="161">
        <v>0.1</v>
      </c>
      <c r="V152" s="161">
        <v>0.1</v>
      </c>
      <c r="W152" s="162">
        <v>0.55418332989721197</v>
      </c>
      <c r="X152" s="178">
        <v>1.5</v>
      </c>
      <c r="Y152" s="161">
        <v>0.1</v>
      </c>
      <c r="Z152" s="161">
        <v>0.1</v>
      </c>
      <c r="AA152" s="163">
        <v>7.3777056640631847E-2</v>
      </c>
      <c r="AB152" s="163">
        <v>2.4592352213543948E-2</v>
      </c>
      <c r="AC152" s="163">
        <v>4.0987253689239922E-3</v>
      </c>
      <c r="AD152" s="163">
        <v>4.0987253689239922E-3</v>
      </c>
      <c r="AE152" s="163">
        <v>2.2714452732844764E-2</v>
      </c>
      <c r="AF152" s="163">
        <v>6.1480880533859875E-2</v>
      </c>
      <c r="AG152" s="163">
        <v>4.0987253689239922E-3</v>
      </c>
      <c r="AH152" s="163">
        <v>4.0987253689239922E-3</v>
      </c>
      <c r="AI152" s="163">
        <v>6.9548464384425981E-2</v>
      </c>
      <c r="AJ152" s="163">
        <v>6.3932929829705679E-2</v>
      </c>
      <c r="AK152" s="163">
        <v>5.018516055376474E-3</v>
      </c>
      <c r="AL152" s="163">
        <v>5.018516055376474E-3</v>
      </c>
      <c r="AM152" s="163">
        <v>2.4361453904617105E-2</v>
      </c>
      <c r="AN152" s="163">
        <v>4.0860545329685999E-2</v>
      </c>
      <c r="AO152" s="163">
        <v>5.018516055376474E-3</v>
      </c>
      <c r="AP152" s="163">
        <v>5.018516055376474E-3</v>
      </c>
      <c r="AQ152" s="164">
        <f t="shared" si="60"/>
        <v>69548464</v>
      </c>
      <c r="AR152" s="164">
        <f t="shared" si="61"/>
        <v>63932929</v>
      </c>
      <c r="AS152" s="164">
        <f t="shared" si="62"/>
        <v>5018516</v>
      </c>
      <c r="AT152" s="164">
        <f t="shared" si="63"/>
        <v>5018516</v>
      </c>
      <c r="AU152" s="164">
        <f t="shared" si="64"/>
        <v>24361453</v>
      </c>
      <c r="AV152" s="164">
        <f t="shared" si="65"/>
        <v>40860545</v>
      </c>
      <c r="AW152" s="164">
        <f t="shared" si="66"/>
        <v>5018516</v>
      </c>
      <c r="AX152" s="164">
        <f t="shared" si="67"/>
        <v>5018516</v>
      </c>
      <c r="AY152" s="165">
        <f t="shared" si="68"/>
        <v>4.5171030132401047</v>
      </c>
      <c r="AZ152" s="165">
        <v>6.9548465390969302E-2</v>
      </c>
      <c r="BA152" s="165">
        <f t="shared" si="69"/>
        <v>4.1523796446628305</v>
      </c>
      <c r="BB152" s="165">
        <v>6.3932930278658609E-2</v>
      </c>
      <c r="BC152" s="165">
        <f t="shared" si="70"/>
        <v>0.3259475830493348</v>
      </c>
      <c r="BD152" s="165">
        <v>5.0185160652407084E-3</v>
      </c>
      <c r="BE152" s="165">
        <f t="shared" si="71"/>
        <v>0.3259475830493348</v>
      </c>
      <c r="BF152" s="165">
        <v>5.0185160652407084E-3</v>
      </c>
      <c r="BG152" s="165">
        <f t="shared" si="72"/>
        <v>4.5171030132401047</v>
      </c>
      <c r="BH152" s="165">
        <v>6.9548465390969302E-2</v>
      </c>
      <c r="BI152" s="165">
        <f t="shared" si="73"/>
        <v>4.1523796446628305</v>
      </c>
      <c r="BJ152" s="165">
        <v>6.3932930278658609E-2</v>
      </c>
      <c r="BK152" s="165">
        <f t="shared" si="74"/>
        <v>0.3259475830493348</v>
      </c>
      <c r="BL152" s="165">
        <v>5.0185160652407084E-3</v>
      </c>
      <c r="BM152" s="165">
        <f t="shared" si="75"/>
        <v>0.3259475830493348</v>
      </c>
      <c r="BN152" s="165">
        <v>5.0185160652407084E-3</v>
      </c>
    </row>
    <row r="153" spans="1:66" ht="15.6" x14ac:dyDescent="0.3">
      <c r="A153" s="155">
        <v>70</v>
      </c>
      <c r="B153" s="155">
        <v>80</v>
      </c>
      <c r="C153" s="156">
        <v>364507</v>
      </c>
      <c r="D153" s="156"/>
      <c r="E153" s="156"/>
      <c r="F153" s="156">
        <v>819591888000</v>
      </c>
      <c r="G153" s="156"/>
      <c r="H153" s="172"/>
      <c r="I153" s="157">
        <v>3.6553396768220316E-2</v>
      </c>
      <c r="J153" s="157" t="e">
        <v>#DIV/0!</v>
      </c>
      <c r="K153" s="157"/>
      <c r="L153" s="157">
        <v>74.949807822620699</v>
      </c>
      <c r="M153" s="157"/>
      <c r="N153" s="163"/>
      <c r="O153" s="179"/>
      <c r="P153" s="177" t="str">
        <f t="shared" si="58"/>
        <v>(70, 80]</v>
      </c>
      <c r="Q153" s="160" t="s">
        <v>139</v>
      </c>
      <c r="R153" s="157">
        <f t="shared" si="59"/>
        <v>3.6553396768220316E-2</v>
      </c>
      <c r="S153" s="162">
        <v>1.6</v>
      </c>
      <c r="T153" s="162">
        <v>0.8</v>
      </c>
      <c r="U153" s="161">
        <v>0.08</v>
      </c>
      <c r="V153" s="161">
        <v>0.08</v>
      </c>
      <c r="W153" s="162">
        <v>0.72582404965333291</v>
      </c>
      <c r="X153" s="178">
        <v>1.5</v>
      </c>
      <c r="Y153" s="161">
        <v>0.08</v>
      </c>
      <c r="Z153" s="161">
        <v>0.08</v>
      </c>
      <c r="AA153" s="163">
        <v>5.8485434829152506E-2</v>
      </c>
      <c r="AB153" s="163">
        <v>2.9242717414576253E-2</v>
      </c>
      <c r="AC153" s="163">
        <v>2.9242717414576253E-3</v>
      </c>
      <c r="AD153" s="163">
        <v>2.9242717414576253E-3</v>
      </c>
      <c r="AE153" s="163">
        <v>2.6531334470894723E-2</v>
      </c>
      <c r="AF153" s="163">
        <v>5.4830095152330477E-2</v>
      </c>
      <c r="AG153" s="163">
        <v>2.9242717414576253E-3</v>
      </c>
      <c r="AH153" s="163">
        <v>2.9242717414576253E-3</v>
      </c>
      <c r="AI153" s="163">
        <v>5.5133294365972467E-2</v>
      </c>
      <c r="AJ153" s="163">
        <v>7.6022520508077743E-2</v>
      </c>
      <c r="AK153" s="163">
        <v>3.5805045139292819E-3</v>
      </c>
      <c r="AL153" s="163">
        <v>3.5805045139292819E-3</v>
      </c>
      <c r="AM153" s="163">
        <v>2.845509373888986E-2</v>
      </c>
      <c r="AN153" s="163">
        <v>3.6440395273274084E-2</v>
      </c>
      <c r="AO153" s="163">
        <v>3.5805045139292819E-3</v>
      </c>
      <c r="AP153" s="163">
        <v>3.5805045139292819E-3</v>
      </c>
      <c r="AQ153" s="164">
        <f t="shared" si="60"/>
        <v>55133294</v>
      </c>
      <c r="AR153" s="164">
        <f t="shared" si="61"/>
        <v>76022520</v>
      </c>
      <c r="AS153" s="164">
        <f t="shared" si="62"/>
        <v>3580504</v>
      </c>
      <c r="AT153" s="164">
        <f t="shared" si="63"/>
        <v>3580504</v>
      </c>
      <c r="AU153" s="164">
        <f t="shared" si="64"/>
        <v>28455093</v>
      </c>
      <c r="AV153" s="164">
        <f t="shared" si="65"/>
        <v>36440395</v>
      </c>
      <c r="AW153" s="164">
        <f t="shared" si="66"/>
        <v>3580504</v>
      </c>
      <c r="AX153" s="164">
        <f t="shared" si="67"/>
        <v>3580504</v>
      </c>
      <c r="AY153" s="165">
        <f t="shared" si="68"/>
        <v>4.1322297899280471</v>
      </c>
      <c r="AZ153" s="165">
        <v>5.5133295102665902E-2</v>
      </c>
      <c r="BA153" s="165">
        <f t="shared" si="69"/>
        <v>5.6978732641913385</v>
      </c>
      <c r="BB153" s="165">
        <v>7.6022521520450428E-2</v>
      </c>
      <c r="BC153" s="165">
        <f t="shared" si="70"/>
        <v>0.26835808670812472</v>
      </c>
      <c r="BD153" s="165">
        <v>3.5805040465465526E-3</v>
      </c>
      <c r="BE153" s="165">
        <f t="shared" si="71"/>
        <v>0.26835808670812472</v>
      </c>
      <c r="BF153" s="165">
        <v>3.5805040465465526E-3</v>
      </c>
      <c r="BG153" s="165">
        <f t="shared" si="72"/>
        <v>4.1322297899280471</v>
      </c>
      <c r="BH153" s="165">
        <v>5.5133295102665902E-2</v>
      </c>
      <c r="BI153" s="165">
        <f t="shared" si="73"/>
        <v>5.6978732641913385</v>
      </c>
      <c r="BJ153" s="165">
        <v>7.6022521520450428E-2</v>
      </c>
      <c r="BK153" s="165">
        <f t="shared" si="74"/>
        <v>0.26835808670812472</v>
      </c>
      <c r="BL153" s="165">
        <v>3.5805040465465526E-3</v>
      </c>
      <c r="BM153" s="165">
        <f t="shared" si="75"/>
        <v>0.26835808670812472</v>
      </c>
      <c r="BN153" s="165">
        <v>3.5805040465465526E-3</v>
      </c>
    </row>
    <row r="154" spans="1:66" ht="15.6" x14ac:dyDescent="0.3">
      <c r="A154" s="155">
        <v>80</v>
      </c>
      <c r="B154" s="155">
        <v>90</v>
      </c>
      <c r="C154" s="156">
        <v>327374</v>
      </c>
      <c r="D154" s="156"/>
      <c r="E154" s="156"/>
      <c r="F154" s="156">
        <v>834354532500</v>
      </c>
      <c r="G154" s="156"/>
      <c r="H154" s="172"/>
      <c r="I154" s="157">
        <v>3.2829634859136744E-2</v>
      </c>
      <c r="J154" s="157" t="e">
        <v>#DIV/0!</v>
      </c>
      <c r="K154" s="157"/>
      <c r="L154" s="157">
        <v>84.954265610586063</v>
      </c>
      <c r="M154" s="157"/>
      <c r="N154" s="163"/>
      <c r="O154" s="179"/>
      <c r="P154" s="177" t="str">
        <f t="shared" si="58"/>
        <v>(80, 90]</v>
      </c>
      <c r="Q154" s="160" t="s">
        <v>139</v>
      </c>
      <c r="R154" s="157">
        <f t="shared" si="59"/>
        <v>3.2829634859136744E-2</v>
      </c>
      <c r="S154" s="162">
        <v>0.8</v>
      </c>
      <c r="T154" s="162">
        <v>0.8</v>
      </c>
      <c r="U154" s="161">
        <v>0.05</v>
      </c>
      <c r="V154" s="161">
        <v>0.05</v>
      </c>
      <c r="W154" s="162">
        <v>0.54151858164153455</v>
      </c>
      <c r="X154" s="178">
        <v>1.5</v>
      </c>
      <c r="Y154" s="161">
        <v>0.05</v>
      </c>
      <c r="Z154" s="161">
        <v>0.05</v>
      </c>
      <c r="AA154" s="163">
        <v>2.6263707887309397E-2</v>
      </c>
      <c r="AB154" s="163">
        <v>2.6263707887309397E-2</v>
      </c>
      <c r="AC154" s="163">
        <v>1.6414817429568373E-3</v>
      </c>
      <c r="AD154" s="163">
        <v>1.6414817429568373E-3</v>
      </c>
      <c r="AE154" s="163">
        <v>1.7777857304729208E-2</v>
      </c>
      <c r="AF154" s="163">
        <v>4.9244452288705116E-2</v>
      </c>
      <c r="AG154" s="163">
        <v>1.6414817429568373E-3</v>
      </c>
      <c r="AH154" s="163">
        <v>1.6414817429568373E-3</v>
      </c>
      <c r="AI154" s="163">
        <v>2.475838201977722E-2</v>
      </c>
      <c r="AJ154" s="163">
        <v>6.8277966208636437E-2</v>
      </c>
      <c r="AK154" s="163">
        <v>2.0098449493821187E-3</v>
      </c>
      <c r="AL154" s="163">
        <v>2.0098449493821187E-3</v>
      </c>
      <c r="AM154" s="163">
        <v>1.9066911113635281E-2</v>
      </c>
      <c r="AN154" s="163">
        <v>3.2728145034780755E-2</v>
      </c>
      <c r="AO154" s="163">
        <v>2.0098449493821187E-3</v>
      </c>
      <c r="AP154" s="163">
        <v>2.0098449493821187E-3</v>
      </c>
      <c r="AQ154" s="164">
        <f t="shared" si="60"/>
        <v>24758382</v>
      </c>
      <c r="AR154" s="164">
        <f t="shared" si="61"/>
        <v>68277966</v>
      </c>
      <c r="AS154" s="164">
        <f t="shared" si="62"/>
        <v>2009844</v>
      </c>
      <c r="AT154" s="164">
        <f t="shared" si="63"/>
        <v>2009844</v>
      </c>
      <c r="AU154" s="164">
        <f t="shared" si="64"/>
        <v>19066911</v>
      </c>
      <c r="AV154" s="164">
        <f t="shared" si="65"/>
        <v>32728145</v>
      </c>
      <c r="AW154" s="164">
        <f t="shared" si="66"/>
        <v>2009844</v>
      </c>
      <c r="AX154" s="164">
        <f t="shared" si="67"/>
        <v>2009844</v>
      </c>
      <c r="AY154" s="165">
        <f t="shared" si="68"/>
        <v>2.1033301605163528</v>
      </c>
      <c r="AZ154" s="165">
        <v>2.4758382495167649E-2</v>
      </c>
      <c r="BA154" s="165">
        <f t="shared" si="69"/>
        <v>5.8005044589145642</v>
      </c>
      <c r="BB154" s="165">
        <v>6.8277967365559342E-2</v>
      </c>
      <c r="BC154" s="165">
        <f t="shared" si="70"/>
        <v>0.17074482101184274</v>
      </c>
      <c r="BD154" s="165">
        <v>2.0098440261279724E-3</v>
      </c>
      <c r="BE154" s="165">
        <f t="shared" si="71"/>
        <v>0.17074482101184274</v>
      </c>
      <c r="BF154" s="165">
        <v>2.0098440261279724E-3</v>
      </c>
      <c r="BG154" s="165">
        <f t="shared" si="72"/>
        <v>2.1033301605163528</v>
      </c>
      <c r="BH154" s="165">
        <v>2.4758382495167649E-2</v>
      </c>
      <c r="BI154" s="165">
        <f t="shared" si="73"/>
        <v>5.8005044589145642</v>
      </c>
      <c r="BJ154" s="165">
        <v>6.8277967365559342E-2</v>
      </c>
      <c r="BK154" s="165">
        <f t="shared" si="74"/>
        <v>0.17074482101184274</v>
      </c>
      <c r="BL154" s="165">
        <v>2.0098440261279724E-3</v>
      </c>
      <c r="BM154" s="165">
        <f t="shared" si="75"/>
        <v>0.17074482101184274</v>
      </c>
      <c r="BN154" s="165">
        <v>2.0098440261279724E-3</v>
      </c>
    </row>
    <row r="155" spans="1:66" ht="15.6" x14ac:dyDescent="0.3">
      <c r="A155" s="155">
        <v>90</v>
      </c>
      <c r="B155" s="155">
        <v>100</v>
      </c>
      <c r="C155" s="156">
        <v>294010</v>
      </c>
      <c r="D155" s="156"/>
      <c r="E155" s="156"/>
      <c r="F155" s="156">
        <v>837595461000</v>
      </c>
      <c r="G155" s="156"/>
      <c r="H155" s="172"/>
      <c r="I155" s="157">
        <v>2.9483834833966029E-2</v>
      </c>
      <c r="J155" s="157" t="e">
        <v>#DIV/0!</v>
      </c>
      <c r="K155" s="157"/>
      <c r="L155" s="157">
        <v>94.962241760484332</v>
      </c>
      <c r="M155" s="157"/>
      <c r="N155" s="163"/>
      <c r="O155" s="179"/>
      <c r="P155" s="177" t="str">
        <f t="shared" si="58"/>
        <v>(90, 100]</v>
      </c>
      <c r="Q155" s="160" t="s">
        <v>139</v>
      </c>
      <c r="R155" s="157">
        <f t="shared" si="59"/>
        <v>2.9483834833966029E-2</v>
      </c>
      <c r="S155" s="162">
        <v>0.8</v>
      </c>
      <c r="T155" s="162">
        <v>0.8</v>
      </c>
      <c r="U155" s="161">
        <v>0.03</v>
      </c>
      <c r="V155" s="161">
        <v>0.03</v>
      </c>
      <c r="W155" s="162">
        <v>0.18056013563894063</v>
      </c>
      <c r="X155" s="178">
        <v>1.58</v>
      </c>
      <c r="Y155" s="161">
        <v>0.03</v>
      </c>
      <c r="Z155" s="161">
        <v>0.03</v>
      </c>
      <c r="AA155" s="163">
        <v>2.3587067867172823E-2</v>
      </c>
      <c r="AB155" s="163">
        <v>2.3587067867172823E-2</v>
      </c>
      <c r="AC155" s="163">
        <v>8.8451504501898084E-4</v>
      </c>
      <c r="AD155" s="163">
        <v>8.8451504501898084E-4</v>
      </c>
      <c r="AE155" s="163">
        <v>5.323605216777029E-3</v>
      </c>
      <c r="AF155" s="163">
        <v>4.658445903766633E-2</v>
      </c>
      <c r="AG155" s="163">
        <v>8.8451504501898084E-4</v>
      </c>
      <c r="AH155" s="163">
        <v>8.8451504501898084E-4</v>
      </c>
      <c r="AI155" s="163">
        <v>2.2235155808447527E-2</v>
      </c>
      <c r="AJ155" s="163">
        <v>6.1319484274869718E-2</v>
      </c>
      <c r="AK155" s="163">
        <v>1.0830081440209118E-3</v>
      </c>
      <c r="AL155" s="163">
        <v>1.0830081440209118E-3</v>
      </c>
      <c r="AM155" s="163">
        <v>5.7096142539838444E-3</v>
      </c>
      <c r="AN155" s="163">
        <v>3.0960298285239326E-2</v>
      </c>
      <c r="AO155" s="163">
        <v>1.0830081440209118E-3</v>
      </c>
      <c r="AP155" s="163">
        <v>1.0830081440209118E-3</v>
      </c>
      <c r="AQ155" s="164">
        <f t="shared" si="60"/>
        <v>22235155</v>
      </c>
      <c r="AR155" s="164">
        <f t="shared" si="61"/>
        <v>61319484</v>
      </c>
      <c r="AS155" s="164">
        <f t="shared" si="62"/>
        <v>1083008</v>
      </c>
      <c r="AT155" s="164">
        <f t="shared" si="63"/>
        <v>1083008</v>
      </c>
      <c r="AU155" s="164">
        <f t="shared" si="64"/>
        <v>5709614</v>
      </c>
      <c r="AV155" s="164">
        <f t="shared" si="65"/>
        <v>30960298</v>
      </c>
      <c r="AW155" s="164">
        <f t="shared" si="66"/>
        <v>1083008</v>
      </c>
      <c r="AX155" s="164">
        <f t="shared" si="67"/>
        <v>1083008</v>
      </c>
      <c r="AY155" s="165">
        <f t="shared" si="68"/>
        <v>2.1115001646918419</v>
      </c>
      <c r="AZ155" s="165">
        <v>2.2235155444703107E-2</v>
      </c>
      <c r="BA155" s="165">
        <f t="shared" si="69"/>
        <v>5.8230356642361505</v>
      </c>
      <c r="BB155" s="165">
        <v>6.1319485226389706E-2</v>
      </c>
      <c r="BC155" s="165">
        <f t="shared" si="70"/>
        <v>0.10284486752453863</v>
      </c>
      <c r="BD155" s="165">
        <v>1.0830080140791041E-3</v>
      </c>
      <c r="BE155" s="165">
        <f t="shared" si="71"/>
        <v>0.10284486752453863</v>
      </c>
      <c r="BF155" s="165">
        <v>1.0830080140791041E-3</v>
      </c>
      <c r="BG155" s="165">
        <f t="shared" si="72"/>
        <v>2.1115001646918419</v>
      </c>
      <c r="BH155" s="165">
        <v>2.2235155444703107E-2</v>
      </c>
      <c r="BI155" s="165">
        <f t="shared" si="73"/>
        <v>5.8230356642361505</v>
      </c>
      <c r="BJ155" s="165">
        <v>6.1319485226389706E-2</v>
      </c>
      <c r="BK155" s="165">
        <f t="shared" si="74"/>
        <v>0.10284486752453863</v>
      </c>
      <c r="BL155" s="165">
        <v>1.0830080140791041E-3</v>
      </c>
      <c r="BM155" s="165">
        <f t="shared" si="75"/>
        <v>0.10284486752453863</v>
      </c>
      <c r="BN155" s="165">
        <v>1.0830080140791041E-3</v>
      </c>
    </row>
    <row r="156" spans="1:66" ht="15.6" x14ac:dyDescent="0.3">
      <c r="A156" s="155">
        <v>100</v>
      </c>
      <c r="B156" s="155">
        <v>120</v>
      </c>
      <c r="C156" s="156">
        <v>509473</v>
      </c>
      <c r="D156" s="156"/>
      <c r="E156" s="156"/>
      <c r="F156" s="156">
        <v>1677268642500</v>
      </c>
      <c r="G156" s="156"/>
      <c r="H156" s="172"/>
      <c r="I156" s="157">
        <v>5.109083971417698E-2</v>
      </c>
      <c r="J156" s="157" t="e">
        <v>#DIV/0!</v>
      </c>
      <c r="K156" s="157"/>
      <c r="L156" s="157">
        <v>109.73879822875796</v>
      </c>
      <c r="M156" s="157"/>
      <c r="N156" s="163"/>
      <c r="O156" s="179"/>
      <c r="P156" s="177" t="str">
        <f t="shared" si="58"/>
        <v>(100, 120]</v>
      </c>
      <c r="Q156" s="160" t="s">
        <v>139</v>
      </c>
      <c r="R156" s="157">
        <f t="shared" si="59"/>
        <v>5.109083971417698E-2</v>
      </c>
      <c r="S156" s="162">
        <v>0.8</v>
      </c>
      <c r="T156" s="162">
        <v>0.6</v>
      </c>
      <c r="U156" s="161">
        <v>0.05</v>
      </c>
      <c r="V156" s="161">
        <v>0.05</v>
      </c>
      <c r="W156" s="162">
        <v>1.3346887690978533</v>
      </c>
      <c r="X156" s="178">
        <v>1</v>
      </c>
      <c r="Y156" s="161">
        <v>0.05</v>
      </c>
      <c r="Z156" s="161">
        <v>0.05</v>
      </c>
      <c r="AA156" s="163">
        <v>4.0872671771341587E-2</v>
      </c>
      <c r="AB156" s="163">
        <v>3.0654503828506187E-2</v>
      </c>
      <c r="AC156" s="163">
        <v>2.5545419857088492E-3</v>
      </c>
      <c r="AD156" s="163">
        <v>2.5545419857088492E-3</v>
      </c>
      <c r="AE156" s="163">
        <v>6.8190369970290599E-2</v>
      </c>
      <c r="AF156" s="163">
        <v>5.109083971417698E-2</v>
      </c>
      <c r="AG156" s="163">
        <v>2.5545419857088492E-3</v>
      </c>
      <c r="AH156" s="163">
        <v>2.5545419857088492E-3</v>
      </c>
      <c r="AI156" s="163">
        <v>3.8530021207432361E-2</v>
      </c>
      <c r="AJ156" s="163">
        <v>7.9692752657998106E-2</v>
      </c>
      <c r="AK156" s="163">
        <v>3.1278040891963201E-3</v>
      </c>
      <c r="AL156" s="163">
        <v>3.1278040891963201E-3</v>
      </c>
      <c r="AM156" s="163">
        <v>7.3134782259927672E-2</v>
      </c>
      <c r="AN156" s="163">
        <v>3.3955264692787368E-2</v>
      </c>
      <c r="AO156" s="163">
        <v>3.1278040891963201E-3</v>
      </c>
      <c r="AP156" s="163">
        <v>3.1278040891963201E-3</v>
      </c>
      <c r="AQ156" s="164">
        <f t="shared" si="60"/>
        <v>38530021</v>
      </c>
      <c r="AR156" s="164">
        <f t="shared" si="61"/>
        <v>79692752</v>
      </c>
      <c r="AS156" s="164">
        <f t="shared" si="62"/>
        <v>3127804</v>
      </c>
      <c r="AT156" s="164">
        <f t="shared" si="63"/>
        <v>3127804</v>
      </c>
      <c r="AU156" s="164">
        <f t="shared" si="64"/>
        <v>73134782</v>
      </c>
      <c r="AV156" s="164">
        <f t="shared" si="65"/>
        <v>33955264</v>
      </c>
      <c r="AW156" s="164">
        <f t="shared" si="66"/>
        <v>3127804</v>
      </c>
      <c r="AX156" s="164">
        <f t="shared" si="67"/>
        <v>3127804</v>
      </c>
      <c r="AY156" s="165">
        <f t="shared" si="68"/>
        <v>4.228238200268807</v>
      </c>
      <c r="AZ156" s="165">
        <v>3.8530021770600435E-2</v>
      </c>
      <c r="BA156" s="165">
        <f t="shared" si="69"/>
        <v>8.7453868320224473</v>
      </c>
      <c r="BB156" s="165">
        <v>7.9692753593855067E-2</v>
      </c>
      <c r="BC156" s="165">
        <f t="shared" si="70"/>
        <v>0.34324145205510204</v>
      </c>
      <c r="BD156" s="165">
        <v>3.1278040406614526E-3</v>
      </c>
      <c r="BE156" s="165">
        <f t="shared" si="71"/>
        <v>0.34324145205510204</v>
      </c>
      <c r="BF156" s="165">
        <v>3.1278040406614526E-3</v>
      </c>
      <c r="BG156" s="165">
        <f t="shared" si="72"/>
        <v>4.228238200268807</v>
      </c>
      <c r="BH156" s="165">
        <v>3.8530021770600435E-2</v>
      </c>
      <c r="BI156" s="165">
        <f t="shared" si="73"/>
        <v>8.7453868320224473</v>
      </c>
      <c r="BJ156" s="165">
        <v>7.9692753593855067E-2</v>
      </c>
      <c r="BK156" s="165">
        <f t="shared" si="74"/>
        <v>0.34324145205510204</v>
      </c>
      <c r="BL156" s="165">
        <v>3.1278040406614526E-3</v>
      </c>
      <c r="BM156" s="165">
        <f t="shared" si="75"/>
        <v>0.34324145205510204</v>
      </c>
      <c r="BN156" s="165">
        <v>3.1278040406614526E-3</v>
      </c>
    </row>
    <row r="157" spans="1:66" ht="15.6" x14ac:dyDescent="0.3">
      <c r="A157" s="155">
        <v>120</v>
      </c>
      <c r="B157" s="155">
        <v>140</v>
      </c>
      <c r="C157" s="156">
        <v>425228</v>
      </c>
      <c r="D157" s="156"/>
      <c r="E157" s="156"/>
      <c r="F157" s="156">
        <v>1655074416000</v>
      </c>
      <c r="G157" s="156"/>
      <c r="H157" s="172"/>
      <c r="I157" s="157">
        <v>4.2642604397053523E-2</v>
      </c>
      <c r="J157" s="157" t="e">
        <v>#DIV/0!</v>
      </c>
      <c r="K157" s="157"/>
      <c r="L157" s="157">
        <v>129.7401563396578</v>
      </c>
      <c r="M157" s="157"/>
      <c r="N157" s="163"/>
      <c r="O157" s="179"/>
      <c r="P157" s="177" t="str">
        <f t="shared" si="58"/>
        <v>(120, 140]</v>
      </c>
      <c r="Q157" s="160" t="s">
        <v>139</v>
      </c>
      <c r="R157" s="157">
        <f t="shared" si="59"/>
        <v>4.2642604397053523E-2</v>
      </c>
      <c r="S157" s="162">
        <v>0.8</v>
      </c>
      <c r="T157" s="162">
        <v>0.6</v>
      </c>
      <c r="U157" s="161">
        <v>1E-3</v>
      </c>
      <c r="V157" s="161">
        <v>1E-3</v>
      </c>
      <c r="W157" s="162">
        <v>2.1493856561436044</v>
      </c>
      <c r="X157" s="178">
        <v>1.2</v>
      </c>
      <c r="Y157" s="161">
        <v>1E-3</v>
      </c>
      <c r="Z157" s="161">
        <v>1E-3</v>
      </c>
      <c r="AA157" s="163">
        <v>3.4114083517642821E-2</v>
      </c>
      <c r="AB157" s="163">
        <v>2.5585562638232112E-2</v>
      </c>
      <c r="AC157" s="163">
        <v>4.2642604397053526E-5</v>
      </c>
      <c r="AD157" s="163">
        <v>4.2642604397053526E-5</v>
      </c>
      <c r="AE157" s="163">
        <v>9.1655402231633043E-2</v>
      </c>
      <c r="AF157" s="163">
        <v>5.1171125276464224E-2</v>
      </c>
      <c r="AG157" s="163">
        <v>4.2642604397053526E-5</v>
      </c>
      <c r="AH157" s="163">
        <v>4.2642604397053526E-5</v>
      </c>
      <c r="AI157" s="163">
        <v>3.2158806959336504E-2</v>
      </c>
      <c r="AJ157" s="163">
        <v>6.6514986716185581E-2</v>
      </c>
      <c r="AK157" s="163">
        <v>5.2211986787946486E-5</v>
      </c>
      <c r="AL157" s="163">
        <v>5.2211986787946486E-5</v>
      </c>
      <c r="AM157" s="163">
        <v>9.8301239428339265E-2</v>
      </c>
      <c r="AN157" s="163">
        <v>3.4008622937312681E-2</v>
      </c>
      <c r="AO157" s="163">
        <v>5.2211986787946486E-5</v>
      </c>
      <c r="AP157" s="163">
        <v>5.2211986787946486E-5</v>
      </c>
      <c r="AQ157" s="164">
        <f t="shared" si="60"/>
        <v>32158806</v>
      </c>
      <c r="AR157" s="164">
        <f t="shared" si="61"/>
        <v>66514986</v>
      </c>
      <c r="AS157" s="164">
        <f t="shared" si="62"/>
        <v>52211</v>
      </c>
      <c r="AT157" s="164">
        <f t="shared" si="63"/>
        <v>52211</v>
      </c>
      <c r="AU157" s="164">
        <f t="shared" si="64"/>
        <v>98301239</v>
      </c>
      <c r="AV157" s="164">
        <f t="shared" si="65"/>
        <v>34008622</v>
      </c>
      <c r="AW157" s="164">
        <f t="shared" si="66"/>
        <v>52211</v>
      </c>
      <c r="AX157" s="164">
        <f t="shared" si="67"/>
        <v>52211</v>
      </c>
      <c r="AY157" s="165">
        <f t="shared" si="68"/>
        <v>4.1722885181367255</v>
      </c>
      <c r="AZ157" s="165">
        <v>3.2158806643176135E-2</v>
      </c>
      <c r="BA157" s="165">
        <f t="shared" si="69"/>
        <v>8.6296646825701497</v>
      </c>
      <c r="BB157" s="165">
        <v>6.6514987330299744E-2</v>
      </c>
      <c r="BC157" s="165">
        <f t="shared" si="70"/>
        <v>6.7738633026498737E-3</v>
      </c>
      <c r="BD157" s="165">
        <v>5.221100067874301E-5</v>
      </c>
      <c r="BE157" s="165">
        <f t="shared" si="71"/>
        <v>6.7738633026498737E-3</v>
      </c>
      <c r="BF157" s="165">
        <v>5.221100067874301E-5</v>
      </c>
      <c r="BG157" s="165">
        <f t="shared" si="72"/>
        <v>4.1722885181367255</v>
      </c>
      <c r="BH157" s="165">
        <v>3.2158806643176135E-2</v>
      </c>
      <c r="BI157" s="165">
        <f t="shared" si="73"/>
        <v>8.6296646825701497</v>
      </c>
      <c r="BJ157" s="165">
        <v>6.6514987330299744E-2</v>
      </c>
      <c r="BK157" s="165">
        <f t="shared" si="74"/>
        <v>6.7738633026498737E-3</v>
      </c>
      <c r="BL157" s="165">
        <v>5.221100067874301E-5</v>
      </c>
      <c r="BM157" s="165">
        <f t="shared" si="75"/>
        <v>6.7738633026498737E-3</v>
      </c>
      <c r="BN157" s="165">
        <v>5.221100067874301E-5</v>
      </c>
    </row>
    <row r="158" spans="1:66" ht="15.6" x14ac:dyDescent="0.3">
      <c r="A158" s="155">
        <v>140</v>
      </c>
      <c r="B158" s="155">
        <v>160</v>
      </c>
      <c r="C158" s="156">
        <v>360420</v>
      </c>
      <c r="D158" s="156"/>
      <c r="E158" s="156"/>
      <c r="F158" s="156">
        <v>1619459763000</v>
      </c>
      <c r="G158" s="156"/>
      <c r="H158" s="172"/>
      <c r="I158" s="157">
        <v>3.6143545290493642E-2</v>
      </c>
      <c r="J158" s="157" t="e">
        <v>#DIV/0!</v>
      </c>
      <c r="K158" s="157"/>
      <c r="L158" s="157">
        <v>149.77524027523444</v>
      </c>
      <c r="M158" s="157"/>
      <c r="N158" s="163"/>
      <c r="O158" s="179"/>
      <c r="P158" s="177" t="str">
        <f t="shared" si="58"/>
        <v>(140, 160]</v>
      </c>
      <c r="Q158" s="160" t="s">
        <v>139</v>
      </c>
      <c r="R158" s="157">
        <f t="shared" si="59"/>
        <v>3.6143545290493642E-2</v>
      </c>
      <c r="S158" s="162">
        <v>1</v>
      </c>
      <c r="T158" s="162">
        <v>0.7</v>
      </c>
      <c r="U158" s="161">
        <v>1E-3</v>
      </c>
      <c r="V158" s="161">
        <v>1E-3</v>
      </c>
      <c r="W158" s="162">
        <v>1.6222674740715917</v>
      </c>
      <c r="X158" s="178">
        <v>1.2</v>
      </c>
      <c r="Y158" s="161">
        <v>1E-3</v>
      </c>
      <c r="Z158" s="161">
        <v>1E-3</v>
      </c>
      <c r="AA158" s="163">
        <v>3.6143545290493642E-2</v>
      </c>
      <c r="AB158" s="163">
        <v>2.5300481703345548E-2</v>
      </c>
      <c r="AC158" s="163">
        <v>3.6143545290493643E-5</v>
      </c>
      <c r="AD158" s="163">
        <v>3.6143545290493643E-5</v>
      </c>
      <c r="AE158" s="163">
        <v>5.8634497922401295E-2</v>
      </c>
      <c r="AF158" s="163">
        <v>4.3372254348592369E-2</v>
      </c>
      <c r="AG158" s="163">
        <v>3.6143545290493643E-5</v>
      </c>
      <c r="AH158" s="163">
        <v>3.6143545290493643E-5</v>
      </c>
      <c r="AI158" s="163">
        <v>3.4071948473183983E-2</v>
      </c>
      <c r="AJ158" s="163">
        <v>6.5773859586595609E-2</v>
      </c>
      <c r="AK158" s="163">
        <v>4.4254480603609522E-5</v>
      </c>
      <c r="AL158" s="163">
        <v>4.4254480603609522E-5</v>
      </c>
      <c r="AM158" s="163">
        <v>6.2886023940672359E-2</v>
      </c>
      <c r="AN158" s="163">
        <v>2.8825448651232363E-2</v>
      </c>
      <c r="AO158" s="163">
        <v>4.4254480603609522E-5</v>
      </c>
      <c r="AP158" s="163">
        <v>4.4254480603609522E-5</v>
      </c>
      <c r="AQ158" s="164">
        <f t="shared" si="60"/>
        <v>34071948</v>
      </c>
      <c r="AR158" s="164">
        <f t="shared" si="61"/>
        <v>65773859</v>
      </c>
      <c r="AS158" s="164">
        <f t="shared" si="62"/>
        <v>44254</v>
      </c>
      <c r="AT158" s="164">
        <f t="shared" si="63"/>
        <v>44254</v>
      </c>
      <c r="AU158" s="164">
        <f t="shared" si="64"/>
        <v>62886023</v>
      </c>
      <c r="AV158" s="164">
        <f t="shared" si="65"/>
        <v>28825448</v>
      </c>
      <c r="AW158" s="164">
        <f t="shared" si="66"/>
        <v>44254</v>
      </c>
      <c r="AX158" s="164">
        <f t="shared" si="67"/>
        <v>44254</v>
      </c>
      <c r="AY158" s="165">
        <f t="shared" si="68"/>
        <v>5.1031341983452929</v>
      </c>
      <c r="AZ158" s="165">
        <v>3.4071948681438972E-2</v>
      </c>
      <c r="BA158" s="165">
        <f t="shared" si="69"/>
        <v>9.8512955355543923</v>
      </c>
      <c r="BB158" s="165">
        <v>6.5773860315477203E-2</v>
      </c>
      <c r="BC158" s="165">
        <f t="shared" si="70"/>
        <v>6.6281534831402244E-3</v>
      </c>
      <c r="BD158" s="165">
        <v>4.4254000575302006E-5</v>
      </c>
      <c r="BE158" s="165">
        <f t="shared" si="71"/>
        <v>6.6281534831402244E-3</v>
      </c>
      <c r="BF158" s="165">
        <v>4.4254000575302006E-5</v>
      </c>
      <c r="BG158" s="165">
        <f t="shared" si="72"/>
        <v>5.1031341983452929</v>
      </c>
      <c r="BH158" s="165">
        <v>3.4071948681438972E-2</v>
      </c>
      <c r="BI158" s="165">
        <f t="shared" si="73"/>
        <v>9.8512955355543923</v>
      </c>
      <c r="BJ158" s="165">
        <v>6.5773860315477203E-2</v>
      </c>
      <c r="BK158" s="165">
        <f t="shared" si="74"/>
        <v>6.6281534831402244E-3</v>
      </c>
      <c r="BL158" s="165">
        <v>4.4254000575302006E-5</v>
      </c>
      <c r="BM158" s="165">
        <f t="shared" si="75"/>
        <v>6.6281534831402244E-3</v>
      </c>
      <c r="BN158" s="165">
        <v>4.4254000575302006E-5</v>
      </c>
    </row>
    <row r="159" spans="1:66" ht="15.6" x14ac:dyDescent="0.3">
      <c r="A159" s="155">
        <v>160</v>
      </c>
      <c r="B159" s="155">
        <v>180</v>
      </c>
      <c r="C159" s="156">
        <v>308176</v>
      </c>
      <c r="D159" s="156"/>
      <c r="E159" s="156"/>
      <c r="F159" s="156">
        <v>1569677940000</v>
      </c>
      <c r="G159" s="156"/>
      <c r="H159" s="172"/>
      <c r="I159" s="157">
        <v>3.0904425984804307E-2</v>
      </c>
      <c r="J159" s="157" t="e">
        <v>#DIV/0!</v>
      </c>
      <c r="K159" s="157"/>
      <c r="L159" s="157">
        <v>169.78154690826022</v>
      </c>
      <c r="M159" s="157"/>
      <c r="N159" s="163"/>
      <c r="O159" s="179"/>
      <c r="P159" s="177" t="str">
        <f t="shared" si="58"/>
        <v>(160, 180]</v>
      </c>
      <c r="Q159" s="160" t="s">
        <v>139</v>
      </c>
      <c r="R159" s="157">
        <f t="shared" si="59"/>
        <v>3.0904425984804307E-2</v>
      </c>
      <c r="S159" s="162">
        <v>0.61950000000000005</v>
      </c>
      <c r="T159" s="162">
        <v>0.74</v>
      </c>
      <c r="U159" s="161">
        <v>1.8E-3</v>
      </c>
      <c r="V159" s="161">
        <v>1.8E-3</v>
      </c>
      <c r="W159" s="162">
        <v>0.88960180589166604</v>
      </c>
      <c r="X159" s="178">
        <v>0.8</v>
      </c>
      <c r="Y159" s="161">
        <v>1.8E-3</v>
      </c>
      <c r="Z159" s="161">
        <v>1.8E-3</v>
      </c>
      <c r="AA159" s="163">
        <v>1.9145291897586271E-2</v>
      </c>
      <c r="AB159" s="163">
        <v>2.2869275228755186E-2</v>
      </c>
      <c r="AC159" s="163">
        <v>5.5627966772647751E-5</v>
      </c>
      <c r="AD159" s="163">
        <v>5.5627966772647751E-5</v>
      </c>
      <c r="AE159" s="163">
        <v>2.7492633166127239E-2</v>
      </c>
      <c r="AF159" s="163">
        <v>2.4723540787843445E-2</v>
      </c>
      <c r="AG159" s="163">
        <v>5.5627966772647751E-5</v>
      </c>
      <c r="AH159" s="163">
        <v>5.5627966772647751E-5</v>
      </c>
      <c r="AI159" s="163">
        <v>1.8047963856224047E-2</v>
      </c>
      <c r="AJ159" s="163">
        <v>5.9453433155165908E-2</v>
      </c>
      <c r="AK159" s="163">
        <v>6.8111380794895791E-5</v>
      </c>
      <c r="AL159" s="163">
        <v>6.8111380794895791E-5</v>
      </c>
      <c r="AM159" s="163">
        <v>2.9486095195447627E-2</v>
      </c>
      <c r="AN159" s="163">
        <v>1.6431406809726032E-2</v>
      </c>
      <c r="AO159" s="163">
        <v>6.8111380794895791E-5</v>
      </c>
      <c r="AP159" s="163">
        <v>6.8111380794895791E-5</v>
      </c>
      <c r="AQ159" s="164">
        <f t="shared" si="60"/>
        <v>18047963</v>
      </c>
      <c r="AR159" s="164">
        <f t="shared" si="61"/>
        <v>59453433</v>
      </c>
      <c r="AS159" s="164">
        <f t="shared" si="62"/>
        <v>68111</v>
      </c>
      <c r="AT159" s="164">
        <f t="shared" si="63"/>
        <v>68111</v>
      </c>
      <c r="AU159" s="164">
        <f t="shared" si="64"/>
        <v>29486095</v>
      </c>
      <c r="AV159" s="164">
        <f t="shared" si="65"/>
        <v>16431406</v>
      </c>
      <c r="AW159" s="164">
        <f t="shared" si="66"/>
        <v>68111</v>
      </c>
      <c r="AX159" s="164">
        <f t="shared" si="67"/>
        <v>68111</v>
      </c>
      <c r="AY159" s="165">
        <f t="shared" si="68"/>
        <v>3.064211076683045</v>
      </c>
      <c r="AZ159" s="165">
        <v>1.8047963360959266E-2</v>
      </c>
      <c r="BA159" s="165">
        <f t="shared" si="69"/>
        <v>10.094095823746606</v>
      </c>
      <c r="BB159" s="165">
        <v>5.9453434189068684E-2</v>
      </c>
      <c r="BC159" s="165">
        <f t="shared" si="70"/>
        <v>1.1563990941468512E-2</v>
      </c>
      <c r="BD159" s="165">
        <v>6.8111000885443017E-5</v>
      </c>
      <c r="BE159" s="165">
        <f t="shared" si="71"/>
        <v>1.1563990941468512E-2</v>
      </c>
      <c r="BF159" s="165">
        <v>6.8111000885443017E-5</v>
      </c>
      <c r="BG159" s="165">
        <f t="shared" si="72"/>
        <v>3.064211076683045</v>
      </c>
      <c r="BH159" s="165">
        <v>1.8047963360959266E-2</v>
      </c>
      <c r="BI159" s="165">
        <f t="shared" si="73"/>
        <v>10.094095823746606</v>
      </c>
      <c r="BJ159" s="165">
        <v>5.9453434189068684E-2</v>
      </c>
      <c r="BK159" s="165">
        <f t="shared" si="74"/>
        <v>1.1563990941468512E-2</v>
      </c>
      <c r="BL159" s="165">
        <v>6.8111000885443017E-5</v>
      </c>
      <c r="BM159" s="165">
        <f t="shared" si="75"/>
        <v>1.1563990941468512E-2</v>
      </c>
      <c r="BN159" s="165">
        <v>6.8111000885443017E-5</v>
      </c>
    </row>
    <row r="160" spans="1:66" ht="15.6" x14ac:dyDescent="0.3">
      <c r="A160" s="155">
        <v>180</v>
      </c>
      <c r="B160" s="155">
        <v>200</v>
      </c>
      <c r="C160" s="156">
        <v>266063</v>
      </c>
      <c r="D160" s="156"/>
      <c r="E160" s="156"/>
      <c r="F160" s="156">
        <v>1514961540000</v>
      </c>
      <c r="G160" s="156"/>
      <c r="H160" s="172"/>
      <c r="I160" s="157">
        <v>2.6681261002787331E-2</v>
      </c>
      <c r="J160" s="157" t="e">
        <v>#DIV/0!</v>
      </c>
      <c r="K160" s="157"/>
      <c r="L160" s="157">
        <v>189.79985191477206</v>
      </c>
      <c r="M160" s="157"/>
      <c r="N160" s="163"/>
      <c r="O160" s="179"/>
      <c r="P160" s="177" t="str">
        <f t="shared" si="58"/>
        <v>(180, 200]</v>
      </c>
      <c r="Q160" s="160" t="s">
        <v>139</v>
      </c>
      <c r="R160" s="157">
        <f t="shared" si="59"/>
        <v>2.6681261002787331E-2</v>
      </c>
      <c r="S160" s="162">
        <v>0.6</v>
      </c>
      <c r="T160" s="162">
        <v>0.8</v>
      </c>
      <c r="U160" s="161">
        <v>1.8E-3</v>
      </c>
      <c r="V160" s="161">
        <v>1.8E-3</v>
      </c>
      <c r="W160" s="162">
        <v>0.80518932711884639</v>
      </c>
      <c r="X160" s="178">
        <v>0.3</v>
      </c>
      <c r="Y160" s="161">
        <v>1.8E-3</v>
      </c>
      <c r="Z160" s="161">
        <v>1.8E-3</v>
      </c>
      <c r="AA160" s="163">
        <v>1.6008756601672398E-2</v>
      </c>
      <c r="AB160" s="163">
        <v>2.1345008802229865E-2</v>
      </c>
      <c r="AC160" s="163">
        <v>4.8026269805017192E-5</v>
      </c>
      <c r="AD160" s="163">
        <v>4.8026269805017192E-5</v>
      </c>
      <c r="AE160" s="163">
        <v>2.1483466593516649E-2</v>
      </c>
      <c r="AF160" s="163">
        <v>8.0043783008361992E-3</v>
      </c>
      <c r="AG160" s="163">
        <v>4.8026269805017192E-5</v>
      </c>
      <c r="AH160" s="163">
        <v>4.8026269805017192E-5</v>
      </c>
      <c r="AI160" s="163">
        <v>1.5091201642451722E-2</v>
      </c>
      <c r="AJ160" s="163">
        <v>5.5490785839341042E-2</v>
      </c>
      <c r="AK160" s="163">
        <v>5.8803794936764573E-5</v>
      </c>
      <c r="AL160" s="163">
        <v>5.8803794936764573E-5</v>
      </c>
      <c r="AM160" s="163">
        <v>2.3041210249919612E-2</v>
      </c>
      <c r="AN160" s="163">
        <v>5.319755663179649E-3</v>
      </c>
      <c r="AO160" s="163">
        <v>5.8803794936764573E-5</v>
      </c>
      <c r="AP160" s="163">
        <v>5.8803794936764573E-5</v>
      </c>
      <c r="AQ160" s="164">
        <f t="shared" si="60"/>
        <v>15091201</v>
      </c>
      <c r="AR160" s="164">
        <f t="shared" si="61"/>
        <v>55490785</v>
      </c>
      <c r="AS160" s="164">
        <f t="shared" si="62"/>
        <v>58803</v>
      </c>
      <c r="AT160" s="164">
        <f t="shared" si="63"/>
        <v>58803</v>
      </c>
      <c r="AU160" s="164">
        <f t="shared" si="64"/>
        <v>23041210</v>
      </c>
      <c r="AV160" s="164">
        <f t="shared" si="65"/>
        <v>5319755</v>
      </c>
      <c r="AW160" s="164">
        <f t="shared" si="66"/>
        <v>58803</v>
      </c>
      <c r="AX160" s="164">
        <f t="shared" si="67"/>
        <v>58803</v>
      </c>
      <c r="AY160" s="165">
        <f t="shared" si="68"/>
        <v>2.8643077150160599</v>
      </c>
      <c r="AZ160" s="165">
        <v>1.5091201301824026E-2</v>
      </c>
      <c r="BA160" s="165">
        <f t="shared" si="69"/>
        <v>10.532142775634455</v>
      </c>
      <c r="BB160" s="165">
        <v>5.5490786109815719E-2</v>
      </c>
      <c r="BC160" s="165">
        <f t="shared" si="70"/>
        <v>1.1160800692144342E-2</v>
      </c>
      <c r="BD160" s="165">
        <v>5.8803000764439008E-5</v>
      </c>
      <c r="BE160" s="165">
        <f t="shared" si="71"/>
        <v>1.1160800692144342E-2</v>
      </c>
      <c r="BF160" s="165">
        <v>5.8803000764439008E-5</v>
      </c>
      <c r="BG160" s="165">
        <f t="shared" si="72"/>
        <v>2.8643077150160599</v>
      </c>
      <c r="BH160" s="165">
        <v>1.5091201301824026E-2</v>
      </c>
      <c r="BI160" s="165">
        <f t="shared" si="73"/>
        <v>10.532142775634455</v>
      </c>
      <c r="BJ160" s="165">
        <v>5.5490786109815719E-2</v>
      </c>
      <c r="BK160" s="165">
        <f t="shared" si="74"/>
        <v>1.1160800692144342E-2</v>
      </c>
      <c r="BL160" s="165">
        <v>5.8803000764439008E-5</v>
      </c>
      <c r="BM160" s="165">
        <f t="shared" si="75"/>
        <v>1.1160800692144342E-2</v>
      </c>
      <c r="BN160" s="165">
        <v>5.8803000764439008E-5</v>
      </c>
    </row>
    <row r="161" spans="1:66" ht="15.6" x14ac:dyDescent="0.3">
      <c r="A161" s="155">
        <v>200</v>
      </c>
      <c r="B161" s="155">
        <v>250</v>
      </c>
      <c r="C161" s="156">
        <v>529837</v>
      </c>
      <c r="D161" s="156"/>
      <c r="E161" s="156"/>
      <c r="F161" s="156">
        <v>3555818586000</v>
      </c>
      <c r="G161" s="156"/>
      <c r="H161" s="172"/>
      <c r="I161" s="157">
        <v>5.3132977099160088E-2</v>
      </c>
      <c r="J161" s="157" t="e">
        <v>#DIV/0!</v>
      </c>
      <c r="K161" s="157"/>
      <c r="L161" s="157">
        <v>223.70518895433878</v>
      </c>
      <c r="M161" s="157"/>
      <c r="N161" s="163"/>
      <c r="O161" s="179"/>
      <c r="P161" s="177" t="str">
        <f t="shared" si="58"/>
        <v>(200, 250]</v>
      </c>
      <c r="Q161" s="160" t="s">
        <v>139</v>
      </c>
      <c r="R161" s="157">
        <f t="shared" si="59"/>
        <v>5.3132977099160088E-2</v>
      </c>
      <c r="S161" s="162">
        <v>0.5</v>
      </c>
      <c r="T161" s="162">
        <v>0.53269999999999995</v>
      </c>
      <c r="U161" s="161">
        <v>0.02</v>
      </c>
      <c r="V161" s="161">
        <v>0.02</v>
      </c>
      <c r="W161" s="162">
        <v>0.9</v>
      </c>
      <c r="X161" s="178">
        <v>0.248</v>
      </c>
      <c r="Y161" s="161">
        <v>0.02</v>
      </c>
      <c r="Z161" s="161">
        <v>0.02</v>
      </c>
      <c r="AA161" s="163">
        <v>2.6566488549580044E-2</v>
      </c>
      <c r="AB161" s="163">
        <v>2.8303936900722575E-2</v>
      </c>
      <c r="AC161" s="163">
        <v>1.0626595419832017E-3</v>
      </c>
      <c r="AD161" s="163">
        <v>1.0626595419832017E-3</v>
      </c>
      <c r="AE161" s="163">
        <v>4.7819679389244078E-2</v>
      </c>
      <c r="AF161" s="163">
        <v>1.3176978320591701E-2</v>
      </c>
      <c r="AG161" s="163">
        <v>1.0626595419832017E-3</v>
      </c>
      <c r="AH161" s="163">
        <v>1.0626595419832017E-3</v>
      </c>
      <c r="AI161" s="163">
        <v>2.504380856110424E-2</v>
      </c>
      <c r="AJ161" s="163">
        <v>7.3581965485258582E-2</v>
      </c>
      <c r="AK161" s="163">
        <v>1.3011298618042647E-3</v>
      </c>
      <c r="AL161" s="163">
        <v>1.3011298618042647E-3</v>
      </c>
      <c r="AM161" s="163">
        <v>5.1287034245387199E-2</v>
      </c>
      <c r="AN161" s="163">
        <v>8.7574952619668359E-3</v>
      </c>
      <c r="AO161" s="163">
        <v>1.3011298618042647E-3</v>
      </c>
      <c r="AP161" s="163">
        <v>1.3011298618042647E-3</v>
      </c>
      <c r="AQ161" s="164">
        <f t="shared" si="60"/>
        <v>25043808</v>
      </c>
      <c r="AR161" s="164">
        <f t="shared" si="61"/>
        <v>73581965</v>
      </c>
      <c r="AS161" s="164">
        <f t="shared" si="62"/>
        <v>1301129</v>
      </c>
      <c r="AT161" s="164">
        <f t="shared" si="63"/>
        <v>1301129</v>
      </c>
      <c r="AU161" s="164">
        <f t="shared" si="64"/>
        <v>51287034</v>
      </c>
      <c r="AV161" s="164">
        <f t="shared" si="65"/>
        <v>8757495</v>
      </c>
      <c r="AW161" s="164">
        <f t="shared" si="66"/>
        <v>1301129</v>
      </c>
      <c r="AX161" s="164">
        <f t="shared" si="67"/>
        <v>1301129</v>
      </c>
      <c r="AY161" s="165">
        <f t="shared" si="68"/>
        <v>5.6024298007761812</v>
      </c>
      <c r="AZ161" s="165">
        <v>2.5043808500876171E-2</v>
      </c>
      <c r="BA161" s="165">
        <f t="shared" si="69"/>
        <v>16.460667383956544</v>
      </c>
      <c r="BB161" s="165">
        <v>7.3581966471639323E-2</v>
      </c>
      <c r="BC161" s="165">
        <f t="shared" si="70"/>
        <v>0.29106930879896986</v>
      </c>
      <c r="BD161" s="165">
        <v>1.3011290169146772E-3</v>
      </c>
      <c r="BE161" s="165">
        <f t="shared" si="71"/>
        <v>0.29106930879896986</v>
      </c>
      <c r="BF161" s="165">
        <v>1.3011290169146772E-3</v>
      </c>
      <c r="BG161" s="165">
        <f t="shared" si="72"/>
        <v>5.6024298007761812</v>
      </c>
      <c r="BH161" s="165">
        <v>2.5043808500876171E-2</v>
      </c>
      <c r="BI161" s="165">
        <f t="shared" si="73"/>
        <v>16.460667383956544</v>
      </c>
      <c r="BJ161" s="165">
        <v>7.3581966471639323E-2</v>
      </c>
      <c r="BK161" s="165">
        <f t="shared" si="74"/>
        <v>0.29106930879896986</v>
      </c>
      <c r="BL161" s="165">
        <v>1.3011290169146772E-3</v>
      </c>
      <c r="BM161" s="165">
        <f t="shared" si="75"/>
        <v>0.29106930879896986</v>
      </c>
      <c r="BN161" s="165">
        <v>1.3011290169146772E-3</v>
      </c>
    </row>
    <row r="162" spans="1:66" ht="15.6" x14ac:dyDescent="0.3">
      <c r="A162" s="155">
        <v>250</v>
      </c>
      <c r="B162" s="155">
        <v>300</v>
      </c>
      <c r="C162" s="156">
        <v>388913</v>
      </c>
      <c r="D162" s="156"/>
      <c r="E162" s="156"/>
      <c r="F162" s="156">
        <v>3195260875500</v>
      </c>
      <c r="G162" s="156"/>
      <c r="H162" s="172"/>
      <c r="I162" s="157">
        <v>3.9000872952560217E-2</v>
      </c>
      <c r="J162" s="157" t="e">
        <v>#DIV/0!</v>
      </c>
      <c r="K162" s="157"/>
      <c r="L162" s="157">
        <v>273.86252413778919</v>
      </c>
      <c r="M162" s="157"/>
      <c r="N162" s="163"/>
      <c r="O162" s="179"/>
      <c r="P162" s="177" t="str">
        <f t="shared" si="58"/>
        <v>(250, 300]</v>
      </c>
      <c r="Q162" s="160" t="s">
        <v>139</v>
      </c>
      <c r="R162" s="157">
        <f t="shared" si="59"/>
        <v>3.9000872952560217E-2</v>
      </c>
      <c r="S162" s="162">
        <v>0.09</v>
      </c>
      <c r="T162" s="162">
        <v>0.2</v>
      </c>
      <c r="U162" s="161">
        <v>1.8E-3</v>
      </c>
      <c r="V162" s="161">
        <v>1.8E-3</v>
      </c>
      <c r="W162" s="162">
        <v>1.1000000000000001</v>
      </c>
      <c r="X162" s="178">
        <v>0.12</v>
      </c>
      <c r="Y162" s="161">
        <v>1.8E-3</v>
      </c>
      <c r="Z162" s="161">
        <v>1.8E-3</v>
      </c>
      <c r="AA162" s="163">
        <v>3.5100785657304194E-3</v>
      </c>
      <c r="AB162" s="163">
        <v>7.8001745905120438E-3</v>
      </c>
      <c r="AC162" s="163">
        <v>7.0201571314608389E-5</v>
      </c>
      <c r="AD162" s="163">
        <v>7.0201571314608389E-5</v>
      </c>
      <c r="AE162" s="163">
        <v>4.2900960247816242E-2</v>
      </c>
      <c r="AF162" s="163">
        <v>4.6801047543072261E-3</v>
      </c>
      <c r="AG162" s="163">
        <v>7.0201571314608389E-5</v>
      </c>
      <c r="AH162" s="163">
        <v>7.0201571314608389E-5</v>
      </c>
      <c r="AI162" s="163">
        <v>3.3088955460008492E-3</v>
      </c>
      <c r="AJ162" s="163">
        <v>2.0278174711567978E-2</v>
      </c>
      <c r="AK162" s="163">
        <v>8.5955432736765054E-5</v>
      </c>
      <c r="AL162" s="163">
        <v>8.5955432736765054E-5</v>
      </c>
      <c r="AM162" s="163">
        <v>4.601166393191345E-2</v>
      </c>
      <c r="AN162" s="163">
        <v>3.1104244246425651E-3</v>
      </c>
      <c r="AO162" s="163">
        <v>8.5955432736765054E-5</v>
      </c>
      <c r="AP162" s="163">
        <v>8.5955432736765054E-5</v>
      </c>
      <c r="AQ162" s="164">
        <f t="shared" si="60"/>
        <v>3308895</v>
      </c>
      <c r="AR162" s="164">
        <f t="shared" si="61"/>
        <v>20278174</v>
      </c>
      <c r="AS162" s="164">
        <f t="shared" si="62"/>
        <v>85955</v>
      </c>
      <c r="AT162" s="164">
        <f t="shared" si="63"/>
        <v>85955</v>
      </c>
      <c r="AU162" s="164">
        <f t="shared" si="64"/>
        <v>46011663</v>
      </c>
      <c r="AV162" s="164">
        <f t="shared" si="65"/>
        <v>3110424</v>
      </c>
      <c r="AW162" s="164">
        <f t="shared" si="66"/>
        <v>85955</v>
      </c>
      <c r="AX162" s="164">
        <f t="shared" si="67"/>
        <v>85955</v>
      </c>
      <c r="AY162" s="165">
        <f t="shared" si="68"/>
        <v>0.90618233680690996</v>
      </c>
      <c r="AZ162" s="165">
        <v>3.3088950661779013E-3</v>
      </c>
      <c r="BA162" s="165">
        <f t="shared" si="69"/>
        <v>5.5534319165452892</v>
      </c>
      <c r="BB162" s="165">
        <v>2.0278174405563489E-2</v>
      </c>
      <c r="BC162" s="165">
        <f t="shared" si="70"/>
        <v>2.3539853262263672E-2</v>
      </c>
      <c r="BD162" s="165">
        <v>8.5955001117415011E-5</v>
      </c>
      <c r="BE162" s="165">
        <f t="shared" si="71"/>
        <v>2.3539853262263672E-2</v>
      </c>
      <c r="BF162" s="165">
        <v>8.5955001117415011E-5</v>
      </c>
      <c r="BG162" s="165">
        <f t="shared" si="72"/>
        <v>0.90618233680690996</v>
      </c>
      <c r="BH162" s="165">
        <v>3.3088950661779013E-3</v>
      </c>
      <c r="BI162" s="165">
        <f t="shared" si="73"/>
        <v>5.5534319165452892</v>
      </c>
      <c r="BJ162" s="165">
        <v>2.0278174405563489E-2</v>
      </c>
      <c r="BK162" s="165">
        <f t="shared" si="74"/>
        <v>2.3539853262263672E-2</v>
      </c>
      <c r="BL162" s="165">
        <v>8.5955001117415011E-5</v>
      </c>
      <c r="BM162" s="165">
        <f t="shared" si="75"/>
        <v>2.3539853262263672E-2</v>
      </c>
      <c r="BN162" s="165">
        <v>8.5955001117415011E-5</v>
      </c>
    </row>
    <row r="163" spans="1:66" ht="15.6" x14ac:dyDescent="0.3">
      <c r="A163" s="155">
        <v>300</v>
      </c>
      <c r="B163" s="155">
        <v>350</v>
      </c>
      <c r="C163" s="156">
        <v>297385</v>
      </c>
      <c r="D163" s="156"/>
      <c r="E163" s="156"/>
      <c r="F163" s="156">
        <v>2890177030500</v>
      </c>
      <c r="G163" s="156"/>
      <c r="H163" s="172"/>
      <c r="I163" s="157">
        <v>2.9822285711707041E-2</v>
      </c>
      <c r="J163" s="157" t="e">
        <v>#DIV/0!</v>
      </c>
      <c r="K163" s="157"/>
      <c r="L163" s="157">
        <v>323.95458530188142</v>
      </c>
      <c r="M163" s="157"/>
      <c r="N163" s="163"/>
      <c r="O163" s="179"/>
      <c r="P163" s="177" t="str">
        <f t="shared" si="58"/>
        <v>(300, 350]</v>
      </c>
      <c r="Q163" s="160" t="s">
        <v>139</v>
      </c>
      <c r="R163" s="157">
        <f t="shared" si="59"/>
        <v>2.9822285711707041E-2</v>
      </c>
      <c r="S163" s="162">
        <v>0.28000000000000003</v>
      </c>
      <c r="T163" s="162">
        <v>0.1</v>
      </c>
      <c r="U163" s="161">
        <v>1.75E-3</v>
      </c>
      <c r="V163" s="161">
        <v>1.75E-3</v>
      </c>
      <c r="W163" s="162">
        <v>0.57999999999999996</v>
      </c>
      <c r="X163" s="178">
        <v>0.12</v>
      </c>
      <c r="Y163" s="161">
        <v>1.75E-3</v>
      </c>
      <c r="Z163" s="161">
        <v>1.75E-3</v>
      </c>
      <c r="AA163" s="163">
        <v>8.3502399992779718E-3</v>
      </c>
      <c r="AB163" s="163">
        <v>2.9822285711707044E-3</v>
      </c>
      <c r="AC163" s="163">
        <v>5.2188999995487325E-5</v>
      </c>
      <c r="AD163" s="163">
        <v>5.2188999995487325E-5</v>
      </c>
      <c r="AE163" s="163">
        <v>1.7296925712790082E-2</v>
      </c>
      <c r="AF163" s="163">
        <v>3.5786742854048447E-3</v>
      </c>
      <c r="AG163" s="163">
        <v>5.2188999995487325E-5</v>
      </c>
      <c r="AH163" s="163">
        <v>5.2188999995487325E-5</v>
      </c>
      <c r="AI163" s="163">
        <v>7.8716391739509159E-3</v>
      </c>
      <c r="AJ163" s="163">
        <v>7.752922872981417E-3</v>
      </c>
      <c r="AK163" s="163">
        <v>6.3900679068954925E-5</v>
      </c>
      <c r="AL163" s="163">
        <v>6.3900679068954925E-5</v>
      </c>
      <c r="AM163" s="163">
        <v>1.8551107675793359E-2</v>
      </c>
      <c r="AN163" s="163">
        <v>2.3784074266541082E-3</v>
      </c>
      <c r="AO163" s="163">
        <v>6.3900679068954925E-5</v>
      </c>
      <c r="AP163" s="163">
        <v>6.3900679068954925E-5</v>
      </c>
      <c r="AQ163" s="164">
        <f t="shared" si="60"/>
        <v>7871639</v>
      </c>
      <c r="AR163" s="164">
        <f t="shared" si="61"/>
        <v>7752922</v>
      </c>
      <c r="AS163" s="164">
        <f t="shared" si="62"/>
        <v>63900</v>
      </c>
      <c r="AT163" s="164">
        <f t="shared" si="63"/>
        <v>63900</v>
      </c>
      <c r="AU163" s="164">
        <f t="shared" si="64"/>
        <v>18551107</v>
      </c>
      <c r="AV163" s="164">
        <f t="shared" si="65"/>
        <v>2378407</v>
      </c>
      <c r="AW163" s="164">
        <f t="shared" si="66"/>
        <v>63900</v>
      </c>
      <c r="AX163" s="164">
        <f t="shared" si="67"/>
        <v>63900</v>
      </c>
      <c r="AY163" s="165">
        <f t="shared" si="68"/>
        <v>2.5500535478911166</v>
      </c>
      <c r="AZ163" s="165">
        <v>7.8716391574327835E-3</v>
      </c>
      <c r="BA163" s="165">
        <f t="shared" si="69"/>
        <v>2.5115946313878332</v>
      </c>
      <c r="BB163" s="165">
        <v>7.7529221550584433E-3</v>
      </c>
      <c r="BC163" s="165">
        <f t="shared" si="70"/>
        <v>2.0700698000790222E-2</v>
      </c>
      <c r="BD163" s="165">
        <v>6.3900000830700005E-5</v>
      </c>
      <c r="BE163" s="165">
        <f t="shared" si="71"/>
        <v>2.0700698000790222E-2</v>
      </c>
      <c r="BF163" s="165">
        <v>6.3900000830700005E-5</v>
      </c>
      <c r="BG163" s="165">
        <f t="shared" si="72"/>
        <v>2.5500535478911166</v>
      </c>
      <c r="BH163" s="165">
        <v>7.8716391574327835E-3</v>
      </c>
      <c r="BI163" s="165">
        <f t="shared" si="73"/>
        <v>2.5115946313878332</v>
      </c>
      <c r="BJ163" s="165">
        <v>7.7529221550584433E-3</v>
      </c>
      <c r="BK163" s="165">
        <f t="shared" si="74"/>
        <v>2.0700698000790222E-2</v>
      </c>
      <c r="BL163" s="165">
        <v>6.3900000830700005E-5</v>
      </c>
      <c r="BM163" s="165">
        <f t="shared" si="75"/>
        <v>2.0700698000790222E-2</v>
      </c>
      <c r="BN163" s="165">
        <v>6.3900000830700005E-5</v>
      </c>
    </row>
    <row r="164" spans="1:66" ht="15.6" x14ac:dyDescent="0.3">
      <c r="A164" s="155">
        <v>350</v>
      </c>
      <c r="B164" s="155">
        <v>400</v>
      </c>
      <c r="C164" s="156">
        <v>230804</v>
      </c>
      <c r="D164" s="156"/>
      <c r="E164" s="156"/>
      <c r="F164" s="156">
        <v>2589660010500</v>
      </c>
      <c r="G164" s="156"/>
      <c r="H164" s="172"/>
      <c r="I164" s="157">
        <v>2.3145427077373881E-2</v>
      </c>
      <c r="J164" s="157" t="e">
        <v>#DIV/0!</v>
      </c>
      <c r="K164" s="157"/>
      <c r="L164" s="157">
        <v>374.00565133186598</v>
      </c>
      <c r="M164" s="157"/>
      <c r="N164" s="163"/>
      <c r="O164" s="179"/>
      <c r="P164" s="177" t="str">
        <f t="shared" ref="P164:P190" si="76">"("&amp;$A164&amp;", "&amp;$B164&amp;"]"</f>
        <v>(350, 400]</v>
      </c>
      <c r="Q164" s="160" t="s">
        <v>139</v>
      </c>
      <c r="R164" s="157">
        <f t="shared" ref="R164:R195" si="77">_xlfn.XLOOKUP(Q164, $I$131:$K$131, I164:K164)</f>
        <v>2.3145427077373881E-2</v>
      </c>
      <c r="S164" s="162">
        <v>0.08</v>
      </c>
      <c r="T164" s="162">
        <v>0.01</v>
      </c>
      <c r="U164" s="161">
        <v>1.8E-3</v>
      </c>
      <c r="V164" s="161">
        <v>1.8E-3</v>
      </c>
      <c r="W164" s="162">
        <v>0.19</v>
      </c>
      <c r="X164" s="178">
        <v>0.08</v>
      </c>
      <c r="Y164" s="161">
        <v>1.8E-3</v>
      </c>
      <c r="Z164" s="161">
        <v>1.8E-3</v>
      </c>
      <c r="AA164" s="163">
        <v>1.8516341661899106E-3</v>
      </c>
      <c r="AB164" s="163">
        <v>2.3145427077373882E-4</v>
      </c>
      <c r="AC164" s="163">
        <v>4.1661768739272983E-5</v>
      </c>
      <c r="AD164" s="163">
        <v>4.1661768739272983E-5</v>
      </c>
      <c r="AE164" s="163">
        <v>4.3976311447010375E-3</v>
      </c>
      <c r="AF164" s="163">
        <v>1.8516341661899106E-3</v>
      </c>
      <c r="AG164" s="163">
        <v>4.1661768739272983E-5</v>
      </c>
      <c r="AH164" s="163">
        <v>4.1661768739272983E-5</v>
      </c>
      <c r="AI164" s="163">
        <v>1.745506241696855E-3</v>
      </c>
      <c r="AJ164" s="163">
        <v>6.0171347269553032E-4</v>
      </c>
      <c r="AK164" s="163">
        <v>5.101104282288409E-5</v>
      </c>
      <c r="AL164" s="163">
        <v>5.101104282288409E-5</v>
      </c>
      <c r="AM164" s="163">
        <v>4.716498772001255E-3</v>
      </c>
      <c r="AN164" s="163">
        <v>1.2306066719381158E-3</v>
      </c>
      <c r="AO164" s="163">
        <v>5.101104282288409E-5</v>
      </c>
      <c r="AP164" s="163">
        <v>5.101104282288409E-5</v>
      </c>
      <c r="AQ164" s="164">
        <f t="shared" ref="AQ164:AQ190" si="78">INT(AI164*$AQ$65)</f>
        <v>1745506</v>
      </c>
      <c r="AR164" s="164">
        <f t="shared" ref="AR164:AR190" si="79">INT(AJ164*$AQ$65)</f>
        <v>601713</v>
      </c>
      <c r="AS164" s="164">
        <f t="shared" ref="AS164:AS190" si="80">INT(AK164*$AQ$65)</f>
        <v>51011</v>
      </c>
      <c r="AT164" s="164">
        <f t="shared" ref="AT164:AT190" si="81">INT(AL164*$AQ$65)</f>
        <v>51011</v>
      </c>
      <c r="AU164" s="164">
        <f t="shared" ref="AU164:AU190" si="82">INT(AM164*$AQ$65)</f>
        <v>4716498</v>
      </c>
      <c r="AV164" s="164">
        <f t="shared" ref="AV164:AV190" si="83">INT(AN164*$AQ$65)</f>
        <v>1230606</v>
      </c>
      <c r="AW164" s="164">
        <f t="shared" ref="AW164:AW190" si="84">INT(AO164*$AQ$65)</f>
        <v>51011</v>
      </c>
      <c r="AX164" s="164">
        <f t="shared" ref="AX164:AX190" si="85">INT(AP164*$AQ$65)</f>
        <v>51011</v>
      </c>
      <c r="AY164" s="165">
        <f t="shared" ref="AY164:AY190" si="86">_xlfn.LET(_xlpm.x, _xlfn.XLOOKUP($Q164, $L$131:$N$131, $L164:$N164), IF(ISERROR(_xlpm.x), 0, _xlpm.x)*AQ164/$AQ$130)</f>
        <v>0.65282910843368003</v>
      </c>
      <c r="AZ164" s="165">
        <v>1.7455060349101208E-3</v>
      </c>
      <c r="BA164" s="165">
        <f t="shared" ref="BA164:BA190" si="87">_xlfn.LET(_xlpm.x, _xlfn.XLOOKUP($Q164, $L$131:$N$131, $L164:$N164), IF(ISERROR(_xlpm.x), 0, _xlpm.x)*AR164/$AQ$130)</f>
        <v>0.22504406247985106</v>
      </c>
      <c r="BB164" s="165">
        <v>6.0171301203426023E-4</v>
      </c>
      <c r="BC164" s="165">
        <f t="shared" ref="BC164:BC190" si="88">_xlfn.LET(_xlpm.x, _xlfn.XLOOKUP($Q164, $L$131:$N$131, $L164:$N164), IF(ISERROR(_xlpm.x), 0, _xlpm.x)*AS164/$AQ$130)</f>
        <v>1.9078402280089814E-2</v>
      </c>
      <c r="BD164" s="165">
        <v>5.1011000663143006E-5</v>
      </c>
      <c r="BE164" s="165">
        <f t="shared" ref="BE164:BE190" si="89">_xlfn.LET(_xlpm.x, _xlfn.XLOOKUP($Q164, $L$131:$N$131, $L164:$N164), IF(ISERROR(_xlpm.x), 0, _xlpm.x)*AT164/$AQ$130)</f>
        <v>1.9078402280089814E-2</v>
      </c>
      <c r="BF164" s="165">
        <v>5.1011000663143006E-5</v>
      </c>
      <c r="BG164" s="165">
        <f t="shared" ref="BG164:BG190" si="90">_xlfn.LET(_xlpm.x, _xlfn.XLOOKUP($Q164, $L$131:$N$131, $L164:$N164), IF(ISERROR(_xlpm.x), 0, _xlpm.x)*AQ164/$AQ$130)</f>
        <v>0.65282910843368003</v>
      </c>
      <c r="BH164" s="165">
        <v>1.7455060349101208E-3</v>
      </c>
      <c r="BI164" s="165">
        <f t="shared" ref="BI164:BI190" si="91">_xlfn.LET(_xlpm.x, _xlfn.XLOOKUP($Q164, $L$131:$N$131, $L164:$N164), IF(ISERROR(_xlpm.x), 0, _xlpm.x)*AR164/$AQ$130)</f>
        <v>0.22504406247985106</v>
      </c>
      <c r="BJ164" s="165">
        <v>6.0171301203426023E-4</v>
      </c>
      <c r="BK164" s="165">
        <f t="shared" ref="BK164:BK190" si="92">_xlfn.LET(_xlpm.x, _xlfn.XLOOKUP($Q164, $L$131:$N$131, $L164:$N164), IF(ISERROR(_xlpm.x), 0, _xlpm.x)*AS164/$AQ$130)</f>
        <v>1.9078402280089814E-2</v>
      </c>
      <c r="BL164" s="165">
        <v>5.1011000663143006E-5</v>
      </c>
      <c r="BM164" s="165">
        <f t="shared" ref="BM164:BM190" si="93">_xlfn.LET(_xlpm.x, _xlfn.XLOOKUP($Q164, $L$131:$N$131, $L164:$N164), IF(ISERROR(_xlpm.x), 0, _xlpm.x)*AT164/$AQ$130)</f>
        <v>1.9078402280089814E-2</v>
      </c>
      <c r="BN164" s="165">
        <v>5.1011000663143006E-5</v>
      </c>
    </row>
    <row r="165" spans="1:66" ht="15.6" x14ac:dyDescent="0.3">
      <c r="A165" s="155">
        <v>400</v>
      </c>
      <c r="B165" s="155">
        <v>450</v>
      </c>
      <c r="C165" s="156">
        <v>182664</v>
      </c>
      <c r="D165" s="156"/>
      <c r="E165" s="156"/>
      <c r="F165" s="156">
        <v>2324258290500</v>
      </c>
      <c r="G165" s="156"/>
      <c r="H165" s="172"/>
      <c r="I165" s="157">
        <v>1.8317864039017619E-2</v>
      </c>
      <c r="J165" s="157" t="e">
        <v>#DIV/0!</v>
      </c>
      <c r="K165" s="157"/>
      <c r="L165" s="157">
        <v>424.14091638199096</v>
      </c>
      <c r="M165" s="157"/>
      <c r="N165" s="163"/>
      <c r="O165" s="179"/>
      <c r="P165" s="177" t="str">
        <f t="shared" si="76"/>
        <v>(400, 450]</v>
      </c>
      <c r="Q165" s="160" t="s">
        <v>139</v>
      </c>
      <c r="R165" s="157">
        <f t="shared" si="77"/>
        <v>1.8317864039017619E-2</v>
      </c>
      <c r="S165" s="162">
        <v>0.08</v>
      </c>
      <c r="T165" s="178">
        <v>0.01</v>
      </c>
      <c r="U165" s="161">
        <v>2.5000000000000001E-3</v>
      </c>
      <c r="V165" s="161">
        <v>2.5000000000000001E-3</v>
      </c>
      <c r="W165" s="162">
        <v>0.48</v>
      </c>
      <c r="X165" s="178">
        <v>0.08</v>
      </c>
      <c r="Y165" s="161">
        <v>2.5000000000000001E-3</v>
      </c>
      <c r="Z165" s="161">
        <v>2.5000000000000001E-3</v>
      </c>
      <c r="AA165" s="163">
        <v>1.4654291231214096E-3</v>
      </c>
      <c r="AB165" s="163">
        <v>1.831786403901762E-4</v>
      </c>
      <c r="AC165" s="163">
        <v>4.5794660097544051E-5</v>
      </c>
      <c r="AD165" s="163">
        <v>4.5794660097544051E-5</v>
      </c>
      <c r="AE165" s="163">
        <v>8.7925747387284561E-3</v>
      </c>
      <c r="AF165" s="163">
        <v>1.4654291231214096E-3</v>
      </c>
      <c r="AG165" s="163">
        <v>4.5794660097544051E-5</v>
      </c>
      <c r="AH165" s="163">
        <v>4.5794660097544051E-5</v>
      </c>
      <c r="AI165" s="163">
        <v>1.3814368560913775E-3</v>
      </c>
      <c r="AJ165" s="163">
        <v>4.7621093991636346E-4</v>
      </c>
      <c r="AK165" s="163">
        <v>5.6071392021653419E-5</v>
      </c>
      <c r="AL165" s="163">
        <v>5.6071392021653419E-5</v>
      </c>
      <c r="AM165" s="163">
        <v>9.4301151218450525E-3</v>
      </c>
      <c r="AN165" s="163">
        <v>9.7393258835593824E-4</v>
      </c>
      <c r="AO165" s="163">
        <v>5.6071392021653419E-5</v>
      </c>
      <c r="AP165" s="163">
        <v>5.6071392021653419E-5</v>
      </c>
      <c r="AQ165" s="164">
        <f t="shared" si="78"/>
        <v>1381436</v>
      </c>
      <c r="AR165" s="164">
        <f t="shared" si="79"/>
        <v>476210</v>
      </c>
      <c r="AS165" s="164">
        <f t="shared" si="80"/>
        <v>56071</v>
      </c>
      <c r="AT165" s="164">
        <f t="shared" si="81"/>
        <v>56071</v>
      </c>
      <c r="AU165" s="164">
        <f t="shared" si="82"/>
        <v>9430115</v>
      </c>
      <c r="AV165" s="164">
        <f t="shared" si="83"/>
        <v>973932</v>
      </c>
      <c r="AW165" s="164">
        <f t="shared" si="84"/>
        <v>56071</v>
      </c>
      <c r="AX165" s="164">
        <f t="shared" si="85"/>
        <v>56071</v>
      </c>
      <c r="AY165" s="165">
        <f t="shared" si="86"/>
        <v>0.58592353096307204</v>
      </c>
      <c r="AZ165" s="165">
        <v>1.3814360276287205E-3</v>
      </c>
      <c r="BA165" s="165">
        <f t="shared" si="87"/>
        <v>0.20198014579026791</v>
      </c>
      <c r="BB165" s="165">
        <v>4.7621000952420019E-4</v>
      </c>
      <c r="BC165" s="165">
        <f t="shared" si="88"/>
        <v>2.3782005322454617E-2</v>
      </c>
      <c r="BD165" s="165">
        <v>5.6071000728923011E-5</v>
      </c>
      <c r="BE165" s="165">
        <f t="shared" si="89"/>
        <v>2.3782005322454617E-2</v>
      </c>
      <c r="BF165" s="165">
        <v>5.6071000728923011E-5</v>
      </c>
      <c r="BG165" s="165">
        <f t="shared" si="90"/>
        <v>0.58592353096307204</v>
      </c>
      <c r="BH165" s="165">
        <v>1.3814360276287205E-3</v>
      </c>
      <c r="BI165" s="165">
        <f t="shared" si="91"/>
        <v>0.20198014579026791</v>
      </c>
      <c r="BJ165" s="165">
        <v>4.7621000952420019E-4</v>
      </c>
      <c r="BK165" s="165">
        <f t="shared" si="92"/>
        <v>2.3782005322454617E-2</v>
      </c>
      <c r="BL165" s="165">
        <v>5.6071000728923011E-5</v>
      </c>
      <c r="BM165" s="165">
        <f t="shared" si="93"/>
        <v>2.3782005322454617E-2</v>
      </c>
      <c r="BN165" s="165">
        <v>5.6071000728923011E-5</v>
      </c>
    </row>
    <row r="166" spans="1:66" ht="15.6" x14ac:dyDescent="0.3">
      <c r="A166" s="155">
        <v>450</v>
      </c>
      <c r="B166" s="155">
        <v>500</v>
      </c>
      <c r="C166" s="156">
        <v>147687</v>
      </c>
      <c r="D166" s="156"/>
      <c r="E166" s="156"/>
      <c r="F166" s="156">
        <v>2100715675500</v>
      </c>
      <c r="G166" s="156"/>
      <c r="H166" s="172"/>
      <c r="I166" s="157">
        <v>1.4810309564722087E-2</v>
      </c>
      <c r="J166" s="157" t="e">
        <v>#DIV/0!</v>
      </c>
      <c r="K166" s="157"/>
      <c r="L166" s="157">
        <v>474.13689661243035</v>
      </c>
      <c r="M166" s="157"/>
      <c r="N166" s="163"/>
      <c r="O166" s="179"/>
      <c r="P166" s="177" t="str">
        <f t="shared" si="76"/>
        <v>(450, 500]</v>
      </c>
      <c r="Q166" s="160" t="s">
        <v>139</v>
      </c>
      <c r="R166" s="157">
        <f t="shared" si="77"/>
        <v>1.4810309564722087E-2</v>
      </c>
      <c r="S166" s="162">
        <v>0.08</v>
      </c>
      <c r="T166" s="178">
        <v>0.01</v>
      </c>
      <c r="U166" s="161">
        <v>3.5000000000000001E-3</v>
      </c>
      <c r="V166" s="161">
        <v>3.5000000000000001E-3</v>
      </c>
      <c r="W166" s="162">
        <v>1.3129999999999999</v>
      </c>
      <c r="X166" s="178">
        <v>0.08</v>
      </c>
      <c r="Y166" s="161">
        <v>3.5000000000000001E-3</v>
      </c>
      <c r="Z166" s="161">
        <v>3.5000000000000001E-3</v>
      </c>
      <c r="AA166" s="163">
        <v>1.184824765177767E-3</v>
      </c>
      <c r="AB166" s="163">
        <v>1.4810309564722087E-4</v>
      </c>
      <c r="AC166" s="163">
        <v>5.1836083476527309E-5</v>
      </c>
      <c r="AD166" s="163">
        <v>5.1836083476527309E-5</v>
      </c>
      <c r="AE166" s="163">
        <v>1.9445936458480102E-2</v>
      </c>
      <c r="AF166" s="163">
        <v>1.184824765177767E-3</v>
      </c>
      <c r="AG166" s="163">
        <v>5.1836083476527309E-5</v>
      </c>
      <c r="AH166" s="163">
        <v>5.1836083476527309E-5</v>
      </c>
      <c r="AI166" s="163">
        <v>1.1169155660971362E-3</v>
      </c>
      <c r="AJ166" s="163">
        <v>3.8502477271617819E-4</v>
      </c>
      <c r="AK166" s="163">
        <v>6.3468564921947949E-5</v>
      </c>
      <c r="AL166" s="163">
        <v>6.3468564921947949E-5</v>
      </c>
      <c r="AM166" s="163">
        <v>2.0855940939328368E-2</v>
      </c>
      <c r="AN166" s="163">
        <v>7.8744132492731709E-4</v>
      </c>
      <c r="AO166" s="163">
        <v>6.3468564921947949E-5</v>
      </c>
      <c r="AP166" s="163">
        <v>6.3468564921947949E-5</v>
      </c>
      <c r="AQ166" s="164">
        <f t="shared" si="78"/>
        <v>1116915</v>
      </c>
      <c r="AR166" s="164">
        <f t="shared" si="79"/>
        <v>385024</v>
      </c>
      <c r="AS166" s="164">
        <f t="shared" si="80"/>
        <v>63468</v>
      </c>
      <c r="AT166" s="164">
        <f t="shared" si="81"/>
        <v>63468</v>
      </c>
      <c r="AU166" s="164">
        <f t="shared" si="82"/>
        <v>20855940</v>
      </c>
      <c r="AV166" s="164">
        <f t="shared" si="83"/>
        <v>787441</v>
      </c>
      <c r="AW166" s="164">
        <f t="shared" si="84"/>
        <v>63468</v>
      </c>
      <c r="AX166" s="164">
        <f t="shared" si="85"/>
        <v>63468</v>
      </c>
      <c r="AY166" s="165">
        <f t="shared" si="86"/>
        <v>0.52957061187987264</v>
      </c>
      <c r="AZ166" s="165">
        <v>1.1169150223383005E-3</v>
      </c>
      <c r="BA166" s="165">
        <f t="shared" si="87"/>
        <v>0.18255408448130439</v>
      </c>
      <c r="BB166" s="165">
        <v>3.8502400770048015E-4</v>
      </c>
      <c r="BC166" s="165">
        <f t="shared" si="88"/>
        <v>3.0092520554197727E-2</v>
      </c>
      <c r="BD166" s="165">
        <v>6.3468000825084016E-5</v>
      </c>
      <c r="BE166" s="165">
        <f t="shared" si="89"/>
        <v>3.0092520554197727E-2</v>
      </c>
      <c r="BF166" s="165">
        <v>6.3468000825084016E-5</v>
      </c>
      <c r="BG166" s="165">
        <f t="shared" si="90"/>
        <v>0.52957061187987264</v>
      </c>
      <c r="BH166" s="165">
        <v>1.1169150223383005E-3</v>
      </c>
      <c r="BI166" s="165">
        <f t="shared" si="91"/>
        <v>0.18255408448130439</v>
      </c>
      <c r="BJ166" s="165">
        <v>3.8502400770048015E-4</v>
      </c>
      <c r="BK166" s="165">
        <f t="shared" si="92"/>
        <v>3.0092520554197727E-2</v>
      </c>
      <c r="BL166" s="165">
        <v>6.3468000825084016E-5</v>
      </c>
      <c r="BM166" s="165">
        <f t="shared" si="93"/>
        <v>3.0092520554197727E-2</v>
      </c>
      <c r="BN166" s="165">
        <v>6.3468000825084016E-5</v>
      </c>
    </row>
    <row r="167" spans="1:66" ht="15.6" x14ac:dyDescent="0.3">
      <c r="A167" s="155">
        <v>500</v>
      </c>
      <c r="B167" s="155">
        <v>550</v>
      </c>
      <c r="C167" s="156">
        <v>119968</v>
      </c>
      <c r="D167" s="156"/>
      <c r="E167" s="156"/>
      <c r="F167" s="156">
        <v>1886618799000</v>
      </c>
      <c r="G167" s="156"/>
      <c r="H167" s="172"/>
      <c r="I167" s="157">
        <v>1.203059997061745E-2</v>
      </c>
      <c r="J167" s="157" t="e">
        <v>#DIV/0!</v>
      </c>
      <c r="K167" s="157"/>
      <c r="L167" s="157">
        <v>524.20056431715125</v>
      </c>
      <c r="M167" s="157"/>
      <c r="N167" s="163"/>
      <c r="O167" s="179"/>
      <c r="P167" s="177" t="str">
        <f t="shared" si="76"/>
        <v>(500, 550]</v>
      </c>
      <c r="Q167" s="160" t="s">
        <v>139</v>
      </c>
      <c r="R167" s="157">
        <f t="shared" si="77"/>
        <v>1.203059997061745E-2</v>
      </c>
      <c r="S167" s="162">
        <v>0.25</v>
      </c>
      <c r="T167" s="178">
        <v>0.01</v>
      </c>
      <c r="U167" s="161">
        <v>1.6000000000000001E-3</v>
      </c>
      <c r="V167" s="161">
        <v>1.6000000000000001E-3</v>
      </c>
      <c r="W167" s="162">
        <v>0.34767788547872902</v>
      </c>
      <c r="X167" s="178">
        <v>0.18</v>
      </c>
      <c r="Y167" s="161">
        <v>1.6000000000000001E-3</v>
      </c>
      <c r="Z167" s="161">
        <v>1.6000000000000001E-3</v>
      </c>
      <c r="AA167" s="163">
        <v>3.0076499926543626E-3</v>
      </c>
      <c r="AB167" s="163">
        <v>1.2030599970617451E-4</v>
      </c>
      <c r="AC167" s="163">
        <v>1.9248959952987922E-5</v>
      </c>
      <c r="AD167" s="163">
        <v>1.9248959952987922E-5</v>
      </c>
      <c r="AE167" s="163">
        <v>4.1827735588247346E-3</v>
      </c>
      <c r="AF167" s="163">
        <v>2.1655079947111408E-3</v>
      </c>
      <c r="AG167" s="163">
        <v>1.9248959952987922E-5</v>
      </c>
      <c r="AH167" s="163">
        <v>1.9248959952987922E-5</v>
      </c>
      <c r="AI167" s="163">
        <v>2.8352640769317298E-3</v>
      </c>
      <c r="AJ167" s="163">
        <v>3.1276044562632098E-4</v>
      </c>
      <c r="AK167" s="163">
        <v>2.3568598985866836E-5</v>
      </c>
      <c r="AL167" s="163">
        <v>2.3568598985866836E-5</v>
      </c>
      <c r="AM167" s="163">
        <v>4.4860620876600024E-3</v>
      </c>
      <c r="AN167" s="163">
        <v>1.4392090160608641E-3</v>
      </c>
      <c r="AO167" s="163">
        <v>2.3568598985866836E-5</v>
      </c>
      <c r="AP167" s="163">
        <v>2.3568598985866836E-5</v>
      </c>
      <c r="AQ167" s="164">
        <f t="shared" si="78"/>
        <v>2835264</v>
      </c>
      <c r="AR167" s="164">
        <f t="shared" si="79"/>
        <v>312760</v>
      </c>
      <c r="AS167" s="164">
        <f t="shared" si="80"/>
        <v>23568</v>
      </c>
      <c r="AT167" s="164">
        <f t="shared" si="81"/>
        <v>23568</v>
      </c>
      <c r="AU167" s="164">
        <f t="shared" si="82"/>
        <v>4486062</v>
      </c>
      <c r="AV167" s="164">
        <f t="shared" si="83"/>
        <v>1439209</v>
      </c>
      <c r="AW167" s="164">
        <f t="shared" si="84"/>
        <v>23568</v>
      </c>
      <c r="AX167" s="164">
        <f t="shared" si="85"/>
        <v>23568</v>
      </c>
      <c r="AY167" s="165">
        <f t="shared" si="86"/>
        <v>1.4862469887881036</v>
      </c>
      <c r="AZ167" s="165">
        <v>2.8352640567052812E-3</v>
      </c>
      <c r="BA167" s="165">
        <f t="shared" si="87"/>
        <v>0.16394896849583224</v>
      </c>
      <c r="BB167" s="165">
        <v>3.1276000625520011E-4</v>
      </c>
      <c r="BC167" s="165">
        <f t="shared" si="88"/>
        <v>1.2354358899826621E-2</v>
      </c>
      <c r="BD167" s="165">
        <v>2.3568000306384003E-5</v>
      </c>
      <c r="BE167" s="165">
        <f t="shared" si="89"/>
        <v>1.2354358899826621E-2</v>
      </c>
      <c r="BF167" s="165">
        <v>2.3568000306384003E-5</v>
      </c>
      <c r="BG167" s="165">
        <f t="shared" si="90"/>
        <v>1.4862469887881036</v>
      </c>
      <c r="BH167" s="165">
        <v>2.8352640567052812E-3</v>
      </c>
      <c r="BI167" s="165">
        <f t="shared" si="91"/>
        <v>0.16394896849583224</v>
      </c>
      <c r="BJ167" s="165">
        <v>3.1276000625520011E-4</v>
      </c>
      <c r="BK167" s="165">
        <f t="shared" si="92"/>
        <v>1.2354358899826621E-2</v>
      </c>
      <c r="BL167" s="165">
        <v>2.3568000306384003E-5</v>
      </c>
      <c r="BM167" s="165">
        <f t="shared" si="93"/>
        <v>1.2354358899826621E-2</v>
      </c>
      <c r="BN167" s="165">
        <v>2.3568000306384003E-5</v>
      </c>
    </row>
    <row r="168" spans="1:66" ht="15.6" x14ac:dyDescent="0.3">
      <c r="A168" s="155">
        <v>550</v>
      </c>
      <c r="B168" s="155">
        <v>600</v>
      </c>
      <c r="C168" s="156">
        <v>99065</v>
      </c>
      <c r="D168" s="156"/>
      <c r="E168" s="156"/>
      <c r="F168" s="156">
        <v>1706586166500</v>
      </c>
      <c r="G168" s="156"/>
      <c r="H168" s="172"/>
      <c r="I168" s="157">
        <v>9.9344107269373309E-3</v>
      </c>
      <c r="J168" s="157" t="e">
        <v>#DIV/0!</v>
      </c>
      <c r="K168" s="157"/>
      <c r="L168" s="157">
        <v>574.23111643870186</v>
      </c>
      <c r="M168" s="157"/>
      <c r="N168" s="163"/>
      <c r="O168" s="179"/>
      <c r="P168" s="177" t="str">
        <f t="shared" si="76"/>
        <v>(550, 600]</v>
      </c>
      <c r="Q168" s="160" t="s">
        <v>139</v>
      </c>
      <c r="R168" s="157">
        <f t="shared" si="77"/>
        <v>9.9344107269373309E-3</v>
      </c>
      <c r="S168" s="162">
        <v>5.5E-2</v>
      </c>
      <c r="T168" s="178">
        <v>0.01</v>
      </c>
      <c r="U168" s="161">
        <v>0</v>
      </c>
      <c r="V168" s="161">
        <v>0</v>
      </c>
      <c r="W168" s="162">
        <v>0.4</v>
      </c>
      <c r="X168" s="178">
        <v>0.08</v>
      </c>
      <c r="Y168" s="161">
        <v>0</v>
      </c>
      <c r="Z168" s="161">
        <v>0</v>
      </c>
      <c r="AA168" s="163">
        <v>5.4639258998155323E-4</v>
      </c>
      <c r="AB168" s="163">
        <v>9.9344107269373305E-5</v>
      </c>
      <c r="AC168" s="163">
        <v>0</v>
      </c>
      <c r="AD168" s="163">
        <v>0</v>
      </c>
      <c r="AE168" s="163">
        <v>3.9737642907749322E-3</v>
      </c>
      <c r="AF168" s="163">
        <v>7.9475285815498644E-4</v>
      </c>
      <c r="AG168" s="163">
        <v>0</v>
      </c>
      <c r="AH168" s="163">
        <v>0</v>
      </c>
      <c r="AI168" s="163">
        <v>5.1507565243959393E-4</v>
      </c>
      <c r="AJ168" s="163">
        <v>2.5826565038986635E-4</v>
      </c>
      <c r="AK168" s="163">
        <v>0</v>
      </c>
      <c r="AL168" s="163">
        <v>0</v>
      </c>
      <c r="AM168" s="163">
        <v>4.2618977765440935E-3</v>
      </c>
      <c r="AN168" s="163">
        <v>5.2819730141396778E-4</v>
      </c>
      <c r="AO168" s="163">
        <v>0</v>
      </c>
      <c r="AP168" s="163">
        <v>0</v>
      </c>
      <c r="AQ168" s="164">
        <f t="shared" si="78"/>
        <v>515075</v>
      </c>
      <c r="AR168" s="164">
        <f t="shared" si="79"/>
        <v>258265</v>
      </c>
      <c r="AS168" s="164">
        <f t="shared" si="80"/>
        <v>0</v>
      </c>
      <c r="AT168" s="164">
        <f t="shared" si="81"/>
        <v>0</v>
      </c>
      <c r="AU168" s="164">
        <f t="shared" si="82"/>
        <v>4261897</v>
      </c>
      <c r="AV168" s="164">
        <f t="shared" si="83"/>
        <v>528197</v>
      </c>
      <c r="AW168" s="164">
        <f t="shared" si="84"/>
        <v>0</v>
      </c>
      <c r="AX168" s="164">
        <f t="shared" si="85"/>
        <v>0</v>
      </c>
      <c r="AY168" s="165">
        <f t="shared" si="86"/>
        <v>0.29577209229966439</v>
      </c>
      <c r="AZ168" s="165">
        <v>5.1507501030150025E-4</v>
      </c>
      <c r="BA168" s="165">
        <f t="shared" si="87"/>
        <v>0.14830379928704135</v>
      </c>
      <c r="BB168" s="165">
        <v>2.5826500516530008E-4</v>
      </c>
      <c r="BC168" s="165">
        <f t="shared" si="88"/>
        <v>0</v>
      </c>
      <c r="BD168" s="165">
        <v>0</v>
      </c>
      <c r="BE168" s="165">
        <f t="shared" si="89"/>
        <v>0</v>
      </c>
      <c r="BF168" s="165">
        <v>0</v>
      </c>
      <c r="BG168" s="165">
        <f t="shared" si="90"/>
        <v>0.29577209229966439</v>
      </c>
      <c r="BH168" s="165">
        <v>5.1507501030150025E-4</v>
      </c>
      <c r="BI168" s="165">
        <f t="shared" si="91"/>
        <v>0.14830379928704135</v>
      </c>
      <c r="BJ168" s="165">
        <v>2.5826500516530008E-4</v>
      </c>
      <c r="BK168" s="165">
        <f t="shared" si="92"/>
        <v>0</v>
      </c>
      <c r="BL168" s="165">
        <v>0</v>
      </c>
      <c r="BM168" s="165">
        <f t="shared" si="93"/>
        <v>0</v>
      </c>
      <c r="BN168" s="165">
        <v>0</v>
      </c>
    </row>
    <row r="169" spans="1:66" ht="15.6" x14ac:dyDescent="0.3">
      <c r="A169" s="155">
        <v>600</v>
      </c>
      <c r="B169" s="155">
        <v>650</v>
      </c>
      <c r="C169" s="156">
        <v>82053</v>
      </c>
      <c r="D169" s="156"/>
      <c r="E169" s="156"/>
      <c r="F169" s="156">
        <v>1536586453500</v>
      </c>
      <c r="G169" s="156"/>
      <c r="H169" s="172"/>
      <c r="I169" s="157">
        <v>8.2284177396395181E-3</v>
      </c>
      <c r="J169" s="157" t="e">
        <v>#DIV/0!</v>
      </c>
      <c r="K169" s="157"/>
      <c r="L169" s="157">
        <v>624.22517701973118</v>
      </c>
      <c r="M169" s="157"/>
      <c r="N169" s="163"/>
      <c r="O169" s="179"/>
      <c r="P169" s="177" t="str">
        <f t="shared" si="76"/>
        <v>(600, 650]</v>
      </c>
      <c r="Q169" s="160" t="s">
        <v>139</v>
      </c>
      <c r="R169" s="157">
        <f t="shared" si="77"/>
        <v>8.2284177396395181E-3</v>
      </c>
      <c r="S169" s="162">
        <v>5.5E-2</v>
      </c>
      <c r="T169" s="161">
        <v>0.01</v>
      </c>
      <c r="U169" s="161">
        <v>0</v>
      </c>
      <c r="V169" s="161">
        <v>0</v>
      </c>
      <c r="W169" s="162">
        <v>0.47924394475275806</v>
      </c>
      <c r="X169" s="161">
        <v>0.01</v>
      </c>
      <c r="Y169" s="161">
        <v>0</v>
      </c>
      <c r="Z169" s="161">
        <v>0</v>
      </c>
      <c r="AA169" s="163">
        <v>4.5256297568017348E-4</v>
      </c>
      <c r="AB169" s="163">
        <v>8.2284177396395181E-5</v>
      </c>
      <c r="AC169" s="163">
        <v>0</v>
      </c>
      <c r="AD169" s="163">
        <v>0</v>
      </c>
      <c r="AE169" s="163">
        <v>3.9434193766184154E-3</v>
      </c>
      <c r="AF169" s="163">
        <v>8.2284177396395181E-5</v>
      </c>
      <c r="AG169" s="163">
        <v>0</v>
      </c>
      <c r="AH169" s="163">
        <v>0</v>
      </c>
      <c r="AI169" s="163">
        <v>4.2662395911397563E-4</v>
      </c>
      <c r="AJ169" s="163">
        <v>2.139148176595135E-4</v>
      </c>
      <c r="AK169" s="163">
        <v>0</v>
      </c>
      <c r="AL169" s="163">
        <v>0</v>
      </c>
      <c r="AM169" s="163">
        <v>4.229352584451721E-3</v>
      </c>
      <c r="AN169" s="163">
        <v>5.468653557376509E-5</v>
      </c>
      <c r="AO169" s="163">
        <v>0</v>
      </c>
      <c r="AP169" s="163">
        <v>0</v>
      </c>
      <c r="AQ169" s="164">
        <f t="shared" si="78"/>
        <v>426623</v>
      </c>
      <c r="AR169" s="164">
        <f t="shared" si="79"/>
        <v>213914</v>
      </c>
      <c r="AS169" s="164">
        <f t="shared" si="80"/>
        <v>0</v>
      </c>
      <c r="AT169" s="164">
        <f t="shared" si="81"/>
        <v>0</v>
      </c>
      <c r="AU169" s="164">
        <f t="shared" si="82"/>
        <v>4229352</v>
      </c>
      <c r="AV169" s="164">
        <f t="shared" si="83"/>
        <v>54686</v>
      </c>
      <c r="AW169" s="164">
        <f t="shared" si="84"/>
        <v>0</v>
      </c>
      <c r="AX169" s="164">
        <f t="shared" si="85"/>
        <v>0</v>
      </c>
      <c r="AY169" s="165">
        <f t="shared" si="86"/>
        <v>0.26630881769568876</v>
      </c>
      <c r="AZ169" s="165">
        <v>4.2662300853246016E-4</v>
      </c>
      <c r="BA169" s="165">
        <f t="shared" si="87"/>
        <v>0.13353050451699877</v>
      </c>
      <c r="BB169" s="165">
        <v>2.1391400427828009E-4</v>
      </c>
      <c r="BC169" s="165">
        <f t="shared" si="88"/>
        <v>0</v>
      </c>
      <c r="BD169" s="165">
        <v>0</v>
      </c>
      <c r="BE169" s="165">
        <f t="shared" si="89"/>
        <v>0</v>
      </c>
      <c r="BF169" s="165">
        <v>0</v>
      </c>
      <c r="BG169" s="165">
        <f t="shared" si="90"/>
        <v>0.26630881769568876</v>
      </c>
      <c r="BH169" s="165">
        <v>4.2662300853246016E-4</v>
      </c>
      <c r="BI169" s="165">
        <f t="shared" si="91"/>
        <v>0.13353050451699877</v>
      </c>
      <c r="BJ169" s="165">
        <v>2.1391400427828009E-4</v>
      </c>
      <c r="BK169" s="165">
        <f t="shared" si="92"/>
        <v>0</v>
      </c>
      <c r="BL169" s="165">
        <v>0</v>
      </c>
      <c r="BM169" s="165">
        <f t="shared" si="93"/>
        <v>0</v>
      </c>
      <c r="BN169" s="165">
        <v>0</v>
      </c>
    </row>
    <row r="170" spans="1:66" ht="15.6" x14ac:dyDescent="0.3">
      <c r="A170" s="155">
        <v>650</v>
      </c>
      <c r="B170" s="155">
        <v>700</v>
      </c>
      <c r="C170" s="156">
        <v>68795</v>
      </c>
      <c r="D170" s="156"/>
      <c r="E170" s="156"/>
      <c r="F170" s="156">
        <v>1391809752000</v>
      </c>
      <c r="G170" s="156"/>
      <c r="H170" s="172"/>
      <c r="I170" s="157">
        <v>6.8988824101312634E-3</v>
      </c>
      <c r="J170" s="157" t="e">
        <v>#DIV/0!</v>
      </c>
      <c r="K170" s="157"/>
      <c r="L170" s="157">
        <v>674.37544007558688</v>
      </c>
      <c r="M170" s="157"/>
      <c r="N170" s="163"/>
      <c r="O170" s="179"/>
      <c r="P170" s="177" t="str">
        <f t="shared" si="76"/>
        <v>(650, 700]</v>
      </c>
      <c r="Q170" s="160" t="s">
        <v>139</v>
      </c>
      <c r="R170" s="157">
        <f t="shared" si="77"/>
        <v>6.8988824101312634E-3</v>
      </c>
      <c r="S170" s="162">
        <v>0.06</v>
      </c>
      <c r="T170" s="161">
        <v>0.01</v>
      </c>
      <c r="U170" s="161">
        <v>0</v>
      </c>
      <c r="V170" s="161">
        <v>0</v>
      </c>
      <c r="W170" s="162">
        <v>0.55796391379546817</v>
      </c>
      <c r="X170" s="161">
        <v>0.01</v>
      </c>
      <c r="Y170" s="161">
        <v>0</v>
      </c>
      <c r="Z170" s="161">
        <v>0</v>
      </c>
      <c r="AA170" s="163">
        <v>4.139329446078758E-4</v>
      </c>
      <c r="AB170" s="163">
        <v>6.8988824101312633E-5</v>
      </c>
      <c r="AC170" s="163">
        <v>0</v>
      </c>
      <c r="AD170" s="163">
        <v>0</v>
      </c>
      <c r="AE170" s="163">
        <v>3.8493274303715518E-3</v>
      </c>
      <c r="AF170" s="163">
        <v>6.8988824101312633E-5</v>
      </c>
      <c r="AG170" s="163">
        <v>0</v>
      </c>
      <c r="AH170" s="163">
        <v>0</v>
      </c>
      <c r="AI170" s="163">
        <v>3.9020803982232259E-4</v>
      </c>
      <c r="AJ170" s="163">
        <v>1.7935078401626057E-4</v>
      </c>
      <c r="AK170" s="163">
        <v>0</v>
      </c>
      <c r="AL170" s="163">
        <v>0</v>
      </c>
      <c r="AM170" s="163">
        <v>4.1284381297541544E-3</v>
      </c>
      <c r="AN170" s="163">
        <v>4.5850367625768325E-5</v>
      </c>
      <c r="AO170" s="163">
        <v>0</v>
      </c>
      <c r="AP170" s="163">
        <v>0</v>
      </c>
      <c r="AQ170" s="164">
        <f t="shared" si="78"/>
        <v>390208</v>
      </c>
      <c r="AR170" s="164">
        <f t="shared" si="79"/>
        <v>179350</v>
      </c>
      <c r="AS170" s="164">
        <f t="shared" si="80"/>
        <v>0</v>
      </c>
      <c r="AT170" s="164">
        <f t="shared" si="81"/>
        <v>0</v>
      </c>
      <c r="AU170" s="164">
        <f t="shared" si="82"/>
        <v>4128438</v>
      </c>
      <c r="AV170" s="164">
        <f t="shared" si="83"/>
        <v>45850</v>
      </c>
      <c r="AW170" s="164">
        <f t="shared" si="84"/>
        <v>0</v>
      </c>
      <c r="AX170" s="164">
        <f t="shared" si="85"/>
        <v>0</v>
      </c>
      <c r="AY170" s="165">
        <f t="shared" si="86"/>
        <v>0.26314669172101463</v>
      </c>
      <c r="AZ170" s="165">
        <v>3.9020800780416017E-4</v>
      </c>
      <c r="BA170" s="165">
        <f t="shared" si="87"/>
        <v>0.1209492351775565</v>
      </c>
      <c r="BB170" s="165">
        <v>1.7935000358700008E-4</v>
      </c>
      <c r="BC170" s="165">
        <f t="shared" si="88"/>
        <v>0</v>
      </c>
      <c r="BD170" s="165">
        <v>0</v>
      </c>
      <c r="BE170" s="165">
        <f t="shared" si="89"/>
        <v>0</v>
      </c>
      <c r="BF170" s="165">
        <v>0</v>
      </c>
      <c r="BG170" s="165">
        <f t="shared" si="90"/>
        <v>0.26314669172101463</v>
      </c>
      <c r="BH170" s="165">
        <v>3.9020800780416017E-4</v>
      </c>
      <c r="BI170" s="165">
        <f t="shared" si="91"/>
        <v>0.1209492351775565</v>
      </c>
      <c r="BJ170" s="165">
        <v>1.7935000358700008E-4</v>
      </c>
      <c r="BK170" s="165">
        <f t="shared" si="92"/>
        <v>0</v>
      </c>
      <c r="BL170" s="165">
        <v>0</v>
      </c>
      <c r="BM170" s="165">
        <f t="shared" si="93"/>
        <v>0</v>
      </c>
      <c r="BN170" s="165">
        <v>0</v>
      </c>
    </row>
    <row r="171" spans="1:66" ht="15.6" x14ac:dyDescent="0.3">
      <c r="A171" s="155">
        <v>700</v>
      </c>
      <c r="B171" s="155">
        <v>750</v>
      </c>
      <c r="C171" s="156">
        <v>57953</v>
      </c>
      <c r="D171" s="156"/>
      <c r="E171" s="156"/>
      <c r="F171" s="156">
        <v>1259370301500</v>
      </c>
      <c r="G171" s="156"/>
      <c r="H171" s="172"/>
      <c r="I171" s="157">
        <v>5.8116277682147997E-3</v>
      </c>
      <c r="J171" s="157" t="e">
        <v>#DIV/0!</v>
      </c>
      <c r="K171" s="157"/>
      <c r="L171" s="157">
        <v>724.36301917070739</v>
      </c>
      <c r="M171" s="157"/>
      <c r="N171" s="163"/>
      <c r="O171" s="179"/>
      <c r="P171" s="177" t="str">
        <f t="shared" si="76"/>
        <v>(700, 750]</v>
      </c>
      <c r="Q171" s="160" t="s">
        <v>139</v>
      </c>
      <c r="R171" s="157">
        <f t="shared" si="77"/>
        <v>5.8116277682147997E-3</v>
      </c>
      <c r="S171" s="162">
        <v>0.06</v>
      </c>
      <c r="T171" s="161">
        <v>0.01</v>
      </c>
      <c r="U171" s="161">
        <v>0</v>
      </c>
      <c r="V171" s="161">
        <v>0</v>
      </c>
      <c r="W171" s="162">
        <v>0.6</v>
      </c>
      <c r="X171" s="161">
        <v>0.01</v>
      </c>
      <c r="Y171" s="161">
        <v>0</v>
      </c>
      <c r="Z171" s="161">
        <v>0</v>
      </c>
      <c r="AA171" s="163">
        <v>3.4869766609288796E-4</v>
      </c>
      <c r="AB171" s="163">
        <v>5.8116277682147998E-5</v>
      </c>
      <c r="AC171" s="163">
        <v>0</v>
      </c>
      <c r="AD171" s="163">
        <v>0</v>
      </c>
      <c r="AE171" s="163">
        <v>3.4869766609288799E-3</v>
      </c>
      <c r="AF171" s="163">
        <v>5.8116277682147998E-5</v>
      </c>
      <c r="AG171" s="163">
        <v>0</v>
      </c>
      <c r="AH171" s="163">
        <v>0</v>
      </c>
      <c r="AI171" s="163">
        <v>3.2871177457406876E-4</v>
      </c>
      <c r="AJ171" s="163">
        <v>1.5108534030226542E-4</v>
      </c>
      <c r="AK171" s="163">
        <v>0</v>
      </c>
      <c r="AL171" s="163">
        <v>0</v>
      </c>
      <c r="AM171" s="163">
        <v>3.7398136856214583E-3</v>
      </c>
      <c r="AN171" s="163">
        <v>3.8624411003941453E-5</v>
      </c>
      <c r="AO171" s="163">
        <v>0</v>
      </c>
      <c r="AP171" s="163">
        <v>0</v>
      </c>
      <c r="AQ171" s="164">
        <f t="shared" si="78"/>
        <v>328711</v>
      </c>
      <c r="AR171" s="164">
        <f t="shared" si="79"/>
        <v>151085</v>
      </c>
      <c r="AS171" s="164">
        <f t="shared" si="80"/>
        <v>0</v>
      </c>
      <c r="AT171" s="164">
        <f t="shared" si="81"/>
        <v>0</v>
      </c>
      <c r="AU171" s="164">
        <f t="shared" si="82"/>
        <v>3739813</v>
      </c>
      <c r="AV171" s="164">
        <f t="shared" si="83"/>
        <v>38624</v>
      </c>
      <c r="AW171" s="164">
        <f t="shared" si="84"/>
        <v>0</v>
      </c>
      <c r="AX171" s="164">
        <f t="shared" si="85"/>
        <v>0</v>
      </c>
      <c r="AY171" s="165">
        <f t="shared" si="86"/>
        <v>0.23810609239462238</v>
      </c>
      <c r="AZ171" s="165">
        <v>3.2871100657422015E-4</v>
      </c>
      <c r="BA171" s="165">
        <f t="shared" si="87"/>
        <v>0.10944038675140633</v>
      </c>
      <c r="BB171" s="165">
        <v>1.5108500302170007E-4</v>
      </c>
      <c r="BC171" s="165">
        <f t="shared" si="88"/>
        <v>0</v>
      </c>
      <c r="BD171" s="165">
        <v>0</v>
      </c>
      <c r="BE171" s="165">
        <f t="shared" si="89"/>
        <v>0</v>
      </c>
      <c r="BF171" s="165">
        <v>0</v>
      </c>
      <c r="BG171" s="165">
        <f t="shared" si="90"/>
        <v>0.23810609239462238</v>
      </c>
      <c r="BH171" s="165">
        <v>3.2871100657422015E-4</v>
      </c>
      <c r="BI171" s="165">
        <f t="shared" si="91"/>
        <v>0.10944038675140633</v>
      </c>
      <c r="BJ171" s="165">
        <v>1.5108500302170007E-4</v>
      </c>
      <c r="BK171" s="165">
        <f t="shared" si="92"/>
        <v>0</v>
      </c>
      <c r="BL171" s="165">
        <v>0</v>
      </c>
      <c r="BM171" s="165">
        <f t="shared" si="93"/>
        <v>0</v>
      </c>
      <c r="BN171" s="165">
        <v>0</v>
      </c>
    </row>
    <row r="172" spans="1:66" ht="15.6" x14ac:dyDescent="0.3">
      <c r="A172" s="155">
        <v>750</v>
      </c>
      <c r="B172" s="155">
        <v>800</v>
      </c>
      <c r="C172" s="173">
        <v>49554</v>
      </c>
      <c r="D172" s="156"/>
      <c r="E172" s="156"/>
      <c r="F172" s="156">
        <v>1151234332500</v>
      </c>
      <c r="G172" s="156"/>
      <c r="H172" s="172"/>
      <c r="I172" s="157">
        <v>4.969361420912052E-3</v>
      </c>
      <c r="J172" s="157" t="e">
        <v>#DIV/0!</v>
      </c>
      <c r="K172" s="157"/>
      <c r="L172" s="157">
        <v>774.39717782620971</v>
      </c>
      <c r="M172" s="157"/>
      <c r="N172" s="163"/>
      <c r="O172" s="179"/>
      <c r="P172" s="177" t="str">
        <f t="shared" si="76"/>
        <v>(750, 800]</v>
      </c>
      <c r="Q172" s="160" t="s">
        <v>139</v>
      </c>
      <c r="R172" s="157">
        <f t="shared" si="77"/>
        <v>4.969361420912052E-3</v>
      </c>
      <c r="S172" s="162">
        <v>0.06</v>
      </c>
      <c r="T172" s="161">
        <v>0.01</v>
      </c>
      <c r="U172" s="161">
        <v>0</v>
      </c>
      <c r="V172" s="161">
        <v>0</v>
      </c>
      <c r="W172" s="162">
        <v>0.6</v>
      </c>
      <c r="X172" s="161">
        <v>0.01</v>
      </c>
      <c r="Y172" s="161">
        <v>0</v>
      </c>
      <c r="Z172" s="161">
        <v>0</v>
      </c>
      <c r="AA172" s="163">
        <v>2.981616852547231E-4</v>
      </c>
      <c r="AB172" s="163">
        <v>4.9693614209120522E-5</v>
      </c>
      <c r="AC172" s="163">
        <v>0</v>
      </c>
      <c r="AD172" s="163">
        <v>0</v>
      </c>
      <c r="AE172" s="163">
        <v>2.981616852547231E-3</v>
      </c>
      <c r="AF172" s="163">
        <v>4.9693614209120522E-5</v>
      </c>
      <c r="AG172" s="163">
        <v>0</v>
      </c>
      <c r="AH172" s="163">
        <v>0</v>
      </c>
      <c r="AI172" s="163">
        <v>2.8107230475115009E-4</v>
      </c>
      <c r="AJ172" s="163">
        <v>1.2918887638842616E-4</v>
      </c>
      <c r="AK172" s="163">
        <v>0</v>
      </c>
      <c r="AL172" s="163">
        <v>0</v>
      </c>
      <c r="AM172" s="163">
        <v>3.1978107669540096E-3</v>
      </c>
      <c r="AN172" s="163">
        <v>3.3026660619628227E-5</v>
      </c>
      <c r="AO172" s="163">
        <v>0</v>
      </c>
      <c r="AP172" s="163">
        <v>0</v>
      </c>
      <c r="AQ172" s="164">
        <f t="shared" si="78"/>
        <v>281072</v>
      </c>
      <c r="AR172" s="164">
        <f t="shared" si="79"/>
        <v>129188</v>
      </c>
      <c r="AS172" s="164">
        <f t="shared" si="80"/>
        <v>0</v>
      </c>
      <c r="AT172" s="164">
        <f t="shared" si="81"/>
        <v>0</v>
      </c>
      <c r="AU172" s="164">
        <f t="shared" si="82"/>
        <v>3197810</v>
      </c>
      <c r="AV172" s="164">
        <f t="shared" si="83"/>
        <v>33026</v>
      </c>
      <c r="AW172" s="164">
        <f t="shared" si="84"/>
        <v>0</v>
      </c>
      <c r="AX172" s="164">
        <f t="shared" si="85"/>
        <v>0</v>
      </c>
      <c r="AY172" s="165">
        <f t="shared" si="86"/>
        <v>0.21766136356596844</v>
      </c>
      <c r="AZ172" s="165">
        <v>2.810720056214401E-4</v>
      </c>
      <c r="BA172" s="165">
        <f t="shared" si="87"/>
        <v>0.10004282260901239</v>
      </c>
      <c r="BB172" s="165">
        <v>1.2918800258376005E-4</v>
      </c>
      <c r="BC172" s="165">
        <f t="shared" si="88"/>
        <v>0</v>
      </c>
      <c r="BD172" s="165">
        <v>0</v>
      </c>
      <c r="BE172" s="165">
        <f t="shared" si="89"/>
        <v>0</v>
      </c>
      <c r="BF172" s="165">
        <v>0</v>
      </c>
      <c r="BG172" s="165">
        <f t="shared" si="90"/>
        <v>0.21766136356596844</v>
      </c>
      <c r="BH172" s="165">
        <v>2.810720056214401E-4</v>
      </c>
      <c r="BI172" s="165">
        <f t="shared" si="91"/>
        <v>0.10004282260901239</v>
      </c>
      <c r="BJ172" s="165">
        <v>1.2918800258376005E-4</v>
      </c>
      <c r="BK172" s="165">
        <f t="shared" si="92"/>
        <v>0</v>
      </c>
      <c r="BL172" s="165">
        <v>0</v>
      </c>
      <c r="BM172" s="165">
        <f t="shared" si="93"/>
        <v>0</v>
      </c>
      <c r="BN172" s="165">
        <v>0</v>
      </c>
    </row>
    <row r="173" spans="1:66" ht="15.6" x14ac:dyDescent="0.3">
      <c r="A173" s="155">
        <v>800</v>
      </c>
      <c r="B173" s="155">
        <v>850</v>
      </c>
      <c r="C173" s="156">
        <v>42287</v>
      </c>
      <c r="D173" s="156"/>
      <c r="E173" s="156"/>
      <c r="F173" s="156">
        <v>1045882653000</v>
      </c>
      <c r="G173" s="156"/>
      <c r="H173" s="172"/>
      <c r="I173" s="157">
        <v>4.2406140050471799E-3</v>
      </c>
      <c r="J173" s="157" t="e">
        <v>#DIV/0!</v>
      </c>
      <c r="K173" s="157"/>
      <c r="L173" s="157">
        <v>824.4319790952303</v>
      </c>
      <c r="M173" s="157"/>
      <c r="N173" s="163"/>
      <c r="O173" s="179"/>
      <c r="P173" s="177" t="str">
        <f t="shared" si="76"/>
        <v>(800, 850]</v>
      </c>
      <c r="Q173" s="160" t="s">
        <v>139</v>
      </c>
      <c r="R173" s="157">
        <f t="shared" si="77"/>
        <v>4.2406140050471799E-3</v>
      </c>
      <c r="S173" s="162">
        <v>6.5000000000000002E-2</v>
      </c>
      <c r="T173" s="161">
        <v>0.01</v>
      </c>
      <c r="U173" s="161">
        <v>0</v>
      </c>
      <c r="V173" s="161">
        <v>0</v>
      </c>
      <c r="W173" s="162">
        <v>0.6</v>
      </c>
      <c r="X173" s="161">
        <v>0.01</v>
      </c>
      <c r="Y173" s="161">
        <v>0</v>
      </c>
      <c r="Z173" s="161">
        <v>0</v>
      </c>
      <c r="AA173" s="163">
        <v>2.7563991032806672E-4</v>
      </c>
      <c r="AB173" s="163">
        <v>4.2406140050471796E-5</v>
      </c>
      <c r="AC173" s="163">
        <v>0</v>
      </c>
      <c r="AD173" s="163">
        <v>0</v>
      </c>
      <c r="AE173" s="163">
        <v>2.5443684030283078E-3</v>
      </c>
      <c r="AF173" s="163">
        <v>4.2406140050471796E-5</v>
      </c>
      <c r="AG173" s="163">
        <v>0</v>
      </c>
      <c r="AH173" s="163">
        <v>0</v>
      </c>
      <c r="AI173" s="163">
        <v>2.5984138374829233E-4</v>
      </c>
      <c r="AJ173" s="163">
        <v>1.1024357298779868E-4</v>
      </c>
      <c r="AK173" s="163">
        <v>0</v>
      </c>
      <c r="AL173" s="163">
        <v>0</v>
      </c>
      <c r="AM173" s="163">
        <v>2.7288578904262864E-3</v>
      </c>
      <c r="AN173" s="163">
        <v>2.8183363555358169E-5</v>
      </c>
      <c r="AO173" s="163">
        <v>0</v>
      </c>
      <c r="AP173" s="163">
        <v>0</v>
      </c>
      <c r="AQ173" s="164">
        <f t="shared" si="78"/>
        <v>259841</v>
      </c>
      <c r="AR173" s="164">
        <f t="shared" si="79"/>
        <v>110243</v>
      </c>
      <c r="AS173" s="164">
        <f t="shared" si="80"/>
        <v>0</v>
      </c>
      <c r="AT173" s="164">
        <f t="shared" si="81"/>
        <v>0</v>
      </c>
      <c r="AU173" s="164">
        <f t="shared" si="82"/>
        <v>2728857</v>
      </c>
      <c r="AV173" s="164">
        <f t="shared" si="83"/>
        <v>28183</v>
      </c>
      <c r="AW173" s="164">
        <f t="shared" si="84"/>
        <v>0</v>
      </c>
      <c r="AX173" s="164">
        <f t="shared" si="85"/>
        <v>0</v>
      </c>
      <c r="AY173" s="165">
        <f t="shared" si="86"/>
        <v>0.21422122988008374</v>
      </c>
      <c r="AZ173" s="165">
        <v>2.598410051968201E-4</v>
      </c>
      <c r="BA173" s="165">
        <f t="shared" si="87"/>
        <v>9.0887854671395485E-2</v>
      </c>
      <c r="BB173" s="165">
        <v>1.1024300220486004E-4</v>
      </c>
      <c r="BC173" s="165">
        <f t="shared" si="88"/>
        <v>0</v>
      </c>
      <c r="BD173" s="165">
        <v>0</v>
      </c>
      <c r="BE173" s="165">
        <f t="shared" si="89"/>
        <v>0</v>
      </c>
      <c r="BF173" s="165">
        <v>0</v>
      </c>
      <c r="BG173" s="165">
        <f t="shared" si="90"/>
        <v>0.21422122988008374</v>
      </c>
      <c r="BH173" s="165">
        <v>2.598410051968201E-4</v>
      </c>
      <c r="BI173" s="165">
        <f t="shared" si="91"/>
        <v>9.0887854671395485E-2</v>
      </c>
      <c r="BJ173" s="165">
        <v>1.1024300220486004E-4</v>
      </c>
      <c r="BK173" s="165">
        <f t="shared" si="92"/>
        <v>0</v>
      </c>
      <c r="BL173" s="165">
        <v>0</v>
      </c>
      <c r="BM173" s="165">
        <f t="shared" si="93"/>
        <v>0</v>
      </c>
      <c r="BN173" s="165">
        <v>0</v>
      </c>
    </row>
    <row r="174" spans="1:66" ht="15.6" x14ac:dyDescent="0.3">
      <c r="A174" s="155">
        <v>850</v>
      </c>
      <c r="B174" s="155">
        <v>900</v>
      </c>
      <c r="C174" s="156">
        <v>35980</v>
      </c>
      <c r="D174" s="156"/>
      <c r="E174" s="156"/>
      <c r="F174" s="156">
        <v>943959495000</v>
      </c>
      <c r="G174" s="156"/>
      <c r="H174" s="172"/>
      <c r="I174" s="157">
        <v>3.6081370610730849E-3</v>
      </c>
      <c r="J174" s="157" t="e">
        <v>#DIV/0!</v>
      </c>
      <c r="K174" s="157"/>
      <c r="L174" s="157">
        <v>874.52241523068369</v>
      </c>
      <c r="M174" s="157"/>
      <c r="N174" s="163"/>
      <c r="O174" s="179"/>
      <c r="P174" s="177" t="str">
        <f t="shared" si="76"/>
        <v>(850, 900]</v>
      </c>
      <c r="Q174" s="160" t="s">
        <v>139</v>
      </c>
      <c r="R174" s="157">
        <f t="shared" si="77"/>
        <v>3.6081370610730849E-3</v>
      </c>
      <c r="S174" s="162">
        <v>7.0000000000000007E-2</v>
      </c>
      <c r="T174" s="161">
        <v>0.01</v>
      </c>
      <c r="U174" s="161">
        <v>0</v>
      </c>
      <c r="V174" s="161">
        <v>0</v>
      </c>
      <c r="W174" s="162">
        <v>0.6</v>
      </c>
      <c r="X174" s="161">
        <v>0.01</v>
      </c>
      <c r="Y174" s="161">
        <v>0</v>
      </c>
      <c r="Z174" s="161">
        <v>0</v>
      </c>
      <c r="AA174" s="163">
        <v>2.5256959427511595E-4</v>
      </c>
      <c r="AB174" s="163">
        <v>3.6081370610730848E-5</v>
      </c>
      <c r="AC174" s="163">
        <v>0</v>
      </c>
      <c r="AD174" s="163">
        <v>0</v>
      </c>
      <c r="AE174" s="163">
        <v>2.1648822366438507E-3</v>
      </c>
      <c r="AF174" s="163">
        <v>3.6081370610730848E-5</v>
      </c>
      <c r="AG174" s="163">
        <v>0</v>
      </c>
      <c r="AH174" s="163">
        <v>0</v>
      </c>
      <c r="AI174" s="163">
        <v>2.3809336170179562E-4</v>
      </c>
      <c r="AJ174" s="163">
        <v>9.3801020552439218E-5</v>
      </c>
      <c r="AK174" s="163">
        <v>0</v>
      </c>
      <c r="AL174" s="163">
        <v>0</v>
      </c>
      <c r="AM174" s="163">
        <v>2.3218555796707687E-3</v>
      </c>
      <c r="AN174" s="163">
        <v>2.3979885561089389E-5</v>
      </c>
      <c r="AO174" s="163">
        <v>0</v>
      </c>
      <c r="AP174" s="163">
        <v>0</v>
      </c>
      <c r="AQ174" s="164">
        <f t="shared" si="78"/>
        <v>238093</v>
      </c>
      <c r="AR174" s="164">
        <f t="shared" si="79"/>
        <v>93801</v>
      </c>
      <c r="AS174" s="164">
        <f t="shared" si="80"/>
        <v>0</v>
      </c>
      <c r="AT174" s="164">
        <f t="shared" si="81"/>
        <v>0</v>
      </c>
      <c r="AU174" s="164">
        <f t="shared" si="82"/>
        <v>2321855</v>
      </c>
      <c r="AV174" s="164">
        <f t="shared" si="83"/>
        <v>23979</v>
      </c>
      <c r="AW174" s="164">
        <f t="shared" si="84"/>
        <v>0</v>
      </c>
      <c r="AX174" s="164">
        <f t="shared" si="85"/>
        <v>0</v>
      </c>
      <c r="AY174" s="165">
        <f t="shared" si="86"/>
        <v>0.20821766540951916</v>
      </c>
      <c r="AZ174" s="165">
        <v>2.3809300476186011E-4</v>
      </c>
      <c r="BA174" s="165">
        <f t="shared" si="87"/>
        <v>8.2031077071053352E-2</v>
      </c>
      <c r="BB174" s="165">
        <v>9.3801001876020042E-5</v>
      </c>
      <c r="BC174" s="165">
        <f t="shared" si="88"/>
        <v>0</v>
      </c>
      <c r="BD174" s="165">
        <v>0</v>
      </c>
      <c r="BE174" s="165">
        <f t="shared" si="89"/>
        <v>0</v>
      </c>
      <c r="BF174" s="165">
        <v>0</v>
      </c>
      <c r="BG174" s="165">
        <f t="shared" si="90"/>
        <v>0.20821766540951916</v>
      </c>
      <c r="BH174" s="165">
        <v>2.3809300476186011E-4</v>
      </c>
      <c r="BI174" s="165">
        <f t="shared" si="91"/>
        <v>8.2031077071053352E-2</v>
      </c>
      <c r="BJ174" s="165">
        <v>9.3801001876020042E-5</v>
      </c>
      <c r="BK174" s="165">
        <f t="shared" si="92"/>
        <v>0</v>
      </c>
      <c r="BL174" s="165">
        <v>0</v>
      </c>
      <c r="BM174" s="165">
        <f t="shared" si="93"/>
        <v>0</v>
      </c>
      <c r="BN174" s="165">
        <v>0</v>
      </c>
    </row>
    <row r="175" spans="1:66" ht="15.6" x14ac:dyDescent="0.3">
      <c r="A175" s="155">
        <v>900</v>
      </c>
      <c r="B175" s="155">
        <v>950</v>
      </c>
      <c r="C175" s="156">
        <v>31046</v>
      </c>
      <c r="D175" s="156"/>
      <c r="E175" s="156"/>
      <c r="F175" s="156">
        <v>861004537500</v>
      </c>
      <c r="G175" s="156"/>
      <c r="H175" s="172"/>
      <c r="I175" s="157">
        <v>3.1133469482511117E-3</v>
      </c>
      <c r="J175" s="157" t="e">
        <v>#DIV/0!</v>
      </c>
      <c r="K175" s="157"/>
      <c r="L175" s="157">
        <v>924.43958158861051</v>
      </c>
      <c r="M175" s="157"/>
      <c r="N175" s="163"/>
      <c r="O175" s="179"/>
      <c r="P175" s="177" t="str">
        <f t="shared" si="76"/>
        <v>(900, 950]</v>
      </c>
      <c r="Q175" s="160" t="s">
        <v>139</v>
      </c>
      <c r="R175" s="157">
        <f t="shared" si="77"/>
        <v>3.1133469482511117E-3</v>
      </c>
      <c r="S175" s="162">
        <v>7.4999999999999997E-2</v>
      </c>
      <c r="T175" s="161">
        <v>0.01</v>
      </c>
      <c r="U175" s="161">
        <v>0</v>
      </c>
      <c r="V175" s="161">
        <v>0</v>
      </c>
      <c r="W175" s="162">
        <v>0.6</v>
      </c>
      <c r="X175" s="161">
        <v>0.01</v>
      </c>
      <c r="Y175" s="161">
        <v>0</v>
      </c>
      <c r="Z175" s="161">
        <v>0</v>
      </c>
      <c r="AA175" s="163">
        <v>2.3350102111883335E-4</v>
      </c>
      <c r="AB175" s="163">
        <v>3.1133469482511117E-5</v>
      </c>
      <c r="AC175" s="163">
        <v>0</v>
      </c>
      <c r="AD175" s="163">
        <v>0</v>
      </c>
      <c r="AE175" s="163">
        <v>1.8680081689506668E-3</v>
      </c>
      <c r="AF175" s="163">
        <v>3.1133469482511117E-5</v>
      </c>
      <c r="AG175" s="163">
        <v>0</v>
      </c>
      <c r="AH175" s="163">
        <v>0</v>
      </c>
      <c r="AI175" s="163">
        <v>2.2011771938956005E-4</v>
      </c>
      <c r="AJ175" s="163">
        <v>8.0937923403864035E-5</v>
      </c>
      <c r="AK175" s="163">
        <v>0</v>
      </c>
      <c r="AL175" s="163">
        <v>0</v>
      </c>
      <c r="AM175" s="163">
        <v>2.0034554843373731E-3</v>
      </c>
      <c r="AN175" s="163">
        <v>2.0691482132562012E-5</v>
      </c>
      <c r="AO175" s="163">
        <v>0</v>
      </c>
      <c r="AP175" s="163">
        <v>0</v>
      </c>
      <c r="AQ175" s="164">
        <f t="shared" si="78"/>
        <v>220117</v>
      </c>
      <c r="AR175" s="164">
        <f t="shared" si="79"/>
        <v>80937</v>
      </c>
      <c r="AS175" s="164">
        <f t="shared" si="80"/>
        <v>0</v>
      </c>
      <c r="AT175" s="164">
        <f t="shared" si="81"/>
        <v>0</v>
      </c>
      <c r="AU175" s="164">
        <f t="shared" si="82"/>
        <v>2003455</v>
      </c>
      <c r="AV175" s="164">
        <f t="shared" si="83"/>
        <v>20691</v>
      </c>
      <c r="AW175" s="164">
        <f t="shared" si="84"/>
        <v>0</v>
      </c>
      <c r="AX175" s="164">
        <f t="shared" si="85"/>
        <v>0</v>
      </c>
      <c r="AY175" s="165">
        <f t="shared" si="86"/>
        <v>0.2034848673805402</v>
      </c>
      <c r="AZ175" s="165">
        <v>2.201170044023401E-4</v>
      </c>
      <c r="BA175" s="165">
        <f t="shared" si="87"/>
        <v>7.4821366415037366E-2</v>
      </c>
      <c r="BB175" s="165">
        <v>8.0937001618740028E-5</v>
      </c>
      <c r="BC175" s="165">
        <f t="shared" si="88"/>
        <v>0</v>
      </c>
      <c r="BD175" s="165">
        <v>0</v>
      </c>
      <c r="BE175" s="165">
        <f t="shared" si="89"/>
        <v>0</v>
      </c>
      <c r="BF175" s="165">
        <v>0</v>
      </c>
      <c r="BG175" s="165">
        <f t="shared" si="90"/>
        <v>0.2034848673805402</v>
      </c>
      <c r="BH175" s="165">
        <v>2.201170044023401E-4</v>
      </c>
      <c r="BI175" s="165">
        <f t="shared" si="91"/>
        <v>7.4821366415037366E-2</v>
      </c>
      <c r="BJ175" s="165">
        <v>8.0937001618740028E-5</v>
      </c>
      <c r="BK175" s="165">
        <f t="shared" si="92"/>
        <v>0</v>
      </c>
      <c r="BL175" s="165">
        <v>0</v>
      </c>
      <c r="BM175" s="165">
        <f t="shared" si="93"/>
        <v>0</v>
      </c>
      <c r="BN175" s="165">
        <v>0</v>
      </c>
    </row>
    <row r="176" spans="1:66" ht="15.6" x14ac:dyDescent="0.3">
      <c r="A176" s="155">
        <v>950</v>
      </c>
      <c r="B176" s="155">
        <v>1000</v>
      </c>
      <c r="C176" s="156">
        <v>26687</v>
      </c>
      <c r="D176" s="156"/>
      <c r="E176" s="156"/>
      <c r="F176" s="156">
        <v>780302842500</v>
      </c>
      <c r="G176" s="156"/>
      <c r="H176" s="172"/>
      <c r="I176" s="157">
        <v>2.6762188368220515E-3</v>
      </c>
      <c r="J176" s="157" t="e">
        <v>#DIV/0!</v>
      </c>
      <c r="K176" s="157"/>
      <c r="L176" s="157">
        <v>974.63539363735151</v>
      </c>
      <c r="M176" s="157"/>
      <c r="N176" s="163"/>
      <c r="O176" s="179"/>
      <c r="P176" s="177" t="str">
        <f t="shared" si="76"/>
        <v>(950, 1000]</v>
      </c>
      <c r="Q176" s="160" t="s">
        <v>139</v>
      </c>
      <c r="R176" s="157">
        <f t="shared" si="77"/>
        <v>2.6762188368220515E-3</v>
      </c>
      <c r="S176" s="162">
        <v>0.08</v>
      </c>
      <c r="T176" s="161">
        <v>0.01</v>
      </c>
      <c r="U176" s="161">
        <v>0</v>
      </c>
      <c r="V176" s="161">
        <v>0</v>
      </c>
      <c r="W176" s="162">
        <v>0.6</v>
      </c>
      <c r="X176" s="161">
        <v>0.01</v>
      </c>
      <c r="Y176" s="161">
        <v>0</v>
      </c>
      <c r="Z176" s="161">
        <v>0</v>
      </c>
      <c r="AA176" s="163">
        <v>2.1409750694576413E-4</v>
      </c>
      <c r="AB176" s="163">
        <v>2.6762188368220516E-5</v>
      </c>
      <c r="AC176" s="163">
        <v>0</v>
      </c>
      <c r="AD176" s="163">
        <v>0</v>
      </c>
      <c r="AE176" s="163">
        <v>1.6057313020932309E-3</v>
      </c>
      <c r="AF176" s="163">
        <v>2.6762188368220516E-5</v>
      </c>
      <c r="AG176" s="163">
        <v>0</v>
      </c>
      <c r="AH176" s="163">
        <v>0</v>
      </c>
      <c r="AI176" s="163">
        <v>2.0182633347846644E-4</v>
      </c>
      <c r="AJ176" s="163">
        <v>6.9573869802194143E-5</v>
      </c>
      <c r="AK176" s="163">
        <v>0</v>
      </c>
      <c r="AL176" s="163">
        <v>0</v>
      </c>
      <c r="AM176" s="163">
        <v>1.7221611966279544E-3</v>
      </c>
      <c r="AN176" s="163">
        <v>1.778630366783748E-5</v>
      </c>
      <c r="AO176" s="163">
        <v>0</v>
      </c>
      <c r="AP176" s="163">
        <v>0</v>
      </c>
      <c r="AQ176" s="164">
        <f t="shared" si="78"/>
        <v>201826</v>
      </c>
      <c r="AR176" s="164">
        <f t="shared" si="79"/>
        <v>69573</v>
      </c>
      <c r="AS176" s="164">
        <f t="shared" si="80"/>
        <v>0</v>
      </c>
      <c r="AT176" s="164">
        <f t="shared" si="81"/>
        <v>0</v>
      </c>
      <c r="AU176" s="164">
        <f t="shared" si="82"/>
        <v>1722161</v>
      </c>
      <c r="AV176" s="164">
        <f t="shared" si="83"/>
        <v>17786</v>
      </c>
      <c r="AW176" s="164">
        <f t="shared" si="84"/>
        <v>0</v>
      </c>
      <c r="AX176" s="164">
        <f t="shared" si="85"/>
        <v>0</v>
      </c>
      <c r="AY176" s="165">
        <f t="shared" si="86"/>
        <v>0.19670676295625208</v>
      </c>
      <c r="AZ176" s="165">
        <v>2.0182600403652009E-4</v>
      </c>
      <c r="BA176" s="165">
        <f t="shared" si="87"/>
        <v>6.7808308241531459E-2</v>
      </c>
      <c r="BB176" s="165">
        <v>6.9573001391460033E-5</v>
      </c>
      <c r="BC176" s="165">
        <f t="shared" si="88"/>
        <v>0</v>
      </c>
      <c r="BD176" s="165">
        <v>0</v>
      </c>
      <c r="BE176" s="165">
        <f t="shared" si="89"/>
        <v>0</v>
      </c>
      <c r="BF176" s="165">
        <v>0</v>
      </c>
      <c r="BG176" s="165">
        <f t="shared" si="90"/>
        <v>0.19670676295625208</v>
      </c>
      <c r="BH176" s="165">
        <v>2.0182600403652009E-4</v>
      </c>
      <c r="BI176" s="165">
        <f t="shared" si="91"/>
        <v>6.7808308241531459E-2</v>
      </c>
      <c r="BJ176" s="165">
        <v>6.9573001391460033E-5</v>
      </c>
      <c r="BK176" s="165">
        <f t="shared" si="92"/>
        <v>0</v>
      </c>
      <c r="BL176" s="165">
        <v>0</v>
      </c>
      <c r="BM176" s="165">
        <f t="shared" si="93"/>
        <v>0</v>
      </c>
      <c r="BN176" s="165">
        <v>0</v>
      </c>
    </row>
    <row r="177" spans="1:66" ht="15.6" x14ac:dyDescent="0.3">
      <c r="A177" s="155">
        <v>1000</v>
      </c>
      <c r="B177" s="155">
        <v>2000</v>
      </c>
      <c r="C177" s="156">
        <v>185922</v>
      </c>
      <c r="D177" s="156"/>
      <c r="E177" s="156"/>
      <c r="F177" s="156">
        <v>7372073566500</v>
      </c>
      <c r="G177" s="156"/>
      <c r="H177" s="172"/>
      <c r="I177" s="157">
        <v>1.8644581952996946E-2</v>
      </c>
      <c r="J177" s="157" t="e">
        <v>#DIV/0!</v>
      </c>
      <c r="K177" s="157"/>
      <c r="L177" s="157">
        <v>1321.7144046965932</v>
      </c>
      <c r="M177" s="157"/>
      <c r="N177" s="163"/>
      <c r="O177" s="179"/>
      <c r="P177" s="177" t="str">
        <f t="shared" si="76"/>
        <v>(1000, 2000]</v>
      </c>
      <c r="Q177" s="160" t="s">
        <v>139</v>
      </c>
      <c r="R177" s="157">
        <f t="shared" si="77"/>
        <v>1.8644581952996946E-2</v>
      </c>
      <c r="S177" s="162">
        <v>0.01</v>
      </c>
      <c r="T177" s="161">
        <v>1E-3</v>
      </c>
      <c r="U177" s="161">
        <v>0</v>
      </c>
      <c r="V177" s="161">
        <v>0</v>
      </c>
      <c r="W177" s="162">
        <v>0.13</v>
      </c>
      <c r="X177" s="161">
        <v>0.01</v>
      </c>
      <c r="Y177" s="161">
        <v>0</v>
      </c>
      <c r="Z177" s="161">
        <v>0</v>
      </c>
      <c r="AA177" s="163">
        <v>1.8644581952996945E-4</v>
      </c>
      <c r="AB177" s="163">
        <v>1.8644581952996948E-5</v>
      </c>
      <c r="AC177" s="163">
        <v>0</v>
      </c>
      <c r="AD177" s="163">
        <v>0</v>
      </c>
      <c r="AE177" s="163">
        <v>2.4237956538896029E-3</v>
      </c>
      <c r="AF177" s="163">
        <v>1.8644581952996945E-4</v>
      </c>
      <c r="AG177" s="163">
        <v>0</v>
      </c>
      <c r="AH177" s="163">
        <v>0</v>
      </c>
      <c r="AI177" s="163">
        <v>1.7575952511046314E-4</v>
      </c>
      <c r="AJ177" s="163">
        <v>4.8470465100474168E-5</v>
      </c>
      <c r="AK177" s="163">
        <v>0</v>
      </c>
      <c r="AL177" s="163">
        <v>0</v>
      </c>
      <c r="AM177" s="163">
        <v>2.5995425375607436E-3</v>
      </c>
      <c r="AN177" s="163">
        <v>1.2391295951330909E-4</v>
      </c>
      <c r="AO177" s="163">
        <v>0</v>
      </c>
      <c r="AP177" s="163">
        <v>0</v>
      </c>
      <c r="AQ177" s="164">
        <f t="shared" si="78"/>
        <v>175759</v>
      </c>
      <c r="AR177" s="164">
        <f t="shared" si="79"/>
        <v>48470</v>
      </c>
      <c r="AS177" s="164">
        <f t="shared" si="80"/>
        <v>0</v>
      </c>
      <c r="AT177" s="164">
        <f t="shared" si="81"/>
        <v>0</v>
      </c>
      <c r="AU177" s="164">
        <f t="shared" si="82"/>
        <v>2599542</v>
      </c>
      <c r="AV177" s="164">
        <f t="shared" si="83"/>
        <v>123912</v>
      </c>
      <c r="AW177" s="164">
        <f t="shared" si="84"/>
        <v>0</v>
      </c>
      <c r="AX177" s="164">
        <f t="shared" si="85"/>
        <v>0</v>
      </c>
      <c r="AY177" s="165">
        <f t="shared" si="86"/>
        <v>0.23230320205506852</v>
      </c>
      <c r="AZ177" s="165">
        <v>1.7575900351518006E-4</v>
      </c>
      <c r="BA177" s="165">
        <f t="shared" si="87"/>
        <v>6.4063497195643873E-2</v>
      </c>
      <c r="BB177" s="165">
        <v>4.8470000969400018E-5</v>
      </c>
      <c r="BC177" s="165">
        <f t="shared" si="88"/>
        <v>0</v>
      </c>
      <c r="BD177" s="165">
        <v>0</v>
      </c>
      <c r="BE177" s="165">
        <f t="shared" si="89"/>
        <v>0</v>
      </c>
      <c r="BF177" s="165">
        <v>0</v>
      </c>
      <c r="BG177" s="165">
        <f t="shared" si="90"/>
        <v>0.23230320205506852</v>
      </c>
      <c r="BH177" s="165">
        <v>1.7575900351518006E-4</v>
      </c>
      <c r="BI177" s="165">
        <f t="shared" si="91"/>
        <v>6.4063497195643873E-2</v>
      </c>
      <c r="BJ177" s="165">
        <v>4.8470000969400018E-5</v>
      </c>
      <c r="BK177" s="165">
        <f t="shared" si="92"/>
        <v>0</v>
      </c>
      <c r="BL177" s="165">
        <v>0</v>
      </c>
      <c r="BM177" s="165">
        <f t="shared" si="93"/>
        <v>0</v>
      </c>
      <c r="BN177" s="165">
        <v>0</v>
      </c>
    </row>
    <row r="178" spans="1:66" ht="15.6" x14ac:dyDescent="0.3">
      <c r="A178" s="155">
        <v>2000</v>
      </c>
      <c r="B178" s="155">
        <v>3000</v>
      </c>
      <c r="C178" s="156">
        <v>24656</v>
      </c>
      <c r="D178" s="173"/>
      <c r="E178" s="156"/>
      <c r="F178" s="156">
        <v>1749731791500</v>
      </c>
      <c r="G178" s="173"/>
      <c r="H178" s="172"/>
      <c r="I178" s="157">
        <v>2.472546619728126E-3</v>
      </c>
      <c r="J178" s="157" t="e">
        <v>#DIV/0!</v>
      </c>
      <c r="K178" s="157"/>
      <c r="L178" s="157">
        <v>2365.525350827385</v>
      </c>
      <c r="M178" s="157"/>
      <c r="N178" s="163"/>
      <c r="O178" s="179"/>
      <c r="P178" s="177" t="str">
        <f t="shared" si="76"/>
        <v>(2000, 3000]</v>
      </c>
      <c r="Q178" s="160" t="s">
        <v>139</v>
      </c>
      <c r="R178" s="157">
        <f t="shared" si="77"/>
        <v>2.472546619728126E-3</v>
      </c>
      <c r="S178" s="162">
        <v>1E-3</v>
      </c>
      <c r="T178" s="161">
        <v>0</v>
      </c>
      <c r="U178" s="161">
        <v>0</v>
      </c>
      <c r="V178" s="161">
        <v>0</v>
      </c>
      <c r="W178" s="162">
        <v>0</v>
      </c>
      <c r="X178" s="161">
        <v>0</v>
      </c>
      <c r="Y178" s="161">
        <v>0</v>
      </c>
      <c r="Z178" s="161">
        <v>0</v>
      </c>
      <c r="AA178" s="163">
        <v>2.4725466197281259E-6</v>
      </c>
      <c r="AB178" s="163">
        <v>0</v>
      </c>
      <c r="AC178" s="163">
        <v>0</v>
      </c>
      <c r="AD178" s="163">
        <v>0</v>
      </c>
      <c r="AE178" s="163">
        <v>0</v>
      </c>
      <c r="AF178" s="163">
        <v>0</v>
      </c>
      <c r="AG178" s="163">
        <v>0</v>
      </c>
      <c r="AH178" s="163">
        <v>0</v>
      </c>
      <c r="AI178" s="163">
        <v>2.3308305908518509E-6</v>
      </c>
      <c r="AJ178" s="163">
        <v>0</v>
      </c>
      <c r="AK178" s="163">
        <v>0</v>
      </c>
      <c r="AL178" s="163">
        <v>0</v>
      </c>
      <c r="AM178" s="163">
        <v>0</v>
      </c>
      <c r="AN178" s="163">
        <v>0</v>
      </c>
      <c r="AO178" s="163">
        <v>0</v>
      </c>
      <c r="AP178" s="163">
        <v>0</v>
      </c>
      <c r="AQ178" s="164">
        <f t="shared" si="78"/>
        <v>2330</v>
      </c>
      <c r="AR178" s="164">
        <f t="shared" si="79"/>
        <v>0</v>
      </c>
      <c r="AS178" s="164">
        <f t="shared" si="80"/>
        <v>0</v>
      </c>
      <c r="AT178" s="164">
        <f t="shared" si="81"/>
        <v>0</v>
      </c>
      <c r="AU178" s="164">
        <f t="shared" si="82"/>
        <v>0</v>
      </c>
      <c r="AV178" s="164">
        <f t="shared" si="83"/>
        <v>0</v>
      </c>
      <c r="AW178" s="164">
        <f t="shared" si="84"/>
        <v>0</v>
      </c>
      <c r="AX178" s="164">
        <f t="shared" si="85"/>
        <v>0</v>
      </c>
      <c r="AY178" s="165">
        <f t="shared" si="86"/>
        <v>5.5116740674278067E-3</v>
      </c>
      <c r="AZ178" s="165">
        <v>2.330000046600001E-6</v>
      </c>
      <c r="BA178" s="165">
        <f t="shared" si="87"/>
        <v>0</v>
      </c>
      <c r="BB178" s="165">
        <v>0</v>
      </c>
      <c r="BC178" s="165">
        <f t="shared" si="88"/>
        <v>0</v>
      </c>
      <c r="BD178" s="165">
        <v>0</v>
      </c>
      <c r="BE178" s="165">
        <f t="shared" si="89"/>
        <v>0</v>
      </c>
      <c r="BF178" s="165">
        <v>0</v>
      </c>
      <c r="BG178" s="165">
        <f t="shared" si="90"/>
        <v>5.5116740674278067E-3</v>
      </c>
      <c r="BH178" s="165">
        <v>2.330000046600001E-6</v>
      </c>
      <c r="BI178" s="165">
        <f t="shared" si="91"/>
        <v>0</v>
      </c>
      <c r="BJ178" s="165">
        <v>0</v>
      </c>
      <c r="BK178" s="165">
        <f t="shared" si="92"/>
        <v>0</v>
      </c>
      <c r="BL178" s="165">
        <v>0</v>
      </c>
      <c r="BM178" s="165">
        <f t="shared" si="93"/>
        <v>0</v>
      </c>
      <c r="BN178" s="165">
        <v>0</v>
      </c>
    </row>
    <row r="179" spans="1:66" ht="15.6" x14ac:dyDescent="0.3">
      <c r="A179" s="155">
        <v>3000</v>
      </c>
      <c r="B179" s="155">
        <v>4000</v>
      </c>
      <c r="C179" s="156">
        <v>5229</v>
      </c>
      <c r="D179" s="156"/>
      <c r="E179" s="156"/>
      <c r="F179" s="156">
        <v>531934236000</v>
      </c>
      <c r="G179" s="156"/>
      <c r="H179" s="172"/>
      <c r="I179" s="157">
        <v>5.2437322658007671E-4</v>
      </c>
      <c r="J179" s="157" t="e">
        <v>#DIV/0!</v>
      </c>
      <c r="K179" s="157"/>
      <c r="L179" s="157">
        <v>3390.9239242685026</v>
      </c>
      <c r="M179" s="157"/>
      <c r="N179" s="163"/>
      <c r="O179" s="179"/>
      <c r="P179" s="177" t="str">
        <f t="shared" si="76"/>
        <v>(3000, 4000]</v>
      </c>
      <c r="Q179" s="160" t="s">
        <v>139</v>
      </c>
      <c r="R179" s="157">
        <f t="shared" si="77"/>
        <v>5.2437322658007671E-4</v>
      </c>
      <c r="S179" s="162">
        <v>0</v>
      </c>
      <c r="T179" s="161">
        <v>0</v>
      </c>
      <c r="U179" s="161">
        <v>0</v>
      </c>
      <c r="V179" s="161">
        <v>0</v>
      </c>
      <c r="W179" s="162">
        <v>0</v>
      </c>
      <c r="X179" s="161">
        <v>0</v>
      </c>
      <c r="Y179" s="161">
        <v>0</v>
      </c>
      <c r="Z179" s="161">
        <v>0</v>
      </c>
      <c r="AA179" s="163">
        <v>0</v>
      </c>
      <c r="AB179" s="163">
        <v>0</v>
      </c>
      <c r="AC179" s="163">
        <v>0</v>
      </c>
      <c r="AD179" s="163">
        <v>0</v>
      </c>
      <c r="AE179" s="163">
        <v>0</v>
      </c>
      <c r="AF179" s="163">
        <v>0</v>
      </c>
      <c r="AG179" s="163">
        <v>0</v>
      </c>
      <c r="AH179" s="163">
        <v>0</v>
      </c>
      <c r="AI179" s="163">
        <v>0</v>
      </c>
      <c r="AJ179" s="163">
        <v>0</v>
      </c>
      <c r="AK179" s="163">
        <v>0</v>
      </c>
      <c r="AL179" s="163">
        <v>0</v>
      </c>
      <c r="AM179" s="163">
        <v>0</v>
      </c>
      <c r="AN179" s="163">
        <v>0</v>
      </c>
      <c r="AO179" s="163">
        <v>0</v>
      </c>
      <c r="AP179" s="163">
        <v>0</v>
      </c>
      <c r="AQ179" s="164">
        <f t="shared" si="78"/>
        <v>0</v>
      </c>
      <c r="AR179" s="164">
        <f t="shared" si="79"/>
        <v>0</v>
      </c>
      <c r="AS179" s="164">
        <f t="shared" si="80"/>
        <v>0</v>
      </c>
      <c r="AT179" s="164">
        <f t="shared" si="81"/>
        <v>0</v>
      </c>
      <c r="AU179" s="164">
        <f t="shared" si="82"/>
        <v>0</v>
      </c>
      <c r="AV179" s="164">
        <f t="shared" si="83"/>
        <v>0</v>
      </c>
      <c r="AW179" s="164">
        <f t="shared" si="84"/>
        <v>0</v>
      </c>
      <c r="AX179" s="164">
        <f t="shared" si="85"/>
        <v>0</v>
      </c>
      <c r="AY179" s="165">
        <f t="shared" si="86"/>
        <v>0</v>
      </c>
      <c r="AZ179" s="165">
        <v>0</v>
      </c>
      <c r="BA179" s="165">
        <f t="shared" si="87"/>
        <v>0</v>
      </c>
      <c r="BB179" s="165">
        <v>0</v>
      </c>
      <c r="BC179" s="165">
        <f t="shared" si="88"/>
        <v>0</v>
      </c>
      <c r="BD179" s="165">
        <v>0</v>
      </c>
      <c r="BE179" s="165">
        <f t="shared" si="89"/>
        <v>0</v>
      </c>
      <c r="BF179" s="165">
        <v>0</v>
      </c>
      <c r="BG179" s="165">
        <f t="shared" si="90"/>
        <v>0</v>
      </c>
      <c r="BH179" s="165">
        <v>0</v>
      </c>
      <c r="BI179" s="165">
        <f t="shared" si="91"/>
        <v>0</v>
      </c>
      <c r="BJ179" s="165">
        <v>0</v>
      </c>
      <c r="BK179" s="165">
        <f t="shared" si="92"/>
        <v>0</v>
      </c>
      <c r="BL179" s="165">
        <v>0</v>
      </c>
      <c r="BM179" s="165">
        <f t="shared" si="93"/>
        <v>0</v>
      </c>
      <c r="BN179" s="165">
        <v>0</v>
      </c>
    </row>
    <row r="180" spans="1:66" ht="15.6" x14ac:dyDescent="0.3">
      <c r="A180" s="155">
        <v>4000</v>
      </c>
      <c r="B180" s="155">
        <v>5000</v>
      </c>
      <c r="C180" s="156">
        <v>1569</v>
      </c>
      <c r="D180" s="156"/>
      <c r="E180" s="156"/>
      <c r="F180" s="156">
        <v>207274543500</v>
      </c>
      <c r="G180" s="156"/>
      <c r="H180" s="172"/>
      <c r="I180" s="157">
        <v>1.5734205249648888E-4</v>
      </c>
      <c r="J180" s="157" t="e">
        <v>#DIV/0!</v>
      </c>
      <c r="K180" s="157"/>
      <c r="L180" s="157">
        <v>4403.5382090503508</v>
      </c>
      <c r="M180" s="157"/>
      <c r="N180" s="163"/>
      <c r="O180" s="179"/>
      <c r="P180" s="177" t="str">
        <f t="shared" si="76"/>
        <v>(4000, 5000]</v>
      </c>
      <c r="Q180" s="160" t="s">
        <v>139</v>
      </c>
      <c r="R180" s="157">
        <f t="shared" si="77"/>
        <v>1.5734205249648888E-4</v>
      </c>
      <c r="S180" s="162">
        <v>0</v>
      </c>
      <c r="T180" s="161">
        <v>0</v>
      </c>
      <c r="U180" s="161">
        <v>0</v>
      </c>
      <c r="V180" s="161">
        <v>0</v>
      </c>
      <c r="W180" s="162">
        <v>0</v>
      </c>
      <c r="X180" s="161">
        <v>0</v>
      </c>
      <c r="Y180" s="161">
        <v>0</v>
      </c>
      <c r="Z180" s="161">
        <v>0</v>
      </c>
      <c r="AA180" s="163">
        <v>0</v>
      </c>
      <c r="AB180" s="163">
        <v>0</v>
      </c>
      <c r="AC180" s="163">
        <v>0</v>
      </c>
      <c r="AD180" s="163">
        <v>0</v>
      </c>
      <c r="AE180" s="163">
        <v>0</v>
      </c>
      <c r="AF180" s="163">
        <v>0</v>
      </c>
      <c r="AG180" s="163">
        <v>0</v>
      </c>
      <c r="AH180" s="163">
        <v>0</v>
      </c>
      <c r="AI180" s="163">
        <v>0</v>
      </c>
      <c r="AJ180" s="163">
        <v>0</v>
      </c>
      <c r="AK180" s="163">
        <v>0</v>
      </c>
      <c r="AL180" s="163">
        <v>0</v>
      </c>
      <c r="AM180" s="163">
        <v>0</v>
      </c>
      <c r="AN180" s="163">
        <v>0</v>
      </c>
      <c r="AO180" s="163">
        <v>0</v>
      </c>
      <c r="AP180" s="163">
        <v>0</v>
      </c>
      <c r="AQ180" s="164">
        <f t="shared" si="78"/>
        <v>0</v>
      </c>
      <c r="AR180" s="164">
        <f t="shared" si="79"/>
        <v>0</v>
      </c>
      <c r="AS180" s="164">
        <f t="shared" si="80"/>
        <v>0</v>
      </c>
      <c r="AT180" s="164">
        <f t="shared" si="81"/>
        <v>0</v>
      </c>
      <c r="AU180" s="164">
        <f t="shared" si="82"/>
        <v>0</v>
      </c>
      <c r="AV180" s="164">
        <f t="shared" si="83"/>
        <v>0</v>
      </c>
      <c r="AW180" s="164">
        <f t="shared" si="84"/>
        <v>0</v>
      </c>
      <c r="AX180" s="164">
        <f t="shared" si="85"/>
        <v>0</v>
      </c>
      <c r="AY180" s="165">
        <f t="shared" si="86"/>
        <v>0</v>
      </c>
      <c r="AZ180" s="165">
        <v>0</v>
      </c>
      <c r="BA180" s="165">
        <f t="shared" si="87"/>
        <v>0</v>
      </c>
      <c r="BB180" s="165">
        <v>0</v>
      </c>
      <c r="BC180" s="165">
        <f t="shared" si="88"/>
        <v>0</v>
      </c>
      <c r="BD180" s="165">
        <v>0</v>
      </c>
      <c r="BE180" s="165">
        <f t="shared" si="89"/>
        <v>0</v>
      </c>
      <c r="BF180" s="165">
        <v>0</v>
      </c>
      <c r="BG180" s="165">
        <f t="shared" si="90"/>
        <v>0</v>
      </c>
      <c r="BH180" s="165">
        <v>0</v>
      </c>
      <c r="BI180" s="165">
        <f t="shared" si="91"/>
        <v>0</v>
      </c>
      <c r="BJ180" s="165">
        <v>0</v>
      </c>
      <c r="BK180" s="165">
        <f t="shared" si="92"/>
        <v>0</v>
      </c>
      <c r="BL180" s="165">
        <v>0</v>
      </c>
      <c r="BM180" s="165">
        <f t="shared" si="93"/>
        <v>0</v>
      </c>
      <c r="BN180" s="165">
        <v>0</v>
      </c>
    </row>
    <row r="181" spans="1:66" ht="15.6" x14ac:dyDescent="0.3">
      <c r="A181" s="155">
        <v>5000</v>
      </c>
      <c r="B181" s="155">
        <v>6000</v>
      </c>
      <c r="C181" s="156">
        <v>531</v>
      </c>
      <c r="D181" s="156"/>
      <c r="E181" s="156"/>
      <c r="F181" s="156">
        <v>86417550000</v>
      </c>
      <c r="G181" s="156"/>
      <c r="H181" s="172"/>
      <c r="I181" s="157">
        <v>5.3249604764586104E-5</v>
      </c>
      <c r="J181" s="157" t="e">
        <v>#DIV/0!</v>
      </c>
      <c r="K181" s="157"/>
      <c r="L181" s="157">
        <v>5424.8305084745762</v>
      </c>
      <c r="M181" s="157"/>
      <c r="N181" s="163"/>
      <c r="O181" s="179"/>
      <c r="P181" s="177" t="str">
        <f t="shared" si="76"/>
        <v>(5000, 6000]</v>
      </c>
      <c r="Q181" s="160" t="s">
        <v>139</v>
      </c>
      <c r="R181" s="157">
        <f t="shared" si="77"/>
        <v>5.3249604764586104E-5</v>
      </c>
      <c r="S181" s="162">
        <v>0</v>
      </c>
      <c r="T181" s="161">
        <v>0</v>
      </c>
      <c r="U181" s="161">
        <v>0</v>
      </c>
      <c r="V181" s="161">
        <v>0</v>
      </c>
      <c r="W181" s="162">
        <v>0</v>
      </c>
      <c r="X181" s="161">
        <v>0</v>
      </c>
      <c r="Y181" s="161">
        <v>0</v>
      </c>
      <c r="Z181" s="161">
        <v>0</v>
      </c>
      <c r="AA181" s="163">
        <v>0</v>
      </c>
      <c r="AB181" s="163">
        <v>0</v>
      </c>
      <c r="AC181" s="163">
        <v>0</v>
      </c>
      <c r="AD181" s="163">
        <v>0</v>
      </c>
      <c r="AE181" s="163">
        <v>0</v>
      </c>
      <c r="AF181" s="163">
        <v>0</v>
      </c>
      <c r="AG181" s="163">
        <v>0</v>
      </c>
      <c r="AH181" s="163">
        <v>0</v>
      </c>
      <c r="AI181" s="163">
        <v>0</v>
      </c>
      <c r="AJ181" s="163">
        <v>0</v>
      </c>
      <c r="AK181" s="163">
        <v>0</v>
      </c>
      <c r="AL181" s="163">
        <v>0</v>
      </c>
      <c r="AM181" s="163">
        <v>0</v>
      </c>
      <c r="AN181" s="163">
        <v>0</v>
      </c>
      <c r="AO181" s="163">
        <v>0</v>
      </c>
      <c r="AP181" s="163">
        <v>0</v>
      </c>
      <c r="AQ181" s="164">
        <f t="shared" si="78"/>
        <v>0</v>
      </c>
      <c r="AR181" s="164">
        <f t="shared" si="79"/>
        <v>0</v>
      </c>
      <c r="AS181" s="164">
        <f t="shared" si="80"/>
        <v>0</v>
      </c>
      <c r="AT181" s="164">
        <f t="shared" si="81"/>
        <v>0</v>
      </c>
      <c r="AU181" s="164">
        <f t="shared" si="82"/>
        <v>0</v>
      </c>
      <c r="AV181" s="164">
        <f t="shared" si="83"/>
        <v>0</v>
      </c>
      <c r="AW181" s="164">
        <f t="shared" si="84"/>
        <v>0</v>
      </c>
      <c r="AX181" s="164">
        <f t="shared" si="85"/>
        <v>0</v>
      </c>
      <c r="AY181" s="165">
        <f t="shared" si="86"/>
        <v>0</v>
      </c>
      <c r="AZ181" s="165">
        <v>0</v>
      </c>
      <c r="BA181" s="165">
        <f t="shared" si="87"/>
        <v>0</v>
      </c>
      <c r="BB181" s="165">
        <v>0</v>
      </c>
      <c r="BC181" s="165">
        <f t="shared" si="88"/>
        <v>0</v>
      </c>
      <c r="BD181" s="165">
        <v>0</v>
      </c>
      <c r="BE181" s="165">
        <f t="shared" si="89"/>
        <v>0</v>
      </c>
      <c r="BF181" s="165">
        <v>0</v>
      </c>
      <c r="BG181" s="165">
        <f t="shared" si="90"/>
        <v>0</v>
      </c>
      <c r="BH181" s="165">
        <v>0</v>
      </c>
      <c r="BI181" s="165">
        <f t="shared" si="91"/>
        <v>0</v>
      </c>
      <c r="BJ181" s="165">
        <v>0</v>
      </c>
      <c r="BK181" s="165">
        <f t="shared" si="92"/>
        <v>0</v>
      </c>
      <c r="BL181" s="165">
        <v>0</v>
      </c>
      <c r="BM181" s="165">
        <f t="shared" si="93"/>
        <v>0</v>
      </c>
      <c r="BN181" s="165">
        <v>0</v>
      </c>
    </row>
    <row r="182" spans="1:66" ht="15.6" x14ac:dyDescent="0.3">
      <c r="A182" s="155">
        <v>6000</v>
      </c>
      <c r="B182" s="155">
        <v>7000</v>
      </c>
      <c r="C182" s="156">
        <v>243</v>
      </c>
      <c r="D182" s="156"/>
      <c r="E182" s="156"/>
      <c r="F182" s="156">
        <v>46888086000</v>
      </c>
      <c r="G182" s="156"/>
      <c r="H182" s="172"/>
      <c r="I182" s="157">
        <v>2.4368463197352962E-5</v>
      </c>
      <c r="J182" s="157" t="e">
        <v>#DIV/0!</v>
      </c>
      <c r="K182" s="157"/>
      <c r="L182" s="157">
        <v>6431.836213991769</v>
      </c>
      <c r="M182" s="157"/>
      <c r="N182" s="163"/>
      <c r="O182" s="179"/>
      <c r="P182" s="177" t="str">
        <f t="shared" si="76"/>
        <v>(6000, 7000]</v>
      </c>
      <c r="Q182" s="160" t="s">
        <v>139</v>
      </c>
      <c r="R182" s="157">
        <f t="shared" si="77"/>
        <v>2.4368463197352962E-5</v>
      </c>
      <c r="S182" s="162">
        <v>0</v>
      </c>
      <c r="T182" s="161">
        <v>0</v>
      </c>
      <c r="U182" s="161">
        <v>0</v>
      </c>
      <c r="V182" s="161">
        <v>0</v>
      </c>
      <c r="W182" s="162">
        <v>0</v>
      </c>
      <c r="X182" s="161">
        <v>0</v>
      </c>
      <c r="Y182" s="161">
        <v>0</v>
      </c>
      <c r="Z182" s="161">
        <v>0</v>
      </c>
      <c r="AA182" s="163">
        <v>0</v>
      </c>
      <c r="AB182" s="163">
        <v>0</v>
      </c>
      <c r="AC182" s="163">
        <v>0</v>
      </c>
      <c r="AD182" s="163">
        <v>0</v>
      </c>
      <c r="AE182" s="163">
        <v>0</v>
      </c>
      <c r="AF182" s="163">
        <v>0</v>
      </c>
      <c r="AG182" s="163">
        <v>0</v>
      </c>
      <c r="AH182" s="163">
        <v>0</v>
      </c>
      <c r="AI182" s="163">
        <v>0</v>
      </c>
      <c r="AJ182" s="163">
        <v>0</v>
      </c>
      <c r="AK182" s="163">
        <v>0</v>
      </c>
      <c r="AL182" s="163">
        <v>0</v>
      </c>
      <c r="AM182" s="163">
        <v>0</v>
      </c>
      <c r="AN182" s="163">
        <v>0</v>
      </c>
      <c r="AO182" s="163">
        <v>0</v>
      </c>
      <c r="AP182" s="163">
        <v>0</v>
      </c>
      <c r="AQ182" s="164">
        <f t="shared" si="78"/>
        <v>0</v>
      </c>
      <c r="AR182" s="164">
        <f t="shared" si="79"/>
        <v>0</v>
      </c>
      <c r="AS182" s="164">
        <f t="shared" si="80"/>
        <v>0</v>
      </c>
      <c r="AT182" s="164">
        <f t="shared" si="81"/>
        <v>0</v>
      </c>
      <c r="AU182" s="164">
        <f t="shared" si="82"/>
        <v>0</v>
      </c>
      <c r="AV182" s="164">
        <f t="shared" si="83"/>
        <v>0</v>
      </c>
      <c r="AW182" s="164">
        <f t="shared" si="84"/>
        <v>0</v>
      </c>
      <c r="AX182" s="164">
        <f t="shared" si="85"/>
        <v>0</v>
      </c>
      <c r="AY182" s="165">
        <f t="shared" si="86"/>
        <v>0</v>
      </c>
      <c r="AZ182" s="165">
        <v>0</v>
      </c>
      <c r="BA182" s="165">
        <f t="shared" si="87"/>
        <v>0</v>
      </c>
      <c r="BB182" s="165">
        <v>0</v>
      </c>
      <c r="BC182" s="165">
        <f t="shared" si="88"/>
        <v>0</v>
      </c>
      <c r="BD182" s="165">
        <v>0</v>
      </c>
      <c r="BE182" s="165">
        <f t="shared" si="89"/>
        <v>0</v>
      </c>
      <c r="BF182" s="165">
        <v>0</v>
      </c>
      <c r="BG182" s="165">
        <f t="shared" si="90"/>
        <v>0</v>
      </c>
      <c r="BH182" s="165">
        <v>0</v>
      </c>
      <c r="BI182" s="165">
        <f t="shared" si="91"/>
        <v>0</v>
      </c>
      <c r="BJ182" s="165">
        <v>0</v>
      </c>
      <c r="BK182" s="165">
        <f t="shared" si="92"/>
        <v>0</v>
      </c>
      <c r="BL182" s="165">
        <v>0</v>
      </c>
      <c r="BM182" s="165">
        <f t="shared" si="93"/>
        <v>0</v>
      </c>
      <c r="BN182" s="165">
        <v>0</v>
      </c>
    </row>
    <row r="183" spans="1:66" ht="15.6" x14ac:dyDescent="0.3">
      <c r="A183" s="155">
        <v>7000</v>
      </c>
      <c r="B183" s="155">
        <v>8000</v>
      </c>
      <c r="C183" s="156">
        <v>121</v>
      </c>
      <c r="D183" s="156"/>
      <c r="E183" s="156"/>
      <c r="F183" s="156">
        <v>26933296500</v>
      </c>
      <c r="G183" s="156"/>
      <c r="H183" s="172"/>
      <c r="I183" s="157">
        <v>1.2134090727900036E-5</v>
      </c>
      <c r="J183" s="157" t="e">
        <v>#DIV/0!</v>
      </c>
      <c r="K183" s="157"/>
      <c r="L183" s="157">
        <v>7419.6409090909092</v>
      </c>
      <c r="M183" s="157"/>
      <c r="N183" s="163"/>
      <c r="O183" s="179"/>
      <c r="P183" s="177" t="str">
        <f t="shared" si="76"/>
        <v>(7000, 8000]</v>
      </c>
      <c r="Q183" s="160" t="s">
        <v>139</v>
      </c>
      <c r="R183" s="157">
        <f t="shared" si="77"/>
        <v>1.2134090727900036E-5</v>
      </c>
      <c r="S183" s="162">
        <v>2.0000000000000002E-5</v>
      </c>
      <c r="T183" s="161">
        <v>0</v>
      </c>
      <c r="U183" s="161">
        <v>0</v>
      </c>
      <c r="V183" s="161">
        <v>0</v>
      </c>
      <c r="W183" s="162">
        <v>0</v>
      </c>
      <c r="X183" s="161">
        <v>0</v>
      </c>
      <c r="Y183" s="161">
        <v>0</v>
      </c>
      <c r="Z183" s="161">
        <v>0</v>
      </c>
      <c r="AA183" s="163">
        <v>2.4268181455800075E-10</v>
      </c>
      <c r="AB183" s="163">
        <v>0</v>
      </c>
      <c r="AC183" s="163">
        <v>0</v>
      </c>
      <c r="AD183" s="163">
        <v>0</v>
      </c>
      <c r="AE183" s="163">
        <v>0</v>
      </c>
      <c r="AF183" s="163">
        <v>0</v>
      </c>
      <c r="AG183" s="163">
        <v>0</v>
      </c>
      <c r="AH183" s="163">
        <v>0</v>
      </c>
      <c r="AI183" s="163">
        <v>2.2877230815466746E-10</v>
      </c>
      <c r="AJ183" s="163">
        <v>0</v>
      </c>
      <c r="AK183" s="163">
        <v>0</v>
      </c>
      <c r="AL183" s="163">
        <v>0</v>
      </c>
      <c r="AM183" s="163">
        <v>0</v>
      </c>
      <c r="AN183" s="163">
        <v>0</v>
      </c>
      <c r="AO183" s="163">
        <v>0</v>
      </c>
      <c r="AP183" s="163">
        <v>0</v>
      </c>
      <c r="AQ183" s="164">
        <f t="shared" si="78"/>
        <v>0</v>
      </c>
      <c r="AR183" s="164">
        <f t="shared" si="79"/>
        <v>0</v>
      </c>
      <c r="AS183" s="164">
        <f t="shared" si="80"/>
        <v>0</v>
      </c>
      <c r="AT183" s="164">
        <f t="shared" si="81"/>
        <v>0</v>
      </c>
      <c r="AU183" s="164">
        <f t="shared" si="82"/>
        <v>0</v>
      </c>
      <c r="AV183" s="164">
        <f t="shared" si="83"/>
        <v>0</v>
      </c>
      <c r="AW183" s="164">
        <f t="shared" si="84"/>
        <v>0</v>
      </c>
      <c r="AX183" s="164">
        <f t="shared" si="85"/>
        <v>0</v>
      </c>
      <c r="AY183" s="165">
        <f t="shared" si="86"/>
        <v>0</v>
      </c>
      <c r="AZ183" s="165">
        <v>0</v>
      </c>
      <c r="BA183" s="165">
        <f t="shared" si="87"/>
        <v>0</v>
      </c>
      <c r="BB183" s="165">
        <v>0</v>
      </c>
      <c r="BC183" s="165">
        <f t="shared" si="88"/>
        <v>0</v>
      </c>
      <c r="BD183" s="165">
        <v>0</v>
      </c>
      <c r="BE183" s="165">
        <f t="shared" si="89"/>
        <v>0</v>
      </c>
      <c r="BF183" s="165">
        <v>0</v>
      </c>
      <c r="BG183" s="165">
        <f t="shared" si="90"/>
        <v>0</v>
      </c>
      <c r="BH183" s="165">
        <v>0</v>
      </c>
      <c r="BI183" s="165">
        <f t="shared" si="91"/>
        <v>0</v>
      </c>
      <c r="BJ183" s="165">
        <v>0</v>
      </c>
      <c r="BK183" s="165">
        <f t="shared" si="92"/>
        <v>0</v>
      </c>
      <c r="BL183" s="165">
        <v>0</v>
      </c>
      <c r="BM183" s="165">
        <f t="shared" si="93"/>
        <v>0</v>
      </c>
      <c r="BN183" s="165">
        <v>0</v>
      </c>
    </row>
    <row r="184" spans="1:66" ht="15.6" x14ac:dyDescent="0.3">
      <c r="A184" s="155">
        <v>8000</v>
      </c>
      <c r="B184" s="155">
        <v>9000</v>
      </c>
      <c r="C184" s="156">
        <v>52</v>
      </c>
      <c r="D184" s="156"/>
      <c r="E184" s="156"/>
      <c r="F184" s="156">
        <v>13159353000</v>
      </c>
      <c r="G184" s="156"/>
      <c r="H184" s="172"/>
      <c r="I184" s="157">
        <v>5.2146505607504285E-6</v>
      </c>
      <c r="J184" s="157" t="e">
        <v>#DIV/0!</v>
      </c>
      <c r="K184" s="157"/>
      <c r="L184" s="157">
        <v>8435.4826923076926</v>
      </c>
      <c r="M184" s="157"/>
      <c r="N184" s="163"/>
      <c r="O184" s="179"/>
      <c r="P184" s="177" t="str">
        <f t="shared" si="76"/>
        <v>(8000, 9000]</v>
      </c>
      <c r="Q184" s="160" t="s">
        <v>139</v>
      </c>
      <c r="R184" s="157">
        <f t="shared" si="77"/>
        <v>5.2146505607504285E-6</v>
      </c>
      <c r="S184" s="162">
        <v>4.0000000000000003E-5</v>
      </c>
      <c r="T184" s="161">
        <v>0</v>
      </c>
      <c r="U184" s="161">
        <v>0</v>
      </c>
      <c r="V184" s="161">
        <v>0</v>
      </c>
      <c r="W184" s="162">
        <v>0</v>
      </c>
      <c r="X184" s="161">
        <v>0</v>
      </c>
      <c r="Y184" s="161">
        <v>0</v>
      </c>
      <c r="Z184" s="161">
        <v>0</v>
      </c>
      <c r="AA184" s="163">
        <v>2.0858602243001715E-10</v>
      </c>
      <c r="AB184" s="163">
        <v>0</v>
      </c>
      <c r="AC184" s="163">
        <v>0</v>
      </c>
      <c r="AD184" s="163">
        <v>0</v>
      </c>
      <c r="AE184" s="163">
        <v>0</v>
      </c>
      <c r="AF184" s="163">
        <v>0</v>
      </c>
      <c r="AG184" s="163">
        <v>0</v>
      </c>
      <c r="AH184" s="163">
        <v>0</v>
      </c>
      <c r="AI184" s="163">
        <v>1.9663074419905301E-10</v>
      </c>
      <c r="AJ184" s="163">
        <v>0</v>
      </c>
      <c r="AK184" s="163">
        <v>0</v>
      </c>
      <c r="AL184" s="163">
        <v>0</v>
      </c>
      <c r="AM184" s="163">
        <v>0</v>
      </c>
      <c r="AN184" s="163">
        <v>0</v>
      </c>
      <c r="AO184" s="163">
        <v>0</v>
      </c>
      <c r="AP184" s="163">
        <v>0</v>
      </c>
      <c r="AQ184" s="164">
        <f t="shared" si="78"/>
        <v>0</v>
      </c>
      <c r="AR184" s="164">
        <f t="shared" si="79"/>
        <v>0</v>
      </c>
      <c r="AS184" s="164">
        <f t="shared" si="80"/>
        <v>0</v>
      </c>
      <c r="AT184" s="164">
        <f t="shared" si="81"/>
        <v>0</v>
      </c>
      <c r="AU184" s="164">
        <f t="shared" si="82"/>
        <v>0</v>
      </c>
      <c r="AV184" s="164">
        <f t="shared" si="83"/>
        <v>0</v>
      </c>
      <c r="AW184" s="164">
        <f t="shared" si="84"/>
        <v>0</v>
      </c>
      <c r="AX184" s="164">
        <f t="shared" si="85"/>
        <v>0</v>
      </c>
      <c r="AY184" s="165">
        <f t="shared" si="86"/>
        <v>0</v>
      </c>
      <c r="AZ184" s="165">
        <v>0</v>
      </c>
      <c r="BA184" s="165">
        <f t="shared" si="87"/>
        <v>0</v>
      </c>
      <c r="BB184" s="165">
        <v>0</v>
      </c>
      <c r="BC184" s="165">
        <f t="shared" si="88"/>
        <v>0</v>
      </c>
      <c r="BD184" s="165">
        <v>0</v>
      </c>
      <c r="BE184" s="165">
        <f t="shared" si="89"/>
        <v>0</v>
      </c>
      <c r="BF184" s="165">
        <v>0</v>
      </c>
      <c r="BG184" s="165">
        <f t="shared" si="90"/>
        <v>0</v>
      </c>
      <c r="BH184" s="165">
        <v>0</v>
      </c>
      <c r="BI184" s="165">
        <f t="shared" si="91"/>
        <v>0</v>
      </c>
      <c r="BJ184" s="165">
        <v>0</v>
      </c>
      <c r="BK184" s="165">
        <f t="shared" si="92"/>
        <v>0</v>
      </c>
      <c r="BL184" s="165">
        <v>0</v>
      </c>
      <c r="BM184" s="165">
        <f t="shared" si="93"/>
        <v>0</v>
      </c>
      <c r="BN184" s="165">
        <v>0</v>
      </c>
    </row>
    <row r="185" spans="1:66" ht="15.6" x14ac:dyDescent="0.3">
      <c r="A185" s="155">
        <v>9000</v>
      </c>
      <c r="B185" s="155">
        <v>10000</v>
      </c>
      <c r="C185" s="156">
        <v>38</v>
      </c>
      <c r="D185" s="156"/>
      <c r="E185" s="156"/>
      <c r="F185" s="156">
        <v>10843552500</v>
      </c>
      <c r="G185" s="156"/>
      <c r="H185" s="172"/>
      <c r="I185" s="157">
        <v>3.8107061790099284E-6</v>
      </c>
      <c r="J185" s="157" t="e">
        <v>#DIV/0!</v>
      </c>
      <c r="K185" s="157"/>
      <c r="L185" s="157">
        <v>9511.8881578947367</v>
      </c>
      <c r="M185" s="157"/>
      <c r="N185" s="163"/>
      <c r="O185" s="179"/>
      <c r="P185" s="177" t="str">
        <f t="shared" si="76"/>
        <v>(9000, 10000]</v>
      </c>
      <c r="Q185" s="160" t="s">
        <v>139</v>
      </c>
      <c r="R185" s="157">
        <f t="shared" si="77"/>
        <v>3.8107061790099284E-6</v>
      </c>
      <c r="S185" s="162">
        <v>8.0000000000000007E-5</v>
      </c>
      <c r="T185" s="161">
        <v>0</v>
      </c>
      <c r="U185" s="161">
        <v>0</v>
      </c>
      <c r="V185" s="161">
        <v>0</v>
      </c>
      <c r="W185" s="162">
        <v>0</v>
      </c>
      <c r="X185" s="161">
        <v>0</v>
      </c>
      <c r="Y185" s="161">
        <v>0</v>
      </c>
      <c r="Z185" s="161">
        <v>0</v>
      </c>
      <c r="AA185" s="163">
        <v>3.0485649432079432E-10</v>
      </c>
      <c r="AB185" s="163">
        <v>0</v>
      </c>
      <c r="AC185" s="163">
        <v>0</v>
      </c>
      <c r="AD185" s="163">
        <v>0</v>
      </c>
      <c r="AE185" s="163">
        <v>0</v>
      </c>
      <c r="AF185" s="163">
        <v>0</v>
      </c>
      <c r="AG185" s="163">
        <v>0</v>
      </c>
      <c r="AH185" s="163">
        <v>0</v>
      </c>
      <c r="AI185" s="163">
        <v>2.8738339536784672E-10</v>
      </c>
      <c r="AJ185" s="163">
        <v>0</v>
      </c>
      <c r="AK185" s="163">
        <v>0</v>
      </c>
      <c r="AL185" s="163">
        <v>0</v>
      </c>
      <c r="AM185" s="163">
        <v>0</v>
      </c>
      <c r="AN185" s="163">
        <v>0</v>
      </c>
      <c r="AO185" s="163">
        <v>0</v>
      </c>
      <c r="AP185" s="163">
        <v>0</v>
      </c>
      <c r="AQ185" s="164">
        <f t="shared" si="78"/>
        <v>0</v>
      </c>
      <c r="AR185" s="164">
        <f t="shared" si="79"/>
        <v>0</v>
      </c>
      <c r="AS185" s="164">
        <f t="shared" si="80"/>
        <v>0</v>
      </c>
      <c r="AT185" s="164">
        <f t="shared" si="81"/>
        <v>0</v>
      </c>
      <c r="AU185" s="164">
        <f t="shared" si="82"/>
        <v>0</v>
      </c>
      <c r="AV185" s="164">
        <f t="shared" si="83"/>
        <v>0</v>
      </c>
      <c r="AW185" s="164">
        <f t="shared" si="84"/>
        <v>0</v>
      </c>
      <c r="AX185" s="164">
        <f t="shared" si="85"/>
        <v>0</v>
      </c>
      <c r="AY185" s="165">
        <f t="shared" si="86"/>
        <v>0</v>
      </c>
      <c r="AZ185" s="165">
        <v>0</v>
      </c>
      <c r="BA185" s="165">
        <f t="shared" si="87"/>
        <v>0</v>
      </c>
      <c r="BB185" s="165">
        <v>0</v>
      </c>
      <c r="BC185" s="165">
        <f t="shared" si="88"/>
        <v>0</v>
      </c>
      <c r="BD185" s="165">
        <v>0</v>
      </c>
      <c r="BE185" s="165">
        <f t="shared" si="89"/>
        <v>0</v>
      </c>
      <c r="BF185" s="165">
        <v>0</v>
      </c>
      <c r="BG185" s="165">
        <f t="shared" si="90"/>
        <v>0</v>
      </c>
      <c r="BH185" s="165">
        <v>0</v>
      </c>
      <c r="BI185" s="165">
        <f t="shared" si="91"/>
        <v>0</v>
      </c>
      <c r="BJ185" s="165">
        <v>0</v>
      </c>
      <c r="BK185" s="165">
        <f t="shared" si="92"/>
        <v>0</v>
      </c>
      <c r="BL185" s="165">
        <v>0</v>
      </c>
      <c r="BM185" s="165">
        <f t="shared" si="93"/>
        <v>0</v>
      </c>
      <c r="BN185" s="165">
        <v>0</v>
      </c>
    </row>
    <row r="186" spans="1:66" ht="15.6" x14ac:dyDescent="0.3">
      <c r="A186" s="155">
        <v>10000</v>
      </c>
      <c r="B186" s="155">
        <v>20000</v>
      </c>
      <c r="C186" s="156">
        <v>59</v>
      </c>
      <c r="D186" s="156"/>
      <c r="E186" s="156"/>
      <c r="F186" s="156">
        <v>21798622500</v>
      </c>
      <c r="G186" s="156"/>
      <c r="H186" s="172"/>
      <c r="I186" s="157">
        <v>5.9166227516206781E-6</v>
      </c>
      <c r="J186" s="157" t="e">
        <v>#DIV/0!</v>
      </c>
      <c r="K186" s="157"/>
      <c r="L186" s="157">
        <v>12315.605932203391</v>
      </c>
      <c r="M186" s="157"/>
      <c r="N186" s="163"/>
      <c r="O186" s="179"/>
      <c r="P186" s="177" t="str">
        <f t="shared" si="76"/>
        <v>(10000, 20000]</v>
      </c>
      <c r="Q186" s="160" t="s">
        <v>139</v>
      </c>
      <c r="R186" s="157">
        <f t="shared" si="77"/>
        <v>5.9166227516206781E-6</v>
      </c>
      <c r="S186" s="162">
        <v>8.0000000000000007E-5</v>
      </c>
      <c r="T186" s="161">
        <v>0</v>
      </c>
      <c r="U186" s="161">
        <v>0</v>
      </c>
      <c r="V186" s="161">
        <v>0</v>
      </c>
      <c r="W186" s="162">
        <v>0</v>
      </c>
      <c r="X186" s="161">
        <v>0</v>
      </c>
      <c r="Y186" s="161">
        <v>0</v>
      </c>
      <c r="Z186" s="161">
        <v>0</v>
      </c>
      <c r="AA186" s="163">
        <v>4.7332982012965424E-10</v>
      </c>
      <c r="AB186" s="163">
        <v>0</v>
      </c>
      <c r="AC186" s="163">
        <v>0</v>
      </c>
      <c r="AD186" s="163">
        <v>0</v>
      </c>
      <c r="AE186" s="163">
        <v>0</v>
      </c>
      <c r="AF186" s="163">
        <v>0</v>
      </c>
      <c r="AG186" s="163">
        <v>0</v>
      </c>
      <c r="AH186" s="163">
        <v>0</v>
      </c>
      <c r="AI186" s="163">
        <v>4.462005349132356E-10</v>
      </c>
      <c r="AJ186" s="163">
        <v>0</v>
      </c>
      <c r="AK186" s="163">
        <v>0</v>
      </c>
      <c r="AL186" s="163">
        <v>0</v>
      </c>
      <c r="AM186" s="163">
        <v>0</v>
      </c>
      <c r="AN186" s="163">
        <v>0</v>
      </c>
      <c r="AO186" s="163">
        <v>0</v>
      </c>
      <c r="AP186" s="163">
        <v>0</v>
      </c>
      <c r="AQ186" s="164">
        <f t="shared" si="78"/>
        <v>0</v>
      </c>
      <c r="AR186" s="164">
        <f t="shared" si="79"/>
        <v>0</v>
      </c>
      <c r="AS186" s="164">
        <f t="shared" si="80"/>
        <v>0</v>
      </c>
      <c r="AT186" s="164">
        <f t="shared" si="81"/>
        <v>0</v>
      </c>
      <c r="AU186" s="164">
        <f t="shared" si="82"/>
        <v>0</v>
      </c>
      <c r="AV186" s="164">
        <f t="shared" si="83"/>
        <v>0</v>
      </c>
      <c r="AW186" s="164">
        <f t="shared" si="84"/>
        <v>0</v>
      </c>
      <c r="AX186" s="164">
        <f t="shared" si="85"/>
        <v>0</v>
      </c>
      <c r="AY186" s="165">
        <f t="shared" si="86"/>
        <v>0</v>
      </c>
      <c r="AZ186" s="165">
        <v>0</v>
      </c>
      <c r="BA186" s="165">
        <f t="shared" si="87"/>
        <v>0</v>
      </c>
      <c r="BB186" s="165">
        <v>0</v>
      </c>
      <c r="BC186" s="165">
        <f t="shared" si="88"/>
        <v>0</v>
      </c>
      <c r="BD186" s="165">
        <v>0</v>
      </c>
      <c r="BE186" s="165">
        <f t="shared" si="89"/>
        <v>0</v>
      </c>
      <c r="BF186" s="165">
        <v>0</v>
      </c>
      <c r="BG186" s="165">
        <f t="shared" si="90"/>
        <v>0</v>
      </c>
      <c r="BH186" s="165">
        <v>0</v>
      </c>
      <c r="BI186" s="165">
        <f t="shared" si="91"/>
        <v>0</v>
      </c>
      <c r="BJ186" s="165">
        <v>0</v>
      </c>
      <c r="BK186" s="165">
        <f t="shared" si="92"/>
        <v>0</v>
      </c>
      <c r="BL186" s="165">
        <v>0</v>
      </c>
      <c r="BM186" s="165">
        <f t="shared" si="93"/>
        <v>0</v>
      </c>
      <c r="BN186" s="165">
        <v>0</v>
      </c>
    </row>
    <row r="187" spans="1:66" ht="15.6" x14ac:dyDescent="0.3">
      <c r="A187" s="155">
        <v>20000</v>
      </c>
      <c r="B187" s="155">
        <v>30000</v>
      </c>
      <c r="C187" s="156">
        <v>1</v>
      </c>
      <c r="D187" s="156"/>
      <c r="E187" s="156"/>
      <c r="F187" s="156">
        <v>617680500</v>
      </c>
      <c r="G187" s="156"/>
      <c r="H187" s="172"/>
      <c r="I187" s="157">
        <v>1.0028174155289285E-7</v>
      </c>
      <c r="J187" s="157" t="e">
        <v>#DIV/0!</v>
      </c>
      <c r="K187" s="157"/>
      <c r="L187" s="157">
        <v>20589.349999999999</v>
      </c>
      <c r="M187" s="157"/>
      <c r="N187" s="163"/>
      <c r="O187" s="179"/>
      <c r="P187" s="177" t="str">
        <f t="shared" si="76"/>
        <v>(20000, 30000]</v>
      </c>
      <c r="Q187" s="160" t="s">
        <v>139</v>
      </c>
      <c r="R187" s="157">
        <f t="shared" si="77"/>
        <v>1.0028174155289285E-7</v>
      </c>
      <c r="S187" s="162">
        <v>0</v>
      </c>
      <c r="T187" s="161">
        <v>0</v>
      </c>
      <c r="U187" s="161">
        <v>0</v>
      </c>
      <c r="V187" s="161">
        <v>0</v>
      </c>
      <c r="W187" s="162">
        <v>0</v>
      </c>
      <c r="X187" s="161">
        <v>0</v>
      </c>
      <c r="Y187" s="161">
        <v>0</v>
      </c>
      <c r="Z187" s="161">
        <v>0</v>
      </c>
      <c r="AA187" s="163">
        <v>0</v>
      </c>
      <c r="AB187" s="163">
        <v>0</v>
      </c>
      <c r="AC187" s="163">
        <v>0</v>
      </c>
      <c r="AD187" s="163">
        <v>0</v>
      </c>
      <c r="AE187" s="163">
        <v>0</v>
      </c>
      <c r="AF187" s="163">
        <v>0</v>
      </c>
      <c r="AG187" s="163">
        <v>0</v>
      </c>
      <c r="AH187" s="163">
        <v>0</v>
      </c>
      <c r="AI187" s="163">
        <v>0</v>
      </c>
      <c r="AJ187" s="163">
        <v>0</v>
      </c>
      <c r="AK187" s="163">
        <v>0</v>
      </c>
      <c r="AL187" s="163">
        <v>0</v>
      </c>
      <c r="AM187" s="163">
        <v>0</v>
      </c>
      <c r="AN187" s="163">
        <v>0</v>
      </c>
      <c r="AO187" s="163">
        <v>0</v>
      </c>
      <c r="AP187" s="163">
        <v>0</v>
      </c>
      <c r="AQ187" s="164">
        <f t="shared" si="78"/>
        <v>0</v>
      </c>
      <c r="AR187" s="164">
        <f t="shared" si="79"/>
        <v>0</v>
      </c>
      <c r="AS187" s="164">
        <f t="shared" si="80"/>
        <v>0</v>
      </c>
      <c r="AT187" s="164">
        <f t="shared" si="81"/>
        <v>0</v>
      </c>
      <c r="AU187" s="164">
        <f t="shared" si="82"/>
        <v>0</v>
      </c>
      <c r="AV187" s="164">
        <f t="shared" si="83"/>
        <v>0</v>
      </c>
      <c r="AW187" s="164">
        <f t="shared" si="84"/>
        <v>0</v>
      </c>
      <c r="AX187" s="164">
        <f t="shared" si="85"/>
        <v>0</v>
      </c>
      <c r="AY187" s="165">
        <f t="shared" si="86"/>
        <v>0</v>
      </c>
      <c r="AZ187" s="165">
        <v>0</v>
      </c>
      <c r="BA187" s="165">
        <f t="shared" si="87"/>
        <v>0</v>
      </c>
      <c r="BB187" s="165">
        <v>0</v>
      </c>
      <c r="BC187" s="165">
        <f t="shared" si="88"/>
        <v>0</v>
      </c>
      <c r="BD187" s="165">
        <v>0</v>
      </c>
      <c r="BE187" s="165">
        <f t="shared" si="89"/>
        <v>0</v>
      </c>
      <c r="BF187" s="165">
        <v>0</v>
      </c>
      <c r="BG187" s="165">
        <f t="shared" si="90"/>
        <v>0</v>
      </c>
      <c r="BH187" s="165">
        <v>0</v>
      </c>
      <c r="BI187" s="165">
        <f t="shared" si="91"/>
        <v>0</v>
      </c>
      <c r="BJ187" s="165">
        <v>0</v>
      </c>
      <c r="BK187" s="165">
        <f t="shared" si="92"/>
        <v>0</v>
      </c>
      <c r="BL187" s="165">
        <v>0</v>
      </c>
      <c r="BM187" s="165">
        <f t="shared" si="93"/>
        <v>0</v>
      </c>
      <c r="BN187" s="165">
        <v>0</v>
      </c>
    </row>
    <row r="188" spans="1:66" ht="15.6" x14ac:dyDescent="0.3">
      <c r="A188" s="155">
        <v>30000</v>
      </c>
      <c r="B188" s="155">
        <v>99999999</v>
      </c>
      <c r="C188" s="156"/>
      <c r="D188" s="156"/>
      <c r="E188" s="156"/>
      <c r="F188" s="156"/>
      <c r="G188" s="156"/>
      <c r="H188" s="172"/>
      <c r="I188" s="157">
        <v>0</v>
      </c>
      <c r="J188" s="157" t="e">
        <v>#DIV/0!</v>
      </c>
      <c r="K188" s="157"/>
      <c r="L188" s="157" t="e">
        <v>#DIV/0!</v>
      </c>
      <c r="M188" s="157"/>
      <c r="N188" s="163"/>
      <c r="O188" s="179"/>
      <c r="P188" s="177" t="str">
        <f t="shared" si="76"/>
        <v>(30000, 99999999]</v>
      </c>
      <c r="Q188" s="160" t="s">
        <v>139</v>
      </c>
      <c r="R188" s="157">
        <f t="shared" si="77"/>
        <v>0</v>
      </c>
      <c r="S188" s="162">
        <v>0</v>
      </c>
      <c r="T188" s="161">
        <v>0</v>
      </c>
      <c r="U188" s="161">
        <v>0</v>
      </c>
      <c r="V188" s="161">
        <v>0</v>
      </c>
      <c r="W188" s="162">
        <v>0</v>
      </c>
      <c r="X188" s="161">
        <v>0</v>
      </c>
      <c r="Y188" s="161">
        <v>0</v>
      </c>
      <c r="Z188" s="161">
        <v>0</v>
      </c>
      <c r="AA188" s="163">
        <v>0</v>
      </c>
      <c r="AB188" s="163">
        <v>0</v>
      </c>
      <c r="AC188" s="163">
        <v>0</v>
      </c>
      <c r="AD188" s="163">
        <v>0</v>
      </c>
      <c r="AE188" s="163">
        <v>0</v>
      </c>
      <c r="AF188" s="163">
        <v>0</v>
      </c>
      <c r="AG188" s="163">
        <v>0</v>
      </c>
      <c r="AH188" s="163">
        <v>0</v>
      </c>
      <c r="AI188" s="163">
        <v>0</v>
      </c>
      <c r="AJ188" s="163">
        <v>0</v>
      </c>
      <c r="AK188" s="163">
        <v>0</v>
      </c>
      <c r="AL188" s="163">
        <v>0</v>
      </c>
      <c r="AM188" s="163">
        <v>0</v>
      </c>
      <c r="AN188" s="163">
        <v>0</v>
      </c>
      <c r="AO188" s="163">
        <v>0</v>
      </c>
      <c r="AP188" s="163">
        <v>0</v>
      </c>
      <c r="AQ188" s="164">
        <f t="shared" si="78"/>
        <v>0</v>
      </c>
      <c r="AR188" s="164">
        <f t="shared" si="79"/>
        <v>0</v>
      </c>
      <c r="AS188" s="164">
        <f t="shared" si="80"/>
        <v>0</v>
      </c>
      <c r="AT188" s="164">
        <f t="shared" si="81"/>
        <v>0</v>
      </c>
      <c r="AU188" s="164">
        <f t="shared" si="82"/>
        <v>0</v>
      </c>
      <c r="AV188" s="164">
        <f t="shared" si="83"/>
        <v>0</v>
      </c>
      <c r="AW188" s="164">
        <f t="shared" si="84"/>
        <v>0</v>
      </c>
      <c r="AX188" s="164">
        <f t="shared" si="85"/>
        <v>0</v>
      </c>
      <c r="AY188" s="165">
        <f t="shared" si="86"/>
        <v>0</v>
      </c>
      <c r="AZ188" s="165">
        <v>0</v>
      </c>
      <c r="BA188" s="165">
        <f t="shared" si="87"/>
        <v>0</v>
      </c>
      <c r="BB188" s="165">
        <v>0</v>
      </c>
      <c r="BC188" s="165">
        <f t="shared" si="88"/>
        <v>0</v>
      </c>
      <c r="BD188" s="165">
        <v>0</v>
      </c>
      <c r="BE188" s="165">
        <f t="shared" si="89"/>
        <v>0</v>
      </c>
      <c r="BF188" s="165">
        <v>0</v>
      </c>
      <c r="BG188" s="165">
        <f t="shared" si="90"/>
        <v>0</v>
      </c>
      <c r="BH188" s="165">
        <v>0</v>
      </c>
      <c r="BI188" s="165">
        <f t="shared" si="91"/>
        <v>0</v>
      </c>
      <c r="BJ188" s="165">
        <v>0</v>
      </c>
      <c r="BK188" s="165">
        <f t="shared" si="92"/>
        <v>0</v>
      </c>
      <c r="BL188" s="165">
        <v>0</v>
      </c>
      <c r="BM188" s="165">
        <f t="shared" si="93"/>
        <v>0</v>
      </c>
      <c r="BN188" s="165">
        <v>0</v>
      </c>
    </row>
    <row r="189" spans="1:66" ht="15.6" x14ac:dyDescent="0.3">
      <c r="A189" s="155"/>
      <c r="B189" s="155"/>
      <c r="C189" s="156"/>
      <c r="D189" s="156"/>
      <c r="E189" s="156"/>
      <c r="F189" s="156"/>
      <c r="G189" s="156"/>
      <c r="H189" s="172"/>
      <c r="I189" s="157">
        <v>0</v>
      </c>
      <c r="J189" s="157" t="e">
        <v>#DIV/0!</v>
      </c>
      <c r="K189" s="157"/>
      <c r="L189" s="157" t="e">
        <v>#DIV/0!</v>
      </c>
      <c r="M189" s="157"/>
      <c r="N189" s="163"/>
      <c r="O189" s="179"/>
      <c r="P189" s="177" t="str">
        <f t="shared" si="76"/>
        <v>(, ]</v>
      </c>
      <c r="Q189" s="160" t="s">
        <v>139</v>
      </c>
      <c r="R189" s="157">
        <f t="shared" si="77"/>
        <v>0</v>
      </c>
      <c r="S189" s="162">
        <v>0</v>
      </c>
      <c r="T189" s="161">
        <v>0</v>
      </c>
      <c r="U189" s="161">
        <v>0</v>
      </c>
      <c r="V189" s="161">
        <v>0</v>
      </c>
      <c r="W189" s="162">
        <v>0</v>
      </c>
      <c r="X189" s="161">
        <v>0</v>
      </c>
      <c r="Y189" s="161">
        <v>0</v>
      </c>
      <c r="Z189" s="161">
        <v>0</v>
      </c>
      <c r="AA189" s="163">
        <v>0</v>
      </c>
      <c r="AB189" s="163">
        <v>0</v>
      </c>
      <c r="AC189" s="163">
        <v>0</v>
      </c>
      <c r="AD189" s="163">
        <v>0</v>
      </c>
      <c r="AE189" s="163">
        <v>0</v>
      </c>
      <c r="AF189" s="163">
        <v>0</v>
      </c>
      <c r="AG189" s="163">
        <v>0</v>
      </c>
      <c r="AH189" s="163">
        <v>0</v>
      </c>
      <c r="AI189" s="163">
        <v>0</v>
      </c>
      <c r="AJ189" s="163">
        <v>0</v>
      </c>
      <c r="AK189" s="163">
        <v>0</v>
      </c>
      <c r="AL189" s="163">
        <v>0</v>
      </c>
      <c r="AM189" s="163">
        <v>0</v>
      </c>
      <c r="AN189" s="163">
        <v>0</v>
      </c>
      <c r="AO189" s="163">
        <v>0</v>
      </c>
      <c r="AP189" s="163">
        <v>0</v>
      </c>
      <c r="AQ189" s="164">
        <f t="shared" si="78"/>
        <v>0</v>
      </c>
      <c r="AR189" s="164">
        <f t="shared" si="79"/>
        <v>0</v>
      </c>
      <c r="AS189" s="164">
        <f t="shared" si="80"/>
        <v>0</v>
      </c>
      <c r="AT189" s="164">
        <f t="shared" si="81"/>
        <v>0</v>
      </c>
      <c r="AU189" s="164">
        <f t="shared" si="82"/>
        <v>0</v>
      </c>
      <c r="AV189" s="164">
        <f t="shared" si="83"/>
        <v>0</v>
      </c>
      <c r="AW189" s="164">
        <f t="shared" si="84"/>
        <v>0</v>
      </c>
      <c r="AX189" s="164">
        <f t="shared" si="85"/>
        <v>0</v>
      </c>
      <c r="AY189" s="165">
        <f t="shared" si="86"/>
        <v>0</v>
      </c>
      <c r="AZ189" s="165">
        <v>0</v>
      </c>
      <c r="BA189" s="165">
        <f t="shared" si="87"/>
        <v>0</v>
      </c>
      <c r="BB189" s="165">
        <v>0</v>
      </c>
      <c r="BC189" s="165">
        <f t="shared" si="88"/>
        <v>0</v>
      </c>
      <c r="BD189" s="165">
        <v>0</v>
      </c>
      <c r="BE189" s="165">
        <f t="shared" si="89"/>
        <v>0</v>
      </c>
      <c r="BF189" s="165">
        <v>0</v>
      </c>
      <c r="BG189" s="165">
        <f t="shared" si="90"/>
        <v>0</v>
      </c>
      <c r="BH189" s="165">
        <v>0</v>
      </c>
      <c r="BI189" s="165">
        <f t="shared" si="91"/>
        <v>0</v>
      </c>
      <c r="BJ189" s="165">
        <v>0</v>
      </c>
      <c r="BK189" s="165">
        <f t="shared" si="92"/>
        <v>0</v>
      </c>
      <c r="BL189" s="165">
        <v>0</v>
      </c>
      <c r="BM189" s="165">
        <f t="shared" si="93"/>
        <v>0</v>
      </c>
      <c r="BN189" s="165">
        <v>0</v>
      </c>
    </row>
    <row r="190" spans="1:66" ht="15.6" x14ac:dyDescent="0.3">
      <c r="A190" s="155"/>
      <c r="B190" s="155"/>
      <c r="C190" s="156"/>
      <c r="D190" s="156"/>
      <c r="E190" s="156"/>
      <c r="F190" s="156"/>
      <c r="G190" s="156"/>
      <c r="H190" s="172"/>
      <c r="I190" s="157">
        <v>0</v>
      </c>
      <c r="J190" s="157" t="e">
        <v>#DIV/0!</v>
      </c>
      <c r="K190" s="157"/>
      <c r="L190" s="155" t="e">
        <v>#DIV/0!</v>
      </c>
      <c r="M190" s="155"/>
      <c r="N190" s="163"/>
      <c r="O190" s="180"/>
      <c r="P190" s="177" t="str">
        <f t="shared" si="76"/>
        <v>(, ]</v>
      </c>
      <c r="Q190" s="160" t="s">
        <v>139</v>
      </c>
      <c r="R190" s="157">
        <f t="shared" si="77"/>
        <v>0</v>
      </c>
      <c r="S190" s="178">
        <v>0</v>
      </c>
      <c r="T190" s="161">
        <v>0</v>
      </c>
      <c r="U190" s="161">
        <v>0</v>
      </c>
      <c r="V190" s="161">
        <v>0</v>
      </c>
      <c r="W190" s="178">
        <v>0</v>
      </c>
      <c r="X190" s="161">
        <v>0</v>
      </c>
      <c r="Y190" s="161">
        <v>0</v>
      </c>
      <c r="Z190" s="161">
        <v>0</v>
      </c>
      <c r="AA190" s="163">
        <v>0</v>
      </c>
      <c r="AB190" s="163">
        <v>0</v>
      </c>
      <c r="AC190" s="163">
        <v>0</v>
      </c>
      <c r="AD190" s="163">
        <v>0</v>
      </c>
      <c r="AE190" s="163">
        <v>0</v>
      </c>
      <c r="AF190" s="163">
        <v>0</v>
      </c>
      <c r="AG190" s="163">
        <v>0</v>
      </c>
      <c r="AH190" s="163">
        <v>0</v>
      </c>
      <c r="AI190" s="163">
        <v>0</v>
      </c>
      <c r="AJ190" s="163">
        <v>0</v>
      </c>
      <c r="AK190" s="163">
        <v>0</v>
      </c>
      <c r="AL190" s="163">
        <v>0</v>
      </c>
      <c r="AM190" s="163">
        <v>0</v>
      </c>
      <c r="AN190" s="163">
        <v>0</v>
      </c>
      <c r="AO190" s="163">
        <v>0</v>
      </c>
      <c r="AP190" s="163">
        <v>0</v>
      </c>
      <c r="AQ190" s="164">
        <f t="shared" si="78"/>
        <v>0</v>
      </c>
      <c r="AR190" s="164">
        <f t="shared" si="79"/>
        <v>0</v>
      </c>
      <c r="AS190" s="164">
        <f t="shared" si="80"/>
        <v>0</v>
      </c>
      <c r="AT190" s="164">
        <f t="shared" si="81"/>
        <v>0</v>
      </c>
      <c r="AU190" s="164">
        <f t="shared" si="82"/>
        <v>0</v>
      </c>
      <c r="AV190" s="164">
        <f t="shared" si="83"/>
        <v>0</v>
      </c>
      <c r="AW190" s="164">
        <f t="shared" si="84"/>
        <v>0</v>
      </c>
      <c r="AX190" s="164">
        <f t="shared" si="85"/>
        <v>0</v>
      </c>
      <c r="AY190" s="165">
        <f t="shared" si="86"/>
        <v>0</v>
      </c>
      <c r="AZ190" s="165">
        <v>0</v>
      </c>
      <c r="BA190" s="165">
        <f t="shared" si="87"/>
        <v>0</v>
      </c>
      <c r="BB190" s="165">
        <v>0</v>
      </c>
      <c r="BC190" s="165">
        <f t="shared" si="88"/>
        <v>0</v>
      </c>
      <c r="BD190" s="165">
        <v>0</v>
      </c>
      <c r="BE190" s="165">
        <f t="shared" si="89"/>
        <v>0</v>
      </c>
      <c r="BF190" s="165">
        <v>0</v>
      </c>
      <c r="BG190" s="165">
        <f t="shared" si="90"/>
        <v>0</v>
      </c>
      <c r="BH190" s="165">
        <v>0</v>
      </c>
      <c r="BI190" s="165">
        <f t="shared" si="91"/>
        <v>0</v>
      </c>
      <c r="BJ190" s="165">
        <v>0</v>
      </c>
      <c r="BK190" s="165">
        <f t="shared" si="92"/>
        <v>0</v>
      </c>
      <c r="BL190" s="165">
        <v>0</v>
      </c>
      <c r="BM190" s="165">
        <f t="shared" si="93"/>
        <v>0</v>
      </c>
      <c r="BN190" s="165">
        <v>0</v>
      </c>
    </row>
    <row r="191" spans="1:66" ht="15.6" x14ac:dyDescent="0.3">
      <c r="A191" s="146"/>
      <c r="B191" s="146"/>
      <c r="C191" s="181"/>
      <c r="D191" s="181"/>
      <c r="E191" s="181"/>
      <c r="F191" s="181"/>
      <c r="G191" s="181"/>
      <c r="H191" s="182"/>
      <c r="I191" s="183"/>
      <c r="J191" s="183"/>
      <c r="K191" s="183"/>
      <c r="L191" s="146"/>
      <c r="M191" s="146"/>
      <c r="N191" s="183"/>
      <c r="O191" s="146"/>
      <c r="P191" s="148"/>
      <c r="Q191" s="184"/>
      <c r="R191" s="183"/>
      <c r="S191" s="185"/>
      <c r="T191" s="185"/>
      <c r="U191" s="185"/>
      <c r="V191" s="185"/>
      <c r="W191" s="185"/>
      <c r="X191" s="185"/>
      <c r="Y191" s="185"/>
      <c r="Z191" s="185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6"/>
      <c r="AR191" s="186"/>
      <c r="AS191" s="186"/>
      <c r="AT191" s="186"/>
      <c r="AU191" s="186"/>
      <c r="AV191" s="186"/>
      <c r="AW191" s="186"/>
      <c r="AX191" s="186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</row>
    <row r="192" spans="1:66" x14ac:dyDescent="0.3">
      <c r="AZ192" s="150" t="s">
        <v>145</v>
      </c>
      <c r="BA192" s="146"/>
      <c r="BB192" s="150" t="s">
        <v>117</v>
      </c>
      <c r="BC192" s="146"/>
      <c r="BD192" s="150" t="s">
        <v>140</v>
      </c>
      <c r="BE192" s="146"/>
      <c r="BF192" s="150" t="s">
        <v>140</v>
      </c>
      <c r="BH192" s="150" t="s">
        <v>234</v>
      </c>
      <c r="BI192" s="146"/>
      <c r="BJ192" s="150" t="s">
        <v>242</v>
      </c>
      <c r="BK192" s="146"/>
      <c r="BL192" s="150" t="s">
        <v>235</v>
      </c>
      <c r="BM192" s="146"/>
      <c r="BN192" s="150" t="s">
        <v>235</v>
      </c>
    </row>
    <row r="193" spans="1:66" x14ac:dyDescent="0.3">
      <c r="A193" s="231" t="s">
        <v>57</v>
      </c>
      <c r="B193" s="231" t="s">
        <v>58</v>
      </c>
      <c r="C193" s="225" t="s">
        <v>59</v>
      </c>
      <c r="D193" s="226"/>
      <c r="E193" s="227"/>
      <c r="F193" s="225" t="s">
        <v>60</v>
      </c>
      <c r="G193" s="226"/>
      <c r="H193" s="227"/>
      <c r="I193" s="225" t="s">
        <v>61</v>
      </c>
      <c r="J193" s="226"/>
      <c r="K193" s="227"/>
      <c r="L193" s="225" t="s">
        <v>62</v>
      </c>
      <c r="M193" s="226"/>
      <c r="N193" s="227"/>
      <c r="O193" s="146"/>
      <c r="P193" s="224" t="s">
        <v>63</v>
      </c>
      <c r="Q193" s="225" t="s">
        <v>146</v>
      </c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7"/>
      <c r="AI193" s="228" t="s">
        <v>65</v>
      </c>
      <c r="AJ193" s="229"/>
      <c r="AK193" s="229"/>
      <c r="AL193" s="229"/>
      <c r="AM193" s="229"/>
      <c r="AN193" s="229"/>
      <c r="AO193" s="229"/>
      <c r="AP193" s="230"/>
      <c r="AQ193" s="221">
        <f>10^9</f>
        <v>1000000000</v>
      </c>
      <c r="AR193" s="222"/>
      <c r="AS193" s="222"/>
      <c r="AT193" s="222"/>
      <c r="AU193" s="222"/>
      <c r="AV193" s="222"/>
      <c r="AW193" s="222"/>
      <c r="AX193" s="223"/>
      <c r="AY193" s="152" t="s">
        <v>142</v>
      </c>
      <c r="AZ193" s="153" t="e">
        <f>SUM(AY195:AY253)</f>
        <v>#DIV/0!</v>
      </c>
      <c r="BA193" s="152" t="s">
        <v>143</v>
      </c>
      <c r="BB193" s="153" t="e">
        <f>SUM(BA195:BA253)</f>
        <v>#DIV/0!</v>
      </c>
      <c r="BC193" s="152" t="s">
        <v>144</v>
      </c>
      <c r="BD193" s="153" t="e">
        <f>SUM(BC195:BC253)</f>
        <v>#DIV/0!</v>
      </c>
      <c r="BE193" s="152" t="s">
        <v>236</v>
      </c>
      <c r="BF193" s="153" t="e">
        <f>SUM(BE195:BE253)</f>
        <v>#DIV/0!</v>
      </c>
      <c r="BG193" s="152" t="s">
        <v>237</v>
      </c>
      <c r="BH193" s="153" t="e">
        <f>SUM(AY195:AY253)</f>
        <v>#DIV/0!</v>
      </c>
      <c r="BI193" s="152" t="s">
        <v>238</v>
      </c>
      <c r="BJ193" s="153" t="e">
        <f>SUM(BA195:BA253)</f>
        <v>#DIV/0!</v>
      </c>
      <c r="BK193" s="152" t="s">
        <v>239</v>
      </c>
      <c r="BL193" s="153" t="e">
        <f>SUM(BC195:BC253)</f>
        <v>#DIV/0!</v>
      </c>
      <c r="BM193" s="152" t="s">
        <v>240</v>
      </c>
      <c r="BN193" s="153" t="e">
        <f>SUM(BE195:BE253)</f>
        <v>#DIV/0!</v>
      </c>
    </row>
    <row r="194" spans="1:66" x14ac:dyDescent="0.3">
      <c r="A194" s="232"/>
      <c r="B194" s="232"/>
      <c r="C194" s="154" t="s">
        <v>147</v>
      </c>
      <c r="D194" s="154" t="s">
        <v>148</v>
      </c>
      <c r="E194" s="154" t="s">
        <v>149</v>
      </c>
      <c r="F194" s="154" t="s">
        <v>147</v>
      </c>
      <c r="G194" s="154" t="s">
        <v>148</v>
      </c>
      <c r="H194" s="154" t="s">
        <v>149</v>
      </c>
      <c r="I194" s="154" t="s">
        <v>147</v>
      </c>
      <c r="J194" s="154" t="s">
        <v>148</v>
      </c>
      <c r="K194" s="154" t="s">
        <v>149</v>
      </c>
      <c r="L194" s="154" t="s">
        <v>147</v>
      </c>
      <c r="M194" s="154" t="s">
        <v>148</v>
      </c>
      <c r="N194" s="154" t="s">
        <v>149</v>
      </c>
      <c r="O194" s="146"/>
      <c r="P194" s="224"/>
      <c r="Q194" s="154" t="s">
        <v>69</v>
      </c>
      <c r="R194" s="154" t="s">
        <v>70</v>
      </c>
      <c r="S194" s="154" t="s">
        <v>121</v>
      </c>
      <c r="T194" s="154" t="s">
        <v>122</v>
      </c>
      <c r="U194" s="154" t="s">
        <v>123</v>
      </c>
      <c r="V194" s="154" t="s">
        <v>243</v>
      </c>
      <c r="W194" s="154" t="s">
        <v>225</v>
      </c>
      <c r="X194" s="154" t="s">
        <v>226</v>
      </c>
      <c r="Y194" s="154" t="s">
        <v>227</v>
      </c>
      <c r="Z194" s="154" t="s">
        <v>228</v>
      </c>
      <c r="AA194" s="154" t="s">
        <v>124</v>
      </c>
      <c r="AB194" s="154" t="s">
        <v>125</v>
      </c>
      <c r="AC194" s="154" t="s">
        <v>126</v>
      </c>
      <c r="AD194" s="154" t="s">
        <v>244</v>
      </c>
      <c r="AE194" s="154" t="s">
        <v>229</v>
      </c>
      <c r="AF194" s="154" t="s">
        <v>230</v>
      </c>
      <c r="AG194" s="154" t="s">
        <v>231</v>
      </c>
      <c r="AH194" s="154" t="s">
        <v>232</v>
      </c>
      <c r="AI194" s="154" t="s">
        <v>127</v>
      </c>
      <c r="AJ194" s="154" t="s">
        <v>128</v>
      </c>
      <c r="AK194" s="154" t="s">
        <v>129</v>
      </c>
      <c r="AL194" s="154" t="s">
        <v>210</v>
      </c>
      <c r="AM194" s="154" t="s">
        <v>211</v>
      </c>
      <c r="AN194" s="154" t="s">
        <v>212</v>
      </c>
      <c r="AO194" s="154" t="s">
        <v>213</v>
      </c>
      <c r="AP194" s="154" t="s">
        <v>214</v>
      </c>
      <c r="AQ194" s="154" t="s">
        <v>130</v>
      </c>
      <c r="AR194" s="154" t="s">
        <v>131</v>
      </c>
      <c r="AS194" s="154" t="s">
        <v>132</v>
      </c>
      <c r="AT194" s="154" t="s">
        <v>241</v>
      </c>
      <c r="AU194" s="154" t="s">
        <v>216</v>
      </c>
      <c r="AV194" s="154" t="s">
        <v>217</v>
      </c>
      <c r="AW194" s="154" t="s">
        <v>218</v>
      </c>
      <c r="AX194" s="154" t="s">
        <v>219</v>
      </c>
      <c r="AY194" s="154" t="s">
        <v>62</v>
      </c>
      <c r="AZ194" s="154" t="s">
        <v>71</v>
      </c>
      <c r="BA194" s="154" t="s">
        <v>62</v>
      </c>
      <c r="BB194" s="154" t="s">
        <v>71</v>
      </c>
      <c r="BC194" s="154" t="s">
        <v>62</v>
      </c>
      <c r="BD194" s="154" t="s">
        <v>71</v>
      </c>
      <c r="BE194" s="154" t="s">
        <v>62</v>
      </c>
      <c r="BF194" s="154" t="s">
        <v>71</v>
      </c>
      <c r="BG194" s="154" t="s">
        <v>220</v>
      </c>
      <c r="BH194" s="154" t="s">
        <v>221</v>
      </c>
      <c r="BI194" s="154" t="s">
        <v>220</v>
      </c>
      <c r="BJ194" s="154" t="s">
        <v>221</v>
      </c>
      <c r="BK194" s="154" t="s">
        <v>220</v>
      </c>
      <c r="BL194" s="154" t="s">
        <v>221</v>
      </c>
      <c r="BM194" s="154" t="s">
        <v>220</v>
      </c>
      <c r="BN194" s="154" t="s">
        <v>221</v>
      </c>
    </row>
    <row r="195" spans="1:66" ht="15.6" x14ac:dyDescent="0.3">
      <c r="A195" s="155">
        <v>-1</v>
      </c>
      <c r="B195" s="155">
        <v>0</v>
      </c>
      <c r="C195" s="156"/>
      <c r="D195" s="156"/>
      <c r="E195" s="156"/>
      <c r="F195" s="156"/>
      <c r="G195" s="156"/>
      <c r="H195" s="172"/>
      <c r="I195" s="157" t="e" cm="1">
        <f t="array" ref="I195:I253">_xlfn.LET(_xlpm.x, C195:C253, _xlpm.x/SUM(_xlpm.x))</f>
        <v>#DIV/0!</v>
      </c>
      <c r="J195" s="157" t="e" cm="1">
        <f t="array" ref="J195:J253">_xlfn.LET(_xlpm.x, D195:D253, _xlpm.x/SUM(_xlpm.x))</f>
        <v>#DIV/0!</v>
      </c>
      <c r="K195" s="157"/>
      <c r="L195" s="158"/>
      <c r="M195" s="158"/>
      <c r="N195" s="163"/>
      <c r="O195" s="176"/>
      <c r="P195" s="177" t="str">
        <f t="shared" ref="P195:P226" si="94">"("&amp;$A195&amp;", "&amp;$B195&amp;"]"</f>
        <v>(-1, 0]</v>
      </c>
      <c r="Q195" s="160" t="s">
        <v>150</v>
      </c>
      <c r="R195" s="157" t="e">
        <f t="shared" ref="R195:R226" si="95">_xlfn.XLOOKUP(Q195, $I$194:$K$194, I195:K195)</f>
        <v>#DIV/0!</v>
      </c>
      <c r="S195" s="162">
        <v>0</v>
      </c>
      <c r="T195" s="161">
        <v>0</v>
      </c>
      <c r="U195" s="161">
        <v>0</v>
      </c>
      <c r="V195" s="161">
        <v>0</v>
      </c>
      <c r="W195" s="162">
        <v>0</v>
      </c>
      <c r="X195" s="161">
        <v>0</v>
      </c>
      <c r="Y195" s="161">
        <v>0</v>
      </c>
      <c r="Z195" s="161">
        <v>0</v>
      </c>
      <c r="AA195" s="163" t="e" cm="1">
        <f t="array" ref="AA195:AA253">$R195:$R253*S195:S253</f>
        <v>#DIV/0!</v>
      </c>
      <c r="AB195" s="163" t="e" cm="1">
        <f t="array" ref="AB195:AB253">$R195:$R253*T195:T253</f>
        <v>#DIV/0!</v>
      </c>
      <c r="AC195" s="163" t="e" cm="1">
        <f t="array" ref="AC195:AC253">$R195:$R253*U195:U253</f>
        <v>#DIV/0!</v>
      </c>
      <c r="AD195" s="163" t="e" cm="1">
        <f t="array" ref="AD195:AD253">$R195:$R253*V195:V253</f>
        <v>#DIV/0!</v>
      </c>
      <c r="AE195" s="163" t="e" cm="1">
        <f t="array" ref="AE195:AE253">$R195:$R253*W195:W253</f>
        <v>#DIV/0!</v>
      </c>
      <c r="AF195" s="163" t="e" cm="1">
        <f t="array" ref="AF195:AF253">$R195:$R253*X195:X253</f>
        <v>#DIV/0!</v>
      </c>
      <c r="AG195" s="163" t="e" cm="1">
        <f t="array" ref="AG195:AG253">$R195:$R253*Y195:Y253</f>
        <v>#DIV/0!</v>
      </c>
      <c r="AH195" s="163" t="e" cm="1">
        <f t="array" ref="AH195:AH253">$R195:$R253*Z195:Z253</f>
        <v>#DIV/0!</v>
      </c>
      <c r="AI195" s="163" t="e" cm="1">
        <f t="array" ref="AI195:AI253">_xlfn.LET(_xlpm.x,_xlfn.ANCHORARRAY( AA195), _xlpm.x/SUM(_xlpm.x))</f>
        <v>#DIV/0!</v>
      </c>
      <c r="AJ195" s="163" t="e" cm="1">
        <f t="array" ref="AJ195:AJ253">_xlfn.LET(_xlpm.x,_xlfn.ANCHORARRAY( AB195), _xlpm.x/SUM(_xlpm.x))</f>
        <v>#DIV/0!</v>
      </c>
      <c r="AK195" s="163" t="e" cm="1">
        <f t="array" ref="AK195:AK253">_xlfn.LET(_xlpm.x,_xlfn.ANCHORARRAY( AC195), _xlpm.x/SUM(_xlpm.x))</f>
        <v>#DIV/0!</v>
      </c>
      <c r="AL195" s="163" t="e" cm="1">
        <f t="array" ref="AL195:AL253">_xlfn.LET(_xlpm.x,_xlfn.ANCHORARRAY( AD195), _xlpm.x/SUM(_xlpm.x))</f>
        <v>#DIV/0!</v>
      </c>
      <c r="AM195" s="163" t="e" cm="1">
        <f t="array" ref="AM195:AM253">_xlfn.LET(_xlpm.x,_xlfn.ANCHORARRAY( AE195), _xlpm.x/SUM(_xlpm.x))</f>
        <v>#DIV/0!</v>
      </c>
      <c r="AN195" s="163" t="e" cm="1">
        <f t="array" ref="AN195:AN253">_xlfn.LET(_xlpm.x,_xlfn.ANCHORARRAY( AF195), _xlpm.x/SUM(_xlpm.x))</f>
        <v>#DIV/0!</v>
      </c>
      <c r="AO195" s="163" t="e" cm="1">
        <f t="array" ref="AO195:AO253">_xlfn.LET(_xlpm.x,_xlfn.ANCHORARRAY( AG195), _xlpm.x/SUM(_xlpm.x))</f>
        <v>#DIV/0!</v>
      </c>
      <c r="AP195" s="163" t="e" cm="1">
        <f t="array" ref="AP195:AP253">_xlfn.LET(_xlpm.x,_xlfn.ANCHORARRAY( AH195), _xlpm.x/SUM(_xlpm.x))</f>
        <v>#DIV/0!</v>
      </c>
      <c r="AQ195" s="164" t="e">
        <f t="shared" ref="AQ195:AQ226" si="96">INT(AI195*$AQ$65)</f>
        <v>#DIV/0!</v>
      </c>
      <c r="AR195" s="164" t="e">
        <f t="shared" ref="AR195:AR226" si="97">INT(AJ195*$AQ$65)</f>
        <v>#DIV/0!</v>
      </c>
      <c r="AS195" s="164" t="e">
        <f t="shared" ref="AS195:AS226" si="98">INT(AK195*$AQ$65)</f>
        <v>#DIV/0!</v>
      </c>
      <c r="AT195" s="164" t="e">
        <f t="shared" ref="AT195:AT226" si="99">INT(AL195*$AQ$65)</f>
        <v>#DIV/0!</v>
      </c>
      <c r="AU195" s="164" t="e">
        <f t="shared" ref="AU195:AU226" si="100">INT(AM195*$AQ$65)</f>
        <v>#DIV/0!</v>
      </c>
      <c r="AV195" s="164" t="e">
        <f t="shared" ref="AV195:AV226" si="101">INT(AN195*$AQ$65)</f>
        <v>#DIV/0!</v>
      </c>
      <c r="AW195" s="164" t="e">
        <f t="shared" ref="AW195:AW226" si="102">INT(AO195*$AQ$65)</f>
        <v>#DIV/0!</v>
      </c>
      <c r="AX195" s="164" t="e">
        <f t="shared" ref="AX195:AX226" si="103">INT(AP195*$AQ$65)</f>
        <v>#DIV/0!</v>
      </c>
      <c r="AY195" s="165" t="e">
        <f t="shared" ref="AY195:AY226" si="104">_xlfn.LET(_xlpm.x, _xlfn.XLOOKUP($Q195, $L$194:$N$194, $L195:$N195), IF(ISERROR(_xlpm.x), 0, _xlpm.x)*AQ195/$AQ$193)</f>
        <v>#DIV/0!</v>
      </c>
      <c r="AZ195" s="165" t="e" cm="1">
        <f t="array" ref="AZ195:AZ253">_xlfn.LET(_xlpm.x, AQ195:AQ253, _xlpm.x/SUM(_xlpm.x))</f>
        <v>#DIV/0!</v>
      </c>
      <c r="BA195" s="165" t="e">
        <f t="shared" ref="BA195:BA226" si="105">_xlfn.LET(_xlpm.x, _xlfn.XLOOKUP($Q195, $L$194:$N$194, $L195:$N195), IF(ISERROR(_xlpm.x), 0, _xlpm.x)*AR195/$AQ$193)</f>
        <v>#DIV/0!</v>
      </c>
      <c r="BB195" s="165" t="e" cm="1">
        <f t="array" ref="BB195:BB253">_xlfn.LET(_xlpm.x, AR195:AR253, _xlpm.x/SUM(_xlpm.x))</f>
        <v>#DIV/0!</v>
      </c>
      <c r="BC195" s="165" t="e">
        <f t="shared" ref="BC195:BC226" si="106">_xlfn.LET(_xlpm.x, _xlfn.XLOOKUP($Q195, $L$194:$N$194, $L195:$N195), IF(ISERROR(_xlpm.x), 0, _xlpm.x)*AS195/$AQ$193)</f>
        <v>#DIV/0!</v>
      </c>
      <c r="BD195" s="165" t="e" cm="1">
        <f t="array" ref="BD195:BD253">_xlfn.LET(_xlpm.x, AS195:AS253, _xlpm.x/SUM(_xlpm.x))</f>
        <v>#DIV/0!</v>
      </c>
      <c r="BE195" s="165" t="e">
        <f t="shared" ref="BE195:BE226" si="107">_xlfn.LET(_xlpm.x, _xlfn.XLOOKUP($Q195, $L$194:$N$194, $L195:$N195), IF(ISERROR(_xlpm.x), 0, _xlpm.x)*AT195/$AQ$193)</f>
        <v>#DIV/0!</v>
      </c>
      <c r="BF195" s="165" t="e" cm="1">
        <f t="array" ref="BF195:BF253">_xlfn.LET(_xlpm.x, AT195:AT253, _xlpm.x/SUM(_xlpm.x))</f>
        <v>#DIV/0!</v>
      </c>
      <c r="BG195" s="165" t="e">
        <f t="shared" ref="BG195:BG226" si="108">_xlfn.LET(_xlpm.x, _xlfn.XLOOKUP($Q195, $L$194:$N$194, $L195:$N195), IF(ISERROR(_xlpm.x), 0, _xlpm.x)*AQ195/$AQ$193)</f>
        <v>#DIV/0!</v>
      </c>
      <c r="BH195" s="165" t="e" cm="1">
        <f t="array" ref="BH195:BH253">_xlfn.LET(_xlpm.x, AQ195:AQ253, _xlpm.x/SUM(_xlpm.x))</f>
        <v>#DIV/0!</v>
      </c>
      <c r="BI195" s="165" t="e">
        <f t="shared" ref="BI195:BI226" si="109">_xlfn.LET(_xlpm.x, _xlfn.XLOOKUP($Q195, $L$194:$N$194, $L195:$N195), IF(ISERROR(_xlpm.x), 0, _xlpm.x)*AR195/$AQ$193)</f>
        <v>#DIV/0!</v>
      </c>
      <c r="BJ195" s="165" t="e" cm="1">
        <f t="array" ref="BJ195:BJ253">_xlfn.LET(_xlpm.x, AR195:AR253, _xlpm.x/SUM(_xlpm.x))</f>
        <v>#DIV/0!</v>
      </c>
      <c r="BK195" s="165" t="e">
        <f t="shared" ref="BK195:BK226" si="110">_xlfn.LET(_xlpm.x, _xlfn.XLOOKUP($Q195, $L$194:$N$194, $L195:$N195), IF(ISERROR(_xlpm.x), 0, _xlpm.x)*AS195/$AQ$193)</f>
        <v>#DIV/0!</v>
      </c>
      <c r="BL195" s="165" t="e" cm="1">
        <f t="array" ref="BL195:BL253">_xlfn.LET(_xlpm.x, AS195:AS253, _xlpm.x/SUM(_xlpm.x))</f>
        <v>#DIV/0!</v>
      </c>
      <c r="BM195" s="165" t="e">
        <f t="shared" ref="BM195:BM226" si="111">_xlfn.LET(_xlpm.x, _xlfn.XLOOKUP($Q195, $L$194:$N$194, $L195:$N195), IF(ISERROR(_xlpm.x), 0, _xlpm.x)*AT195/$AQ$193)</f>
        <v>#DIV/0!</v>
      </c>
      <c r="BN195" s="165" t="e" cm="1">
        <f t="array" ref="BN195:BN253">_xlfn.LET(_xlpm.x, AT195:AT253, _xlpm.x/SUM(_xlpm.x))</f>
        <v>#DIV/0!</v>
      </c>
    </row>
    <row r="196" spans="1:66" x14ac:dyDescent="0.3">
      <c r="A196" s="155">
        <v>0</v>
      </c>
      <c r="B196" s="155">
        <v>1</v>
      </c>
      <c r="C196" s="187"/>
      <c r="D196" s="187"/>
      <c r="E196" s="187"/>
      <c r="F196" s="187"/>
      <c r="G196" s="156"/>
      <c r="H196" s="172"/>
      <c r="I196" s="157" t="e">
        <v>#DIV/0!</v>
      </c>
      <c r="J196" s="157" t="e">
        <v>#DIV/0!</v>
      </c>
      <c r="K196" s="157"/>
      <c r="L196" s="158"/>
      <c r="M196" s="158"/>
      <c r="N196" s="163"/>
      <c r="O196" s="179"/>
      <c r="P196" s="177" t="str">
        <f t="shared" si="94"/>
        <v>(0, 1]</v>
      </c>
      <c r="Q196" s="160" t="s">
        <v>150</v>
      </c>
      <c r="R196" s="157" t="e">
        <f t="shared" si="95"/>
        <v>#DIV/0!</v>
      </c>
      <c r="S196" s="162">
        <v>0</v>
      </c>
      <c r="T196" s="161">
        <v>0</v>
      </c>
      <c r="U196" s="161">
        <v>0</v>
      </c>
      <c r="V196" s="161">
        <v>0</v>
      </c>
      <c r="W196" s="162">
        <v>0</v>
      </c>
      <c r="X196" s="161">
        <v>0</v>
      </c>
      <c r="Y196" s="161">
        <v>0</v>
      </c>
      <c r="Z196" s="161">
        <v>0</v>
      </c>
      <c r="AA196" s="163" t="e">
        <v>#DIV/0!</v>
      </c>
      <c r="AB196" s="163" t="e">
        <v>#DIV/0!</v>
      </c>
      <c r="AC196" s="163" t="e">
        <v>#DIV/0!</v>
      </c>
      <c r="AD196" s="163" t="e">
        <v>#DIV/0!</v>
      </c>
      <c r="AE196" s="163" t="e">
        <v>#DIV/0!</v>
      </c>
      <c r="AF196" s="163" t="e">
        <v>#DIV/0!</v>
      </c>
      <c r="AG196" s="163" t="e">
        <v>#DIV/0!</v>
      </c>
      <c r="AH196" s="163" t="e">
        <v>#DIV/0!</v>
      </c>
      <c r="AI196" s="163" t="e">
        <v>#DIV/0!</v>
      </c>
      <c r="AJ196" s="163" t="e">
        <v>#DIV/0!</v>
      </c>
      <c r="AK196" s="163" t="e">
        <v>#DIV/0!</v>
      </c>
      <c r="AL196" s="163" t="e">
        <v>#DIV/0!</v>
      </c>
      <c r="AM196" s="163" t="e">
        <v>#DIV/0!</v>
      </c>
      <c r="AN196" s="163" t="e">
        <v>#DIV/0!</v>
      </c>
      <c r="AO196" s="163" t="e">
        <v>#DIV/0!</v>
      </c>
      <c r="AP196" s="163" t="e">
        <v>#DIV/0!</v>
      </c>
      <c r="AQ196" s="164" t="e">
        <f t="shared" si="96"/>
        <v>#DIV/0!</v>
      </c>
      <c r="AR196" s="164" t="e">
        <f t="shared" si="97"/>
        <v>#DIV/0!</v>
      </c>
      <c r="AS196" s="164" t="e">
        <f t="shared" si="98"/>
        <v>#DIV/0!</v>
      </c>
      <c r="AT196" s="164" t="e">
        <f t="shared" si="99"/>
        <v>#DIV/0!</v>
      </c>
      <c r="AU196" s="164" t="e">
        <f t="shared" si="100"/>
        <v>#DIV/0!</v>
      </c>
      <c r="AV196" s="164" t="e">
        <f t="shared" si="101"/>
        <v>#DIV/0!</v>
      </c>
      <c r="AW196" s="164" t="e">
        <f t="shared" si="102"/>
        <v>#DIV/0!</v>
      </c>
      <c r="AX196" s="164" t="e">
        <f t="shared" si="103"/>
        <v>#DIV/0!</v>
      </c>
      <c r="AY196" s="165" t="e">
        <f t="shared" si="104"/>
        <v>#DIV/0!</v>
      </c>
      <c r="AZ196" s="165" t="e">
        <v>#DIV/0!</v>
      </c>
      <c r="BA196" s="165" t="e">
        <f t="shared" si="105"/>
        <v>#DIV/0!</v>
      </c>
      <c r="BB196" s="165" t="e">
        <v>#DIV/0!</v>
      </c>
      <c r="BC196" s="165" t="e">
        <f t="shared" si="106"/>
        <v>#DIV/0!</v>
      </c>
      <c r="BD196" s="165" t="e">
        <v>#DIV/0!</v>
      </c>
      <c r="BE196" s="165" t="e">
        <f t="shared" si="107"/>
        <v>#DIV/0!</v>
      </c>
      <c r="BF196" s="165" t="e">
        <v>#DIV/0!</v>
      </c>
      <c r="BG196" s="165" t="e">
        <f t="shared" si="108"/>
        <v>#DIV/0!</v>
      </c>
      <c r="BH196" s="165" t="e">
        <v>#DIV/0!</v>
      </c>
      <c r="BI196" s="165" t="e">
        <f t="shared" si="109"/>
        <v>#DIV/0!</v>
      </c>
      <c r="BJ196" s="165" t="e">
        <v>#DIV/0!</v>
      </c>
      <c r="BK196" s="165" t="e">
        <f t="shared" si="110"/>
        <v>#DIV/0!</v>
      </c>
      <c r="BL196" s="165" t="e">
        <v>#DIV/0!</v>
      </c>
      <c r="BM196" s="165" t="e">
        <f t="shared" si="111"/>
        <v>#DIV/0!</v>
      </c>
      <c r="BN196" s="165" t="e">
        <v>#DIV/0!</v>
      </c>
    </row>
    <row r="197" spans="1:66" x14ac:dyDescent="0.3">
      <c r="A197" s="155">
        <v>1</v>
      </c>
      <c r="B197" s="155">
        <v>2</v>
      </c>
      <c r="C197" s="187"/>
      <c r="D197" s="187"/>
      <c r="E197" s="187"/>
      <c r="F197" s="187"/>
      <c r="G197" s="156"/>
      <c r="H197" s="172"/>
      <c r="I197" s="157" t="e">
        <v>#DIV/0!</v>
      </c>
      <c r="J197" s="157" t="e">
        <v>#DIV/0!</v>
      </c>
      <c r="K197" s="157"/>
      <c r="L197" s="158"/>
      <c r="M197" s="158"/>
      <c r="N197" s="163"/>
      <c r="O197" s="179"/>
      <c r="P197" s="177" t="str">
        <f t="shared" si="94"/>
        <v>(1, 2]</v>
      </c>
      <c r="Q197" s="160" t="s">
        <v>150</v>
      </c>
      <c r="R197" s="157" t="e">
        <f t="shared" si="95"/>
        <v>#DIV/0!</v>
      </c>
      <c r="S197" s="162">
        <v>0</v>
      </c>
      <c r="T197" s="161">
        <v>0</v>
      </c>
      <c r="U197" s="161">
        <v>0</v>
      </c>
      <c r="V197" s="161">
        <v>0</v>
      </c>
      <c r="W197" s="162">
        <v>0</v>
      </c>
      <c r="X197" s="161">
        <v>0</v>
      </c>
      <c r="Y197" s="161">
        <v>0</v>
      </c>
      <c r="Z197" s="161">
        <v>0</v>
      </c>
      <c r="AA197" s="163" t="e">
        <v>#DIV/0!</v>
      </c>
      <c r="AB197" s="163" t="e">
        <v>#DIV/0!</v>
      </c>
      <c r="AC197" s="163" t="e">
        <v>#DIV/0!</v>
      </c>
      <c r="AD197" s="163" t="e">
        <v>#DIV/0!</v>
      </c>
      <c r="AE197" s="163" t="e">
        <v>#DIV/0!</v>
      </c>
      <c r="AF197" s="163" t="e">
        <v>#DIV/0!</v>
      </c>
      <c r="AG197" s="163" t="e">
        <v>#DIV/0!</v>
      </c>
      <c r="AH197" s="163" t="e">
        <v>#DIV/0!</v>
      </c>
      <c r="AI197" s="163" t="e">
        <v>#DIV/0!</v>
      </c>
      <c r="AJ197" s="163" t="e">
        <v>#DIV/0!</v>
      </c>
      <c r="AK197" s="163" t="e">
        <v>#DIV/0!</v>
      </c>
      <c r="AL197" s="163" t="e">
        <v>#DIV/0!</v>
      </c>
      <c r="AM197" s="163" t="e">
        <v>#DIV/0!</v>
      </c>
      <c r="AN197" s="163" t="e">
        <v>#DIV/0!</v>
      </c>
      <c r="AO197" s="163" t="e">
        <v>#DIV/0!</v>
      </c>
      <c r="AP197" s="163" t="e">
        <v>#DIV/0!</v>
      </c>
      <c r="AQ197" s="164" t="e">
        <f t="shared" si="96"/>
        <v>#DIV/0!</v>
      </c>
      <c r="AR197" s="164" t="e">
        <f t="shared" si="97"/>
        <v>#DIV/0!</v>
      </c>
      <c r="AS197" s="164" t="e">
        <f t="shared" si="98"/>
        <v>#DIV/0!</v>
      </c>
      <c r="AT197" s="164" t="e">
        <f t="shared" si="99"/>
        <v>#DIV/0!</v>
      </c>
      <c r="AU197" s="164" t="e">
        <f t="shared" si="100"/>
        <v>#DIV/0!</v>
      </c>
      <c r="AV197" s="164" t="e">
        <f t="shared" si="101"/>
        <v>#DIV/0!</v>
      </c>
      <c r="AW197" s="164" t="e">
        <f t="shared" si="102"/>
        <v>#DIV/0!</v>
      </c>
      <c r="AX197" s="164" t="e">
        <f t="shared" si="103"/>
        <v>#DIV/0!</v>
      </c>
      <c r="AY197" s="165" t="e">
        <f t="shared" si="104"/>
        <v>#DIV/0!</v>
      </c>
      <c r="AZ197" s="165" t="e">
        <v>#DIV/0!</v>
      </c>
      <c r="BA197" s="165" t="e">
        <f t="shared" si="105"/>
        <v>#DIV/0!</v>
      </c>
      <c r="BB197" s="165" t="e">
        <v>#DIV/0!</v>
      </c>
      <c r="BC197" s="165" t="e">
        <f t="shared" si="106"/>
        <v>#DIV/0!</v>
      </c>
      <c r="BD197" s="165" t="e">
        <v>#DIV/0!</v>
      </c>
      <c r="BE197" s="165" t="e">
        <f t="shared" si="107"/>
        <v>#DIV/0!</v>
      </c>
      <c r="BF197" s="165" t="e">
        <v>#DIV/0!</v>
      </c>
      <c r="BG197" s="165" t="e">
        <f t="shared" si="108"/>
        <v>#DIV/0!</v>
      </c>
      <c r="BH197" s="165" t="e">
        <v>#DIV/0!</v>
      </c>
      <c r="BI197" s="165" t="e">
        <f t="shared" si="109"/>
        <v>#DIV/0!</v>
      </c>
      <c r="BJ197" s="165" t="e">
        <v>#DIV/0!</v>
      </c>
      <c r="BK197" s="165" t="e">
        <f t="shared" si="110"/>
        <v>#DIV/0!</v>
      </c>
      <c r="BL197" s="165" t="e">
        <v>#DIV/0!</v>
      </c>
      <c r="BM197" s="165" t="e">
        <f t="shared" si="111"/>
        <v>#DIV/0!</v>
      </c>
      <c r="BN197" s="165" t="e">
        <v>#DIV/0!</v>
      </c>
    </row>
    <row r="198" spans="1:66" x14ac:dyDescent="0.3">
      <c r="A198" s="155">
        <v>2</v>
      </c>
      <c r="B198" s="155">
        <v>3</v>
      </c>
      <c r="C198" s="187"/>
      <c r="D198" s="187"/>
      <c r="E198" s="187"/>
      <c r="F198" s="187"/>
      <c r="G198" s="156"/>
      <c r="H198" s="172"/>
      <c r="I198" s="157" t="e">
        <v>#DIV/0!</v>
      </c>
      <c r="J198" s="157" t="e">
        <v>#DIV/0!</v>
      </c>
      <c r="K198" s="157"/>
      <c r="L198" s="158"/>
      <c r="M198" s="158"/>
      <c r="N198" s="163"/>
      <c r="O198" s="179"/>
      <c r="P198" s="177" t="str">
        <f t="shared" si="94"/>
        <v>(2, 3]</v>
      </c>
      <c r="Q198" s="160" t="s">
        <v>150</v>
      </c>
      <c r="R198" s="157" t="e">
        <f t="shared" si="95"/>
        <v>#DIV/0!</v>
      </c>
      <c r="S198" s="162">
        <v>0</v>
      </c>
      <c r="T198" s="161">
        <v>0</v>
      </c>
      <c r="U198" s="161">
        <v>0</v>
      </c>
      <c r="V198" s="161">
        <v>0</v>
      </c>
      <c r="W198" s="162">
        <v>0</v>
      </c>
      <c r="X198" s="161">
        <v>0</v>
      </c>
      <c r="Y198" s="161">
        <v>0</v>
      </c>
      <c r="Z198" s="161">
        <v>0</v>
      </c>
      <c r="AA198" s="163" t="e">
        <v>#DIV/0!</v>
      </c>
      <c r="AB198" s="163" t="e">
        <v>#DIV/0!</v>
      </c>
      <c r="AC198" s="163" t="e">
        <v>#DIV/0!</v>
      </c>
      <c r="AD198" s="163" t="e">
        <v>#DIV/0!</v>
      </c>
      <c r="AE198" s="163" t="e">
        <v>#DIV/0!</v>
      </c>
      <c r="AF198" s="163" t="e">
        <v>#DIV/0!</v>
      </c>
      <c r="AG198" s="163" t="e">
        <v>#DIV/0!</v>
      </c>
      <c r="AH198" s="163" t="e">
        <v>#DIV/0!</v>
      </c>
      <c r="AI198" s="163" t="e">
        <v>#DIV/0!</v>
      </c>
      <c r="AJ198" s="163" t="e">
        <v>#DIV/0!</v>
      </c>
      <c r="AK198" s="163" t="e">
        <v>#DIV/0!</v>
      </c>
      <c r="AL198" s="163" t="e">
        <v>#DIV/0!</v>
      </c>
      <c r="AM198" s="163" t="e">
        <v>#DIV/0!</v>
      </c>
      <c r="AN198" s="163" t="e">
        <v>#DIV/0!</v>
      </c>
      <c r="AO198" s="163" t="e">
        <v>#DIV/0!</v>
      </c>
      <c r="AP198" s="163" t="e">
        <v>#DIV/0!</v>
      </c>
      <c r="AQ198" s="164" t="e">
        <f t="shared" si="96"/>
        <v>#DIV/0!</v>
      </c>
      <c r="AR198" s="164" t="e">
        <f t="shared" si="97"/>
        <v>#DIV/0!</v>
      </c>
      <c r="AS198" s="164" t="e">
        <f t="shared" si="98"/>
        <v>#DIV/0!</v>
      </c>
      <c r="AT198" s="164" t="e">
        <f t="shared" si="99"/>
        <v>#DIV/0!</v>
      </c>
      <c r="AU198" s="164" t="e">
        <f t="shared" si="100"/>
        <v>#DIV/0!</v>
      </c>
      <c r="AV198" s="164" t="e">
        <f t="shared" si="101"/>
        <v>#DIV/0!</v>
      </c>
      <c r="AW198" s="164" t="e">
        <f t="shared" si="102"/>
        <v>#DIV/0!</v>
      </c>
      <c r="AX198" s="164" t="e">
        <f t="shared" si="103"/>
        <v>#DIV/0!</v>
      </c>
      <c r="AY198" s="165" t="e">
        <f t="shared" si="104"/>
        <v>#DIV/0!</v>
      </c>
      <c r="AZ198" s="165" t="e">
        <v>#DIV/0!</v>
      </c>
      <c r="BA198" s="165" t="e">
        <f t="shared" si="105"/>
        <v>#DIV/0!</v>
      </c>
      <c r="BB198" s="165" t="e">
        <v>#DIV/0!</v>
      </c>
      <c r="BC198" s="165" t="e">
        <f t="shared" si="106"/>
        <v>#DIV/0!</v>
      </c>
      <c r="BD198" s="165" t="e">
        <v>#DIV/0!</v>
      </c>
      <c r="BE198" s="165" t="e">
        <f t="shared" si="107"/>
        <v>#DIV/0!</v>
      </c>
      <c r="BF198" s="165" t="e">
        <v>#DIV/0!</v>
      </c>
      <c r="BG198" s="165" t="e">
        <f t="shared" si="108"/>
        <v>#DIV/0!</v>
      </c>
      <c r="BH198" s="165" t="e">
        <v>#DIV/0!</v>
      </c>
      <c r="BI198" s="165" t="e">
        <f t="shared" si="109"/>
        <v>#DIV/0!</v>
      </c>
      <c r="BJ198" s="165" t="e">
        <v>#DIV/0!</v>
      </c>
      <c r="BK198" s="165" t="e">
        <f t="shared" si="110"/>
        <v>#DIV/0!</v>
      </c>
      <c r="BL198" s="165" t="e">
        <v>#DIV/0!</v>
      </c>
      <c r="BM198" s="165" t="e">
        <f t="shared" si="111"/>
        <v>#DIV/0!</v>
      </c>
      <c r="BN198" s="165" t="e">
        <v>#DIV/0!</v>
      </c>
    </row>
    <row r="199" spans="1:66" x14ac:dyDescent="0.3">
      <c r="A199" s="155">
        <v>3</v>
      </c>
      <c r="B199" s="155">
        <v>4</v>
      </c>
      <c r="C199" s="187"/>
      <c r="D199" s="187"/>
      <c r="E199" s="187"/>
      <c r="F199" s="187"/>
      <c r="G199" s="156"/>
      <c r="H199" s="172"/>
      <c r="I199" s="157" t="e">
        <v>#DIV/0!</v>
      </c>
      <c r="J199" s="157" t="e">
        <v>#DIV/0!</v>
      </c>
      <c r="K199" s="157"/>
      <c r="L199" s="158"/>
      <c r="M199" s="158"/>
      <c r="N199" s="163"/>
      <c r="O199" s="179"/>
      <c r="P199" s="177" t="str">
        <f t="shared" si="94"/>
        <v>(3, 4]</v>
      </c>
      <c r="Q199" s="160" t="s">
        <v>150</v>
      </c>
      <c r="R199" s="157" t="e">
        <f t="shared" si="95"/>
        <v>#DIV/0!</v>
      </c>
      <c r="S199" s="162">
        <v>0</v>
      </c>
      <c r="T199" s="161">
        <v>0</v>
      </c>
      <c r="U199" s="161">
        <v>0</v>
      </c>
      <c r="V199" s="161">
        <v>0</v>
      </c>
      <c r="W199" s="162">
        <v>0</v>
      </c>
      <c r="X199" s="161">
        <v>0</v>
      </c>
      <c r="Y199" s="161">
        <v>0</v>
      </c>
      <c r="Z199" s="161">
        <v>0</v>
      </c>
      <c r="AA199" s="163" t="e">
        <v>#DIV/0!</v>
      </c>
      <c r="AB199" s="163" t="e">
        <v>#DIV/0!</v>
      </c>
      <c r="AC199" s="163" t="e">
        <v>#DIV/0!</v>
      </c>
      <c r="AD199" s="163" t="e">
        <v>#DIV/0!</v>
      </c>
      <c r="AE199" s="163" t="e">
        <v>#DIV/0!</v>
      </c>
      <c r="AF199" s="163" t="e">
        <v>#DIV/0!</v>
      </c>
      <c r="AG199" s="163" t="e">
        <v>#DIV/0!</v>
      </c>
      <c r="AH199" s="163" t="e">
        <v>#DIV/0!</v>
      </c>
      <c r="AI199" s="163" t="e">
        <v>#DIV/0!</v>
      </c>
      <c r="AJ199" s="163" t="e">
        <v>#DIV/0!</v>
      </c>
      <c r="AK199" s="163" t="e">
        <v>#DIV/0!</v>
      </c>
      <c r="AL199" s="163" t="e">
        <v>#DIV/0!</v>
      </c>
      <c r="AM199" s="163" t="e">
        <v>#DIV/0!</v>
      </c>
      <c r="AN199" s="163" t="e">
        <v>#DIV/0!</v>
      </c>
      <c r="AO199" s="163" t="e">
        <v>#DIV/0!</v>
      </c>
      <c r="AP199" s="163" t="e">
        <v>#DIV/0!</v>
      </c>
      <c r="AQ199" s="164" t="e">
        <f t="shared" si="96"/>
        <v>#DIV/0!</v>
      </c>
      <c r="AR199" s="164" t="e">
        <f t="shared" si="97"/>
        <v>#DIV/0!</v>
      </c>
      <c r="AS199" s="164" t="e">
        <f t="shared" si="98"/>
        <v>#DIV/0!</v>
      </c>
      <c r="AT199" s="164" t="e">
        <f t="shared" si="99"/>
        <v>#DIV/0!</v>
      </c>
      <c r="AU199" s="164" t="e">
        <f t="shared" si="100"/>
        <v>#DIV/0!</v>
      </c>
      <c r="AV199" s="164" t="e">
        <f t="shared" si="101"/>
        <v>#DIV/0!</v>
      </c>
      <c r="AW199" s="164" t="e">
        <f t="shared" si="102"/>
        <v>#DIV/0!</v>
      </c>
      <c r="AX199" s="164" t="e">
        <f t="shared" si="103"/>
        <v>#DIV/0!</v>
      </c>
      <c r="AY199" s="165" t="e">
        <f t="shared" si="104"/>
        <v>#DIV/0!</v>
      </c>
      <c r="AZ199" s="165" t="e">
        <v>#DIV/0!</v>
      </c>
      <c r="BA199" s="165" t="e">
        <f t="shared" si="105"/>
        <v>#DIV/0!</v>
      </c>
      <c r="BB199" s="165" t="e">
        <v>#DIV/0!</v>
      </c>
      <c r="BC199" s="165" t="e">
        <f t="shared" si="106"/>
        <v>#DIV/0!</v>
      </c>
      <c r="BD199" s="165" t="e">
        <v>#DIV/0!</v>
      </c>
      <c r="BE199" s="165" t="e">
        <f t="shared" si="107"/>
        <v>#DIV/0!</v>
      </c>
      <c r="BF199" s="165" t="e">
        <v>#DIV/0!</v>
      </c>
      <c r="BG199" s="165" t="e">
        <f t="shared" si="108"/>
        <v>#DIV/0!</v>
      </c>
      <c r="BH199" s="165" t="e">
        <v>#DIV/0!</v>
      </c>
      <c r="BI199" s="165" t="e">
        <f t="shared" si="109"/>
        <v>#DIV/0!</v>
      </c>
      <c r="BJ199" s="165" t="e">
        <v>#DIV/0!</v>
      </c>
      <c r="BK199" s="165" t="e">
        <f t="shared" si="110"/>
        <v>#DIV/0!</v>
      </c>
      <c r="BL199" s="165" t="e">
        <v>#DIV/0!</v>
      </c>
      <c r="BM199" s="165" t="e">
        <f t="shared" si="111"/>
        <v>#DIV/0!</v>
      </c>
      <c r="BN199" s="165" t="e">
        <v>#DIV/0!</v>
      </c>
    </row>
    <row r="200" spans="1:66" x14ac:dyDescent="0.3">
      <c r="A200" s="155">
        <v>4</v>
      </c>
      <c r="B200" s="155">
        <v>5</v>
      </c>
      <c r="C200" s="187"/>
      <c r="D200" s="187"/>
      <c r="E200" s="187"/>
      <c r="F200" s="187"/>
      <c r="G200" s="156"/>
      <c r="H200" s="172"/>
      <c r="I200" s="157" t="e">
        <v>#DIV/0!</v>
      </c>
      <c r="J200" s="157" t="e">
        <v>#DIV/0!</v>
      </c>
      <c r="K200" s="157"/>
      <c r="L200" s="158"/>
      <c r="M200" s="158"/>
      <c r="N200" s="163"/>
      <c r="O200" s="179"/>
      <c r="P200" s="177" t="str">
        <f t="shared" si="94"/>
        <v>(4, 5]</v>
      </c>
      <c r="Q200" s="160" t="s">
        <v>150</v>
      </c>
      <c r="R200" s="157" t="e">
        <f t="shared" si="95"/>
        <v>#DIV/0!</v>
      </c>
      <c r="S200" s="162">
        <v>0</v>
      </c>
      <c r="T200" s="161">
        <v>3.0000000000000001E-3</v>
      </c>
      <c r="U200" s="161">
        <v>0</v>
      </c>
      <c r="V200" s="161">
        <v>0</v>
      </c>
      <c r="W200" s="162">
        <v>0</v>
      </c>
      <c r="X200" s="161">
        <v>3.0000000000000001E-3</v>
      </c>
      <c r="Y200" s="161">
        <v>0</v>
      </c>
      <c r="Z200" s="161">
        <v>0</v>
      </c>
      <c r="AA200" s="163" t="e">
        <v>#DIV/0!</v>
      </c>
      <c r="AB200" s="163" t="e">
        <v>#DIV/0!</v>
      </c>
      <c r="AC200" s="163" t="e">
        <v>#DIV/0!</v>
      </c>
      <c r="AD200" s="163" t="e">
        <v>#DIV/0!</v>
      </c>
      <c r="AE200" s="163" t="e">
        <v>#DIV/0!</v>
      </c>
      <c r="AF200" s="163" t="e">
        <v>#DIV/0!</v>
      </c>
      <c r="AG200" s="163" t="e">
        <v>#DIV/0!</v>
      </c>
      <c r="AH200" s="163" t="e">
        <v>#DIV/0!</v>
      </c>
      <c r="AI200" s="163" t="e">
        <v>#DIV/0!</v>
      </c>
      <c r="AJ200" s="163" t="e">
        <v>#DIV/0!</v>
      </c>
      <c r="AK200" s="163" t="e">
        <v>#DIV/0!</v>
      </c>
      <c r="AL200" s="163" t="e">
        <v>#DIV/0!</v>
      </c>
      <c r="AM200" s="163" t="e">
        <v>#DIV/0!</v>
      </c>
      <c r="AN200" s="163" t="e">
        <v>#DIV/0!</v>
      </c>
      <c r="AO200" s="163" t="e">
        <v>#DIV/0!</v>
      </c>
      <c r="AP200" s="163" t="e">
        <v>#DIV/0!</v>
      </c>
      <c r="AQ200" s="164" t="e">
        <f t="shared" si="96"/>
        <v>#DIV/0!</v>
      </c>
      <c r="AR200" s="164" t="e">
        <f t="shared" si="97"/>
        <v>#DIV/0!</v>
      </c>
      <c r="AS200" s="164" t="e">
        <f t="shared" si="98"/>
        <v>#DIV/0!</v>
      </c>
      <c r="AT200" s="164" t="e">
        <f t="shared" si="99"/>
        <v>#DIV/0!</v>
      </c>
      <c r="AU200" s="164" t="e">
        <f t="shared" si="100"/>
        <v>#DIV/0!</v>
      </c>
      <c r="AV200" s="164" t="e">
        <f t="shared" si="101"/>
        <v>#DIV/0!</v>
      </c>
      <c r="AW200" s="164" t="e">
        <f t="shared" si="102"/>
        <v>#DIV/0!</v>
      </c>
      <c r="AX200" s="164" t="e">
        <f t="shared" si="103"/>
        <v>#DIV/0!</v>
      </c>
      <c r="AY200" s="165" t="e">
        <f t="shared" si="104"/>
        <v>#DIV/0!</v>
      </c>
      <c r="AZ200" s="165" t="e">
        <v>#DIV/0!</v>
      </c>
      <c r="BA200" s="165" t="e">
        <f t="shared" si="105"/>
        <v>#DIV/0!</v>
      </c>
      <c r="BB200" s="165" t="e">
        <v>#DIV/0!</v>
      </c>
      <c r="BC200" s="165" t="e">
        <f t="shared" si="106"/>
        <v>#DIV/0!</v>
      </c>
      <c r="BD200" s="165" t="e">
        <v>#DIV/0!</v>
      </c>
      <c r="BE200" s="165" t="e">
        <f t="shared" si="107"/>
        <v>#DIV/0!</v>
      </c>
      <c r="BF200" s="165" t="e">
        <v>#DIV/0!</v>
      </c>
      <c r="BG200" s="165" t="e">
        <f t="shared" si="108"/>
        <v>#DIV/0!</v>
      </c>
      <c r="BH200" s="165" t="e">
        <v>#DIV/0!</v>
      </c>
      <c r="BI200" s="165" t="e">
        <f t="shared" si="109"/>
        <v>#DIV/0!</v>
      </c>
      <c r="BJ200" s="165" t="e">
        <v>#DIV/0!</v>
      </c>
      <c r="BK200" s="165" t="e">
        <f t="shared" si="110"/>
        <v>#DIV/0!</v>
      </c>
      <c r="BL200" s="165" t="e">
        <v>#DIV/0!</v>
      </c>
      <c r="BM200" s="165" t="e">
        <f t="shared" si="111"/>
        <v>#DIV/0!</v>
      </c>
      <c r="BN200" s="165" t="e">
        <v>#DIV/0!</v>
      </c>
    </row>
    <row r="201" spans="1:66" ht="15.6" x14ac:dyDescent="0.3">
      <c r="A201" s="155">
        <v>5</v>
      </c>
      <c r="B201" s="155">
        <v>6</v>
      </c>
      <c r="C201" s="156"/>
      <c r="D201" s="156"/>
      <c r="E201" s="156"/>
      <c r="F201" s="156"/>
      <c r="G201" s="156"/>
      <c r="H201" s="172"/>
      <c r="I201" s="157" t="e">
        <v>#DIV/0!</v>
      </c>
      <c r="J201" s="157" t="e">
        <v>#DIV/0!</v>
      </c>
      <c r="K201" s="157"/>
      <c r="L201" s="158"/>
      <c r="M201" s="158"/>
      <c r="N201" s="163"/>
      <c r="O201" s="179"/>
      <c r="P201" s="177" t="str">
        <f t="shared" si="94"/>
        <v>(5, 6]</v>
      </c>
      <c r="Q201" s="160" t="s">
        <v>150</v>
      </c>
      <c r="R201" s="157" t="e">
        <f t="shared" si="95"/>
        <v>#DIV/0!</v>
      </c>
      <c r="S201" s="162">
        <v>0</v>
      </c>
      <c r="T201" s="161">
        <v>2.4E-2</v>
      </c>
      <c r="U201" s="161">
        <v>0</v>
      </c>
      <c r="V201" s="161">
        <v>0</v>
      </c>
      <c r="W201" s="162">
        <v>0</v>
      </c>
      <c r="X201" s="161">
        <v>2.4E-2</v>
      </c>
      <c r="Y201" s="161">
        <v>0</v>
      </c>
      <c r="Z201" s="161">
        <v>0</v>
      </c>
      <c r="AA201" s="163" t="e">
        <v>#DIV/0!</v>
      </c>
      <c r="AB201" s="163" t="e">
        <v>#DIV/0!</v>
      </c>
      <c r="AC201" s="163" t="e">
        <v>#DIV/0!</v>
      </c>
      <c r="AD201" s="163" t="e">
        <v>#DIV/0!</v>
      </c>
      <c r="AE201" s="163" t="e">
        <v>#DIV/0!</v>
      </c>
      <c r="AF201" s="163" t="e">
        <v>#DIV/0!</v>
      </c>
      <c r="AG201" s="163" t="e">
        <v>#DIV/0!</v>
      </c>
      <c r="AH201" s="163" t="e">
        <v>#DIV/0!</v>
      </c>
      <c r="AI201" s="163" t="e">
        <v>#DIV/0!</v>
      </c>
      <c r="AJ201" s="163" t="e">
        <v>#DIV/0!</v>
      </c>
      <c r="AK201" s="163" t="e">
        <v>#DIV/0!</v>
      </c>
      <c r="AL201" s="163" t="e">
        <v>#DIV/0!</v>
      </c>
      <c r="AM201" s="163" t="e">
        <v>#DIV/0!</v>
      </c>
      <c r="AN201" s="163" t="e">
        <v>#DIV/0!</v>
      </c>
      <c r="AO201" s="163" t="e">
        <v>#DIV/0!</v>
      </c>
      <c r="AP201" s="163" t="e">
        <v>#DIV/0!</v>
      </c>
      <c r="AQ201" s="164" t="e">
        <f t="shared" si="96"/>
        <v>#DIV/0!</v>
      </c>
      <c r="AR201" s="164" t="e">
        <f t="shared" si="97"/>
        <v>#DIV/0!</v>
      </c>
      <c r="AS201" s="164" t="e">
        <f t="shared" si="98"/>
        <v>#DIV/0!</v>
      </c>
      <c r="AT201" s="164" t="e">
        <f t="shared" si="99"/>
        <v>#DIV/0!</v>
      </c>
      <c r="AU201" s="164" t="e">
        <f t="shared" si="100"/>
        <v>#DIV/0!</v>
      </c>
      <c r="AV201" s="164" t="e">
        <f t="shared" si="101"/>
        <v>#DIV/0!</v>
      </c>
      <c r="AW201" s="164" t="e">
        <f t="shared" si="102"/>
        <v>#DIV/0!</v>
      </c>
      <c r="AX201" s="164" t="e">
        <f t="shared" si="103"/>
        <v>#DIV/0!</v>
      </c>
      <c r="AY201" s="165" t="e">
        <f t="shared" si="104"/>
        <v>#DIV/0!</v>
      </c>
      <c r="AZ201" s="165" t="e">
        <v>#DIV/0!</v>
      </c>
      <c r="BA201" s="165" t="e">
        <f t="shared" si="105"/>
        <v>#DIV/0!</v>
      </c>
      <c r="BB201" s="165" t="e">
        <v>#DIV/0!</v>
      </c>
      <c r="BC201" s="165" t="e">
        <f t="shared" si="106"/>
        <v>#DIV/0!</v>
      </c>
      <c r="BD201" s="165" t="e">
        <v>#DIV/0!</v>
      </c>
      <c r="BE201" s="165" t="e">
        <f t="shared" si="107"/>
        <v>#DIV/0!</v>
      </c>
      <c r="BF201" s="165" t="e">
        <v>#DIV/0!</v>
      </c>
      <c r="BG201" s="165" t="e">
        <f t="shared" si="108"/>
        <v>#DIV/0!</v>
      </c>
      <c r="BH201" s="165" t="e">
        <v>#DIV/0!</v>
      </c>
      <c r="BI201" s="165" t="e">
        <f t="shared" si="109"/>
        <v>#DIV/0!</v>
      </c>
      <c r="BJ201" s="165" t="e">
        <v>#DIV/0!</v>
      </c>
      <c r="BK201" s="165" t="e">
        <f t="shared" si="110"/>
        <v>#DIV/0!</v>
      </c>
      <c r="BL201" s="165" t="e">
        <v>#DIV/0!</v>
      </c>
      <c r="BM201" s="165" t="e">
        <f t="shared" si="111"/>
        <v>#DIV/0!</v>
      </c>
      <c r="BN201" s="165" t="e">
        <v>#DIV/0!</v>
      </c>
    </row>
    <row r="202" spans="1:66" ht="15.6" x14ac:dyDescent="0.3">
      <c r="A202" s="155">
        <v>6</v>
      </c>
      <c r="B202" s="155">
        <v>7</v>
      </c>
      <c r="C202" s="156"/>
      <c r="D202" s="156"/>
      <c r="E202" s="156"/>
      <c r="F202" s="156"/>
      <c r="G202" s="156"/>
      <c r="H202" s="172"/>
      <c r="I202" s="157" t="e">
        <v>#DIV/0!</v>
      </c>
      <c r="J202" s="157" t="e">
        <v>#DIV/0!</v>
      </c>
      <c r="K202" s="157"/>
      <c r="L202" s="158"/>
      <c r="M202" s="158"/>
      <c r="N202" s="163"/>
      <c r="O202" s="179"/>
      <c r="P202" s="177" t="str">
        <f t="shared" si="94"/>
        <v>(6, 7]</v>
      </c>
      <c r="Q202" s="160" t="s">
        <v>150</v>
      </c>
      <c r="R202" s="157" t="e">
        <f t="shared" si="95"/>
        <v>#DIV/0!</v>
      </c>
      <c r="S202" s="162">
        <v>0</v>
      </c>
      <c r="T202" s="161">
        <v>3.15E-2</v>
      </c>
      <c r="U202" s="161">
        <v>0</v>
      </c>
      <c r="V202" s="161">
        <v>0</v>
      </c>
      <c r="W202" s="162">
        <v>0</v>
      </c>
      <c r="X202" s="161">
        <v>3.15E-2</v>
      </c>
      <c r="Y202" s="161">
        <v>0</v>
      </c>
      <c r="Z202" s="161">
        <v>0</v>
      </c>
      <c r="AA202" s="163" t="e">
        <v>#DIV/0!</v>
      </c>
      <c r="AB202" s="163" t="e">
        <v>#DIV/0!</v>
      </c>
      <c r="AC202" s="163" t="e">
        <v>#DIV/0!</v>
      </c>
      <c r="AD202" s="163" t="e">
        <v>#DIV/0!</v>
      </c>
      <c r="AE202" s="163" t="e">
        <v>#DIV/0!</v>
      </c>
      <c r="AF202" s="163" t="e">
        <v>#DIV/0!</v>
      </c>
      <c r="AG202" s="163" t="e">
        <v>#DIV/0!</v>
      </c>
      <c r="AH202" s="163" t="e">
        <v>#DIV/0!</v>
      </c>
      <c r="AI202" s="163" t="e">
        <v>#DIV/0!</v>
      </c>
      <c r="AJ202" s="163" t="e">
        <v>#DIV/0!</v>
      </c>
      <c r="AK202" s="163" t="e">
        <v>#DIV/0!</v>
      </c>
      <c r="AL202" s="163" t="e">
        <v>#DIV/0!</v>
      </c>
      <c r="AM202" s="163" t="e">
        <v>#DIV/0!</v>
      </c>
      <c r="AN202" s="163" t="e">
        <v>#DIV/0!</v>
      </c>
      <c r="AO202" s="163" t="e">
        <v>#DIV/0!</v>
      </c>
      <c r="AP202" s="163" t="e">
        <v>#DIV/0!</v>
      </c>
      <c r="AQ202" s="164" t="e">
        <f t="shared" si="96"/>
        <v>#DIV/0!</v>
      </c>
      <c r="AR202" s="164" t="e">
        <f t="shared" si="97"/>
        <v>#DIV/0!</v>
      </c>
      <c r="AS202" s="164" t="e">
        <f t="shared" si="98"/>
        <v>#DIV/0!</v>
      </c>
      <c r="AT202" s="164" t="e">
        <f t="shared" si="99"/>
        <v>#DIV/0!</v>
      </c>
      <c r="AU202" s="164" t="e">
        <f t="shared" si="100"/>
        <v>#DIV/0!</v>
      </c>
      <c r="AV202" s="164" t="e">
        <f t="shared" si="101"/>
        <v>#DIV/0!</v>
      </c>
      <c r="AW202" s="164" t="e">
        <f t="shared" si="102"/>
        <v>#DIV/0!</v>
      </c>
      <c r="AX202" s="164" t="e">
        <f t="shared" si="103"/>
        <v>#DIV/0!</v>
      </c>
      <c r="AY202" s="165" t="e">
        <f t="shared" si="104"/>
        <v>#DIV/0!</v>
      </c>
      <c r="AZ202" s="165" t="e">
        <v>#DIV/0!</v>
      </c>
      <c r="BA202" s="165" t="e">
        <f t="shared" si="105"/>
        <v>#DIV/0!</v>
      </c>
      <c r="BB202" s="165" t="e">
        <v>#DIV/0!</v>
      </c>
      <c r="BC202" s="165" t="e">
        <f t="shared" si="106"/>
        <v>#DIV/0!</v>
      </c>
      <c r="BD202" s="165" t="e">
        <v>#DIV/0!</v>
      </c>
      <c r="BE202" s="165" t="e">
        <f t="shared" si="107"/>
        <v>#DIV/0!</v>
      </c>
      <c r="BF202" s="165" t="e">
        <v>#DIV/0!</v>
      </c>
      <c r="BG202" s="165" t="e">
        <f t="shared" si="108"/>
        <v>#DIV/0!</v>
      </c>
      <c r="BH202" s="165" t="e">
        <v>#DIV/0!</v>
      </c>
      <c r="BI202" s="165" t="e">
        <f t="shared" si="109"/>
        <v>#DIV/0!</v>
      </c>
      <c r="BJ202" s="165" t="e">
        <v>#DIV/0!</v>
      </c>
      <c r="BK202" s="165" t="e">
        <f t="shared" si="110"/>
        <v>#DIV/0!</v>
      </c>
      <c r="BL202" s="165" t="e">
        <v>#DIV/0!</v>
      </c>
      <c r="BM202" s="165" t="e">
        <f t="shared" si="111"/>
        <v>#DIV/0!</v>
      </c>
      <c r="BN202" s="165" t="e">
        <v>#DIV/0!</v>
      </c>
    </row>
    <row r="203" spans="1:66" ht="15.6" x14ac:dyDescent="0.3">
      <c r="A203" s="155">
        <v>7</v>
      </c>
      <c r="B203" s="155">
        <v>8</v>
      </c>
      <c r="C203" s="156"/>
      <c r="D203" s="156"/>
      <c r="E203" s="156"/>
      <c r="F203" s="156"/>
      <c r="G203" s="156"/>
      <c r="H203" s="172"/>
      <c r="I203" s="157" t="e">
        <v>#DIV/0!</v>
      </c>
      <c r="J203" s="157" t="e">
        <v>#DIV/0!</v>
      </c>
      <c r="K203" s="157"/>
      <c r="L203" s="157"/>
      <c r="M203" s="157"/>
      <c r="N203" s="163"/>
      <c r="O203" s="179"/>
      <c r="P203" s="177" t="str">
        <f t="shared" si="94"/>
        <v>(7, 8]</v>
      </c>
      <c r="Q203" s="160" t="s">
        <v>150</v>
      </c>
      <c r="R203" s="157" t="e">
        <f t="shared" si="95"/>
        <v>#DIV/0!</v>
      </c>
      <c r="S203" s="162">
        <v>0</v>
      </c>
      <c r="T203" s="161">
        <v>3.7999999999999999E-2</v>
      </c>
      <c r="U203" s="161">
        <v>0.1</v>
      </c>
      <c r="V203" s="161">
        <v>0.1</v>
      </c>
      <c r="W203" s="162">
        <v>0</v>
      </c>
      <c r="X203" s="161">
        <v>3.7999999999999999E-2</v>
      </c>
      <c r="Y203" s="161">
        <v>0.1</v>
      </c>
      <c r="Z203" s="161">
        <v>0.1</v>
      </c>
      <c r="AA203" s="163" t="e">
        <v>#DIV/0!</v>
      </c>
      <c r="AB203" s="163" t="e">
        <v>#DIV/0!</v>
      </c>
      <c r="AC203" s="163" t="e">
        <v>#DIV/0!</v>
      </c>
      <c r="AD203" s="163" t="e">
        <v>#DIV/0!</v>
      </c>
      <c r="AE203" s="163" t="e">
        <v>#DIV/0!</v>
      </c>
      <c r="AF203" s="163" t="e">
        <v>#DIV/0!</v>
      </c>
      <c r="AG203" s="163" t="e">
        <v>#DIV/0!</v>
      </c>
      <c r="AH203" s="163" t="e">
        <v>#DIV/0!</v>
      </c>
      <c r="AI203" s="163" t="e">
        <v>#DIV/0!</v>
      </c>
      <c r="AJ203" s="163" t="e">
        <v>#DIV/0!</v>
      </c>
      <c r="AK203" s="163" t="e">
        <v>#DIV/0!</v>
      </c>
      <c r="AL203" s="163" t="e">
        <v>#DIV/0!</v>
      </c>
      <c r="AM203" s="163" t="e">
        <v>#DIV/0!</v>
      </c>
      <c r="AN203" s="163" t="e">
        <v>#DIV/0!</v>
      </c>
      <c r="AO203" s="163" t="e">
        <v>#DIV/0!</v>
      </c>
      <c r="AP203" s="163" t="e">
        <v>#DIV/0!</v>
      </c>
      <c r="AQ203" s="164" t="e">
        <f t="shared" si="96"/>
        <v>#DIV/0!</v>
      </c>
      <c r="AR203" s="164" t="e">
        <f t="shared" si="97"/>
        <v>#DIV/0!</v>
      </c>
      <c r="AS203" s="164" t="e">
        <f t="shared" si="98"/>
        <v>#DIV/0!</v>
      </c>
      <c r="AT203" s="164" t="e">
        <f t="shared" si="99"/>
        <v>#DIV/0!</v>
      </c>
      <c r="AU203" s="164" t="e">
        <f t="shared" si="100"/>
        <v>#DIV/0!</v>
      </c>
      <c r="AV203" s="164" t="e">
        <f t="shared" si="101"/>
        <v>#DIV/0!</v>
      </c>
      <c r="AW203" s="164" t="e">
        <f t="shared" si="102"/>
        <v>#DIV/0!</v>
      </c>
      <c r="AX203" s="164" t="e">
        <f t="shared" si="103"/>
        <v>#DIV/0!</v>
      </c>
      <c r="AY203" s="165" t="e">
        <f t="shared" si="104"/>
        <v>#DIV/0!</v>
      </c>
      <c r="AZ203" s="165" t="e">
        <v>#DIV/0!</v>
      </c>
      <c r="BA203" s="165" t="e">
        <f t="shared" si="105"/>
        <v>#DIV/0!</v>
      </c>
      <c r="BB203" s="165" t="e">
        <v>#DIV/0!</v>
      </c>
      <c r="BC203" s="165" t="e">
        <f t="shared" si="106"/>
        <v>#DIV/0!</v>
      </c>
      <c r="BD203" s="165" t="e">
        <v>#DIV/0!</v>
      </c>
      <c r="BE203" s="165" t="e">
        <f t="shared" si="107"/>
        <v>#DIV/0!</v>
      </c>
      <c r="BF203" s="165" t="e">
        <v>#DIV/0!</v>
      </c>
      <c r="BG203" s="165" t="e">
        <f t="shared" si="108"/>
        <v>#DIV/0!</v>
      </c>
      <c r="BH203" s="165" t="e">
        <v>#DIV/0!</v>
      </c>
      <c r="BI203" s="165" t="e">
        <f t="shared" si="109"/>
        <v>#DIV/0!</v>
      </c>
      <c r="BJ203" s="165" t="e">
        <v>#DIV/0!</v>
      </c>
      <c r="BK203" s="165" t="e">
        <f t="shared" si="110"/>
        <v>#DIV/0!</v>
      </c>
      <c r="BL203" s="165" t="e">
        <v>#DIV/0!</v>
      </c>
      <c r="BM203" s="165" t="e">
        <f t="shared" si="111"/>
        <v>#DIV/0!</v>
      </c>
      <c r="BN203" s="165" t="e">
        <v>#DIV/0!</v>
      </c>
    </row>
    <row r="204" spans="1:66" ht="15.6" x14ac:dyDescent="0.3">
      <c r="A204" s="155">
        <v>8</v>
      </c>
      <c r="B204" s="155">
        <v>9</v>
      </c>
      <c r="C204" s="156"/>
      <c r="D204" s="156"/>
      <c r="E204" s="156"/>
      <c r="F204" s="156"/>
      <c r="G204" s="156"/>
      <c r="H204" s="172"/>
      <c r="I204" s="157" t="e">
        <v>#DIV/0!</v>
      </c>
      <c r="J204" s="157" t="e">
        <v>#DIV/0!</v>
      </c>
      <c r="K204" s="157"/>
      <c r="L204" s="157"/>
      <c r="M204" s="157"/>
      <c r="N204" s="163"/>
      <c r="O204" s="179"/>
      <c r="P204" s="177" t="str">
        <f t="shared" si="94"/>
        <v>(8, 9]</v>
      </c>
      <c r="Q204" s="160" t="s">
        <v>150</v>
      </c>
      <c r="R204" s="157" t="e">
        <f t="shared" si="95"/>
        <v>#DIV/0!</v>
      </c>
      <c r="S204" s="162">
        <v>0</v>
      </c>
      <c r="T204" s="161">
        <v>4.2500000000000003E-2</v>
      </c>
      <c r="U204" s="161">
        <v>0.2</v>
      </c>
      <c r="V204" s="161">
        <v>0.2</v>
      </c>
      <c r="W204" s="162">
        <v>0</v>
      </c>
      <c r="X204" s="161">
        <v>4.2500000000000003E-2</v>
      </c>
      <c r="Y204" s="161">
        <v>0.2</v>
      </c>
      <c r="Z204" s="161">
        <v>0.2</v>
      </c>
      <c r="AA204" s="163" t="e">
        <v>#DIV/0!</v>
      </c>
      <c r="AB204" s="163" t="e">
        <v>#DIV/0!</v>
      </c>
      <c r="AC204" s="163" t="e">
        <v>#DIV/0!</v>
      </c>
      <c r="AD204" s="163" t="e">
        <v>#DIV/0!</v>
      </c>
      <c r="AE204" s="163" t="e">
        <v>#DIV/0!</v>
      </c>
      <c r="AF204" s="163" t="e">
        <v>#DIV/0!</v>
      </c>
      <c r="AG204" s="163" t="e">
        <v>#DIV/0!</v>
      </c>
      <c r="AH204" s="163" t="e">
        <v>#DIV/0!</v>
      </c>
      <c r="AI204" s="163" t="e">
        <v>#DIV/0!</v>
      </c>
      <c r="AJ204" s="163" t="e">
        <v>#DIV/0!</v>
      </c>
      <c r="AK204" s="163" t="e">
        <v>#DIV/0!</v>
      </c>
      <c r="AL204" s="163" t="e">
        <v>#DIV/0!</v>
      </c>
      <c r="AM204" s="163" t="e">
        <v>#DIV/0!</v>
      </c>
      <c r="AN204" s="163" t="e">
        <v>#DIV/0!</v>
      </c>
      <c r="AO204" s="163" t="e">
        <v>#DIV/0!</v>
      </c>
      <c r="AP204" s="163" t="e">
        <v>#DIV/0!</v>
      </c>
      <c r="AQ204" s="164" t="e">
        <f t="shared" si="96"/>
        <v>#DIV/0!</v>
      </c>
      <c r="AR204" s="164" t="e">
        <f t="shared" si="97"/>
        <v>#DIV/0!</v>
      </c>
      <c r="AS204" s="164" t="e">
        <f t="shared" si="98"/>
        <v>#DIV/0!</v>
      </c>
      <c r="AT204" s="164" t="e">
        <f t="shared" si="99"/>
        <v>#DIV/0!</v>
      </c>
      <c r="AU204" s="164" t="e">
        <f t="shared" si="100"/>
        <v>#DIV/0!</v>
      </c>
      <c r="AV204" s="164" t="e">
        <f t="shared" si="101"/>
        <v>#DIV/0!</v>
      </c>
      <c r="AW204" s="164" t="e">
        <f t="shared" si="102"/>
        <v>#DIV/0!</v>
      </c>
      <c r="AX204" s="164" t="e">
        <f t="shared" si="103"/>
        <v>#DIV/0!</v>
      </c>
      <c r="AY204" s="165" t="e">
        <f t="shared" si="104"/>
        <v>#DIV/0!</v>
      </c>
      <c r="AZ204" s="165" t="e">
        <v>#DIV/0!</v>
      </c>
      <c r="BA204" s="165" t="e">
        <f t="shared" si="105"/>
        <v>#DIV/0!</v>
      </c>
      <c r="BB204" s="165" t="e">
        <v>#DIV/0!</v>
      </c>
      <c r="BC204" s="165" t="e">
        <f t="shared" si="106"/>
        <v>#DIV/0!</v>
      </c>
      <c r="BD204" s="165" t="e">
        <v>#DIV/0!</v>
      </c>
      <c r="BE204" s="165" t="e">
        <f t="shared" si="107"/>
        <v>#DIV/0!</v>
      </c>
      <c r="BF204" s="165" t="e">
        <v>#DIV/0!</v>
      </c>
      <c r="BG204" s="165" t="e">
        <f t="shared" si="108"/>
        <v>#DIV/0!</v>
      </c>
      <c r="BH204" s="165" t="e">
        <v>#DIV/0!</v>
      </c>
      <c r="BI204" s="165" t="e">
        <f t="shared" si="109"/>
        <v>#DIV/0!</v>
      </c>
      <c r="BJ204" s="165" t="e">
        <v>#DIV/0!</v>
      </c>
      <c r="BK204" s="165" t="e">
        <f t="shared" si="110"/>
        <v>#DIV/0!</v>
      </c>
      <c r="BL204" s="165" t="e">
        <v>#DIV/0!</v>
      </c>
      <c r="BM204" s="165" t="e">
        <f t="shared" si="111"/>
        <v>#DIV/0!</v>
      </c>
      <c r="BN204" s="165" t="e">
        <v>#DIV/0!</v>
      </c>
    </row>
    <row r="205" spans="1:66" ht="15.6" x14ac:dyDescent="0.3">
      <c r="A205" s="155">
        <v>9</v>
      </c>
      <c r="B205" s="155">
        <v>10</v>
      </c>
      <c r="C205" s="156"/>
      <c r="D205" s="156"/>
      <c r="E205" s="156"/>
      <c r="F205" s="156"/>
      <c r="G205" s="156"/>
      <c r="H205" s="172"/>
      <c r="I205" s="157" t="e">
        <v>#DIV/0!</v>
      </c>
      <c r="J205" s="157" t="e">
        <v>#DIV/0!</v>
      </c>
      <c r="K205" s="157"/>
      <c r="L205" s="157"/>
      <c r="M205" s="157"/>
      <c r="N205" s="163"/>
      <c r="O205" s="179"/>
      <c r="P205" s="177" t="str">
        <f t="shared" si="94"/>
        <v>(9, 10]</v>
      </c>
      <c r="Q205" s="160" t="s">
        <v>150</v>
      </c>
      <c r="R205" s="157" t="e">
        <f t="shared" si="95"/>
        <v>#DIV/0!</v>
      </c>
      <c r="S205" s="162">
        <v>0</v>
      </c>
      <c r="T205" s="161">
        <v>5.1499999999999997E-2</v>
      </c>
      <c r="U205" s="161">
        <v>0.3</v>
      </c>
      <c r="V205" s="161">
        <v>0.3</v>
      </c>
      <c r="W205" s="162">
        <v>0</v>
      </c>
      <c r="X205" s="161">
        <v>5.1499999999999997E-2</v>
      </c>
      <c r="Y205" s="161">
        <v>0.3</v>
      </c>
      <c r="Z205" s="161">
        <v>0.3</v>
      </c>
      <c r="AA205" s="163" t="e">
        <v>#DIV/0!</v>
      </c>
      <c r="AB205" s="163" t="e">
        <v>#DIV/0!</v>
      </c>
      <c r="AC205" s="163" t="e">
        <v>#DIV/0!</v>
      </c>
      <c r="AD205" s="163" t="e">
        <v>#DIV/0!</v>
      </c>
      <c r="AE205" s="163" t="e">
        <v>#DIV/0!</v>
      </c>
      <c r="AF205" s="163" t="e">
        <v>#DIV/0!</v>
      </c>
      <c r="AG205" s="163" t="e">
        <v>#DIV/0!</v>
      </c>
      <c r="AH205" s="163" t="e">
        <v>#DIV/0!</v>
      </c>
      <c r="AI205" s="163" t="e">
        <v>#DIV/0!</v>
      </c>
      <c r="AJ205" s="163" t="e">
        <v>#DIV/0!</v>
      </c>
      <c r="AK205" s="163" t="e">
        <v>#DIV/0!</v>
      </c>
      <c r="AL205" s="163" t="e">
        <v>#DIV/0!</v>
      </c>
      <c r="AM205" s="163" t="e">
        <v>#DIV/0!</v>
      </c>
      <c r="AN205" s="163" t="e">
        <v>#DIV/0!</v>
      </c>
      <c r="AO205" s="163" t="e">
        <v>#DIV/0!</v>
      </c>
      <c r="AP205" s="163" t="e">
        <v>#DIV/0!</v>
      </c>
      <c r="AQ205" s="164" t="e">
        <f t="shared" si="96"/>
        <v>#DIV/0!</v>
      </c>
      <c r="AR205" s="164" t="e">
        <f t="shared" si="97"/>
        <v>#DIV/0!</v>
      </c>
      <c r="AS205" s="164" t="e">
        <f t="shared" si="98"/>
        <v>#DIV/0!</v>
      </c>
      <c r="AT205" s="164" t="e">
        <f t="shared" si="99"/>
        <v>#DIV/0!</v>
      </c>
      <c r="AU205" s="164" t="e">
        <f t="shared" si="100"/>
        <v>#DIV/0!</v>
      </c>
      <c r="AV205" s="164" t="e">
        <f t="shared" si="101"/>
        <v>#DIV/0!</v>
      </c>
      <c r="AW205" s="164" t="e">
        <f t="shared" si="102"/>
        <v>#DIV/0!</v>
      </c>
      <c r="AX205" s="164" t="e">
        <f t="shared" si="103"/>
        <v>#DIV/0!</v>
      </c>
      <c r="AY205" s="165" t="e">
        <f t="shared" si="104"/>
        <v>#DIV/0!</v>
      </c>
      <c r="AZ205" s="165" t="e">
        <v>#DIV/0!</v>
      </c>
      <c r="BA205" s="165" t="e">
        <f t="shared" si="105"/>
        <v>#DIV/0!</v>
      </c>
      <c r="BB205" s="165" t="e">
        <v>#DIV/0!</v>
      </c>
      <c r="BC205" s="165" t="e">
        <f t="shared" si="106"/>
        <v>#DIV/0!</v>
      </c>
      <c r="BD205" s="165" t="e">
        <v>#DIV/0!</v>
      </c>
      <c r="BE205" s="165" t="e">
        <f t="shared" si="107"/>
        <v>#DIV/0!</v>
      </c>
      <c r="BF205" s="165" t="e">
        <v>#DIV/0!</v>
      </c>
      <c r="BG205" s="165" t="e">
        <f t="shared" si="108"/>
        <v>#DIV/0!</v>
      </c>
      <c r="BH205" s="165" t="e">
        <v>#DIV/0!</v>
      </c>
      <c r="BI205" s="165" t="e">
        <f t="shared" si="109"/>
        <v>#DIV/0!</v>
      </c>
      <c r="BJ205" s="165" t="e">
        <v>#DIV/0!</v>
      </c>
      <c r="BK205" s="165" t="e">
        <f t="shared" si="110"/>
        <v>#DIV/0!</v>
      </c>
      <c r="BL205" s="165" t="e">
        <v>#DIV/0!</v>
      </c>
      <c r="BM205" s="165" t="e">
        <f t="shared" si="111"/>
        <v>#DIV/0!</v>
      </c>
      <c r="BN205" s="165" t="e">
        <v>#DIV/0!</v>
      </c>
    </row>
    <row r="206" spans="1:66" ht="15.6" x14ac:dyDescent="0.3">
      <c r="A206" s="155">
        <v>10</v>
      </c>
      <c r="B206" s="155">
        <v>15</v>
      </c>
      <c r="C206" s="156"/>
      <c r="D206" s="156"/>
      <c r="E206" s="156"/>
      <c r="F206" s="156"/>
      <c r="G206" s="156"/>
      <c r="H206" s="172"/>
      <c r="I206" s="157" t="e">
        <v>#DIV/0!</v>
      </c>
      <c r="J206" s="157" t="e">
        <v>#DIV/0!</v>
      </c>
      <c r="K206" s="157"/>
      <c r="L206" s="157"/>
      <c r="M206" s="157"/>
      <c r="N206" s="163"/>
      <c r="O206" s="179"/>
      <c r="P206" s="177" t="str">
        <f t="shared" si="94"/>
        <v>(10, 15]</v>
      </c>
      <c r="Q206" s="160" t="s">
        <v>150</v>
      </c>
      <c r="R206" s="157" t="e">
        <f t="shared" si="95"/>
        <v>#DIV/0!</v>
      </c>
      <c r="S206" s="162">
        <v>0</v>
      </c>
      <c r="T206" s="161">
        <v>6.8150000000000002E-2</v>
      </c>
      <c r="U206" s="161">
        <v>0.2</v>
      </c>
      <c r="V206" s="161">
        <v>0.2</v>
      </c>
      <c r="W206" s="162">
        <v>0</v>
      </c>
      <c r="X206" s="161">
        <v>6.8150000000000002E-2</v>
      </c>
      <c r="Y206" s="161">
        <v>0.2</v>
      </c>
      <c r="Z206" s="161">
        <v>0.2</v>
      </c>
      <c r="AA206" s="163" t="e">
        <v>#DIV/0!</v>
      </c>
      <c r="AB206" s="163" t="e">
        <v>#DIV/0!</v>
      </c>
      <c r="AC206" s="163" t="e">
        <v>#DIV/0!</v>
      </c>
      <c r="AD206" s="163" t="e">
        <v>#DIV/0!</v>
      </c>
      <c r="AE206" s="163" t="e">
        <v>#DIV/0!</v>
      </c>
      <c r="AF206" s="163" t="e">
        <v>#DIV/0!</v>
      </c>
      <c r="AG206" s="163" t="e">
        <v>#DIV/0!</v>
      </c>
      <c r="AH206" s="163" t="e">
        <v>#DIV/0!</v>
      </c>
      <c r="AI206" s="163" t="e">
        <v>#DIV/0!</v>
      </c>
      <c r="AJ206" s="163" t="e">
        <v>#DIV/0!</v>
      </c>
      <c r="AK206" s="163" t="e">
        <v>#DIV/0!</v>
      </c>
      <c r="AL206" s="163" t="e">
        <v>#DIV/0!</v>
      </c>
      <c r="AM206" s="163" t="e">
        <v>#DIV/0!</v>
      </c>
      <c r="AN206" s="163" t="e">
        <v>#DIV/0!</v>
      </c>
      <c r="AO206" s="163" t="e">
        <v>#DIV/0!</v>
      </c>
      <c r="AP206" s="163" t="e">
        <v>#DIV/0!</v>
      </c>
      <c r="AQ206" s="164" t="e">
        <f t="shared" si="96"/>
        <v>#DIV/0!</v>
      </c>
      <c r="AR206" s="164" t="e">
        <f t="shared" si="97"/>
        <v>#DIV/0!</v>
      </c>
      <c r="AS206" s="164" t="e">
        <f t="shared" si="98"/>
        <v>#DIV/0!</v>
      </c>
      <c r="AT206" s="164" t="e">
        <f t="shared" si="99"/>
        <v>#DIV/0!</v>
      </c>
      <c r="AU206" s="164" t="e">
        <f t="shared" si="100"/>
        <v>#DIV/0!</v>
      </c>
      <c r="AV206" s="164" t="e">
        <f t="shared" si="101"/>
        <v>#DIV/0!</v>
      </c>
      <c r="AW206" s="164" t="e">
        <f t="shared" si="102"/>
        <v>#DIV/0!</v>
      </c>
      <c r="AX206" s="164" t="e">
        <f t="shared" si="103"/>
        <v>#DIV/0!</v>
      </c>
      <c r="AY206" s="165" t="e">
        <f t="shared" si="104"/>
        <v>#DIV/0!</v>
      </c>
      <c r="AZ206" s="165" t="e">
        <v>#DIV/0!</v>
      </c>
      <c r="BA206" s="165" t="e">
        <f t="shared" si="105"/>
        <v>#DIV/0!</v>
      </c>
      <c r="BB206" s="165" t="e">
        <v>#DIV/0!</v>
      </c>
      <c r="BC206" s="165" t="e">
        <f t="shared" si="106"/>
        <v>#DIV/0!</v>
      </c>
      <c r="BD206" s="165" t="e">
        <v>#DIV/0!</v>
      </c>
      <c r="BE206" s="165" t="e">
        <f t="shared" si="107"/>
        <v>#DIV/0!</v>
      </c>
      <c r="BF206" s="165" t="e">
        <v>#DIV/0!</v>
      </c>
      <c r="BG206" s="165" t="e">
        <f t="shared" si="108"/>
        <v>#DIV/0!</v>
      </c>
      <c r="BH206" s="165" t="e">
        <v>#DIV/0!</v>
      </c>
      <c r="BI206" s="165" t="e">
        <f t="shared" si="109"/>
        <v>#DIV/0!</v>
      </c>
      <c r="BJ206" s="165" t="e">
        <v>#DIV/0!</v>
      </c>
      <c r="BK206" s="165" t="e">
        <f t="shared" si="110"/>
        <v>#DIV/0!</v>
      </c>
      <c r="BL206" s="165" t="e">
        <v>#DIV/0!</v>
      </c>
      <c r="BM206" s="165" t="e">
        <f t="shared" si="111"/>
        <v>#DIV/0!</v>
      </c>
      <c r="BN206" s="165" t="e">
        <v>#DIV/0!</v>
      </c>
    </row>
    <row r="207" spans="1:66" ht="15.6" x14ac:dyDescent="0.3">
      <c r="A207" s="155">
        <v>15</v>
      </c>
      <c r="B207" s="155">
        <v>20</v>
      </c>
      <c r="C207" s="156"/>
      <c r="D207" s="156"/>
      <c r="E207" s="156"/>
      <c r="F207" s="156"/>
      <c r="G207" s="156"/>
      <c r="H207" s="172"/>
      <c r="I207" s="157" t="e">
        <v>#DIV/0!</v>
      </c>
      <c r="J207" s="157" t="e">
        <v>#DIV/0!</v>
      </c>
      <c r="K207" s="157"/>
      <c r="L207" s="157"/>
      <c r="M207" s="157"/>
      <c r="N207" s="163"/>
      <c r="O207" s="179"/>
      <c r="P207" s="177" t="str">
        <f t="shared" si="94"/>
        <v>(15, 20]</v>
      </c>
      <c r="Q207" s="160" t="s">
        <v>150</v>
      </c>
      <c r="R207" s="157" t="e">
        <f t="shared" si="95"/>
        <v>#DIV/0!</v>
      </c>
      <c r="S207" s="162">
        <v>0</v>
      </c>
      <c r="T207" s="161">
        <v>0.09</v>
      </c>
      <c r="U207" s="161">
        <v>0.4</v>
      </c>
      <c r="V207" s="161">
        <v>0.4</v>
      </c>
      <c r="W207" s="162">
        <v>0</v>
      </c>
      <c r="X207" s="161">
        <v>0.09</v>
      </c>
      <c r="Y207" s="161">
        <v>0.4</v>
      </c>
      <c r="Z207" s="161">
        <v>0.4</v>
      </c>
      <c r="AA207" s="163" t="e">
        <v>#DIV/0!</v>
      </c>
      <c r="AB207" s="163" t="e">
        <v>#DIV/0!</v>
      </c>
      <c r="AC207" s="163" t="e">
        <v>#DIV/0!</v>
      </c>
      <c r="AD207" s="163" t="e">
        <v>#DIV/0!</v>
      </c>
      <c r="AE207" s="163" t="e">
        <v>#DIV/0!</v>
      </c>
      <c r="AF207" s="163" t="e">
        <v>#DIV/0!</v>
      </c>
      <c r="AG207" s="163" t="e">
        <v>#DIV/0!</v>
      </c>
      <c r="AH207" s="163" t="e">
        <v>#DIV/0!</v>
      </c>
      <c r="AI207" s="163" t="e">
        <v>#DIV/0!</v>
      </c>
      <c r="AJ207" s="163" t="e">
        <v>#DIV/0!</v>
      </c>
      <c r="AK207" s="163" t="e">
        <v>#DIV/0!</v>
      </c>
      <c r="AL207" s="163" t="e">
        <v>#DIV/0!</v>
      </c>
      <c r="AM207" s="163" t="e">
        <v>#DIV/0!</v>
      </c>
      <c r="AN207" s="163" t="e">
        <v>#DIV/0!</v>
      </c>
      <c r="AO207" s="163" t="e">
        <v>#DIV/0!</v>
      </c>
      <c r="AP207" s="163" t="e">
        <v>#DIV/0!</v>
      </c>
      <c r="AQ207" s="164" t="e">
        <f t="shared" si="96"/>
        <v>#DIV/0!</v>
      </c>
      <c r="AR207" s="164" t="e">
        <f t="shared" si="97"/>
        <v>#DIV/0!</v>
      </c>
      <c r="AS207" s="164" t="e">
        <f t="shared" si="98"/>
        <v>#DIV/0!</v>
      </c>
      <c r="AT207" s="164" t="e">
        <f t="shared" si="99"/>
        <v>#DIV/0!</v>
      </c>
      <c r="AU207" s="164" t="e">
        <f t="shared" si="100"/>
        <v>#DIV/0!</v>
      </c>
      <c r="AV207" s="164" t="e">
        <f t="shared" si="101"/>
        <v>#DIV/0!</v>
      </c>
      <c r="AW207" s="164" t="e">
        <f t="shared" si="102"/>
        <v>#DIV/0!</v>
      </c>
      <c r="AX207" s="164" t="e">
        <f t="shared" si="103"/>
        <v>#DIV/0!</v>
      </c>
      <c r="AY207" s="165" t="e">
        <f t="shared" si="104"/>
        <v>#DIV/0!</v>
      </c>
      <c r="AZ207" s="165" t="e">
        <v>#DIV/0!</v>
      </c>
      <c r="BA207" s="165" t="e">
        <f t="shared" si="105"/>
        <v>#DIV/0!</v>
      </c>
      <c r="BB207" s="165" t="e">
        <v>#DIV/0!</v>
      </c>
      <c r="BC207" s="165" t="e">
        <f t="shared" si="106"/>
        <v>#DIV/0!</v>
      </c>
      <c r="BD207" s="165" t="e">
        <v>#DIV/0!</v>
      </c>
      <c r="BE207" s="165" t="e">
        <f t="shared" si="107"/>
        <v>#DIV/0!</v>
      </c>
      <c r="BF207" s="165" t="e">
        <v>#DIV/0!</v>
      </c>
      <c r="BG207" s="165" t="e">
        <f t="shared" si="108"/>
        <v>#DIV/0!</v>
      </c>
      <c r="BH207" s="165" t="e">
        <v>#DIV/0!</v>
      </c>
      <c r="BI207" s="165" t="e">
        <f t="shared" si="109"/>
        <v>#DIV/0!</v>
      </c>
      <c r="BJ207" s="165" t="e">
        <v>#DIV/0!</v>
      </c>
      <c r="BK207" s="165" t="e">
        <f t="shared" si="110"/>
        <v>#DIV/0!</v>
      </c>
      <c r="BL207" s="165" t="e">
        <v>#DIV/0!</v>
      </c>
      <c r="BM207" s="165" t="e">
        <f t="shared" si="111"/>
        <v>#DIV/0!</v>
      </c>
      <c r="BN207" s="165" t="e">
        <v>#DIV/0!</v>
      </c>
    </row>
    <row r="208" spans="1:66" ht="15.6" x14ac:dyDescent="0.3">
      <c r="A208" s="155">
        <v>20</v>
      </c>
      <c r="B208" s="155">
        <v>25</v>
      </c>
      <c r="C208" s="156"/>
      <c r="D208" s="156"/>
      <c r="E208" s="156"/>
      <c r="F208" s="156"/>
      <c r="G208" s="156"/>
      <c r="H208" s="172"/>
      <c r="I208" s="157" t="e">
        <v>#DIV/0!</v>
      </c>
      <c r="J208" s="157" t="e">
        <v>#DIV/0!</v>
      </c>
      <c r="K208" s="157"/>
      <c r="L208" s="157"/>
      <c r="M208" s="157"/>
      <c r="N208" s="163"/>
      <c r="O208" s="179"/>
      <c r="P208" s="177" t="str">
        <f t="shared" si="94"/>
        <v>(20, 25]</v>
      </c>
      <c r="Q208" s="160" t="s">
        <v>150</v>
      </c>
      <c r="R208" s="157" t="e">
        <f t="shared" si="95"/>
        <v>#DIV/0!</v>
      </c>
      <c r="S208" s="162">
        <v>0</v>
      </c>
      <c r="T208" s="161">
        <v>0.13</v>
      </c>
      <c r="U208" s="161">
        <v>0.8</v>
      </c>
      <c r="V208" s="161">
        <v>0.8</v>
      </c>
      <c r="W208" s="162">
        <v>0</v>
      </c>
      <c r="X208" s="161">
        <v>0.13</v>
      </c>
      <c r="Y208" s="161">
        <v>0.8</v>
      </c>
      <c r="Z208" s="161">
        <v>0.8</v>
      </c>
      <c r="AA208" s="163" t="e">
        <v>#DIV/0!</v>
      </c>
      <c r="AB208" s="163" t="e">
        <v>#DIV/0!</v>
      </c>
      <c r="AC208" s="163" t="e">
        <v>#DIV/0!</v>
      </c>
      <c r="AD208" s="163" t="e">
        <v>#DIV/0!</v>
      </c>
      <c r="AE208" s="163" t="e">
        <v>#DIV/0!</v>
      </c>
      <c r="AF208" s="163" t="e">
        <v>#DIV/0!</v>
      </c>
      <c r="AG208" s="163" t="e">
        <v>#DIV/0!</v>
      </c>
      <c r="AH208" s="163" t="e">
        <v>#DIV/0!</v>
      </c>
      <c r="AI208" s="163" t="e">
        <v>#DIV/0!</v>
      </c>
      <c r="AJ208" s="163" t="e">
        <v>#DIV/0!</v>
      </c>
      <c r="AK208" s="163" t="e">
        <v>#DIV/0!</v>
      </c>
      <c r="AL208" s="163" t="e">
        <v>#DIV/0!</v>
      </c>
      <c r="AM208" s="163" t="e">
        <v>#DIV/0!</v>
      </c>
      <c r="AN208" s="163" t="e">
        <v>#DIV/0!</v>
      </c>
      <c r="AO208" s="163" t="e">
        <v>#DIV/0!</v>
      </c>
      <c r="AP208" s="163" t="e">
        <v>#DIV/0!</v>
      </c>
      <c r="AQ208" s="164" t="e">
        <f t="shared" si="96"/>
        <v>#DIV/0!</v>
      </c>
      <c r="AR208" s="164" t="e">
        <f t="shared" si="97"/>
        <v>#DIV/0!</v>
      </c>
      <c r="AS208" s="164" t="e">
        <f t="shared" si="98"/>
        <v>#DIV/0!</v>
      </c>
      <c r="AT208" s="164" t="e">
        <f t="shared" si="99"/>
        <v>#DIV/0!</v>
      </c>
      <c r="AU208" s="164" t="e">
        <f t="shared" si="100"/>
        <v>#DIV/0!</v>
      </c>
      <c r="AV208" s="164" t="e">
        <f t="shared" si="101"/>
        <v>#DIV/0!</v>
      </c>
      <c r="AW208" s="164" t="e">
        <f t="shared" si="102"/>
        <v>#DIV/0!</v>
      </c>
      <c r="AX208" s="164" t="e">
        <f t="shared" si="103"/>
        <v>#DIV/0!</v>
      </c>
      <c r="AY208" s="165" t="e">
        <f t="shared" si="104"/>
        <v>#DIV/0!</v>
      </c>
      <c r="AZ208" s="165" t="e">
        <v>#DIV/0!</v>
      </c>
      <c r="BA208" s="165" t="e">
        <f t="shared" si="105"/>
        <v>#DIV/0!</v>
      </c>
      <c r="BB208" s="165" t="e">
        <v>#DIV/0!</v>
      </c>
      <c r="BC208" s="165" t="e">
        <f t="shared" si="106"/>
        <v>#DIV/0!</v>
      </c>
      <c r="BD208" s="165" t="e">
        <v>#DIV/0!</v>
      </c>
      <c r="BE208" s="165" t="e">
        <f t="shared" si="107"/>
        <v>#DIV/0!</v>
      </c>
      <c r="BF208" s="165" t="e">
        <v>#DIV/0!</v>
      </c>
      <c r="BG208" s="165" t="e">
        <f t="shared" si="108"/>
        <v>#DIV/0!</v>
      </c>
      <c r="BH208" s="165" t="e">
        <v>#DIV/0!</v>
      </c>
      <c r="BI208" s="165" t="e">
        <f t="shared" si="109"/>
        <v>#DIV/0!</v>
      </c>
      <c r="BJ208" s="165" t="e">
        <v>#DIV/0!</v>
      </c>
      <c r="BK208" s="165" t="e">
        <f t="shared" si="110"/>
        <v>#DIV/0!</v>
      </c>
      <c r="BL208" s="165" t="e">
        <v>#DIV/0!</v>
      </c>
      <c r="BM208" s="165" t="e">
        <f t="shared" si="111"/>
        <v>#DIV/0!</v>
      </c>
      <c r="BN208" s="165" t="e">
        <v>#DIV/0!</v>
      </c>
    </row>
    <row r="209" spans="1:66" ht="15.6" x14ac:dyDescent="0.3">
      <c r="A209" s="155">
        <v>25</v>
      </c>
      <c r="B209" s="155">
        <v>30</v>
      </c>
      <c r="C209" s="156"/>
      <c r="D209" s="156"/>
      <c r="E209" s="156"/>
      <c r="F209" s="156"/>
      <c r="G209" s="156"/>
      <c r="H209" s="172"/>
      <c r="I209" s="157" t="e">
        <v>#DIV/0!</v>
      </c>
      <c r="J209" s="157" t="e">
        <v>#DIV/0!</v>
      </c>
      <c r="K209" s="157"/>
      <c r="L209" s="157"/>
      <c r="M209" s="157"/>
      <c r="N209" s="163"/>
      <c r="O209" s="179"/>
      <c r="P209" s="177" t="str">
        <f t="shared" si="94"/>
        <v>(25, 30]</v>
      </c>
      <c r="Q209" s="160" t="s">
        <v>150</v>
      </c>
      <c r="R209" s="157" t="e">
        <f t="shared" si="95"/>
        <v>#DIV/0!</v>
      </c>
      <c r="S209" s="162">
        <v>2.2000000000000002</v>
      </c>
      <c r="T209" s="161">
        <v>0.16</v>
      </c>
      <c r="U209" s="161">
        <v>0.8</v>
      </c>
      <c r="V209" s="161">
        <v>0.8</v>
      </c>
      <c r="W209" s="162">
        <v>2.2000000000000002</v>
      </c>
      <c r="X209" s="161">
        <v>0.16</v>
      </c>
      <c r="Y209" s="161">
        <v>0.8</v>
      </c>
      <c r="Z209" s="161">
        <v>0.8</v>
      </c>
      <c r="AA209" s="163" t="e">
        <v>#DIV/0!</v>
      </c>
      <c r="AB209" s="163" t="e">
        <v>#DIV/0!</v>
      </c>
      <c r="AC209" s="163" t="e">
        <v>#DIV/0!</v>
      </c>
      <c r="AD209" s="163" t="e">
        <v>#DIV/0!</v>
      </c>
      <c r="AE209" s="163" t="e">
        <v>#DIV/0!</v>
      </c>
      <c r="AF209" s="163" t="e">
        <v>#DIV/0!</v>
      </c>
      <c r="AG209" s="163" t="e">
        <v>#DIV/0!</v>
      </c>
      <c r="AH209" s="163" t="e">
        <v>#DIV/0!</v>
      </c>
      <c r="AI209" s="163" t="e">
        <v>#DIV/0!</v>
      </c>
      <c r="AJ209" s="163" t="e">
        <v>#DIV/0!</v>
      </c>
      <c r="AK209" s="163" t="e">
        <v>#DIV/0!</v>
      </c>
      <c r="AL209" s="163" t="e">
        <v>#DIV/0!</v>
      </c>
      <c r="AM209" s="163" t="e">
        <v>#DIV/0!</v>
      </c>
      <c r="AN209" s="163" t="e">
        <v>#DIV/0!</v>
      </c>
      <c r="AO209" s="163" t="e">
        <v>#DIV/0!</v>
      </c>
      <c r="AP209" s="163" t="e">
        <v>#DIV/0!</v>
      </c>
      <c r="AQ209" s="164" t="e">
        <f t="shared" si="96"/>
        <v>#DIV/0!</v>
      </c>
      <c r="AR209" s="164" t="e">
        <f t="shared" si="97"/>
        <v>#DIV/0!</v>
      </c>
      <c r="AS209" s="164" t="e">
        <f t="shared" si="98"/>
        <v>#DIV/0!</v>
      </c>
      <c r="AT209" s="164" t="e">
        <f t="shared" si="99"/>
        <v>#DIV/0!</v>
      </c>
      <c r="AU209" s="164" t="e">
        <f t="shared" si="100"/>
        <v>#DIV/0!</v>
      </c>
      <c r="AV209" s="164" t="e">
        <f t="shared" si="101"/>
        <v>#DIV/0!</v>
      </c>
      <c r="AW209" s="164" t="e">
        <f t="shared" si="102"/>
        <v>#DIV/0!</v>
      </c>
      <c r="AX209" s="164" t="e">
        <f t="shared" si="103"/>
        <v>#DIV/0!</v>
      </c>
      <c r="AY209" s="165" t="e">
        <f t="shared" si="104"/>
        <v>#DIV/0!</v>
      </c>
      <c r="AZ209" s="165" t="e">
        <v>#DIV/0!</v>
      </c>
      <c r="BA209" s="165" t="e">
        <f t="shared" si="105"/>
        <v>#DIV/0!</v>
      </c>
      <c r="BB209" s="165" t="e">
        <v>#DIV/0!</v>
      </c>
      <c r="BC209" s="165" t="e">
        <f t="shared" si="106"/>
        <v>#DIV/0!</v>
      </c>
      <c r="BD209" s="165" t="e">
        <v>#DIV/0!</v>
      </c>
      <c r="BE209" s="165" t="e">
        <f t="shared" si="107"/>
        <v>#DIV/0!</v>
      </c>
      <c r="BF209" s="165" t="e">
        <v>#DIV/0!</v>
      </c>
      <c r="BG209" s="165" t="e">
        <f t="shared" si="108"/>
        <v>#DIV/0!</v>
      </c>
      <c r="BH209" s="165" t="e">
        <v>#DIV/0!</v>
      </c>
      <c r="BI209" s="165" t="e">
        <f t="shared" si="109"/>
        <v>#DIV/0!</v>
      </c>
      <c r="BJ209" s="165" t="e">
        <v>#DIV/0!</v>
      </c>
      <c r="BK209" s="165" t="e">
        <f t="shared" si="110"/>
        <v>#DIV/0!</v>
      </c>
      <c r="BL209" s="165" t="e">
        <v>#DIV/0!</v>
      </c>
      <c r="BM209" s="165" t="e">
        <f t="shared" si="111"/>
        <v>#DIV/0!</v>
      </c>
      <c r="BN209" s="165" t="e">
        <v>#DIV/0!</v>
      </c>
    </row>
    <row r="210" spans="1:66" ht="15.6" x14ac:dyDescent="0.3">
      <c r="A210" s="155">
        <v>30</v>
      </c>
      <c r="B210" s="155">
        <v>35</v>
      </c>
      <c r="C210" s="156"/>
      <c r="D210" s="156"/>
      <c r="E210" s="156"/>
      <c r="F210" s="156"/>
      <c r="G210" s="156"/>
      <c r="H210" s="172"/>
      <c r="I210" s="157" t="e">
        <v>#DIV/0!</v>
      </c>
      <c r="J210" s="157" t="e">
        <v>#DIV/0!</v>
      </c>
      <c r="K210" s="157"/>
      <c r="L210" s="157"/>
      <c r="M210" s="157"/>
      <c r="N210" s="163"/>
      <c r="O210" s="179"/>
      <c r="P210" s="177" t="str">
        <f t="shared" si="94"/>
        <v>(30, 35]</v>
      </c>
      <c r="Q210" s="160" t="s">
        <v>150</v>
      </c>
      <c r="R210" s="157" t="e">
        <f t="shared" si="95"/>
        <v>#DIV/0!</v>
      </c>
      <c r="S210" s="162">
        <v>2.8</v>
      </c>
      <c r="T210" s="161">
        <v>2.8</v>
      </c>
      <c r="U210" s="161">
        <v>12</v>
      </c>
      <c r="V210" s="161">
        <v>12</v>
      </c>
      <c r="W210" s="162">
        <v>2.8</v>
      </c>
      <c r="X210" s="161">
        <v>2.8</v>
      </c>
      <c r="Y210" s="161">
        <v>12</v>
      </c>
      <c r="Z210" s="161">
        <v>12</v>
      </c>
      <c r="AA210" s="163" t="e">
        <v>#DIV/0!</v>
      </c>
      <c r="AB210" s="163" t="e">
        <v>#DIV/0!</v>
      </c>
      <c r="AC210" s="163" t="e">
        <v>#DIV/0!</v>
      </c>
      <c r="AD210" s="163" t="e">
        <v>#DIV/0!</v>
      </c>
      <c r="AE210" s="163" t="e">
        <v>#DIV/0!</v>
      </c>
      <c r="AF210" s="163" t="e">
        <v>#DIV/0!</v>
      </c>
      <c r="AG210" s="163" t="e">
        <v>#DIV/0!</v>
      </c>
      <c r="AH210" s="163" t="e">
        <v>#DIV/0!</v>
      </c>
      <c r="AI210" s="163" t="e">
        <v>#DIV/0!</v>
      </c>
      <c r="AJ210" s="163" t="e">
        <v>#DIV/0!</v>
      </c>
      <c r="AK210" s="163" t="e">
        <v>#DIV/0!</v>
      </c>
      <c r="AL210" s="163" t="e">
        <v>#DIV/0!</v>
      </c>
      <c r="AM210" s="163" t="e">
        <v>#DIV/0!</v>
      </c>
      <c r="AN210" s="163" t="e">
        <v>#DIV/0!</v>
      </c>
      <c r="AO210" s="163" t="e">
        <v>#DIV/0!</v>
      </c>
      <c r="AP210" s="163" t="e">
        <v>#DIV/0!</v>
      </c>
      <c r="AQ210" s="164" t="e">
        <f t="shared" si="96"/>
        <v>#DIV/0!</v>
      </c>
      <c r="AR210" s="164" t="e">
        <f t="shared" si="97"/>
        <v>#DIV/0!</v>
      </c>
      <c r="AS210" s="164" t="e">
        <f t="shared" si="98"/>
        <v>#DIV/0!</v>
      </c>
      <c r="AT210" s="164" t="e">
        <f t="shared" si="99"/>
        <v>#DIV/0!</v>
      </c>
      <c r="AU210" s="164" t="e">
        <f t="shared" si="100"/>
        <v>#DIV/0!</v>
      </c>
      <c r="AV210" s="164" t="e">
        <f t="shared" si="101"/>
        <v>#DIV/0!</v>
      </c>
      <c r="AW210" s="164" t="e">
        <f t="shared" si="102"/>
        <v>#DIV/0!</v>
      </c>
      <c r="AX210" s="164" t="e">
        <f t="shared" si="103"/>
        <v>#DIV/0!</v>
      </c>
      <c r="AY210" s="165" t="e">
        <f t="shared" si="104"/>
        <v>#DIV/0!</v>
      </c>
      <c r="AZ210" s="165" t="e">
        <v>#DIV/0!</v>
      </c>
      <c r="BA210" s="165" t="e">
        <f t="shared" si="105"/>
        <v>#DIV/0!</v>
      </c>
      <c r="BB210" s="165" t="e">
        <v>#DIV/0!</v>
      </c>
      <c r="BC210" s="165" t="e">
        <f t="shared" si="106"/>
        <v>#DIV/0!</v>
      </c>
      <c r="BD210" s="165" t="e">
        <v>#DIV/0!</v>
      </c>
      <c r="BE210" s="165" t="e">
        <f t="shared" si="107"/>
        <v>#DIV/0!</v>
      </c>
      <c r="BF210" s="165" t="e">
        <v>#DIV/0!</v>
      </c>
      <c r="BG210" s="165" t="e">
        <f t="shared" si="108"/>
        <v>#DIV/0!</v>
      </c>
      <c r="BH210" s="165" t="e">
        <v>#DIV/0!</v>
      </c>
      <c r="BI210" s="165" t="e">
        <f t="shared" si="109"/>
        <v>#DIV/0!</v>
      </c>
      <c r="BJ210" s="165" t="e">
        <v>#DIV/0!</v>
      </c>
      <c r="BK210" s="165" t="e">
        <f t="shared" si="110"/>
        <v>#DIV/0!</v>
      </c>
      <c r="BL210" s="165" t="e">
        <v>#DIV/0!</v>
      </c>
      <c r="BM210" s="165" t="e">
        <f t="shared" si="111"/>
        <v>#DIV/0!</v>
      </c>
      <c r="BN210" s="165" t="e">
        <v>#DIV/0!</v>
      </c>
    </row>
    <row r="211" spans="1:66" ht="15.6" x14ac:dyDescent="0.3">
      <c r="A211" s="155">
        <v>35</v>
      </c>
      <c r="B211" s="155">
        <v>40</v>
      </c>
      <c r="C211" s="156"/>
      <c r="D211" s="156"/>
      <c r="E211" s="156"/>
      <c r="F211" s="156"/>
      <c r="G211" s="156"/>
      <c r="H211" s="172"/>
      <c r="I211" s="157" t="e">
        <v>#DIV/0!</v>
      </c>
      <c r="J211" s="157" t="e">
        <v>#DIV/0!</v>
      </c>
      <c r="K211" s="157"/>
      <c r="L211" s="157"/>
      <c r="M211" s="157"/>
      <c r="N211" s="163"/>
      <c r="O211" s="179"/>
      <c r="P211" s="177" t="str">
        <f t="shared" si="94"/>
        <v>(35, 40]</v>
      </c>
      <c r="Q211" s="160" t="s">
        <v>150</v>
      </c>
      <c r="R211" s="157" t="e">
        <f t="shared" si="95"/>
        <v>#DIV/0!</v>
      </c>
      <c r="S211" s="162">
        <v>2.5</v>
      </c>
      <c r="T211" s="161">
        <v>1.38</v>
      </c>
      <c r="U211" s="161">
        <v>5</v>
      </c>
      <c r="V211" s="161">
        <v>5</v>
      </c>
      <c r="W211" s="162">
        <v>2.5</v>
      </c>
      <c r="X211" s="161">
        <v>1.38</v>
      </c>
      <c r="Y211" s="161">
        <v>5</v>
      </c>
      <c r="Z211" s="161">
        <v>5</v>
      </c>
      <c r="AA211" s="163" t="e">
        <v>#DIV/0!</v>
      </c>
      <c r="AB211" s="163" t="e">
        <v>#DIV/0!</v>
      </c>
      <c r="AC211" s="163" t="e">
        <v>#DIV/0!</v>
      </c>
      <c r="AD211" s="163" t="e">
        <v>#DIV/0!</v>
      </c>
      <c r="AE211" s="163" t="e">
        <v>#DIV/0!</v>
      </c>
      <c r="AF211" s="163" t="e">
        <v>#DIV/0!</v>
      </c>
      <c r="AG211" s="163" t="e">
        <v>#DIV/0!</v>
      </c>
      <c r="AH211" s="163" t="e">
        <v>#DIV/0!</v>
      </c>
      <c r="AI211" s="163" t="e">
        <v>#DIV/0!</v>
      </c>
      <c r="AJ211" s="163" t="e">
        <v>#DIV/0!</v>
      </c>
      <c r="AK211" s="163" t="e">
        <v>#DIV/0!</v>
      </c>
      <c r="AL211" s="163" t="e">
        <v>#DIV/0!</v>
      </c>
      <c r="AM211" s="163" t="e">
        <v>#DIV/0!</v>
      </c>
      <c r="AN211" s="163" t="e">
        <v>#DIV/0!</v>
      </c>
      <c r="AO211" s="163" t="e">
        <v>#DIV/0!</v>
      </c>
      <c r="AP211" s="163" t="e">
        <v>#DIV/0!</v>
      </c>
      <c r="AQ211" s="164" t="e">
        <f t="shared" si="96"/>
        <v>#DIV/0!</v>
      </c>
      <c r="AR211" s="164" t="e">
        <f t="shared" si="97"/>
        <v>#DIV/0!</v>
      </c>
      <c r="AS211" s="164" t="e">
        <f t="shared" si="98"/>
        <v>#DIV/0!</v>
      </c>
      <c r="AT211" s="164" t="e">
        <f t="shared" si="99"/>
        <v>#DIV/0!</v>
      </c>
      <c r="AU211" s="164" t="e">
        <f t="shared" si="100"/>
        <v>#DIV/0!</v>
      </c>
      <c r="AV211" s="164" t="e">
        <f t="shared" si="101"/>
        <v>#DIV/0!</v>
      </c>
      <c r="AW211" s="164" t="e">
        <f t="shared" si="102"/>
        <v>#DIV/0!</v>
      </c>
      <c r="AX211" s="164" t="e">
        <f t="shared" si="103"/>
        <v>#DIV/0!</v>
      </c>
      <c r="AY211" s="165" t="e">
        <f t="shared" si="104"/>
        <v>#DIV/0!</v>
      </c>
      <c r="AZ211" s="165" t="e">
        <v>#DIV/0!</v>
      </c>
      <c r="BA211" s="165" t="e">
        <f t="shared" si="105"/>
        <v>#DIV/0!</v>
      </c>
      <c r="BB211" s="165" t="e">
        <v>#DIV/0!</v>
      </c>
      <c r="BC211" s="165" t="e">
        <f t="shared" si="106"/>
        <v>#DIV/0!</v>
      </c>
      <c r="BD211" s="165" t="e">
        <v>#DIV/0!</v>
      </c>
      <c r="BE211" s="165" t="e">
        <f t="shared" si="107"/>
        <v>#DIV/0!</v>
      </c>
      <c r="BF211" s="165" t="e">
        <v>#DIV/0!</v>
      </c>
      <c r="BG211" s="165" t="e">
        <f t="shared" si="108"/>
        <v>#DIV/0!</v>
      </c>
      <c r="BH211" s="165" t="e">
        <v>#DIV/0!</v>
      </c>
      <c r="BI211" s="165" t="e">
        <f t="shared" si="109"/>
        <v>#DIV/0!</v>
      </c>
      <c r="BJ211" s="165" t="e">
        <v>#DIV/0!</v>
      </c>
      <c r="BK211" s="165" t="e">
        <f t="shared" si="110"/>
        <v>#DIV/0!</v>
      </c>
      <c r="BL211" s="165" t="e">
        <v>#DIV/0!</v>
      </c>
      <c r="BM211" s="165" t="e">
        <f t="shared" si="111"/>
        <v>#DIV/0!</v>
      </c>
      <c r="BN211" s="165" t="e">
        <v>#DIV/0!</v>
      </c>
    </row>
    <row r="212" spans="1:66" ht="15.6" x14ac:dyDescent="0.3">
      <c r="A212" s="155">
        <v>40</v>
      </c>
      <c r="B212" s="155">
        <v>45</v>
      </c>
      <c r="C212" s="156"/>
      <c r="D212" s="156"/>
      <c r="E212" s="156"/>
      <c r="F212" s="156"/>
      <c r="G212" s="156"/>
      <c r="H212" s="172"/>
      <c r="I212" s="157" t="e">
        <v>#DIV/0!</v>
      </c>
      <c r="J212" s="157" t="e">
        <v>#DIV/0!</v>
      </c>
      <c r="K212" s="157"/>
      <c r="L212" s="157"/>
      <c r="M212" s="157"/>
      <c r="N212" s="163"/>
      <c r="O212" s="179"/>
      <c r="P212" s="177" t="str">
        <f t="shared" si="94"/>
        <v>(40, 45]</v>
      </c>
      <c r="Q212" s="160" t="s">
        <v>150</v>
      </c>
      <c r="R212" s="157" t="e">
        <f t="shared" si="95"/>
        <v>#DIV/0!</v>
      </c>
      <c r="S212" s="162">
        <v>2.6</v>
      </c>
      <c r="T212" s="161">
        <v>0.75</v>
      </c>
      <c r="U212" s="161">
        <v>3</v>
      </c>
      <c r="V212" s="161">
        <v>3</v>
      </c>
      <c r="W212" s="162">
        <v>2.6</v>
      </c>
      <c r="X212" s="161">
        <v>0.75</v>
      </c>
      <c r="Y212" s="161">
        <v>3</v>
      </c>
      <c r="Z212" s="161">
        <v>3</v>
      </c>
      <c r="AA212" s="163" t="e">
        <v>#DIV/0!</v>
      </c>
      <c r="AB212" s="163" t="e">
        <v>#DIV/0!</v>
      </c>
      <c r="AC212" s="163" t="e">
        <v>#DIV/0!</v>
      </c>
      <c r="AD212" s="163" t="e">
        <v>#DIV/0!</v>
      </c>
      <c r="AE212" s="163" t="e">
        <v>#DIV/0!</v>
      </c>
      <c r="AF212" s="163" t="e">
        <v>#DIV/0!</v>
      </c>
      <c r="AG212" s="163" t="e">
        <v>#DIV/0!</v>
      </c>
      <c r="AH212" s="163" t="e">
        <v>#DIV/0!</v>
      </c>
      <c r="AI212" s="163" t="e">
        <v>#DIV/0!</v>
      </c>
      <c r="AJ212" s="163" t="e">
        <v>#DIV/0!</v>
      </c>
      <c r="AK212" s="163" t="e">
        <v>#DIV/0!</v>
      </c>
      <c r="AL212" s="163" t="e">
        <v>#DIV/0!</v>
      </c>
      <c r="AM212" s="163" t="e">
        <v>#DIV/0!</v>
      </c>
      <c r="AN212" s="163" t="e">
        <v>#DIV/0!</v>
      </c>
      <c r="AO212" s="163" t="e">
        <v>#DIV/0!</v>
      </c>
      <c r="AP212" s="163" t="e">
        <v>#DIV/0!</v>
      </c>
      <c r="AQ212" s="164" t="e">
        <f t="shared" si="96"/>
        <v>#DIV/0!</v>
      </c>
      <c r="AR212" s="164" t="e">
        <f t="shared" si="97"/>
        <v>#DIV/0!</v>
      </c>
      <c r="AS212" s="164" t="e">
        <f t="shared" si="98"/>
        <v>#DIV/0!</v>
      </c>
      <c r="AT212" s="164" t="e">
        <f t="shared" si="99"/>
        <v>#DIV/0!</v>
      </c>
      <c r="AU212" s="164" t="e">
        <f t="shared" si="100"/>
        <v>#DIV/0!</v>
      </c>
      <c r="AV212" s="164" t="e">
        <f t="shared" si="101"/>
        <v>#DIV/0!</v>
      </c>
      <c r="AW212" s="164" t="e">
        <f t="shared" si="102"/>
        <v>#DIV/0!</v>
      </c>
      <c r="AX212" s="164" t="e">
        <f t="shared" si="103"/>
        <v>#DIV/0!</v>
      </c>
      <c r="AY212" s="165" t="e">
        <f t="shared" si="104"/>
        <v>#DIV/0!</v>
      </c>
      <c r="AZ212" s="165" t="e">
        <v>#DIV/0!</v>
      </c>
      <c r="BA212" s="165" t="e">
        <f t="shared" si="105"/>
        <v>#DIV/0!</v>
      </c>
      <c r="BB212" s="165" t="e">
        <v>#DIV/0!</v>
      </c>
      <c r="BC212" s="165" t="e">
        <f t="shared" si="106"/>
        <v>#DIV/0!</v>
      </c>
      <c r="BD212" s="165" t="e">
        <v>#DIV/0!</v>
      </c>
      <c r="BE212" s="165" t="e">
        <f t="shared" si="107"/>
        <v>#DIV/0!</v>
      </c>
      <c r="BF212" s="165" t="e">
        <v>#DIV/0!</v>
      </c>
      <c r="BG212" s="165" t="e">
        <f t="shared" si="108"/>
        <v>#DIV/0!</v>
      </c>
      <c r="BH212" s="165" t="e">
        <v>#DIV/0!</v>
      </c>
      <c r="BI212" s="165" t="e">
        <f t="shared" si="109"/>
        <v>#DIV/0!</v>
      </c>
      <c r="BJ212" s="165" t="e">
        <v>#DIV/0!</v>
      </c>
      <c r="BK212" s="165" t="e">
        <f t="shared" si="110"/>
        <v>#DIV/0!</v>
      </c>
      <c r="BL212" s="165" t="e">
        <v>#DIV/0!</v>
      </c>
      <c r="BM212" s="165" t="e">
        <f t="shared" si="111"/>
        <v>#DIV/0!</v>
      </c>
      <c r="BN212" s="165" t="e">
        <v>#DIV/0!</v>
      </c>
    </row>
    <row r="213" spans="1:66" ht="15.6" x14ac:dyDescent="0.3">
      <c r="A213" s="155">
        <v>45</v>
      </c>
      <c r="B213" s="155">
        <v>50</v>
      </c>
      <c r="C213" s="156"/>
      <c r="D213" s="156"/>
      <c r="E213" s="156"/>
      <c r="F213" s="156"/>
      <c r="G213" s="156"/>
      <c r="H213" s="172"/>
      <c r="I213" s="157" t="e">
        <v>#DIV/0!</v>
      </c>
      <c r="J213" s="157" t="e">
        <v>#DIV/0!</v>
      </c>
      <c r="K213" s="157"/>
      <c r="L213" s="157"/>
      <c r="M213" s="157"/>
      <c r="N213" s="163"/>
      <c r="O213" s="179"/>
      <c r="P213" s="177" t="str">
        <f t="shared" si="94"/>
        <v>(45, 50]</v>
      </c>
      <c r="Q213" s="160" t="s">
        <v>150</v>
      </c>
      <c r="R213" s="157" t="e">
        <f t="shared" si="95"/>
        <v>#DIV/0!</v>
      </c>
      <c r="S213" s="162">
        <v>3</v>
      </c>
      <c r="T213" s="161">
        <v>0.437</v>
      </c>
      <c r="U213" s="161">
        <v>2</v>
      </c>
      <c r="V213" s="161">
        <v>2</v>
      </c>
      <c r="W213" s="162">
        <v>3</v>
      </c>
      <c r="X213" s="161">
        <v>0.437</v>
      </c>
      <c r="Y213" s="161">
        <v>2</v>
      </c>
      <c r="Z213" s="161">
        <v>2</v>
      </c>
      <c r="AA213" s="163" t="e">
        <v>#DIV/0!</v>
      </c>
      <c r="AB213" s="163" t="e">
        <v>#DIV/0!</v>
      </c>
      <c r="AC213" s="163" t="e">
        <v>#DIV/0!</v>
      </c>
      <c r="AD213" s="163" t="e">
        <v>#DIV/0!</v>
      </c>
      <c r="AE213" s="163" t="e">
        <v>#DIV/0!</v>
      </c>
      <c r="AF213" s="163" t="e">
        <v>#DIV/0!</v>
      </c>
      <c r="AG213" s="163" t="e">
        <v>#DIV/0!</v>
      </c>
      <c r="AH213" s="163" t="e">
        <v>#DIV/0!</v>
      </c>
      <c r="AI213" s="163" t="e">
        <v>#DIV/0!</v>
      </c>
      <c r="AJ213" s="163" t="e">
        <v>#DIV/0!</v>
      </c>
      <c r="AK213" s="163" t="e">
        <v>#DIV/0!</v>
      </c>
      <c r="AL213" s="163" t="e">
        <v>#DIV/0!</v>
      </c>
      <c r="AM213" s="163" t="e">
        <v>#DIV/0!</v>
      </c>
      <c r="AN213" s="163" t="e">
        <v>#DIV/0!</v>
      </c>
      <c r="AO213" s="163" t="e">
        <v>#DIV/0!</v>
      </c>
      <c r="AP213" s="163" t="e">
        <v>#DIV/0!</v>
      </c>
      <c r="AQ213" s="164" t="e">
        <f t="shared" si="96"/>
        <v>#DIV/0!</v>
      </c>
      <c r="AR213" s="164" t="e">
        <f t="shared" si="97"/>
        <v>#DIV/0!</v>
      </c>
      <c r="AS213" s="164" t="e">
        <f t="shared" si="98"/>
        <v>#DIV/0!</v>
      </c>
      <c r="AT213" s="164" t="e">
        <f t="shared" si="99"/>
        <v>#DIV/0!</v>
      </c>
      <c r="AU213" s="164" t="e">
        <f t="shared" si="100"/>
        <v>#DIV/0!</v>
      </c>
      <c r="AV213" s="164" t="e">
        <f t="shared" si="101"/>
        <v>#DIV/0!</v>
      </c>
      <c r="AW213" s="164" t="e">
        <f t="shared" si="102"/>
        <v>#DIV/0!</v>
      </c>
      <c r="AX213" s="164" t="e">
        <f t="shared" si="103"/>
        <v>#DIV/0!</v>
      </c>
      <c r="AY213" s="165" t="e">
        <f t="shared" si="104"/>
        <v>#DIV/0!</v>
      </c>
      <c r="AZ213" s="165" t="e">
        <v>#DIV/0!</v>
      </c>
      <c r="BA213" s="165" t="e">
        <f t="shared" si="105"/>
        <v>#DIV/0!</v>
      </c>
      <c r="BB213" s="165" t="e">
        <v>#DIV/0!</v>
      </c>
      <c r="BC213" s="165" t="e">
        <f t="shared" si="106"/>
        <v>#DIV/0!</v>
      </c>
      <c r="BD213" s="165" t="e">
        <v>#DIV/0!</v>
      </c>
      <c r="BE213" s="165" t="e">
        <f t="shared" si="107"/>
        <v>#DIV/0!</v>
      </c>
      <c r="BF213" s="165" t="e">
        <v>#DIV/0!</v>
      </c>
      <c r="BG213" s="165" t="e">
        <f t="shared" si="108"/>
        <v>#DIV/0!</v>
      </c>
      <c r="BH213" s="165" t="e">
        <v>#DIV/0!</v>
      </c>
      <c r="BI213" s="165" t="e">
        <f t="shared" si="109"/>
        <v>#DIV/0!</v>
      </c>
      <c r="BJ213" s="165" t="e">
        <v>#DIV/0!</v>
      </c>
      <c r="BK213" s="165" t="e">
        <f t="shared" si="110"/>
        <v>#DIV/0!</v>
      </c>
      <c r="BL213" s="165" t="e">
        <v>#DIV/0!</v>
      </c>
      <c r="BM213" s="165" t="e">
        <f t="shared" si="111"/>
        <v>#DIV/0!</v>
      </c>
      <c r="BN213" s="165" t="e">
        <v>#DIV/0!</v>
      </c>
    </row>
    <row r="214" spans="1:66" ht="15.6" x14ac:dyDescent="0.3">
      <c r="A214" s="155">
        <v>50</v>
      </c>
      <c r="B214" s="155">
        <v>60</v>
      </c>
      <c r="C214" s="156"/>
      <c r="D214" s="156"/>
      <c r="E214" s="156"/>
      <c r="F214" s="156"/>
      <c r="G214" s="156"/>
      <c r="H214" s="172"/>
      <c r="I214" s="157" t="e">
        <v>#DIV/0!</v>
      </c>
      <c r="J214" s="157" t="e">
        <v>#DIV/0!</v>
      </c>
      <c r="K214" s="157"/>
      <c r="L214" s="157"/>
      <c r="M214" s="157"/>
      <c r="N214" s="163"/>
      <c r="O214" s="179"/>
      <c r="P214" s="177" t="str">
        <f t="shared" si="94"/>
        <v>(50, 60]</v>
      </c>
      <c r="Q214" s="160" t="s">
        <v>150</v>
      </c>
      <c r="R214" s="157" t="e">
        <f t="shared" si="95"/>
        <v>#DIV/0!</v>
      </c>
      <c r="S214" s="162">
        <v>2.6459999999999999</v>
      </c>
      <c r="T214" s="161">
        <v>0.13500000000000001</v>
      </c>
      <c r="U214" s="161">
        <v>1.1950000000000001</v>
      </c>
      <c r="V214" s="161">
        <v>1.1950000000000001</v>
      </c>
      <c r="W214" s="162">
        <v>2.6459999999999999</v>
      </c>
      <c r="X214" s="161">
        <v>0.13500000000000001</v>
      </c>
      <c r="Y214" s="161">
        <v>1.1950000000000001</v>
      </c>
      <c r="Z214" s="161">
        <v>1.1950000000000001</v>
      </c>
      <c r="AA214" s="163" t="e">
        <v>#DIV/0!</v>
      </c>
      <c r="AB214" s="163" t="e">
        <v>#DIV/0!</v>
      </c>
      <c r="AC214" s="163" t="e">
        <v>#DIV/0!</v>
      </c>
      <c r="AD214" s="163" t="e">
        <v>#DIV/0!</v>
      </c>
      <c r="AE214" s="163" t="e">
        <v>#DIV/0!</v>
      </c>
      <c r="AF214" s="163" t="e">
        <v>#DIV/0!</v>
      </c>
      <c r="AG214" s="163" t="e">
        <v>#DIV/0!</v>
      </c>
      <c r="AH214" s="163" t="e">
        <v>#DIV/0!</v>
      </c>
      <c r="AI214" s="163" t="e">
        <v>#DIV/0!</v>
      </c>
      <c r="AJ214" s="163" t="e">
        <v>#DIV/0!</v>
      </c>
      <c r="AK214" s="163" t="e">
        <v>#DIV/0!</v>
      </c>
      <c r="AL214" s="163" t="e">
        <v>#DIV/0!</v>
      </c>
      <c r="AM214" s="163" t="e">
        <v>#DIV/0!</v>
      </c>
      <c r="AN214" s="163" t="e">
        <v>#DIV/0!</v>
      </c>
      <c r="AO214" s="163" t="e">
        <v>#DIV/0!</v>
      </c>
      <c r="AP214" s="163" t="e">
        <v>#DIV/0!</v>
      </c>
      <c r="AQ214" s="164" t="e">
        <f t="shared" si="96"/>
        <v>#DIV/0!</v>
      </c>
      <c r="AR214" s="164" t="e">
        <f t="shared" si="97"/>
        <v>#DIV/0!</v>
      </c>
      <c r="AS214" s="164" t="e">
        <f t="shared" si="98"/>
        <v>#DIV/0!</v>
      </c>
      <c r="AT214" s="164" t="e">
        <f t="shared" si="99"/>
        <v>#DIV/0!</v>
      </c>
      <c r="AU214" s="164" t="e">
        <f t="shared" si="100"/>
        <v>#DIV/0!</v>
      </c>
      <c r="AV214" s="164" t="e">
        <f t="shared" si="101"/>
        <v>#DIV/0!</v>
      </c>
      <c r="AW214" s="164" t="e">
        <f t="shared" si="102"/>
        <v>#DIV/0!</v>
      </c>
      <c r="AX214" s="164" t="e">
        <f t="shared" si="103"/>
        <v>#DIV/0!</v>
      </c>
      <c r="AY214" s="165" t="e">
        <f t="shared" si="104"/>
        <v>#DIV/0!</v>
      </c>
      <c r="AZ214" s="165" t="e">
        <v>#DIV/0!</v>
      </c>
      <c r="BA214" s="165" t="e">
        <f t="shared" si="105"/>
        <v>#DIV/0!</v>
      </c>
      <c r="BB214" s="165" t="e">
        <v>#DIV/0!</v>
      </c>
      <c r="BC214" s="165" t="e">
        <f t="shared" si="106"/>
        <v>#DIV/0!</v>
      </c>
      <c r="BD214" s="165" t="e">
        <v>#DIV/0!</v>
      </c>
      <c r="BE214" s="165" t="e">
        <f t="shared" si="107"/>
        <v>#DIV/0!</v>
      </c>
      <c r="BF214" s="165" t="e">
        <v>#DIV/0!</v>
      </c>
      <c r="BG214" s="165" t="e">
        <f t="shared" si="108"/>
        <v>#DIV/0!</v>
      </c>
      <c r="BH214" s="165" t="e">
        <v>#DIV/0!</v>
      </c>
      <c r="BI214" s="165" t="e">
        <f t="shared" si="109"/>
        <v>#DIV/0!</v>
      </c>
      <c r="BJ214" s="165" t="e">
        <v>#DIV/0!</v>
      </c>
      <c r="BK214" s="165" t="e">
        <f t="shared" si="110"/>
        <v>#DIV/0!</v>
      </c>
      <c r="BL214" s="165" t="e">
        <v>#DIV/0!</v>
      </c>
      <c r="BM214" s="165" t="e">
        <f t="shared" si="111"/>
        <v>#DIV/0!</v>
      </c>
      <c r="BN214" s="165" t="e">
        <v>#DIV/0!</v>
      </c>
    </row>
    <row r="215" spans="1:66" ht="15.6" x14ac:dyDescent="0.3">
      <c r="A215" s="155">
        <v>60</v>
      </c>
      <c r="B215" s="155">
        <v>70</v>
      </c>
      <c r="C215" s="156"/>
      <c r="D215" s="156"/>
      <c r="E215" s="156"/>
      <c r="F215" s="156"/>
      <c r="G215" s="156"/>
      <c r="H215" s="172"/>
      <c r="I215" s="157" t="e">
        <v>#DIV/0!</v>
      </c>
      <c r="J215" s="157" t="e">
        <v>#DIV/0!</v>
      </c>
      <c r="K215" s="157"/>
      <c r="L215" s="157"/>
      <c r="M215" s="157"/>
      <c r="N215" s="163"/>
      <c r="O215" s="179"/>
      <c r="P215" s="177" t="str">
        <f t="shared" si="94"/>
        <v>(60, 70]</v>
      </c>
      <c r="Q215" s="160" t="s">
        <v>150</v>
      </c>
      <c r="R215" s="157" t="e">
        <f t="shared" si="95"/>
        <v>#DIV/0!</v>
      </c>
      <c r="S215" s="162">
        <v>2.9165467479862119</v>
      </c>
      <c r="T215" s="161">
        <v>0.06</v>
      </c>
      <c r="U215" s="161">
        <v>0.1</v>
      </c>
      <c r="V215" s="161">
        <v>0.1</v>
      </c>
      <c r="W215" s="162">
        <v>2.9165467479862119</v>
      </c>
      <c r="X215" s="161">
        <v>0.06</v>
      </c>
      <c r="Y215" s="161">
        <v>0.1</v>
      </c>
      <c r="Z215" s="161">
        <v>0.1</v>
      </c>
      <c r="AA215" s="163" t="e">
        <v>#DIV/0!</v>
      </c>
      <c r="AB215" s="163" t="e">
        <v>#DIV/0!</v>
      </c>
      <c r="AC215" s="163" t="e">
        <v>#DIV/0!</v>
      </c>
      <c r="AD215" s="163" t="e">
        <v>#DIV/0!</v>
      </c>
      <c r="AE215" s="163" t="e">
        <v>#DIV/0!</v>
      </c>
      <c r="AF215" s="163" t="e">
        <v>#DIV/0!</v>
      </c>
      <c r="AG215" s="163" t="e">
        <v>#DIV/0!</v>
      </c>
      <c r="AH215" s="163" t="e">
        <v>#DIV/0!</v>
      </c>
      <c r="AI215" s="163" t="e">
        <v>#DIV/0!</v>
      </c>
      <c r="AJ215" s="163" t="e">
        <v>#DIV/0!</v>
      </c>
      <c r="AK215" s="163" t="e">
        <v>#DIV/0!</v>
      </c>
      <c r="AL215" s="163" t="e">
        <v>#DIV/0!</v>
      </c>
      <c r="AM215" s="163" t="e">
        <v>#DIV/0!</v>
      </c>
      <c r="AN215" s="163" t="e">
        <v>#DIV/0!</v>
      </c>
      <c r="AO215" s="163" t="e">
        <v>#DIV/0!</v>
      </c>
      <c r="AP215" s="163" t="e">
        <v>#DIV/0!</v>
      </c>
      <c r="AQ215" s="164" t="e">
        <f t="shared" si="96"/>
        <v>#DIV/0!</v>
      </c>
      <c r="AR215" s="164" t="e">
        <f t="shared" si="97"/>
        <v>#DIV/0!</v>
      </c>
      <c r="AS215" s="164" t="e">
        <f t="shared" si="98"/>
        <v>#DIV/0!</v>
      </c>
      <c r="AT215" s="164" t="e">
        <f t="shared" si="99"/>
        <v>#DIV/0!</v>
      </c>
      <c r="AU215" s="164" t="e">
        <f t="shared" si="100"/>
        <v>#DIV/0!</v>
      </c>
      <c r="AV215" s="164" t="e">
        <f t="shared" si="101"/>
        <v>#DIV/0!</v>
      </c>
      <c r="AW215" s="164" t="e">
        <f t="shared" si="102"/>
        <v>#DIV/0!</v>
      </c>
      <c r="AX215" s="164" t="e">
        <f t="shared" si="103"/>
        <v>#DIV/0!</v>
      </c>
      <c r="AY215" s="165" t="e">
        <f t="shared" si="104"/>
        <v>#DIV/0!</v>
      </c>
      <c r="AZ215" s="165" t="e">
        <v>#DIV/0!</v>
      </c>
      <c r="BA215" s="165" t="e">
        <f t="shared" si="105"/>
        <v>#DIV/0!</v>
      </c>
      <c r="BB215" s="165" t="e">
        <v>#DIV/0!</v>
      </c>
      <c r="BC215" s="165" t="e">
        <f t="shared" si="106"/>
        <v>#DIV/0!</v>
      </c>
      <c r="BD215" s="165" t="e">
        <v>#DIV/0!</v>
      </c>
      <c r="BE215" s="165" t="e">
        <f t="shared" si="107"/>
        <v>#DIV/0!</v>
      </c>
      <c r="BF215" s="165" t="e">
        <v>#DIV/0!</v>
      </c>
      <c r="BG215" s="165" t="e">
        <f t="shared" si="108"/>
        <v>#DIV/0!</v>
      </c>
      <c r="BH215" s="165" t="e">
        <v>#DIV/0!</v>
      </c>
      <c r="BI215" s="165" t="e">
        <f t="shared" si="109"/>
        <v>#DIV/0!</v>
      </c>
      <c r="BJ215" s="165" t="e">
        <v>#DIV/0!</v>
      </c>
      <c r="BK215" s="165" t="e">
        <f t="shared" si="110"/>
        <v>#DIV/0!</v>
      </c>
      <c r="BL215" s="165" t="e">
        <v>#DIV/0!</v>
      </c>
      <c r="BM215" s="165" t="e">
        <f t="shared" si="111"/>
        <v>#DIV/0!</v>
      </c>
      <c r="BN215" s="165" t="e">
        <v>#DIV/0!</v>
      </c>
    </row>
    <row r="216" spans="1:66" ht="15.6" x14ac:dyDescent="0.3">
      <c r="A216" s="155">
        <v>70</v>
      </c>
      <c r="B216" s="155">
        <v>80</v>
      </c>
      <c r="C216" s="156"/>
      <c r="D216" s="156"/>
      <c r="E216" s="156"/>
      <c r="F216" s="156"/>
      <c r="G216" s="156"/>
      <c r="H216" s="172"/>
      <c r="I216" s="157" t="e">
        <v>#DIV/0!</v>
      </c>
      <c r="J216" s="157" t="e">
        <v>#DIV/0!</v>
      </c>
      <c r="K216" s="157"/>
      <c r="L216" s="157"/>
      <c r="M216" s="157"/>
      <c r="N216" s="163"/>
      <c r="O216" s="179"/>
      <c r="P216" s="177" t="str">
        <f t="shared" si="94"/>
        <v>(70, 80]</v>
      </c>
      <c r="Q216" s="160" t="s">
        <v>150</v>
      </c>
      <c r="R216" s="157" t="e">
        <f t="shared" si="95"/>
        <v>#DIV/0!</v>
      </c>
      <c r="S216" s="162">
        <v>2.3135124753668759</v>
      </c>
      <c r="T216" s="161">
        <v>3.3000000000000002E-2</v>
      </c>
      <c r="U216" s="161">
        <v>0.08</v>
      </c>
      <c r="V216" s="161">
        <v>0.08</v>
      </c>
      <c r="W216" s="162">
        <v>2.3135124753668759</v>
      </c>
      <c r="X216" s="161">
        <v>3.3000000000000002E-2</v>
      </c>
      <c r="Y216" s="161">
        <v>0.08</v>
      </c>
      <c r="Z216" s="161">
        <v>0.08</v>
      </c>
      <c r="AA216" s="163" t="e">
        <v>#DIV/0!</v>
      </c>
      <c r="AB216" s="163" t="e">
        <v>#DIV/0!</v>
      </c>
      <c r="AC216" s="163" t="e">
        <v>#DIV/0!</v>
      </c>
      <c r="AD216" s="163" t="e">
        <v>#DIV/0!</v>
      </c>
      <c r="AE216" s="163" t="e">
        <v>#DIV/0!</v>
      </c>
      <c r="AF216" s="163" t="e">
        <v>#DIV/0!</v>
      </c>
      <c r="AG216" s="163" t="e">
        <v>#DIV/0!</v>
      </c>
      <c r="AH216" s="163" t="e">
        <v>#DIV/0!</v>
      </c>
      <c r="AI216" s="163" t="e">
        <v>#DIV/0!</v>
      </c>
      <c r="AJ216" s="163" t="e">
        <v>#DIV/0!</v>
      </c>
      <c r="AK216" s="163" t="e">
        <v>#DIV/0!</v>
      </c>
      <c r="AL216" s="163" t="e">
        <v>#DIV/0!</v>
      </c>
      <c r="AM216" s="163" t="e">
        <v>#DIV/0!</v>
      </c>
      <c r="AN216" s="163" t="e">
        <v>#DIV/0!</v>
      </c>
      <c r="AO216" s="163" t="e">
        <v>#DIV/0!</v>
      </c>
      <c r="AP216" s="163" t="e">
        <v>#DIV/0!</v>
      </c>
      <c r="AQ216" s="164" t="e">
        <f t="shared" si="96"/>
        <v>#DIV/0!</v>
      </c>
      <c r="AR216" s="164" t="e">
        <f t="shared" si="97"/>
        <v>#DIV/0!</v>
      </c>
      <c r="AS216" s="164" t="e">
        <f t="shared" si="98"/>
        <v>#DIV/0!</v>
      </c>
      <c r="AT216" s="164" t="e">
        <f t="shared" si="99"/>
        <v>#DIV/0!</v>
      </c>
      <c r="AU216" s="164" t="e">
        <f t="shared" si="100"/>
        <v>#DIV/0!</v>
      </c>
      <c r="AV216" s="164" t="e">
        <f t="shared" si="101"/>
        <v>#DIV/0!</v>
      </c>
      <c r="AW216" s="164" t="e">
        <f t="shared" si="102"/>
        <v>#DIV/0!</v>
      </c>
      <c r="AX216" s="164" t="e">
        <f t="shared" si="103"/>
        <v>#DIV/0!</v>
      </c>
      <c r="AY216" s="165" t="e">
        <f t="shared" si="104"/>
        <v>#DIV/0!</v>
      </c>
      <c r="AZ216" s="165" t="e">
        <v>#DIV/0!</v>
      </c>
      <c r="BA216" s="165" t="e">
        <f t="shared" si="105"/>
        <v>#DIV/0!</v>
      </c>
      <c r="BB216" s="165" t="e">
        <v>#DIV/0!</v>
      </c>
      <c r="BC216" s="165" t="e">
        <f t="shared" si="106"/>
        <v>#DIV/0!</v>
      </c>
      <c r="BD216" s="165" t="e">
        <v>#DIV/0!</v>
      </c>
      <c r="BE216" s="165" t="e">
        <f t="shared" si="107"/>
        <v>#DIV/0!</v>
      </c>
      <c r="BF216" s="165" t="e">
        <v>#DIV/0!</v>
      </c>
      <c r="BG216" s="165" t="e">
        <f t="shared" si="108"/>
        <v>#DIV/0!</v>
      </c>
      <c r="BH216" s="165" t="e">
        <v>#DIV/0!</v>
      </c>
      <c r="BI216" s="165" t="e">
        <f t="shared" si="109"/>
        <v>#DIV/0!</v>
      </c>
      <c r="BJ216" s="165" t="e">
        <v>#DIV/0!</v>
      </c>
      <c r="BK216" s="165" t="e">
        <f t="shared" si="110"/>
        <v>#DIV/0!</v>
      </c>
      <c r="BL216" s="165" t="e">
        <v>#DIV/0!</v>
      </c>
      <c r="BM216" s="165" t="e">
        <f t="shared" si="111"/>
        <v>#DIV/0!</v>
      </c>
      <c r="BN216" s="165" t="e">
        <v>#DIV/0!</v>
      </c>
    </row>
    <row r="217" spans="1:66" ht="15.6" x14ac:dyDescent="0.3">
      <c r="A217" s="155">
        <v>80</v>
      </c>
      <c r="B217" s="155">
        <v>90</v>
      </c>
      <c r="C217" s="156"/>
      <c r="D217" s="156"/>
      <c r="E217" s="156"/>
      <c r="F217" s="156"/>
      <c r="G217" s="156"/>
      <c r="H217" s="172"/>
      <c r="I217" s="157" t="e">
        <v>#DIV/0!</v>
      </c>
      <c r="J217" s="157" t="e">
        <v>#DIV/0!</v>
      </c>
      <c r="K217" s="157"/>
      <c r="L217" s="157"/>
      <c r="M217" s="157"/>
      <c r="N217" s="163"/>
      <c r="O217" s="179"/>
      <c r="P217" s="177" t="str">
        <f t="shared" si="94"/>
        <v>(80, 90]</v>
      </c>
      <c r="Q217" s="160" t="s">
        <v>150</v>
      </c>
      <c r="R217" s="157" t="e">
        <f t="shared" si="95"/>
        <v>#DIV/0!</v>
      </c>
      <c r="S217" s="162">
        <v>2.8655031914626079</v>
      </c>
      <c r="T217" s="161">
        <v>0.02</v>
      </c>
      <c r="U217" s="161">
        <v>0.05</v>
      </c>
      <c r="V217" s="161">
        <v>0.05</v>
      </c>
      <c r="W217" s="162">
        <v>2.8655031914626079</v>
      </c>
      <c r="X217" s="161">
        <v>0.02</v>
      </c>
      <c r="Y217" s="161">
        <v>0.05</v>
      </c>
      <c r="Z217" s="161">
        <v>0.05</v>
      </c>
      <c r="AA217" s="163" t="e">
        <v>#DIV/0!</v>
      </c>
      <c r="AB217" s="163" t="e">
        <v>#DIV/0!</v>
      </c>
      <c r="AC217" s="163" t="e">
        <v>#DIV/0!</v>
      </c>
      <c r="AD217" s="163" t="e">
        <v>#DIV/0!</v>
      </c>
      <c r="AE217" s="163" t="e">
        <v>#DIV/0!</v>
      </c>
      <c r="AF217" s="163" t="e">
        <v>#DIV/0!</v>
      </c>
      <c r="AG217" s="163" t="e">
        <v>#DIV/0!</v>
      </c>
      <c r="AH217" s="163" t="e">
        <v>#DIV/0!</v>
      </c>
      <c r="AI217" s="163" t="e">
        <v>#DIV/0!</v>
      </c>
      <c r="AJ217" s="163" t="e">
        <v>#DIV/0!</v>
      </c>
      <c r="AK217" s="163" t="e">
        <v>#DIV/0!</v>
      </c>
      <c r="AL217" s="163" t="e">
        <v>#DIV/0!</v>
      </c>
      <c r="AM217" s="163" t="e">
        <v>#DIV/0!</v>
      </c>
      <c r="AN217" s="163" t="e">
        <v>#DIV/0!</v>
      </c>
      <c r="AO217" s="163" t="e">
        <v>#DIV/0!</v>
      </c>
      <c r="AP217" s="163" t="e">
        <v>#DIV/0!</v>
      </c>
      <c r="AQ217" s="164" t="e">
        <f t="shared" si="96"/>
        <v>#DIV/0!</v>
      </c>
      <c r="AR217" s="164" t="e">
        <f t="shared" si="97"/>
        <v>#DIV/0!</v>
      </c>
      <c r="AS217" s="164" t="e">
        <f t="shared" si="98"/>
        <v>#DIV/0!</v>
      </c>
      <c r="AT217" s="164" t="e">
        <f t="shared" si="99"/>
        <v>#DIV/0!</v>
      </c>
      <c r="AU217" s="164" t="e">
        <f t="shared" si="100"/>
        <v>#DIV/0!</v>
      </c>
      <c r="AV217" s="164" t="e">
        <f t="shared" si="101"/>
        <v>#DIV/0!</v>
      </c>
      <c r="AW217" s="164" t="e">
        <f t="shared" si="102"/>
        <v>#DIV/0!</v>
      </c>
      <c r="AX217" s="164" t="e">
        <f t="shared" si="103"/>
        <v>#DIV/0!</v>
      </c>
      <c r="AY217" s="165" t="e">
        <f t="shared" si="104"/>
        <v>#DIV/0!</v>
      </c>
      <c r="AZ217" s="165" t="e">
        <v>#DIV/0!</v>
      </c>
      <c r="BA217" s="165" t="e">
        <f t="shared" si="105"/>
        <v>#DIV/0!</v>
      </c>
      <c r="BB217" s="165" t="e">
        <v>#DIV/0!</v>
      </c>
      <c r="BC217" s="165" t="e">
        <f t="shared" si="106"/>
        <v>#DIV/0!</v>
      </c>
      <c r="BD217" s="165" t="e">
        <v>#DIV/0!</v>
      </c>
      <c r="BE217" s="165" t="e">
        <f t="shared" si="107"/>
        <v>#DIV/0!</v>
      </c>
      <c r="BF217" s="165" t="e">
        <v>#DIV/0!</v>
      </c>
      <c r="BG217" s="165" t="e">
        <f t="shared" si="108"/>
        <v>#DIV/0!</v>
      </c>
      <c r="BH217" s="165" t="e">
        <v>#DIV/0!</v>
      </c>
      <c r="BI217" s="165" t="e">
        <f t="shared" si="109"/>
        <v>#DIV/0!</v>
      </c>
      <c r="BJ217" s="165" t="e">
        <v>#DIV/0!</v>
      </c>
      <c r="BK217" s="165" t="e">
        <f t="shared" si="110"/>
        <v>#DIV/0!</v>
      </c>
      <c r="BL217" s="165" t="e">
        <v>#DIV/0!</v>
      </c>
      <c r="BM217" s="165" t="e">
        <f t="shared" si="111"/>
        <v>#DIV/0!</v>
      </c>
      <c r="BN217" s="165" t="e">
        <v>#DIV/0!</v>
      </c>
    </row>
    <row r="218" spans="1:66" ht="15.6" x14ac:dyDescent="0.3">
      <c r="A218" s="155">
        <v>90</v>
      </c>
      <c r="B218" s="155">
        <v>100</v>
      </c>
      <c r="C218" s="156"/>
      <c r="D218" s="156"/>
      <c r="E218" s="156"/>
      <c r="F218" s="156"/>
      <c r="G218" s="156"/>
      <c r="H218" s="172"/>
      <c r="I218" s="157" t="e">
        <v>#DIV/0!</v>
      </c>
      <c r="J218" s="157" t="e">
        <v>#DIV/0!</v>
      </c>
      <c r="K218" s="157"/>
      <c r="L218" s="157"/>
      <c r="M218" s="157"/>
      <c r="N218" s="163"/>
      <c r="O218" s="179"/>
      <c r="P218" s="177" t="str">
        <f t="shared" si="94"/>
        <v>(90, 100]</v>
      </c>
      <c r="Q218" s="160" t="s">
        <v>150</v>
      </c>
      <c r="R218" s="157" t="e">
        <f t="shared" si="95"/>
        <v>#DIV/0!</v>
      </c>
      <c r="S218" s="162">
        <v>1.85</v>
      </c>
      <c r="T218" s="161">
        <v>1.35E-2</v>
      </c>
      <c r="U218" s="161">
        <v>0.03</v>
      </c>
      <c r="V218" s="161">
        <v>0.03</v>
      </c>
      <c r="W218" s="162">
        <v>1.85</v>
      </c>
      <c r="X218" s="161">
        <v>1.35E-2</v>
      </c>
      <c r="Y218" s="161">
        <v>0.03</v>
      </c>
      <c r="Z218" s="161">
        <v>0.03</v>
      </c>
      <c r="AA218" s="163" t="e">
        <v>#DIV/0!</v>
      </c>
      <c r="AB218" s="163" t="e">
        <v>#DIV/0!</v>
      </c>
      <c r="AC218" s="163" t="e">
        <v>#DIV/0!</v>
      </c>
      <c r="AD218" s="163" t="e">
        <v>#DIV/0!</v>
      </c>
      <c r="AE218" s="163" t="e">
        <v>#DIV/0!</v>
      </c>
      <c r="AF218" s="163" t="e">
        <v>#DIV/0!</v>
      </c>
      <c r="AG218" s="163" t="e">
        <v>#DIV/0!</v>
      </c>
      <c r="AH218" s="163" t="e">
        <v>#DIV/0!</v>
      </c>
      <c r="AI218" s="163" t="e">
        <v>#DIV/0!</v>
      </c>
      <c r="AJ218" s="163" t="e">
        <v>#DIV/0!</v>
      </c>
      <c r="AK218" s="163" t="e">
        <v>#DIV/0!</v>
      </c>
      <c r="AL218" s="163" t="e">
        <v>#DIV/0!</v>
      </c>
      <c r="AM218" s="163" t="e">
        <v>#DIV/0!</v>
      </c>
      <c r="AN218" s="163" t="e">
        <v>#DIV/0!</v>
      </c>
      <c r="AO218" s="163" t="e">
        <v>#DIV/0!</v>
      </c>
      <c r="AP218" s="163" t="e">
        <v>#DIV/0!</v>
      </c>
      <c r="AQ218" s="164" t="e">
        <f t="shared" si="96"/>
        <v>#DIV/0!</v>
      </c>
      <c r="AR218" s="164" t="e">
        <f t="shared" si="97"/>
        <v>#DIV/0!</v>
      </c>
      <c r="AS218" s="164" t="e">
        <f t="shared" si="98"/>
        <v>#DIV/0!</v>
      </c>
      <c r="AT218" s="164" t="e">
        <f t="shared" si="99"/>
        <v>#DIV/0!</v>
      </c>
      <c r="AU218" s="164" t="e">
        <f t="shared" si="100"/>
        <v>#DIV/0!</v>
      </c>
      <c r="AV218" s="164" t="e">
        <f t="shared" si="101"/>
        <v>#DIV/0!</v>
      </c>
      <c r="AW218" s="164" t="e">
        <f t="shared" si="102"/>
        <v>#DIV/0!</v>
      </c>
      <c r="AX218" s="164" t="e">
        <f t="shared" si="103"/>
        <v>#DIV/0!</v>
      </c>
      <c r="AY218" s="165" t="e">
        <f t="shared" si="104"/>
        <v>#DIV/0!</v>
      </c>
      <c r="AZ218" s="165" t="e">
        <v>#DIV/0!</v>
      </c>
      <c r="BA218" s="165" t="e">
        <f t="shared" si="105"/>
        <v>#DIV/0!</v>
      </c>
      <c r="BB218" s="165" t="e">
        <v>#DIV/0!</v>
      </c>
      <c r="BC218" s="165" t="e">
        <f t="shared" si="106"/>
        <v>#DIV/0!</v>
      </c>
      <c r="BD218" s="165" t="e">
        <v>#DIV/0!</v>
      </c>
      <c r="BE218" s="165" t="e">
        <f t="shared" si="107"/>
        <v>#DIV/0!</v>
      </c>
      <c r="BF218" s="165" t="e">
        <v>#DIV/0!</v>
      </c>
      <c r="BG218" s="165" t="e">
        <f t="shared" si="108"/>
        <v>#DIV/0!</v>
      </c>
      <c r="BH218" s="165" t="e">
        <v>#DIV/0!</v>
      </c>
      <c r="BI218" s="165" t="e">
        <f t="shared" si="109"/>
        <v>#DIV/0!</v>
      </c>
      <c r="BJ218" s="165" t="e">
        <v>#DIV/0!</v>
      </c>
      <c r="BK218" s="165" t="e">
        <f t="shared" si="110"/>
        <v>#DIV/0!</v>
      </c>
      <c r="BL218" s="165" t="e">
        <v>#DIV/0!</v>
      </c>
      <c r="BM218" s="165" t="e">
        <f t="shared" si="111"/>
        <v>#DIV/0!</v>
      </c>
      <c r="BN218" s="165" t="e">
        <v>#DIV/0!</v>
      </c>
    </row>
    <row r="219" spans="1:66" ht="15.6" x14ac:dyDescent="0.3">
      <c r="A219" s="155">
        <v>100</v>
      </c>
      <c r="B219" s="155">
        <v>120</v>
      </c>
      <c r="C219" s="156"/>
      <c r="D219" s="156"/>
      <c r="E219" s="156"/>
      <c r="F219" s="156"/>
      <c r="G219" s="156"/>
      <c r="H219" s="172"/>
      <c r="I219" s="157" t="e">
        <v>#DIV/0!</v>
      </c>
      <c r="J219" s="157" t="e">
        <v>#DIV/0!</v>
      </c>
      <c r="K219" s="157"/>
      <c r="L219" s="157"/>
      <c r="M219" s="157"/>
      <c r="N219" s="163"/>
      <c r="O219" s="179"/>
      <c r="P219" s="177" t="str">
        <f t="shared" si="94"/>
        <v>(100, 120]</v>
      </c>
      <c r="Q219" s="160" t="s">
        <v>150</v>
      </c>
      <c r="R219" s="157" t="e">
        <f t="shared" si="95"/>
        <v>#DIV/0!</v>
      </c>
      <c r="S219" s="162">
        <v>2</v>
      </c>
      <c r="T219" s="161">
        <v>5.7000000000000002E-3</v>
      </c>
      <c r="U219" s="161">
        <v>0.05</v>
      </c>
      <c r="V219" s="161">
        <v>0.05</v>
      </c>
      <c r="W219" s="162">
        <v>2</v>
      </c>
      <c r="X219" s="161">
        <v>5.7000000000000002E-3</v>
      </c>
      <c r="Y219" s="161">
        <v>0.05</v>
      </c>
      <c r="Z219" s="161">
        <v>0.05</v>
      </c>
      <c r="AA219" s="163" t="e">
        <v>#DIV/0!</v>
      </c>
      <c r="AB219" s="163" t="e">
        <v>#DIV/0!</v>
      </c>
      <c r="AC219" s="163" t="e">
        <v>#DIV/0!</v>
      </c>
      <c r="AD219" s="163" t="e">
        <v>#DIV/0!</v>
      </c>
      <c r="AE219" s="163" t="e">
        <v>#DIV/0!</v>
      </c>
      <c r="AF219" s="163" t="e">
        <v>#DIV/0!</v>
      </c>
      <c r="AG219" s="163" t="e">
        <v>#DIV/0!</v>
      </c>
      <c r="AH219" s="163" t="e">
        <v>#DIV/0!</v>
      </c>
      <c r="AI219" s="163" t="e">
        <v>#DIV/0!</v>
      </c>
      <c r="AJ219" s="163" t="e">
        <v>#DIV/0!</v>
      </c>
      <c r="AK219" s="163" t="e">
        <v>#DIV/0!</v>
      </c>
      <c r="AL219" s="163" t="e">
        <v>#DIV/0!</v>
      </c>
      <c r="AM219" s="163" t="e">
        <v>#DIV/0!</v>
      </c>
      <c r="AN219" s="163" t="e">
        <v>#DIV/0!</v>
      </c>
      <c r="AO219" s="163" t="e">
        <v>#DIV/0!</v>
      </c>
      <c r="AP219" s="163" t="e">
        <v>#DIV/0!</v>
      </c>
      <c r="AQ219" s="164" t="e">
        <f t="shared" si="96"/>
        <v>#DIV/0!</v>
      </c>
      <c r="AR219" s="164" t="e">
        <f t="shared" si="97"/>
        <v>#DIV/0!</v>
      </c>
      <c r="AS219" s="164" t="e">
        <f t="shared" si="98"/>
        <v>#DIV/0!</v>
      </c>
      <c r="AT219" s="164" t="e">
        <f t="shared" si="99"/>
        <v>#DIV/0!</v>
      </c>
      <c r="AU219" s="164" t="e">
        <f t="shared" si="100"/>
        <v>#DIV/0!</v>
      </c>
      <c r="AV219" s="164" t="e">
        <f t="shared" si="101"/>
        <v>#DIV/0!</v>
      </c>
      <c r="AW219" s="164" t="e">
        <f t="shared" si="102"/>
        <v>#DIV/0!</v>
      </c>
      <c r="AX219" s="164" t="e">
        <f t="shared" si="103"/>
        <v>#DIV/0!</v>
      </c>
      <c r="AY219" s="165" t="e">
        <f t="shared" si="104"/>
        <v>#DIV/0!</v>
      </c>
      <c r="AZ219" s="165" t="e">
        <v>#DIV/0!</v>
      </c>
      <c r="BA219" s="165" t="e">
        <f t="shared" si="105"/>
        <v>#DIV/0!</v>
      </c>
      <c r="BB219" s="165" t="e">
        <v>#DIV/0!</v>
      </c>
      <c r="BC219" s="165" t="e">
        <f t="shared" si="106"/>
        <v>#DIV/0!</v>
      </c>
      <c r="BD219" s="165" t="e">
        <v>#DIV/0!</v>
      </c>
      <c r="BE219" s="165" t="e">
        <f t="shared" si="107"/>
        <v>#DIV/0!</v>
      </c>
      <c r="BF219" s="165" t="e">
        <v>#DIV/0!</v>
      </c>
      <c r="BG219" s="165" t="e">
        <f t="shared" si="108"/>
        <v>#DIV/0!</v>
      </c>
      <c r="BH219" s="165" t="e">
        <v>#DIV/0!</v>
      </c>
      <c r="BI219" s="165" t="e">
        <f t="shared" si="109"/>
        <v>#DIV/0!</v>
      </c>
      <c r="BJ219" s="165" t="e">
        <v>#DIV/0!</v>
      </c>
      <c r="BK219" s="165" t="e">
        <f t="shared" si="110"/>
        <v>#DIV/0!</v>
      </c>
      <c r="BL219" s="165" t="e">
        <v>#DIV/0!</v>
      </c>
      <c r="BM219" s="165" t="e">
        <f t="shared" si="111"/>
        <v>#DIV/0!</v>
      </c>
      <c r="BN219" s="165" t="e">
        <v>#DIV/0!</v>
      </c>
    </row>
    <row r="220" spans="1:66" ht="15.6" x14ac:dyDescent="0.3">
      <c r="A220" s="155">
        <v>120</v>
      </c>
      <c r="B220" s="155">
        <v>140</v>
      </c>
      <c r="C220" s="156"/>
      <c r="D220" s="156"/>
      <c r="E220" s="156"/>
      <c r="F220" s="156"/>
      <c r="G220" s="156"/>
      <c r="H220" s="172"/>
      <c r="I220" s="157" t="e">
        <v>#DIV/0!</v>
      </c>
      <c r="J220" s="157" t="e">
        <v>#DIV/0!</v>
      </c>
      <c r="K220" s="157"/>
      <c r="L220" s="157"/>
      <c r="M220" s="157"/>
      <c r="N220" s="163"/>
      <c r="O220" s="179"/>
      <c r="P220" s="177" t="str">
        <f t="shared" si="94"/>
        <v>(120, 140]</v>
      </c>
      <c r="Q220" s="160" t="s">
        <v>150</v>
      </c>
      <c r="R220" s="157" t="e">
        <f t="shared" si="95"/>
        <v>#DIV/0!</v>
      </c>
      <c r="S220" s="162">
        <v>2</v>
      </c>
      <c r="T220" s="161">
        <v>3.6600000000000001E-3</v>
      </c>
      <c r="U220" s="161">
        <v>1E-3</v>
      </c>
      <c r="V220" s="161">
        <v>1E-3</v>
      </c>
      <c r="W220" s="162">
        <v>2</v>
      </c>
      <c r="X220" s="161">
        <v>3.6600000000000001E-3</v>
      </c>
      <c r="Y220" s="161">
        <v>1E-3</v>
      </c>
      <c r="Z220" s="161">
        <v>1E-3</v>
      </c>
      <c r="AA220" s="163" t="e">
        <v>#DIV/0!</v>
      </c>
      <c r="AB220" s="163" t="e">
        <v>#DIV/0!</v>
      </c>
      <c r="AC220" s="163" t="e">
        <v>#DIV/0!</v>
      </c>
      <c r="AD220" s="163" t="e">
        <v>#DIV/0!</v>
      </c>
      <c r="AE220" s="163" t="e">
        <v>#DIV/0!</v>
      </c>
      <c r="AF220" s="163" t="e">
        <v>#DIV/0!</v>
      </c>
      <c r="AG220" s="163" t="e">
        <v>#DIV/0!</v>
      </c>
      <c r="AH220" s="163" t="e">
        <v>#DIV/0!</v>
      </c>
      <c r="AI220" s="163" t="e">
        <v>#DIV/0!</v>
      </c>
      <c r="AJ220" s="163" t="e">
        <v>#DIV/0!</v>
      </c>
      <c r="AK220" s="163" t="e">
        <v>#DIV/0!</v>
      </c>
      <c r="AL220" s="163" t="e">
        <v>#DIV/0!</v>
      </c>
      <c r="AM220" s="163" t="e">
        <v>#DIV/0!</v>
      </c>
      <c r="AN220" s="163" t="e">
        <v>#DIV/0!</v>
      </c>
      <c r="AO220" s="163" t="e">
        <v>#DIV/0!</v>
      </c>
      <c r="AP220" s="163" t="e">
        <v>#DIV/0!</v>
      </c>
      <c r="AQ220" s="164" t="e">
        <f t="shared" si="96"/>
        <v>#DIV/0!</v>
      </c>
      <c r="AR220" s="164" t="e">
        <f t="shared" si="97"/>
        <v>#DIV/0!</v>
      </c>
      <c r="AS220" s="164" t="e">
        <f t="shared" si="98"/>
        <v>#DIV/0!</v>
      </c>
      <c r="AT220" s="164" t="e">
        <f t="shared" si="99"/>
        <v>#DIV/0!</v>
      </c>
      <c r="AU220" s="164" t="e">
        <f t="shared" si="100"/>
        <v>#DIV/0!</v>
      </c>
      <c r="AV220" s="164" t="e">
        <f t="shared" si="101"/>
        <v>#DIV/0!</v>
      </c>
      <c r="AW220" s="164" t="e">
        <f t="shared" si="102"/>
        <v>#DIV/0!</v>
      </c>
      <c r="AX220" s="164" t="e">
        <f t="shared" si="103"/>
        <v>#DIV/0!</v>
      </c>
      <c r="AY220" s="165" t="e">
        <f t="shared" si="104"/>
        <v>#DIV/0!</v>
      </c>
      <c r="AZ220" s="165" t="e">
        <v>#DIV/0!</v>
      </c>
      <c r="BA220" s="165" t="e">
        <f t="shared" si="105"/>
        <v>#DIV/0!</v>
      </c>
      <c r="BB220" s="165" t="e">
        <v>#DIV/0!</v>
      </c>
      <c r="BC220" s="165" t="e">
        <f t="shared" si="106"/>
        <v>#DIV/0!</v>
      </c>
      <c r="BD220" s="165" t="e">
        <v>#DIV/0!</v>
      </c>
      <c r="BE220" s="165" t="e">
        <f t="shared" si="107"/>
        <v>#DIV/0!</v>
      </c>
      <c r="BF220" s="165" t="e">
        <v>#DIV/0!</v>
      </c>
      <c r="BG220" s="165" t="e">
        <f t="shared" si="108"/>
        <v>#DIV/0!</v>
      </c>
      <c r="BH220" s="165" t="e">
        <v>#DIV/0!</v>
      </c>
      <c r="BI220" s="165" t="e">
        <f t="shared" si="109"/>
        <v>#DIV/0!</v>
      </c>
      <c r="BJ220" s="165" t="e">
        <v>#DIV/0!</v>
      </c>
      <c r="BK220" s="165" t="e">
        <f t="shared" si="110"/>
        <v>#DIV/0!</v>
      </c>
      <c r="BL220" s="165" t="e">
        <v>#DIV/0!</v>
      </c>
      <c r="BM220" s="165" t="e">
        <f t="shared" si="111"/>
        <v>#DIV/0!</v>
      </c>
      <c r="BN220" s="165" t="e">
        <v>#DIV/0!</v>
      </c>
    </row>
    <row r="221" spans="1:66" ht="15.6" x14ac:dyDescent="0.3">
      <c r="A221" s="155">
        <v>140</v>
      </c>
      <c r="B221" s="155">
        <v>160</v>
      </c>
      <c r="C221" s="156"/>
      <c r="D221" s="156"/>
      <c r="E221" s="156"/>
      <c r="F221" s="156"/>
      <c r="G221" s="156"/>
      <c r="H221" s="172"/>
      <c r="I221" s="157" t="e">
        <v>#DIV/0!</v>
      </c>
      <c r="J221" s="157" t="e">
        <v>#DIV/0!</v>
      </c>
      <c r="K221" s="157"/>
      <c r="L221" s="157"/>
      <c r="M221" s="157"/>
      <c r="N221" s="163"/>
      <c r="O221" s="179"/>
      <c r="P221" s="177" t="str">
        <f t="shared" si="94"/>
        <v>(140, 160]</v>
      </c>
      <c r="Q221" s="160" t="s">
        <v>150</v>
      </c>
      <c r="R221" s="157" t="e">
        <f t="shared" si="95"/>
        <v>#DIV/0!</v>
      </c>
      <c r="S221" s="162">
        <v>1.5</v>
      </c>
      <c r="T221" s="161">
        <v>2.65E-3</v>
      </c>
      <c r="U221" s="161">
        <v>1E-3</v>
      </c>
      <c r="V221" s="161">
        <v>1E-3</v>
      </c>
      <c r="W221" s="162">
        <v>1.5</v>
      </c>
      <c r="X221" s="161">
        <v>2.65E-3</v>
      </c>
      <c r="Y221" s="161">
        <v>1E-3</v>
      </c>
      <c r="Z221" s="161">
        <v>1E-3</v>
      </c>
      <c r="AA221" s="163" t="e">
        <v>#DIV/0!</v>
      </c>
      <c r="AB221" s="163" t="e">
        <v>#DIV/0!</v>
      </c>
      <c r="AC221" s="163" t="e">
        <v>#DIV/0!</v>
      </c>
      <c r="AD221" s="163" t="e">
        <v>#DIV/0!</v>
      </c>
      <c r="AE221" s="163" t="e">
        <v>#DIV/0!</v>
      </c>
      <c r="AF221" s="163" t="e">
        <v>#DIV/0!</v>
      </c>
      <c r="AG221" s="163" t="e">
        <v>#DIV/0!</v>
      </c>
      <c r="AH221" s="163" t="e">
        <v>#DIV/0!</v>
      </c>
      <c r="AI221" s="163" t="e">
        <v>#DIV/0!</v>
      </c>
      <c r="AJ221" s="163" t="e">
        <v>#DIV/0!</v>
      </c>
      <c r="AK221" s="163" t="e">
        <v>#DIV/0!</v>
      </c>
      <c r="AL221" s="163" t="e">
        <v>#DIV/0!</v>
      </c>
      <c r="AM221" s="163" t="e">
        <v>#DIV/0!</v>
      </c>
      <c r="AN221" s="163" t="e">
        <v>#DIV/0!</v>
      </c>
      <c r="AO221" s="163" t="e">
        <v>#DIV/0!</v>
      </c>
      <c r="AP221" s="163" t="e">
        <v>#DIV/0!</v>
      </c>
      <c r="AQ221" s="164" t="e">
        <f t="shared" si="96"/>
        <v>#DIV/0!</v>
      </c>
      <c r="AR221" s="164" t="e">
        <f t="shared" si="97"/>
        <v>#DIV/0!</v>
      </c>
      <c r="AS221" s="164" t="e">
        <f t="shared" si="98"/>
        <v>#DIV/0!</v>
      </c>
      <c r="AT221" s="164" t="e">
        <f t="shared" si="99"/>
        <v>#DIV/0!</v>
      </c>
      <c r="AU221" s="164" t="e">
        <f t="shared" si="100"/>
        <v>#DIV/0!</v>
      </c>
      <c r="AV221" s="164" t="e">
        <f t="shared" si="101"/>
        <v>#DIV/0!</v>
      </c>
      <c r="AW221" s="164" t="e">
        <f t="shared" si="102"/>
        <v>#DIV/0!</v>
      </c>
      <c r="AX221" s="164" t="e">
        <f t="shared" si="103"/>
        <v>#DIV/0!</v>
      </c>
      <c r="AY221" s="165" t="e">
        <f t="shared" si="104"/>
        <v>#DIV/0!</v>
      </c>
      <c r="AZ221" s="165" t="e">
        <v>#DIV/0!</v>
      </c>
      <c r="BA221" s="165" t="e">
        <f t="shared" si="105"/>
        <v>#DIV/0!</v>
      </c>
      <c r="BB221" s="165" t="e">
        <v>#DIV/0!</v>
      </c>
      <c r="BC221" s="165" t="e">
        <f t="shared" si="106"/>
        <v>#DIV/0!</v>
      </c>
      <c r="BD221" s="165" t="e">
        <v>#DIV/0!</v>
      </c>
      <c r="BE221" s="165" t="e">
        <f t="shared" si="107"/>
        <v>#DIV/0!</v>
      </c>
      <c r="BF221" s="165" t="e">
        <v>#DIV/0!</v>
      </c>
      <c r="BG221" s="165" t="e">
        <f t="shared" si="108"/>
        <v>#DIV/0!</v>
      </c>
      <c r="BH221" s="165" t="e">
        <v>#DIV/0!</v>
      </c>
      <c r="BI221" s="165" t="e">
        <f t="shared" si="109"/>
        <v>#DIV/0!</v>
      </c>
      <c r="BJ221" s="165" t="e">
        <v>#DIV/0!</v>
      </c>
      <c r="BK221" s="165" t="e">
        <f t="shared" si="110"/>
        <v>#DIV/0!</v>
      </c>
      <c r="BL221" s="165" t="e">
        <v>#DIV/0!</v>
      </c>
      <c r="BM221" s="165" t="e">
        <f t="shared" si="111"/>
        <v>#DIV/0!</v>
      </c>
      <c r="BN221" s="165" t="e">
        <v>#DIV/0!</v>
      </c>
    </row>
    <row r="222" spans="1:66" ht="15.6" x14ac:dyDescent="0.3">
      <c r="A222" s="155">
        <v>160</v>
      </c>
      <c r="B222" s="155">
        <v>180</v>
      </c>
      <c r="C222" s="156"/>
      <c r="D222" s="156"/>
      <c r="E222" s="156"/>
      <c r="F222" s="156"/>
      <c r="G222" s="156"/>
      <c r="H222" s="172"/>
      <c r="I222" s="157" t="e">
        <v>#DIV/0!</v>
      </c>
      <c r="J222" s="157" t="e">
        <v>#DIV/0!</v>
      </c>
      <c r="K222" s="157"/>
      <c r="L222" s="157"/>
      <c r="M222" s="157"/>
      <c r="N222" s="163"/>
      <c r="O222" s="179"/>
      <c r="P222" s="177" t="str">
        <f t="shared" si="94"/>
        <v>(160, 180]</v>
      </c>
      <c r="Q222" s="160" t="s">
        <v>150</v>
      </c>
      <c r="R222" s="157" t="e">
        <f t="shared" si="95"/>
        <v>#DIV/0!</v>
      </c>
      <c r="S222" s="162">
        <v>1.5</v>
      </c>
      <c r="T222" s="161">
        <v>1.8E-3</v>
      </c>
      <c r="U222" s="161">
        <v>1.8E-3</v>
      </c>
      <c r="V222" s="161">
        <v>1.8E-3</v>
      </c>
      <c r="W222" s="162">
        <v>1.5</v>
      </c>
      <c r="X222" s="161">
        <v>1.8E-3</v>
      </c>
      <c r="Y222" s="161">
        <v>1.8E-3</v>
      </c>
      <c r="Z222" s="161">
        <v>1.8E-3</v>
      </c>
      <c r="AA222" s="163" t="e">
        <v>#DIV/0!</v>
      </c>
      <c r="AB222" s="163" t="e">
        <v>#DIV/0!</v>
      </c>
      <c r="AC222" s="163" t="e">
        <v>#DIV/0!</v>
      </c>
      <c r="AD222" s="163" t="e">
        <v>#DIV/0!</v>
      </c>
      <c r="AE222" s="163" t="e">
        <v>#DIV/0!</v>
      </c>
      <c r="AF222" s="163" t="e">
        <v>#DIV/0!</v>
      </c>
      <c r="AG222" s="163" t="e">
        <v>#DIV/0!</v>
      </c>
      <c r="AH222" s="163" t="e">
        <v>#DIV/0!</v>
      </c>
      <c r="AI222" s="163" t="e">
        <v>#DIV/0!</v>
      </c>
      <c r="AJ222" s="163" t="e">
        <v>#DIV/0!</v>
      </c>
      <c r="AK222" s="163" t="e">
        <v>#DIV/0!</v>
      </c>
      <c r="AL222" s="163" t="e">
        <v>#DIV/0!</v>
      </c>
      <c r="AM222" s="163" t="e">
        <v>#DIV/0!</v>
      </c>
      <c r="AN222" s="163" t="e">
        <v>#DIV/0!</v>
      </c>
      <c r="AO222" s="163" t="e">
        <v>#DIV/0!</v>
      </c>
      <c r="AP222" s="163" t="e">
        <v>#DIV/0!</v>
      </c>
      <c r="AQ222" s="164" t="e">
        <f t="shared" si="96"/>
        <v>#DIV/0!</v>
      </c>
      <c r="AR222" s="164" t="e">
        <f t="shared" si="97"/>
        <v>#DIV/0!</v>
      </c>
      <c r="AS222" s="164" t="e">
        <f t="shared" si="98"/>
        <v>#DIV/0!</v>
      </c>
      <c r="AT222" s="164" t="e">
        <f t="shared" si="99"/>
        <v>#DIV/0!</v>
      </c>
      <c r="AU222" s="164" t="e">
        <f t="shared" si="100"/>
        <v>#DIV/0!</v>
      </c>
      <c r="AV222" s="164" t="e">
        <f t="shared" si="101"/>
        <v>#DIV/0!</v>
      </c>
      <c r="AW222" s="164" t="e">
        <f t="shared" si="102"/>
        <v>#DIV/0!</v>
      </c>
      <c r="AX222" s="164" t="e">
        <f t="shared" si="103"/>
        <v>#DIV/0!</v>
      </c>
      <c r="AY222" s="165" t="e">
        <f t="shared" si="104"/>
        <v>#DIV/0!</v>
      </c>
      <c r="AZ222" s="165" t="e">
        <v>#DIV/0!</v>
      </c>
      <c r="BA222" s="165" t="e">
        <f t="shared" si="105"/>
        <v>#DIV/0!</v>
      </c>
      <c r="BB222" s="165" t="e">
        <v>#DIV/0!</v>
      </c>
      <c r="BC222" s="165" t="e">
        <f t="shared" si="106"/>
        <v>#DIV/0!</v>
      </c>
      <c r="BD222" s="165" t="e">
        <v>#DIV/0!</v>
      </c>
      <c r="BE222" s="165" t="e">
        <f t="shared" si="107"/>
        <v>#DIV/0!</v>
      </c>
      <c r="BF222" s="165" t="e">
        <v>#DIV/0!</v>
      </c>
      <c r="BG222" s="165" t="e">
        <f t="shared" si="108"/>
        <v>#DIV/0!</v>
      </c>
      <c r="BH222" s="165" t="e">
        <v>#DIV/0!</v>
      </c>
      <c r="BI222" s="165" t="e">
        <f t="shared" si="109"/>
        <v>#DIV/0!</v>
      </c>
      <c r="BJ222" s="165" t="e">
        <v>#DIV/0!</v>
      </c>
      <c r="BK222" s="165" t="e">
        <f t="shared" si="110"/>
        <v>#DIV/0!</v>
      </c>
      <c r="BL222" s="165" t="e">
        <v>#DIV/0!</v>
      </c>
      <c r="BM222" s="165" t="e">
        <f t="shared" si="111"/>
        <v>#DIV/0!</v>
      </c>
      <c r="BN222" s="165" t="e">
        <v>#DIV/0!</v>
      </c>
    </row>
    <row r="223" spans="1:66" ht="15.6" x14ac:dyDescent="0.3">
      <c r="A223" s="155">
        <v>180</v>
      </c>
      <c r="B223" s="155">
        <v>200</v>
      </c>
      <c r="C223" s="156"/>
      <c r="D223" s="156"/>
      <c r="E223" s="156"/>
      <c r="F223" s="156"/>
      <c r="G223" s="156"/>
      <c r="H223" s="172"/>
      <c r="I223" s="157" t="e">
        <v>#DIV/0!</v>
      </c>
      <c r="J223" s="157" t="e">
        <v>#DIV/0!</v>
      </c>
      <c r="K223" s="157"/>
      <c r="L223" s="157"/>
      <c r="M223" s="157"/>
      <c r="N223" s="163"/>
      <c r="O223" s="179"/>
      <c r="P223" s="177" t="str">
        <f t="shared" si="94"/>
        <v>(180, 200]</v>
      </c>
      <c r="Q223" s="160" t="s">
        <v>150</v>
      </c>
      <c r="R223" s="157" t="e">
        <f t="shared" si="95"/>
        <v>#DIV/0!</v>
      </c>
      <c r="S223" s="162">
        <v>1.6952432119664642</v>
      </c>
      <c r="T223" s="161">
        <v>1.8E-3</v>
      </c>
      <c r="U223" s="161">
        <v>1.8E-3</v>
      </c>
      <c r="V223" s="161">
        <v>1.8E-3</v>
      </c>
      <c r="W223" s="162">
        <v>1.6952432119664642</v>
      </c>
      <c r="X223" s="161">
        <v>1.8E-3</v>
      </c>
      <c r="Y223" s="161">
        <v>1.8E-3</v>
      </c>
      <c r="Z223" s="161">
        <v>1.8E-3</v>
      </c>
      <c r="AA223" s="163" t="e">
        <v>#DIV/0!</v>
      </c>
      <c r="AB223" s="163" t="e">
        <v>#DIV/0!</v>
      </c>
      <c r="AC223" s="163" t="e">
        <v>#DIV/0!</v>
      </c>
      <c r="AD223" s="163" t="e">
        <v>#DIV/0!</v>
      </c>
      <c r="AE223" s="163" t="e">
        <v>#DIV/0!</v>
      </c>
      <c r="AF223" s="163" t="e">
        <v>#DIV/0!</v>
      </c>
      <c r="AG223" s="163" t="e">
        <v>#DIV/0!</v>
      </c>
      <c r="AH223" s="163" t="e">
        <v>#DIV/0!</v>
      </c>
      <c r="AI223" s="163" t="e">
        <v>#DIV/0!</v>
      </c>
      <c r="AJ223" s="163" t="e">
        <v>#DIV/0!</v>
      </c>
      <c r="AK223" s="163" t="e">
        <v>#DIV/0!</v>
      </c>
      <c r="AL223" s="163" t="e">
        <v>#DIV/0!</v>
      </c>
      <c r="AM223" s="163" t="e">
        <v>#DIV/0!</v>
      </c>
      <c r="AN223" s="163" t="e">
        <v>#DIV/0!</v>
      </c>
      <c r="AO223" s="163" t="e">
        <v>#DIV/0!</v>
      </c>
      <c r="AP223" s="163" t="e">
        <v>#DIV/0!</v>
      </c>
      <c r="AQ223" s="164" t="e">
        <f t="shared" si="96"/>
        <v>#DIV/0!</v>
      </c>
      <c r="AR223" s="164" t="e">
        <f t="shared" si="97"/>
        <v>#DIV/0!</v>
      </c>
      <c r="AS223" s="164" t="e">
        <f t="shared" si="98"/>
        <v>#DIV/0!</v>
      </c>
      <c r="AT223" s="164" t="e">
        <f t="shared" si="99"/>
        <v>#DIV/0!</v>
      </c>
      <c r="AU223" s="164" t="e">
        <f t="shared" si="100"/>
        <v>#DIV/0!</v>
      </c>
      <c r="AV223" s="164" t="e">
        <f t="shared" si="101"/>
        <v>#DIV/0!</v>
      </c>
      <c r="AW223" s="164" t="e">
        <f t="shared" si="102"/>
        <v>#DIV/0!</v>
      </c>
      <c r="AX223" s="164" t="e">
        <f t="shared" si="103"/>
        <v>#DIV/0!</v>
      </c>
      <c r="AY223" s="165" t="e">
        <f t="shared" si="104"/>
        <v>#DIV/0!</v>
      </c>
      <c r="AZ223" s="165" t="e">
        <v>#DIV/0!</v>
      </c>
      <c r="BA223" s="165" t="e">
        <f t="shared" si="105"/>
        <v>#DIV/0!</v>
      </c>
      <c r="BB223" s="165" t="e">
        <v>#DIV/0!</v>
      </c>
      <c r="BC223" s="165" t="e">
        <f t="shared" si="106"/>
        <v>#DIV/0!</v>
      </c>
      <c r="BD223" s="165" t="e">
        <v>#DIV/0!</v>
      </c>
      <c r="BE223" s="165" t="e">
        <f t="shared" si="107"/>
        <v>#DIV/0!</v>
      </c>
      <c r="BF223" s="165" t="e">
        <v>#DIV/0!</v>
      </c>
      <c r="BG223" s="165" t="e">
        <f t="shared" si="108"/>
        <v>#DIV/0!</v>
      </c>
      <c r="BH223" s="165" t="e">
        <v>#DIV/0!</v>
      </c>
      <c r="BI223" s="165" t="e">
        <f t="shared" si="109"/>
        <v>#DIV/0!</v>
      </c>
      <c r="BJ223" s="165" t="e">
        <v>#DIV/0!</v>
      </c>
      <c r="BK223" s="165" t="e">
        <f t="shared" si="110"/>
        <v>#DIV/0!</v>
      </c>
      <c r="BL223" s="165" t="e">
        <v>#DIV/0!</v>
      </c>
      <c r="BM223" s="165" t="e">
        <f t="shared" si="111"/>
        <v>#DIV/0!</v>
      </c>
      <c r="BN223" s="165" t="e">
        <v>#DIV/0!</v>
      </c>
    </row>
    <row r="224" spans="1:66" ht="15.6" x14ac:dyDescent="0.3">
      <c r="A224" s="155">
        <v>200</v>
      </c>
      <c r="B224" s="155">
        <v>250</v>
      </c>
      <c r="C224" s="156"/>
      <c r="D224" s="156"/>
      <c r="E224" s="156"/>
      <c r="F224" s="156"/>
      <c r="G224" s="156"/>
      <c r="H224" s="172"/>
      <c r="I224" s="157" t="e">
        <v>#DIV/0!</v>
      </c>
      <c r="J224" s="157" t="e">
        <v>#DIV/0!</v>
      </c>
      <c r="K224" s="157"/>
      <c r="L224" s="157"/>
      <c r="M224" s="157"/>
      <c r="N224" s="163"/>
      <c r="O224" s="179"/>
      <c r="P224" s="177" t="str">
        <f t="shared" si="94"/>
        <v>(200, 250]</v>
      </c>
      <c r="Q224" s="160" t="s">
        <v>150</v>
      </c>
      <c r="R224" s="157" t="e">
        <f t="shared" si="95"/>
        <v>#DIV/0!</v>
      </c>
      <c r="S224" s="162">
        <v>1.2</v>
      </c>
      <c r="T224" s="161">
        <v>1.5E-3</v>
      </c>
      <c r="U224" s="161">
        <v>0.02</v>
      </c>
      <c r="V224" s="161">
        <v>0.02</v>
      </c>
      <c r="W224" s="162">
        <v>1.2</v>
      </c>
      <c r="X224" s="161">
        <v>1.5E-3</v>
      </c>
      <c r="Y224" s="161">
        <v>0.02</v>
      </c>
      <c r="Z224" s="161">
        <v>0.02</v>
      </c>
      <c r="AA224" s="163" t="e">
        <v>#DIV/0!</v>
      </c>
      <c r="AB224" s="163" t="e">
        <v>#DIV/0!</v>
      </c>
      <c r="AC224" s="163" t="e">
        <v>#DIV/0!</v>
      </c>
      <c r="AD224" s="163" t="e">
        <v>#DIV/0!</v>
      </c>
      <c r="AE224" s="163" t="e">
        <v>#DIV/0!</v>
      </c>
      <c r="AF224" s="163" t="e">
        <v>#DIV/0!</v>
      </c>
      <c r="AG224" s="163" t="e">
        <v>#DIV/0!</v>
      </c>
      <c r="AH224" s="163" t="e">
        <v>#DIV/0!</v>
      </c>
      <c r="AI224" s="163" t="e">
        <v>#DIV/0!</v>
      </c>
      <c r="AJ224" s="163" t="e">
        <v>#DIV/0!</v>
      </c>
      <c r="AK224" s="163" t="e">
        <v>#DIV/0!</v>
      </c>
      <c r="AL224" s="163" t="e">
        <v>#DIV/0!</v>
      </c>
      <c r="AM224" s="163" t="e">
        <v>#DIV/0!</v>
      </c>
      <c r="AN224" s="163" t="e">
        <v>#DIV/0!</v>
      </c>
      <c r="AO224" s="163" t="e">
        <v>#DIV/0!</v>
      </c>
      <c r="AP224" s="163" t="e">
        <v>#DIV/0!</v>
      </c>
      <c r="AQ224" s="164" t="e">
        <f t="shared" si="96"/>
        <v>#DIV/0!</v>
      </c>
      <c r="AR224" s="164" t="e">
        <f t="shared" si="97"/>
        <v>#DIV/0!</v>
      </c>
      <c r="AS224" s="164" t="e">
        <f t="shared" si="98"/>
        <v>#DIV/0!</v>
      </c>
      <c r="AT224" s="164" t="e">
        <f t="shared" si="99"/>
        <v>#DIV/0!</v>
      </c>
      <c r="AU224" s="164" t="e">
        <f t="shared" si="100"/>
        <v>#DIV/0!</v>
      </c>
      <c r="AV224" s="164" t="e">
        <f t="shared" si="101"/>
        <v>#DIV/0!</v>
      </c>
      <c r="AW224" s="164" t="e">
        <f t="shared" si="102"/>
        <v>#DIV/0!</v>
      </c>
      <c r="AX224" s="164" t="e">
        <f t="shared" si="103"/>
        <v>#DIV/0!</v>
      </c>
      <c r="AY224" s="165" t="e">
        <f t="shared" si="104"/>
        <v>#DIV/0!</v>
      </c>
      <c r="AZ224" s="165" t="e">
        <v>#DIV/0!</v>
      </c>
      <c r="BA224" s="165" t="e">
        <f t="shared" si="105"/>
        <v>#DIV/0!</v>
      </c>
      <c r="BB224" s="165" t="e">
        <v>#DIV/0!</v>
      </c>
      <c r="BC224" s="165" t="e">
        <f t="shared" si="106"/>
        <v>#DIV/0!</v>
      </c>
      <c r="BD224" s="165" t="e">
        <v>#DIV/0!</v>
      </c>
      <c r="BE224" s="165" t="e">
        <f t="shared" si="107"/>
        <v>#DIV/0!</v>
      </c>
      <c r="BF224" s="165" t="e">
        <v>#DIV/0!</v>
      </c>
      <c r="BG224" s="165" t="e">
        <f t="shared" si="108"/>
        <v>#DIV/0!</v>
      </c>
      <c r="BH224" s="165" t="e">
        <v>#DIV/0!</v>
      </c>
      <c r="BI224" s="165" t="e">
        <f t="shared" si="109"/>
        <v>#DIV/0!</v>
      </c>
      <c r="BJ224" s="165" t="e">
        <v>#DIV/0!</v>
      </c>
      <c r="BK224" s="165" t="e">
        <f t="shared" si="110"/>
        <v>#DIV/0!</v>
      </c>
      <c r="BL224" s="165" t="e">
        <v>#DIV/0!</v>
      </c>
      <c r="BM224" s="165" t="e">
        <f t="shared" si="111"/>
        <v>#DIV/0!</v>
      </c>
      <c r="BN224" s="165" t="e">
        <v>#DIV/0!</v>
      </c>
    </row>
    <row r="225" spans="1:66" ht="15.6" x14ac:dyDescent="0.3">
      <c r="A225" s="155">
        <v>250</v>
      </c>
      <c r="B225" s="155">
        <v>300</v>
      </c>
      <c r="C225" s="156"/>
      <c r="D225" s="156"/>
      <c r="E225" s="156"/>
      <c r="F225" s="156"/>
      <c r="G225" s="156"/>
      <c r="H225" s="172"/>
      <c r="I225" s="157" t="e">
        <v>#DIV/0!</v>
      </c>
      <c r="J225" s="157" t="e">
        <v>#DIV/0!</v>
      </c>
      <c r="K225" s="157"/>
      <c r="L225" s="157"/>
      <c r="M225" s="157"/>
      <c r="N225" s="163"/>
      <c r="O225" s="179"/>
      <c r="P225" s="177" t="str">
        <f t="shared" si="94"/>
        <v>(250, 300]</v>
      </c>
      <c r="Q225" s="160" t="s">
        <v>150</v>
      </c>
      <c r="R225" s="157" t="e">
        <f t="shared" si="95"/>
        <v>#DIV/0!</v>
      </c>
      <c r="S225" s="162">
        <v>0.60364424167976871</v>
      </c>
      <c r="T225" s="161">
        <v>1.8E-3</v>
      </c>
      <c r="U225" s="161">
        <v>1.8E-3</v>
      </c>
      <c r="V225" s="161">
        <v>1.8E-3</v>
      </c>
      <c r="W225" s="162">
        <v>0.60364424167976871</v>
      </c>
      <c r="X225" s="161">
        <v>1.8E-3</v>
      </c>
      <c r="Y225" s="161">
        <v>1.8E-3</v>
      </c>
      <c r="Z225" s="161">
        <v>1.8E-3</v>
      </c>
      <c r="AA225" s="163" t="e">
        <v>#DIV/0!</v>
      </c>
      <c r="AB225" s="163" t="e">
        <v>#DIV/0!</v>
      </c>
      <c r="AC225" s="163" t="e">
        <v>#DIV/0!</v>
      </c>
      <c r="AD225" s="163" t="e">
        <v>#DIV/0!</v>
      </c>
      <c r="AE225" s="163" t="e">
        <v>#DIV/0!</v>
      </c>
      <c r="AF225" s="163" t="e">
        <v>#DIV/0!</v>
      </c>
      <c r="AG225" s="163" t="e">
        <v>#DIV/0!</v>
      </c>
      <c r="AH225" s="163" t="e">
        <v>#DIV/0!</v>
      </c>
      <c r="AI225" s="163" t="e">
        <v>#DIV/0!</v>
      </c>
      <c r="AJ225" s="163" t="e">
        <v>#DIV/0!</v>
      </c>
      <c r="AK225" s="163" t="e">
        <v>#DIV/0!</v>
      </c>
      <c r="AL225" s="163" t="e">
        <v>#DIV/0!</v>
      </c>
      <c r="AM225" s="163" t="e">
        <v>#DIV/0!</v>
      </c>
      <c r="AN225" s="163" t="e">
        <v>#DIV/0!</v>
      </c>
      <c r="AO225" s="163" t="e">
        <v>#DIV/0!</v>
      </c>
      <c r="AP225" s="163" t="e">
        <v>#DIV/0!</v>
      </c>
      <c r="AQ225" s="164" t="e">
        <f t="shared" si="96"/>
        <v>#DIV/0!</v>
      </c>
      <c r="AR225" s="164" t="e">
        <f t="shared" si="97"/>
        <v>#DIV/0!</v>
      </c>
      <c r="AS225" s="164" t="e">
        <f t="shared" si="98"/>
        <v>#DIV/0!</v>
      </c>
      <c r="AT225" s="164" t="e">
        <f t="shared" si="99"/>
        <v>#DIV/0!</v>
      </c>
      <c r="AU225" s="164" t="e">
        <f t="shared" si="100"/>
        <v>#DIV/0!</v>
      </c>
      <c r="AV225" s="164" t="e">
        <f t="shared" si="101"/>
        <v>#DIV/0!</v>
      </c>
      <c r="AW225" s="164" t="e">
        <f t="shared" si="102"/>
        <v>#DIV/0!</v>
      </c>
      <c r="AX225" s="164" t="e">
        <f t="shared" si="103"/>
        <v>#DIV/0!</v>
      </c>
      <c r="AY225" s="165" t="e">
        <f t="shared" si="104"/>
        <v>#DIV/0!</v>
      </c>
      <c r="AZ225" s="165" t="e">
        <v>#DIV/0!</v>
      </c>
      <c r="BA225" s="165" t="e">
        <f t="shared" si="105"/>
        <v>#DIV/0!</v>
      </c>
      <c r="BB225" s="165" t="e">
        <v>#DIV/0!</v>
      </c>
      <c r="BC225" s="165" t="e">
        <f t="shared" si="106"/>
        <v>#DIV/0!</v>
      </c>
      <c r="BD225" s="165" t="e">
        <v>#DIV/0!</v>
      </c>
      <c r="BE225" s="165" t="e">
        <f t="shared" si="107"/>
        <v>#DIV/0!</v>
      </c>
      <c r="BF225" s="165" t="e">
        <v>#DIV/0!</v>
      </c>
      <c r="BG225" s="165" t="e">
        <f t="shared" si="108"/>
        <v>#DIV/0!</v>
      </c>
      <c r="BH225" s="165" t="e">
        <v>#DIV/0!</v>
      </c>
      <c r="BI225" s="165" t="e">
        <f t="shared" si="109"/>
        <v>#DIV/0!</v>
      </c>
      <c r="BJ225" s="165" t="e">
        <v>#DIV/0!</v>
      </c>
      <c r="BK225" s="165" t="e">
        <f t="shared" si="110"/>
        <v>#DIV/0!</v>
      </c>
      <c r="BL225" s="165" t="e">
        <v>#DIV/0!</v>
      </c>
      <c r="BM225" s="165" t="e">
        <f t="shared" si="111"/>
        <v>#DIV/0!</v>
      </c>
      <c r="BN225" s="165" t="e">
        <v>#DIV/0!</v>
      </c>
    </row>
    <row r="226" spans="1:66" ht="15.6" x14ac:dyDescent="0.3">
      <c r="A226" s="155">
        <v>300</v>
      </c>
      <c r="B226" s="155">
        <v>350</v>
      </c>
      <c r="C226" s="156"/>
      <c r="D226" s="156"/>
      <c r="E226" s="156"/>
      <c r="F226" s="156"/>
      <c r="G226" s="156"/>
      <c r="H226" s="172"/>
      <c r="I226" s="157" t="e">
        <v>#DIV/0!</v>
      </c>
      <c r="J226" s="157" t="e">
        <v>#DIV/0!</v>
      </c>
      <c r="K226" s="157"/>
      <c r="L226" s="157"/>
      <c r="M226" s="157"/>
      <c r="N226" s="163"/>
      <c r="O226" s="179"/>
      <c r="P226" s="177" t="str">
        <f t="shared" si="94"/>
        <v>(300, 350]</v>
      </c>
      <c r="Q226" s="160" t="s">
        <v>150</v>
      </c>
      <c r="R226" s="157" t="e">
        <f t="shared" si="95"/>
        <v>#DIV/0!</v>
      </c>
      <c r="S226" s="162">
        <v>0.60512169557035489</v>
      </c>
      <c r="T226" s="161">
        <v>1.75E-3</v>
      </c>
      <c r="U226" s="161">
        <v>1.75E-3</v>
      </c>
      <c r="V226" s="161">
        <v>1.75E-3</v>
      </c>
      <c r="W226" s="162">
        <v>0.60512169557035489</v>
      </c>
      <c r="X226" s="161">
        <v>1.75E-3</v>
      </c>
      <c r="Y226" s="161">
        <v>1.75E-3</v>
      </c>
      <c r="Z226" s="161">
        <v>1.75E-3</v>
      </c>
      <c r="AA226" s="163" t="e">
        <v>#DIV/0!</v>
      </c>
      <c r="AB226" s="163" t="e">
        <v>#DIV/0!</v>
      </c>
      <c r="AC226" s="163" t="e">
        <v>#DIV/0!</v>
      </c>
      <c r="AD226" s="163" t="e">
        <v>#DIV/0!</v>
      </c>
      <c r="AE226" s="163" t="e">
        <v>#DIV/0!</v>
      </c>
      <c r="AF226" s="163" t="e">
        <v>#DIV/0!</v>
      </c>
      <c r="AG226" s="163" t="e">
        <v>#DIV/0!</v>
      </c>
      <c r="AH226" s="163" t="e">
        <v>#DIV/0!</v>
      </c>
      <c r="AI226" s="163" t="e">
        <v>#DIV/0!</v>
      </c>
      <c r="AJ226" s="163" t="e">
        <v>#DIV/0!</v>
      </c>
      <c r="AK226" s="163" t="e">
        <v>#DIV/0!</v>
      </c>
      <c r="AL226" s="163" t="e">
        <v>#DIV/0!</v>
      </c>
      <c r="AM226" s="163" t="e">
        <v>#DIV/0!</v>
      </c>
      <c r="AN226" s="163" t="e">
        <v>#DIV/0!</v>
      </c>
      <c r="AO226" s="163" t="e">
        <v>#DIV/0!</v>
      </c>
      <c r="AP226" s="163" t="e">
        <v>#DIV/0!</v>
      </c>
      <c r="AQ226" s="164" t="e">
        <f t="shared" si="96"/>
        <v>#DIV/0!</v>
      </c>
      <c r="AR226" s="164" t="e">
        <f t="shared" si="97"/>
        <v>#DIV/0!</v>
      </c>
      <c r="AS226" s="164" t="e">
        <f t="shared" si="98"/>
        <v>#DIV/0!</v>
      </c>
      <c r="AT226" s="164" t="e">
        <f t="shared" si="99"/>
        <v>#DIV/0!</v>
      </c>
      <c r="AU226" s="164" t="e">
        <f t="shared" si="100"/>
        <v>#DIV/0!</v>
      </c>
      <c r="AV226" s="164" t="e">
        <f t="shared" si="101"/>
        <v>#DIV/0!</v>
      </c>
      <c r="AW226" s="164" t="e">
        <f t="shared" si="102"/>
        <v>#DIV/0!</v>
      </c>
      <c r="AX226" s="164" t="e">
        <f t="shared" si="103"/>
        <v>#DIV/0!</v>
      </c>
      <c r="AY226" s="165" t="e">
        <f t="shared" si="104"/>
        <v>#DIV/0!</v>
      </c>
      <c r="AZ226" s="165" t="e">
        <v>#DIV/0!</v>
      </c>
      <c r="BA226" s="165" t="e">
        <f t="shared" si="105"/>
        <v>#DIV/0!</v>
      </c>
      <c r="BB226" s="165" t="e">
        <v>#DIV/0!</v>
      </c>
      <c r="BC226" s="165" t="e">
        <f t="shared" si="106"/>
        <v>#DIV/0!</v>
      </c>
      <c r="BD226" s="165" t="e">
        <v>#DIV/0!</v>
      </c>
      <c r="BE226" s="165" t="e">
        <f t="shared" si="107"/>
        <v>#DIV/0!</v>
      </c>
      <c r="BF226" s="165" t="e">
        <v>#DIV/0!</v>
      </c>
      <c r="BG226" s="165" t="e">
        <f t="shared" si="108"/>
        <v>#DIV/0!</v>
      </c>
      <c r="BH226" s="165" t="e">
        <v>#DIV/0!</v>
      </c>
      <c r="BI226" s="165" t="e">
        <f t="shared" si="109"/>
        <v>#DIV/0!</v>
      </c>
      <c r="BJ226" s="165" t="e">
        <v>#DIV/0!</v>
      </c>
      <c r="BK226" s="165" t="e">
        <f t="shared" si="110"/>
        <v>#DIV/0!</v>
      </c>
      <c r="BL226" s="165" t="e">
        <v>#DIV/0!</v>
      </c>
      <c r="BM226" s="165" t="e">
        <f t="shared" si="111"/>
        <v>#DIV/0!</v>
      </c>
      <c r="BN226" s="165" t="e">
        <v>#DIV/0!</v>
      </c>
    </row>
    <row r="227" spans="1:66" ht="15.6" x14ac:dyDescent="0.3">
      <c r="A227" s="155">
        <v>350</v>
      </c>
      <c r="B227" s="155">
        <v>400</v>
      </c>
      <c r="C227" s="156"/>
      <c r="D227" s="156"/>
      <c r="E227" s="156"/>
      <c r="F227" s="156"/>
      <c r="G227" s="156"/>
      <c r="H227" s="172"/>
      <c r="I227" s="157" t="e">
        <v>#DIV/0!</v>
      </c>
      <c r="J227" s="157" t="e">
        <v>#DIV/0!</v>
      </c>
      <c r="K227" s="157"/>
      <c r="L227" s="157"/>
      <c r="M227" s="157"/>
      <c r="N227" s="163"/>
      <c r="O227" s="179"/>
      <c r="P227" s="177" t="str">
        <f t="shared" ref="P227:P253" si="112">"("&amp;$A227&amp;", "&amp;$B227&amp;"]"</f>
        <v>(350, 400]</v>
      </c>
      <c r="Q227" s="160" t="s">
        <v>150</v>
      </c>
      <c r="R227" s="157" t="e">
        <f t="shared" ref="R227:R258" si="113">_xlfn.XLOOKUP(Q227, $I$194:$K$194, I227:K227)</f>
        <v>#DIV/0!</v>
      </c>
      <c r="S227" s="162">
        <v>0.47043820978173467</v>
      </c>
      <c r="T227" s="161">
        <v>1.8E-3</v>
      </c>
      <c r="U227" s="161">
        <v>1.8E-3</v>
      </c>
      <c r="V227" s="161">
        <v>1.8E-3</v>
      </c>
      <c r="W227" s="162">
        <v>0.47043820978173467</v>
      </c>
      <c r="X227" s="161">
        <v>1.8E-3</v>
      </c>
      <c r="Y227" s="161">
        <v>1.8E-3</v>
      </c>
      <c r="Z227" s="161">
        <v>1.8E-3</v>
      </c>
      <c r="AA227" s="163" t="e">
        <v>#DIV/0!</v>
      </c>
      <c r="AB227" s="163" t="e">
        <v>#DIV/0!</v>
      </c>
      <c r="AC227" s="163" t="e">
        <v>#DIV/0!</v>
      </c>
      <c r="AD227" s="163" t="e">
        <v>#DIV/0!</v>
      </c>
      <c r="AE227" s="163" t="e">
        <v>#DIV/0!</v>
      </c>
      <c r="AF227" s="163" t="e">
        <v>#DIV/0!</v>
      </c>
      <c r="AG227" s="163" t="e">
        <v>#DIV/0!</v>
      </c>
      <c r="AH227" s="163" t="e">
        <v>#DIV/0!</v>
      </c>
      <c r="AI227" s="163" t="e">
        <v>#DIV/0!</v>
      </c>
      <c r="AJ227" s="163" t="e">
        <v>#DIV/0!</v>
      </c>
      <c r="AK227" s="163" t="e">
        <v>#DIV/0!</v>
      </c>
      <c r="AL227" s="163" t="e">
        <v>#DIV/0!</v>
      </c>
      <c r="AM227" s="163" t="e">
        <v>#DIV/0!</v>
      </c>
      <c r="AN227" s="163" t="e">
        <v>#DIV/0!</v>
      </c>
      <c r="AO227" s="163" t="e">
        <v>#DIV/0!</v>
      </c>
      <c r="AP227" s="163" t="e">
        <v>#DIV/0!</v>
      </c>
      <c r="AQ227" s="164" t="e">
        <f t="shared" ref="AQ227:AQ253" si="114">INT(AI227*$AQ$65)</f>
        <v>#DIV/0!</v>
      </c>
      <c r="AR227" s="164" t="e">
        <f t="shared" ref="AR227:AR253" si="115">INT(AJ227*$AQ$65)</f>
        <v>#DIV/0!</v>
      </c>
      <c r="AS227" s="164" t="e">
        <f t="shared" ref="AS227:AS253" si="116">INT(AK227*$AQ$65)</f>
        <v>#DIV/0!</v>
      </c>
      <c r="AT227" s="164" t="e">
        <f t="shared" ref="AT227:AT253" si="117">INT(AL227*$AQ$65)</f>
        <v>#DIV/0!</v>
      </c>
      <c r="AU227" s="164" t="e">
        <f t="shared" ref="AU227:AU253" si="118">INT(AM227*$AQ$65)</f>
        <v>#DIV/0!</v>
      </c>
      <c r="AV227" s="164" t="e">
        <f t="shared" ref="AV227:AV253" si="119">INT(AN227*$AQ$65)</f>
        <v>#DIV/0!</v>
      </c>
      <c r="AW227" s="164" t="e">
        <f t="shared" ref="AW227:AW253" si="120">INT(AO227*$AQ$65)</f>
        <v>#DIV/0!</v>
      </c>
      <c r="AX227" s="164" t="e">
        <f t="shared" ref="AX227:AX253" si="121">INT(AP227*$AQ$65)</f>
        <v>#DIV/0!</v>
      </c>
      <c r="AY227" s="165" t="e">
        <f t="shared" ref="AY227:AY253" si="122">_xlfn.LET(_xlpm.x, _xlfn.XLOOKUP($Q227, $L$194:$N$194, $L227:$N227), IF(ISERROR(_xlpm.x), 0, _xlpm.x)*AQ227/$AQ$193)</f>
        <v>#DIV/0!</v>
      </c>
      <c r="AZ227" s="165" t="e">
        <v>#DIV/0!</v>
      </c>
      <c r="BA227" s="165" t="e">
        <f t="shared" ref="BA227:BA253" si="123">_xlfn.LET(_xlpm.x, _xlfn.XLOOKUP($Q227, $L$194:$N$194, $L227:$N227), IF(ISERROR(_xlpm.x), 0, _xlpm.x)*AR227/$AQ$193)</f>
        <v>#DIV/0!</v>
      </c>
      <c r="BB227" s="165" t="e">
        <v>#DIV/0!</v>
      </c>
      <c r="BC227" s="165" t="e">
        <f t="shared" ref="BC227:BC253" si="124">_xlfn.LET(_xlpm.x, _xlfn.XLOOKUP($Q227, $L$194:$N$194, $L227:$N227), IF(ISERROR(_xlpm.x), 0, _xlpm.x)*AS227/$AQ$193)</f>
        <v>#DIV/0!</v>
      </c>
      <c r="BD227" s="165" t="e">
        <v>#DIV/0!</v>
      </c>
      <c r="BE227" s="165" t="e">
        <f t="shared" ref="BE227:BE253" si="125">_xlfn.LET(_xlpm.x, _xlfn.XLOOKUP($Q227, $L$194:$N$194, $L227:$N227), IF(ISERROR(_xlpm.x), 0, _xlpm.x)*AT227/$AQ$193)</f>
        <v>#DIV/0!</v>
      </c>
      <c r="BF227" s="165" t="e">
        <v>#DIV/0!</v>
      </c>
      <c r="BG227" s="165" t="e">
        <f t="shared" ref="BG227:BG253" si="126">_xlfn.LET(_xlpm.x, _xlfn.XLOOKUP($Q227, $L$194:$N$194, $L227:$N227), IF(ISERROR(_xlpm.x), 0, _xlpm.x)*AQ227/$AQ$193)</f>
        <v>#DIV/0!</v>
      </c>
      <c r="BH227" s="165" t="e">
        <v>#DIV/0!</v>
      </c>
      <c r="BI227" s="165" t="e">
        <f t="shared" ref="BI227:BI253" si="127">_xlfn.LET(_xlpm.x, _xlfn.XLOOKUP($Q227, $L$194:$N$194, $L227:$N227), IF(ISERROR(_xlpm.x), 0, _xlpm.x)*AR227/$AQ$193)</f>
        <v>#DIV/0!</v>
      </c>
      <c r="BJ227" s="165" t="e">
        <v>#DIV/0!</v>
      </c>
      <c r="BK227" s="165" t="e">
        <f t="shared" ref="BK227:BK253" si="128">_xlfn.LET(_xlpm.x, _xlfn.XLOOKUP($Q227, $L$194:$N$194, $L227:$N227), IF(ISERROR(_xlpm.x), 0, _xlpm.x)*AS227/$AQ$193)</f>
        <v>#DIV/0!</v>
      </c>
      <c r="BL227" s="165" t="e">
        <v>#DIV/0!</v>
      </c>
      <c r="BM227" s="165" t="e">
        <f t="shared" ref="BM227:BM253" si="129">_xlfn.LET(_xlpm.x, _xlfn.XLOOKUP($Q227, $L$194:$N$194, $L227:$N227), IF(ISERROR(_xlpm.x), 0, _xlpm.x)*AT227/$AQ$193)</f>
        <v>#DIV/0!</v>
      </c>
      <c r="BN227" s="165" t="e">
        <v>#DIV/0!</v>
      </c>
    </row>
    <row r="228" spans="1:66" ht="15.6" x14ac:dyDescent="0.3">
      <c r="A228" s="155">
        <v>400</v>
      </c>
      <c r="B228" s="155">
        <v>450</v>
      </c>
      <c r="C228" s="156"/>
      <c r="D228" s="156"/>
      <c r="E228" s="156"/>
      <c r="F228" s="156"/>
      <c r="G228" s="156"/>
      <c r="H228" s="172"/>
      <c r="I228" s="157" t="e">
        <v>#DIV/0!</v>
      </c>
      <c r="J228" s="157" t="e">
        <v>#DIV/0!</v>
      </c>
      <c r="K228" s="157"/>
      <c r="L228" s="157"/>
      <c r="M228" s="157"/>
      <c r="N228" s="163"/>
      <c r="O228" s="179"/>
      <c r="P228" s="177" t="str">
        <f t="shared" si="112"/>
        <v>(400, 450]</v>
      </c>
      <c r="Q228" s="160" t="s">
        <v>150</v>
      </c>
      <c r="R228" s="157" t="e">
        <f t="shared" si="113"/>
        <v>#DIV/0!</v>
      </c>
      <c r="S228" s="162">
        <v>0.68374727530129531</v>
      </c>
      <c r="T228" s="161">
        <v>2.5000000000000001E-3</v>
      </c>
      <c r="U228" s="161">
        <v>2.5000000000000001E-3</v>
      </c>
      <c r="V228" s="161">
        <v>2.5000000000000001E-3</v>
      </c>
      <c r="W228" s="162">
        <v>0.68374727530129531</v>
      </c>
      <c r="X228" s="161">
        <v>2.5000000000000001E-3</v>
      </c>
      <c r="Y228" s="161">
        <v>2.5000000000000001E-3</v>
      </c>
      <c r="Z228" s="161">
        <v>2.5000000000000001E-3</v>
      </c>
      <c r="AA228" s="163" t="e">
        <v>#DIV/0!</v>
      </c>
      <c r="AB228" s="163" t="e">
        <v>#DIV/0!</v>
      </c>
      <c r="AC228" s="163" t="e">
        <v>#DIV/0!</v>
      </c>
      <c r="AD228" s="163" t="e">
        <v>#DIV/0!</v>
      </c>
      <c r="AE228" s="163" t="e">
        <v>#DIV/0!</v>
      </c>
      <c r="AF228" s="163" t="e">
        <v>#DIV/0!</v>
      </c>
      <c r="AG228" s="163" t="e">
        <v>#DIV/0!</v>
      </c>
      <c r="AH228" s="163" t="e">
        <v>#DIV/0!</v>
      </c>
      <c r="AI228" s="163" t="e">
        <v>#DIV/0!</v>
      </c>
      <c r="AJ228" s="163" t="e">
        <v>#DIV/0!</v>
      </c>
      <c r="AK228" s="163" t="e">
        <v>#DIV/0!</v>
      </c>
      <c r="AL228" s="163" t="e">
        <v>#DIV/0!</v>
      </c>
      <c r="AM228" s="163" t="e">
        <v>#DIV/0!</v>
      </c>
      <c r="AN228" s="163" t="e">
        <v>#DIV/0!</v>
      </c>
      <c r="AO228" s="163" t="e">
        <v>#DIV/0!</v>
      </c>
      <c r="AP228" s="163" t="e">
        <v>#DIV/0!</v>
      </c>
      <c r="AQ228" s="164" t="e">
        <f t="shared" si="114"/>
        <v>#DIV/0!</v>
      </c>
      <c r="AR228" s="164" t="e">
        <f t="shared" si="115"/>
        <v>#DIV/0!</v>
      </c>
      <c r="AS228" s="164" t="e">
        <f t="shared" si="116"/>
        <v>#DIV/0!</v>
      </c>
      <c r="AT228" s="164" t="e">
        <f t="shared" si="117"/>
        <v>#DIV/0!</v>
      </c>
      <c r="AU228" s="164" t="e">
        <f t="shared" si="118"/>
        <v>#DIV/0!</v>
      </c>
      <c r="AV228" s="164" t="e">
        <f t="shared" si="119"/>
        <v>#DIV/0!</v>
      </c>
      <c r="AW228" s="164" t="e">
        <f t="shared" si="120"/>
        <v>#DIV/0!</v>
      </c>
      <c r="AX228" s="164" t="e">
        <f t="shared" si="121"/>
        <v>#DIV/0!</v>
      </c>
      <c r="AY228" s="165" t="e">
        <f t="shared" si="122"/>
        <v>#DIV/0!</v>
      </c>
      <c r="AZ228" s="165" t="e">
        <v>#DIV/0!</v>
      </c>
      <c r="BA228" s="165" t="e">
        <f t="shared" si="123"/>
        <v>#DIV/0!</v>
      </c>
      <c r="BB228" s="165" t="e">
        <v>#DIV/0!</v>
      </c>
      <c r="BC228" s="165" t="e">
        <f t="shared" si="124"/>
        <v>#DIV/0!</v>
      </c>
      <c r="BD228" s="165" t="e">
        <v>#DIV/0!</v>
      </c>
      <c r="BE228" s="165" t="e">
        <f t="shared" si="125"/>
        <v>#DIV/0!</v>
      </c>
      <c r="BF228" s="165" t="e">
        <v>#DIV/0!</v>
      </c>
      <c r="BG228" s="165" t="e">
        <f t="shared" si="126"/>
        <v>#DIV/0!</v>
      </c>
      <c r="BH228" s="165" t="e">
        <v>#DIV/0!</v>
      </c>
      <c r="BI228" s="165" t="e">
        <f t="shared" si="127"/>
        <v>#DIV/0!</v>
      </c>
      <c r="BJ228" s="165" t="e">
        <v>#DIV/0!</v>
      </c>
      <c r="BK228" s="165" t="e">
        <f t="shared" si="128"/>
        <v>#DIV/0!</v>
      </c>
      <c r="BL228" s="165" t="e">
        <v>#DIV/0!</v>
      </c>
      <c r="BM228" s="165" t="e">
        <f t="shared" si="129"/>
        <v>#DIV/0!</v>
      </c>
      <c r="BN228" s="165" t="e">
        <v>#DIV/0!</v>
      </c>
    </row>
    <row r="229" spans="1:66" ht="15.6" x14ac:dyDescent="0.3">
      <c r="A229" s="155">
        <v>450</v>
      </c>
      <c r="B229" s="155">
        <v>500</v>
      </c>
      <c r="C229" s="156"/>
      <c r="D229" s="156"/>
      <c r="E229" s="156"/>
      <c r="F229" s="156"/>
      <c r="G229" s="156"/>
      <c r="H229" s="172"/>
      <c r="I229" s="157" t="e">
        <v>#DIV/0!</v>
      </c>
      <c r="J229" s="157" t="e">
        <v>#DIV/0!</v>
      </c>
      <c r="K229" s="157"/>
      <c r="L229" s="157"/>
      <c r="M229" s="157"/>
      <c r="N229" s="163"/>
      <c r="O229" s="179"/>
      <c r="P229" s="177" t="str">
        <f t="shared" si="112"/>
        <v>(450, 500]</v>
      </c>
      <c r="Q229" s="160" t="s">
        <v>150</v>
      </c>
      <c r="R229" s="157" t="e">
        <f t="shared" si="113"/>
        <v>#DIV/0!</v>
      </c>
      <c r="S229" s="162">
        <v>0.39417736956769384</v>
      </c>
      <c r="T229" s="161">
        <v>3.5000000000000001E-3</v>
      </c>
      <c r="U229" s="161">
        <v>3.5000000000000001E-3</v>
      </c>
      <c r="V229" s="161">
        <v>3.5000000000000001E-3</v>
      </c>
      <c r="W229" s="162">
        <v>0.39417736956769384</v>
      </c>
      <c r="X229" s="161">
        <v>3.5000000000000001E-3</v>
      </c>
      <c r="Y229" s="161">
        <v>3.5000000000000001E-3</v>
      </c>
      <c r="Z229" s="161">
        <v>3.5000000000000001E-3</v>
      </c>
      <c r="AA229" s="163" t="e">
        <v>#DIV/0!</v>
      </c>
      <c r="AB229" s="163" t="e">
        <v>#DIV/0!</v>
      </c>
      <c r="AC229" s="163" t="e">
        <v>#DIV/0!</v>
      </c>
      <c r="AD229" s="163" t="e">
        <v>#DIV/0!</v>
      </c>
      <c r="AE229" s="163" t="e">
        <v>#DIV/0!</v>
      </c>
      <c r="AF229" s="163" t="e">
        <v>#DIV/0!</v>
      </c>
      <c r="AG229" s="163" t="e">
        <v>#DIV/0!</v>
      </c>
      <c r="AH229" s="163" t="e">
        <v>#DIV/0!</v>
      </c>
      <c r="AI229" s="163" t="e">
        <v>#DIV/0!</v>
      </c>
      <c r="AJ229" s="163" t="e">
        <v>#DIV/0!</v>
      </c>
      <c r="AK229" s="163" t="e">
        <v>#DIV/0!</v>
      </c>
      <c r="AL229" s="163" t="e">
        <v>#DIV/0!</v>
      </c>
      <c r="AM229" s="163" t="e">
        <v>#DIV/0!</v>
      </c>
      <c r="AN229" s="163" t="e">
        <v>#DIV/0!</v>
      </c>
      <c r="AO229" s="163" t="e">
        <v>#DIV/0!</v>
      </c>
      <c r="AP229" s="163" t="e">
        <v>#DIV/0!</v>
      </c>
      <c r="AQ229" s="164" t="e">
        <f t="shared" si="114"/>
        <v>#DIV/0!</v>
      </c>
      <c r="AR229" s="164" t="e">
        <f t="shared" si="115"/>
        <v>#DIV/0!</v>
      </c>
      <c r="AS229" s="164" t="e">
        <f t="shared" si="116"/>
        <v>#DIV/0!</v>
      </c>
      <c r="AT229" s="164" t="e">
        <f t="shared" si="117"/>
        <v>#DIV/0!</v>
      </c>
      <c r="AU229" s="164" t="e">
        <f t="shared" si="118"/>
        <v>#DIV/0!</v>
      </c>
      <c r="AV229" s="164" t="e">
        <f t="shared" si="119"/>
        <v>#DIV/0!</v>
      </c>
      <c r="AW229" s="164" t="e">
        <f t="shared" si="120"/>
        <v>#DIV/0!</v>
      </c>
      <c r="AX229" s="164" t="e">
        <f t="shared" si="121"/>
        <v>#DIV/0!</v>
      </c>
      <c r="AY229" s="165" t="e">
        <f t="shared" si="122"/>
        <v>#DIV/0!</v>
      </c>
      <c r="AZ229" s="165" t="e">
        <v>#DIV/0!</v>
      </c>
      <c r="BA229" s="165" t="e">
        <f t="shared" si="123"/>
        <v>#DIV/0!</v>
      </c>
      <c r="BB229" s="165" t="e">
        <v>#DIV/0!</v>
      </c>
      <c r="BC229" s="165" t="e">
        <f t="shared" si="124"/>
        <v>#DIV/0!</v>
      </c>
      <c r="BD229" s="165" t="e">
        <v>#DIV/0!</v>
      </c>
      <c r="BE229" s="165" t="e">
        <f t="shared" si="125"/>
        <v>#DIV/0!</v>
      </c>
      <c r="BF229" s="165" t="e">
        <v>#DIV/0!</v>
      </c>
      <c r="BG229" s="165" t="e">
        <f t="shared" si="126"/>
        <v>#DIV/0!</v>
      </c>
      <c r="BH229" s="165" t="e">
        <v>#DIV/0!</v>
      </c>
      <c r="BI229" s="165" t="e">
        <f t="shared" si="127"/>
        <v>#DIV/0!</v>
      </c>
      <c r="BJ229" s="165" t="e">
        <v>#DIV/0!</v>
      </c>
      <c r="BK229" s="165" t="e">
        <f t="shared" si="128"/>
        <v>#DIV/0!</v>
      </c>
      <c r="BL229" s="165" t="e">
        <v>#DIV/0!</v>
      </c>
      <c r="BM229" s="165" t="e">
        <f t="shared" si="129"/>
        <v>#DIV/0!</v>
      </c>
      <c r="BN229" s="165" t="e">
        <v>#DIV/0!</v>
      </c>
    </row>
    <row r="230" spans="1:66" ht="15.6" x14ac:dyDescent="0.3">
      <c r="A230" s="155">
        <v>500</v>
      </c>
      <c r="B230" s="155">
        <v>550</v>
      </c>
      <c r="C230" s="156"/>
      <c r="D230" s="156"/>
      <c r="E230" s="156"/>
      <c r="F230" s="156"/>
      <c r="G230" s="156"/>
      <c r="H230" s="172"/>
      <c r="I230" s="157" t="e">
        <v>#DIV/0!</v>
      </c>
      <c r="J230" s="157" t="e">
        <v>#DIV/0!</v>
      </c>
      <c r="K230" s="157"/>
      <c r="L230" s="157"/>
      <c r="M230" s="157"/>
      <c r="N230" s="163"/>
      <c r="O230" s="179"/>
      <c r="P230" s="177" t="str">
        <f t="shared" si="112"/>
        <v>(500, 550]</v>
      </c>
      <c r="Q230" s="160" t="s">
        <v>150</v>
      </c>
      <c r="R230" s="157" t="e">
        <f t="shared" si="113"/>
        <v>#DIV/0!</v>
      </c>
      <c r="S230" s="162">
        <v>1.0928415327867487</v>
      </c>
      <c r="T230" s="161">
        <v>1.6000000000000001E-3</v>
      </c>
      <c r="U230" s="161">
        <v>1.6000000000000001E-3</v>
      </c>
      <c r="V230" s="161">
        <v>1.6000000000000001E-3</v>
      </c>
      <c r="W230" s="162">
        <v>1.0928415327867487</v>
      </c>
      <c r="X230" s="161">
        <v>1.6000000000000001E-3</v>
      </c>
      <c r="Y230" s="161">
        <v>1.6000000000000001E-3</v>
      </c>
      <c r="Z230" s="161">
        <v>1.6000000000000001E-3</v>
      </c>
      <c r="AA230" s="163" t="e">
        <v>#DIV/0!</v>
      </c>
      <c r="AB230" s="163" t="e">
        <v>#DIV/0!</v>
      </c>
      <c r="AC230" s="163" t="e">
        <v>#DIV/0!</v>
      </c>
      <c r="AD230" s="163" t="e">
        <v>#DIV/0!</v>
      </c>
      <c r="AE230" s="163" t="e">
        <v>#DIV/0!</v>
      </c>
      <c r="AF230" s="163" t="e">
        <v>#DIV/0!</v>
      </c>
      <c r="AG230" s="163" t="e">
        <v>#DIV/0!</v>
      </c>
      <c r="AH230" s="163" t="e">
        <v>#DIV/0!</v>
      </c>
      <c r="AI230" s="163" t="e">
        <v>#DIV/0!</v>
      </c>
      <c r="AJ230" s="163" t="e">
        <v>#DIV/0!</v>
      </c>
      <c r="AK230" s="163" t="e">
        <v>#DIV/0!</v>
      </c>
      <c r="AL230" s="163" t="e">
        <v>#DIV/0!</v>
      </c>
      <c r="AM230" s="163" t="e">
        <v>#DIV/0!</v>
      </c>
      <c r="AN230" s="163" t="e">
        <v>#DIV/0!</v>
      </c>
      <c r="AO230" s="163" t="e">
        <v>#DIV/0!</v>
      </c>
      <c r="AP230" s="163" t="e">
        <v>#DIV/0!</v>
      </c>
      <c r="AQ230" s="164" t="e">
        <f t="shared" si="114"/>
        <v>#DIV/0!</v>
      </c>
      <c r="AR230" s="164" t="e">
        <f t="shared" si="115"/>
        <v>#DIV/0!</v>
      </c>
      <c r="AS230" s="164" t="e">
        <f t="shared" si="116"/>
        <v>#DIV/0!</v>
      </c>
      <c r="AT230" s="164" t="e">
        <f t="shared" si="117"/>
        <v>#DIV/0!</v>
      </c>
      <c r="AU230" s="164" t="e">
        <f t="shared" si="118"/>
        <v>#DIV/0!</v>
      </c>
      <c r="AV230" s="164" t="e">
        <f t="shared" si="119"/>
        <v>#DIV/0!</v>
      </c>
      <c r="AW230" s="164" t="e">
        <f t="shared" si="120"/>
        <v>#DIV/0!</v>
      </c>
      <c r="AX230" s="164" t="e">
        <f t="shared" si="121"/>
        <v>#DIV/0!</v>
      </c>
      <c r="AY230" s="165" t="e">
        <f t="shared" si="122"/>
        <v>#DIV/0!</v>
      </c>
      <c r="AZ230" s="165" t="e">
        <v>#DIV/0!</v>
      </c>
      <c r="BA230" s="165" t="e">
        <f t="shared" si="123"/>
        <v>#DIV/0!</v>
      </c>
      <c r="BB230" s="165" t="e">
        <v>#DIV/0!</v>
      </c>
      <c r="BC230" s="165" t="e">
        <f t="shared" si="124"/>
        <v>#DIV/0!</v>
      </c>
      <c r="BD230" s="165" t="e">
        <v>#DIV/0!</v>
      </c>
      <c r="BE230" s="165" t="e">
        <f t="shared" si="125"/>
        <v>#DIV/0!</v>
      </c>
      <c r="BF230" s="165" t="e">
        <v>#DIV/0!</v>
      </c>
      <c r="BG230" s="165" t="e">
        <f t="shared" si="126"/>
        <v>#DIV/0!</v>
      </c>
      <c r="BH230" s="165" t="e">
        <v>#DIV/0!</v>
      </c>
      <c r="BI230" s="165" t="e">
        <f t="shared" si="127"/>
        <v>#DIV/0!</v>
      </c>
      <c r="BJ230" s="165" t="e">
        <v>#DIV/0!</v>
      </c>
      <c r="BK230" s="165" t="e">
        <f t="shared" si="128"/>
        <v>#DIV/0!</v>
      </c>
      <c r="BL230" s="165" t="e">
        <v>#DIV/0!</v>
      </c>
      <c r="BM230" s="165" t="e">
        <f t="shared" si="129"/>
        <v>#DIV/0!</v>
      </c>
      <c r="BN230" s="165" t="e">
        <v>#DIV/0!</v>
      </c>
    </row>
    <row r="231" spans="1:66" ht="15.6" x14ac:dyDescent="0.3">
      <c r="A231" s="155">
        <v>550</v>
      </c>
      <c r="B231" s="155">
        <v>600</v>
      </c>
      <c r="C231" s="156"/>
      <c r="D231" s="156"/>
      <c r="E231" s="156"/>
      <c r="F231" s="156"/>
      <c r="G231" s="156"/>
      <c r="H231" s="172"/>
      <c r="I231" s="157" t="e">
        <v>#DIV/0!</v>
      </c>
      <c r="J231" s="157" t="e">
        <v>#DIV/0!</v>
      </c>
      <c r="K231" s="157"/>
      <c r="L231" s="157"/>
      <c r="M231" s="157"/>
      <c r="N231" s="163"/>
      <c r="O231" s="179"/>
      <c r="P231" s="177" t="str">
        <f t="shared" si="112"/>
        <v>(550, 600]</v>
      </c>
      <c r="Q231" s="160" t="s">
        <v>150</v>
      </c>
      <c r="R231" s="157" t="e">
        <f t="shared" si="113"/>
        <v>#DIV/0!</v>
      </c>
      <c r="S231" s="162">
        <v>1.038854940840847</v>
      </c>
      <c r="T231" s="161">
        <v>0</v>
      </c>
      <c r="U231" s="161">
        <v>0</v>
      </c>
      <c r="V231" s="161">
        <v>0</v>
      </c>
      <c r="W231" s="162">
        <v>1.038854940840847</v>
      </c>
      <c r="X231" s="161">
        <v>0</v>
      </c>
      <c r="Y231" s="161">
        <v>0</v>
      </c>
      <c r="Z231" s="161">
        <v>0</v>
      </c>
      <c r="AA231" s="163" t="e">
        <v>#DIV/0!</v>
      </c>
      <c r="AB231" s="163" t="e">
        <v>#DIV/0!</v>
      </c>
      <c r="AC231" s="163" t="e">
        <v>#DIV/0!</v>
      </c>
      <c r="AD231" s="163" t="e">
        <v>#DIV/0!</v>
      </c>
      <c r="AE231" s="163" t="e">
        <v>#DIV/0!</v>
      </c>
      <c r="AF231" s="163" t="e">
        <v>#DIV/0!</v>
      </c>
      <c r="AG231" s="163" t="e">
        <v>#DIV/0!</v>
      </c>
      <c r="AH231" s="163" t="e">
        <v>#DIV/0!</v>
      </c>
      <c r="AI231" s="163" t="e">
        <v>#DIV/0!</v>
      </c>
      <c r="AJ231" s="163" t="e">
        <v>#DIV/0!</v>
      </c>
      <c r="AK231" s="163" t="e">
        <v>#DIV/0!</v>
      </c>
      <c r="AL231" s="163" t="e">
        <v>#DIV/0!</v>
      </c>
      <c r="AM231" s="163" t="e">
        <v>#DIV/0!</v>
      </c>
      <c r="AN231" s="163" t="e">
        <v>#DIV/0!</v>
      </c>
      <c r="AO231" s="163" t="e">
        <v>#DIV/0!</v>
      </c>
      <c r="AP231" s="163" t="e">
        <v>#DIV/0!</v>
      </c>
      <c r="AQ231" s="164" t="e">
        <f t="shared" si="114"/>
        <v>#DIV/0!</v>
      </c>
      <c r="AR231" s="164" t="e">
        <f t="shared" si="115"/>
        <v>#DIV/0!</v>
      </c>
      <c r="AS231" s="164" t="e">
        <f t="shared" si="116"/>
        <v>#DIV/0!</v>
      </c>
      <c r="AT231" s="164" t="e">
        <f t="shared" si="117"/>
        <v>#DIV/0!</v>
      </c>
      <c r="AU231" s="164" t="e">
        <f t="shared" si="118"/>
        <v>#DIV/0!</v>
      </c>
      <c r="AV231" s="164" t="e">
        <f t="shared" si="119"/>
        <v>#DIV/0!</v>
      </c>
      <c r="AW231" s="164" t="e">
        <f t="shared" si="120"/>
        <v>#DIV/0!</v>
      </c>
      <c r="AX231" s="164" t="e">
        <f t="shared" si="121"/>
        <v>#DIV/0!</v>
      </c>
      <c r="AY231" s="165" t="e">
        <f t="shared" si="122"/>
        <v>#DIV/0!</v>
      </c>
      <c r="AZ231" s="165" t="e">
        <v>#DIV/0!</v>
      </c>
      <c r="BA231" s="165" t="e">
        <f t="shared" si="123"/>
        <v>#DIV/0!</v>
      </c>
      <c r="BB231" s="165" t="e">
        <v>#DIV/0!</v>
      </c>
      <c r="BC231" s="165" t="e">
        <f t="shared" si="124"/>
        <v>#DIV/0!</v>
      </c>
      <c r="BD231" s="165" t="e">
        <v>#DIV/0!</v>
      </c>
      <c r="BE231" s="165" t="e">
        <f t="shared" si="125"/>
        <v>#DIV/0!</v>
      </c>
      <c r="BF231" s="165" t="e">
        <v>#DIV/0!</v>
      </c>
      <c r="BG231" s="165" t="e">
        <f t="shared" si="126"/>
        <v>#DIV/0!</v>
      </c>
      <c r="BH231" s="165" t="e">
        <v>#DIV/0!</v>
      </c>
      <c r="BI231" s="165" t="e">
        <f t="shared" si="127"/>
        <v>#DIV/0!</v>
      </c>
      <c r="BJ231" s="165" t="e">
        <v>#DIV/0!</v>
      </c>
      <c r="BK231" s="165" t="e">
        <f t="shared" si="128"/>
        <v>#DIV/0!</v>
      </c>
      <c r="BL231" s="165" t="e">
        <v>#DIV/0!</v>
      </c>
      <c r="BM231" s="165" t="e">
        <f t="shared" si="129"/>
        <v>#DIV/0!</v>
      </c>
      <c r="BN231" s="165" t="e">
        <v>#DIV/0!</v>
      </c>
    </row>
    <row r="232" spans="1:66" ht="15.6" x14ac:dyDescent="0.3">
      <c r="A232" s="155">
        <v>600</v>
      </c>
      <c r="B232" s="155">
        <v>650</v>
      </c>
      <c r="C232" s="156"/>
      <c r="D232" s="156"/>
      <c r="E232" s="156"/>
      <c r="F232" s="156"/>
      <c r="G232" s="156"/>
      <c r="H232" s="172"/>
      <c r="I232" s="157" t="e">
        <v>#DIV/0!</v>
      </c>
      <c r="J232" s="157" t="e">
        <v>#DIV/0!</v>
      </c>
      <c r="K232" s="157"/>
      <c r="L232" s="157"/>
      <c r="M232" s="157"/>
      <c r="N232" s="163"/>
      <c r="O232" s="179"/>
      <c r="P232" s="177" t="str">
        <f t="shared" si="112"/>
        <v>(600, 650]</v>
      </c>
      <c r="Q232" s="160" t="s">
        <v>150</v>
      </c>
      <c r="R232" s="157" t="e">
        <f t="shared" si="113"/>
        <v>#DIV/0!</v>
      </c>
      <c r="S232" s="162">
        <v>0.94439073222154934</v>
      </c>
      <c r="T232" s="161">
        <v>0</v>
      </c>
      <c r="U232" s="161">
        <v>0</v>
      </c>
      <c r="V232" s="161">
        <v>0</v>
      </c>
      <c r="W232" s="162">
        <v>0.94439073222154934</v>
      </c>
      <c r="X232" s="161">
        <v>0</v>
      </c>
      <c r="Y232" s="161">
        <v>0</v>
      </c>
      <c r="Z232" s="161">
        <v>0</v>
      </c>
      <c r="AA232" s="163" t="e">
        <v>#DIV/0!</v>
      </c>
      <c r="AB232" s="163" t="e">
        <v>#DIV/0!</v>
      </c>
      <c r="AC232" s="163" t="e">
        <v>#DIV/0!</v>
      </c>
      <c r="AD232" s="163" t="e">
        <v>#DIV/0!</v>
      </c>
      <c r="AE232" s="163" t="e">
        <v>#DIV/0!</v>
      </c>
      <c r="AF232" s="163" t="e">
        <v>#DIV/0!</v>
      </c>
      <c r="AG232" s="163" t="e">
        <v>#DIV/0!</v>
      </c>
      <c r="AH232" s="163" t="e">
        <v>#DIV/0!</v>
      </c>
      <c r="AI232" s="163" t="e">
        <v>#DIV/0!</v>
      </c>
      <c r="AJ232" s="163" t="e">
        <v>#DIV/0!</v>
      </c>
      <c r="AK232" s="163" t="e">
        <v>#DIV/0!</v>
      </c>
      <c r="AL232" s="163" t="e">
        <v>#DIV/0!</v>
      </c>
      <c r="AM232" s="163" t="e">
        <v>#DIV/0!</v>
      </c>
      <c r="AN232" s="163" t="e">
        <v>#DIV/0!</v>
      </c>
      <c r="AO232" s="163" t="e">
        <v>#DIV/0!</v>
      </c>
      <c r="AP232" s="163" t="e">
        <v>#DIV/0!</v>
      </c>
      <c r="AQ232" s="164" t="e">
        <f t="shared" si="114"/>
        <v>#DIV/0!</v>
      </c>
      <c r="AR232" s="164" t="e">
        <f t="shared" si="115"/>
        <v>#DIV/0!</v>
      </c>
      <c r="AS232" s="164" t="e">
        <f t="shared" si="116"/>
        <v>#DIV/0!</v>
      </c>
      <c r="AT232" s="164" t="e">
        <f t="shared" si="117"/>
        <v>#DIV/0!</v>
      </c>
      <c r="AU232" s="164" t="e">
        <f t="shared" si="118"/>
        <v>#DIV/0!</v>
      </c>
      <c r="AV232" s="164" t="e">
        <f t="shared" si="119"/>
        <v>#DIV/0!</v>
      </c>
      <c r="AW232" s="164" t="e">
        <f t="shared" si="120"/>
        <v>#DIV/0!</v>
      </c>
      <c r="AX232" s="164" t="e">
        <f t="shared" si="121"/>
        <v>#DIV/0!</v>
      </c>
      <c r="AY232" s="165" t="e">
        <f t="shared" si="122"/>
        <v>#DIV/0!</v>
      </c>
      <c r="AZ232" s="165" t="e">
        <v>#DIV/0!</v>
      </c>
      <c r="BA232" s="165" t="e">
        <f t="shared" si="123"/>
        <v>#DIV/0!</v>
      </c>
      <c r="BB232" s="165" t="e">
        <v>#DIV/0!</v>
      </c>
      <c r="BC232" s="165" t="e">
        <f t="shared" si="124"/>
        <v>#DIV/0!</v>
      </c>
      <c r="BD232" s="165" t="e">
        <v>#DIV/0!</v>
      </c>
      <c r="BE232" s="165" t="e">
        <f t="shared" si="125"/>
        <v>#DIV/0!</v>
      </c>
      <c r="BF232" s="165" t="e">
        <v>#DIV/0!</v>
      </c>
      <c r="BG232" s="165" t="e">
        <f t="shared" si="126"/>
        <v>#DIV/0!</v>
      </c>
      <c r="BH232" s="165" t="e">
        <v>#DIV/0!</v>
      </c>
      <c r="BI232" s="165" t="e">
        <f t="shared" si="127"/>
        <v>#DIV/0!</v>
      </c>
      <c r="BJ232" s="165" t="e">
        <v>#DIV/0!</v>
      </c>
      <c r="BK232" s="165" t="e">
        <f t="shared" si="128"/>
        <v>#DIV/0!</v>
      </c>
      <c r="BL232" s="165" t="e">
        <v>#DIV/0!</v>
      </c>
      <c r="BM232" s="165" t="e">
        <f t="shared" si="129"/>
        <v>#DIV/0!</v>
      </c>
      <c r="BN232" s="165" t="e">
        <v>#DIV/0!</v>
      </c>
    </row>
    <row r="233" spans="1:66" ht="15.6" x14ac:dyDescent="0.3">
      <c r="A233" s="155">
        <v>650</v>
      </c>
      <c r="B233" s="155">
        <v>700</v>
      </c>
      <c r="C233" s="156"/>
      <c r="D233" s="156"/>
      <c r="E233" s="156"/>
      <c r="F233" s="156"/>
      <c r="G233" s="156"/>
      <c r="H233" s="172"/>
      <c r="I233" s="157" t="e">
        <v>#DIV/0!</v>
      </c>
      <c r="J233" s="157" t="e">
        <v>#DIV/0!</v>
      </c>
      <c r="K233" s="157"/>
      <c r="L233" s="157"/>
      <c r="M233" s="157"/>
      <c r="N233" s="163"/>
      <c r="O233" s="179"/>
      <c r="P233" s="177" t="str">
        <f t="shared" si="112"/>
        <v>(650, 700]</v>
      </c>
      <c r="Q233" s="160" t="s">
        <v>150</v>
      </c>
      <c r="R233" s="157" t="e">
        <f t="shared" si="113"/>
        <v>#DIV/0!</v>
      </c>
      <c r="S233" s="162">
        <v>1.8639199941632678</v>
      </c>
      <c r="T233" s="161">
        <v>0</v>
      </c>
      <c r="U233" s="161">
        <v>0</v>
      </c>
      <c r="V233" s="161">
        <v>0</v>
      </c>
      <c r="W233" s="162">
        <v>1.8639199941632678</v>
      </c>
      <c r="X233" s="161">
        <v>0</v>
      </c>
      <c r="Y233" s="161">
        <v>0</v>
      </c>
      <c r="Z233" s="161">
        <v>0</v>
      </c>
      <c r="AA233" s="163" t="e">
        <v>#DIV/0!</v>
      </c>
      <c r="AB233" s="163" t="e">
        <v>#DIV/0!</v>
      </c>
      <c r="AC233" s="163" t="e">
        <v>#DIV/0!</v>
      </c>
      <c r="AD233" s="163" t="e">
        <v>#DIV/0!</v>
      </c>
      <c r="AE233" s="163" t="e">
        <v>#DIV/0!</v>
      </c>
      <c r="AF233" s="163" t="e">
        <v>#DIV/0!</v>
      </c>
      <c r="AG233" s="163" t="e">
        <v>#DIV/0!</v>
      </c>
      <c r="AH233" s="163" t="e">
        <v>#DIV/0!</v>
      </c>
      <c r="AI233" s="163" t="e">
        <v>#DIV/0!</v>
      </c>
      <c r="AJ233" s="163" t="e">
        <v>#DIV/0!</v>
      </c>
      <c r="AK233" s="163" t="e">
        <v>#DIV/0!</v>
      </c>
      <c r="AL233" s="163" t="e">
        <v>#DIV/0!</v>
      </c>
      <c r="AM233" s="163" t="e">
        <v>#DIV/0!</v>
      </c>
      <c r="AN233" s="163" t="e">
        <v>#DIV/0!</v>
      </c>
      <c r="AO233" s="163" t="e">
        <v>#DIV/0!</v>
      </c>
      <c r="AP233" s="163" t="e">
        <v>#DIV/0!</v>
      </c>
      <c r="AQ233" s="164" t="e">
        <f t="shared" si="114"/>
        <v>#DIV/0!</v>
      </c>
      <c r="AR233" s="164" t="e">
        <f t="shared" si="115"/>
        <v>#DIV/0!</v>
      </c>
      <c r="AS233" s="164" t="e">
        <f t="shared" si="116"/>
        <v>#DIV/0!</v>
      </c>
      <c r="AT233" s="164" t="e">
        <f t="shared" si="117"/>
        <v>#DIV/0!</v>
      </c>
      <c r="AU233" s="164" t="e">
        <f t="shared" si="118"/>
        <v>#DIV/0!</v>
      </c>
      <c r="AV233" s="164" t="e">
        <f t="shared" si="119"/>
        <v>#DIV/0!</v>
      </c>
      <c r="AW233" s="164" t="e">
        <f t="shared" si="120"/>
        <v>#DIV/0!</v>
      </c>
      <c r="AX233" s="164" t="e">
        <f t="shared" si="121"/>
        <v>#DIV/0!</v>
      </c>
      <c r="AY233" s="165" t="e">
        <f t="shared" si="122"/>
        <v>#DIV/0!</v>
      </c>
      <c r="AZ233" s="165" t="e">
        <v>#DIV/0!</v>
      </c>
      <c r="BA233" s="165" t="e">
        <f t="shared" si="123"/>
        <v>#DIV/0!</v>
      </c>
      <c r="BB233" s="165" t="e">
        <v>#DIV/0!</v>
      </c>
      <c r="BC233" s="165" t="e">
        <f t="shared" si="124"/>
        <v>#DIV/0!</v>
      </c>
      <c r="BD233" s="165" t="e">
        <v>#DIV/0!</v>
      </c>
      <c r="BE233" s="165" t="e">
        <f t="shared" si="125"/>
        <v>#DIV/0!</v>
      </c>
      <c r="BF233" s="165" t="e">
        <v>#DIV/0!</v>
      </c>
      <c r="BG233" s="165" t="e">
        <f t="shared" si="126"/>
        <v>#DIV/0!</v>
      </c>
      <c r="BH233" s="165" t="e">
        <v>#DIV/0!</v>
      </c>
      <c r="BI233" s="165" t="e">
        <f t="shared" si="127"/>
        <v>#DIV/0!</v>
      </c>
      <c r="BJ233" s="165" t="e">
        <v>#DIV/0!</v>
      </c>
      <c r="BK233" s="165" t="e">
        <f t="shared" si="128"/>
        <v>#DIV/0!</v>
      </c>
      <c r="BL233" s="165" t="e">
        <v>#DIV/0!</v>
      </c>
      <c r="BM233" s="165" t="e">
        <f t="shared" si="129"/>
        <v>#DIV/0!</v>
      </c>
      <c r="BN233" s="165" t="e">
        <v>#DIV/0!</v>
      </c>
    </row>
    <row r="234" spans="1:66" ht="15.6" x14ac:dyDescent="0.3">
      <c r="A234" s="155">
        <v>700</v>
      </c>
      <c r="B234" s="155">
        <v>750</v>
      </c>
      <c r="C234" s="156"/>
      <c r="D234" s="156"/>
      <c r="E234" s="156"/>
      <c r="F234" s="156"/>
      <c r="G234" s="156"/>
      <c r="H234" s="172"/>
      <c r="I234" s="157" t="e">
        <v>#DIV/0!</v>
      </c>
      <c r="J234" s="157" t="e">
        <v>#DIV/0!</v>
      </c>
      <c r="K234" s="157"/>
      <c r="L234" s="157"/>
      <c r="M234" s="157"/>
      <c r="N234" s="163"/>
      <c r="O234" s="179"/>
      <c r="P234" s="177" t="str">
        <f t="shared" si="112"/>
        <v>(700, 750]</v>
      </c>
      <c r="Q234" s="160" t="s">
        <v>150</v>
      </c>
      <c r="R234" s="157" t="e">
        <f t="shared" si="113"/>
        <v>#DIV/0!</v>
      </c>
      <c r="S234" s="162">
        <v>0.4482585469233013</v>
      </c>
      <c r="T234" s="161">
        <v>0</v>
      </c>
      <c r="U234" s="161">
        <v>0</v>
      </c>
      <c r="V234" s="161">
        <v>0</v>
      </c>
      <c r="W234" s="162">
        <v>0.4482585469233013</v>
      </c>
      <c r="X234" s="161">
        <v>0</v>
      </c>
      <c r="Y234" s="161">
        <v>0</v>
      </c>
      <c r="Z234" s="161">
        <v>0</v>
      </c>
      <c r="AA234" s="163" t="e">
        <v>#DIV/0!</v>
      </c>
      <c r="AB234" s="163" t="e">
        <v>#DIV/0!</v>
      </c>
      <c r="AC234" s="163" t="e">
        <v>#DIV/0!</v>
      </c>
      <c r="AD234" s="163" t="e">
        <v>#DIV/0!</v>
      </c>
      <c r="AE234" s="163" t="e">
        <v>#DIV/0!</v>
      </c>
      <c r="AF234" s="163" t="e">
        <v>#DIV/0!</v>
      </c>
      <c r="AG234" s="163" t="e">
        <v>#DIV/0!</v>
      </c>
      <c r="AH234" s="163" t="e">
        <v>#DIV/0!</v>
      </c>
      <c r="AI234" s="163" t="e">
        <v>#DIV/0!</v>
      </c>
      <c r="AJ234" s="163" t="e">
        <v>#DIV/0!</v>
      </c>
      <c r="AK234" s="163" t="e">
        <v>#DIV/0!</v>
      </c>
      <c r="AL234" s="163" t="e">
        <v>#DIV/0!</v>
      </c>
      <c r="AM234" s="163" t="e">
        <v>#DIV/0!</v>
      </c>
      <c r="AN234" s="163" t="e">
        <v>#DIV/0!</v>
      </c>
      <c r="AO234" s="163" t="e">
        <v>#DIV/0!</v>
      </c>
      <c r="AP234" s="163" t="e">
        <v>#DIV/0!</v>
      </c>
      <c r="AQ234" s="164" t="e">
        <f t="shared" si="114"/>
        <v>#DIV/0!</v>
      </c>
      <c r="AR234" s="164" t="e">
        <f t="shared" si="115"/>
        <v>#DIV/0!</v>
      </c>
      <c r="AS234" s="164" t="e">
        <f t="shared" si="116"/>
        <v>#DIV/0!</v>
      </c>
      <c r="AT234" s="164" t="e">
        <f t="shared" si="117"/>
        <v>#DIV/0!</v>
      </c>
      <c r="AU234" s="164" t="e">
        <f t="shared" si="118"/>
        <v>#DIV/0!</v>
      </c>
      <c r="AV234" s="164" t="e">
        <f t="shared" si="119"/>
        <v>#DIV/0!</v>
      </c>
      <c r="AW234" s="164" t="e">
        <f t="shared" si="120"/>
        <v>#DIV/0!</v>
      </c>
      <c r="AX234" s="164" t="e">
        <f t="shared" si="121"/>
        <v>#DIV/0!</v>
      </c>
      <c r="AY234" s="165" t="e">
        <f t="shared" si="122"/>
        <v>#DIV/0!</v>
      </c>
      <c r="AZ234" s="165" t="e">
        <v>#DIV/0!</v>
      </c>
      <c r="BA234" s="165" t="e">
        <f t="shared" si="123"/>
        <v>#DIV/0!</v>
      </c>
      <c r="BB234" s="165" t="e">
        <v>#DIV/0!</v>
      </c>
      <c r="BC234" s="165" t="e">
        <f t="shared" si="124"/>
        <v>#DIV/0!</v>
      </c>
      <c r="BD234" s="165" t="e">
        <v>#DIV/0!</v>
      </c>
      <c r="BE234" s="165" t="e">
        <f t="shared" si="125"/>
        <v>#DIV/0!</v>
      </c>
      <c r="BF234" s="165" t="e">
        <v>#DIV/0!</v>
      </c>
      <c r="BG234" s="165" t="e">
        <f t="shared" si="126"/>
        <v>#DIV/0!</v>
      </c>
      <c r="BH234" s="165" t="e">
        <v>#DIV/0!</v>
      </c>
      <c r="BI234" s="165" t="e">
        <f t="shared" si="127"/>
        <v>#DIV/0!</v>
      </c>
      <c r="BJ234" s="165" t="e">
        <v>#DIV/0!</v>
      </c>
      <c r="BK234" s="165" t="e">
        <f t="shared" si="128"/>
        <v>#DIV/0!</v>
      </c>
      <c r="BL234" s="165" t="e">
        <v>#DIV/0!</v>
      </c>
      <c r="BM234" s="165" t="e">
        <f t="shared" si="129"/>
        <v>#DIV/0!</v>
      </c>
      <c r="BN234" s="165" t="e">
        <v>#DIV/0!</v>
      </c>
    </row>
    <row r="235" spans="1:66" ht="15.6" x14ac:dyDescent="0.3">
      <c r="A235" s="155">
        <v>750</v>
      </c>
      <c r="B235" s="155">
        <v>800</v>
      </c>
      <c r="C235" s="156"/>
      <c r="D235" s="156"/>
      <c r="E235" s="156"/>
      <c r="F235" s="156"/>
      <c r="G235" s="156"/>
      <c r="H235" s="172"/>
      <c r="I235" s="157" t="e">
        <v>#DIV/0!</v>
      </c>
      <c r="J235" s="157" t="e">
        <v>#DIV/0!</v>
      </c>
      <c r="K235" s="157"/>
      <c r="L235" s="157"/>
      <c r="M235" s="157"/>
      <c r="N235" s="163"/>
      <c r="O235" s="179"/>
      <c r="P235" s="177" t="str">
        <f t="shared" si="112"/>
        <v>(750, 800]</v>
      </c>
      <c r="Q235" s="160" t="s">
        <v>150</v>
      </c>
      <c r="R235" s="157" t="e">
        <f t="shared" si="113"/>
        <v>#DIV/0!</v>
      </c>
      <c r="S235" s="162">
        <v>1.5071935332957138</v>
      </c>
      <c r="T235" s="161">
        <v>0</v>
      </c>
      <c r="U235" s="161">
        <v>0</v>
      </c>
      <c r="V235" s="161">
        <v>0</v>
      </c>
      <c r="W235" s="162">
        <v>1.5071935332957138</v>
      </c>
      <c r="X235" s="161">
        <v>0</v>
      </c>
      <c r="Y235" s="161">
        <v>0</v>
      </c>
      <c r="Z235" s="161">
        <v>0</v>
      </c>
      <c r="AA235" s="163" t="e">
        <v>#DIV/0!</v>
      </c>
      <c r="AB235" s="163" t="e">
        <v>#DIV/0!</v>
      </c>
      <c r="AC235" s="163" t="e">
        <v>#DIV/0!</v>
      </c>
      <c r="AD235" s="163" t="e">
        <v>#DIV/0!</v>
      </c>
      <c r="AE235" s="163" t="e">
        <v>#DIV/0!</v>
      </c>
      <c r="AF235" s="163" t="e">
        <v>#DIV/0!</v>
      </c>
      <c r="AG235" s="163" t="e">
        <v>#DIV/0!</v>
      </c>
      <c r="AH235" s="163" t="e">
        <v>#DIV/0!</v>
      </c>
      <c r="AI235" s="163" t="e">
        <v>#DIV/0!</v>
      </c>
      <c r="AJ235" s="163" t="e">
        <v>#DIV/0!</v>
      </c>
      <c r="AK235" s="163" t="e">
        <v>#DIV/0!</v>
      </c>
      <c r="AL235" s="163" t="e">
        <v>#DIV/0!</v>
      </c>
      <c r="AM235" s="163" t="e">
        <v>#DIV/0!</v>
      </c>
      <c r="AN235" s="163" t="e">
        <v>#DIV/0!</v>
      </c>
      <c r="AO235" s="163" t="e">
        <v>#DIV/0!</v>
      </c>
      <c r="AP235" s="163" t="e">
        <v>#DIV/0!</v>
      </c>
      <c r="AQ235" s="164" t="e">
        <f t="shared" si="114"/>
        <v>#DIV/0!</v>
      </c>
      <c r="AR235" s="164" t="e">
        <f t="shared" si="115"/>
        <v>#DIV/0!</v>
      </c>
      <c r="AS235" s="164" t="e">
        <f t="shared" si="116"/>
        <v>#DIV/0!</v>
      </c>
      <c r="AT235" s="164" t="e">
        <f t="shared" si="117"/>
        <v>#DIV/0!</v>
      </c>
      <c r="AU235" s="164" t="e">
        <f t="shared" si="118"/>
        <v>#DIV/0!</v>
      </c>
      <c r="AV235" s="164" t="e">
        <f t="shared" si="119"/>
        <v>#DIV/0!</v>
      </c>
      <c r="AW235" s="164" t="e">
        <f t="shared" si="120"/>
        <v>#DIV/0!</v>
      </c>
      <c r="AX235" s="164" t="e">
        <f t="shared" si="121"/>
        <v>#DIV/0!</v>
      </c>
      <c r="AY235" s="165" t="e">
        <f t="shared" si="122"/>
        <v>#DIV/0!</v>
      </c>
      <c r="AZ235" s="165" t="e">
        <v>#DIV/0!</v>
      </c>
      <c r="BA235" s="165" t="e">
        <f t="shared" si="123"/>
        <v>#DIV/0!</v>
      </c>
      <c r="BB235" s="165" t="e">
        <v>#DIV/0!</v>
      </c>
      <c r="BC235" s="165" t="e">
        <f t="shared" si="124"/>
        <v>#DIV/0!</v>
      </c>
      <c r="BD235" s="165" t="e">
        <v>#DIV/0!</v>
      </c>
      <c r="BE235" s="165" t="e">
        <f t="shared" si="125"/>
        <v>#DIV/0!</v>
      </c>
      <c r="BF235" s="165" t="e">
        <v>#DIV/0!</v>
      </c>
      <c r="BG235" s="165" t="e">
        <f t="shared" si="126"/>
        <v>#DIV/0!</v>
      </c>
      <c r="BH235" s="165" t="e">
        <v>#DIV/0!</v>
      </c>
      <c r="BI235" s="165" t="e">
        <f t="shared" si="127"/>
        <v>#DIV/0!</v>
      </c>
      <c r="BJ235" s="165" t="e">
        <v>#DIV/0!</v>
      </c>
      <c r="BK235" s="165" t="e">
        <f t="shared" si="128"/>
        <v>#DIV/0!</v>
      </c>
      <c r="BL235" s="165" t="e">
        <v>#DIV/0!</v>
      </c>
      <c r="BM235" s="165" t="e">
        <f t="shared" si="129"/>
        <v>#DIV/0!</v>
      </c>
      <c r="BN235" s="165" t="e">
        <v>#DIV/0!</v>
      </c>
    </row>
    <row r="236" spans="1:66" ht="15.6" x14ac:dyDescent="0.3">
      <c r="A236" s="155">
        <v>800</v>
      </c>
      <c r="B236" s="155">
        <v>850</v>
      </c>
      <c r="C236" s="156"/>
      <c r="D236" s="156"/>
      <c r="E236" s="156"/>
      <c r="F236" s="156"/>
      <c r="G236" s="156"/>
      <c r="H236" s="172"/>
      <c r="I236" s="157" t="e">
        <v>#DIV/0!</v>
      </c>
      <c r="J236" s="157" t="e">
        <v>#DIV/0!</v>
      </c>
      <c r="K236" s="157"/>
      <c r="L236" s="157"/>
      <c r="M236" s="157"/>
      <c r="N236" s="163"/>
      <c r="O236" s="179"/>
      <c r="P236" s="177" t="str">
        <f t="shared" si="112"/>
        <v>(800, 850]</v>
      </c>
      <c r="Q236" s="160" t="s">
        <v>150</v>
      </c>
      <c r="R236" s="157" t="e">
        <f t="shared" si="113"/>
        <v>#DIV/0!</v>
      </c>
      <c r="S236" s="162">
        <v>0.8</v>
      </c>
      <c r="T236" s="161">
        <v>0</v>
      </c>
      <c r="U236" s="161">
        <v>0</v>
      </c>
      <c r="V236" s="161">
        <v>0</v>
      </c>
      <c r="W236" s="162">
        <v>0.8</v>
      </c>
      <c r="X236" s="161">
        <v>0</v>
      </c>
      <c r="Y236" s="161">
        <v>0</v>
      </c>
      <c r="Z236" s="161">
        <v>0</v>
      </c>
      <c r="AA236" s="163" t="e">
        <v>#DIV/0!</v>
      </c>
      <c r="AB236" s="163" t="e">
        <v>#DIV/0!</v>
      </c>
      <c r="AC236" s="163" t="e">
        <v>#DIV/0!</v>
      </c>
      <c r="AD236" s="163" t="e">
        <v>#DIV/0!</v>
      </c>
      <c r="AE236" s="163" t="e">
        <v>#DIV/0!</v>
      </c>
      <c r="AF236" s="163" t="e">
        <v>#DIV/0!</v>
      </c>
      <c r="AG236" s="163" t="e">
        <v>#DIV/0!</v>
      </c>
      <c r="AH236" s="163" t="e">
        <v>#DIV/0!</v>
      </c>
      <c r="AI236" s="163" t="e">
        <v>#DIV/0!</v>
      </c>
      <c r="AJ236" s="163" t="e">
        <v>#DIV/0!</v>
      </c>
      <c r="AK236" s="163" t="e">
        <v>#DIV/0!</v>
      </c>
      <c r="AL236" s="163" t="e">
        <v>#DIV/0!</v>
      </c>
      <c r="AM236" s="163" t="e">
        <v>#DIV/0!</v>
      </c>
      <c r="AN236" s="163" t="e">
        <v>#DIV/0!</v>
      </c>
      <c r="AO236" s="163" t="e">
        <v>#DIV/0!</v>
      </c>
      <c r="AP236" s="163" t="e">
        <v>#DIV/0!</v>
      </c>
      <c r="AQ236" s="164" t="e">
        <f t="shared" si="114"/>
        <v>#DIV/0!</v>
      </c>
      <c r="AR236" s="164" t="e">
        <f t="shared" si="115"/>
        <v>#DIV/0!</v>
      </c>
      <c r="AS236" s="164" t="e">
        <f t="shared" si="116"/>
        <v>#DIV/0!</v>
      </c>
      <c r="AT236" s="164" t="e">
        <f t="shared" si="117"/>
        <v>#DIV/0!</v>
      </c>
      <c r="AU236" s="164" t="e">
        <f t="shared" si="118"/>
        <v>#DIV/0!</v>
      </c>
      <c r="AV236" s="164" t="e">
        <f t="shared" si="119"/>
        <v>#DIV/0!</v>
      </c>
      <c r="AW236" s="164" t="e">
        <f t="shared" si="120"/>
        <v>#DIV/0!</v>
      </c>
      <c r="AX236" s="164" t="e">
        <f t="shared" si="121"/>
        <v>#DIV/0!</v>
      </c>
      <c r="AY236" s="165" t="e">
        <f t="shared" si="122"/>
        <v>#DIV/0!</v>
      </c>
      <c r="AZ236" s="165" t="e">
        <v>#DIV/0!</v>
      </c>
      <c r="BA236" s="165" t="e">
        <f t="shared" si="123"/>
        <v>#DIV/0!</v>
      </c>
      <c r="BB236" s="165" t="e">
        <v>#DIV/0!</v>
      </c>
      <c r="BC236" s="165" t="e">
        <f t="shared" si="124"/>
        <v>#DIV/0!</v>
      </c>
      <c r="BD236" s="165" t="e">
        <v>#DIV/0!</v>
      </c>
      <c r="BE236" s="165" t="e">
        <f t="shared" si="125"/>
        <v>#DIV/0!</v>
      </c>
      <c r="BF236" s="165" t="e">
        <v>#DIV/0!</v>
      </c>
      <c r="BG236" s="165" t="e">
        <f t="shared" si="126"/>
        <v>#DIV/0!</v>
      </c>
      <c r="BH236" s="165" t="e">
        <v>#DIV/0!</v>
      </c>
      <c r="BI236" s="165" t="e">
        <f t="shared" si="127"/>
        <v>#DIV/0!</v>
      </c>
      <c r="BJ236" s="165" t="e">
        <v>#DIV/0!</v>
      </c>
      <c r="BK236" s="165" t="e">
        <f t="shared" si="128"/>
        <v>#DIV/0!</v>
      </c>
      <c r="BL236" s="165" t="e">
        <v>#DIV/0!</v>
      </c>
      <c r="BM236" s="165" t="e">
        <f t="shared" si="129"/>
        <v>#DIV/0!</v>
      </c>
      <c r="BN236" s="165" t="e">
        <v>#DIV/0!</v>
      </c>
    </row>
    <row r="237" spans="1:66" ht="15.6" x14ac:dyDescent="0.3">
      <c r="A237" s="155">
        <v>850</v>
      </c>
      <c r="B237" s="155">
        <v>900</v>
      </c>
      <c r="C237" s="156"/>
      <c r="D237" s="156"/>
      <c r="E237" s="156"/>
      <c r="F237" s="156"/>
      <c r="G237" s="156"/>
      <c r="H237" s="172"/>
      <c r="I237" s="157" t="e">
        <v>#DIV/0!</v>
      </c>
      <c r="J237" s="157" t="e">
        <v>#DIV/0!</v>
      </c>
      <c r="K237" s="157"/>
      <c r="L237" s="157"/>
      <c r="M237" s="157"/>
      <c r="N237" s="163"/>
      <c r="O237" s="179"/>
      <c r="P237" s="177" t="str">
        <f t="shared" si="112"/>
        <v>(850, 900]</v>
      </c>
      <c r="Q237" s="160" t="s">
        <v>150</v>
      </c>
      <c r="R237" s="157" t="e">
        <f t="shared" si="113"/>
        <v>#DIV/0!</v>
      </c>
      <c r="S237" s="162">
        <v>0.5</v>
      </c>
      <c r="T237" s="161">
        <v>0</v>
      </c>
      <c r="U237" s="161">
        <v>0</v>
      </c>
      <c r="V237" s="161">
        <v>0</v>
      </c>
      <c r="W237" s="162">
        <v>0.5</v>
      </c>
      <c r="X237" s="161">
        <v>0</v>
      </c>
      <c r="Y237" s="161">
        <v>0</v>
      </c>
      <c r="Z237" s="161">
        <v>0</v>
      </c>
      <c r="AA237" s="163" t="e">
        <v>#DIV/0!</v>
      </c>
      <c r="AB237" s="163" t="e">
        <v>#DIV/0!</v>
      </c>
      <c r="AC237" s="163" t="e">
        <v>#DIV/0!</v>
      </c>
      <c r="AD237" s="163" t="e">
        <v>#DIV/0!</v>
      </c>
      <c r="AE237" s="163" t="e">
        <v>#DIV/0!</v>
      </c>
      <c r="AF237" s="163" t="e">
        <v>#DIV/0!</v>
      </c>
      <c r="AG237" s="163" t="e">
        <v>#DIV/0!</v>
      </c>
      <c r="AH237" s="163" t="e">
        <v>#DIV/0!</v>
      </c>
      <c r="AI237" s="163" t="e">
        <v>#DIV/0!</v>
      </c>
      <c r="AJ237" s="163" t="e">
        <v>#DIV/0!</v>
      </c>
      <c r="AK237" s="163" t="e">
        <v>#DIV/0!</v>
      </c>
      <c r="AL237" s="163" t="e">
        <v>#DIV/0!</v>
      </c>
      <c r="AM237" s="163" t="e">
        <v>#DIV/0!</v>
      </c>
      <c r="AN237" s="163" t="e">
        <v>#DIV/0!</v>
      </c>
      <c r="AO237" s="163" t="e">
        <v>#DIV/0!</v>
      </c>
      <c r="AP237" s="163" t="e">
        <v>#DIV/0!</v>
      </c>
      <c r="AQ237" s="164" t="e">
        <f t="shared" si="114"/>
        <v>#DIV/0!</v>
      </c>
      <c r="AR237" s="164" t="e">
        <f t="shared" si="115"/>
        <v>#DIV/0!</v>
      </c>
      <c r="AS237" s="164" t="e">
        <f t="shared" si="116"/>
        <v>#DIV/0!</v>
      </c>
      <c r="AT237" s="164" t="e">
        <f t="shared" si="117"/>
        <v>#DIV/0!</v>
      </c>
      <c r="AU237" s="164" t="e">
        <f t="shared" si="118"/>
        <v>#DIV/0!</v>
      </c>
      <c r="AV237" s="164" t="e">
        <f t="shared" si="119"/>
        <v>#DIV/0!</v>
      </c>
      <c r="AW237" s="164" t="e">
        <f t="shared" si="120"/>
        <v>#DIV/0!</v>
      </c>
      <c r="AX237" s="164" t="e">
        <f t="shared" si="121"/>
        <v>#DIV/0!</v>
      </c>
      <c r="AY237" s="165" t="e">
        <f t="shared" si="122"/>
        <v>#DIV/0!</v>
      </c>
      <c r="AZ237" s="165" t="e">
        <v>#DIV/0!</v>
      </c>
      <c r="BA237" s="165" t="e">
        <f t="shared" si="123"/>
        <v>#DIV/0!</v>
      </c>
      <c r="BB237" s="165" t="e">
        <v>#DIV/0!</v>
      </c>
      <c r="BC237" s="165" t="e">
        <f t="shared" si="124"/>
        <v>#DIV/0!</v>
      </c>
      <c r="BD237" s="165" t="e">
        <v>#DIV/0!</v>
      </c>
      <c r="BE237" s="165" t="e">
        <f t="shared" si="125"/>
        <v>#DIV/0!</v>
      </c>
      <c r="BF237" s="165" t="e">
        <v>#DIV/0!</v>
      </c>
      <c r="BG237" s="165" t="e">
        <f t="shared" si="126"/>
        <v>#DIV/0!</v>
      </c>
      <c r="BH237" s="165" t="e">
        <v>#DIV/0!</v>
      </c>
      <c r="BI237" s="165" t="e">
        <f t="shared" si="127"/>
        <v>#DIV/0!</v>
      </c>
      <c r="BJ237" s="165" t="e">
        <v>#DIV/0!</v>
      </c>
      <c r="BK237" s="165" t="e">
        <f t="shared" si="128"/>
        <v>#DIV/0!</v>
      </c>
      <c r="BL237" s="165" t="e">
        <v>#DIV/0!</v>
      </c>
      <c r="BM237" s="165" t="e">
        <f t="shared" si="129"/>
        <v>#DIV/0!</v>
      </c>
      <c r="BN237" s="165" t="e">
        <v>#DIV/0!</v>
      </c>
    </row>
    <row r="238" spans="1:66" ht="15.6" x14ac:dyDescent="0.3">
      <c r="A238" s="155">
        <v>900</v>
      </c>
      <c r="B238" s="155">
        <v>950</v>
      </c>
      <c r="C238" s="156"/>
      <c r="D238" s="156"/>
      <c r="E238" s="156"/>
      <c r="F238" s="156"/>
      <c r="G238" s="156"/>
      <c r="H238" s="172"/>
      <c r="I238" s="157" t="e">
        <v>#DIV/0!</v>
      </c>
      <c r="J238" s="157" t="e">
        <v>#DIV/0!</v>
      </c>
      <c r="K238" s="157"/>
      <c r="L238" s="157"/>
      <c r="M238" s="157"/>
      <c r="N238" s="163"/>
      <c r="O238" s="179"/>
      <c r="P238" s="177" t="str">
        <f t="shared" si="112"/>
        <v>(900, 950]</v>
      </c>
      <c r="Q238" s="160" t="s">
        <v>150</v>
      </c>
      <c r="R238" s="157" t="e">
        <f t="shared" si="113"/>
        <v>#DIV/0!</v>
      </c>
      <c r="S238" s="162">
        <v>0.91206170133892017</v>
      </c>
      <c r="T238" s="161">
        <v>0</v>
      </c>
      <c r="U238" s="161">
        <v>0</v>
      </c>
      <c r="V238" s="161">
        <v>0</v>
      </c>
      <c r="W238" s="162">
        <v>0.91206170133892017</v>
      </c>
      <c r="X238" s="161">
        <v>0</v>
      </c>
      <c r="Y238" s="161">
        <v>0</v>
      </c>
      <c r="Z238" s="161">
        <v>0</v>
      </c>
      <c r="AA238" s="163" t="e">
        <v>#DIV/0!</v>
      </c>
      <c r="AB238" s="163" t="e">
        <v>#DIV/0!</v>
      </c>
      <c r="AC238" s="163" t="e">
        <v>#DIV/0!</v>
      </c>
      <c r="AD238" s="163" t="e">
        <v>#DIV/0!</v>
      </c>
      <c r="AE238" s="163" t="e">
        <v>#DIV/0!</v>
      </c>
      <c r="AF238" s="163" t="e">
        <v>#DIV/0!</v>
      </c>
      <c r="AG238" s="163" t="e">
        <v>#DIV/0!</v>
      </c>
      <c r="AH238" s="163" t="e">
        <v>#DIV/0!</v>
      </c>
      <c r="AI238" s="163" t="e">
        <v>#DIV/0!</v>
      </c>
      <c r="AJ238" s="163" t="e">
        <v>#DIV/0!</v>
      </c>
      <c r="AK238" s="163" t="e">
        <v>#DIV/0!</v>
      </c>
      <c r="AL238" s="163" t="e">
        <v>#DIV/0!</v>
      </c>
      <c r="AM238" s="163" t="e">
        <v>#DIV/0!</v>
      </c>
      <c r="AN238" s="163" t="e">
        <v>#DIV/0!</v>
      </c>
      <c r="AO238" s="163" t="e">
        <v>#DIV/0!</v>
      </c>
      <c r="AP238" s="163" t="e">
        <v>#DIV/0!</v>
      </c>
      <c r="AQ238" s="164" t="e">
        <f t="shared" si="114"/>
        <v>#DIV/0!</v>
      </c>
      <c r="AR238" s="164" t="e">
        <f t="shared" si="115"/>
        <v>#DIV/0!</v>
      </c>
      <c r="AS238" s="164" t="e">
        <f t="shared" si="116"/>
        <v>#DIV/0!</v>
      </c>
      <c r="AT238" s="164" t="e">
        <f t="shared" si="117"/>
        <v>#DIV/0!</v>
      </c>
      <c r="AU238" s="164" t="e">
        <f t="shared" si="118"/>
        <v>#DIV/0!</v>
      </c>
      <c r="AV238" s="164" t="e">
        <f t="shared" si="119"/>
        <v>#DIV/0!</v>
      </c>
      <c r="AW238" s="164" t="e">
        <f t="shared" si="120"/>
        <v>#DIV/0!</v>
      </c>
      <c r="AX238" s="164" t="e">
        <f t="shared" si="121"/>
        <v>#DIV/0!</v>
      </c>
      <c r="AY238" s="165" t="e">
        <f t="shared" si="122"/>
        <v>#DIV/0!</v>
      </c>
      <c r="AZ238" s="165" t="e">
        <v>#DIV/0!</v>
      </c>
      <c r="BA238" s="165" t="e">
        <f t="shared" si="123"/>
        <v>#DIV/0!</v>
      </c>
      <c r="BB238" s="165" t="e">
        <v>#DIV/0!</v>
      </c>
      <c r="BC238" s="165" t="e">
        <f t="shared" si="124"/>
        <v>#DIV/0!</v>
      </c>
      <c r="BD238" s="165" t="e">
        <v>#DIV/0!</v>
      </c>
      <c r="BE238" s="165" t="e">
        <f t="shared" si="125"/>
        <v>#DIV/0!</v>
      </c>
      <c r="BF238" s="165" t="e">
        <v>#DIV/0!</v>
      </c>
      <c r="BG238" s="165" t="e">
        <f t="shared" si="126"/>
        <v>#DIV/0!</v>
      </c>
      <c r="BH238" s="165" t="e">
        <v>#DIV/0!</v>
      </c>
      <c r="BI238" s="165" t="e">
        <f t="shared" si="127"/>
        <v>#DIV/0!</v>
      </c>
      <c r="BJ238" s="165" t="e">
        <v>#DIV/0!</v>
      </c>
      <c r="BK238" s="165" t="e">
        <f t="shared" si="128"/>
        <v>#DIV/0!</v>
      </c>
      <c r="BL238" s="165" t="e">
        <v>#DIV/0!</v>
      </c>
      <c r="BM238" s="165" t="e">
        <f t="shared" si="129"/>
        <v>#DIV/0!</v>
      </c>
      <c r="BN238" s="165" t="e">
        <v>#DIV/0!</v>
      </c>
    </row>
    <row r="239" spans="1:66" ht="15.6" x14ac:dyDescent="0.3">
      <c r="A239" s="155">
        <v>950</v>
      </c>
      <c r="B239" s="155">
        <v>1000</v>
      </c>
      <c r="C239" s="156"/>
      <c r="D239" s="156"/>
      <c r="E239" s="156"/>
      <c r="F239" s="156"/>
      <c r="G239" s="156"/>
      <c r="H239" s="172"/>
      <c r="I239" s="157" t="e">
        <v>#DIV/0!</v>
      </c>
      <c r="J239" s="157" t="e">
        <v>#DIV/0!</v>
      </c>
      <c r="K239" s="157"/>
      <c r="L239" s="157"/>
      <c r="M239" s="157"/>
      <c r="N239" s="163"/>
      <c r="O239" s="179"/>
      <c r="P239" s="177" t="str">
        <f t="shared" si="112"/>
        <v>(950, 1000]</v>
      </c>
      <c r="Q239" s="160" t="s">
        <v>150</v>
      </c>
      <c r="R239" s="157" t="e">
        <f t="shared" si="113"/>
        <v>#DIV/0!</v>
      </c>
      <c r="S239" s="162">
        <v>0.99941124683448979</v>
      </c>
      <c r="T239" s="161">
        <v>0</v>
      </c>
      <c r="U239" s="161">
        <v>0</v>
      </c>
      <c r="V239" s="161">
        <v>0</v>
      </c>
      <c r="W239" s="162">
        <v>0.99941124683448979</v>
      </c>
      <c r="X239" s="161">
        <v>0</v>
      </c>
      <c r="Y239" s="161">
        <v>0</v>
      </c>
      <c r="Z239" s="161">
        <v>0</v>
      </c>
      <c r="AA239" s="163" t="e">
        <v>#DIV/0!</v>
      </c>
      <c r="AB239" s="163" t="e">
        <v>#DIV/0!</v>
      </c>
      <c r="AC239" s="163" t="e">
        <v>#DIV/0!</v>
      </c>
      <c r="AD239" s="163" t="e">
        <v>#DIV/0!</v>
      </c>
      <c r="AE239" s="163" t="e">
        <v>#DIV/0!</v>
      </c>
      <c r="AF239" s="163" t="e">
        <v>#DIV/0!</v>
      </c>
      <c r="AG239" s="163" t="e">
        <v>#DIV/0!</v>
      </c>
      <c r="AH239" s="163" t="e">
        <v>#DIV/0!</v>
      </c>
      <c r="AI239" s="163" t="e">
        <v>#DIV/0!</v>
      </c>
      <c r="AJ239" s="163" t="e">
        <v>#DIV/0!</v>
      </c>
      <c r="AK239" s="163" t="e">
        <v>#DIV/0!</v>
      </c>
      <c r="AL239" s="163" t="e">
        <v>#DIV/0!</v>
      </c>
      <c r="AM239" s="163" t="e">
        <v>#DIV/0!</v>
      </c>
      <c r="AN239" s="163" t="e">
        <v>#DIV/0!</v>
      </c>
      <c r="AO239" s="163" t="e">
        <v>#DIV/0!</v>
      </c>
      <c r="AP239" s="163" t="e">
        <v>#DIV/0!</v>
      </c>
      <c r="AQ239" s="164" t="e">
        <f t="shared" si="114"/>
        <v>#DIV/0!</v>
      </c>
      <c r="AR239" s="164" t="e">
        <f t="shared" si="115"/>
        <v>#DIV/0!</v>
      </c>
      <c r="AS239" s="164" t="e">
        <f t="shared" si="116"/>
        <v>#DIV/0!</v>
      </c>
      <c r="AT239" s="164" t="e">
        <f t="shared" si="117"/>
        <v>#DIV/0!</v>
      </c>
      <c r="AU239" s="164" t="e">
        <f t="shared" si="118"/>
        <v>#DIV/0!</v>
      </c>
      <c r="AV239" s="164" t="e">
        <f t="shared" si="119"/>
        <v>#DIV/0!</v>
      </c>
      <c r="AW239" s="164" t="e">
        <f t="shared" si="120"/>
        <v>#DIV/0!</v>
      </c>
      <c r="AX239" s="164" t="e">
        <f t="shared" si="121"/>
        <v>#DIV/0!</v>
      </c>
      <c r="AY239" s="165" t="e">
        <f t="shared" si="122"/>
        <v>#DIV/0!</v>
      </c>
      <c r="AZ239" s="165" t="e">
        <v>#DIV/0!</v>
      </c>
      <c r="BA239" s="165" t="e">
        <f t="shared" si="123"/>
        <v>#DIV/0!</v>
      </c>
      <c r="BB239" s="165" t="e">
        <v>#DIV/0!</v>
      </c>
      <c r="BC239" s="165" t="e">
        <f t="shared" si="124"/>
        <v>#DIV/0!</v>
      </c>
      <c r="BD239" s="165" t="e">
        <v>#DIV/0!</v>
      </c>
      <c r="BE239" s="165" t="e">
        <f t="shared" si="125"/>
        <v>#DIV/0!</v>
      </c>
      <c r="BF239" s="165" t="e">
        <v>#DIV/0!</v>
      </c>
      <c r="BG239" s="165" t="e">
        <f t="shared" si="126"/>
        <v>#DIV/0!</v>
      </c>
      <c r="BH239" s="165" t="e">
        <v>#DIV/0!</v>
      </c>
      <c r="BI239" s="165" t="e">
        <f t="shared" si="127"/>
        <v>#DIV/0!</v>
      </c>
      <c r="BJ239" s="165" t="e">
        <v>#DIV/0!</v>
      </c>
      <c r="BK239" s="165" t="e">
        <f t="shared" si="128"/>
        <v>#DIV/0!</v>
      </c>
      <c r="BL239" s="165" t="e">
        <v>#DIV/0!</v>
      </c>
      <c r="BM239" s="165" t="e">
        <f t="shared" si="129"/>
        <v>#DIV/0!</v>
      </c>
      <c r="BN239" s="165" t="e">
        <v>#DIV/0!</v>
      </c>
    </row>
    <row r="240" spans="1:66" ht="15.6" x14ac:dyDescent="0.3">
      <c r="A240" s="155">
        <v>1000</v>
      </c>
      <c r="B240" s="155">
        <v>2000</v>
      </c>
      <c r="C240" s="173"/>
      <c r="D240" s="156"/>
      <c r="E240" s="156"/>
      <c r="F240" s="156"/>
      <c r="G240" s="156"/>
      <c r="H240" s="172"/>
      <c r="I240" s="157" t="e">
        <v>#DIV/0!</v>
      </c>
      <c r="J240" s="157" t="e">
        <v>#DIV/0!</v>
      </c>
      <c r="K240" s="157"/>
      <c r="L240" s="157"/>
      <c r="M240" s="157"/>
      <c r="N240" s="163"/>
      <c r="O240" s="179"/>
      <c r="P240" s="177" t="str">
        <f t="shared" si="112"/>
        <v>(1000, 2000]</v>
      </c>
      <c r="Q240" s="160" t="s">
        <v>150</v>
      </c>
      <c r="R240" s="157" t="e">
        <f t="shared" si="113"/>
        <v>#DIV/0!</v>
      </c>
      <c r="S240" s="162">
        <v>0.46200000000000002</v>
      </c>
      <c r="T240" s="161">
        <v>0</v>
      </c>
      <c r="U240" s="161">
        <v>0</v>
      </c>
      <c r="V240" s="161">
        <v>0</v>
      </c>
      <c r="W240" s="162">
        <v>0.46200000000000002</v>
      </c>
      <c r="X240" s="161">
        <v>0</v>
      </c>
      <c r="Y240" s="161">
        <v>0</v>
      </c>
      <c r="Z240" s="161">
        <v>0</v>
      </c>
      <c r="AA240" s="163" t="e">
        <v>#DIV/0!</v>
      </c>
      <c r="AB240" s="163" t="e">
        <v>#DIV/0!</v>
      </c>
      <c r="AC240" s="163" t="e">
        <v>#DIV/0!</v>
      </c>
      <c r="AD240" s="163" t="e">
        <v>#DIV/0!</v>
      </c>
      <c r="AE240" s="163" t="e">
        <v>#DIV/0!</v>
      </c>
      <c r="AF240" s="163" t="e">
        <v>#DIV/0!</v>
      </c>
      <c r="AG240" s="163" t="e">
        <v>#DIV/0!</v>
      </c>
      <c r="AH240" s="163" t="e">
        <v>#DIV/0!</v>
      </c>
      <c r="AI240" s="163" t="e">
        <v>#DIV/0!</v>
      </c>
      <c r="AJ240" s="163" t="e">
        <v>#DIV/0!</v>
      </c>
      <c r="AK240" s="163" t="e">
        <v>#DIV/0!</v>
      </c>
      <c r="AL240" s="163" t="e">
        <v>#DIV/0!</v>
      </c>
      <c r="AM240" s="163" t="e">
        <v>#DIV/0!</v>
      </c>
      <c r="AN240" s="163" t="e">
        <v>#DIV/0!</v>
      </c>
      <c r="AO240" s="163" t="e">
        <v>#DIV/0!</v>
      </c>
      <c r="AP240" s="163" t="e">
        <v>#DIV/0!</v>
      </c>
      <c r="AQ240" s="164" t="e">
        <f t="shared" si="114"/>
        <v>#DIV/0!</v>
      </c>
      <c r="AR240" s="164" t="e">
        <f t="shared" si="115"/>
        <v>#DIV/0!</v>
      </c>
      <c r="AS240" s="164" t="e">
        <f t="shared" si="116"/>
        <v>#DIV/0!</v>
      </c>
      <c r="AT240" s="164" t="e">
        <f t="shared" si="117"/>
        <v>#DIV/0!</v>
      </c>
      <c r="AU240" s="164" t="e">
        <f t="shared" si="118"/>
        <v>#DIV/0!</v>
      </c>
      <c r="AV240" s="164" t="e">
        <f t="shared" si="119"/>
        <v>#DIV/0!</v>
      </c>
      <c r="AW240" s="164" t="e">
        <f t="shared" si="120"/>
        <v>#DIV/0!</v>
      </c>
      <c r="AX240" s="164" t="e">
        <f t="shared" si="121"/>
        <v>#DIV/0!</v>
      </c>
      <c r="AY240" s="165" t="e">
        <f t="shared" si="122"/>
        <v>#DIV/0!</v>
      </c>
      <c r="AZ240" s="165" t="e">
        <v>#DIV/0!</v>
      </c>
      <c r="BA240" s="165" t="e">
        <f t="shared" si="123"/>
        <v>#DIV/0!</v>
      </c>
      <c r="BB240" s="165" t="e">
        <v>#DIV/0!</v>
      </c>
      <c r="BC240" s="165" t="e">
        <f t="shared" si="124"/>
        <v>#DIV/0!</v>
      </c>
      <c r="BD240" s="165" t="e">
        <v>#DIV/0!</v>
      </c>
      <c r="BE240" s="165" t="e">
        <f t="shared" si="125"/>
        <v>#DIV/0!</v>
      </c>
      <c r="BF240" s="165" t="e">
        <v>#DIV/0!</v>
      </c>
      <c r="BG240" s="165" t="e">
        <f t="shared" si="126"/>
        <v>#DIV/0!</v>
      </c>
      <c r="BH240" s="165" t="e">
        <v>#DIV/0!</v>
      </c>
      <c r="BI240" s="165" t="e">
        <f t="shared" si="127"/>
        <v>#DIV/0!</v>
      </c>
      <c r="BJ240" s="165" t="e">
        <v>#DIV/0!</v>
      </c>
      <c r="BK240" s="165" t="e">
        <f t="shared" si="128"/>
        <v>#DIV/0!</v>
      </c>
      <c r="BL240" s="165" t="e">
        <v>#DIV/0!</v>
      </c>
      <c r="BM240" s="165" t="e">
        <f t="shared" si="129"/>
        <v>#DIV/0!</v>
      </c>
      <c r="BN240" s="165" t="e">
        <v>#DIV/0!</v>
      </c>
    </row>
    <row r="241" spans="1:66" ht="15.6" x14ac:dyDescent="0.3">
      <c r="A241" s="155">
        <v>2000</v>
      </c>
      <c r="B241" s="155">
        <v>3000</v>
      </c>
      <c r="C241" s="156"/>
      <c r="D241" s="156"/>
      <c r="E241" s="156"/>
      <c r="F241" s="156"/>
      <c r="G241" s="173"/>
      <c r="H241" s="172"/>
      <c r="I241" s="157" t="e">
        <v>#DIV/0!</v>
      </c>
      <c r="J241" s="157" t="e">
        <v>#DIV/0!</v>
      </c>
      <c r="K241" s="157"/>
      <c r="L241" s="157"/>
      <c r="M241" s="157"/>
      <c r="N241" s="163"/>
      <c r="O241" s="179"/>
      <c r="P241" s="177" t="str">
        <f t="shared" si="112"/>
        <v>(2000, 3000]</v>
      </c>
      <c r="Q241" s="160" t="s">
        <v>150</v>
      </c>
      <c r="R241" s="157" t="e">
        <f t="shared" si="113"/>
        <v>#DIV/0!</v>
      </c>
      <c r="S241" s="162">
        <v>0.71734564436189419</v>
      </c>
      <c r="T241" s="161">
        <v>0</v>
      </c>
      <c r="U241" s="161">
        <v>0</v>
      </c>
      <c r="V241" s="161">
        <v>0</v>
      </c>
      <c r="W241" s="162">
        <v>0.71734564436189419</v>
      </c>
      <c r="X241" s="161">
        <v>0</v>
      </c>
      <c r="Y241" s="161">
        <v>0</v>
      </c>
      <c r="Z241" s="161">
        <v>0</v>
      </c>
      <c r="AA241" s="163" t="e">
        <v>#DIV/0!</v>
      </c>
      <c r="AB241" s="163" t="e">
        <v>#DIV/0!</v>
      </c>
      <c r="AC241" s="163" t="e">
        <v>#DIV/0!</v>
      </c>
      <c r="AD241" s="163" t="e">
        <v>#DIV/0!</v>
      </c>
      <c r="AE241" s="163" t="e">
        <v>#DIV/0!</v>
      </c>
      <c r="AF241" s="163" t="e">
        <v>#DIV/0!</v>
      </c>
      <c r="AG241" s="163" t="e">
        <v>#DIV/0!</v>
      </c>
      <c r="AH241" s="163" t="e">
        <v>#DIV/0!</v>
      </c>
      <c r="AI241" s="163" t="e">
        <v>#DIV/0!</v>
      </c>
      <c r="AJ241" s="163" t="e">
        <v>#DIV/0!</v>
      </c>
      <c r="AK241" s="163" t="e">
        <v>#DIV/0!</v>
      </c>
      <c r="AL241" s="163" t="e">
        <v>#DIV/0!</v>
      </c>
      <c r="AM241" s="163" t="e">
        <v>#DIV/0!</v>
      </c>
      <c r="AN241" s="163" t="e">
        <v>#DIV/0!</v>
      </c>
      <c r="AO241" s="163" t="e">
        <v>#DIV/0!</v>
      </c>
      <c r="AP241" s="163" t="e">
        <v>#DIV/0!</v>
      </c>
      <c r="AQ241" s="164" t="e">
        <f t="shared" si="114"/>
        <v>#DIV/0!</v>
      </c>
      <c r="AR241" s="164" t="e">
        <f t="shared" si="115"/>
        <v>#DIV/0!</v>
      </c>
      <c r="AS241" s="164" t="e">
        <f t="shared" si="116"/>
        <v>#DIV/0!</v>
      </c>
      <c r="AT241" s="164" t="e">
        <f t="shared" si="117"/>
        <v>#DIV/0!</v>
      </c>
      <c r="AU241" s="164" t="e">
        <f t="shared" si="118"/>
        <v>#DIV/0!</v>
      </c>
      <c r="AV241" s="164" t="e">
        <f t="shared" si="119"/>
        <v>#DIV/0!</v>
      </c>
      <c r="AW241" s="164" t="e">
        <f t="shared" si="120"/>
        <v>#DIV/0!</v>
      </c>
      <c r="AX241" s="164" t="e">
        <f t="shared" si="121"/>
        <v>#DIV/0!</v>
      </c>
      <c r="AY241" s="165" t="e">
        <f t="shared" si="122"/>
        <v>#DIV/0!</v>
      </c>
      <c r="AZ241" s="165" t="e">
        <v>#DIV/0!</v>
      </c>
      <c r="BA241" s="165" t="e">
        <f t="shared" si="123"/>
        <v>#DIV/0!</v>
      </c>
      <c r="BB241" s="165" t="e">
        <v>#DIV/0!</v>
      </c>
      <c r="BC241" s="165" t="e">
        <f t="shared" si="124"/>
        <v>#DIV/0!</v>
      </c>
      <c r="BD241" s="165" t="e">
        <v>#DIV/0!</v>
      </c>
      <c r="BE241" s="165" t="e">
        <f t="shared" si="125"/>
        <v>#DIV/0!</v>
      </c>
      <c r="BF241" s="165" t="e">
        <v>#DIV/0!</v>
      </c>
      <c r="BG241" s="165" t="e">
        <f t="shared" si="126"/>
        <v>#DIV/0!</v>
      </c>
      <c r="BH241" s="165" t="e">
        <v>#DIV/0!</v>
      </c>
      <c r="BI241" s="165" t="e">
        <f t="shared" si="127"/>
        <v>#DIV/0!</v>
      </c>
      <c r="BJ241" s="165" t="e">
        <v>#DIV/0!</v>
      </c>
      <c r="BK241" s="165" t="e">
        <f t="shared" si="128"/>
        <v>#DIV/0!</v>
      </c>
      <c r="BL241" s="165" t="e">
        <v>#DIV/0!</v>
      </c>
      <c r="BM241" s="165" t="e">
        <f t="shared" si="129"/>
        <v>#DIV/0!</v>
      </c>
      <c r="BN241" s="165" t="e">
        <v>#DIV/0!</v>
      </c>
    </row>
    <row r="242" spans="1:66" ht="15.6" x14ac:dyDescent="0.3">
      <c r="A242" s="155">
        <v>3000</v>
      </c>
      <c r="B242" s="155">
        <v>4000</v>
      </c>
      <c r="C242" s="156"/>
      <c r="D242" s="156"/>
      <c r="E242" s="156"/>
      <c r="F242" s="156"/>
      <c r="G242" s="156"/>
      <c r="H242" s="172"/>
      <c r="I242" s="157" t="e">
        <v>#DIV/0!</v>
      </c>
      <c r="J242" s="157" t="e">
        <v>#DIV/0!</v>
      </c>
      <c r="K242" s="157"/>
      <c r="L242" s="157"/>
      <c r="M242" s="157"/>
      <c r="N242" s="163"/>
      <c r="O242" s="179"/>
      <c r="P242" s="177" t="str">
        <f t="shared" si="112"/>
        <v>(3000, 4000]</v>
      </c>
      <c r="Q242" s="160" t="s">
        <v>150</v>
      </c>
      <c r="R242" s="157" t="e">
        <f t="shared" si="113"/>
        <v>#DIV/0!</v>
      </c>
      <c r="S242" s="162">
        <v>0.27608846150395044</v>
      </c>
      <c r="T242" s="161">
        <v>0</v>
      </c>
      <c r="U242" s="161">
        <v>0</v>
      </c>
      <c r="V242" s="161">
        <v>0</v>
      </c>
      <c r="W242" s="162">
        <v>0.27608846150395044</v>
      </c>
      <c r="X242" s="161">
        <v>0</v>
      </c>
      <c r="Y242" s="161">
        <v>0</v>
      </c>
      <c r="Z242" s="161">
        <v>0</v>
      </c>
      <c r="AA242" s="163" t="e">
        <v>#DIV/0!</v>
      </c>
      <c r="AB242" s="163" t="e">
        <v>#DIV/0!</v>
      </c>
      <c r="AC242" s="163" t="e">
        <v>#DIV/0!</v>
      </c>
      <c r="AD242" s="163" t="e">
        <v>#DIV/0!</v>
      </c>
      <c r="AE242" s="163" t="e">
        <v>#DIV/0!</v>
      </c>
      <c r="AF242" s="163" t="e">
        <v>#DIV/0!</v>
      </c>
      <c r="AG242" s="163" t="e">
        <v>#DIV/0!</v>
      </c>
      <c r="AH242" s="163" t="e">
        <v>#DIV/0!</v>
      </c>
      <c r="AI242" s="163" t="e">
        <v>#DIV/0!</v>
      </c>
      <c r="AJ242" s="163" t="e">
        <v>#DIV/0!</v>
      </c>
      <c r="AK242" s="163" t="e">
        <v>#DIV/0!</v>
      </c>
      <c r="AL242" s="163" t="e">
        <v>#DIV/0!</v>
      </c>
      <c r="AM242" s="163" t="e">
        <v>#DIV/0!</v>
      </c>
      <c r="AN242" s="163" t="e">
        <v>#DIV/0!</v>
      </c>
      <c r="AO242" s="163" t="e">
        <v>#DIV/0!</v>
      </c>
      <c r="AP242" s="163" t="e">
        <v>#DIV/0!</v>
      </c>
      <c r="AQ242" s="164" t="e">
        <f t="shared" si="114"/>
        <v>#DIV/0!</v>
      </c>
      <c r="AR242" s="164" t="e">
        <f t="shared" si="115"/>
        <v>#DIV/0!</v>
      </c>
      <c r="AS242" s="164" t="e">
        <f t="shared" si="116"/>
        <v>#DIV/0!</v>
      </c>
      <c r="AT242" s="164" t="e">
        <f t="shared" si="117"/>
        <v>#DIV/0!</v>
      </c>
      <c r="AU242" s="164" t="e">
        <f t="shared" si="118"/>
        <v>#DIV/0!</v>
      </c>
      <c r="AV242" s="164" t="e">
        <f t="shared" si="119"/>
        <v>#DIV/0!</v>
      </c>
      <c r="AW242" s="164" t="e">
        <f t="shared" si="120"/>
        <v>#DIV/0!</v>
      </c>
      <c r="AX242" s="164" t="e">
        <f t="shared" si="121"/>
        <v>#DIV/0!</v>
      </c>
      <c r="AY242" s="165" t="e">
        <f t="shared" si="122"/>
        <v>#DIV/0!</v>
      </c>
      <c r="AZ242" s="165" t="e">
        <v>#DIV/0!</v>
      </c>
      <c r="BA242" s="165" t="e">
        <f t="shared" si="123"/>
        <v>#DIV/0!</v>
      </c>
      <c r="BB242" s="165" t="e">
        <v>#DIV/0!</v>
      </c>
      <c r="BC242" s="165" t="e">
        <f t="shared" si="124"/>
        <v>#DIV/0!</v>
      </c>
      <c r="BD242" s="165" t="e">
        <v>#DIV/0!</v>
      </c>
      <c r="BE242" s="165" t="e">
        <f t="shared" si="125"/>
        <v>#DIV/0!</v>
      </c>
      <c r="BF242" s="165" t="e">
        <v>#DIV/0!</v>
      </c>
      <c r="BG242" s="165" t="e">
        <f t="shared" si="126"/>
        <v>#DIV/0!</v>
      </c>
      <c r="BH242" s="165" t="e">
        <v>#DIV/0!</v>
      </c>
      <c r="BI242" s="165" t="e">
        <f t="shared" si="127"/>
        <v>#DIV/0!</v>
      </c>
      <c r="BJ242" s="165" t="e">
        <v>#DIV/0!</v>
      </c>
      <c r="BK242" s="165" t="e">
        <f t="shared" si="128"/>
        <v>#DIV/0!</v>
      </c>
      <c r="BL242" s="165" t="e">
        <v>#DIV/0!</v>
      </c>
      <c r="BM242" s="165" t="e">
        <f t="shared" si="129"/>
        <v>#DIV/0!</v>
      </c>
      <c r="BN242" s="165" t="e">
        <v>#DIV/0!</v>
      </c>
    </row>
    <row r="243" spans="1:66" ht="15.6" x14ac:dyDescent="0.3">
      <c r="A243" s="155">
        <v>4000</v>
      </c>
      <c r="B243" s="155">
        <v>5000</v>
      </c>
      <c r="C243" s="156"/>
      <c r="D243" s="156"/>
      <c r="E243" s="156"/>
      <c r="F243" s="156"/>
      <c r="G243" s="156"/>
      <c r="H243" s="172"/>
      <c r="I243" s="157" t="e">
        <v>#DIV/0!</v>
      </c>
      <c r="J243" s="157" t="e">
        <v>#DIV/0!</v>
      </c>
      <c r="K243" s="157"/>
      <c r="L243" s="157"/>
      <c r="M243" s="157"/>
      <c r="N243" s="163"/>
      <c r="O243" s="179"/>
      <c r="P243" s="177" t="str">
        <f t="shared" si="112"/>
        <v>(4000, 5000]</v>
      </c>
      <c r="Q243" s="160" t="s">
        <v>150</v>
      </c>
      <c r="R243" s="157" t="e">
        <f t="shared" si="113"/>
        <v>#DIV/0!</v>
      </c>
      <c r="S243" s="162">
        <v>0.676291557947163</v>
      </c>
      <c r="T243" s="161">
        <v>0</v>
      </c>
      <c r="U243" s="161">
        <v>0</v>
      </c>
      <c r="V243" s="161">
        <v>0</v>
      </c>
      <c r="W243" s="162">
        <v>0.676291557947163</v>
      </c>
      <c r="X243" s="161">
        <v>0</v>
      </c>
      <c r="Y243" s="161">
        <v>0</v>
      </c>
      <c r="Z243" s="161">
        <v>0</v>
      </c>
      <c r="AA243" s="163" t="e">
        <v>#DIV/0!</v>
      </c>
      <c r="AB243" s="163" t="e">
        <v>#DIV/0!</v>
      </c>
      <c r="AC243" s="163" t="e">
        <v>#DIV/0!</v>
      </c>
      <c r="AD243" s="163" t="e">
        <v>#DIV/0!</v>
      </c>
      <c r="AE243" s="163" t="e">
        <v>#DIV/0!</v>
      </c>
      <c r="AF243" s="163" t="e">
        <v>#DIV/0!</v>
      </c>
      <c r="AG243" s="163" t="e">
        <v>#DIV/0!</v>
      </c>
      <c r="AH243" s="163" t="e">
        <v>#DIV/0!</v>
      </c>
      <c r="AI243" s="163" t="e">
        <v>#DIV/0!</v>
      </c>
      <c r="AJ243" s="163" t="e">
        <v>#DIV/0!</v>
      </c>
      <c r="AK243" s="163" t="e">
        <v>#DIV/0!</v>
      </c>
      <c r="AL243" s="163" t="e">
        <v>#DIV/0!</v>
      </c>
      <c r="AM243" s="163" t="e">
        <v>#DIV/0!</v>
      </c>
      <c r="AN243" s="163" t="e">
        <v>#DIV/0!</v>
      </c>
      <c r="AO243" s="163" t="e">
        <v>#DIV/0!</v>
      </c>
      <c r="AP243" s="163" t="e">
        <v>#DIV/0!</v>
      </c>
      <c r="AQ243" s="164" t="e">
        <f t="shared" si="114"/>
        <v>#DIV/0!</v>
      </c>
      <c r="AR243" s="164" t="e">
        <f t="shared" si="115"/>
        <v>#DIV/0!</v>
      </c>
      <c r="AS243" s="164" t="e">
        <f t="shared" si="116"/>
        <v>#DIV/0!</v>
      </c>
      <c r="AT243" s="164" t="e">
        <f t="shared" si="117"/>
        <v>#DIV/0!</v>
      </c>
      <c r="AU243" s="164" t="e">
        <f t="shared" si="118"/>
        <v>#DIV/0!</v>
      </c>
      <c r="AV243" s="164" t="e">
        <f t="shared" si="119"/>
        <v>#DIV/0!</v>
      </c>
      <c r="AW243" s="164" t="e">
        <f t="shared" si="120"/>
        <v>#DIV/0!</v>
      </c>
      <c r="AX243" s="164" t="e">
        <f t="shared" si="121"/>
        <v>#DIV/0!</v>
      </c>
      <c r="AY243" s="165" t="e">
        <f t="shared" si="122"/>
        <v>#DIV/0!</v>
      </c>
      <c r="AZ243" s="165" t="e">
        <v>#DIV/0!</v>
      </c>
      <c r="BA243" s="165" t="e">
        <f t="shared" si="123"/>
        <v>#DIV/0!</v>
      </c>
      <c r="BB243" s="165" t="e">
        <v>#DIV/0!</v>
      </c>
      <c r="BC243" s="165" t="e">
        <f t="shared" si="124"/>
        <v>#DIV/0!</v>
      </c>
      <c r="BD243" s="165" t="e">
        <v>#DIV/0!</v>
      </c>
      <c r="BE243" s="165" t="e">
        <f t="shared" si="125"/>
        <v>#DIV/0!</v>
      </c>
      <c r="BF243" s="165" t="e">
        <v>#DIV/0!</v>
      </c>
      <c r="BG243" s="165" t="e">
        <f t="shared" si="126"/>
        <v>#DIV/0!</v>
      </c>
      <c r="BH243" s="165" t="e">
        <v>#DIV/0!</v>
      </c>
      <c r="BI243" s="165" t="e">
        <f t="shared" si="127"/>
        <v>#DIV/0!</v>
      </c>
      <c r="BJ243" s="165" t="e">
        <v>#DIV/0!</v>
      </c>
      <c r="BK243" s="165" t="e">
        <f t="shared" si="128"/>
        <v>#DIV/0!</v>
      </c>
      <c r="BL243" s="165" t="e">
        <v>#DIV/0!</v>
      </c>
      <c r="BM243" s="165" t="e">
        <f t="shared" si="129"/>
        <v>#DIV/0!</v>
      </c>
      <c r="BN243" s="165" t="e">
        <v>#DIV/0!</v>
      </c>
    </row>
    <row r="244" spans="1:66" ht="15.6" x14ac:dyDescent="0.3">
      <c r="A244" s="155">
        <v>5000</v>
      </c>
      <c r="B244" s="155">
        <v>6000</v>
      </c>
      <c r="C244" s="156"/>
      <c r="D244" s="156"/>
      <c r="E244" s="156"/>
      <c r="F244" s="156"/>
      <c r="G244" s="156"/>
      <c r="H244" s="172"/>
      <c r="I244" s="157" t="e">
        <v>#DIV/0!</v>
      </c>
      <c r="J244" s="157" t="e">
        <v>#DIV/0!</v>
      </c>
      <c r="K244" s="157"/>
      <c r="L244" s="157"/>
      <c r="M244" s="157"/>
      <c r="N244" s="163"/>
      <c r="O244" s="179"/>
      <c r="P244" s="177" t="str">
        <f t="shared" si="112"/>
        <v>(5000, 6000]</v>
      </c>
      <c r="Q244" s="160" t="s">
        <v>150</v>
      </c>
      <c r="R244" s="157" t="e">
        <f t="shared" si="113"/>
        <v>#DIV/0!</v>
      </c>
      <c r="S244" s="162">
        <v>0.2</v>
      </c>
      <c r="T244" s="161">
        <v>0</v>
      </c>
      <c r="U244" s="161">
        <v>0</v>
      </c>
      <c r="V244" s="161">
        <v>0</v>
      </c>
      <c r="W244" s="162">
        <v>0.2</v>
      </c>
      <c r="X244" s="161">
        <v>0</v>
      </c>
      <c r="Y244" s="161">
        <v>0</v>
      </c>
      <c r="Z244" s="161">
        <v>0</v>
      </c>
      <c r="AA244" s="163" t="e">
        <v>#DIV/0!</v>
      </c>
      <c r="AB244" s="163" t="e">
        <v>#DIV/0!</v>
      </c>
      <c r="AC244" s="163" t="e">
        <v>#DIV/0!</v>
      </c>
      <c r="AD244" s="163" t="e">
        <v>#DIV/0!</v>
      </c>
      <c r="AE244" s="163" t="e">
        <v>#DIV/0!</v>
      </c>
      <c r="AF244" s="163" t="e">
        <v>#DIV/0!</v>
      </c>
      <c r="AG244" s="163" t="e">
        <v>#DIV/0!</v>
      </c>
      <c r="AH244" s="163" t="e">
        <v>#DIV/0!</v>
      </c>
      <c r="AI244" s="163" t="e">
        <v>#DIV/0!</v>
      </c>
      <c r="AJ244" s="163" t="e">
        <v>#DIV/0!</v>
      </c>
      <c r="AK244" s="163" t="e">
        <v>#DIV/0!</v>
      </c>
      <c r="AL244" s="163" t="e">
        <v>#DIV/0!</v>
      </c>
      <c r="AM244" s="163" t="e">
        <v>#DIV/0!</v>
      </c>
      <c r="AN244" s="163" t="e">
        <v>#DIV/0!</v>
      </c>
      <c r="AO244" s="163" t="e">
        <v>#DIV/0!</v>
      </c>
      <c r="AP244" s="163" t="e">
        <v>#DIV/0!</v>
      </c>
      <c r="AQ244" s="164" t="e">
        <f t="shared" si="114"/>
        <v>#DIV/0!</v>
      </c>
      <c r="AR244" s="164" t="e">
        <f t="shared" si="115"/>
        <v>#DIV/0!</v>
      </c>
      <c r="AS244" s="164" t="e">
        <f t="shared" si="116"/>
        <v>#DIV/0!</v>
      </c>
      <c r="AT244" s="164" t="e">
        <f t="shared" si="117"/>
        <v>#DIV/0!</v>
      </c>
      <c r="AU244" s="164" t="e">
        <f t="shared" si="118"/>
        <v>#DIV/0!</v>
      </c>
      <c r="AV244" s="164" t="e">
        <f t="shared" si="119"/>
        <v>#DIV/0!</v>
      </c>
      <c r="AW244" s="164" t="e">
        <f t="shared" si="120"/>
        <v>#DIV/0!</v>
      </c>
      <c r="AX244" s="164" t="e">
        <f t="shared" si="121"/>
        <v>#DIV/0!</v>
      </c>
      <c r="AY244" s="165" t="e">
        <f t="shared" si="122"/>
        <v>#DIV/0!</v>
      </c>
      <c r="AZ244" s="165" t="e">
        <v>#DIV/0!</v>
      </c>
      <c r="BA244" s="165" t="e">
        <f t="shared" si="123"/>
        <v>#DIV/0!</v>
      </c>
      <c r="BB244" s="165" t="e">
        <v>#DIV/0!</v>
      </c>
      <c r="BC244" s="165" t="e">
        <f t="shared" si="124"/>
        <v>#DIV/0!</v>
      </c>
      <c r="BD244" s="165" t="e">
        <v>#DIV/0!</v>
      </c>
      <c r="BE244" s="165" t="e">
        <f t="shared" si="125"/>
        <v>#DIV/0!</v>
      </c>
      <c r="BF244" s="165" t="e">
        <v>#DIV/0!</v>
      </c>
      <c r="BG244" s="165" t="e">
        <f t="shared" si="126"/>
        <v>#DIV/0!</v>
      </c>
      <c r="BH244" s="165" t="e">
        <v>#DIV/0!</v>
      </c>
      <c r="BI244" s="165" t="e">
        <f t="shared" si="127"/>
        <v>#DIV/0!</v>
      </c>
      <c r="BJ244" s="165" t="e">
        <v>#DIV/0!</v>
      </c>
      <c r="BK244" s="165" t="e">
        <f t="shared" si="128"/>
        <v>#DIV/0!</v>
      </c>
      <c r="BL244" s="165" t="e">
        <v>#DIV/0!</v>
      </c>
      <c r="BM244" s="165" t="e">
        <f t="shared" si="129"/>
        <v>#DIV/0!</v>
      </c>
      <c r="BN244" s="165" t="e">
        <v>#DIV/0!</v>
      </c>
    </row>
    <row r="245" spans="1:66" ht="15.6" x14ac:dyDescent="0.3">
      <c r="A245" s="155">
        <v>6000</v>
      </c>
      <c r="B245" s="155">
        <v>7000</v>
      </c>
      <c r="C245" s="156"/>
      <c r="D245" s="156"/>
      <c r="E245" s="156"/>
      <c r="F245" s="156"/>
      <c r="G245" s="156"/>
      <c r="H245" s="172"/>
      <c r="I245" s="157" t="e">
        <v>#DIV/0!</v>
      </c>
      <c r="J245" s="157" t="e">
        <v>#DIV/0!</v>
      </c>
      <c r="K245" s="157"/>
      <c r="L245" s="157"/>
      <c r="M245" s="157"/>
      <c r="N245" s="163"/>
      <c r="O245" s="179"/>
      <c r="P245" s="177" t="str">
        <f t="shared" si="112"/>
        <v>(6000, 7000]</v>
      </c>
      <c r="Q245" s="160" t="s">
        <v>150</v>
      </c>
      <c r="R245" s="157" t="e">
        <f t="shared" si="113"/>
        <v>#DIV/0!</v>
      </c>
      <c r="S245" s="162">
        <v>0.2</v>
      </c>
      <c r="T245" s="161">
        <v>0</v>
      </c>
      <c r="U245" s="161">
        <v>0</v>
      </c>
      <c r="V245" s="161">
        <v>0</v>
      </c>
      <c r="W245" s="162">
        <v>0.2</v>
      </c>
      <c r="X245" s="161">
        <v>0</v>
      </c>
      <c r="Y245" s="161">
        <v>0</v>
      </c>
      <c r="Z245" s="161">
        <v>0</v>
      </c>
      <c r="AA245" s="163" t="e">
        <v>#DIV/0!</v>
      </c>
      <c r="AB245" s="163" t="e">
        <v>#DIV/0!</v>
      </c>
      <c r="AC245" s="163" t="e">
        <v>#DIV/0!</v>
      </c>
      <c r="AD245" s="163" t="e">
        <v>#DIV/0!</v>
      </c>
      <c r="AE245" s="163" t="e">
        <v>#DIV/0!</v>
      </c>
      <c r="AF245" s="163" t="e">
        <v>#DIV/0!</v>
      </c>
      <c r="AG245" s="163" t="e">
        <v>#DIV/0!</v>
      </c>
      <c r="AH245" s="163" t="e">
        <v>#DIV/0!</v>
      </c>
      <c r="AI245" s="163" t="e">
        <v>#DIV/0!</v>
      </c>
      <c r="AJ245" s="163" t="e">
        <v>#DIV/0!</v>
      </c>
      <c r="AK245" s="163" t="e">
        <v>#DIV/0!</v>
      </c>
      <c r="AL245" s="163" t="e">
        <v>#DIV/0!</v>
      </c>
      <c r="AM245" s="163" t="e">
        <v>#DIV/0!</v>
      </c>
      <c r="AN245" s="163" t="e">
        <v>#DIV/0!</v>
      </c>
      <c r="AO245" s="163" t="e">
        <v>#DIV/0!</v>
      </c>
      <c r="AP245" s="163" t="e">
        <v>#DIV/0!</v>
      </c>
      <c r="AQ245" s="164" t="e">
        <f t="shared" si="114"/>
        <v>#DIV/0!</v>
      </c>
      <c r="AR245" s="164" t="e">
        <f t="shared" si="115"/>
        <v>#DIV/0!</v>
      </c>
      <c r="AS245" s="164" t="e">
        <f t="shared" si="116"/>
        <v>#DIV/0!</v>
      </c>
      <c r="AT245" s="164" t="e">
        <f t="shared" si="117"/>
        <v>#DIV/0!</v>
      </c>
      <c r="AU245" s="164" t="e">
        <f t="shared" si="118"/>
        <v>#DIV/0!</v>
      </c>
      <c r="AV245" s="164" t="e">
        <f t="shared" si="119"/>
        <v>#DIV/0!</v>
      </c>
      <c r="AW245" s="164" t="e">
        <f t="shared" si="120"/>
        <v>#DIV/0!</v>
      </c>
      <c r="AX245" s="164" t="e">
        <f t="shared" si="121"/>
        <v>#DIV/0!</v>
      </c>
      <c r="AY245" s="165" t="e">
        <f t="shared" si="122"/>
        <v>#DIV/0!</v>
      </c>
      <c r="AZ245" s="165" t="e">
        <v>#DIV/0!</v>
      </c>
      <c r="BA245" s="165" t="e">
        <f t="shared" si="123"/>
        <v>#DIV/0!</v>
      </c>
      <c r="BB245" s="165" t="e">
        <v>#DIV/0!</v>
      </c>
      <c r="BC245" s="165" t="e">
        <f t="shared" si="124"/>
        <v>#DIV/0!</v>
      </c>
      <c r="BD245" s="165" t="e">
        <v>#DIV/0!</v>
      </c>
      <c r="BE245" s="165" t="e">
        <f t="shared" si="125"/>
        <v>#DIV/0!</v>
      </c>
      <c r="BF245" s="165" t="e">
        <v>#DIV/0!</v>
      </c>
      <c r="BG245" s="165" t="e">
        <f t="shared" si="126"/>
        <v>#DIV/0!</v>
      </c>
      <c r="BH245" s="165" t="e">
        <v>#DIV/0!</v>
      </c>
      <c r="BI245" s="165" t="e">
        <f t="shared" si="127"/>
        <v>#DIV/0!</v>
      </c>
      <c r="BJ245" s="165" t="e">
        <v>#DIV/0!</v>
      </c>
      <c r="BK245" s="165" t="e">
        <f t="shared" si="128"/>
        <v>#DIV/0!</v>
      </c>
      <c r="BL245" s="165" t="e">
        <v>#DIV/0!</v>
      </c>
      <c r="BM245" s="165" t="e">
        <f t="shared" si="129"/>
        <v>#DIV/0!</v>
      </c>
      <c r="BN245" s="165" t="e">
        <v>#DIV/0!</v>
      </c>
    </row>
    <row r="246" spans="1:66" ht="15.6" x14ac:dyDescent="0.3">
      <c r="A246" s="155">
        <v>7000</v>
      </c>
      <c r="B246" s="155">
        <v>8000</v>
      </c>
      <c r="C246" s="156"/>
      <c r="D246" s="173"/>
      <c r="E246" s="156"/>
      <c r="F246" s="156"/>
      <c r="G246" s="156"/>
      <c r="H246" s="172"/>
      <c r="I246" s="157" t="e">
        <v>#DIV/0!</v>
      </c>
      <c r="J246" s="157" t="e">
        <v>#DIV/0!</v>
      </c>
      <c r="K246" s="157"/>
      <c r="L246" s="157"/>
      <c r="M246" s="157"/>
      <c r="N246" s="163"/>
      <c r="O246" s="179"/>
      <c r="P246" s="177" t="str">
        <f t="shared" si="112"/>
        <v>(7000, 8000]</v>
      </c>
      <c r="Q246" s="160" t="s">
        <v>150</v>
      </c>
      <c r="R246" s="157" t="e">
        <f t="shared" si="113"/>
        <v>#DIV/0!</v>
      </c>
      <c r="S246" s="162">
        <v>0.2</v>
      </c>
      <c r="T246" s="161">
        <v>0</v>
      </c>
      <c r="U246" s="161">
        <v>0</v>
      </c>
      <c r="V246" s="161">
        <v>0</v>
      </c>
      <c r="W246" s="162">
        <v>0.2</v>
      </c>
      <c r="X246" s="161">
        <v>0</v>
      </c>
      <c r="Y246" s="161">
        <v>0</v>
      </c>
      <c r="Z246" s="161">
        <v>0</v>
      </c>
      <c r="AA246" s="163" t="e">
        <v>#DIV/0!</v>
      </c>
      <c r="AB246" s="163" t="e">
        <v>#DIV/0!</v>
      </c>
      <c r="AC246" s="163" t="e">
        <v>#DIV/0!</v>
      </c>
      <c r="AD246" s="163" t="e">
        <v>#DIV/0!</v>
      </c>
      <c r="AE246" s="163" t="e">
        <v>#DIV/0!</v>
      </c>
      <c r="AF246" s="163" t="e">
        <v>#DIV/0!</v>
      </c>
      <c r="AG246" s="163" t="e">
        <v>#DIV/0!</v>
      </c>
      <c r="AH246" s="163" t="e">
        <v>#DIV/0!</v>
      </c>
      <c r="AI246" s="163" t="e">
        <v>#DIV/0!</v>
      </c>
      <c r="AJ246" s="163" t="e">
        <v>#DIV/0!</v>
      </c>
      <c r="AK246" s="163" t="e">
        <v>#DIV/0!</v>
      </c>
      <c r="AL246" s="163" t="e">
        <v>#DIV/0!</v>
      </c>
      <c r="AM246" s="163" t="e">
        <v>#DIV/0!</v>
      </c>
      <c r="AN246" s="163" t="e">
        <v>#DIV/0!</v>
      </c>
      <c r="AO246" s="163" t="e">
        <v>#DIV/0!</v>
      </c>
      <c r="AP246" s="163" t="e">
        <v>#DIV/0!</v>
      </c>
      <c r="AQ246" s="164" t="e">
        <f t="shared" si="114"/>
        <v>#DIV/0!</v>
      </c>
      <c r="AR246" s="164" t="e">
        <f t="shared" si="115"/>
        <v>#DIV/0!</v>
      </c>
      <c r="AS246" s="164" t="e">
        <f t="shared" si="116"/>
        <v>#DIV/0!</v>
      </c>
      <c r="AT246" s="164" t="e">
        <f t="shared" si="117"/>
        <v>#DIV/0!</v>
      </c>
      <c r="AU246" s="164" t="e">
        <f t="shared" si="118"/>
        <v>#DIV/0!</v>
      </c>
      <c r="AV246" s="164" t="e">
        <f t="shared" si="119"/>
        <v>#DIV/0!</v>
      </c>
      <c r="AW246" s="164" t="e">
        <f t="shared" si="120"/>
        <v>#DIV/0!</v>
      </c>
      <c r="AX246" s="164" t="e">
        <f t="shared" si="121"/>
        <v>#DIV/0!</v>
      </c>
      <c r="AY246" s="165" t="e">
        <f t="shared" si="122"/>
        <v>#DIV/0!</v>
      </c>
      <c r="AZ246" s="165" t="e">
        <v>#DIV/0!</v>
      </c>
      <c r="BA246" s="165" t="e">
        <f t="shared" si="123"/>
        <v>#DIV/0!</v>
      </c>
      <c r="BB246" s="165" t="e">
        <v>#DIV/0!</v>
      </c>
      <c r="BC246" s="165" t="e">
        <f t="shared" si="124"/>
        <v>#DIV/0!</v>
      </c>
      <c r="BD246" s="165" t="e">
        <v>#DIV/0!</v>
      </c>
      <c r="BE246" s="165" t="e">
        <f t="shared" si="125"/>
        <v>#DIV/0!</v>
      </c>
      <c r="BF246" s="165" t="e">
        <v>#DIV/0!</v>
      </c>
      <c r="BG246" s="165" t="e">
        <f t="shared" si="126"/>
        <v>#DIV/0!</v>
      </c>
      <c r="BH246" s="165" t="e">
        <v>#DIV/0!</v>
      </c>
      <c r="BI246" s="165" t="e">
        <f t="shared" si="127"/>
        <v>#DIV/0!</v>
      </c>
      <c r="BJ246" s="165" t="e">
        <v>#DIV/0!</v>
      </c>
      <c r="BK246" s="165" t="e">
        <f t="shared" si="128"/>
        <v>#DIV/0!</v>
      </c>
      <c r="BL246" s="165" t="e">
        <v>#DIV/0!</v>
      </c>
      <c r="BM246" s="165" t="e">
        <f t="shared" si="129"/>
        <v>#DIV/0!</v>
      </c>
      <c r="BN246" s="165" t="e">
        <v>#DIV/0!</v>
      </c>
    </row>
    <row r="247" spans="1:66" ht="15.6" x14ac:dyDescent="0.3">
      <c r="A247" s="155">
        <v>8000</v>
      </c>
      <c r="B247" s="155">
        <v>9000</v>
      </c>
      <c r="C247" s="156"/>
      <c r="D247" s="156"/>
      <c r="E247" s="156"/>
      <c r="F247" s="156"/>
      <c r="G247" s="156"/>
      <c r="H247" s="172"/>
      <c r="I247" s="157" t="e">
        <v>#DIV/0!</v>
      </c>
      <c r="J247" s="157" t="e">
        <v>#DIV/0!</v>
      </c>
      <c r="K247" s="157"/>
      <c r="L247" s="157"/>
      <c r="M247" s="157"/>
      <c r="N247" s="163"/>
      <c r="O247" s="179"/>
      <c r="P247" s="177" t="str">
        <f t="shared" si="112"/>
        <v>(8000, 9000]</v>
      </c>
      <c r="Q247" s="160" t="s">
        <v>150</v>
      </c>
      <c r="R247" s="157" t="e">
        <f t="shared" si="113"/>
        <v>#DIV/0!</v>
      </c>
      <c r="S247" s="162">
        <v>0.2</v>
      </c>
      <c r="T247" s="161">
        <v>0</v>
      </c>
      <c r="U247" s="161">
        <v>0</v>
      </c>
      <c r="V247" s="161">
        <v>0</v>
      </c>
      <c r="W247" s="162">
        <v>0.2</v>
      </c>
      <c r="X247" s="161">
        <v>0</v>
      </c>
      <c r="Y247" s="161">
        <v>0</v>
      </c>
      <c r="Z247" s="161">
        <v>0</v>
      </c>
      <c r="AA247" s="163" t="e">
        <v>#DIV/0!</v>
      </c>
      <c r="AB247" s="163" t="e">
        <v>#DIV/0!</v>
      </c>
      <c r="AC247" s="163" t="e">
        <v>#DIV/0!</v>
      </c>
      <c r="AD247" s="163" t="e">
        <v>#DIV/0!</v>
      </c>
      <c r="AE247" s="163" t="e">
        <v>#DIV/0!</v>
      </c>
      <c r="AF247" s="163" t="e">
        <v>#DIV/0!</v>
      </c>
      <c r="AG247" s="163" t="e">
        <v>#DIV/0!</v>
      </c>
      <c r="AH247" s="163" t="e">
        <v>#DIV/0!</v>
      </c>
      <c r="AI247" s="163" t="e">
        <v>#DIV/0!</v>
      </c>
      <c r="AJ247" s="163" t="e">
        <v>#DIV/0!</v>
      </c>
      <c r="AK247" s="163" t="e">
        <v>#DIV/0!</v>
      </c>
      <c r="AL247" s="163" t="e">
        <v>#DIV/0!</v>
      </c>
      <c r="AM247" s="163" t="e">
        <v>#DIV/0!</v>
      </c>
      <c r="AN247" s="163" t="e">
        <v>#DIV/0!</v>
      </c>
      <c r="AO247" s="163" t="e">
        <v>#DIV/0!</v>
      </c>
      <c r="AP247" s="163" t="e">
        <v>#DIV/0!</v>
      </c>
      <c r="AQ247" s="164" t="e">
        <f t="shared" si="114"/>
        <v>#DIV/0!</v>
      </c>
      <c r="AR247" s="164" t="e">
        <f t="shared" si="115"/>
        <v>#DIV/0!</v>
      </c>
      <c r="AS247" s="164" t="e">
        <f t="shared" si="116"/>
        <v>#DIV/0!</v>
      </c>
      <c r="AT247" s="164" t="e">
        <f t="shared" si="117"/>
        <v>#DIV/0!</v>
      </c>
      <c r="AU247" s="164" t="e">
        <f t="shared" si="118"/>
        <v>#DIV/0!</v>
      </c>
      <c r="AV247" s="164" t="e">
        <f t="shared" si="119"/>
        <v>#DIV/0!</v>
      </c>
      <c r="AW247" s="164" t="e">
        <f t="shared" si="120"/>
        <v>#DIV/0!</v>
      </c>
      <c r="AX247" s="164" t="e">
        <f t="shared" si="121"/>
        <v>#DIV/0!</v>
      </c>
      <c r="AY247" s="165" t="e">
        <f t="shared" si="122"/>
        <v>#DIV/0!</v>
      </c>
      <c r="AZ247" s="165" t="e">
        <v>#DIV/0!</v>
      </c>
      <c r="BA247" s="165" t="e">
        <f t="shared" si="123"/>
        <v>#DIV/0!</v>
      </c>
      <c r="BB247" s="165" t="e">
        <v>#DIV/0!</v>
      </c>
      <c r="BC247" s="165" t="e">
        <f t="shared" si="124"/>
        <v>#DIV/0!</v>
      </c>
      <c r="BD247" s="165" t="e">
        <v>#DIV/0!</v>
      </c>
      <c r="BE247" s="165" t="e">
        <f t="shared" si="125"/>
        <v>#DIV/0!</v>
      </c>
      <c r="BF247" s="165" t="e">
        <v>#DIV/0!</v>
      </c>
      <c r="BG247" s="165" t="e">
        <f t="shared" si="126"/>
        <v>#DIV/0!</v>
      </c>
      <c r="BH247" s="165" t="e">
        <v>#DIV/0!</v>
      </c>
      <c r="BI247" s="165" t="e">
        <f t="shared" si="127"/>
        <v>#DIV/0!</v>
      </c>
      <c r="BJ247" s="165" t="e">
        <v>#DIV/0!</v>
      </c>
      <c r="BK247" s="165" t="e">
        <f t="shared" si="128"/>
        <v>#DIV/0!</v>
      </c>
      <c r="BL247" s="165" t="e">
        <v>#DIV/0!</v>
      </c>
      <c r="BM247" s="165" t="e">
        <f t="shared" si="129"/>
        <v>#DIV/0!</v>
      </c>
      <c r="BN247" s="165" t="e">
        <v>#DIV/0!</v>
      </c>
    </row>
    <row r="248" spans="1:66" ht="15.6" x14ac:dyDescent="0.3">
      <c r="A248" s="155">
        <v>9000</v>
      </c>
      <c r="B248" s="155">
        <v>10000</v>
      </c>
      <c r="C248" s="156"/>
      <c r="D248" s="156"/>
      <c r="E248" s="156"/>
      <c r="F248" s="156"/>
      <c r="G248" s="156"/>
      <c r="H248" s="172"/>
      <c r="I248" s="157" t="e">
        <v>#DIV/0!</v>
      </c>
      <c r="J248" s="157" t="e">
        <v>#DIV/0!</v>
      </c>
      <c r="K248" s="157"/>
      <c r="L248" s="157"/>
      <c r="M248" s="157"/>
      <c r="N248" s="163"/>
      <c r="O248" s="179"/>
      <c r="P248" s="177" t="str">
        <f t="shared" si="112"/>
        <v>(9000, 10000]</v>
      </c>
      <c r="Q248" s="160" t="s">
        <v>150</v>
      </c>
      <c r="R248" s="157" t="e">
        <f t="shared" si="113"/>
        <v>#DIV/0!</v>
      </c>
      <c r="S248" s="162">
        <v>0.1</v>
      </c>
      <c r="T248" s="161">
        <v>0</v>
      </c>
      <c r="U248" s="161">
        <v>0</v>
      </c>
      <c r="V248" s="161">
        <v>0</v>
      </c>
      <c r="W248" s="162">
        <v>0.1</v>
      </c>
      <c r="X248" s="161">
        <v>0</v>
      </c>
      <c r="Y248" s="161">
        <v>0</v>
      </c>
      <c r="Z248" s="161">
        <v>0</v>
      </c>
      <c r="AA248" s="163" t="e">
        <v>#DIV/0!</v>
      </c>
      <c r="AB248" s="163" t="e">
        <v>#DIV/0!</v>
      </c>
      <c r="AC248" s="163" t="e">
        <v>#DIV/0!</v>
      </c>
      <c r="AD248" s="163" t="e">
        <v>#DIV/0!</v>
      </c>
      <c r="AE248" s="163" t="e">
        <v>#DIV/0!</v>
      </c>
      <c r="AF248" s="163" t="e">
        <v>#DIV/0!</v>
      </c>
      <c r="AG248" s="163" t="e">
        <v>#DIV/0!</v>
      </c>
      <c r="AH248" s="163" t="e">
        <v>#DIV/0!</v>
      </c>
      <c r="AI248" s="163" t="e">
        <v>#DIV/0!</v>
      </c>
      <c r="AJ248" s="163" t="e">
        <v>#DIV/0!</v>
      </c>
      <c r="AK248" s="163" t="e">
        <v>#DIV/0!</v>
      </c>
      <c r="AL248" s="163" t="e">
        <v>#DIV/0!</v>
      </c>
      <c r="AM248" s="163" t="e">
        <v>#DIV/0!</v>
      </c>
      <c r="AN248" s="163" t="e">
        <v>#DIV/0!</v>
      </c>
      <c r="AO248" s="163" t="e">
        <v>#DIV/0!</v>
      </c>
      <c r="AP248" s="163" t="e">
        <v>#DIV/0!</v>
      </c>
      <c r="AQ248" s="164" t="e">
        <f t="shared" si="114"/>
        <v>#DIV/0!</v>
      </c>
      <c r="AR248" s="164" t="e">
        <f t="shared" si="115"/>
        <v>#DIV/0!</v>
      </c>
      <c r="AS248" s="164" t="e">
        <f t="shared" si="116"/>
        <v>#DIV/0!</v>
      </c>
      <c r="AT248" s="164" t="e">
        <f t="shared" si="117"/>
        <v>#DIV/0!</v>
      </c>
      <c r="AU248" s="164" t="e">
        <f t="shared" si="118"/>
        <v>#DIV/0!</v>
      </c>
      <c r="AV248" s="164" t="e">
        <f t="shared" si="119"/>
        <v>#DIV/0!</v>
      </c>
      <c r="AW248" s="164" t="e">
        <f t="shared" si="120"/>
        <v>#DIV/0!</v>
      </c>
      <c r="AX248" s="164" t="e">
        <f t="shared" si="121"/>
        <v>#DIV/0!</v>
      </c>
      <c r="AY248" s="165" t="e">
        <f t="shared" si="122"/>
        <v>#DIV/0!</v>
      </c>
      <c r="AZ248" s="165" t="e">
        <v>#DIV/0!</v>
      </c>
      <c r="BA248" s="165" t="e">
        <f t="shared" si="123"/>
        <v>#DIV/0!</v>
      </c>
      <c r="BB248" s="165" t="e">
        <v>#DIV/0!</v>
      </c>
      <c r="BC248" s="165" t="e">
        <f t="shared" si="124"/>
        <v>#DIV/0!</v>
      </c>
      <c r="BD248" s="165" t="e">
        <v>#DIV/0!</v>
      </c>
      <c r="BE248" s="165" t="e">
        <f t="shared" si="125"/>
        <v>#DIV/0!</v>
      </c>
      <c r="BF248" s="165" t="e">
        <v>#DIV/0!</v>
      </c>
      <c r="BG248" s="165" t="e">
        <f t="shared" si="126"/>
        <v>#DIV/0!</v>
      </c>
      <c r="BH248" s="165" t="e">
        <v>#DIV/0!</v>
      </c>
      <c r="BI248" s="165" t="e">
        <f t="shared" si="127"/>
        <v>#DIV/0!</v>
      </c>
      <c r="BJ248" s="165" t="e">
        <v>#DIV/0!</v>
      </c>
      <c r="BK248" s="165" t="e">
        <f t="shared" si="128"/>
        <v>#DIV/0!</v>
      </c>
      <c r="BL248" s="165" t="e">
        <v>#DIV/0!</v>
      </c>
      <c r="BM248" s="165" t="e">
        <f t="shared" si="129"/>
        <v>#DIV/0!</v>
      </c>
      <c r="BN248" s="165" t="e">
        <v>#DIV/0!</v>
      </c>
    </row>
    <row r="249" spans="1:66" ht="15.6" x14ac:dyDescent="0.3">
      <c r="A249" s="155">
        <v>10000</v>
      </c>
      <c r="B249" s="155">
        <v>20000</v>
      </c>
      <c r="C249" s="156"/>
      <c r="D249" s="156"/>
      <c r="E249" s="156"/>
      <c r="F249" s="156"/>
      <c r="G249" s="156"/>
      <c r="H249" s="172"/>
      <c r="I249" s="157" t="e">
        <v>#DIV/0!</v>
      </c>
      <c r="J249" s="157" t="e">
        <v>#DIV/0!</v>
      </c>
      <c r="K249" s="157"/>
      <c r="L249" s="157"/>
      <c r="M249" s="157"/>
      <c r="N249" s="163"/>
      <c r="O249" s="179"/>
      <c r="P249" s="177" t="str">
        <f t="shared" si="112"/>
        <v>(10000, 20000]</v>
      </c>
      <c r="Q249" s="160" t="s">
        <v>150</v>
      </c>
      <c r="R249" s="157" t="e">
        <f t="shared" si="113"/>
        <v>#DIV/0!</v>
      </c>
      <c r="S249" s="162">
        <v>0.01</v>
      </c>
      <c r="T249" s="161">
        <v>0</v>
      </c>
      <c r="U249" s="161">
        <v>0</v>
      </c>
      <c r="V249" s="161">
        <v>0</v>
      </c>
      <c r="W249" s="162">
        <v>0.01</v>
      </c>
      <c r="X249" s="161">
        <v>0</v>
      </c>
      <c r="Y249" s="161">
        <v>0</v>
      </c>
      <c r="Z249" s="161">
        <v>0</v>
      </c>
      <c r="AA249" s="163" t="e">
        <v>#DIV/0!</v>
      </c>
      <c r="AB249" s="163" t="e">
        <v>#DIV/0!</v>
      </c>
      <c r="AC249" s="163" t="e">
        <v>#DIV/0!</v>
      </c>
      <c r="AD249" s="163" t="e">
        <v>#DIV/0!</v>
      </c>
      <c r="AE249" s="163" t="e">
        <v>#DIV/0!</v>
      </c>
      <c r="AF249" s="163" t="e">
        <v>#DIV/0!</v>
      </c>
      <c r="AG249" s="163" t="e">
        <v>#DIV/0!</v>
      </c>
      <c r="AH249" s="163" t="e">
        <v>#DIV/0!</v>
      </c>
      <c r="AI249" s="163" t="e">
        <v>#DIV/0!</v>
      </c>
      <c r="AJ249" s="163" t="e">
        <v>#DIV/0!</v>
      </c>
      <c r="AK249" s="163" t="e">
        <v>#DIV/0!</v>
      </c>
      <c r="AL249" s="163" t="e">
        <v>#DIV/0!</v>
      </c>
      <c r="AM249" s="163" t="e">
        <v>#DIV/0!</v>
      </c>
      <c r="AN249" s="163" t="e">
        <v>#DIV/0!</v>
      </c>
      <c r="AO249" s="163" t="e">
        <v>#DIV/0!</v>
      </c>
      <c r="AP249" s="163" t="e">
        <v>#DIV/0!</v>
      </c>
      <c r="AQ249" s="164" t="e">
        <f t="shared" si="114"/>
        <v>#DIV/0!</v>
      </c>
      <c r="AR249" s="164" t="e">
        <f t="shared" si="115"/>
        <v>#DIV/0!</v>
      </c>
      <c r="AS249" s="164" t="e">
        <f t="shared" si="116"/>
        <v>#DIV/0!</v>
      </c>
      <c r="AT249" s="164" t="e">
        <f t="shared" si="117"/>
        <v>#DIV/0!</v>
      </c>
      <c r="AU249" s="164" t="e">
        <f t="shared" si="118"/>
        <v>#DIV/0!</v>
      </c>
      <c r="AV249" s="164" t="e">
        <f t="shared" si="119"/>
        <v>#DIV/0!</v>
      </c>
      <c r="AW249" s="164" t="e">
        <f t="shared" si="120"/>
        <v>#DIV/0!</v>
      </c>
      <c r="AX249" s="164" t="e">
        <f t="shared" si="121"/>
        <v>#DIV/0!</v>
      </c>
      <c r="AY249" s="165" t="e">
        <f t="shared" si="122"/>
        <v>#DIV/0!</v>
      </c>
      <c r="AZ249" s="165" t="e">
        <v>#DIV/0!</v>
      </c>
      <c r="BA249" s="165" t="e">
        <f t="shared" si="123"/>
        <v>#DIV/0!</v>
      </c>
      <c r="BB249" s="165" t="e">
        <v>#DIV/0!</v>
      </c>
      <c r="BC249" s="165" t="e">
        <f t="shared" si="124"/>
        <v>#DIV/0!</v>
      </c>
      <c r="BD249" s="165" t="e">
        <v>#DIV/0!</v>
      </c>
      <c r="BE249" s="165" t="e">
        <f t="shared" si="125"/>
        <v>#DIV/0!</v>
      </c>
      <c r="BF249" s="165" t="e">
        <v>#DIV/0!</v>
      </c>
      <c r="BG249" s="165" t="e">
        <f t="shared" si="126"/>
        <v>#DIV/0!</v>
      </c>
      <c r="BH249" s="165" t="e">
        <v>#DIV/0!</v>
      </c>
      <c r="BI249" s="165" t="e">
        <f t="shared" si="127"/>
        <v>#DIV/0!</v>
      </c>
      <c r="BJ249" s="165" t="e">
        <v>#DIV/0!</v>
      </c>
      <c r="BK249" s="165" t="e">
        <f t="shared" si="128"/>
        <v>#DIV/0!</v>
      </c>
      <c r="BL249" s="165" t="e">
        <v>#DIV/0!</v>
      </c>
      <c r="BM249" s="165" t="e">
        <f t="shared" si="129"/>
        <v>#DIV/0!</v>
      </c>
      <c r="BN249" s="165" t="e">
        <v>#DIV/0!</v>
      </c>
    </row>
    <row r="250" spans="1:66" ht="15.6" x14ac:dyDescent="0.3">
      <c r="A250" s="155">
        <v>20000</v>
      </c>
      <c r="B250" s="155">
        <v>30000</v>
      </c>
      <c r="C250" s="156"/>
      <c r="D250" s="156"/>
      <c r="E250" s="156"/>
      <c r="F250" s="156"/>
      <c r="G250" s="156"/>
      <c r="H250" s="172"/>
      <c r="I250" s="157" t="e">
        <v>#DIV/0!</v>
      </c>
      <c r="J250" s="157" t="e">
        <v>#DIV/0!</v>
      </c>
      <c r="K250" s="157"/>
      <c r="L250" s="157"/>
      <c r="M250" s="157"/>
      <c r="N250" s="163"/>
      <c r="O250" s="179"/>
      <c r="P250" s="177" t="str">
        <f t="shared" si="112"/>
        <v>(20000, 30000]</v>
      </c>
      <c r="Q250" s="160" t="s">
        <v>150</v>
      </c>
      <c r="R250" s="157" t="e">
        <f t="shared" si="113"/>
        <v>#DIV/0!</v>
      </c>
      <c r="S250" s="162">
        <v>0.01</v>
      </c>
      <c r="T250" s="161">
        <v>0</v>
      </c>
      <c r="U250" s="161">
        <v>0</v>
      </c>
      <c r="V250" s="161">
        <v>0</v>
      </c>
      <c r="W250" s="162">
        <v>0.01</v>
      </c>
      <c r="X250" s="161">
        <v>0</v>
      </c>
      <c r="Y250" s="161">
        <v>0</v>
      </c>
      <c r="Z250" s="161">
        <v>0</v>
      </c>
      <c r="AA250" s="163" t="e">
        <v>#DIV/0!</v>
      </c>
      <c r="AB250" s="163" t="e">
        <v>#DIV/0!</v>
      </c>
      <c r="AC250" s="163" t="e">
        <v>#DIV/0!</v>
      </c>
      <c r="AD250" s="163" t="e">
        <v>#DIV/0!</v>
      </c>
      <c r="AE250" s="163" t="e">
        <v>#DIV/0!</v>
      </c>
      <c r="AF250" s="163" t="e">
        <v>#DIV/0!</v>
      </c>
      <c r="AG250" s="163" t="e">
        <v>#DIV/0!</v>
      </c>
      <c r="AH250" s="163" t="e">
        <v>#DIV/0!</v>
      </c>
      <c r="AI250" s="163" t="e">
        <v>#DIV/0!</v>
      </c>
      <c r="AJ250" s="163" t="e">
        <v>#DIV/0!</v>
      </c>
      <c r="AK250" s="163" t="e">
        <v>#DIV/0!</v>
      </c>
      <c r="AL250" s="163" t="e">
        <v>#DIV/0!</v>
      </c>
      <c r="AM250" s="163" t="e">
        <v>#DIV/0!</v>
      </c>
      <c r="AN250" s="163" t="e">
        <v>#DIV/0!</v>
      </c>
      <c r="AO250" s="163" t="e">
        <v>#DIV/0!</v>
      </c>
      <c r="AP250" s="163" t="e">
        <v>#DIV/0!</v>
      </c>
      <c r="AQ250" s="164" t="e">
        <f t="shared" si="114"/>
        <v>#DIV/0!</v>
      </c>
      <c r="AR250" s="164" t="e">
        <f t="shared" si="115"/>
        <v>#DIV/0!</v>
      </c>
      <c r="AS250" s="164" t="e">
        <f t="shared" si="116"/>
        <v>#DIV/0!</v>
      </c>
      <c r="AT250" s="164" t="e">
        <f t="shared" si="117"/>
        <v>#DIV/0!</v>
      </c>
      <c r="AU250" s="164" t="e">
        <f t="shared" si="118"/>
        <v>#DIV/0!</v>
      </c>
      <c r="AV250" s="164" t="e">
        <f t="shared" si="119"/>
        <v>#DIV/0!</v>
      </c>
      <c r="AW250" s="164" t="e">
        <f t="shared" si="120"/>
        <v>#DIV/0!</v>
      </c>
      <c r="AX250" s="164" t="e">
        <f t="shared" si="121"/>
        <v>#DIV/0!</v>
      </c>
      <c r="AY250" s="165" t="e">
        <f t="shared" si="122"/>
        <v>#DIV/0!</v>
      </c>
      <c r="AZ250" s="165" t="e">
        <v>#DIV/0!</v>
      </c>
      <c r="BA250" s="165" t="e">
        <f t="shared" si="123"/>
        <v>#DIV/0!</v>
      </c>
      <c r="BB250" s="165" t="e">
        <v>#DIV/0!</v>
      </c>
      <c r="BC250" s="165" t="e">
        <f t="shared" si="124"/>
        <v>#DIV/0!</v>
      </c>
      <c r="BD250" s="165" t="e">
        <v>#DIV/0!</v>
      </c>
      <c r="BE250" s="165" t="e">
        <f t="shared" si="125"/>
        <v>#DIV/0!</v>
      </c>
      <c r="BF250" s="165" t="e">
        <v>#DIV/0!</v>
      </c>
      <c r="BG250" s="165" t="e">
        <f t="shared" si="126"/>
        <v>#DIV/0!</v>
      </c>
      <c r="BH250" s="165" t="e">
        <v>#DIV/0!</v>
      </c>
      <c r="BI250" s="165" t="e">
        <f t="shared" si="127"/>
        <v>#DIV/0!</v>
      </c>
      <c r="BJ250" s="165" t="e">
        <v>#DIV/0!</v>
      </c>
      <c r="BK250" s="165" t="e">
        <f t="shared" si="128"/>
        <v>#DIV/0!</v>
      </c>
      <c r="BL250" s="165" t="e">
        <v>#DIV/0!</v>
      </c>
      <c r="BM250" s="165" t="e">
        <f t="shared" si="129"/>
        <v>#DIV/0!</v>
      </c>
      <c r="BN250" s="165" t="e">
        <v>#DIV/0!</v>
      </c>
    </row>
    <row r="251" spans="1:66" ht="15.6" x14ac:dyDescent="0.3">
      <c r="A251" s="155">
        <v>30000</v>
      </c>
      <c r="B251" s="155">
        <v>99999999</v>
      </c>
      <c r="C251" s="156"/>
      <c r="D251" s="156"/>
      <c r="E251" s="156"/>
      <c r="F251" s="156"/>
      <c r="G251" s="156"/>
      <c r="H251" s="172"/>
      <c r="I251" s="157" t="e">
        <v>#DIV/0!</v>
      </c>
      <c r="J251" s="157" t="e">
        <v>#DIV/0!</v>
      </c>
      <c r="K251" s="157"/>
      <c r="L251" s="157"/>
      <c r="M251" s="157"/>
      <c r="N251" s="163"/>
      <c r="O251" s="179"/>
      <c r="P251" s="177" t="str">
        <f t="shared" si="112"/>
        <v>(30000, 99999999]</v>
      </c>
      <c r="Q251" s="160" t="s">
        <v>150</v>
      </c>
      <c r="R251" s="157" t="e">
        <f t="shared" si="113"/>
        <v>#DIV/0!</v>
      </c>
      <c r="S251" s="162">
        <v>0.01</v>
      </c>
      <c r="T251" s="161">
        <v>0</v>
      </c>
      <c r="U251" s="161">
        <v>0</v>
      </c>
      <c r="V251" s="161">
        <v>0</v>
      </c>
      <c r="W251" s="162">
        <v>0.01</v>
      </c>
      <c r="X251" s="161">
        <v>0</v>
      </c>
      <c r="Y251" s="161">
        <v>0</v>
      </c>
      <c r="Z251" s="161">
        <v>0</v>
      </c>
      <c r="AA251" s="163" t="e">
        <v>#DIV/0!</v>
      </c>
      <c r="AB251" s="163" t="e">
        <v>#DIV/0!</v>
      </c>
      <c r="AC251" s="163" t="e">
        <v>#DIV/0!</v>
      </c>
      <c r="AD251" s="163" t="e">
        <v>#DIV/0!</v>
      </c>
      <c r="AE251" s="163" t="e">
        <v>#DIV/0!</v>
      </c>
      <c r="AF251" s="163" t="e">
        <v>#DIV/0!</v>
      </c>
      <c r="AG251" s="163" t="e">
        <v>#DIV/0!</v>
      </c>
      <c r="AH251" s="163" t="e">
        <v>#DIV/0!</v>
      </c>
      <c r="AI251" s="163" t="e">
        <v>#DIV/0!</v>
      </c>
      <c r="AJ251" s="163" t="e">
        <v>#DIV/0!</v>
      </c>
      <c r="AK251" s="163" t="e">
        <v>#DIV/0!</v>
      </c>
      <c r="AL251" s="163" t="e">
        <v>#DIV/0!</v>
      </c>
      <c r="AM251" s="163" t="e">
        <v>#DIV/0!</v>
      </c>
      <c r="AN251" s="163" t="e">
        <v>#DIV/0!</v>
      </c>
      <c r="AO251" s="163" t="e">
        <v>#DIV/0!</v>
      </c>
      <c r="AP251" s="163" t="e">
        <v>#DIV/0!</v>
      </c>
      <c r="AQ251" s="164" t="e">
        <f t="shared" si="114"/>
        <v>#DIV/0!</v>
      </c>
      <c r="AR251" s="164" t="e">
        <f t="shared" si="115"/>
        <v>#DIV/0!</v>
      </c>
      <c r="AS251" s="164" t="e">
        <f t="shared" si="116"/>
        <v>#DIV/0!</v>
      </c>
      <c r="AT251" s="164" t="e">
        <f t="shared" si="117"/>
        <v>#DIV/0!</v>
      </c>
      <c r="AU251" s="164" t="e">
        <f t="shared" si="118"/>
        <v>#DIV/0!</v>
      </c>
      <c r="AV251" s="164" t="e">
        <f t="shared" si="119"/>
        <v>#DIV/0!</v>
      </c>
      <c r="AW251" s="164" t="e">
        <f t="shared" si="120"/>
        <v>#DIV/0!</v>
      </c>
      <c r="AX251" s="164" t="e">
        <f t="shared" si="121"/>
        <v>#DIV/0!</v>
      </c>
      <c r="AY251" s="165" t="e">
        <f t="shared" si="122"/>
        <v>#DIV/0!</v>
      </c>
      <c r="AZ251" s="165" t="e">
        <v>#DIV/0!</v>
      </c>
      <c r="BA251" s="165" t="e">
        <f t="shared" si="123"/>
        <v>#DIV/0!</v>
      </c>
      <c r="BB251" s="165" t="e">
        <v>#DIV/0!</v>
      </c>
      <c r="BC251" s="165" t="e">
        <f t="shared" si="124"/>
        <v>#DIV/0!</v>
      </c>
      <c r="BD251" s="165" t="e">
        <v>#DIV/0!</v>
      </c>
      <c r="BE251" s="165" t="e">
        <f t="shared" si="125"/>
        <v>#DIV/0!</v>
      </c>
      <c r="BF251" s="165" t="e">
        <v>#DIV/0!</v>
      </c>
      <c r="BG251" s="165" t="e">
        <f t="shared" si="126"/>
        <v>#DIV/0!</v>
      </c>
      <c r="BH251" s="165" t="e">
        <v>#DIV/0!</v>
      </c>
      <c r="BI251" s="165" t="e">
        <f t="shared" si="127"/>
        <v>#DIV/0!</v>
      </c>
      <c r="BJ251" s="165" t="e">
        <v>#DIV/0!</v>
      </c>
      <c r="BK251" s="165" t="e">
        <f t="shared" si="128"/>
        <v>#DIV/0!</v>
      </c>
      <c r="BL251" s="165" t="e">
        <v>#DIV/0!</v>
      </c>
      <c r="BM251" s="165" t="e">
        <f t="shared" si="129"/>
        <v>#DIV/0!</v>
      </c>
      <c r="BN251" s="165" t="e">
        <v>#DIV/0!</v>
      </c>
    </row>
    <row r="252" spans="1:66" ht="15.6" x14ac:dyDescent="0.3">
      <c r="A252" s="155"/>
      <c r="B252" s="155"/>
      <c r="C252" s="156"/>
      <c r="D252" s="156"/>
      <c r="E252" s="156"/>
      <c r="F252" s="156"/>
      <c r="G252" s="156"/>
      <c r="H252" s="172"/>
      <c r="I252" s="157" t="e">
        <v>#DIV/0!</v>
      </c>
      <c r="J252" s="157" t="e">
        <v>#DIV/0!</v>
      </c>
      <c r="K252" s="157"/>
      <c r="L252" s="157"/>
      <c r="M252" s="157"/>
      <c r="N252" s="163"/>
      <c r="O252" s="179"/>
      <c r="P252" s="177" t="str">
        <f t="shared" si="112"/>
        <v>(, ]</v>
      </c>
      <c r="Q252" s="160" t="s">
        <v>150</v>
      </c>
      <c r="R252" s="157" t="e">
        <f t="shared" si="113"/>
        <v>#DIV/0!</v>
      </c>
      <c r="S252" s="161">
        <v>0</v>
      </c>
      <c r="T252" s="161">
        <v>0</v>
      </c>
      <c r="U252" s="161">
        <v>0</v>
      </c>
      <c r="V252" s="161">
        <v>0</v>
      </c>
      <c r="W252" s="161">
        <v>0</v>
      </c>
      <c r="X252" s="161">
        <v>0</v>
      </c>
      <c r="Y252" s="161">
        <v>0</v>
      </c>
      <c r="Z252" s="161">
        <v>0</v>
      </c>
      <c r="AA252" s="163" t="e">
        <v>#DIV/0!</v>
      </c>
      <c r="AB252" s="163" t="e">
        <v>#DIV/0!</v>
      </c>
      <c r="AC252" s="163" t="e">
        <v>#DIV/0!</v>
      </c>
      <c r="AD252" s="163" t="e">
        <v>#DIV/0!</v>
      </c>
      <c r="AE252" s="163" t="e">
        <v>#DIV/0!</v>
      </c>
      <c r="AF252" s="163" t="e">
        <v>#DIV/0!</v>
      </c>
      <c r="AG252" s="163" t="e">
        <v>#DIV/0!</v>
      </c>
      <c r="AH252" s="163" t="e">
        <v>#DIV/0!</v>
      </c>
      <c r="AI252" s="163" t="e">
        <v>#DIV/0!</v>
      </c>
      <c r="AJ252" s="163" t="e">
        <v>#DIV/0!</v>
      </c>
      <c r="AK252" s="163" t="e">
        <v>#DIV/0!</v>
      </c>
      <c r="AL252" s="163" t="e">
        <v>#DIV/0!</v>
      </c>
      <c r="AM252" s="163" t="e">
        <v>#DIV/0!</v>
      </c>
      <c r="AN252" s="163" t="e">
        <v>#DIV/0!</v>
      </c>
      <c r="AO252" s="163" t="e">
        <v>#DIV/0!</v>
      </c>
      <c r="AP252" s="163" t="e">
        <v>#DIV/0!</v>
      </c>
      <c r="AQ252" s="164" t="e">
        <f t="shared" si="114"/>
        <v>#DIV/0!</v>
      </c>
      <c r="AR252" s="164" t="e">
        <f t="shared" si="115"/>
        <v>#DIV/0!</v>
      </c>
      <c r="AS252" s="164" t="e">
        <f t="shared" si="116"/>
        <v>#DIV/0!</v>
      </c>
      <c r="AT252" s="164" t="e">
        <f t="shared" si="117"/>
        <v>#DIV/0!</v>
      </c>
      <c r="AU252" s="164" t="e">
        <f t="shared" si="118"/>
        <v>#DIV/0!</v>
      </c>
      <c r="AV252" s="164" t="e">
        <f t="shared" si="119"/>
        <v>#DIV/0!</v>
      </c>
      <c r="AW252" s="164" t="e">
        <f t="shared" si="120"/>
        <v>#DIV/0!</v>
      </c>
      <c r="AX252" s="164" t="e">
        <f t="shared" si="121"/>
        <v>#DIV/0!</v>
      </c>
      <c r="AY252" s="165" t="e">
        <f t="shared" si="122"/>
        <v>#DIV/0!</v>
      </c>
      <c r="AZ252" s="165" t="e">
        <v>#DIV/0!</v>
      </c>
      <c r="BA252" s="165" t="e">
        <f t="shared" si="123"/>
        <v>#DIV/0!</v>
      </c>
      <c r="BB252" s="165" t="e">
        <v>#DIV/0!</v>
      </c>
      <c r="BC252" s="165" t="e">
        <f t="shared" si="124"/>
        <v>#DIV/0!</v>
      </c>
      <c r="BD252" s="165" t="e">
        <v>#DIV/0!</v>
      </c>
      <c r="BE252" s="165" t="e">
        <f t="shared" si="125"/>
        <v>#DIV/0!</v>
      </c>
      <c r="BF252" s="165" t="e">
        <v>#DIV/0!</v>
      </c>
      <c r="BG252" s="165" t="e">
        <f t="shared" si="126"/>
        <v>#DIV/0!</v>
      </c>
      <c r="BH252" s="165" t="e">
        <v>#DIV/0!</v>
      </c>
      <c r="BI252" s="165" t="e">
        <f t="shared" si="127"/>
        <v>#DIV/0!</v>
      </c>
      <c r="BJ252" s="165" t="e">
        <v>#DIV/0!</v>
      </c>
      <c r="BK252" s="165" t="e">
        <f t="shared" si="128"/>
        <v>#DIV/0!</v>
      </c>
      <c r="BL252" s="165" t="e">
        <v>#DIV/0!</v>
      </c>
      <c r="BM252" s="165" t="e">
        <f t="shared" si="129"/>
        <v>#DIV/0!</v>
      </c>
      <c r="BN252" s="165" t="e">
        <v>#DIV/0!</v>
      </c>
    </row>
    <row r="253" spans="1:66" ht="15.6" x14ac:dyDescent="0.3">
      <c r="A253" s="155"/>
      <c r="B253" s="155"/>
      <c r="C253" s="156"/>
      <c r="D253" s="156"/>
      <c r="E253" s="156"/>
      <c r="F253" s="156"/>
      <c r="G253" s="156"/>
      <c r="H253" s="172"/>
      <c r="I253" s="157" t="e">
        <v>#DIV/0!</v>
      </c>
      <c r="J253" s="157" t="e">
        <v>#DIV/0!</v>
      </c>
      <c r="K253" s="157"/>
      <c r="L253" s="155"/>
      <c r="M253" s="155"/>
      <c r="N253" s="163"/>
      <c r="O253" s="180"/>
      <c r="P253" s="177" t="str">
        <f t="shared" si="112"/>
        <v>(, ]</v>
      </c>
      <c r="Q253" s="160" t="s">
        <v>150</v>
      </c>
      <c r="R253" s="157" t="e">
        <f t="shared" si="113"/>
        <v>#DIV/0!</v>
      </c>
      <c r="S253" s="161">
        <v>0</v>
      </c>
      <c r="T253" s="161">
        <v>0</v>
      </c>
      <c r="U253" s="161">
        <v>0</v>
      </c>
      <c r="V253" s="161">
        <v>0</v>
      </c>
      <c r="W253" s="161">
        <v>0</v>
      </c>
      <c r="X253" s="161">
        <v>0</v>
      </c>
      <c r="Y253" s="161">
        <v>0</v>
      </c>
      <c r="Z253" s="161">
        <v>0</v>
      </c>
      <c r="AA253" s="163" t="e">
        <v>#DIV/0!</v>
      </c>
      <c r="AB253" s="163" t="e">
        <v>#DIV/0!</v>
      </c>
      <c r="AC253" s="163" t="e">
        <v>#DIV/0!</v>
      </c>
      <c r="AD253" s="163" t="e">
        <v>#DIV/0!</v>
      </c>
      <c r="AE253" s="163" t="e">
        <v>#DIV/0!</v>
      </c>
      <c r="AF253" s="163" t="e">
        <v>#DIV/0!</v>
      </c>
      <c r="AG253" s="163" t="e">
        <v>#DIV/0!</v>
      </c>
      <c r="AH253" s="163" t="e">
        <v>#DIV/0!</v>
      </c>
      <c r="AI253" s="163" t="e">
        <v>#DIV/0!</v>
      </c>
      <c r="AJ253" s="163" t="e">
        <v>#DIV/0!</v>
      </c>
      <c r="AK253" s="163" t="e">
        <v>#DIV/0!</v>
      </c>
      <c r="AL253" s="163" t="e">
        <v>#DIV/0!</v>
      </c>
      <c r="AM253" s="163" t="e">
        <v>#DIV/0!</v>
      </c>
      <c r="AN253" s="163" t="e">
        <v>#DIV/0!</v>
      </c>
      <c r="AO253" s="163" t="e">
        <v>#DIV/0!</v>
      </c>
      <c r="AP253" s="163" t="e">
        <v>#DIV/0!</v>
      </c>
      <c r="AQ253" s="164" t="e">
        <f t="shared" si="114"/>
        <v>#DIV/0!</v>
      </c>
      <c r="AR253" s="164" t="e">
        <f t="shared" si="115"/>
        <v>#DIV/0!</v>
      </c>
      <c r="AS253" s="164" t="e">
        <f t="shared" si="116"/>
        <v>#DIV/0!</v>
      </c>
      <c r="AT253" s="164" t="e">
        <f t="shared" si="117"/>
        <v>#DIV/0!</v>
      </c>
      <c r="AU253" s="164" t="e">
        <f t="shared" si="118"/>
        <v>#DIV/0!</v>
      </c>
      <c r="AV253" s="164" t="e">
        <f t="shared" si="119"/>
        <v>#DIV/0!</v>
      </c>
      <c r="AW253" s="164" t="e">
        <f t="shared" si="120"/>
        <v>#DIV/0!</v>
      </c>
      <c r="AX253" s="164" t="e">
        <f t="shared" si="121"/>
        <v>#DIV/0!</v>
      </c>
      <c r="AY253" s="165" t="e">
        <f t="shared" si="122"/>
        <v>#DIV/0!</v>
      </c>
      <c r="AZ253" s="165" t="e">
        <v>#DIV/0!</v>
      </c>
      <c r="BA253" s="165" t="e">
        <f t="shared" si="123"/>
        <v>#DIV/0!</v>
      </c>
      <c r="BB253" s="165" t="e">
        <v>#DIV/0!</v>
      </c>
      <c r="BC253" s="165" t="e">
        <f t="shared" si="124"/>
        <v>#DIV/0!</v>
      </c>
      <c r="BD253" s="165" t="e">
        <v>#DIV/0!</v>
      </c>
      <c r="BE253" s="165" t="e">
        <f t="shared" si="125"/>
        <v>#DIV/0!</v>
      </c>
      <c r="BF253" s="165" t="e">
        <v>#DIV/0!</v>
      </c>
      <c r="BG253" s="165" t="e">
        <f t="shared" si="126"/>
        <v>#DIV/0!</v>
      </c>
      <c r="BH253" s="165" t="e">
        <v>#DIV/0!</v>
      </c>
      <c r="BI253" s="165" t="e">
        <f t="shared" si="127"/>
        <v>#DIV/0!</v>
      </c>
      <c r="BJ253" s="165" t="e">
        <v>#DIV/0!</v>
      </c>
      <c r="BK253" s="165" t="e">
        <f t="shared" si="128"/>
        <v>#DIV/0!</v>
      </c>
      <c r="BL253" s="165" t="e">
        <v>#DIV/0!</v>
      </c>
      <c r="BM253" s="165" t="e">
        <f t="shared" si="129"/>
        <v>#DIV/0!</v>
      </c>
      <c r="BN253" s="165" t="e">
        <v>#DIV/0!</v>
      </c>
    </row>
  </sheetData>
  <mergeCells count="40">
    <mergeCell ref="A193:A194"/>
    <mergeCell ref="B193:B194"/>
    <mergeCell ref="C193:E193"/>
    <mergeCell ref="F193:H193"/>
    <mergeCell ref="I193:K193"/>
    <mergeCell ref="L193:N193"/>
    <mergeCell ref="P193:P194"/>
    <mergeCell ref="Q193:AH193"/>
    <mergeCell ref="AI193:AP193"/>
    <mergeCell ref="AQ193:AX193"/>
    <mergeCell ref="AQ130:AX130"/>
    <mergeCell ref="A130:A131"/>
    <mergeCell ref="B130:B131"/>
    <mergeCell ref="C130:E130"/>
    <mergeCell ref="F130:H130"/>
    <mergeCell ref="I130:K130"/>
    <mergeCell ref="L65:N65"/>
    <mergeCell ref="P65:P66"/>
    <mergeCell ref="Q65:AH65"/>
    <mergeCell ref="AI65:AP65"/>
    <mergeCell ref="L130:N130"/>
    <mergeCell ref="P130:P131"/>
    <mergeCell ref="Q130:AH130"/>
    <mergeCell ref="AI130:AP130"/>
    <mergeCell ref="AQ65:AX65"/>
    <mergeCell ref="A3:A4"/>
    <mergeCell ref="B3:B4"/>
    <mergeCell ref="C3:E3"/>
    <mergeCell ref="F3:H3"/>
    <mergeCell ref="I3:K3"/>
    <mergeCell ref="L3:N3"/>
    <mergeCell ref="P3:P4"/>
    <mergeCell ref="Q3:AH3"/>
    <mergeCell ref="AI3:AP3"/>
    <mergeCell ref="AQ3:AX3"/>
    <mergeCell ref="A65:A66"/>
    <mergeCell ref="B65:B66"/>
    <mergeCell ref="C65:E65"/>
    <mergeCell ref="F65:H65"/>
    <mergeCell ref="I65:K65"/>
  </mergeCells>
  <phoneticPr fontId="20" type="noConversion"/>
  <conditionalFormatting sqref="R67:R125 R5:R62">
    <cfRule type="cellIs" dxfId="678" priority="61" operator="lessThan">
      <formula>$A$63</formula>
    </cfRule>
  </conditionalFormatting>
  <conditionalFormatting sqref="AY67:AY125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{89F32DF5-588F-43CA-8151-484771E41B70}</x14:id>
        </ext>
      </extLst>
    </cfRule>
  </conditionalFormatting>
  <conditionalFormatting sqref="AZ67:AZ125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{F3B10F04-8227-4E40-AB05-151F8DE0E7C9}</x14:id>
        </ext>
      </extLst>
    </cfRule>
  </conditionalFormatting>
  <conditionalFormatting sqref="BB67:BB1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{5BCA64B3-E0F7-43D0-A344-556ECE9E94E9}</x14:id>
        </ext>
      </extLst>
    </cfRule>
  </conditionalFormatting>
  <conditionalFormatting sqref="BC6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{1F098763-FB37-41EB-88DB-2151714744F2}</x14:id>
        </ext>
      </extLst>
    </cfRule>
  </conditionalFormatting>
  <conditionalFormatting sqref="BD67:BD1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{E819375C-DBC6-480B-87E6-FB5BF20A82F1}</x14:id>
        </ext>
      </extLst>
    </cfRule>
  </conditionalFormatting>
  <conditionalFormatting sqref="BA67:BA1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{091CC3A9-62A3-4307-A9D1-69AACFE477EB}</x14:id>
        </ext>
      </extLst>
    </cfRule>
  </conditionalFormatting>
  <conditionalFormatting sqref="BC67:BC1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{3C39ABB0-C07A-48CC-BC09-E3546723A4BE}</x14:id>
        </ext>
      </extLst>
    </cfRule>
  </conditionalFormatting>
  <conditionalFormatting sqref="R132:R191">
    <cfRule type="cellIs" dxfId="677" priority="53" operator="lessThan">
      <formula>$A$63</formula>
    </cfRule>
  </conditionalFormatting>
  <conditionalFormatting sqref="AY132:AY19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{BE69630E-C9D2-4CE3-9C9E-477DE26D9375}</x14:id>
        </ext>
      </extLst>
    </cfRule>
  </conditionalFormatting>
  <conditionalFormatting sqref="AZ132:AZ191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{FE3AC592-717C-499B-8A26-B04EB10FC349}</x14:id>
        </ext>
      </extLst>
    </cfRule>
  </conditionalFormatting>
  <conditionalFormatting sqref="BB132:BB19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{C4B3F263-98AE-4183-B94E-6DCE649D5BC3}</x14:id>
        </ext>
      </extLst>
    </cfRule>
  </conditionalFormatting>
  <conditionalFormatting sqref="BD132:BD19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{705F040B-2866-4521-A034-666F36AB4F99}</x14:id>
        </ext>
      </extLst>
    </cfRule>
  </conditionalFormatting>
  <conditionalFormatting sqref="BA132:BA19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{400CE7D9-2AF9-4525-AAB5-D9ECE1DD683B}</x14:id>
        </ext>
      </extLst>
    </cfRule>
  </conditionalFormatting>
  <conditionalFormatting sqref="BC132:BC191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{5371FA9B-78E2-4F9E-AD4D-2BDFE8E9F48E}</x14:id>
        </ext>
      </extLst>
    </cfRule>
  </conditionalFormatting>
  <conditionalFormatting sqref="R195:R253">
    <cfRule type="cellIs" dxfId="676" priority="46" operator="lessThan">
      <formula>$A$63</formula>
    </cfRule>
  </conditionalFormatting>
  <conditionalFormatting sqref="AY195:AY253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{A9322B61-6B82-42F4-B382-AFBBD5978B0F}</x14:id>
        </ext>
      </extLst>
    </cfRule>
  </conditionalFormatting>
  <conditionalFormatting sqref="AZ195:AZ253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{A1EF9C3F-3292-477D-A031-D201E5E0FBFC}</x14:id>
        </ext>
      </extLst>
    </cfRule>
  </conditionalFormatting>
  <conditionalFormatting sqref="BB195:BB253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{0A6A3C5D-6745-49E5-BCFF-94D4049F338B}</x14:id>
        </ext>
      </extLst>
    </cfRule>
  </conditionalFormatting>
  <conditionalFormatting sqref="BD195:BD253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{A3098F14-DF16-4BFD-9787-839F00317861}</x14:id>
        </ext>
      </extLst>
    </cfRule>
  </conditionalFormatting>
  <conditionalFormatting sqref="BA195:BA25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{1CDA49B3-B354-4082-B99D-C488C4B814B1}</x14:id>
        </ext>
      </extLst>
    </cfRule>
  </conditionalFormatting>
  <conditionalFormatting sqref="BC195:BC25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{DFC0D42B-E916-4AC3-855C-748087767484}</x14:id>
        </ext>
      </extLst>
    </cfRule>
  </conditionalFormatting>
  <conditionalFormatting sqref="AY5:AY62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{293557D7-9D58-40DA-A288-9AB821B765A1}</x14:id>
        </ext>
      </extLst>
    </cfRule>
  </conditionalFormatting>
  <conditionalFormatting sqref="AZ8:AZ6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{A9125E4E-C12C-4849-9D57-58305461E216}</x14:id>
        </ext>
      </extLst>
    </cfRule>
  </conditionalFormatting>
  <conditionalFormatting sqref="BB8:BB62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{42BE9F8B-FB64-483E-8D90-CC2FE11BB75D}</x14:id>
        </ext>
      </extLst>
    </cfRule>
  </conditionalFormatting>
  <conditionalFormatting sqref="BD8:BD62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{9EBB69F8-A7E4-484E-82A0-566AC32628A3}</x14:id>
        </ext>
      </extLst>
    </cfRule>
  </conditionalFormatting>
  <conditionalFormatting sqref="BA5:BA6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{67F020DE-D218-441C-B65D-9291301B5450}</x14:id>
        </ext>
      </extLst>
    </cfRule>
  </conditionalFormatting>
  <conditionalFormatting sqref="BC5:BC6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{99D2D8CA-155D-4914-8520-0E87446EBBFE}</x14:id>
        </ext>
      </extLst>
    </cfRule>
  </conditionalFormatting>
  <conditionalFormatting sqref="BE6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{0C9C49A6-33BD-42F8-BF83-4F83F940C12D}</x14:id>
        </ext>
      </extLst>
    </cfRule>
  </conditionalFormatting>
  <conditionalFormatting sqref="BF67:BF12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{97C8878D-9551-4318-8222-E1DFDEF3D7A7}</x14:id>
        </ext>
      </extLst>
    </cfRule>
  </conditionalFormatting>
  <conditionalFormatting sqref="BE67:BE1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{5008ECA3-1992-4758-9DB2-3A07452F6565}</x14:id>
        </ext>
      </extLst>
    </cfRule>
  </conditionalFormatting>
  <conditionalFormatting sqref="BF132:BF191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{52C2BF8D-8957-4253-8EE9-114F52A8E971}</x14:id>
        </ext>
      </extLst>
    </cfRule>
  </conditionalFormatting>
  <conditionalFormatting sqref="BE132:BE19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{FA737ED4-3D8C-4FC6-AA80-10F962415625}</x14:id>
        </ext>
      </extLst>
    </cfRule>
  </conditionalFormatting>
  <conditionalFormatting sqref="BF195:BF253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{D1D3B982-B136-433F-92A5-5C8FF55E3D07}</x14:id>
        </ext>
      </extLst>
    </cfRule>
  </conditionalFormatting>
  <conditionalFormatting sqref="BE195:BE25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{C485BA9D-E942-4BA2-9B02-3484C2399848}</x14:id>
        </ext>
      </extLst>
    </cfRule>
  </conditionalFormatting>
  <conditionalFormatting sqref="BF8:BF62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{91810BDA-5632-4D2C-A478-DEC6B9141E4F}</x14:id>
        </ext>
      </extLst>
    </cfRule>
  </conditionalFormatting>
  <conditionalFormatting sqref="BE5:BE6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{9246CC6E-05B0-41DD-892C-840323891A0A}</x14:id>
        </ext>
      </extLst>
    </cfRule>
  </conditionalFormatting>
  <conditionalFormatting sqref="R1:R2 R4:R64 R194:R1048576 R131:R192 R66:R129">
    <cfRule type="cellIs" dxfId="675" priority="29" operator="lessThan">
      <formula>0.001</formula>
    </cfRule>
  </conditionalFormatting>
  <conditionalFormatting sqref="BG67:BG1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{6A66C6DB-445A-4D34-8D39-D1493C8B7E5E}</x14:id>
        </ext>
      </extLst>
    </cfRule>
  </conditionalFormatting>
  <conditionalFormatting sqref="BH67:BH1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{B88FF522-7D78-4EFC-9A25-E1690FF68CCB}</x14:id>
        </ext>
      </extLst>
    </cfRule>
  </conditionalFormatting>
  <conditionalFormatting sqref="BJ67:BJ125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{9D6E5C4E-92BA-4EFB-9F2E-F041B6D5725D}</x14:id>
        </ext>
      </extLst>
    </cfRule>
  </conditionalFormatting>
  <conditionalFormatting sqref="BK6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{031854F4-D8B2-4179-B87D-650A7F9FD225}</x14:id>
        </ext>
      </extLst>
    </cfRule>
  </conditionalFormatting>
  <conditionalFormatting sqref="BL67:BL125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{249C1825-9A29-4570-A998-6DB311BAF8D8}</x14:id>
        </ext>
      </extLst>
    </cfRule>
  </conditionalFormatting>
  <conditionalFormatting sqref="BI67:BI12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{E63563EF-483A-4C84-85D7-BDD5AA2B4F2E}</x14:id>
        </ext>
      </extLst>
    </cfRule>
  </conditionalFormatting>
  <conditionalFormatting sqref="BK67:BK1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{B7D79662-19E7-4D0C-B043-AFCA73A73C66}</x14:id>
        </ext>
      </extLst>
    </cfRule>
  </conditionalFormatting>
  <conditionalFormatting sqref="BG132:BG19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{7D1B27E7-2CEF-4B2A-8922-E0460AEBCA66}</x14:id>
        </ext>
      </extLst>
    </cfRule>
  </conditionalFormatting>
  <conditionalFormatting sqref="BH132:BH191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{8ADED3D3-61DE-4FA2-AAF6-98E817D0B684}</x14:id>
        </ext>
      </extLst>
    </cfRule>
  </conditionalFormatting>
  <conditionalFormatting sqref="BJ132:BJ191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{7DABA8A3-661C-4479-9802-1FE1BCAE9E3C}</x14:id>
        </ext>
      </extLst>
    </cfRule>
  </conditionalFormatting>
  <conditionalFormatting sqref="BL132:BL19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{36864BAD-3C1A-47D6-AEF9-95175E7D717D}</x14:id>
        </ext>
      </extLst>
    </cfRule>
  </conditionalFormatting>
  <conditionalFormatting sqref="BI132:BI19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{112BAB63-8706-43E4-8ED7-129EAD568F5C}</x14:id>
        </ext>
      </extLst>
    </cfRule>
  </conditionalFormatting>
  <conditionalFormatting sqref="BK132:BK19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{B64C6A72-53CB-4129-B953-1FACBBE46939}</x14:id>
        </ext>
      </extLst>
    </cfRule>
  </conditionalFormatting>
  <conditionalFormatting sqref="BG195:BG25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{3A3CB3CC-1A70-4069-A58B-9527A88B567B}</x14:id>
        </ext>
      </extLst>
    </cfRule>
  </conditionalFormatting>
  <conditionalFormatting sqref="BH195:BH25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{F65D166F-1A7F-4ADE-A467-D6B8F5A0D4F5}</x14:id>
        </ext>
      </extLst>
    </cfRule>
  </conditionalFormatting>
  <conditionalFormatting sqref="BJ195:BJ25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{78FF648A-85CA-41CD-97AA-C0AE4327A0D4}</x14:id>
        </ext>
      </extLst>
    </cfRule>
  </conditionalFormatting>
  <conditionalFormatting sqref="BL195:BL25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{CB8C4B6C-9001-457E-A32A-32E6A966F3C4}</x14:id>
        </ext>
      </extLst>
    </cfRule>
  </conditionalFormatting>
  <conditionalFormatting sqref="BI195:BI25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{D44EF3B9-8D7F-4F3A-A082-CA37469E531D}</x14:id>
        </ext>
      </extLst>
    </cfRule>
  </conditionalFormatting>
  <conditionalFormatting sqref="BK195:BK25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{4C801BA7-CBFA-4E3C-A0B1-2A07297986B4}</x14:id>
        </ext>
      </extLst>
    </cfRule>
  </conditionalFormatting>
  <conditionalFormatting sqref="BG5:BG6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{81DF1550-705F-473F-ADB4-25F477DF41AF}</x14:id>
        </ext>
      </extLst>
    </cfRule>
  </conditionalFormatting>
  <conditionalFormatting sqref="BH8:BH62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{DCD09380-B71D-46B8-8DE5-9E8C623F1FF8}</x14:id>
        </ext>
      </extLst>
    </cfRule>
  </conditionalFormatting>
  <conditionalFormatting sqref="BJ8:BJ62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{A6092A68-3180-4C3B-BE55-3A811931FEB6}</x14:id>
        </ext>
      </extLst>
    </cfRule>
  </conditionalFormatting>
  <conditionalFormatting sqref="BL8:BL62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{F95D2170-38CD-4D5E-A377-2D6BC4FA2C21}</x14:id>
        </ext>
      </extLst>
    </cfRule>
  </conditionalFormatting>
  <conditionalFormatting sqref="BI5:BI62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{D3787530-8575-4BC1-A0DB-AD91E45EBC27}</x14:id>
        </ext>
      </extLst>
    </cfRule>
  </conditionalFormatting>
  <conditionalFormatting sqref="BK5:BK6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{2DDD1B92-C3FB-44BD-9A17-CEB24957159E}</x14:id>
        </ext>
      </extLst>
    </cfRule>
  </conditionalFormatting>
  <conditionalFormatting sqref="BM6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{66D0BCF1-B45E-4FF2-93E4-0C478BE7959F}</x14:id>
        </ext>
      </extLst>
    </cfRule>
  </conditionalFormatting>
  <conditionalFormatting sqref="BN67:BN12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{F22CA134-C688-4C9D-8FC7-747392EFEE16}</x14:id>
        </ext>
      </extLst>
    </cfRule>
  </conditionalFormatting>
  <conditionalFormatting sqref="BM67:BM12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{4ED32A5A-1805-4803-A01E-B9F0CC566DB9}</x14:id>
        </ext>
      </extLst>
    </cfRule>
  </conditionalFormatting>
  <conditionalFormatting sqref="BN132:BN19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{D0B84A79-125C-4626-A507-9FE277B15637}</x14:id>
        </ext>
      </extLst>
    </cfRule>
  </conditionalFormatting>
  <conditionalFormatting sqref="BM132:BM19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{77B22CD3-C901-4197-A18E-6D7D80C7C7E5}</x14:id>
        </ext>
      </extLst>
    </cfRule>
  </conditionalFormatting>
  <conditionalFormatting sqref="BN195:BN25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{386C0743-0BB2-4932-9935-DBEC9F4BD861}</x14:id>
        </ext>
      </extLst>
    </cfRule>
  </conditionalFormatting>
  <conditionalFormatting sqref="BM195:BM2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{BC97DCA9-2F5C-4593-B79D-F7BAEE4188D0}</x14:id>
        </ext>
      </extLst>
    </cfRule>
  </conditionalFormatting>
  <conditionalFormatting sqref="BN8:BN62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{022B7BE4-0007-441C-9B3B-90C46DEE665F}</x14:id>
        </ext>
      </extLst>
    </cfRule>
  </conditionalFormatting>
  <conditionalFormatting sqref="BM5:BM6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{F1AACA02-A8E3-4438-908E-980D0C8E6AA9}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F32DF5-588F-43CA-8151-484771E41B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AY67:AY125</xm:sqref>
        </x14:conditionalFormatting>
        <x14:conditionalFormatting xmlns:xm="http://schemas.microsoft.com/office/excel/2006/main">
          <x14:cfRule type="dataBar" id="{F3B10F04-8227-4E40-AB05-151F8DE0E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AZ67:AZ125</xm:sqref>
        </x14:conditionalFormatting>
        <x14:conditionalFormatting xmlns:xm="http://schemas.microsoft.com/office/excel/2006/main">
          <x14:cfRule type="dataBar" id="{5BCA64B3-E0F7-43D0-A344-556ECE9E94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BB67:BB125</xm:sqref>
        </x14:conditionalFormatting>
        <x14:conditionalFormatting xmlns:xm="http://schemas.microsoft.com/office/excel/2006/main">
          <x14:cfRule type="dataBar" id="{1F098763-FB37-41EB-88DB-21517147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BC62</xm:sqref>
        </x14:conditionalFormatting>
        <x14:conditionalFormatting xmlns:xm="http://schemas.microsoft.com/office/excel/2006/main">
          <x14:cfRule type="dataBar" id="{E819375C-DBC6-480B-87E6-FB5BF20A8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BD67:BD125</xm:sqref>
        </x14:conditionalFormatting>
        <x14:conditionalFormatting xmlns:xm="http://schemas.microsoft.com/office/excel/2006/main">
          <x14:cfRule type="dataBar" id="{091CC3A9-62A3-4307-A9D1-69AACFE47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BA67:BA125</xm:sqref>
        </x14:conditionalFormatting>
        <x14:conditionalFormatting xmlns:xm="http://schemas.microsoft.com/office/excel/2006/main">
          <x14:cfRule type="dataBar" id="{3C39ABB0-C07A-48CC-BC09-E3546723A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BC67:BC125</xm:sqref>
        </x14:conditionalFormatting>
        <x14:conditionalFormatting xmlns:xm="http://schemas.microsoft.com/office/excel/2006/main">
          <x14:cfRule type="dataBar" id="{BE69630E-C9D2-4CE3-9C9E-477DE26D9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AY132:AY191</xm:sqref>
        </x14:conditionalFormatting>
        <x14:conditionalFormatting xmlns:xm="http://schemas.microsoft.com/office/excel/2006/main">
          <x14:cfRule type="dataBar" id="{FE3AC592-717C-499B-8A26-B04EB10FC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AZ132:AZ191</xm:sqref>
        </x14:conditionalFormatting>
        <x14:conditionalFormatting xmlns:xm="http://schemas.microsoft.com/office/excel/2006/main">
          <x14:cfRule type="dataBar" id="{C4B3F263-98AE-4183-B94E-6DCE649D5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BB132:BB191</xm:sqref>
        </x14:conditionalFormatting>
        <x14:conditionalFormatting xmlns:xm="http://schemas.microsoft.com/office/excel/2006/main">
          <x14:cfRule type="dataBar" id="{705F040B-2866-4521-A034-666F36AB4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BD132:BD191</xm:sqref>
        </x14:conditionalFormatting>
        <x14:conditionalFormatting xmlns:xm="http://schemas.microsoft.com/office/excel/2006/main">
          <x14:cfRule type="dataBar" id="{400CE7D9-2AF9-4525-AAB5-D9ECE1DD68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BA132:BA191</xm:sqref>
        </x14:conditionalFormatting>
        <x14:conditionalFormatting xmlns:xm="http://schemas.microsoft.com/office/excel/2006/main">
          <x14:cfRule type="dataBar" id="{5371FA9B-78E2-4F9E-AD4D-2BDFE8E9F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BC132:BC191</xm:sqref>
        </x14:conditionalFormatting>
        <x14:conditionalFormatting xmlns:xm="http://schemas.microsoft.com/office/excel/2006/main">
          <x14:cfRule type="dataBar" id="{A9322B61-6B82-42F4-B382-AFBBD5978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AY195:AY253</xm:sqref>
        </x14:conditionalFormatting>
        <x14:conditionalFormatting xmlns:xm="http://schemas.microsoft.com/office/excel/2006/main">
          <x14:cfRule type="dataBar" id="{A1EF9C3F-3292-477D-A031-D201E5E0F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AZ195:AZ253</xm:sqref>
        </x14:conditionalFormatting>
        <x14:conditionalFormatting xmlns:xm="http://schemas.microsoft.com/office/excel/2006/main">
          <x14:cfRule type="dataBar" id="{0A6A3C5D-6745-49E5-BCFF-94D4049F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BB195:BB253</xm:sqref>
        </x14:conditionalFormatting>
        <x14:conditionalFormatting xmlns:xm="http://schemas.microsoft.com/office/excel/2006/main">
          <x14:cfRule type="dataBar" id="{A3098F14-DF16-4BFD-9787-839F00317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BD195:BD253</xm:sqref>
        </x14:conditionalFormatting>
        <x14:conditionalFormatting xmlns:xm="http://schemas.microsoft.com/office/excel/2006/main">
          <x14:cfRule type="dataBar" id="{1CDA49B3-B354-4082-B99D-C488C4B81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BA195:BA253</xm:sqref>
        </x14:conditionalFormatting>
        <x14:conditionalFormatting xmlns:xm="http://schemas.microsoft.com/office/excel/2006/main">
          <x14:cfRule type="dataBar" id="{DFC0D42B-E916-4AC3-855C-748087767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BC195:BC253</xm:sqref>
        </x14:conditionalFormatting>
        <x14:conditionalFormatting xmlns:xm="http://schemas.microsoft.com/office/excel/2006/main">
          <x14:cfRule type="dataBar" id="{293557D7-9D58-40DA-A288-9AB821B76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AY5:AY62</xm:sqref>
        </x14:conditionalFormatting>
        <x14:conditionalFormatting xmlns:xm="http://schemas.microsoft.com/office/excel/2006/main">
          <x14:cfRule type="dataBar" id="{A9125E4E-C12C-4849-9D57-58305461E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AZ8:AZ62</xm:sqref>
        </x14:conditionalFormatting>
        <x14:conditionalFormatting xmlns:xm="http://schemas.microsoft.com/office/excel/2006/main">
          <x14:cfRule type="dataBar" id="{42BE9F8B-FB64-483E-8D90-CC2FE11BB7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BB8:BB62</xm:sqref>
        </x14:conditionalFormatting>
        <x14:conditionalFormatting xmlns:xm="http://schemas.microsoft.com/office/excel/2006/main">
          <x14:cfRule type="dataBar" id="{9EBB69F8-A7E4-484E-82A0-566AC3262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BD8:BD62</xm:sqref>
        </x14:conditionalFormatting>
        <x14:conditionalFormatting xmlns:xm="http://schemas.microsoft.com/office/excel/2006/main">
          <x14:cfRule type="dataBar" id="{67F020DE-D218-441C-B65D-9291301B5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BA5:BA62</xm:sqref>
        </x14:conditionalFormatting>
        <x14:conditionalFormatting xmlns:xm="http://schemas.microsoft.com/office/excel/2006/main">
          <x14:cfRule type="dataBar" id="{99D2D8CA-155D-4914-8520-0E87446EBB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BC5:BC62</xm:sqref>
        </x14:conditionalFormatting>
        <x14:conditionalFormatting xmlns:xm="http://schemas.microsoft.com/office/excel/2006/main">
          <x14:cfRule type="dataBar" id="{0C9C49A6-33BD-42F8-BF83-4F83F940C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BE62</xm:sqref>
        </x14:conditionalFormatting>
        <x14:conditionalFormatting xmlns:xm="http://schemas.microsoft.com/office/excel/2006/main">
          <x14:cfRule type="dataBar" id="{97C8878D-9551-4318-8222-E1DFDEF3D7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BF67:BF125</xm:sqref>
        </x14:conditionalFormatting>
        <x14:conditionalFormatting xmlns:xm="http://schemas.microsoft.com/office/excel/2006/main">
          <x14:cfRule type="dataBar" id="{5008ECA3-1992-4758-9DB2-3A07452F6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BE67:BE125</xm:sqref>
        </x14:conditionalFormatting>
        <x14:conditionalFormatting xmlns:xm="http://schemas.microsoft.com/office/excel/2006/main">
          <x14:cfRule type="dataBar" id="{52C2BF8D-8957-4253-8EE9-114F52A8E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BF132:BF191</xm:sqref>
        </x14:conditionalFormatting>
        <x14:conditionalFormatting xmlns:xm="http://schemas.microsoft.com/office/excel/2006/main">
          <x14:cfRule type="dataBar" id="{FA737ED4-3D8C-4FC6-AA80-10F962415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BE132:BE191</xm:sqref>
        </x14:conditionalFormatting>
        <x14:conditionalFormatting xmlns:xm="http://schemas.microsoft.com/office/excel/2006/main">
          <x14:cfRule type="dataBar" id="{D1D3B982-B136-433F-92A5-5C8FF55E3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BF195:BF253</xm:sqref>
        </x14:conditionalFormatting>
        <x14:conditionalFormatting xmlns:xm="http://schemas.microsoft.com/office/excel/2006/main">
          <x14:cfRule type="dataBar" id="{C485BA9D-E942-4BA2-9B02-3484C2399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BE195:BE253</xm:sqref>
        </x14:conditionalFormatting>
        <x14:conditionalFormatting xmlns:xm="http://schemas.microsoft.com/office/excel/2006/main">
          <x14:cfRule type="dataBar" id="{91810BDA-5632-4D2C-A478-DEC6B9141E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BF8:BF62</xm:sqref>
        </x14:conditionalFormatting>
        <x14:conditionalFormatting xmlns:xm="http://schemas.microsoft.com/office/excel/2006/main">
          <x14:cfRule type="dataBar" id="{9246CC6E-05B0-41DD-892C-840323891A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BE5:BE62</xm:sqref>
        </x14:conditionalFormatting>
        <x14:conditionalFormatting xmlns:xm="http://schemas.microsoft.com/office/excel/2006/main">
          <x14:cfRule type="dataBar" id="{6A66C6DB-445A-4D34-8D39-D1493C8B7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BG67:BG125</xm:sqref>
        </x14:conditionalFormatting>
        <x14:conditionalFormatting xmlns:xm="http://schemas.microsoft.com/office/excel/2006/main">
          <x14:cfRule type="dataBar" id="{B88FF522-7D78-4EFC-9A25-E1690FF68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BH67:BH125</xm:sqref>
        </x14:conditionalFormatting>
        <x14:conditionalFormatting xmlns:xm="http://schemas.microsoft.com/office/excel/2006/main">
          <x14:cfRule type="dataBar" id="{9D6E5C4E-92BA-4EFB-9F2E-F041B6D57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BJ67:BJ125</xm:sqref>
        </x14:conditionalFormatting>
        <x14:conditionalFormatting xmlns:xm="http://schemas.microsoft.com/office/excel/2006/main">
          <x14:cfRule type="dataBar" id="{031854F4-D8B2-4179-B87D-650A7F9FD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BK62</xm:sqref>
        </x14:conditionalFormatting>
        <x14:conditionalFormatting xmlns:xm="http://schemas.microsoft.com/office/excel/2006/main">
          <x14:cfRule type="dataBar" id="{249C1825-9A29-4570-A998-6DB311BAF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BL67:BL125</xm:sqref>
        </x14:conditionalFormatting>
        <x14:conditionalFormatting xmlns:xm="http://schemas.microsoft.com/office/excel/2006/main">
          <x14:cfRule type="dataBar" id="{E63563EF-483A-4C84-85D7-BDD5AA2B4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BI67:BI125</xm:sqref>
        </x14:conditionalFormatting>
        <x14:conditionalFormatting xmlns:xm="http://schemas.microsoft.com/office/excel/2006/main">
          <x14:cfRule type="dataBar" id="{B7D79662-19E7-4D0C-B043-AFCA73A73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BK67:BK125</xm:sqref>
        </x14:conditionalFormatting>
        <x14:conditionalFormatting xmlns:xm="http://schemas.microsoft.com/office/excel/2006/main">
          <x14:cfRule type="dataBar" id="{7D1B27E7-2CEF-4B2A-8922-E0460AEBCA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BG132:BG191</xm:sqref>
        </x14:conditionalFormatting>
        <x14:conditionalFormatting xmlns:xm="http://schemas.microsoft.com/office/excel/2006/main">
          <x14:cfRule type="dataBar" id="{8ADED3D3-61DE-4FA2-AAF6-98E817D0B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BH132:BH191</xm:sqref>
        </x14:conditionalFormatting>
        <x14:conditionalFormatting xmlns:xm="http://schemas.microsoft.com/office/excel/2006/main">
          <x14:cfRule type="dataBar" id="{7DABA8A3-661C-4479-9802-1FE1BCAE9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BJ132:BJ191</xm:sqref>
        </x14:conditionalFormatting>
        <x14:conditionalFormatting xmlns:xm="http://schemas.microsoft.com/office/excel/2006/main">
          <x14:cfRule type="dataBar" id="{36864BAD-3C1A-47D6-AEF9-95175E7D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BL132:BL191</xm:sqref>
        </x14:conditionalFormatting>
        <x14:conditionalFormatting xmlns:xm="http://schemas.microsoft.com/office/excel/2006/main">
          <x14:cfRule type="dataBar" id="{112BAB63-8706-43E4-8ED7-129EAD568F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BI132:BI191</xm:sqref>
        </x14:conditionalFormatting>
        <x14:conditionalFormatting xmlns:xm="http://schemas.microsoft.com/office/excel/2006/main">
          <x14:cfRule type="dataBar" id="{B64C6A72-53CB-4129-B953-1FACBBE469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BK132:BK191</xm:sqref>
        </x14:conditionalFormatting>
        <x14:conditionalFormatting xmlns:xm="http://schemas.microsoft.com/office/excel/2006/main">
          <x14:cfRule type="dataBar" id="{3A3CB3CC-1A70-4069-A58B-9527A88B5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BG195:BG253</xm:sqref>
        </x14:conditionalFormatting>
        <x14:conditionalFormatting xmlns:xm="http://schemas.microsoft.com/office/excel/2006/main">
          <x14:cfRule type="dataBar" id="{F65D166F-1A7F-4ADE-A467-D6B8F5A0D4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BH195:BH253</xm:sqref>
        </x14:conditionalFormatting>
        <x14:conditionalFormatting xmlns:xm="http://schemas.microsoft.com/office/excel/2006/main">
          <x14:cfRule type="dataBar" id="{78FF648A-85CA-41CD-97AA-C0AE4327A0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BJ195:BJ253</xm:sqref>
        </x14:conditionalFormatting>
        <x14:conditionalFormatting xmlns:xm="http://schemas.microsoft.com/office/excel/2006/main">
          <x14:cfRule type="dataBar" id="{CB8C4B6C-9001-457E-A32A-32E6A966F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BL195:BL253</xm:sqref>
        </x14:conditionalFormatting>
        <x14:conditionalFormatting xmlns:xm="http://schemas.microsoft.com/office/excel/2006/main">
          <x14:cfRule type="dataBar" id="{D44EF3B9-8D7F-4F3A-A082-CA37469E5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BI195:BI253</xm:sqref>
        </x14:conditionalFormatting>
        <x14:conditionalFormatting xmlns:xm="http://schemas.microsoft.com/office/excel/2006/main">
          <x14:cfRule type="dataBar" id="{4C801BA7-CBFA-4E3C-A0B1-2A0729798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BK195:BK253</xm:sqref>
        </x14:conditionalFormatting>
        <x14:conditionalFormatting xmlns:xm="http://schemas.microsoft.com/office/excel/2006/main">
          <x14:cfRule type="dataBar" id="{81DF1550-705F-473F-ADB4-25F477DF4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BG5:BG62</xm:sqref>
        </x14:conditionalFormatting>
        <x14:conditionalFormatting xmlns:xm="http://schemas.microsoft.com/office/excel/2006/main">
          <x14:cfRule type="dataBar" id="{DCD09380-B71D-46B8-8DE5-9E8C623F1F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BH8:BH62</xm:sqref>
        </x14:conditionalFormatting>
        <x14:conditionalFormatting xmlns:xm="http://schemas.microsoft.com/office/excel/2006/main">
          <x14:cfRule type="dataBar" id="{A6092A68-3180-4C3B-BE55-3A811931F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BJ8:BJ62</xm:sqref>
        </x14:conditionalFormatting>
        <x14:conditionalFormatting xmlns:xm="http://schemas.microsoft.com/office/excel/2006/main">
          <x14:cfRule type="dataBar" id="{F95D2170-38CD-4D5E-A377-2D6BC4FA2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BL8:BL62</xm:sqref>
        </x14:conditionalFormatting>
        <x14:conditionalFormatting xmlns:xm="http://schemas.microsoft.com/office/excel/2006/main">
          <x14:cfRule type="dataBar" id="{D3787530-8575-4BC1-A0DB-AD91E45EB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BI5:BI62</xm:sqref>
        </x14:conditionalFormatting>
        <x14:conditionalFormatting xmlns:xm="http://schemas.microsoft.com/office/excel/2006/main">
          <x14:cfRule type="dataBar" id="{2DDD1B92-C3FB-44BD-9A17-CEB2495715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BK5:BK62</xm:sqref>
        </x14:conditionalFormatting>
        <x14:conditionalFormatting xmlns:xm="http://schemas.microsoft.com/office/excel/2006/main">
          <x14:cfRule type="dataBar" id="{66D0BCF1-B45E-4FF2-93E4-0C478BE79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BM62</xm:sqref>
        </x14:conditionalFormatting>
        <x14:conditionalFormatting xmlns:xm="http://schemas.microsoft.com/office/excel/2006/main">
          <x14:cfRule type="dataBar" id="{F22CA134-C688-4C9D-8FC7-747392EFE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BN67:BN125</xm:sqref>
        </x14:conditionalFormatting>
        <x14:conditionalFormatting xmlns:xm="http://schemas.microsoft.com/office/excel/2006/main">
          <x14:cfRule type="dataBar" id="{4ED32A5A-1805-4803-A01E-B9F0CC566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BM67:BM125</xm:sqref>
        </x14:conditionalFormatting>
        <x14:conditionalFormatting xmlns:xm="http://schemas.microsoft.com/office/excel/2006/main">
          <x14:cfRule type="dataBar" id="{D0B84A79-125C-4626-A507-9FE277B15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BN132:BN191</xm:sqref>
        </x14:conditionalFormatting>
        <x14:conditionalFormatting xmlns:xm="http://schemas.microsoft.com/office/excel/2006/main">
          <x14:cfRule type="dataBar" id="{77B22CD3-C901-4197-A18E-6D7D80C7C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BM132:BM191</xm:sqref>
        </x14:conditionalFormatting>
        <x14:conditionalFormatting xmlns:xm="http://schemas.microsoft.com/office/excel/2006/main">
          <x14:cfRule type="dataBar" id="{386C0743-0BB2-4932-9935-DBEC9F4BD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BN195:BN253</xm:sqref>
        </x14:conditionalFormatting>
        <x14:conditionalFormatting xmlns:xm="http://schemas.microsoft.com/office/excel/2006/main">
          <x14:cfRule type="dataBar" id="{BC97DCA9-2F5C-4593-B79D-F7BAEE418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BM195:BM253</xm:sqref>
        </x14:conditionalFormatting>
        <x14:conditionalFormatting xmlns:xm="http://schemas.microsoft.com/office/excel/2006/main">
          <x14:cfRule type="dataBar" id="{022B7BE4-0007-441C-9B3B-90C46DEE6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BN8:BN62</xm:sqref>
        </x14:conditionalFormatting>
        <x14:conditionalFormatting xmlns:xm="http://schemas.microsoft.com/office/excel/2006/main">
          <x14:cfRule type="dataBar" id="{F1AACA02-A8E3-4438-908E-980D0C8E6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BM5:BM62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dimension ref="A2:H39"/>
  <sheetViews>
    <sheetView workbookViewId="0">
      <selection activeCell="O30" sqref="O30"/>
    </sheetView>
  </sheetViews>
  <sheetFormatPr defaultColWidth="8.88671875" defaultRowHeight="15.6" x14ac:dyDescent="0.3"/>
  <cols>
    <col min="1" max="1" width="8.88671875" style="16" customWidth="1"/>
    <col min="2" max="2" width="18.33203125" style="16" bestFit="1" customWidth="1"/>
    <col min="3" max="3" width="24.21875" style="16" bestFit="1" customWidth="1"/>
    <col min="4" max="4" width="20.33203125" style="39" customWidth="1"/>
    <col min="5" max="5" width="19.88671875" style="16" bestFit="1" customWidth="1"/>
    <col min="6" max="6" width="16.77734375" style="16" customWidth="1"/>
    <col min="7" max="7" width="20.5546875" style="16" customWidth="1"/>
    <col min="8" max="8" width="16.5546875" style="16" customWidth="1"/>
    <col min="9" max="16384" width="8.88671875" style="16"/>
  </cols>
  <sheetData>
    <row r="2" spans="1:8" x14ac:dyDescent="0.3">
      <c r="B2" s="94" t="s">
        <v>65</v>
      </c>
      <c r="C2" s="205">
        <v>10000000000</v>
      </c>
    </row>
    <row r="4" spans="1:8" x14ac:dyDescent="0.3">
      <c r="B4" s="78" t="s">
        <v>333</v>
      </c>
      <c r="C4" s="78" t="s">
        <v>251</v>
      </c>
      <c r="D4" s="23" t="s">
        <v>334</v>
      </c>
      <c r="E4" s="78" t="s">
        <v>335</v>
      </c>
      <c r="F4" s="206" t="s">
        <v>336</v>
      </c>
      <c r="G4" s="78" t="s">
        <v>337</v>
      </c>
    </row>
    <row r="5" spans="1:8" x14ac:dyDescent="0.3">
      <c r="A5" s="39"/>
      <c r="B5" s="235" t="s">
        <v>338</v>
      </c>
      <c r="C5" s="235" t="s">
        <v>55</v>
      </c>
      <c r="D5" s="34" t="s">
        <v>339</v>
      </c>
      <c r="E5" s="240"/>
      <c r="F5" s="207"/>
      <c r="G5" s="238" t="e">
        <f>SUM(F5:F6)/E5*$C$2</f>
        <v>#DIV/0!</v>
      </c>
      <c r="H5" s="208" t="s">
        <v>340</v>
      </c>
    </row>
    <row r="6" spans="1:8" x14ac:dyDescent="0.3">
      <c r="B6" s="234"/>
      <c r="C6" s="234"/>
      <c r="D6" s="7" t="s">
        <v>341</v>
      </c>
      <c r="E6" s="241"/>
      <c r="F6" s="209"/>
      <c r="G6" s="239"/>
      <c r="H6" s="208"/>
    </row>
    <row r="7" spans="1:8" x14ac:dyDescent="0.3">
      <c r="A7" s="39"/>
      <c r="B7" s="235" t="s">
        <v>342</v>
      </c>
      <c r="C7" s="235" t="s">
        <v>55</v>
      </c>
      <c r="D7" s="34" t="s">
        <v>339</v>
      </c>
      <c r="E7" s="240"/>
      <c r="F7" s="209"/>
      <c r="G7" s="238" t="e">
        <f>SUM(F7:F8)/E7*$C$2</f>
        <v>#DIV/0!</v>
      </c>
      <c r="H7" s="208" t="s">
        <v>343</v>
      </c>
    </row>
    <row r="8" spans="1:8" x14ac:dyDescent="0.3">
      <c r="B8" s="234"/>
      <c r="C8" s="234"/>
      <c r="D8" s="7" t="s">
        <v>341</v>
      </c>
      <c r="E8" s="241"/>
      <c r="F8" s="209"/>
      <c r="G8" s="239"/>
      <c r="H8" s="208"/>
    </row>
    <row r="9" spans="1:8" x14ac:dyDescent="0.3">
      <c r="A9" s="39"/>
      <c r="B9" s="233" t="s">
        <v>349</v>
      </c>
      <c r="C9" s="235" t="s">
        <v>155</v>
      </c>
      <c r="D9" s="34" t="s">
        <v>339</v>
      </c>
      <c r="E9" s="236">
        <f>F9</f>
        <v>0</v>
      </c>
      <c r="F9" s="209"/>
      <c r="G9" s="238" t="e">
        <f>SUM(F9:F10)/E9*$C$2</f>
        <v>#DIV/0!</v>
      </c>
      <c r="H9" s="208" t="s">
        <v>344</v>
      </c>
    </row>
    <row r="10" spans="1:8" x14ac:dyDescent="0.3">
      <c r="B10" s="234"/>
      <c r="C10" s="234"/>
      <c r="D10" s="7" t="s">
        <v>341</v>
      </c>
      <c r="E10" s="237"/>
      <c r="F10" s="209"/>
      <c r="G10" s="239"/>
      <c r="H10" s="208"/>
    </row>
    <row r="11" spans="1:8" x14ac:dyDescent="0.3">
      <c r="B11" s="210"/>
      <c r="C11" s="210"/>
      <c r="E11" s="17"/>
    </row>
    <row r="12" spans="1:8" x14ac:dyDescent="0.3">
      <c r="D12" s="16"/>
    </row>
    <row r="13" spans="1:8" x14ac:dyDescent="0.3">
      <c r="D13" s="16"/>
    </row>
    <row r="14" spans="1:8" x14ac:dyDescent="0.3">
      <c r="D14" s="16"/>
    </row>
    <row r="15" spans="1:8" x14ac:dyDescent="0.3">
      <c r="D15" s="16"/>
    </row>
    <row r="16" spans="1:8" x14ac:dyDescent="0.3">
      <c r="D16" s="16"/>
    </row>
    <row r="39" spans="4:4" x14ac:dyDescent="0.3">
      <c r="D39" s="16"/>
    </row>
  </sheetData>
  <mergeCells count="12">
    <mergeCell ref="B5:B6"/>
    <mergeCell ref="C5:C6"/>
    <mergeCell ref="E5:E6"/>
    <mergeCell ref="G5:G6"/>
    <mergeCell ref="B7:B8"/>
    <mergeCell ref="C7:C8"/>
    <mergeCell ref="B9:B10"/>
    <mergeCell ref="C9:C10"/>
    <mergeCell ref="E9:E10"/>
    <mergeCell ref="G9:G10"/>
    <mergeCell ref="E7:E8"/>
    <mergeCell ref="G7:G8"/>
  </mergeCells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9280-062E-4651-94DB-B9A47A68324D}">
  <dimension ref="B2:Z24"/>
  <sheetViews>
    <sheetView workbookViewId="0">
      <selection activeCell="B3" sqref="B3:Z24"/>
    </sheetView>
  </sheetViews>
  <sheetFormatPr defaultRowHeight="16.2" x14ac:dyDescent="0.3"/>
  <sheetData>
    <row r="2" spans="2:26" ht="16.8" thickBot="1" x14ac:dyDescent="0.35"/>
    <row r="3" spans="2:26" ht="16.8" thickBot="1" x14ac:dyDescent="0.35">
      <c r="B3" s="242" t="s">
        <v>345</v>
      </c>
      <c r="C3" s="243"/>
      <c r="D3" s="243"/>
      <c r="E3" s="210"/>
      <c r="F3" s="210"/>
      <c r="G3" s="242" t="s">
        <v>346</v>
      </c>
      <c r="H3" s="243"/>
      <c r="I3" s="243"/>
      <c r="J3" s="16"/>
      <c r="K3" s="16"/>
      <c r="L3" s="242" t="s">
        <v>347</v>
      </c>
      <c r="M3" s="243"/>
      <c r="N3" s="243"/>
      <c r="O3" s="210"/>
      <c r="P3" s="210"/>
      <c r="Q3" s="242" t="s">
        <v>348</v>
      </c>
      <c r="R3" s="243"/>
      <c r="S3" s="243"/>
      <c r="T3" s="16"/>
      <c r="U3" s="16"/>
      <c r="V3" s="242" t="s">
        <v>160</v>
      </c>
      <c r="W3" s="243"/>
      <c r="X3" s="244"/>
      <c r="Y3" s="16"/>
      <c r="Z3" s="16"/>
    </row>
    <row r="4" spans="2:26" x14ac:dyDescent="0.3">
      <c r="B4" s="89"/>
      <c r="C4" s="89" t="s">
        <v>156</v>
      </c>
      <c r="D4" s="90" t="s">
        <v>55</v>
      </c>
      <c r="E4" s="189"/>
      <c r="F4" s="211"/>
      <c r="G4" s="89"/>
      <c r="H4" s="89" t="s">
        <v>156</v>
      </c>
      <c r="I4" s="90" t="s">
        <v>50</v>
      </c>
      <c r="J4" s="16"/>
      <c r="K4" s="16"/>
      <c r="L4" s="89"/>
      <c r="M4" s="89" t="s">
        <v>156</v>
      </c>
      <c r="N4" s="90" t="s">
        <v>55</v>
      </c>
      <c r="O4" s="189"/>
      <c r="P4" s="211"/>
      <c r="Q4" s="89"/>
      <c r="R4" s="89" t="s">
        <v>156</v>
      </c>
      <c r="S4" s="90" t="s">
        <v>50</v>
      </c>
      <c r="T4" s="16"/>
      <c r="U4" s="16"/>
      <c r="V4" s="89"/>
      <c r="W4" s="89" t="s">
        <v>156</v>
      </c>
      <c r="X4" s="91" t="s">
        <v>155</v>
      </c>
      <c r="Y4" s="16"/>
      <c r="Z4" s="16"/>
    </row>
    <row r="5" spans="2:26" x14ac:dyDescent="0.3">
      <c r="B5" s="92" t="s">
        <v>157</v>
      </c>
      <c r="C5" s="92">
        <v>0</v>
      </c>
      <c r="D5" s="212">
        <v>61097038</v>
      </c>
      <c r="E5" s="39"/>
      <c r="F5" s="211"/>
      <c r="G5" s="92" t="s">
        <v>157</v>
      </c>
      <c r="H5" s="92">
        <v>0</v>
      </c>
      <c r="I5" s="212">
        <v>60620570</v>
      </c>
      <c r="J5" s="39"/>
      <c r="K5" s="16"/>
      <c r="L5" s="92" t="s">
        <v>157</v>
      </c>
      <c r="M5" s="92">
        <v>0</v>
      </c>
      <c r="N5" s="212">
        <v>61097038</v>
      </c>
      <c r="O5" s="39"/>
      <c r="P5" s="211"/>
      <c r="Q5" s="92" t="s">
        <v>157</v>
      </c>
      <c r="R5" s="92">
        <v>0</v>
      </c>
      <c r="S5" s="212">
        <v>60484902</v>
      </c>
      <c r="T5" s="16"/>
      <c r="U5" s="16"/>
      <c r="V5" s="92" t="s">
        <v>157</v>
      </c>
      <c r="W5" s="92">
        <v>0</v>
      </c>
      <c r="X5" s="93">
        <v>0</v>
      </c>
      <c r="Y5" s="16"/>
      <c r="Z5" s="16"/>
    </row>
    <row r="6" spans="2:26" x14ac:dyDescent="0.3">
      <c r="B6" s="94" t="s">
        <v>157</v>
      </c>
      <c r="C6" s="94">
        <v>1</v>
      </c>
      <c r="D6" s="212">
        <v>31505064</v>
      </c>
      <c r="E6" s="39"/>
      <c r="F6" s="16"/>
      <c r="G6" s="94" t="s">
        <v>157</v>
      </c>
      <c r="H6" s="94">
        <v>1</v>
      </c>
      <c r="I6" s="212">
        <v>31921351</v>
      </c>
      <c r="J6" s="16"/>
      <c r="K6" s="16"/>
      <c r="L6" s="94" t="s">
        <v>157</v>
      </c>
      <c r="M6" s="94">
        <v>1</v>
      </c>
      <c r="N6" s="212">
        <v>31505064</v>
      </c>
      <c r="O6" s="39"/>
      <c r="P6" s="16"/>
      <c r="Q6" s="94" t="s">
        <v>157</v>
      </c>
      <c r="R6" s="94">
        <v>1</v>
      </c>
      <c r="S6" s="212">
        <v>32006136</v>
      </c>
      <c r="T6" s="16"/>
      <c r="U6" s="16"/>
      <c r="V6" s="94" t="s">
        <v>157</v>
      </c>
      <c r="W6" s="94">
        <v>1</v>
      </c>
      <c r="X6" s="93">
        <v>0</v>
      </c>
      <c r="Y6" s="16"/>
      <c r="Z6" s="16"/>
    </row>
    <row r="7" spans="2:26" x14ac:dyDescent="0.3">
      <c r="B7" s="94" t="s">
        <v>157</v>
      </c>
      <c r="C7" s="94">
        <v>2</v>
      </c>
      <c r="D7" s="212">
        <v>6888935</v>
      </c>
      <c r="E7" s="39"/>
      <c r="F7" s="16"/>
      <c r="G7" s="94" t="s">
        <v>157</v>
      </c>
      <c r="H7" s="94">
        <v>2</v>
      </c>
      <c r="I7" s="212">
        <v>7035148</v>
      </c>
      <c r="J7" s="16"/>
      <c r="K7" s="16"/>
      <c r="L7" s="94" t="s">
        <v>157</v>
      </c>
      <c r="M7" s="94">
        <v>2</v>
      </c>
      <c r="N7" s="212">
        <v>6888935</v>
      </c>
      <c r="O7" s="39"/>
      <c r="P7" s="16"/>
      <c r="Q7" s="94" t="s">
        <v>157</v>
      </c>
      <c r="R7" s="94">
        <v>2</v>
      </c>
      <c r="S7" s="212">
        <v>7084534</v>
      </c>
      <c r="T7" s="16"/>
      <c r="U7" s="16"/>
      <c r="V7" s="94" t="s">
        <v>157</v>
      </c>
      <c r="W7" s="94">
        <v>2</v>
      </c>
      <c r="X7" s="93">
        <v>0</v>
      </c>
      <c r="Y7" s="16"/>
      <c r="Z7" s="16"/>
    </row>
    <row r="8" spans="2:26" x14ac:dyDescent="0.3">
      <c r="B8" s="94" t="s">
        <v>157</v>
      </c>
      <c r="C8" s="94">
        <v>3</v>
      </c>
      <c r="D8" s="212">
        <v>479514</v>
      </c>
      <c r="E8" s="16"/>
      <c r="F8" s="16"/>
      <c r="G8" s="94" t="s">
        <v>157</v>
      </c>
      <c r="H8" s="94">
        <v>3</v>
      </c>
      <c r="I8" s="212">
        <v>398355</v>
      </c>
      <c r="J8" s="16"/>
      <c r="K8" s="16"/>
      <c r="L8" s="94" t="s">
        <v>157</v>
      </c>
      <c r="M8" s="94">
        <v>3</v>
      </c>
      <c r="N8" s="212">
        <v>479514</v>
      </c>
      <c r="O8" s="16"/>
      <c r="P8" s="16"/>
      <c r="Q8" s="94" t="s">
        <v>157</v>
      </c>
      <c r="R8" s="94">
        <v>3</v>
      </c>
      <c r="S8" s="212">
        <v>399936</v>
      </c>
      <c r="T8" s="16"/>
      <c r="U8" s="16"/>
      <c r="V8" s="94" t="s">
        <v>157</v>
      </c>
      <c r="W8" s="94">
        <v>3</v>
      </c>
      <c r="X8" s="212">
        <v>2640000</v>
      </c>
      <c r="Y8" s="16"/>
      <c r="Z8" s="16"/>
    </row>
    <row r="9" spans="2:26" x14ac:dyDescent="0.3">
      <c r="B9" s="94" t="s">
        <v>157</v>
      </c>
      <c r="C9" s="94">
        <v>4</v>
      </c>
      <c r="D9" s="212">
        <v>28701</v>
      </c>
      <c r="E9" s="16"/>
      <c r="F9" s="16"/>
      <c r="G9" s="94" t="s">
        <v>157</v>
      </c>
      <c r="H9" s="94">
        <v>4</v>
      </c>
      <c r="I9" s="212">
        <v>23956</v>
      </c>
      <c r="J9" s="16"/>
      <c r="K9" s="16"/>
      <c r="L9" s="94" t="s">
        <v>157</v>
      </c>
      <c r="M9" s="94">
        <v>4</v>
      </c>
      <c r="N9" s="212">
        <v>28701</v>
      </c>
      <c r="O9" s="16"/>
      <c r="P9" s="16"/>
      <c r="Q9" s="94" t="s">
        <v>157</v>
      </c>
      <c r="R9" s="94">
        <v>4</v>
      </c>
      <c r="S9" s="212">
        <v>23860</v>
      </c>
      <c r="T9" s="16"/>
      <c r="U9" s="16"/>
      <c r="V9" s="94" t="s">
        <v>157</v>
      </c>
      <c r="W9" s="94">
        <v>4</v>
      </c>
      <c r="X9" s="212">
        <v>0</v>
      </c>
      <c r="Y9" s="16"/>
      <c r="Z9" s="16"/>
    </row>
    <row r="10" spans="2:26" x14ac:dyDescent="0.3">
      <c r="B10" s="94" t="s">
        <v>157</v>
      </c>
      <c r="C10" s="94">
        <v>5</v>
      </c>
      <c r="D10" s="212">
        <v>748</v>
      </c>
      <c r="E10" s="16"/>
      <c r="F10" s="16"/>
      <c r="G10" s="94" t="s">
        <v>157</v>
      </c>
      <c r="H10" s="94">
        <v>5</v>
      </c>
      <c r="I10" s="212">
        <v>620</v>
      </c>
      <c r="J10" s="16"/>
      <c r="K10" s="16"/>
      <c r="L10" s="94" t="s">
        <v>157</v>
      </c>
      <c r="M10" s="94">
        <v>5</v>
      </c>
      <c r="N10" s="212">
        <v>748</v>
      </c>
      <c r="O10" s="16"/>
      <c r="P10" s="16"/>
      <c r="Q10" s="94" t="s">
        <v>157</v>
      </c>
      <c r="R10" s="94">
        <v>5</v>
      </c>
      <c r="S10" s="212">
        <v>632</v>
      </c>
      <c r="T10" s="16"/>
      <c r="U10" s="16"/>
      <c r="V10" s="94" t="s">
        <v>157</v>
      </c>
      <c r="W10" s="94">
        <v>5</v>
      </c>
      <c r="X10" s="212">
        <v>0</v>
      </c>
      <c r="Y10" s="16"/>
      <c r="Z10" s="16"/>
    </row>
    <row r="11" spans="2:26" x14ac:dyDescent="0.3">
      <c r="B11" s="39"/>
      <c r="C11" s="39"/>
      <c r="D11" s="39"/>
      <c r="E11" s="39"/>
      <c r="F11" s="16"/>
      <c r="G11" s="39"/>
      <c r="H11" s="39"/>
      <c r="I11" s="39"/>
      <c r="J11" s="16"/>
      <c r="K11" s="16"/>
      <c r="L11" s="39"/>
      <c r="M11" s="39"/>
      <c r="N11" s="39"/>
      <c r="O11" s="39"/>
      <c r="P11" s="16"/>
      <c r="Q11" s="39"/>
      <c r="R11" s="39"/>
      <c r="S11" s="39"/>
      <c r="T11" s="16"/>
      <c r="U11" s="16"/>
      <c r="V11" s="39"/>
      <c r="W11" s="39"/>
      <c r="X11" s="39"/>
      <c r="Y11" s="16"/>
      <c r="Z11" s="16"/>
    </row>
    <row r="12" spans="2:26" x14ac:dyDescent="0.3">
      <c r="B12" s="94" t="s">
        <v>158</v>
      </c>
      <c r="C12" s="94">
        <v>0</v>
      </c>
      <c r="D12" s="212">
        <v>3111332</v>
      </c>
      <c r="E12" s="16"/>
      <c r="F12" s="16"/>
      <c r="G12" s="94" t="s">
        <v>158</v>
      </c>
      <c r="H12" s="94">
        <v>0</v>
      </c>
      <c r="I12" s="212">
        <v>2575888</v>
      </c>
      <c r="J12" s="16"/>
      <c r="K12" s="16"/>
      <c r="L12" s="94" t="s">
        <v>158</v>
      </c>
      <c r="M12" s="94">
        <v>0</v>
      </c>
      <c r="N12" s="212">
        <v>3111332</v>
      </c>
      <c r="O12" s="16"/>
      <c r="P12" s="16"/>
      <c r="Q12" s="94" t="s">
        <v>158</v>
      </c>
      <c r="R12" s="94">
        <v>0</v>
      </c>
      <c r="S12" s="212">
        <v>2608153</v>
      </c>
      <c r="T12" s="16"/>
      <c r="U12" s="16"/>
      <c r="V12" s="94" t="s">
        <v>158</v>
      </c>
      <c r="W12" s="94">
        <v>0</v>
      </c>
      <c r="X12" s="212">
        <v>16358479</v>
      </c>
      <c r="Y12" s="16"/>
      <c r="Z12" s="16"/>
    </row>
    <row r="13" spans="2:26" x14ac:dyDescent="0.3">
      <c r="B13" s="94" t="s">
        <v>158</v>
      </c>
      <c r="C13" s="94">
        <v>1</v>
      </c>
      <c r="D13" s="212">
        <v>1710844</v>
      </c>
      <c r="E13" s="16"/>
      <c r="F13" s="16"/>
      <c r="G13" s="94" t="s">
        <v>158</v>
      </c>
      <c r="H13" s="94">
        <v>1</v>
      </c>
      <c r="I13" s="212">
        <v>1427828</v>
      </c>
      <c r="J13" s="16"/>
      <c r="K13" s="16"/>
      <c r="L13" s="94" t="s">
        <v>158</v>
      </c>
      <c r="M13" s="94">
        <v>1</v>
      </c>
      <c r="N13" s="212">
        <v>1710844</v>
      </c>
      <c r="O13" s="16"/>
      <c r="P13" s="16"/>
      <c r="Q13" s="94" t="s">
        <v>158</v>
      </c>
      <c r="R13" s="94">
        <v>1</v>
      </c>
      <c r="S13" s="212">
        <v>1426949</v>
      </c>
      <c r="T13" s="16"/>
      <c r="U13" s="16"/>
      <c r="V13" s="94" t="s">
        <v>158</v>
      </c>
      <c r="W13" s="94">
        <v>1</v>
      </c>
      <c r="X13" s="212">
        <v>8843802</v>
      </c>
      <c r="Y13" s="16"/>
      <c r="Z13" s="16"/>
    </row>
    <row r="14" spans="2:26" x14ac:dyDescent="0.3">
      <c r="B14" s="94" t="s">
        <v>158</v>
      </c>
      <c r="C14" s="94">
        <v>2</v>
      </c>
      <c r="D14" s="212">
        <v>410718</v>
      </c>
      <c r="E14" s="16"/>
      <c r="F14" s="16"/>
      <c r="G14" s="94" t="s">
        <v>158</v>
      </c>
      <c r="H14" s="94">
        <v>2</v>
      </c>
      <c r="I14" s="212">
        <v>345014</v>
      </c>
      <c r="J14" s="16"/>
      <c r="K14" s="16"/>
      <c r="L14" s="94" t="s">
        <v>158</v>
      </c>
      <c r="M14" s="94">
        <v>2</v>
      </c>
      <c r="N14" s="212">
        <v>410718</v>
      </c>
      <c r="O14" s="16"/>
      <c r="P14" s="16"/>
      <c r="Q14" s="94" t="s">
        <v>158</v>
      </c>
      <c r="R14" s="94">
        <v>2</v>
      </c>
      <c r="S14" s="212">
        <v>342094</v>
      </c>
      <c r="T14" s="16"/>
      <c r="U14" s="16"/>
      <c r="V14" s="94" t="s">
        <v>158</v>
      </c>
      <c r="W14" s="94">
        <v>2</v>
      </c>
      <c r="X14" s="212">
        <v>2107675</v>
      </c>
      <c r="Y14" s="16"/>
      <c r="Z14" s="16"/>
    </row>
    <row r="15" spans="2:26" x14ac:dyDescent="0.3">
      <c r="B15" s="94" t="s">
        <v>158</v>
      </c>
      <c r="C15" s="94">
        <v>3</v>
      </c>
      <c r="D15" s="212">
        <v>33446</v>
      </c>
      <c r="E15" s="16"/>
      <c r="F15" s="16"/>
      <c r="G15" s="94" t="s">
        <v>158</v>
      </c>
      <c r="H15" s="94">
        <v>3</v>
      </c>
      <c r="I15" s="212">
        <v>27866</v>
      </c>
      <c r="J15" s="16"/>
      <c r="K15" s="16"/>
      <c r="L15" s="94" t="s">
        <v>158</v>
      </c>
      <c r="M15" s="94">
        <v>3</v>
      </c>
      <c r="N15" s="212">
        <v>33446</v>
      </c>
      <c r="O15" s="16"/>
      <c r="P15" s="16"/>
      <c r="Q15" s="94" t="s">
        <v>158</v>
      </c>
      <c r="R15" s="94">
        <v>3</v>
      </c>
      <c r="S15" s="212">
        <v>31117</v>
      </c>
      <c r="T15" s="16"/>
      <c r="U15" s="16"/>
      <c r="V15" s="94" t="s">
        <v>158</v>
      </c>
      <c r="W15" s="94">
        <v>3</v>
      </c>
      <c r="X15" s="212">
        <v>212566</v>
      </c>
      <c r="Y15" s="16"/>
      <c r="Z15" s="16"/>
    </row>
    <row r="16" spans="2:26" x14ac:dyDescent="0.3">
      <c r="B16" s="94" t="s">
        <v>158</v>
      </c>
      <c r="C16" s="94">
        <v>4</v>
      </c>
      <c r="D16" s="212">
        <v>2306</v>
      </c>
      <c r="E16" s="16"/>
      <c r="F16" s="16"/>
      <c r="G16" s="94" t="s">
        <v>158</v>
      </c>
      <c r="H16" s="94">
        <v>4</v>
      </c>
      <c r="I16" s="212">
        <v>1931</v>
      </c>
      <c r="J16" s="16"/>
      <c r="K16" s="16"/>
      <c r="L16" s="94" t="s">
        <v>158</v>
      </c>
      <c r="M16" s="94">
        <v>4</v>
      </c>
      <c r="N16" s="212">
        <v>2306</v>
      </c>
      <c r="O16" s="16"/>
      <c r="P16" s="16"/>
      <c r="Q16" s="94" t="s">
        <v>158</v>
      </c>
      <c r="R16" s="94">
        <v>4</v>
      </c>
      <c r="S16" s="212">
        <v>2050</v>
      </c>
      <c r="T16" s="16"/>
      <c r="U16" s="16"/>
      <c r="V16" s="94" t="s">
        <v>158</v>
      </c>
      <c r="W16" s="94">
        <v>4</v>
      </c>
      <c r="X16" s="212">
        <v>14546</v>
      </c>
      <c r="Y16" s="16"/>
      <c r="Z16" s="16"/>
    </row>
    <row r="17" spans="2:26" x14ac:dyDescent="0.3">
      <c r="B17" s="94" t="s">
        <v>158</v>
      </c>
      <c r="C17" s="94">
        <v>5</v>
      </c>
      <c r="D17" s="212">
        <v>64</v>
      </c>
      <c r="E17" s="16"/>
      <c r="F17" s="16"/>
      <c r="G17" s="94" t="s">
        <v>158</v>
      </c>
      <c r="H17" s="94">
        <v>5</v>
      </c>
      <c r="I17" s="212">
        <v>58</v>
      </c>
      <c r="J17" s="16"/>
      <c r="K17" s="16"/>
      <c r="L17" s="94" t="s">
        <v>158</v>
      </c>
      <c r="M17" s="94">
        <v>5</v>
      </c>
      <c r="N17" s="212">
        <v>64</v>
      </c>
      <c r="O17" s="16"/>
      <c r="P17" s="16"/>
      <c r="Q17" s="94" t="s">
        <v>158</v>
      </c>
      <c r="R17" s="94">
        <v>5</v>
      </c>
      <c r="S17" s="212">
        <v>62</v>
      </c>
      <c r="T17" s="16"/>
      <c r="U17" s="16"/>
      <c r="V17" s="94" t="s">
        <v>158</v>
      </c>
      <c r="W17" s="94">
        <v>5</v>
      </c>
      <c r="X17" s="212">
        <v>377</v>
      </c>
      <c r="Y17" s="16"/>
      <c r="Z17" s="16"/>
    </row>
    <row r="18" spans="2:26" x14ac:dyDescent="0.3">
      <c r="B18" s="94" t="s">
        <v>159</v>
      </c>
      <c r="C18" s="88"/>
      <c r="D18" s="88">
        <f>_xlfn.FLOOR.MATH(SUM(D6:D10,D13:D17)/SUM(D5:D10)*10^10)</f>
        <v>4106034000</v>
      </c>
      <c r="E18" s="16"/>
      <c r="F18" s="16"/>
      <c r="G18" s="94" t="s">
        <v>159</v>
      </c>
      <c r="H18" s="88"/>
      <c r="I18" s="88">
        <f>_xlfn.FLOOR.MATH(SUM(I6:I10,I13:I17)/SUM(I5:I10)*10^10)</f>
        <v>4118212700</v>
      </c>
      <c r="J18" s="16"/>
      <c r="K18" s="16"/>
      <c r="L18" s="94" t="s">
        <v>159</v>
      </c>
      <c r="M18" s="88"/>
      <c r="N18" s="88">
        <f>_xlfn.FLOOR.MATH(SUM(N6:N10,N13:N17)/SUM(N5:N10)*10^10)</f>
        <v>4106034000</v>
      </c>
      <c r="O18" s="16"/>
      <c r="P18" s="16"/>
      <c r="Q18" s="94" t="s">
        <v>159</v>
      </c>
      <c r="R18" s="88"/>
      <c r="S18" s="88">
        <f>_xlfn.FLOOR.MATH(SUM(S6:S10,S13:S17)/SUM(S5:S10)*10^10)</f>
        <v>4131737000</v>
      </c>
      <c r="T18" s="16"/>
      <c r="U18" s="16"/>
      <c r="V18" s="94" t="s">
        <v>159</v>
      </c>
      <c r="W18" s="88"/>
      <c r="X18" s="88">
        <f>_xlfn.FLOOR.MATH(SUM(X6:X10,X13:X17)/SUM(X5:X10)*10^10)</f>
        <v>52344568181</v>
      </c>
      <c r="Y18" s="16"/>
      <c r="Z18" s="16"/>
    </row>
    <row r="19" spans="2:26" x14ac:dyDescent="0.3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2:26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2:26" x14ac:dyDescent="0.3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2:26" x14ac:dyDescent="0.3">
      <c r="B22" s="94" t="s">
        <v>158</v>
      </c>
      <c r="C22" s="94">
        <v>5</v>
      </c>
      <c r="D22" s="212">
        <v>377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2:26" x14ac:dyDescent="0.3">
      <c r="B23" s="94" t="s">
        <v>159</v>
      </c>
      <c r="C23" s="88"/>
      <c r="D23" s="88" t="e">
        <f>_xlfn.FLOOR.MATH(SUM('OP Jackpot'!#REF!,'OP Jackpot'!#REF!)/SUM('OP Jackpot'!#REF!)*10^10)</f>
        <v>#REF!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2:26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</sheetData>
  <mergeCells count="5">
    <mergeCell ref="B3:D3"/>
    <mergeCell ref="G3:I3"/>
    <mergeCell ref="L3:N3"/>
    <mergeCell ref="Q3:S3"/>
    <mergeCell ref="V3:X3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>
    <tabColor theme="3" tint="0.59999389629810485"/>
  </sheetPr>
  <dimension ref="A1:CK405"/>
  <sheetViews>
    <sheetView zoomScaleNormal="100" workbookViewId="0">
      <selection activeCell="R32" sqref="R32"/>
    </sheetView>
  </sheetViews>
  <sheetFormatPr defaultColWidth="9" defaultRowHeight="15.6" x14ac:dyDescent="0.3"/>
  <cols>
    <col min="1" max="1" width="17.88671875" style="1" bestFit="1" customWidth="1"/>
    <col min="2" max="2" width="6.77734375" style="1" bestFit="1" customWidth="1"/>
    <col min="3" max="3" width="10.44140625" style="1" bestFit="1" customWidth="1"/>
    <col min="4" max="5" width="8" style="1" bestFit="1" customWidth="1"/>
    <col min="6" max="6" width="13.21875" style="1" bestFit="1" customWidth="1"/>
    <col min="7" max="7" width="4.21875" style="1" bestFit="1" customWidth="1"/>
    <col min="8" max="8" width="5.44140625" style="1" customWidth="1"/>
    <col min="9" max="9" width="4.77734375" style="1" customWidth="1"/>
    <col min="10" max="10" width="8.88671875" style="65" customWidth="1"/>
    <col min="11" max="11" width="9.21875" style="1" bestFit="1" customWidth="1"/>
    <col min="12" max="12" width="6.109375" style="85" bestFit="1" customWidth="1"/>
    <col min="13" max="14" width="7.44140625" style="85" bestFit="1" customWidth="1"/>
    <col min="15" max="15" width="7.44140625" style="85" customWidth="1"/>
    <col min="16" max="16" width="7.44140625" style="85" bestFit="1" customWidth="1"/>
    <col min="17" max="17" width="4.6640625" style="85" bestFit="1" customWidth="1"/>
    <col min="18" max="18" width="4.6640625" style="85" customWidth="1"/>
    <col min="19" max="19" width="8.88671875" style="1" customWidth="1"/>
    <col min="20" max="20" width="4.77734375" style="1" customWidth="1"/>
    <col min="21" max="25" width="4.77734375" style="85" customWidth="1"/>
    <col min="26" max="26" width="4.6640625" style="1" customWidth="1"/>
    <col min="27" max="27" width="8.88671875" style="1" customWidth="1"/>
    <col min="28" max="28" width="6.88671875" style="1" bestFit="1" customWidth="1"/>
    <col min="29" max="34" width="5.44140625" style="1" bestFit="1" customWidth="1"/>
    <col min="35" max="35" width="9" style="1"/>
    <col min="36" max="44" width="9" style="1" customWidth="1"/>
    <col min="45" max="45" width="9" style="1"/>
    <col min="46" max="46" width="17.88671875" style="1" bestFit="1" customWidth="1"/>
    <col min="47" max="51" width="6.77734375" style="1" bestFit="1" customWidth="1"/>
    <col min="52" max="52" width="4.21875" style="1" bestFit="1" customWidth="1"/>
    <col min="53" max="53" width="5.44140625" style="1" customWidth="1"/>
    <col min="54" max="54" width="4.77734375" style="1" customWidth="1"/>
    <col min="55" max="55" width="8.88671875" style="65" customWidth="1"/>
    <col min="56" max="56" width="9.21875" style="1" bestFit="1" customWidth="1"/>
    <col min="57" max="57" width="6.109375" style="87" bestFit="1" customWidth="1"/>
    <col min="58" max="59" width="7.44140625" style="87" bestFit="1" customWidth="1"/>
    <col min="60" max="60" width="7.44140625" style="87" customWidth="1"/>
    <col min="61" max="61" width="7.44140625" style="87" bestFit="1" customWidth="1"/>
    <col min="62" max="62" width="4.6640625" style="87" bestFit="1" customWidth="1"/>
    <col min="63" max="63" width="4.6640625" style="87" customWidth="1"/>
    <col min="64" max="64" width="8.88671875" style="1" customWidth="1"/>
    <col min="65" max="65" width="4.77734375" style="1" customWidth="1"/>
    <col min="66" max="70" width="4.77734375" style="87" customWidth="1"/>
    <col min="71" max="71" width="4.6640625" style="1" customWidth="1"/>
    <col min="72" max="72" width="8.88671875" style="1" customWidth="1"/>
    <col min="73" max="73" width="6.88671875" style="1" bestFit="1" customWidth="1"/>
    <col min="74" max="79" width="5.44140625" style="1" bestFit="1" customWidth="1"/>
    <col min="80" max="16384" width="9" style="1"/>
  </cols>
  <sheetData>
    <row r="1" spans="1:89" ht="16.2" x14ac:dyDescent="0.3">
      <c r="K1" s="3"/>
      <c r="T1" s="248" t="s">
        <v>116</v>
      </c>
      <c r="U1" s="248"/>
      <c r="V1" s="248"/>
      <c r="W1" s="248"/>
      <c r="X1" s="248"/>
      <c r="Y1" s="248"/>
      <c r="Z1" s="248"/>
      <c r="AB1" s="250"/>
      <c r="AC1" s="250"/>
      <c r="AD1" s="250"/>
      <c r="AE1" s="250"/>
      <c r="AF1" s="250"/>
      <c r="AG1" s="250"/>
      <c r="AH1" s="250"/>
      <c r="BD1" s="3"/>
      <c r="BM1" s="248" t="s">
        <v>166</v>
      </c>
      <c r="BN1" s="248"/>
      <c r="BO1" s="248"/>
      <c r="BP1" s="248"/>
      <c r="BQ1" s="248"/>
      <c r="BR1" s="248"/>
      <c r="BS1" s="248"/>
      <c r="BU1" s="250"/>
      <c r="BV1" s="250"/>
      <c r="BW1" s="250"/>
      <c r="BX1" s="250"/>
      <c r="BY1" s="250"/>
      <c r="BZ1" s="250"/>
      <c r="CA1" s="250"/>
    </row>
    <row r="2" spans="1:89" s="14" customFormat="1" ht="15.9" customHeight="1" x14ac:dyDescent="0.3">
      <c r="J2" s="66"/>
      <c r="K2" s="246" t="s">
        <v>115</v>
      </c>
      <c r="L2" s="246"/>
      <c r="M2" s="246"/>
      <c r="N2" s="246"/>
      <c r="O2" s="246"/>
      <c r="P2" s="246"/>
      <c r="Q2" s="246"/>
      <c r="R2" s="246"/>
      <c r="T2" s="249" t="s">
        <v>3</v>
      </c>
      <c r="U2" s="249"/>
      <c r="V2" s="249"/>
      <c r="W2" s="249"/>
      <c r="X2" s="249"/>
      <c r="Y2" s="249"/>
      <c r="Z2" s="249"/>
      <c r="AB2" s="251" t="s">
        <v>91</v>
      </c>
      <c r="AC2" s="251"/>
      <c r="AD2" s="251"/>
      <c r="AE2" s="251"/>
      <c r="AF2" s="251"/>
      <c r="AG2" s="251"/>
      <c r="AH2" s="251"/>
      <c r="AJ2" s="247" t="s">
        <v>165</v>
      </c>
      <c r="AK2" s="247"/>
      <c r="AL2" s="247"/>
      <c r="AM2" s="247"/>
      <c r="AN2" s="247"/>
      <c r="AO2" s="247"/>
      <c r="AP2" s="247"/>
      <c r="AQ2" s="247"/>
      <c r="AR2" s="247"/>
      <c r="BC2" s="66"/>
      <c r="BD2" s="246" t="s">
        <v>115</v>
      </c>
      <c r="BE2" s="246"/>
      <c r="BF2" s="246"/>
      <c r="BG2" s="246"/>
      <c r="BH2" s="246"/>
      <c r="BI2" s="246"/>
      <c r="BJ2" s="246"/>
      <c r="BK2" s="246"/>
      <c r="BM2" s="249" t="s">
        <v>3</v>
      </c>
      <c r="BN2" s="249"/>
      <c r="BO2" s="249"/>
      <c r="BP2" s="249"/>
      <c r="BQ2" s="249"/>
      <c r="BR2" s="249"/>
      <c r="BS2" s="249"/>
      <c r="BU2" s="251" t="s">
        <v>91</v>
      </c>
      <c r="BV2" s="251"/>
      <c r="BW2" s="251"/>
      <c r="BX2" s="251"/>
      <c r="BY2" s="251"/>
      <c r="BZ2" s="251"/>
      <c r="CA2" s="251"/>
      <c r="CC2" s="247" t="s">
        <v>165</v>
      </c>
      <c r="CD2" s="247"/>
      <c r="CE2" s="247"/>
      <c r="CF2" s="247"/>
      <c r="CG2" s="247"/>
      <c r="CH2" s="247"/>
      <c r="CI2" s="247"/>
      <c r="CJ2" s="247"/>
      <c r="CK2" s="247"/>
    </row>
    <row r="3" spans="1:89" ht="15.9" customHeight="1" thickBot="1" x14ac:dyDescent="0.35">
      <c r="A3" s="19" t="s">
        <v>2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30</v>
      </c>
      <c r="H3" s="20" t="s">
        <v>77</v>
      </c>
      <c r="I3" s="19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23</v>
      </c>
      <c r="R3" s="23" t="s">
        <v>76</v>
      </c>
      <c r="S3" s="85"/>
      <c r="T3" s="23" t="s">
        <v>12</v>
      </c>
      <c r="U3" s="23" t="s">
        <v>13</v>
      </c>
      <c r="V3" s="23" t="s">
        <v>14</v>
      </c>
      <c r="W3" s="23" t="s">
        <v>15</v>
      </c>
      <c r="X3" s="23" t="s">
        <v>16</v>
      </c>
      <c r="Y3" s="23" t="s">
        <v>23</v>
      </c>
      <c r="Z3" s="23" t="s">
        <v>76</v>
      </c>
      <c r="AB3" s="78" t="s">
        <v>41</v>
      </c>
      <c r="AC3" s="78" t="s">
        <v>42</v>
      </c>
      <c r="AD3" s="78" t="s">
        <v>43</v>
      </c>
      <c r="AE3" s="78" t="s">
        <v>44</v>
      </c>
      <c r="AF3" s="78" t="s">
        <v>45</v>
      </c>
      <c r="AG3" s="78" t="s">
        <v>23</v>
      </c>
      <c r="AH3" s="78" t="s">
        <v>76</v>
      </c>
      <c r="AJ3" s="82"/>
      <c r="AK3" s="245" t="s">
        <v>92</v>
      </c>
      <c r="AL3" s="245"/>
      <c r="AM3" s="245"/>
      <c r="AN3" s="245"/>
      <c r="AO3" s="245"/>
      <c r="AP3" s="245"/>
      <c r="AQ3" s="245"/>
      <c r="AR3" s="245"/>
      <c r="AT3" s="19" t="s">
        <v>2</v>
      </c>
      <c r="AU3" s="20" t="s">
        <v>5</v>
      </c>
      <c r="AV3" s="20" t="s">
        <v>6</v>
      </c>
      <c r="AW3" s="20" t="s">
        <v>7</v>
      </c>
      <c r="AX3" s="20" t="s">
        <v>8</v>
      </c>
      <c r="AY3" s="20" t="s">
        <v>9</v>
      </c>
      <c r="AZ3" s="20" t="s">
        <v>30</v>
      </c>
      <c r="BA3" s="20" t="s">
        <v>77</v>
      </c>
      <c r="BB3" s="19" t="s">
        <v>10</v>
      </c>
      <c r="BD3" s="23" t="s">
        <v>11</v>
      </c>
      <c r="BE3" s="23" t="s">
        <v>12</v>
      </c>
      <c r="BF3" s="23" t="s">
        <v>13</v>
      </c>
      <c r="BG3" s="23" t="s">
        <v>14</v>
      </c>
      <c r="BH3" s="23" t="s">
        <v>15</v>
      </c>
      <c r="BI3" s="23" t="s">
        <v>16</v>
      </c>
      <c r="BJ3" s="23" t="s">
        <v>23</v>
      </c>
      <c r="BK3" s="23" t="s">
        <v>76</v>
      </c>
      <c r="BL3" s="87"/>
      <c r="BM3" s="23" t="s">
        <v>12</v>
      </c>
      <c r="BN3" s="23" t="s">
        <v>13</v>
      </c>
      <c r="BO3" s="23" t="s">
        <v>14</v>
      </c>
      <c r="BP3" s="23" t="s">
        <v>15</v>
      </c>
      <c r="BQ3" s="23" t="s">
        <v>16</v>
      </c>
      <c r="BR3" s="23" t="s">
        <v>23</v>
      </c>
      <c r="BS3" s="23" t="s">
        <v>76</v>
      </c>
      <c r="BU3" s="78" t="s">
        <v>41</v>
      </c>
      <c r="BV3" s="78" t="s">
        <v>42</v>
      </c>
      <c r="BW3" s="78" t="s">
        <v>43</v>
      </c>
      <c r="BX3" s="78" t="s">
        <v>44</v>
      </c>
      <c r="BY3" s="78" t="s">
        <v>45</v>
      </c>
      <c r="BZ3" s="78" t="s">
        <v>23</v>
      </c>
      <c r="CA3" s="78" t="s">
        <v>76</v>
      </c>
      <c r="CC3" s="82"/>
      <c r="CD3" s="245" t="s">
        <v>92</v>
      </c>
      <c r="CE3" s="245"/>
      <c r="CF3" s="245"/>
      <c r="CG3" s="245"/>
      <c r="CH3" s="245"/>
      <c r="CI3" s="245"/>
      <c r="CJ3" s="245"/>
      <c r="CK3" s="245"/>
    </row>
    <row r="4" spans="1:89" ht="15.9" customHeight="1" thickBot="1" x14ac:dyDescent="0.35">
      <c r="A4" s="7" t="s">
        <v>78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67"/>
      <c r="K4" s="22">
        <v>0</v>
      </c>
      <c r="L4" s="77" t="s">
        <v>152</v>
      </c>
      <c r="M4" s="77" t="s">
        <v>25</v>
      </c>
      <c r="N4" s="77" t="s">
        <v>35</v>
      </c>
      <c r="O4" s="77" t="s">
        <v>34</v>
      </c>
      <c r="P4" s="77" t="s">
        <v>39</v>
      </c>
      <c r="Q4" s="77" t="s">
        <v>38</v>
      </c>
      <c r="R4" s="37" t="s">
        <v>35</v>
      </c>
      <c r="T4" s="76">
        <f>VLOOKUP(L4, $A$4:$I$29, 9, 0)</f>
        <v>7</v>
      </c>
      <c r="U4" s="76">
        <f t="shared" ref="U4:Z4" si="1">VLOOKUP(M4, $A$4:$I$29, 9, 0)</f>
        <v>8</v>
      </c>
      <c r="V4" s="76">
        <f t="shared" si="1"/>
        <v>5</v>
      </c>
      <c r="W4" s="76">
        <f t="shared" si="1"/>
        <v>4</v>
      </c>
      <c r="X4" s="76">
        <f t="shared" si="1"/>
        <v>11</v>
      </c>
      <c r="Y4" s="76">
        <f t="shared" si="1"/>
        <v>10</v>
      </c>
      <c r="Z4" s="76">
        <f t="shared" si="1"/>
        <v>5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44" t="s">
        <v>52</v>
      </c>
      <c r="AK4" s="45" t="s">
        <v>12</v>
      </c>
      <c r="AL4" s="45" t="s">
        <v>13</v>
      </c>
      <c r="AM4" s="45" t="s">
        <v>14</v>
      </c>
      <c r="AN4" s="45" t="s">
        <v>15</v>
      </c>
      <c r="AO4" s="45" t="s">
        <v>16</v>
      </c>
      <c r="AP4" s="45" t="s">
        <v>56</v>
      </c>
      <c r="AQ4" s="46" t="s">
        <v>76</v>
      </c>
      <c r="AR4" s="47" t="s">
        <v>3</v>
      </c>
      <c r="AT4" s="7" t="s">
        <v>78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67"/>
      <c r="BD4" s="22">
        <v>0</v>
      </c>
      <c r="BE4" s="77" t="s">
        <v>152</v>
      </c>
      <c r="BF4" s="77" t="s">
        <v>152</v>
      </c>
      <c r="BG4" s="77" t="s">
        <v>37</v>
      </c>
      <c r="BH4" s="77" t="s">
        <v>75</v>
      </c>
      <c r="BI4" s="77" t="s">
        <v>35</v>
      </c>
      <c r="BJ4" s="77" t="s">
        <v>25</v>
      </c>
      <c r="BK4" s="37" t="s">
        <v>25</v>
      </c>
      <c r="BM4" s="76">
        <f>VLOOKUP(BE4, $A$4:$I$29, 9, 0)</f>
        <v>7</v>
      </c>
      <c r="BN4" s="76">
        <f t="shared" ref="BN4:BS4" si="3">VLOOKUP(BF4, $A$4:$I$29, 9, 0)</f>
        <v>7</v>
      </c>
      <c r="BO4" s="76">
        <f t="shared" si="3"/>
        <v>9</v>
      </c>
      <c r="BP4" s="76">
        <f t="shared" si="3"/>
        <v>6</v>
      </c>
      <c r="BQ4" s="76">
        <f t="shared" si="3"/>
        <v>5</v>
      </c>
      <c r="BR4" s="76">
        <f t="shared" si="3"/>
        <v>8</v>
      </c>
      <c r="BS4" s="76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44" t="s">
        <v>52</v>
      </c>
      <c r="CD4" s="45" t="s">
        <v>12</v>
      </c>
      <c r="CE4" s="45" t="s">
        <v>13</v>
      </c>
      <c r="CF4" s="45" t="s">
        <v>14</v>
      </c>
      <c r="CG4" s="45" t="s">
        <v>15</v>
      </c>
      <c r="CH4" s="45" t="s">
        <v>16</v>
      </c>
      <c r="CI4" s="45" t="s">
        <v>56</v>
      </c>
      <c r="CJ4" s="46" t="s">
        <v>76</v>
      </c>
      <c r="CK4" s="47" t="s">
        <v>3</v>
      </c>
    </row>
    <row r="5" spans="1:89" ht="15.9" customHeight="1" x14ac:dyDescent="0.3">
      <c r="A5" s="7" t="s">
        <v>19</v>
      </c>
      <c r="B5" s="15">
        <f t="shared" ref="B5:B29" si="4">COUNTIF(L$4:L$304,$A5)</f>
        <v>0</v>
      </c>
      <c r="C5" s="15">
        <f t="shared" ref="C5:C29" si="5">COUNTIF(M$4:M$304,$A5)</f>
        <v>0</v>
      </c>
      <c r="D5" s="15">
        <f t="shared" ref="D5:D29" si="6">COUNTIF(N$4:N$304,$A5)</f>
        <v>0</v>
      </c>
      <c r="E5" s="15">
        <f t="shared" ref="E5:E29" si="7">COUNTIF(O$4:O$304,$A5)</f>
        <v>0</v>
      </c>
      <c r="F5" s="15">
        <f t="shared" ref="F5:F29" si="8">COUNTIF(P$4:P$304,$A5)</f>
        <v>0</v>
      </c>
      <c r="G5" s="15">
        <f t="shared" ref="G5:G29" si="9">COUNTIF(Q$4:Q$304,$A5)</f>
        <v>0</v>
      </c>
      <c r="H5" s="15">
        <f t="shared" ref="H5:H29" si="10">COUNTIF(R$4:R$304,$A5)</f>
        <v>0</v>
      </c>
      <c r="I5" s="7">
        <v>1</v>
      </c>
      <c r="J5" s="67"/>
      <c r="K5" s="21">
        <v>1</v>
      </c>
      <c r="L5" s="77" t="s">
        <v>39</v>
      </c>
      <c r="M5" s="77" t="s">
        <v>75</v>
      </c>
      <c r="N5" s="77" t="s">
        <v>25</v>
      </c>
      <c r="O5" s="77" t="s">
        <v>34</v>
      </c>
      <c r="P5" s="77" t="s">
        <v>39</v>
      </c>
      <c r="Q5" s="77" t="s">
        <v>38</v>
      </c>
      <c r="R5" s="37" t="s">
        <v>35</v>
      </c>
      <c r="T5" s="76">
        <f t="shared" ref="T5:T68" si="11">VLOOKUP(L5, $A$4:$I$29, 9, 0)</f>
        <v>11</v>
      </c>
      <c r="U5" s="76">
        <f t="shared" ref="U5:U68" si="12">VLOOKUP(M5, $A$4:$I$29, 9, 0)</f>
        <v>6</v>
      </c>
      <c r="V5" s="76">
        <f t="shared" ref="V5:V68" si="13">VLOOKUP(N5, $A$4:$I$29, 9, 0)</f>
        <v>8</v>
      </c>
      <c r="W5" s="76">
        <f t="shared" ref="W5:W68" si="14">VLOOKUP(O5, $A$4:$I$29, 9, 0)</f>
        <v>4</v>
      </c>
      <c r="X5" s="76">
        <f t="shared" ref="X5:X68" si="15">VLOOKUP(P5, $A$4:$I$29, 9, 0)</f>
        <v>11</v>
      </c>
      <c r="Y5" s="76">
        <f t="shared" ref="Y5:Y68" si="16">VLOOKUP(Q5, $A$4:$I$29, 9, 0)</f>
        <v>10</v>
      </c>
      <c r="Z5" s="76">
        <f t="shared" ref="Z5:Z68" si="17">VLOOKUP(R5, $A$4:$I$29, 9, 0)</f>
        <v>5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48" t="s">
        <v>78</v>
      </c>
      <c r="AK5" s="49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1">
        <v>0</v>
      </c>
      <c r="AR5" s="131">
        <v>0</v>
      </c>
      <c r="AT5" s="7" t="s">
        <v>19</v>
      </c>
      <c r="AU5" s="15">
        <f t="shared" ref="AU5:AU29" si="18">COUNTIF(BE$4:BE$304,$A5)</f>
        <v>0</v>
      </c>
      <c r="AV5" s="15">
        <f t="shared" ref="AV5:AV29" si="19">COUNTIF(BF$4:BF$304,$A5)</f>
        <v>0</v>
      </c>
      <c r="AW5" s="15">
        <f t="shared" ref="AW5:AW29" si="20">COUNTIF(BG$4:BG$304,$A5)</f>
        <v>0</v>
      </c>
      <c r="AX5" s="15">
        <f t="shared" ref="AX5:AX29" si="21">COUNTIF(BH$4:BH$304,$A5)</f>
        <v>0</v>
      </c>
      <c r="AY5" s="15">
        <f t="shared" ref="AY5:AY29" si="22">COUNTIF(BI$4:BI$304,$A5)</f>
        <v>0</v>
      </c>
      <c r="AZ5" s="15">
        <f t="shared" ref="AZ5:AZ29" si="23">COUNTIF(BJ$4:BJ$304,$A5)</f>
        <v>0</v>
      </c>
      <c r="BA5" s="15">
        <f t="shared" ref="BA5:BA29" si="24">COUNTIF(BK$4:BK$304,$A5)</f>
        <v>0</v>
      </c>
      <c r="BB5" s="7">
        <v>1</v>
      </c>
      <c r="BC5" s="67"/>
      <c r="BD5" s="21">
        <v>1</v>
      </c>
      <c r="BE5" s="77" t="s">
        <v>37</v>
      </c>
      <c r="BF5" s="77" t="s">
        <v>39</v>
      </c>
      <c r="BG5" s="77" t="s">
        <v>37</v>
      </c>
      <c r="BH5" s="77" t="s">
        <v>25</v>
      </c>
      <c r="BI5" s="77" t="s">
        <v>193</v>
      </c>
      <c r="BJ5" s="77" t="s">
        <v>37</v>
      </c>
      <c r="BK5" s="37" t="s">
        <v>25</v>
      </c>
      <c r="BM5" s="76">
        <f t="shared" ref="BM5:BM68" si="25">VLOOKUP(BE5, $A$4:$I$29, 9, 0)</f>
        <v>9</v>
      </c>
      <c r="BN5" s="76">
        <f t="shared" ref="BN5:BN68" si="26">VLOOKUP(BF5, $A$4:$I$29, 9, 0)</f>
        <v>11</v>
      </c>
      <c r="BO5" s="76">
        <f t="shared" ref="BO5:BO68" si="27">VLOOKUP(BG5, $A$4:$I$29, 9, 0)</f>
        <v>9</v>
      </c>
      <c r="BP5" s="76">
        <f t="shared" ref="BP5:BP68" si="28">VLOOKUP(BH5, $A$4:$I$29, 9, 0)</f>
        <v>8</v>
      </c>
      <c r="BQ5" s="76">
        <f t="shared" ref="BQ5:BQ68" si="29">VLOOKUP(BI5, $A$4:$I$29, 9, 0)</f>
        <v>16</v>
      </c>
      <c r="BR5" s="76">
        <f t="shared" ref="BR5:BR68" si="30">VLOOKUP(BJ5, $A$4:$I$29, 9, 0)</f>
        <v>9</v>
      </c>
      <c r="BS5" s="76">
        <f t="shared" ref="BS5:BS68" si="31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48" t="s">
        <v>78</v>
      </c>
      <c r="CD5" s="49">
        <v>0</v>
      </c>
      <c r="CE5" s="50">
        <v>0</v>
      </c>
      <c r="CF5" s="50">
        <v>0</v>
      </c>
      <c r="CG5" s="50">
        <v>0</v>
      </c>
      <c r="CH5" s="50">
        <v>0</v>
      </c>
      <c r="CI5" s="50">
        <v>0</v>
      </c>
      <c r="CJ5" s="51">
        <v>0</v>
      </c>
      <c r="CK5" s="131">
        <v>0</v>
      </c>
    </row>
    <row r="6" spans="1:89" ht="15.9" customHeight="1" x14ac:dyDescent="0.3">
      <c r="A6" s="7" t="s">
        <v>20</v>
      </c>
      <c r="B6" s="15">
        <f t="shared" si="4"/>
        <v>1</v>
      </c>
      <c r="C6" s="15">
        <f t="shared" si="5"/>
        <v>1</v>
      </c>
      <c r="D6" s="15">
        <f t="shared" si="6"/>
        <v>2</v>
      </c>
      <c r="E6" s="15">
        <f t="shared" si="7"/>
        <v>1</v>
      </c>
      <c r="F6" s="15">
        <f t="shared" si="8"/>
        <v>1</v>
      </c>
      <c r="G6" s="15">
        <f t="shared" si="9"/>
        <v>2</v>
      </c>
      <c r="H6" s="15">
        <f t="shared" si="10"/>
        <v>4</v>
      </c>
      <c r="I6" s="7">
        <v>2</v>
      </c>
      <c r="K6" s="22">
        <v>2</v>
      </c>
      <c r="L6" s="77" t="s">
        <v>39</v>
      </c>
      <c r="M6" s="77" t="s">
        <v>38</v>
      </c>
      <c r="N6" s="77" t="s">
        <v>39</v>
      </c>
      <c r="O6" s="77" t="s">
        <v>190</v>
      </c>
      <c r="P6" s="77" t="s">
        <v>37</v>
      </c>
      <c r="Q6" s="77" t="s">
        <v>38</v>
      </c>
      <c r="R6" s="37" t="s">
        <v>35</v>
      </c>
      <c r="T6" s="76">
        <f t="shared" si="11"/>
        <v>11</v>
      </c>
      <c r="U6" s="76">
        <f t="shared" si="12"/>
        <v>10</v>
      </c>
      <c r="V6" s="76">
        <f t="shared" si="13"/>
        <v>11</v>
      </c>
      <c r="W6" s="76">
        <f t="shared" si="14"/>
        <v>15</v>
      </c>
      <c r="X6" s="76">
        <f t="shared" si="15"/>
        <v>9</v>
      </c>
      <c r="Y6" s="76">
        <f t="shared" si="16"/>
        <v>10</v>
      </c>
      <c r="Z6" s="76">
        <f t="shared" si="17"/>
        <v>5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79" t="s">
        <v>19</v>
      </c>
      <c r="AK6" s="69">
        <v>10</v>
      </c>
      <c r="AL6" s="130">
        <v>10</v>
      </c>
      <c r="AM6" s="130">
        <v>10</v>
      </c>
      <c r="AN6" s="130">
        <v>10</v>
      </c>
      <c r="AO6" s="130">
        <v>10</v>
      </c>
      <c r="AP6" s="130">
        <v>10</v>
      </c>
      <c r="AQ6" s="71">
        <v>5</v>
      </c>
      <c r="AR6" s="58">
        <v>1</v>
      </c>
      <c r="AT6" s="7" t="s">
        <v>20</v>
      </c>
      <c r="AU6" s="15">
        <f t="shared" si="18"/>
        <v>0</v>
      </c>
      <c r="AV6" s="15">
        <f t="shared" si="19"/>
        <v>0</v>
      </c>
      <c r="AW6" s="15">
        <f t="shared" si="20"/>
        <v>0</v>
      </c>
      <c r="AX6" s="15">
        <f t="shared" si="21"/>
        <v>0</v>
      </c>
      <c r="AY6" s="15">
        <f t="shared" si="22"/>
        <v>0</v>
      </c>
      <c r="AZ6" s="15">
        <f t="shared" si="23"/>
        <v>0</v>
      </c>
      <c r="BA6" s="15">
        <f t="shared" si="24"/>
        <v>0</v>
      </c>
      <c r="BB6" s="7">
        <v>2</v>
      </c>
      <c r="BD6" s="22">
        <v>2</v>
      </c>
      <c r="BE6" s="77" t="s">
        <v>39</v>
      </c>
      <c r="BF6" s="77" t="s">
        <v>40</v>
      </c>
      <c r="BG6" s="77" t="s">
        <v>33</v>
      </c>
      <c r="BH6" s="77" t="s">
        <v>25</v>
      </c>
      <c r="BI6" s="77" t="s">
        <v>75</v>
      </c>
      <c r="BJ6" s="77" t="s">
        <v>75</v>
      </c>
      <c r="BK6" s="37" t="s">
        <v>25</v>
      </c>
      <c r="BM6" s="76">
        <f t="shared" si="25"/>
        <v>11</v>
      </c>
      <c r="BN6" s="76">
        <f t="shared" si="26"/>
        <v>12</v>
      </c>
      <c r="BO6" s="76">
        <f t="shared" si="27"/>
        <v>3</v>
      </c>
      <c r="BP6" s="76">
        <f t="shared" si="28"/>
        <v>8</v>
      </c>
      <c r="BQ6" s="76">
        <f t="shared" si="29"/>
        <v>6</v>
      </c>
      <c r="BR6" s="76">
        <f t="shared" si="30"/>
        <v>6</v>
      </c>
      <c r="BS6" s="76">
        <f t="shared" si="31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79" t="s">
        <v>19</v>
      </c>
      <c r="CD6" s="69">
        <v>10</v>
      </c>
      <c r="CE6" s="130">
        <v>10</v>
      </c>
      <c r="CF6" s="130">
        <v>10</v>
      </c>
      <c r="CG6" s="130">
        <v>10</v>
      </c>
      <c r="CH6" s="130">
        <v>10</v>
      </c>
      <c r="CI6" s="130">
        <v>10</v>
      </c>
      <c r="CJ6" s="71">
        <v>5</v>
      </c>
      <c r="CK6" s="58">
        <v>1</v>
      </c>
    </row>
    <row r="7" spans="1:89" ht="15.9" customHeight="1" x14ac:dyDescent="0.3">
      <c r="A7" s="26" t="s">
        <v>21</v>
      </c>
      <c r="B7" s="15">
        <f t="shared" si="4"/>
        <v>1</v>
      </c>
      <c r="C7" s="15">
        <f t="shared" si="5"/>
        <v>5</v>
      </c>
      <c r="D7" s="15">
        <f t="shared" si="6"/>
        <v>6</v>
      </c>
      <c r="E7" s="15">
        <f t="shared" si="7"/>
        <v>10</v>
      </c>
      <c r="F7" s="15">
        <f t="shared" si="8"/>
        <v>2</v>
      </c>
      <c r="G7" s="15">
        <f t="shared" si="9"/>
        <v>5</v>
      </c>
      <c r="H7" s="15">
        <f t="shared" si="10"/>
        <v>11</v>
      </c>
      <c r="I7" s="7">
        <v>3</v>
      </c>
      <c r="K7" s="21">
        <v>3</v>
      </c>
      <c r="L7" s="77" t="s">
        <v>40</v>
      </c>
      <c r="M7" s="77" t="s">
        <v>75</v>
      </c>
      <c r="N7" s="77" t="s">
        <v>39</v>
      </c>
      <c r="O7" s="77" t="s">
        <v>75</v>
      </c>
      <c r="P7" s="77" t="s">
        <v>190</v>
      </c>
      <c r="Q7" s="77" t="s">
        <v>40</v>
      </c>
      <c r="R7" s="37" t="s">
        <v>33</v>
      </c>
      <c r="T7" s="76">
        <f t="shared" si="11"/>
        <v>12</v>
      </c>
      <c r="U7" s="76">
        <f t="shared" si="12"/>
        <v>6</v>
      </c>
      <c r="V7" s="76">
        <f t="shared" si="13"/>
        <v>11</v>
      </c>
      <c r="W7" s="76">
        <f t="shared" si="14"/>
        <v>6</v>
      </c>
      <c r="X7" s="76">
        <f t="shared" si="15"/>
        <v>15</v>
      </c>
      <c r="Y7" s="76">
        <f t="shared" si="16"/>
        <v>12</v>
      </c>
      <c r="Z7" s="76">
        <f t="shared" si="17"/>
        <v>3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79" t="s">
        <v>20</v>
      </c>
      <c r="AK7" s="69">
        <v>8</v>
      </c>
      <c r="AL7" s="130">
        <v>8</v>
      </c>
      <c r="AM7" s="130">
        <v>8</v>
      </c>
      <c r="AN7" s="130">
        <v>8</v>
      </c>
      <c r="AO7" s="130">
        <v>8</v>
      </c>
      <c r="AP7" s="130">
        <v>8</v>
      </c>
      <c r="AQ7" s="71">
        <v>8</v>
      </c>
      <c r="AR7" s="58">
        <v>2</v>
      </c>
      <c r="AT7" s="26" t="s">
        <v>21</v>
      </c>
      <c r="AU7" s="15">
        <f t="shared" si="18"/>
        <v>1</v>
      </c>
      <c r="AV7" s="15">
        <f t="shared" si="19"/>
        <v>12</v>
      </c>
      <c r="AW7" s="15">
        <f t="shared" si="20"/>
        <v>7</v>
      </c>
      <c r="AX7" s="15">
        <f t="shared" si="21"/>
        <v>3</v>
      </c>
      <c r="AY7" s="15">
        <f t="shared" si="22"/>
        <v>9</v>
      </c>
      <c r="AZ7" s="15">
        <f t="shared" si="23"/>
        <v>0</v>
      </c>
      <c r="BA7" s="15">
        <f t="shared" si="24"/>
        <v>12</v>
      </c>
      <c r="BB7" s="7">
        <v>3</v>
      </c>
      <c r="BD7" s="21">
        <v>3</v>
      </c>
      <c r="BE7" s="77" t="s">
        <v>40</v>
      </c>
      <c r="BF7" s="77" t="s">
        <v>38</v>
      </c>
      <c r="BG7" s="77" t="s">
        <v>25</v>
      </c>
      <c r="BH7" s="77" t="s">
        <v>25</v>
      </c>
      <c r="BI7" s="77" t="s">
        <v>75</v>
      </c>
      <c r="BJ7" s="77" t="s">
        <v>40</v>
      </c>
      <c r="BK7" s="37" t="s">
        <v>25</v>
      </c>
      <c r="BM7" s="76">
        <f t="shared" si="25"/>
        <v>12</v>
      </c>
      <c r="BN7" s="76">
        <f t="shared" si="26"/>
        <v>10</v>
      </c>
      <c r="BO7" s="76">
        <f t="shared" si="27"/>
        <v>8</v>
      </c>
      <c r="BP7" s="76">
        <f t="shared" si="28"/>
        <v>8</v>
      </c>
      <c r="BQ7" s="76">
        <f t="shared" si="29"/>
        <v>6</v>
      </c>
      <c r="BR7" s="76">
        <f t="shared" si="30"/>
        <v>12</v>
      </c>
      <c r="BS7" s="76">
        <f t="shared" si="31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79" t="s">
        <v>20</v>
      </c>
      <c r="CD7" s="69">
        <v>8</v>
      </c>
      <c r="CE7" s="130">
        <v>8</v>
      </c>
      <c r="CF7" s="130">
        <v>8</v>
      </c>
      <c r="CG7" s="130">
        <v>8</v>
      </c>
      <c r="CH7" s="130">
        <v>8</v>
      </c>
      <c r="CI7" s="130">
        <v>8</v>
      </c>
      <c r="CJ7" s="71">
        <v>8</v>
      </c>
      <c r="CK7" s="58">
        <v>2</v>
      </c>
    </row>
    <row r="8" spans="1:89" ht="15.9" customHeight="1" x14ac:dyDescent="0.3">
      <c r="A8" s="27" t="s">
        <v>17</v>
      </c>
      <c r="B8" s="15">
        <f t="shared" si="4"/>
        <v>11</v>
      </c>
      <c r="C8" s="15">
        <f t="shared" si="5"/>
        <v>4</v>
      </c>
      <c r="D8" s="15">
        <f t="shared" si="6"/>
        <v>8</v>
      </c>
      <c r="E8" s="15">
        <f t="shared" si="7"/>
        <v>5</v>
      </c>
      <c r="F8" s="15">
        <f t="shared" si="8"/>
        <v>7</v>
      </c>
      <c r="G8" s="15">
        <f t="shared" si="9"/>
        <v>4</v>
      </c>
      <c r="H8" s="15">
        <f t="shared" si="10"/>
        <v>16</v>
      </c>
      <c r="I8" s="7">
        <v>4</v>
      </c>
      <c r="K8" s="22">
        <v>4</v>
      </c>
      <c r="L8" s="77" t="s">
        <v>40</v>
      </c>
      <c r="M8" s="77" t="s">
        <v>35</v>
      </c>
      <c r="N8" s="77" t="s">
        <v>25</v>
      </c>
      <c r="O8" s="77" t="s">
        <v>33</v>
      </c>
      <c r="P8" s="77" t="s">
        <v>35</v>
      </c>
      <c r="Q8" s="77" t="s">
        <v>40</v>
      </c>
      <c r="R8" s="37" t="s">
        <v>33</v>
      </c>
      <c r="T8" s="76">
        <f t="shared" si="11"/>
        <v>12</v>
      </c>
      <c r="U8" s="76">
        <f t="shared" si="12"/>
        <v>5</v>
      </c>
      <c r="V8" s="76">
        <f t="shared" si="13"/>
        <v>8</v>
      </c>
      <c r="W8" s="76">
        <f t="shared" si="14"/>
        <v>3</v>
      </c>
      <c r="X8" s="76">
        <f t="shared" si="15"/>
        <v>5</v>
      </c>
      <c r="Y8" s="76">
        <f t="shared" si="16"/>
        <v>12</v>
      </c>
      <c r="Z8" s="76">
        <f t="shared" si="17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79" t="s">
        <v>21</v>
      </c>
      <c r="AK8" s="69">
        <v>10</v>
      </c>
      <c r="AL8" s="130">
        <v>13</v>
      </c>
      <c r="AM8" s="130">
        <v>10</v>
      </c>
      <c r="AN8" s="130">
        <v>5</v>
      </c>
      <c r="AO8" s="130">
        <v>20</v>
      </c>
      <c r="AP8" s="130">
        <v>5</v>
      </c>
      <c r="AQ8" s="71">
        <v>10</v>
      </c>
      <c r="AR8" s="58">
        <v>3</v>
      </c>
      <c r="AT8" s="27" t="s">
        <v>17</v>
      </c>
      <c r="AU8" s="15">
        <f t="shared" si="18"/>
        <v>3</v>
      </c>
      <c r="AV8" s="15">
        <f t="shared" si="19"/>
        <v>1</v>
      </c>
      <c r="AW8" s="15">
        <f t="shared" si="20"/>
        <v>3</v>
      </c>
      <c r="AX8" s="15">
        <f t="shared" si="21"/>
        <v>8</v>
      </c>
      <c r="AY8" s="15">
        <f t="shared" si="22"/>
        <v>3</v>
      </c>
      <c r="AZ8" s="15">
        <f t="shared" si="23"/>
        <v>3</v>
      </c>
      <c r="BA8" s="15">
        <f t="shared" si="24"/>
        <v>14</v>
      </c>
      <c r="BB8" s="7">
        <v>4</v>
      </c>
      <c r="BD8" s="22">
        <v>4</v>
      </c>
      <c r="BE8" s="77" t="s">
        <v>37</v>
      </c>
      <c r="BF8" s="77" t="s">
        <v>40</v>
      </c>
      <c r="BG8" s="77" t="s">
        <v>190</v>
      </c>
      <c r="BH8" s="77" t="s">
        <v>38</v>
      </c>
      <c r="BI8" s="77" t="s">
        <v>37</v>
      </c>
      <c r="BJ8" s="77" t="s">
        <v>40</v>
      </c>
      <c r="BK8" s="37" t="s">
        <v>33</v>
      </c>
      <c r="BM8" s="76">
        <f t="shared" si="25"/>
        <v>9</v>
      </c>
      <c r="BN8" s="76">
        <f t="shared" si="26"/>
        <v>12</v>
      </c>
      <c r="BO8" s="76">
        <f t="shared" si="27"/>
        <v>15</v>
      </c>
      <c r="BP8" s="76">
        <f t="shared" si="28"/>
        <v>10</v>
      </c>
      <c r="BQ8" s="76">
        <f t="shared" si="29"/>
        <v>9</v>
      </c>
      <c r="BR8" s="76">
        <f t="shared" si="30"/>
        <v>12</v>
      </c>
      <c r="BS8" s="76">
        <f t="shared" si="31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79" t="s">
        <v>21</v>
      </c>
      <c r="CD8" s="69">
        <v>10</v>
      </c>
      <c r="CE8" s="130">
        <v>13</v>
      </c>
      <c r="CF8" s="130">
        <v>10</v>
      </c>
      <c r="CG8" s="130">
        <v>5</v>
      </c>
      <c r="CH8" s="130">
        <v>20</v>
      </c>
      <c r="CI8" s="130">
        <v>5</v>
      </c>
      <c r="CJ8" s="71">
        <v>10</v>
      </c>
      <c r="CK8" s="58">
        <v>3</v>
      </c>
    </row>
    <row r="9" spans="1:89" ht="15.9" customHeight="1" x14ac:dyDescent="0.3">
      <c r="A9" s="28" t="s">
        <v>18</v>
      </c>
      <c r="B9" s="15">
        <f t="shared" si="4"/>
        <v>10</v>
      </c>
      <c r="C9" s="15">
        <f t="shared" si="5"/>
        <v>6</v>
      </c>
      <c r="D9" s="15">
        <f t="shared" si="6"/>
        <v>16</v>
      </c>
      <c r="E9" s="15">
        <f t="shared" si="7"/>
        <v>6</v>
      </c>
      <c r="F9" s="15">
        <f t="shared" si="8"/>
        <v>17</v>
      </c>
      <c r="G9" s="15">
        <f t="shared" si="9"/>
        <v>2</v>
      </c>
      <c r="H9" s="15">
        <f t="shared" si="10"/>
        <v>15</v>
      </c>
      <c r="I9" s="7">
        <v>5</v>
      </c>
      <c r="K9" s="21">
        <v>5</v>
      </c>
      <c r="L9" s="77" t="s">
        <v>39</v>
      </c>
      <c r="M9" s="77" t="s">
        <v>38</v>
      </c>
      <c r="N9" s="77" t="s">
        <v>37</v>
      </c>
      <c r="O9" s="77" t="s">
        <v>33</v>
      </c>
      <c r="P9" s="77" t="s">
        <v>39</v>
      </c>
      <c r="Q9" s="77" t="s">
        <v>40</v>
      </c>
      <c r="R9" s="37" t="s">
        <v>33</v>
      </c>
      <c r="T9" s="76">
        <f t="shared" si="11"/>
        <v>11</v>
      </c>
      <c r="U9" s="76">
        <f t="shared" si="12"/>
        <v>10</v>
      </c>
      <c r="V9" s="76">
        <f t="shared" si="13"/>
        <v>9</v>
      </c>
      <c r="W9" s="76">
        <f t="shared" si="14"/>
        <v>3</v>
      </c>
      <c r="X9" s="76">
        <f t="shared" si="15"/>
        <v>11</v>
      </c>
      <c r="Y9" s="76">
        <f t="shared" si="16"/>
        <v>12</v>
      </c>
      <c r="Z9" s="76">
        <f t="shared" si="17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79" t="s">
        <v>17</v>
      </c>
      <c r="AK9" s="69">
        <v>15</v>
      </c>
      <c r="AL9" s="130">
        <v>10</v>
      </c>
      <c r="AM9" s="130">
        <v>15</v>
      </c>
      <c r="AN9" s="130">
        <v>5</v>
      </c>
      <c r="AO9" s="130">
        <v>18</v>
      </c>
      <c r="AP9" s="130">
        <v>20</v>
      </c>
      <c r="AQ9" s="71">
        <v>10</v>
      </c>
      <c r="AR9" s="58">
        <v>4</v>
      </c>
      <c r="AT9" s="28" t="s">
        <v>18</v>
      </c>
      <c r="AU9" s="15">
        <f t="shared" si="18"/>
        <v>8</v>
      </c>
      <c r="AV9" s="15">
        <f t="shared" si="19"/>
        <v>1</v>
      </c>
      <c r="AW9" s="15">
        <f>COUNTIF(BG$4:BG$304,$A9)</f>
        <v>16</v>
      </c>
      <c r="AX9" s="15">
        <f t="shared" si="21"/>
        <v>3</v>
      </c>
      <c r="AY9" s="15">
        <f t="shared" si="22"/>
        <v>15</v>
      </c>
      <c r="AZ9" s="15">
        <f t="shared" si="23"/>
        <v>5</v>
      </c>
      <c r="BA9" s="15">
        <f t="shared" si="24"/>
        <v>10</v>
      </c>
      <c r="BB9" s="7">
        <v>5</v>
      </c>
      <c r="BD9" s="21">
        <v>5</v>
      </c>
      <c r="BE9" s="77" t="s">
        <v>39</v>
      </c>
      <c r="BF9" s="77" t="s">
        <v>33</v>
      </c>
      <c r="BG9" s="77" t="s">
        <v>34</v>
      </c>
      <c r="BH9" s="77" t="s">
        <v>38</v>
      </c>
      <c r="BI9" s="77" t="s">
        <v>37</v>
      </c>
      <c r="BJ9" s="77" t="s">
        <v>75</v>
      </c>
      <c r="BK9" s="37" t="s">
        <v>33</v>
      </c>
      <c r="BM9" s="76">
        <f t="shared" si="25"/>
        <v>11</v>
      </c>
      <c r="BN9" s="76">
        <f t="shared" si="26"/>
        <v>3</v>
      </c>
      <c r="BO9" s="76">
        <f t="shared" si="27"/>
        <v>4</v>
      </c>
      <c r="BP9" s="76">
        <f t="shared" si="28"/>
        <v>10</v>
      </c>
      <c r="BQ9" s="76">
        <f t="shared" si="29"/>
        <v>9</v>
      </c>
      <c r="BR9" s="76">
        <f t="shared" si="30"/>
        <v>6</v>
      </c>
      <c r="BS9" s="76">
        <f t="shared" si="31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79" t="s">
        <v>17</v>
      </c>
      <c r="CD9" s="69">
        <v>15</v>
      </c>
      <c r="CE9" s="130">
        <v>10</v>
      </c>
      <c r="CF9" s="130">
        <v>15</v>
      </c>
      <c r="CG9" s="130">
        <v>5</v>
      </c>
      <c r="CH9" s="130">
        <v>18</v>
      </c>
      <c r="CI9" s="130">
        <v>20</v>
      </c>
      <c r="CJ9" s="71">
        <v>10</v>
      </c>
      <c r="CK9" s="58">
        <v>4</v>
      </c>
    </row>
    <row r="10" spans="1:89" ht="15.9" customHeight="1" x14ac:dyDescent="0.3">
      <c r="A10" s="29" t="s">
        <v>74</v>
      </c>
      <c r="B10" s="15">
        <f t="shared" si="4"/>
        <v>7</v>
      </c>
      <c r="C10" s="15">
        <f t="shared" si="5"/>
        <v>16</v>
      </c>
      <c r="D10" s="15">
        <f t="shared" si="6"/>
        <v>10</v>
      </c>
      <c r="E10" s="15">
        <f t="shared" si="7"/>
        <v>19</v>
      </c>
      <c r="F10" s="15">
        <f t="shared" si="8"/>
        <v>5</v>
      </c>
      <c r="G10" s="15">
        <f t="shared" si="9"/>
        <v>25</v>
      </c>
      <c r="H10" s="15">
        <f t="shared" si="10"/>
        <v>17</v>
      </c>
      <c r="I10" s="7">
        <v>6</v>
      </c>
      <c r="K10" s="22">
        <v>6</v>
      </c>
      <c r="L10" s="77" t="s">
        <v>25</v>
      </c>
      <c r="M10" s="77" t="s">
        <v>38</v>
      </c>
      <c r="N10" s="77" t="s">
        <v>37</v>
      </c>
      <c r="O10" s="77" t="s">
        <v>34</v>
      </c>
      <c r="P10" s="77" t="s">
        <v>39</v>
      </c>
      <c r="Q10" s="77" t="s">
        <v>35</v>
      </c>
      <c r="R10" s="37" t="s">
        <v>75</v>
      </c>
      <c r="T10" s="76">
        <f t="shared" si="11"/>
        <v>8</v>
      </c>
      <c r="U10" s="76">
        <f t="shared" si="12"/>
        <v>10</v>
      </c>
      <c r="V10" s="76">
        <f t="shared" si="13"/>
        <v>9</v>
      </c>
      <c r="W10" s="76">
        <f t="shared" si="14"/>
        <v>4</v>
      </c>
      <c r="X10" s="76">
        <f t="shared" si="15"/>
        <v>11</v>
      </c>
      <c r="Y10" s="76">
        <f t="shared" si="16"/>
        <v>5</v>
      </c>
      <c r="Z10" s="76">
        <f t="shared" si="17"/>
        <v>6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79" t="s">
        <v>18</v>
      </c>
      <c r="AK10" s="69">
        <v>10</v>
      </c>
      <c r="AL10" s="130">
        <v>20</v>
      </c>
      <c r="AM10" s="130">
        <v>20</v>
      </c>
      <c r="AN10" s="130">
        <v>20</v>
      </c>
      <c r="AO10" s="130">
        <v>10</v>
      </c>
      <c r="AP10" s="130">
        <v>20</v>
      </c>
      <c r="AQ10" s="71">
        <v>10</v>
      </c>
      <c r="AR10" s="58">
        <v>5</v>
      </c>
      <c r="AT10" s="29" t="s">
        <v>74</v>
      </c>
      <c r="AU10" s="15">
        <f t="shared" si="18"/>
        <v>8</v>
      </c>
      <c r="AV10" s="15">
        <f t="shared" si="19"/>
        <v>17</v>
      </c>
      <c r="AW10" s="15">
        <f t="shared" si="20"/>
        <v>1</v>
      </c>
      <c r="AX10" s="15">
        <f t="shared" si="21"/>
        <v>26</v>
      </c>
      <c r="AY10" s="15">
        <f t="shared" si="22"/>
        <v>6</v>
      </c>
      <c r="AZ10" s="15">
        <f t="shared" si="23"/>
        <v>27</v>
      </c>
      <c r="BA10" s="15">
        <f t="shared" si="24"/>
        <v>14</v>
      </c>
      <c r="BB10" s="7">
        <v>6</v>
      </c>
      <c r="BD10" s="22">
        <v>6</v>
      </c>
      <c r="BE10" s="77" t="s">
        <v>37</v>
      </c>
      <c r="BF10" s="77" t="s">
        <v>33</v>
      </c>
      <c r="BG10" s="77" t="s">
        <v>25</v>
      </c>
      <c r="BH10" s="77" t="s">
        <v>38</v>
      </c>
      <c r="BI10" s="77" t="s">
        <v>152</v>
      </c>
      <c r="BJ10" s="77" t="s">
        <v>75</v>
      </c>
      <c r="BK10" s="37" t="s">
        <v>33</v>
      </c>
      <c r="BM10" s="76">
        <f t="shared" si="25"/>
        <v>9</v>
      </c>
      <c r="BN10" s="76">
        <f t="shared" si="26"/>
        <v>3</v>
      </c>
      <c r="BO10" s="76">
        <f t="shared" si="27"/>
        <v>8</v>
      </c>
      <c r="BP10" s="76">
        <f t="shared" si="28"/>
        <v>10</v>
      </c>
      <c r="BQ10" s="76">
        <f t="shared" si="29"/>
        <v>7</v>
      </c>
      <c r="BR10" s="76">
        <f t="shared" si="30"/>
        <v>6</v>
      </c>
      <c r="BS10" s="76">
        <f t="shared" si="31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79" t="s">
        <v>18</v>
      </c>
      <c r="CD10" s="69">
        <v>10</v>
      </c>
      <c r="CE10" s="130">
        <v>20</v>
      </c>
      <c r="CF10" s="130">
        <v>20</v>
      </c>
      <c r="CG10" s="130">
        <v>20</v>
      </c>
      <c r="CH10" s="130">
        <v>10</v>
      </c>
      <c r="CI10" s="130">
        <v>20</v>
      </c>
      <c r="CJ10" s="71">
        <v>10</v>
      </c>
      <c r="CK10" s="58">
        <v>5</v>
      </c>
    </row>
    <row r="11" spans="1:89" ht="15.9" customHeight="1" x14ac:dyDescent="0.3">
      <c r="A11" s="29" t="s">
        <v>151</v>
      </c>
      <c r="B11" s="15">
        <f t="shared" si="4"/>
        <v>15</v>
      </c>
      <c r="C11" s="15">
        <f t="shared" si="5"/>
        <v>9</v>
      </c>
      <c r="D11" s="15">
        <f t="shared" si="6"/>
        <v>12</v>
      </c>
      <c r="E11" s="15">
        <f t="shared" si="7"/>
        <v>6</v>
      </c>
      <c r="F11" s="15">
        <f t="shared" si="8"/>
        <v>21</v>
      </c>
      <c r="G11" s="15">
        <f t="shared" si="9"/>
        <v>1</v>
      </c>
      <c r="H11" s="15">
        <f t="shared" si="10"/>
        <v>6</v>
      </c>
      <c r="I11" s="7">
        <v>7</v>
      </c>
      <c r="K11" s="21">
        <v>7</v>
      </c>
      <c r="L11" s="77" t="s">
        <v>37</v>
      </c>
      <c r="M11" s="77" t="s">
        <v>75</v>
      </c>
      <c r="N11" s="77" t="s">
        <v>75</v>
      </c>
      <c r="O11" s="77" t="s">
        <v>38</v>
      </c>
      <c r="P11" s="77" t="s">
        <v>40</v>
      </c>
      <c r="Q11" s="77" t="s">
        <v>25</v>
      </c>
      <c r="R11" s="37" t="s">
        <v>40</v>
      </c>
      <c r="T11" s="76">
        <f t="shared" si="11"/>
        <v>9</v>
      </c>
      <c r="U11" s="76">
        <f t="shared" si="12"/>
        <v>6</v>
      </c>
      <c r="V11" s="76">
        <f t="shared" si="13"/>
        <v>6</v>
      </c>
      <c r="W11" s="76">
        <f t="shared" si="14"/>
        <v>10</v>
      </c>
      <c r="X11" s="76">
        <f t="shared" si="15"/>
        <v>12</v>
      </c>
      <c r="Y11" s="76">
        <f t="shared" si="16"/>
        <v>8</v>
      </c>
      <c r="Z11" s="76">
        <f t="shared" si="17"/>
        <v>12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79" t="s">
        <v>74</v>
      </c>
      <c r="AK11" s="69">
        <v>50</v>
      </c>
      <c r="AL11" s="130">
        <v>50</v>
      </c>
      <c r="AM11" s="130">
        <v>50</v>
      </c>
      <c r="AN11" s="130">
        <v>50</v>
      </c>
      <c r="AO11" s="130">
        <v>50</v>
      </c>
      <c r="AP11" s="130">
        <v>50</v>
      </c>
      <c r="AQ11" s="71">
        <v>10</v>
      </c>
      <c r="AR11" s="58">
        <v>6</v>
      </c>
      <c r="AT11" s="29" t="s">
        <v>151</v>
      </c>
      <c r="AU11" s="15">
        <f t="shared" si="18"/>
        <v>13</v>
      </c>
      <c r="AV11" s="15">
        <f t="shared" si="19"/>
        <v>10</v>
      </c>
      <c r="AW11" s="15">
        <f t="shared" si="20"/>
        <v>1</v>
      </c>
      <c r="AX11" s="15">
        <f t="shared" si="21"/>
        <v>3</v>
      </c>
      <c r="AY11" s="15">
        <f t="shared" si="22"/>
        <v>28</v>
      </c>
      <c r="AZ11" s="15">
        <f t="shared" si="23"/>
        <v>3</v>
      </c>
      <c r="BA11" s="15">
        <f t="shared" si="24"/>
        <v>7</v>
      </c>
      <c r="BB11" s="7">
        <v>7</v>
      </c>
      <c r="BD11" s="21">
        <v>7</v>
      </c>
      <c r="BE11" s="77" t="s">
        <v>40</v>
      </c>
      <c r="BF11" s="77" t="s">
        <v>152</v>
      </c>
      <c r="BG11" s="77" t="s">
        <v>37</v>
      </c>
      <c r="BH11" s="77" t="s">
        <v>40</v>
      </c>
      <c r="BI11" s="77" t="s">
        <v>39</v>
      </c>
      <c r="BJ11" s="77" t="s">
        <v>75</v>
      </c>
      <c r="BK11" s="37" t="s">
        <v>33</v>
      </c>
      <c r="BM11" s="76">
        <f t="shared" si="25"/>
        <v>12</v>
      </c>
      <c r="BN11" s="76">
        <f t="shared" si="26"/>
        <v>7</v>
      </c>
      <c r="BO11" s="76">
        <f t="shared" si="27"/>
        <v>9</v>
      </c>
      <c r="BP11" s="76">
        <f t="shared" si="28"/>
        <v>12</v>
      </c>
      <c r="BQ11" s="76">
        <f t="shared" si="29"/>
        <v>11</v>
      </c>
      <c r="BR11" s="76">
        <f t="shared" si="30"/>
        <v>6</v>
      </c>
      <c r="BS11" s="76">
        <f t="shared" si="31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79" t="s">
        <v>74</v>
      </c>
      <c r="CD11" s="69">
        <v>50</v>
      </c>
      <c r="CE11" s="130">
        <v>50</v>
      </c>
      <c r="CF11" s="130">
        <v>50</v>
      </c>
      <c r="CG11" s="130">
        <v>50</v>
      </c>
      <c r="CH11" s="130">
        <v>50</v>
      </c>
      <c r="CI11" s="130">
        <v>50</v>
      </c>
      <c r="CJ11" s="71">
        <v>10</v>
      </c>
      <c r="CK11" s="58">
        <v>6</v>
      </c>
    </row>
    <row r="12" spans="1:89" ht="15.9" customHeight="1" x14ac:dyDescent="0.3">
      <c r="A12" s="26" t="s">
        <v>24</v>
      </c>
      <c r="B12" s="15">
        <f t="shared" si="4"/>
        <v>11</v>
      </c>
      <c r="C12" s="15">
        <f t="shared" si="5"/>
        <v>16</v>
      </c>
      <c r="D12" s="15">
        <f t="shared" si="6"/>
        <v>10</v>
      </c>
      <c r="E12" s="15">
        <f t="shared" si="7"/>
        <v>20</v>
      </c>
      <c r="F12" s="15">
        <f t="shared" si="8"/>
        <v>2</v>
      </c>
      <c r="G12" s="15">
        <f t="shared" si="9"/>
        <v>31</v>
      </c>
      <c r="H12" s="15">
        <f t="shared" si="10"/>
        <v>5</v>
      </c>
      <c r="I12" s="7">
        <v>8</v>
      </c>
      <c r="K12" s="22">
        <v>8</v>
      </c>
      <c r="L12" s="77" t="s">
        <v>152</v>
      </c>
      <c r="M12" s="77" t="s">
        <v>190</v>
      </c>
      <c r="N12" s="77" t="s">
        <v>35</v>
      </c>
      <c r="O12" s="77" t="s">
        <v>75</v>
      </c>
      <c r="P12" s="77" t="s">
        <v>35</v>
      </c>
      <c r="Q12" s="77" t="s">
        <v>75</v>
      </c>
      <c r="R12" s="37" t="s">
        <v>40</v>
      </c>
      <c r="T12" s="76">
        <f t="shared" si="11"/>
        <v>7</v>
      </c>
      <c r="U12" s="76">
        <f t="shared" si="12"/>
        <v>15</v>
      </c>
      <c r="V12" s="76">
        <f t="shared" si="13"/>
        <v>5</v>
      </c>
      <c r="W12" s="76">
        <f t="shared" si="14"/>
        <v>6</v>
      </c>
      <c r="X12" s="76">
        <f t="shared" si="15"/>
        <v>5</v>
      </c>
      <c r="Y12" s="76">
        <f t="shared" si="16"/>
        <v>6</v>
      </c>
      <c r="Z12" s="76">
        <f t="shared" si="17"/>
        <v>12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79" t="s">
        <v>151</v>
      </c>
      <c r="AK12" s="69">
        <v>50</v>
      </c>
      <c r="AL12" s="130">
        <v>50</v>
      </c>
      <c r="AM12" s="130">
        <v>50</v>
      </c>
      <c r="AN12" s="130">
        <v>50</v>
      </c>
      <c r="AO12" s="130">
        <v>50</v>
      </c>
      <c r="AP12" s="130">
        <v>50</v>
      </c>
      <c r="AQ12" s="71">
        <v>10</v>
      </c>
      <c r="AR12" s="58">
        <v>7</v>
      </c>
      <c r="AT12" s="26" t="s">
        <v>24</v>
      </c>
      <c r="AU12" s="15">
        <f t="shared" si="18"/>
        <v>2</v>
      </c>
      <c r="AV12" s="15">
        <f t="shared" si="19"/>
        <v>12</v>
      </c>
      <c r="AW12" s="15">
        <f t="shared" si="20"/>
        <v>21</v>
      </c>
      <c r="AX12" s="15">
        <f t="shared" si="21"/>
        <v>10</v>
      </c>
      <c r="AY12" s="15">
        <f t="shared" si="22"/>
        <v>3</v>
      </c>
      <c r="AZ12" s="15">
        <f t="shared" si="23"/>
        <v>29</v>
      </c>
      <c r="BA12" s="15">
        <f t="shared" si="24"/>
        <v>11</v>
      </c>
      <c r="BB12" s="7">
        <v>8</v>
      </c>
      <c r="BD12" s="22">
        <v>8</v>
      </c>
      <c r="BE12" s="77" t="s">
        <v>75</v>
      </c>
      <c r="BF12" s="77" t="s">
        <v>152</v>
      </c>
      <c r="BG12" s="77" t="s">
        <v>37</v>
      </c>
      <c r="BH12" s="77" t="s">
        <v>75</v>
      </c>
      <c r="BI12" s="77" t="s">
        <v>39</v>
      </c>
      <c r="BJ12" s="77" t="s">
        <v>152</v>
      </c>
      <c r="BK12" s="37" t="s">
        <v>34</v>
      </c>
      <c r="BM12" s="76">
        <f t="shared" si="25"/>
        <v>6</v>
      </c>
      <c r="BN12" s="76">
        <f t="shared" si="26"/>
        <v>7</v>
      </c>
      <c r="BO12" s="76">
        <f t="shared" si="27"/>
        <v>9</v>
      </c>
      <c r="BP12" s="76">
        <f t="shared" si="28"/>
        <v>6</v>
      </c>
      <c r="BQ12" s="76">
        <f t="shared" si="29"/>
        <v>11</v>
      </c>
      <c r="BR12" s="76">
        <f t="shared" si="30"/>
        <v>7</v>
      </c>
      <c r="BS12" s="76">
        <f t="shared" si="31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79" t="s">
        <v>151</v>
      </c>
      <c r="CD12" s="69">
        <v>50</v>
      </c>
      <c r="CE12" s="130">
        <v>50</v>
      </c>
      <c r="CF12" s="130">
        <v>50</v>
      </c>
      <c r="CG12" s="130">
        <v>50</v>
      </c>
      <c r="CH12" s="130">
        <v>50</v>
      </c>
      <c r="CI12" s="130">
        <v>50</v>
      </c>
      <c r="CJ12" s="71">
        <v>10</v>
      </c>
      <c r="CK12" s="58">
        <v>7</v>
      </c>
    </row>
    <row r="13" spans="1:89" ht="15.9" customHeight="1" x14ac:dyDescent="0.3">
      <c r="A13" s="27" t="s">
        <v>26</v>
      </c>
      <c r="B13" s="15">
        <f t="shared" si="4"/>
        <v>16</v>
      </c>
      <c r="C13" s="15">
        <f t="shared" si="5"/>
        <v>9</v>
      </c>
      <c r="D13" s="15">
        <f t="shared" si="6"/>
        <v>12</v>
      </c>
      <c r="E13" s="15">
        <f t="shared" si="7"/>
        <v>5</v>
      </c>
      <c r="F13" s="15">
        <f t="shared" si="8"/>
        <v>16</v>
      </c>
      <c r="G13" s="15">
        <f t="shared" si="9"/>
        <v>4</v>
      </c>
      <c r="H13" s="15">
        <f t="shared" si="10"/>
        <v>13</v>
      </c>
      <c r="I13" s="7">
        <v>9</v>
      </c>
      <c r="K13" s="21">
        <v>9</v>
      </c>
      <c r="L13" s="77" t="s">
        <v>39</v>
      </c>
      <c r="M13" s="77" t="s">
        <v>34</v>
      </c>
      <c r="N13" s="77" t="s">
        <v>35</v>
      </c>
      <c r="O13" s="77" t="s">
        <v>40</v>
      </c>
      <c r="P13" s="77" t="s">
        <v>35</v>
      </c>
      <c r="Q13" s="77" t="s">
        <v>75</v>
      </c>
      <c r="R13" s="37" t="s">
        <v>25</v>
      </c>
      <c r="T13" s="76">
        <f t="shared" si="11"/>
        <v>11</v>
      </c>
      <c r="U13" s="76">
        <f t="shared" si="12"/>
        <v>4</v>
      </c>
      <c r="V13" s="76">
        <f t="shared" si="13"/>
        <v>5</v>
      </c>
      <c r="W13" s="76">
        <f t="shared" si="14"/>
        <v>12</v>
      </c>
      <c r="X13" s="76">
        <f t="shared" si="15"/>
        <v>5</v>
      </c>
      <c r="Y13" s="76">
        <f t="shared" si="16"/>
        <v>6</v>
      </c>
      <c r="Z13" s="76">
        <f t="shared" si="17"/>
        <v>8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79" t="s">
        <v>24</v>
      </c>
      <c r="AK13" s="69">
        <v>10</v>
      </c>
      <c r="AL13" s="130">
        <v>10</v>
      </c>
      <c r="AM13" s="130">
        <v>40</v>
      </c>
      <c r="AN13" s="130">
        <v>1</v>
      </c>
      <c r="AO13" s="130">
        <v>40</v>
      </c>
      <c r="AP13" s="130">
        <v>1</v>
      </c>
      <c r="AQ13" s="71">
        <v>10</v>
      </c>
      <c r="AR13" s="58">
        <v>8</v>
      </c>
      <c r="AT13" s="27" t="s">
        <v>26</v>
      </c>
      <c r="AU13" s="15">
        <f t="shared" si="18"/>
        <v>19</v>
      </c>
      <c r="AV13" s="15">
        <f t="shared" si="19"/>
        <v>2</v>
      </c>
      <c r="AW13" s="15">
        <f t="shared" si="20"/>
        <v>19</v>
      </c>
      <c r="AX13" s="15">
        <f t="shared" si="21"/>
        <v>4</v>
      </c>
      <c r="AY13" s="15">
        <f t="shared" si="22"/>
        <v>16</v>
      </c>
      <c r="AZ13" s="15">
        <f t="shared" si="23"/>
        <v>7</v>
      </c>
      <c r="BA13" s="15">
        <f t="shared" si="24"/>
        <v>7</v>
      </c>
      <c r="BB13" s="7">
        <v>9</v>
      </c>
      <c r="BD13" s="21">
        <v>9</v>
      </c>
      <c r="BE13" s="77" t="s">
        <v>39</v>
      </c>
      <c r="BF13" s="77" t="s">
        <v>161</v>
      </c>
      <c r="BG13" s="77" t="s">
        <v>34</v>
      </c>
      <c r="BH13" s="77" t="s">
        <v>38</v>
      </c>
      <c r="BI13" s="77" t="s">
        <v>152</v>
      </c>
      <c r="BJ13" s="77" t="s">
        <v>75</v>
      </c>
      <c r="BK13" s="37" t="s">
        <v>34</v>
      </c>
      <c r="BM13" s="76">
        <f t="shared" si="25"/>
        <v>11</v>
      </c>
      <c r="BN13" s="76">
        <f t="shared" si="26"/>
        <v>17</v>
      </c>
      <c r="BO13" s="76">
        <f t="shared" si="27"/>
        <v>4</v>
      </c>
      <c r="BP13" s="76">
        <f t="shared" si="28"/>
        <v>10</v>
      </c>
      <c r="BQ13" s="76">
        <f t="shared" si="29"/>
        <v>7</v>
      </c>
      <c r="BR13" s="76">
        <f t="shared" si="30"/>
        <v>6</v>
      </c>
      <c r="BS13" s="76">
        <f t="shared" si="31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79" t="s">
        <v>24</v>
      </c>
      <c r="CD13" s="69">
        <v>10</v>
      </c>
      <c r="CE13" s="130">
        <v>10</v>
      </c>
      <c r="CF13" s="130">
        <v>40</v>
      </c>
      <c r="CG13" s="130">
        <v>1</v>
      </c>
      <c r="CH13" s="130">
        <v>40</v>
      </c>
      <c r="CI13" s="130">
        <v>1</v>
      </c>
      <c r="CJ13" s="71">
        <v>10</v>
      </c>
      <c r="CK13" s="58">
        <v>8</v>
      </c>
    </row>
    <row r="14" spans="1:89" ht="15.9" customHeight="1" x14ac:dyDescent="0.3">
      <c r="A14" s="28" t="s">
        <v>27</v>
      </c>
      <c r="B14" s="15">
        <f t="shared" si="4"/>
        <v>3</v>
      </c>
      <c r="C14" s="15">
        <f t="shared" si="5"/>
        <v>17</v>
      </c>
      <c r="D14" s="15">
        <f t="shared" si="6"/>
        <v>4</v>
      </c>
      <c r="E14" s="15">
        <f t="shared" si="7"/>
        <v>19</v>
      </c>
      <c r="F14" s="15">
        <f t="shared" si="8"/>
        <v>2</v>
      </c>
      <c r="G14" s="15">
        <f t="shared" si="9"/>
        <v>22</v>
      </c>
      <c r="H14" s="15">
        <f t="shared" si="10"/>
        <v>15</v>
      </c>
      <c r="I14" s="7">
        <v>10</v>
      </c>
      <c r="K14" s="22">
        <v>10</v>
      </c>
      <c r="L14" s="77" t="s">
        <v>39</v>
      </c>
      <c r="M14" s="77" t="s">
        <v>34</v>
      </c>
      <c r="N14" s="77" t="s">
        <v>35</v>
      </c>
      <c r="O14" s="77" t="s">
        <v>40</v>
      </c>
      <c r="P14" s="77" t="s">
        <v>39</v>
      </c>
      <c r="Q14" s="77" t="s">
        <v>40</v>
      </c>
      <c r="R14" s="37" t="s">
        <v>35</v>
      </c>
      <c r="T14" s="76">
        <f t="shared" si="11"/>
        <v>11</v>
      </c>
      <c r="U14" s="76">
        <f t="shared" si="12"/>
        <v>4</v>
      </c>
      <c r="V14" s="76">
        <f t="shared" si="13"/>
        <v>5</v>
      </c>
      <c r="W14" s="76">
        <f t="shared" si="14"/>
        <v>12</v>
      </c>
      <c r="X14" s="76">
        <f t="shared" si="15"/>
        <v>11</v>
      </c>
      <c r="Y14" s="76">
        <f t="shared" si="16"/>
        <v>12</v>
      </c>
      <c r="Z14" s="76">
        <f t="shared" si="17"/>
        <v>5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79" t="s">
        <v>26</v>
      </c>
      <c r="AK14" s="69">
        <v>40</v>
      </c>
      <c r="AL14" s="130">
        <v>8</v>
      </c>
      <c r="AM14" s="130">
        <v>25</v>
      </c>
      <c r="AN14" s="130">
        <v>10</v>
      </c>
      <c r="AO14" s="130">
        <v>1</v>
      </c>
      <c r="AP14" s="130">
        <v>40</v>
      </c>
      <c r="AQ14" s="71">
        <v>10</v>
      </c>
      <c r="AR14" s="58">
        <v>9</v>
      </c>
      <c r="AT14" s="28" t="s">
        <v>27</v>
      </c>
      <c r="AU14" s="15">
        <f t="shared" si="18"/>
        <v>14</v>
      </c>
      <c r="AV14" s="15">
        <f t="shared" si="19"/>
        <v>27</v>
      </c>
      <c r="AW14" s="15">
        <f t="shared" si="20"/>
        <v>2</v>
      </c>
      <c r="AX14" s="15">
        <f t="shared" si="21"/>
        <v>25</v>
      </c>
      <c r="AY14" s="15">
        <f t="shared" si="22"/>
        <v>7</v>
      </c>
      <c r="AZ14" s="15">
        <f t="shared" si="23"/>
        <v>24</v>
      </c>
      <c r="BA14" s="15">
        <f t="shared" si="24"/>
        <v>12</v>
      </c>
      <c r="BB14" s="7">
        <v>10</v>
      </c>
      <c r="BD14" s="22">
        <v>10</v>
      </c>
      <c r="BE14" s="77" t="s">
        <v>39</v>
      </c>
      <c r="BF14" s="77" t="s">
        <v>75</v>
      </c>
      <c r="BG14" s="77" t="s">
        <v>39</v>
      </c>
      <c r="BH14" s="77" t="s">
        <v>161</v>
      </c>
      <c r="BI14" s="77" t="s">
        <v>152</v>
      </c>
      <c r="BJ14" s="77" t="s">
        <v>75</v>
      </c>
      <c r="BK14" s="37" t="s">
        <v>34</v>
      </c>
      <c r="BM14" s="76">
        <f t="shared" si="25"/>
        <v>11</v>
      </c>
      <c r="BN14" s="76">
        <f t="shared" si="26"/>
        <v>6</v>
      </c>
      <c r="BO14" s="76">
        <f t="shared" si="27"/>
        <v>11</v>
      </c>
      <c r="BP14" s="76">
        <f t="shared" si="28"/>
        <v>17</v>
      </c>
      <c r="BQ14" s="76">
        <f t="shared" si="29"/>
        <v>7</v>
      </c>
      <c r="BR14" s="76">
        <f t="shared" si="30"/>
        <v>6</v>
      </c>
      <c r="BS14" s="76">
        <f t="shared" si="31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79" t="s">
        <v>26</v>
      </c>
      <c r="CD14" s="69">
        <v>40</v>
      </c>
      <c r="CE14" s="130">
        <v>8</v>
      </c>
      <c r="CF14" s="130">
        <v>25</v>
      </c>
      <c r="CG14" s="130">
        <v>10</v>
      </c>
      <c r="CH14" s="130">
        <v>1</v>
      </c>
      <c r="CI14" s="130">
        <v>40</v>
      </c>
      <c r="CJ14" s="71">
        <v>10</v>
      </c>
      <c r="CK14" s="58">
        <v>9</v>
      </c>
    </row>
    <row r="15" spans="1:89" ht="15.9" customHeight="1" x14ac:dyDescent="0.3">
      <c r="A15" s="29" t="s">
        <v>28</v>
      </c>
      <c r="B15" s="15">
        <f t="shared" si="4"/>
        <v>25</v>
      </c>
      <c r="C15" s="15">
        <f t="shared" si="5"/>
        <v>1</v>
      </c>
      <c r="D15" s="15">
        <f t="shared" si="6"/>
        <v>20</v>
      </c>
      <c r="E15" s="15">
        <f t="shared" si="7"/>
        <v>6</v>
      </c>
      <c r="F15" s="15">
        <f t="shared" si="8"/>
        <v>27</v>
      </c>
      <c r="G15" s="15">
        <f t="shared" si="9"/>
        <v>5</v>
      </c>
      <c r="H15" s="15">
        <f t="shared" si="10"/>
        <v>5</v>
      </c>
      <c r="I15" s="7">
        <v>11</v>
      </c>
      <c r="K15" s="21">
        <v>11</v>
      </c>
      <c r="L15" s="77" t="s">
        <v>34</v>
      </c>
      <c r="M15" s="77" t="s">
        <v>38</v>
      </c>
      <c r="N15" s="77" t="s">
        <v>152</v>
      </c>
      <c r="O15" s="77" t="s">
        <v>152</v>
      </c>
      <c r="P15" s="77" t="s">
        <v>152</v>
      </c>
      <c r="Q15" s="77" t="s">
        <v>40</v>
      </c>
      <c r="R15" s="37" t="s">
        <v>40</v>
      </c>
      <c r="T15" s="76">
        <f t="shared" si="11"/>
        <v>4</v>
      </c>
      <c r="U15" s="76">
        <f t="shared" si="12"/>
        <v>10</v>
      </c>
      <c r="V15" s="76">
        <f t="shared" si="13"/>
        <v>7</v>
      </c>
      <c r="W15" s="76">
        <f t="shared" si="14"/>
        <v>7</v>
      </c>
      <c r="X15" s="76">
        <f t="shared" si="15"/>
        <v>7</v>
      </c>
      <c r="Y15" s="76">
        <f t="shared" si="16"/>
        <v>12</v>
      </c>
      <c r="Z15" s="76">
        <f t="shared" si="17"/>
        <v>12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79" t="s">
        <v>27</v>
      </c>
      <c r="AK15" s="69">
        <v>10</v>
      </c>
      <c r="AL15" s="130">
        <v>40</v>
      </c>
      <c r="AM15" s="130">
        <v>40</v>
      </c>
      <c r="AN15" s="130">
        <v>10</v>
      </c>
      <c r="AO15" s="130">
        <v>40</v>
      </c>
      <c r="AP15" s="130">
        <v>1</v>
      </c>
      <c r="AQ15" s="71">
        <v>10</v>
      </c>
      <c r="AR15" s="58">
        <v>10</v>
      </c>
      <c r="AT15" s="29" t="s">
        <v>28</v>
      </c>
      <c r="AU15" s="15">
        <f t="shared" si="18"/>
        <v>23</v>
      </c>
      <c r="AV15" s="15">
        <f t="shared" si="19"/>
        <v>5</v>
      </c>
      <c r="AW15" s="15">
        <f t="shared" si="20"/>
        <v>35</v>
      </c>
      <c r="AX15" s="15">
        <f t="shared" si="21"/>
        <v>6</v>
      </c>
      <c r="AY15" s="15">
        <f t="shared" si="22"/>
        <v>20</v>
      </c>
      <c r="AZ15" s="15">
        <f t="shared" si="23"/>
        <v>2</v>
      </c>
      <c r="BA15" s="15">
        <f t="shared" si="24"/>
        <v>15</v>
      </c>
      <c r="BB15" s="7">
        <v>11</v>
      </c>
      <c r="BD15" s="21">
        <v>11</v>
      </c>
      <c r="BE15" s="77" t="s">
        <v>40</v>
      </c>
      <c r="BF15" s="77" t="s">
        <v>75</v>
      </c>
      <c r="BG15" s="77" t="s">
        <v>39</v>
      </c>
      <c r="BH15" s="77" t="s">
        <v>181</v>
      </c>
      <c r="BI15" s="77" t="s">
        <v>37</v>
      </c>
      <c r="BJ15" s="77" t="s">
        <v>152</v>
      </c>
      <c r="BK15" s="37" t="s">
        <v>34</v>
      </c>
      <c r="BM15" s="76">
        <f t="shared" si="25"/>
        <v>12</v>
      </c>
      <c r="BN15" s="76">
        <f t="shared" si="26"/>
        <v>6</v>
      </c>
      <c r="BO15" s="76">
        <f t="shared" si="27"/>
        <v>11</v>
      </c>
      <c r="BP15" s="76">
        <f t="shared" si="28"/>
        <v>19</v>
      </c>
      <c r="BQ15" s="76">
        <f t="shared" si="29"/>
        <v>9</v>
      </c>
      <c r="BR15" s="76">
        <f t="shared" si="30"/>
        <v>7</v>
      </c>
      <c r="BS15" s="76">
        <f t="shared" si="31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79" t="s">
        <v>27</v>
      </c>
      <c r="CD15" s="69">
        <v>10</v>
      </c>
      <c r="CE15" s="130">
        <v>40</v>
      </c>
      <c r="CF15" s="130">
        <v>40</v>
      </c>
      <c r="CG15" s="130">
        <v>10</v>
      </c>
      <c r="CH15" s="130">
        <v>40</v>
      </c>
      <c r="CI15" s="130">
        <v>1</v>
      </c>
      <c r="CJ15" s="71">
        <v>10</v>
      </c>
      <c r="CK15" s="58">
        <v>10</v>
      </c>
    </row>
    <row r="16" spans="1:89" ht="15.9" customHeight="1" x14ac:dyDescent="0.3">
      <c r="A16" s="30" t="s">
        <v>29</v>
      </c>
      <c r="B16" s="15">
        <f t="shared" si="4"/>
        <v>19</v>
      </c>
      <c r="C16" s="15">
        <f t="shared" si="5"/>
        <v>15</v>
      </c>
      <c r="D16" s="15">
        <f t="shared" si="6"/>
        <v>6</v>
      </c>
      <c r="E16" s="15">
        <f t="shared" si="7"/>
        <v>13</v>
      </c>
      <c r="F16" s="15">
        <f t="shared" si="8"/>
        <v>10</v>
      </c>
      <c r="G16" s="15">
        <f t="shared" si="9"/>
        <v>18</v>
      </c>
      <c r="H16" s="15">
        <f t="shared" si="10"/>
        <v>12</v>
      </c>
      <c r="I16" s="7">
        <v>12</v>
      </c>
      <c r="K16" s="22">
        <v>12</v>
      </c>
      <c r="L16" s="77" t="s">
        <v>152</v>
      </c>
      <c r="M16" s="77" t="s">
        <v>38</v>
      </c>
      <c r="N16" s="77" t="s">
        <v>39</v>
      </c>
      <c r="O16" s="77" t="s">
        <v>38</v>
      </c>
      <c r="P16" s="77" t="s">
        <v>152</v>
      </c>
      <c r="Q16" s="77" t="s">
        <v>40</v>
      </c>
      <c r="R16" s="37" t="s">
        <v>40</v>
      </c>
      <c r="T16" s="76">
        <f t="shared" si="11"/>
        <v>7</v>
      </c>
      <c r="U16" s="76">
        <f t="shared" si="12"/>
        <v>10</v>
      </c>
      <c r="V16" s="76">
        <f t="shared" si="13"/>
        <v>11</v>
      </c>
      <c r="W16" s="76">
        <f t="shared" si="14"/>
        <v>10</v>
      </c>
      <c r="X16" s="76">
        <f t="shared" si="15"/>
        <v>7</v>
      </c>
      <c r="Y16" s="76">
        <f t="shared" si="16"/>
        <v>12</v>
      </c>
      <c r="Z16" s="76">
        <f t="shared" si="17"/>
        <v>12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79" t="s">
        <v>28</v>
      </c>
      <c r="AK16" s="69">
        <v>40</v>
      </c>
      <c r="AL16" s="130">
        <v>40</v>
      </c>
      <c r="AM16" s="130">
        <v>40</v>
      </c>
      <c r="AN16" s="130">
        <v>1</v>
      </c>
      <c r="AO16" s="130">
        <v>1</v>
      </c>
      <c r="AP16" s="130">
        <v>1</v>
      </c>
      <c r="AQ16" s="71">
        <v>10</v>
      </c>
      <c r="AR16" s="58">
        <v>11</v>
      </c>
      <c r="AT16" s="30" t="s">
        <v>29</v>
      </c>
      <c r="AU16" s="15">
        <f t="shared" si="18"/>
        <v>30</v>
      </c>
      <c r="AV16" s="15">
        <f t="shared" si="19"/>
        <v>16</v>
      </c>
      <c r="AW16" s="15">
        <f t="shared" si="20"/>
        <v>5</v>
      </c>
      <c r="AX16" s="15">
        <f t="shared" si="21"/>
        <v>19</v>
      </c>
      <c r="AY16" s="15">
        <f t="shared" si="22"/>
        <v>5</v>
      </c>
      <c r="AZ16" s="15">
        <f t="shared" si="23"/>
        <v>21</v>
      </c>
      <c r="BA16" s="15">
        <f t="shared" si="24"/>
        <v>19</v>
      </c>
      <c r="BB16" s="7">
        <v>12</v>
      </c>
      <c r="BD16" s="22">
        <v>12</v>
      </c>
      <c r="BE16" s="77" t="s">
        <v>40</v>
      </c>
      <c r="BF16" s="77" t="s">
        <v>38</v>
      </c>
      <c r="BG16" s="77" t="s">
        <v>97</v>
      </c>
      <c r="BH16" s="77" t="s">
        <v>25</v>
      </c>
      <c r="BI16" s="77" t="s">
        <v>37</v>
      </c>
      <c r="BJ16" s="77" t="s">
        <v>152</v>
      </c>
      <c r="BK16" s="37" t="s">
        <v>35</v>
      </c>
      <c r="BM16" s="76">
        <f t="shared" si="25"/>
        <v>12</v>
      </c>
      <c r="BN16" s="76">
        <f t="shared" si="26"/>
        <v>10</v>
      </c>
      <c r="BO16" s="76">
        <f t="shared" si="27"/>
        <v>14</v>
      </c>
      <c r="BP16" s="76">
        <f t="shared" si="28"/>
        <v>8</v>
      </c>
      <c r="BQ16" s="76">
        <f t="shared" si="29"/>
        <v>9</v>
      </c>
      <c r="BR16" s="76">
        <f t="shared" si="30"/>
        <v>7</v>
      </c>
      <c r="BS16" s="76">
        <f t="shared" si="31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79" t="s">
        <v>28</v>
      </c>
      <c r="CD16" s="69">
        <v>40</v>
      </c>
      <c r="CE16" s="130">
        <v>40</v>
      </c>
      <c r="CF16" s="130">
        <v>40</v>
      </c>
      <c r="CG16" s="130">
        <v>1</v>
      </c>
      <c r="CH16" s="130">
        <v>1</v>
      </c>
      <c r="CI16" s="130">
        <v>1</v>
      </c>
      <c r="CJ16" s="71">
        <v>10</v>
      </c>
      <c r="CK16" s="58">
        <v>11</v>
      </c>
    </row>
    <row r="17" spans="1:89" ht="15.9" customHeight="1" x14ac:dyDescent="0.3">
      <c r="A17" s="30" t="s">
        <v>79</v>
      </c>
      <c r="B17" s="15">
        <f t="shared" si="4"/>
        <v>0</v>
      </c>
      <c r="C17" s="15">
        <f t="shared" si="5"/>
        <v>1</v>
      </c>
      <c r="D17" s="15">
        <f t="shared" si="6"/>
        <v>0</v>
      </c>
      <c r="E17" s="15">
        <f t="shared" si="7"/>
        <v>0</v>
      </c>
      <c r="F17" s="15">
        <f t="shared" si="8"/>
        <v>0</v>
      </c>
      <c r="G17" s="15">
        <f t="shared" si="9"/>
        <v>0</v>
      </c>
      <c r="H17" s="15">
        <f t="shared" si="10"/>
        <v>0</v>
      </c>
      <c r="I17" s="7">
        <v>13</v>
      </c>
      <c r="K17" s="21">
        <v>13</v>
      </c>
      <c r="L17" s="77" t="s">
        <v>152</v>
      </c>
      <c r="M17" s="77" t="s">
        <v>181</v>
      </c>
      <c r="N17" s="77" t="s">
        <v>39</v>
      </c>
      <c r="O17" s="77" t="s">
        <v>38</v>
      </c>
      <c r="P17" s="77" t="s">
        <v>161</v>
      </c>
      <c r="Q17" s="77" t="s">
        <v>38</v>
      </c>
      <c r="R17" s="37" t="s">
        <v>40</v>
      </c>
      <c r="T17" s="76">
        <f t="shared" si="11"/>
        <v>7</v>
      </c>
      <c r="U17" s="76">
        <f t="shared" si="12"/>
        <v>19</v>
      </c>
      <c r="V17" s="76">
        <f t="shared" si="13"/>
        <v>11</v>
      </c>
      <c r="W17" s="76">
        <f t="shared" si="14"/>
        <v>10</v>
      </c>
      <c r="X17" s="76">
        <f t="shared" si="15"/>
        <v>17</v>
      </c>
      <c r="Y17" s="76">
        <f t="shared" si="16"/>
        <v>10</v>
      </c>
      <c r="Z17" s="76">
        <f t="shared" si="17"/>
        <v>12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79" t="s">
        <v>29</v>
      </c>
      <c r="AK17" s="69">
        <v>5</v>
      </c>
      <c r="AL17" s="130">
        <v>40</v>
      </c>
      <c r="AM17" s="130">
        <v>20</v>
      </c>
      <c r="AN17" s="130">
        <v>1</v>
      </c>
      <c r="AO17" s="130">
        <v>1</v>
      </c>
      <c r="AP17" s="130">
        <v>1</v>
      </c>
      <c r="AQ17" s="71">
        <v>10</v>
      </c>
      <c r="AR17" s="58">
        <v>12</v>
      </c>
      <c r="AT17" s="30" t="s">
        <v>79</v>
      </c>
      <c r="AU17" s="15">
        <f t="shared" si="18"/>
        <v>0</v>
      </c>
      <c r="AV17" s="15">
        <f t="shared" si="19"/>
        <v>0</v>
      </c>
      <c r="AW17" s="15">
        <f t="shared" si="20"/>
        <v>0</v>
      </c>
      <c r="AX17" s="15">
        <f t="shared" si="21"/>
        <v>0</v>
      </c>
      <c r="AY17" s="15">
        <f t="shared" si="22"/>
        <v>0</v>
      </c>
      <c r="AZ17" s="15">
        <f t="shared" si="23"/>
        <v>0</v>
      </c>
      <c r="BA17" s="15">
        <f t="shared" si="24"/>
        <v>0</v>
      </c>
      <c r="BB17" s="7">
        <v>13</v>
      </c>
      <c r="BD17" s="21">
        <v>13</v>
      </c>
      <c r="BE17" s="77" t="s">
        <v>37</v>
      </c>
      <c r="BF17" s="77" t="s">
        <v>38</v>
      </c>
      <c r="BG17" s="77" t="s">
        <v>191</v>
      </c>
      <c r="BH17" s="77" t="s">
        <v>25</v>
      </c>
      <c r="BI17" s="77" t="s">
        <v>152</v>
      </c>
      <c r="BJ17" s="77" t="s">
        <v>75</v>
      </c>
      <c r="BK17" s="37" t="s">
        <v>35</v>
      </c>
      <c r="BM17" s="76">
        <f t="shared" si="25"/>
        <v>9</v>
      </c>
      <c r="BN17" s="76">
        <f t="shared" si="26"/>
        <v>10</v>
      </c>
      <c r="BO17" s="76">
        <f t="shared" si="27"/>
        <v>21</v>
      </c>
      <c r="BP17" s="76">
        <f t="shared" si="28"/>
        <v>8</v>
      </c>
      <c r="BQ17" s="76">
        <f t="shared" si="29"/>
        <v>7</v>
      </c>
      <c r="BR17" s="76">
        <f t="shared" si="30"/>
        <v>6</v>
      </c>
      <c r="BS17" s="76">
        <f t="shared" si="31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79" t="s">
        <v>29</v>
      </c>
      <c r="CD17" s="69">
        <v>5</v>
      </c>
      <c r="CE17" s="130">
        <v>40</v>
      </c>
      <c r="CF17" s="130">
        <v>20</v>
      </c>
      <c r="CG17" s="130">
        <v>1</v>
      </c>
      <c r="CH17" s="130">
        <v>1</v>
      </c>
      <c r="CI17" s="130">
        <v>1</v>
      </c>
      <c r="CJ17" s="71">
        <v>10</v>
      </c>
      <c r="CK17" s="58">
        <v>12</v>
      </c>
    </row>
    <row r="18" spans="1:89" s="85" customFormat="1" ht="15.9" customHeight="1" x14ac:dyDescent="0.3">
      <c r="A18" s="30" t="s">
        <v>80</v>
      </c>
      <c r="B18" s="15">
        <f t="shared" si="4"/>
        <v>0</v>
      </c>
      <c r="C18" s="15">
        <f t="shared" si="5"/>
        <v>1</v>
      </c>
      <c r="D18" s="15">
        <f t="shared" si="6"/>
        <v>1</v>
      </c>
      <c r="E18" s="15">
        <f t="shared" si="7"/>
        <v>0</v>
      </c>
      <c r="F18" s="15">
        <f t="shared" si="8"/>
        <v>1</v>
      </c>
      <c r="G18" s="15">
        <f t="shared" si="9"/>
        <v>0</v>
      </c>
      <c r="H18" s="15">
        <f t="shared" si="10"/>
        <v>0</v>
      </c>
      <c r="I18" s="7">
        <v>14</v>
      </c>
      <c r="J18" s="65"/>
      <c r="K18" s="22">
        <v>14</v>
      </c>
      <c r="L18" s="77" t="s">
        <v>38</v>
      </c>
      <c r="M18" s="77" t="s">
        <v>32</v>
      </c>
      <c r="N18" s="77" t="s">
        <v>39</v>
      </c>
      <c r="O18" s="77" t="s">
        <v>39</v>
      </c>
      <c r="P18" s="77" t="s">
        <v>75</v>
      </c>
      <c r="Q18" s="77" t="s">
        <v>39</v>
      </c>
      <c r="R18" s="37" t="s">
        <v>37</v>
      </c>
      <c r="T18" s="76">
        <f t="shared" si="11"/>
        <v>10</v>
      </c>
      <c r="U18" s="76">
        <f t="shared" si="12"/>
        <v>2</v>
      </c>
      <c r="V18" s="76">
        <f t="shared" si="13"/>
        <v>11</v>
      </c>
      <c r="W18" s="76">
        <f t="shared" si="14"/>
        <v>11</v>
      </c>
      <c r="X18" s="76">
        <f t="shared" si="15"/>
        <v>6</v>
      </c>
      <c r="Y18" s="76">
        <f t="shared" si="16"/>
        <v>11</v>
      </c>
      <c r="Z18" s="76">
        <f t="shared" si="17"/>
        <v>9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79" t="s">
        <v>79</v>
      </c>
      <c r="AK18" s="69">
        <v>0</v>
      </c>
      <c r="AL18" s="130">
        <v>3</v>
      </c>
      <c r="AM18" s="130">
        <v>3</v>
      </c>
      <c r="AN18" s="130">
        <v>3</v>
      </c>
      <c r="AO18" s="130">
        <v>3</v>
      </c>
      <c r="AP18" s="130">
        <v>0</v>
      </c>
      <c r="AQ18" s="71">
        <v>0</v>
      </c>
      <c r="AR18" s="58">
        <v>13</v>
      </c>
      <c r="AT18" s="30" t="s">
        <v>80</v>
      </c>
      <c r="AU18" s="15">
        <f t="shared" si="18"/>
        <v>0</v>
      </c>
      <c r="AV18" s="15">
        <f t="shared" si="19"/>
        <v>2</v>
      </c>
      <c r="AW18" s="15">
        <f t="shared" si="20"/>
        <v>1</v>
      </c>
      <c r="AX18" s="15">
        <f t="shared" si="21"/>
        <v>1</v>
      </c>
      <c r="AY18" s="15">
        <f t="shared" si="22"/>
        <v>1</v>
      </c>
      <c r="AZ18" s="15">
        <f t="shared" si="23"/>
        <v>0</v>
      </c>
      <c r="BA18" s="15">
        <f t="shared" si="24"/>
        <v>0</v>
      </c>
      <c r="BB18" s="7">
        <v>14</v>
      </c>
      <c r="BC18" s="65"/>
      <c r="BD18" s="22">
        <v>14</v>
      </c>
      <c r="BE18" s="77" t="s">
        <v>152</v>
      </c>
      <c r="BF18" s="77" t="s">
        <v>163</v>
      </c>
      <c r="BG18" s="77" t="s">
        <v>38</v>
      </c>
      <c r="BH18" s="77" t="s">
        <v>152</v>
      </c>
      <c r="BI18" s="77" t="s">
        <v>152</v>
      </c>
      <c r="BJ18" s="77" t="s">
        <v>38</v>
      </c>
      <c r="BK18" s="37" t="s">
        <v>35</v>
      </c>
      <c r="BL18" s="87"/>
      <c r="BM18" s="76">
        <f t="shared" si="25"/>
        <v>7</v>
      </c>
      <c r="BN18" s="76">
        <f t="shared" si="26"/>
        <v>18</v>
      </c>
      <c r="BO18" s="76">
        <f t="shared" si="27"/>
        <v>10</v>
      </c>
      <c r="BP18" s="76">
        <f t="shared" si="28"/>
        <v>7</v>
      </c>
      <c r="BQ18" s="76">
        <f t="shared" si="29"/>
        <v>7</v>
      </c>
      <c r="BR18" s="76">
        <f t="shared" si="30"/>
        <v>10</v>
      </c>
      <c r="BS18" s="76">
        <f t="shared" si="31"/>
        <v>5</v>
      </c>
      <c r="BT18" s="87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87"/>
      <c r="CC18" s="79" t="s">
        <v>79</v>
      </c>
      <c r="CD18" s="69">
        <v>0</v>
      </c>
      <c r="CE18" s="130">
        <v>3</v>
      </c>
      <c r="CF18" s="130">
        <v>3</v>
      </c>
      <c r="CG18" s="130">
        <v>3</v>
      </c>
      <c r="CH18" s="130">
        <v>3</v>
      </c>
      <c r="CI18" s="130">
        <v>0</v>
      </c>
      <c r="CJ18" s="71">
        <v>0</v>
      </c>
      <c r="CK18" s="58">
        <v>13</v>
      </c>
    </row>
    <row r="19" spans="1:89" ht="15.9" customHeight="1" x14ac:dyDescent="0.3">
      <c r="A19" s="30" t="s">
        <v>81</v>
      </c>
      <c r="B19" s="15">
        <f t="shared" si="4"/>
        <v>0</v>
      </c>
      <c r="C19" s="15">
        <f t="shared" si="5"/>
        <v>1</v>
      </c>
      <c r="D19" s="15">
        <f t="shared" si="6"/>
        <v>1</v>
      </c>
      <c r="E19" s="15">
        <f t="shared" si="7"/>
        <v>1</v>
      </c>
      <c r="F19" s="15">
        <f t="shared" si="8"/>
        <v>1</v>
      </c>
      <c r="G19" s="15">
        <f t="shared" si="9"/>
        <v>0</v>
      </c>
      <c r="H19" s="15">
        <f t="shared" si="10"/>
        <v>0</v>
      </c>
      <c r="I19" s="7">
        <v>15</v>
      </c>
      <c r="J19" s="86"/>
      <c r="K19" s="21">
        <v>15</v>
      </c>
      <c r="L19" s="77" t="s">
        <v>40</v>
      </c>
      <c r="M19" s="77" t="s">
        <v>96</v>
      </c>
      <c r="N19" s="77" t="s">
        <v>152</v>
      </c>
      <c r="O19" s="77" t="s">
        <v>39</v>
      </c>
      <c r="P19" s="77" t="s">
        <v>163</v>
      </c>
      <c r="Q19" s="77" t="s">
        <v>75</v>
      </c>
      <c r="R19" s="37" t="s">
        <v>37</v>
      </c>
      <c r="T19" s="76">
        <f t="shared" si="11"/>
        <v>12</v>
      </c>
      <c r="U19" s="76">
        <f t="shared" si="12"/>
        <v>13</v>
      </c>
      <c r="V19" s="76">
        <f t="shared" si="13"/>
        <v>7</v>
      </c>
      <c r="W19" s="76">
        <f t="shared" si="14"/>
        <v>11</v>
      </c>
      <c r="X19" s="76">
        <f t="shared" si="15"/>
        <v>18</v>
      </c>
      <c r="Y19" s="76">
        <f t="shared" si="16"/>
        <v>6</v>
      </c>
      <c r="Z19" s="76">
        <f t="shared" si="17"/>
        <v>9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79" t="s">
        <v>80</v>
      </c>
      <c r="AK19" s="69">
        <v>0</v>
      </c>
      <c r="AL19" s="130">
        <v>4</v>
      </c>
      <c r="AM19" s="130">
        <v>4</v>
      </c>
      <c r="AN19" s="130">
        <v>2</v>
      </c>
      <c r="AO19" s="130">
        <v>2</v>
      </c>
      <c r="AP19" s="130">
        <v>0</v>
      </c>
      <c r="AQ19" s="71">
        <v>0</v>
      </c>
      <c r="AR19" s="58">
        <v>14</v>
      </c>
      <c r="AT19" s="30" t="s">
        <v>81</v>
      </c>
      <c r="AU19" s="15">
        <f t="shared" si="18"/>
        <v>0</v>
      </c>
      <c r="AV19" s="15">
        <f t="shared" si="19"/>
        <v>0</v>
      </c>
      <c r="AW19" s="15">
        <f t="shared" si="20"/>
        <v>1</v>
      </c>
      <c r="AX19" s="15">
        <f t="shared" si="21"/>
        <v>1</v>
      </c>
      <c r="AY19" s="15">
        <f t="shared" si="22"/>
        <v>1</v>
      </c>
      <c r="AZ19" s="15">
        <f t="shared" si="23"/>
        <v>0</v>
      </c>
      <c r="BA19" s="15">
        <f t="shared" si="24"/>
        <v>0</v>
      </c>
      <c r="BB19" s="7">
        <v>15</v>
      </c>
      <c r="BC19" s="86"/>
      <c r="BD19" s="21">
        <v>15</v>
      </c>
      <c r="BE19" s="77" t="s">
        <v>39</v>
      </c>
      <c r="BF19" s="77" t="s">
        <v>152</v>
      </c>
      <c r="BG19" s="77" t="s">
        <v>35</v>
      </c>
      <c r="BH19" s="77" t="s">
        <v>163</v>
      </c>
      <c r="BI19" s="77" t="s">
        <v>181</v>
      </c>
      <c r="BJ19" s="77" t="s">
        <v>75</v>
      </c>
      <c r="BK19" s="37" t="s">
        <v>35</v>
      </c>
      <c r="BM19" s="76">
        <f t="shared" si="25"/>
        <v>11</v>
      </c>
      <c r="BN19" s="76">
        <f t="shared" si="26"/>
        <v>7</v>
      </c>
      <c r="BO19" s="76">
        <f t="shared" si="27"/>
        <v>5</v>
      </c>
      <c r="BP19" s="76">
        <f t="shared" si="28"/>
        <v>18</v>
      </c>
      <c r="BQ19" s="76">
        <f t="shared" si="29"/>
        <v>19</v>
      </c>
      <c r="BR19" s="76">
        <f t="shared" si="30"/>
        <v>6</v>
      </c>
      <c r="BS19" s="76">
        <f t="shared" si="31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79" t="s">
        <v>80</v>
      </c>
      <c r="CD19" s="69">
        <v>0</v>
      </c>
      <c r="CE19" s="130">
        <v>4</v>
      </c>
      <c r="CF19" s="130">
        <v>4</v>
      </c>
      <c r="CG19" s="130">
        <v>2</v>
      </c>
      <c r="CH19" s="130">
        <v>2</v>
      </c>
      <c r="CI19" s="130">
        <v>0</v>
      </c>
      <c r="CJ19" s="71">
        <v>0</v>
      </c>
      <c r="CK19" s="58">
        <v>14</v>
      </c>
    </row>
    <row r="20" spans="1:89" ht="15.9" customHeight="1" x14ac:dyDescent="0.3">
      <c r="A20" s="30" t="s">
        <v>82</v>
      </c>
      <c r="B20" s="15">
        <f t="shared" si="4"/>
        <v>0</v>
      </c>
      <c r="C20" s="15">
        <f t="shared" si="5"/>
        <v>1</v>
      </c>
      <c r="D20" s="15">
        <f t="shared" si="6"/>
        <v>1</v>
      </c>
      <c r="E20" s="15">
        <f t="shared" si="7"/>
        <v>0</v>
      </c>
      <c r="F20" s="15">
        <f t="shared" si="8"/>
        <v>1</v>
      </c>
      <c r="G20" s="15">
        <f t="shared" si="9"/>
        <v>0</v>
      </c>
      <c r="H20" s="15">
        <f t="shared" si="10"/>
        <v>0</v>
      </c>
      <c r="I20" s="7">
        <v>16</v>
      </c>
      <c r="K20" s="22">
        <v>16</v>
      </c>
      <c r="L20" s="77" t="s">
        <v>40</v>
      </c>
      <c r="M20" s="77" t="s">
        <v>40</v>
      </c>
      <c r="N20" s="77" t="s">
        <v>152</v>
      </c>
      <c r="O20" s="77" t="s">
        <v>25</v>
      </c>
      <c r="P20" s="77" t="s">
        <v>152</v>
      </c>
      <c r="Q20" s="77" t="s">
        <v>25</v>
      </c>
      <c r="R20" s="37" t="s">
        <v>37</v>
      </c>
      <c r="T20" s="76">
        <f t="shared" si="11"/>
        <v>12</v>
      </c>
      <c r="U20" s="76">
        <f t="shared" si="12"/>
        <v>12</v>
      </c>
      <c r="V20" s="76">
        <f t="shared" si="13"/>
        <v>7</v>
      </c>
      <c r="W20" s="76">
        <f t="shared" si="14"/>
        <v>8</v>
      </c>
      <c r="X20" s="76">
        <f t="shared" si="15"/>
        <v>7</v>
      </c>
      <c r="Y20" s="76">
        <f t="shared" si="16"/>
        <v>8</v>
      </c>
      <c r="Z20" s="76">
        <f t="shared" si="17"/>
        <v>9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79" t="s">
        <v>81</v>
      </c>
      <c r="AK20" s="69">
        <v>0</v>
      </c>
      <c r="AL20" s="130">
        <v>5</v>
      </c>
      <c r="AM20" s="130">
        <v>5</v>
      </c>
      <c r="AN20" s="130">
        <v>2</v>
      </c>
      <c r="AO20" s="130">
        <v>2</v>
      </c>
      <c r="AP20" s="130">
        <v>0</v>
      </c>
      <c r="AQ20" s="71">
        <v>0</v>
      </c>
      <c r="AR20" s="58">
        <v>15</v>
      </c>
      <c r="AT20" s="30" t="s">
        <v>82</v>
      </c>
      <c r="AU20" s="15">
        <f t="shared" si="18"/>
        <v>0</v>
      </c>
      <c r="AV20" s="15">
        <f t="shared" si="19"/>
        <v>1</v>
      </c>
      <c r="AW20" s="15">
        <f t="shared" si="20"/>
        <v>2</v>
      </c>
      <c r="AX20" s="15">
        <f t="shared" si="21"/>
        <v>1</v>
      </c>
      <c r="AY20" s="15">
        <f t="shared" si="22"/>
        <v>1</v>
      </c>
      <c r="AZ20" s="15">
        <f t="shared" si="23"/>
        <v>0</v>
      </c>
      <c r="BA20" s="15">
        <f t="shared" si="24"/>
        <v>0</v>
      </c>
      <c r="BB20" s="7">
        <v>16</v>
      </c>
      <c r="BD20" s="22">
        <v>16</v>
      </c>
      <c r="BE20" s="77" t="s">
        <v>40</v>
      </c>
      <c r="BF20" s="77" t="s">
        <v>75</v>
      </c>
      <c r="BG20" s="77" t="s">
        <v>35</v>
      </c>
      <c r="BH20" s="77" t="s">
        <v>38</v>
      </c>
      <c r="BI20" s="77" t="s">
        <v>38</v>
      </c>
      <c r="BJ20" s="77" t="s">
        <v>75</v>
      </c>
      <c r="BK20" s="37" t="s">
        <v>25</v>
      </c>
      <c r="BM20" s="76">
        <f t="shared" si="25"/>
        <v>12</v>
      </c>
      <c r="BN20" s="76">
        <f t="shared" si="26"/>
        <v>6</v>
      </c>
      <c r="BO20" s="76">
        <f t="shared" si="27"/>
        <v>5</v>
      </c>
      <c r="BP20" s="76">
        <f t="shared" si="28"/>
        <v>10</v>
      </c>
      <c r="BQ20" s="76">
        <f t="shared" si="29"/>
        <v>10</v>
      </c>
      <c r="BR20" s="76">
        <f t="shared" si="30"/>
        <v>6</v>
      </c>
      <c r="BS20" s="76">
        <f t="shared" si="31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79" t="s">
        <v>81</v>
      </c>
      <c r="CD20" s="69">
        <v>0</v>
      </c>
      <c r="CE20" s="130">
        <v>5</v>
      </c>
      <c r="CF20" s="130">
        <v>5</v>
      </c>
      <c r="CG20" s="130">
        <v>2</v>
      </c>
      <c r="CH20" s="130">
        <v>2</v>
      </c>
      <c r="CI20" s="130">
        <v>0</v>
      </c>
      <c r="CJ20" s="71">
        <v>0</v>
      </c>
      <c r="CK20" s="58">
        <v>15</v>
      </c>
    </row>
    <row r="21" spans="1:89" ht="15.9" customHeight="1" x14ac:dyDescent="0.3">
      <c r="A21" s="30" t="s">
        <v>83</v>
      </c>
      <c r="B21" s="15">
        <f t="shared" si="4"/>
        <v>0</v>
      </c>
      <c r="C21" s="15">
        <f t="shared" si="5"/>
        <v>4</v>
      </c>
      <c r="D21" s="15">
        <f t="shared" si="6"/>
        <v>1</v>
      </c>
      <c r="E21" s="15">
        <f t="shared" si="7"/>
        <v>1</v>
      </c>
      <c r="F21" s="15">
        <f t="shared" si="8"/>
        <v>1</v>
      </c>
      <c r="G21" s="15">
        <f t="shared" si="9"/>
        <v>0</v>
      </c>
      <c r="H21" s="15">
        <f t="shared" si="10"/>
        <v>0</v>
      </c>
      <c r="I21" s="7">
        <v>17</v>
      </c>
      <c r="K21" s="21">
        <v>17</v>
      </c>
      <c r="L21" s="77" t="s">
        <v>39</v>
      </c>
      <c r="M21" s="77" t="s">
        <v>40</v>
      </c>
      <c r="N21" s="77" t="s">
        <v>37</v>
      </c>
      <c r="O21" s="77" t="s">
        <v>25</v>
      </c>
      <c r="P21" s="77" t="s">
        <v>152</v>
      </c>
      <c r="Q21" s="77" t="s">
        <v>75</v>
      </c>
      <c r="R21" s="37" t="s">
        <v>75</v>
      </c>
      <c r="T21" s="76">
        <f t="shared" si="11"/>
        <v>11</v>
      </c>
      <c r="U21" s="76">
        <f t="shared" si="12"/>
        <v>12</v>
      </c>
      <c r="V21" s="76">
        <f t="shared" si="13"/>
        <v>9</v>
      </c>
      <c r="W21" s="76">
        <f t="shared" si="14"/>
        <v>8</v>
      </c>
      <c r="X21" s="76">
        <f t="shared" si="15"/>
        <v>7</v>
      </c>
      <c r="Y21" s="76">
        <f t="shared" si="16"/>
        <v>6</v>
      </c>
      <c r="Z21" s="76">
        <f t="shared" si="17"/>
        <v>6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79" t="s">
        <v>82</v>
      </c>
      <c r="AK21" s="69">
        <v>0</v>
      </c>
      <c r="AL21" s="130">
        <v>5</v>
      </c>
      <c r="AM21" s="130">
        <v>5</v>
      </c>
      <c r="AN21" s="130">
        <v>5</v>
      </c>
      <c r="AO21" s="130">
        <v>8</v>
      </c>
      <c r="AP21" s="130">
        <v>0</v>
      </c>
      <c r="AQ21" s="71">
        <v>0</v>
      </c>
      <c r="AR21" s="58">
        <v>16</v>
      </c>
      <c r="AT21" s="30" t="s">
        <v>83</v>
      </c>
      <c r="AU21" s="15">
        <f t="shared" si="18"/>
        <v>0</v>
      </c>
      <c r="AV21" s="15">
        <f t="shared" si="19"/>
        <v>3</v>
      </c>
      <c r="AW21" s="15">
        <f t="shared" si="20"/>
        <v>0</v>
      </c>
      <c r="AX21" s="15">
        <f t="shared" si="21"/>
        <v>4</v>
      </c>
      <c r="AY21" s="15">
        <f t="shared" si="22"/>
        <v>1</v>
      </c>
      <c r="AZ21" s="15">
        <f t="shared" si="23"/>
        <v>0</v>
      </c>
      <c r="BA21" s="15">
        <f t="shared" si="24"/>
        <v>0</v>
      </c>
      <c r="BB21" s="7">
        <v>17</v>
      </c>
      <c r="BD21" s="21">
        <v>17</v>
      </c>
      <c r="BE21" s="77" t="s">
        <v>75</v>
      </c>
      <c r="BF21" s="77" t="s">
        <v>75</v>
      </c>
      <c r="BG21" s="77" t="s">
        <v>193</v>
      </c>
      <c r="BH21" s="77" t="s">
        <v>97</v>
      </c>
      <c r="BI21" s="77" t="s">
        <v>152</v>
      </c>
      <c r="BJ21" s="77" t="s">
        <v>75</v>
      </c>
      <c r="BK21" s="37" t="s">
        <v>25</v>
      </c>
      <c r="BM21" s="76">
        <f t="shared" si="25"/>
        <v>6</v>
      </c>
      <c r="BN21" s="76">
        <f t="shared" si="26"/>
        <v>6</v>
      </c>
      <c r="BO21" s="76">
        <f t="shared" si="27"/>
        <v>16</v>
      </c>
      <c r="BP21" s="76">
        <f t="shared" si="28"/>
        <v>14</v>
      </c>
      <c r="BQ21" s="76">
        <f t="shared" si="29"/>
        <v>7</v>
      </c>
      <c r="BR21" s="76">
        <f t="shared" si="30"/>
        <v>6</v>
      </c>
      <c r="BS21" s="76">
        <f t="shared" si="31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79" t="s">
        <v>82</v>
      </c>
      <c r="CD21" s="69">
        <v>0</v>
      </c>
      <c r="CE21" s="130">
        <v>5</v>
      </c>
      <c r="CF21" s="130">
        <v>5</v>
      </c>
      <c r="CG21" s="130">
        <v>5</v>
      </c>
      <c r="CH21" s="130">
        <v>8</v>
      </c>
      <c r="CI21" s="130">
        <v>0</v>
      </c>
      <c r="CJ21" s="71">
        <v>0</v>
      </c>
      <c r="CK21" s="58">
        <v>16</v>
      </c>
    </row>
    <row r="22" spans="1:89" ht="15.9" customHeight="1" x14ac:dyDescent="0.3">
      <c r="A22" s="30" t="s">
        <v>162</v>
      </c>
      <c r="B22" s="15">
        <f t="shared" si="4"/>
        <v>0</v>
      </c>
      <c r="C22" s="15">
        <f t="shared" si="5"/>
        <v>4</v>
      </c>
      <c r="D22" s="15">
        <f t="shared" si="6"/>
        <v>2</v>
      </c>
      <c r="E22" s="15">
        <f t="shared" si="7"/>
        <v>1</v>
      </c>
      <c r="F22" s="15">
        <f t="shared" si="8"/>
        <v>1</v>
      </c>
      <c r="G22" s="15">
        <f t="shared" si="9"/>
        <v>0</v>
      </c>
      <c r="H22" s="15">
        <f t="shared" si="10"/>
        <v>0</v>
      </c>
      <c r="I22" s="7">
        <v>18</v>
      </c>
      <c r="K22" s="22">
        <v>18</v>
      </c>
      <c r="L22" s="77" t="s">
        <v>39</v>
      </c>
      <c r="M22" s="77" t="s">
        <v>152</v>
      </c>
      <c r="N22" s="77" t="s">
        <v>75</v>
      </c>
      <c r="O22" s="77" t="s">
        <v>34</v>
      </c>
      <c r="P22" s="77" t="s">
        <v>37</v>
      </c>
      <c r="Q22" s="77" t="s">
        <v>75</v>
      </c>
      <c r="R22" s="77" t="s">
        <v>34</v>
      </c>
      <c r="T22" s="76">
        <f t="shared" si="11"/>
        <v>11</v>
      </c>
      <c r="U22" s="76">
        <f t="shared" si="12"/>
        <v>7</v>
      </c>
      <c r="V22" s="76">
        <f t="shared" si="13"/>
        <v>6</v>
      </c>
      <c r="W22" s="76">
        <f t="shared" si="14"/>
        <v>4</v>
      </c>
      <c r="X22" s="76">
        <f t="shared" si="15"/>
        <v>9</v>
      </c>
      <c r="Y22" s="76">
        <f t="shared" si="16"/>
        <v>6</v>
      </c>
      <c r="Z22" s="76">
        <f t="shared" si="17"/>
        <v>4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79" t="s">
        <v>83</v>
      </c>
      <c r="AK22" s="69">
        <v>0</v>
      </c>
      <c r="AL22" s="130">
        <v>15</v>
      </c>
      <c r="AM22" s="130">
        <v>15</v>
      </c>
      <c r="AN22" s="130">
        <v>10</v>
      </c>
      <c r="AO22" s="130">
        <v>15</v>
      </c>
      <c r="AP22" s="130">
        <v>0</v>
      </c>
      <c r="AQ22" s="71">
        <v>0</v>
      </c>
      <c r="AR22" s="58">
        <v>17</v>
      </c>
      <c r="AT22" s="30" t="s">
        <v>162</v>
      </c>
      <c r="AU22" s="15">
        <f t="shared" si="18"/>
        <v>0</v>
      </c>
      <c r="AV22" s="15">
        <f t="shared" si="19"/>
        <v>3</v>
      </c>
      <c r="AW22" s="15">
        <f t="shared" si="20"/>
        <v>1</v>
      </c>
      <c r="AX22" s="15">
        <f t="shared" si="21"/>
        <v>2</v>
      </c>
      <c r="AY22" s="15">
        <f t="shared" si="22"/>
        <v>2</v>
      </c>
      <c r="AZ22" s="15">
        <f t="shared" si="23"/>
        <v>0</v>
      </c>
      <c r="BA22" s="15">
        <f t="shared" si="24"/>
        <v>0</v>
      </c>
      <c r="BB22" s="7">
        <v>18</v>
      </c>
      <c r="BD22" s="22">
        <v>18</v>
      </c>
      <c r="BE22" s="77" t="s">
        <v>40</v>
      </c>
      <c r="BF22" s="77" t="s">
        <v>188</v>
      </c>
      <c r="BG22" s="77" t="s">
        <v>37</v>
      </c>
      <c r="BH22" s="77" t="s">
        <v>34</v>
      </c>
      <c r="BI22" s="77" t="s">
        <v>37</v>
      </c>
      <c r="BJ22" s="77" t="s">
        <v>35</v>
      </c>
      <c r="BK22" s="77" t="s">
        <v>25</v>
      </c>
      <c r="BM22" s="76">
        <f t="shared" si="25"/>
        <v>12</v>
      </c>
      <c r="BN22" s="76">
        <f t="shared" si="26"/>
        <v>23</v>
      </c>
      <c r="BO22" s="76">
        <f t="shared" si="27"/>
        <v>9</v>
      </c>
      <c r="BP22" s="76">
        <f t="shared" si="28"/>
        <v>4</v>
      </c>
      <c r="BQ22" s="76">
        <f t="shared" si="29"/>
        <v>9</v>
      </c>
      <c r="BR22" s="76">
        <f t="shared" si="30"/>
        <v>5</v>
      </c>
      <c r="BS22" s="76">
        <f t="shared" si="31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79" t="s">
        <v>83</v>
      </c>
      <c r="CD22" s="69">
        <v>0</v>
      </c>
      <c r="CE22" s="130">
        <v>15</v>
      </c>
      <c r="CF22" s="130">
        <v>15</v>
      </c>
      <c r="CG22" s="130">
        <v>10</v>
      </c>
      <c r="CH22" s="130">
        <v>15</v>
      </c>
      <c r="CI22" s="130">
        <v>0</v>
      </c>
      <c r="CJ22" s="71">
        <v>0</v>
      </c>
      <c r="CK22" s="58">
        <v>17</v>
      </c>
    </row>
    <row r="23" spans="1:89" ht="15.9" customHeight="1" x14ac:dyDescent="0.3">
      <c r="A23" s="30" t="s">
        <v>84</v>
      </c>
      <c r="B23" s="15">
        <f t="shared" si="4"/>
        <v>0</v>
      </c>
      <c r="C23" s="15">
        <f t="shared" si="5"/>
        <v>2</v>
      </c>
      <c r="D23" s="15">
        <f t="shared" si="6"/>
        <v>1</v>
      </c>
      <c r="E23" s="15">
        <f t="shared" si="7"/>
        <v>1</v>
      </c>
      <c r="F23" s="15">
        <f t="shared" si="8"/>
        <v>0</v>
      </c>
      <c r="G23" s="15">
        <f t="shared" si="9"/>
        <v>0</v>
      </c>
      <c r="H23" s="15">
        <f t="shared" si="10"/>
        <v>0</v>
      </c>
      <c r="I23" s="7">
        <v>19</v>
      </c>
      <c r="K23" s="21">
        <v>19</v>
      </c>
      <c r="L23" s="77" t="s">
        <v>152</v>
      </c>
      <c r="M23" s="77" t="s">
        <v>25</v>
      </c>
      <c r="N23" s="77" t="s">
        <v>37</v>
      </c>
      <c r="O23" s="77" t="s">
        <v>25</v>
      </c>
      <c r="P23" s="77" t="s">
        <v>152</v>
      </c>
      <c r="Q23" s="77" t="s">
        <v>75</v>
      </c>
      <c r="R23" s="37" t="s">
        <v>34</v>
      </c>
      <c r="T23" s="76">
        <f t="shared" si="11"/>
        <v>7</v>
      </c>
      <c r="U23" s="76">
        <f t="shared" si="12"/>
        <v>8</v>
      </c>
      <c r="V23" s="76">
        <f t="shared" si="13"/>
        <v>9</v>
      </c>
      <c r="W23" s="76">
        <f t="shared" si="14"/>
        <v>8</v>
      </c>
      <c r="X23" s="76">
        <f t="shared" si="15"/>
        <v>7</v>
      </c>
      <c r="Y23" s="76">
        <f t="shared" si="16"/>
        <v>6</v>
      </c>
      <c r="Z23" s="76">
        <f t="shared" si="17"/>
        <v>4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79" t="s">
        <v>162</v>
      </c>
      <c r="AK23" s="69">
        <v>0</v>
      </c>
      <c r="AL23" s="130">
        <v>10</v>
      </c>
      <c r="AM23" s="130">
        <v>15</v>
      </c>
      <c r="AN23" s="130">
        <v>15</v>
      </c>
      <c r="AO23" s="130">
        <v>10</v>
      </c>
      <c r="AP23" s="130">
        <v>0</v>
      </c>
      <c r="AQ23" s="71">
        <v>0</v>
      </c>
      <c r="AR23" s="58">
        <v>18</v>
      </c>
      <c r="AT23" s="30" t="s">
        <v>84</v>
      </c>
      <c r="AU23" s="15">
        <f t="shared" si="18"/>
        <v>0</v>
      </c>
      <c r="AV23" s="15">
        <f t="shared" si="19"/>
        <v>1</v>
      </c>
      <c r="AW23" s="15">
        <f t="shared" si="20"/>
        <v>2</v>
      </c>
      <c r="AX23" s="15">
        <f t="shared" si="21"/>
        <v>1</v>
      </c>
      <c r="AY23" s="15">
        <f t="shared" si="22"/>
        <v>1</v>
      </c>
      <c r="AZ23" s="15">
        <f t="shared" si="23"/>
        <v>0</v>
      </c>
      <c r="BA23" s="15">
        <f t="shared" si="24"/>
        <v>0</v>
      </c>
      <c r="BB23" s="7">
        <v>19</v>
      </c>
      <c r="BD23" s="21">
        <v>19</v>
      </c>
      <c r="BE23" s="77" t="s">
        <v>152</v>
      </c>
      <c r="BF23" s="77" t="s">
        <v>38</v>
      </c>
      <c r="BG23" s="77" t="s">
        <v>25</v>
      </c>
      <c r="BH23" s="77" t="s">
        <v>34</v>
      </c>
      <c r="BI23" s="77" t="s">
        <v>38</v>
      </c>
      <c r="BJ23" s="77" t="s">
        <v>40</v>
      </c>
      <c r="BK23" s="37" t="s">
        <v>25</v>
      </c>
      <c r="BM23" s="76">
        <f t="shared" si="25"/>
        <v>7</v>
      </c>
      <c r="BN23" s="76">
        <f t="shared" si="26"/>
        <v>10</v>
      </c>
      <c r="BO23" s="76">
        <f t="shared" si="27"/>
        <v>8</v>
      </c>
      <c r="BP23" s="76">
        <f t="shared" si="28"/>
        <v>4</v>
      </c>
      <c r="BQ23" s="76">
        <f t="shared" si="29"/>
        <v>10</v>
      </c>
      <c r="BR23" s="76">
        <f t="shared" si="30"/>
        <v>12</v>
      </c>
      <c r="BS23" s="76">
        <f t="shared" si="31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79" t="s">
        <v>162</v>
      </c>
      <c r="CD23" s="69">
        <v>0</v>
      </c>
      <c r="CE23" s="130">
        <v>10</v>
      </c>
      <c r="CF23" s="130">
        <v>15</v>
      </c>
      <c r="CG23" s="130">
        <v>15</v>
      </c>
      <c r="CH23" s="130">
        <v>10</v>
      </c>
      <c r="CI23" s="130">
        <v>0</v>
      </c>
      <c r="CJ23" s="71">
        <v>0</v>
      </c>
      <c r="CK23" s="58">
        <v>18</v>
      </c>
    </row>
    <row r="24" spans="1:89" ht="15.9" customHeight="1" x14ac:dyDescent="0.3">
      <c r="A24" s="30" t="s">
        <v>85</v>
      </c>
      <c r="B24" s="15">
        <f t="shared" si="4"/>
        <v>0</v>
      </c>
      <c r="C24" s="15">
        <f t="shared" si="5"/>
        <v>1</v>
      </c>
      <c r="D24" s="15">
        <f t="shared" si="6"/>
        <v>1</v>
      </c>
      <c r="E24" s="15">
        <f t="shared" si="7"/>
        <v>1</v>
      </c>
      <c r="F24" s="15">
        <f t="shared" si="8"/>
        <v>1</v>
      </c>
      <c r="G24" s="15">
        <f t="shared" si="9"/>
        <v>0</v>
      </c>
      <c r="H24" s="15">
        <f t="shared" si="10"/>
        <v>0</v>
      </c>
      <c r="I24" s="7">
        <v>20</v>
      </c>
      <c r="K24" s="22">
        <v>20</v>
      </c>
      <c r="L24" s="77" t="s">
        <v>39</v>
      </c>
      <c r="M24" s="77" t="s">
        <v>40</v>
      </c>
      <c r="N24" s="77" t="s">
        <v>37</v>
      </c>
      <c r="O24" s="77" t="s">
        <v>25</v>
      </c>
      <c r="P24" s="77" t="s">
        <v>34</v>
      </c>
      <c r="Q24" s="77" t="s">
        <v>38</v>
      </c>
      <c r="R24" s="37" t="s">
        <v>34</v>
      </c>
      <c r="T24" s="76">
        <f t="shared" si="11"/>
        <v>11</v>
      </c>
      <c r="U24" s="76">
        <f t="shared" si="12"/>
        <v>12</v>
      </c>
      <c r="V24" s="76">
        <f t="shared" si="13"/>
        <v>9</v>
      </c>
      <c r="W24" s="76">
        <f t="shared" si="14"/>
        <v>8</v>
      </c>
      <c r="X24" s="76">
        <f t="shared" si="15"/>
        <v>4</v>
      </c>
      <c r="Y24" s="76">
        <f t="shared" si="16"/>
        <v>10</v>
      </c>
      <c r="Z24" s="76">
        <f t="shared" si="17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79" t="s">
        <v>84</v>
      </c>
      <c r="AK24" s="69">
        <v>0</v>
      </c>
      <c r="AL24" s="130">
        <v>12</v>
      </c>
      <c r="AM24" s="130">
        <v>12</v>
      </c>
      <c r="AN24" s="130">
        <v>4</v>
      </c>
      <c r="AO24" s="130">
        <v>6</v>
      </c>
      <c r="AP24" s="130">
        <v>0</v>
      </c>
      <c r="AQ24" s="71">
        <v>0</v>
      </c>
      <c r="AR24" s="58">
        <v>19</v>
      </c>
      <c r="AT24" s="30" t="s">
        <v>85</v>
      </c>
      <c r="AU24" s="15">
        <f t="shared" si="18"/>
        <v>0</v>
      </c>
      <c r="AV24" s="15">
        <f t="shared" si="19"/>
        <v>1</v>
      </c>
      <c r="AW24" s="15">
        <f t="shared" si="20"/>
        <v>1</v>
      </c>
      <c r="AX24" s="15">
        <f t="shared" si="21"/>
        <v>1</v>
      </c>
      <c r="AY24" s="15">
        <f t="shared" si="22"/>
        <v>1</v>
      </c>
      <c r="AZ24" s="15">
        <f t="shared" si="23"/>
        <v>0</v>
      </c>
      <c r="BA24" s="15">
        <f t="shared" si="24"/>
        <v>0</v>
      </c>
      <c r="BB24" s="7">
        <v>20</v>
      </c>
      <c r="BD24" s="22">
        <v>20</v>
      </c>
      <c r="BE24" s="77" t="s">
        <v>33</v>
      </c>
      <c r="BF24" s="77" t="s">
        <v>38</v>
      </c>
      <c r="BG24" s="77" t="s">
        <v>181</v>
      </c>
      <c r="BH24" s="77" t="s">
        <v>38</v>
      </c>
      <c r="BI24" s="77" t="s">
        <v>37</v>
      </c>
      <c r="BJ24" s="77" t="s">
        <v>40</v>
      </c>
      <c r="BK24" s="37" t="s">
        <v>38</v>
      </c>
      <c r="BM24" s="76">
        <f t="shared" si="25"/>
        <v>3</v>
      </c>
      <c r="BN24" s="76">
        <f t="shared" si="26"/>
        <v>10</v>
      </c>
      <c r="BO24" s="76">
        <f t="shared" si="27"/>
        <v>19</v>
      </c>
      <c r="BP24" s="76">
        <f t="shared" si="28"/>
        <v>10</v>
      </c>
      <c r="BQ24" s="76">
        <f t="shared" si="29"/>
        <v>9</v>
      </c>
      <c r="BR24" s="76">
        <f t="shared" si="30"/>
        <v>12</v>
      </c>
      <c r="BS24" s="76">
        <f t="shared" si="31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79" t="s">
        <v>84</v>
      </c>
      <c r="CD24" s="69">
        <v>0</v>
      </c>
      <c r="CE24" s="130">
        <v>12</v>
      </c>
      <c r="CF24" s="130">
        <v>12</v>
      </c>
      <c r="CG24" s="130">
        <v>4</v>
      </c>
      <c r="CH24" s="130">
        <v>6</v>
      </c>
      <c r="CI24" s="130">
        <v>0</v>
      </c>
      <c r="CJ24" s="71">
        <v>0</v>
      </c>
      <c r="CK24" s="58">
        <v>19</v>
      </c>
    </row>
    <row r="25" spans="1:89" ht="16.5" customHeight="1" x14ac:dyDescent="0.3">
      <c r="A25" s="30" t="s">
        <v>86</v>
      </c>
      <c r="B25" s="15">
        <f t="shared" si="4"/>
        <v>0</v>
      </c>
      <c r="C25" s="15">
        <f t="shared" si="5"/>
        <v>1</v>
      </c>
      <c r="D25" s="15">
        <f t="shared" si="6"/>
        <v>1</v>
      </c>
      <c r="E25" s="15">
        <f t="shared" si="7"/>
        <v>3</v>
      </c>
      <c r="F25" s="15">
        <f t="shared" si="8"/>
        <v>0</v>
      </c>
      <c r="G25" s="15">
        <f t="shared" si="9"/>
        <v>0</v>
      </c>
      <c r="H25" s="15">
        <f t="shared" si="10"/>
        <v>0</v>
      </c>
      <c r="I25" s="7">
        <v>21</v>
      </c>
      <c r="K25" s="21">
        <v>21</v>
      </c>
      <c r="L25" s="77" t="s">
        <v>40</v>
      </c>
      <c r="M25" s="77" t="s">
        <v>163</v>
      </c>
      <c r="N25" s="77" t="s">
        <v>37</v>
      </c>
      <c r="O25" s="77" t="s">
        <v>191</v>
      </c>
      <c r="P25" s="77" t="s">
        <v>34</v>
      </c>
      <c r="Q25" s="77" t="s">
        <v>38</v>
      </c>
      <c r="R25" s="37" t="s">
        <v>38</v>
      </c>
      <c r="T25" s="76">
        <f t="shared" si="11"/>
        <v>12</v>
      </c>
      <c r="U25" s="76">
        <f t="shared" si="12"/>
        <v>18</v>
      </c>
      <c r="V25" s="76">
        <f t="shared" si="13"/>
        <v>9</v>
      </c>
      <c r="W25" s="76">
        <f t="shared" si="14"/>
        <v>21</v>
      </c>
      <c r="X25" s="76">
        <f t="shared" si="15"/>
        <v>4</v>
      </c>
      <c r="Y25" s="76">
        <f t="shared" si="16"/>
        <v>10</v>
      </c>
      <c r="Z25" s="76">
        <f t="shared" si="17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79" t="s">
        <v>85</v>
      </c>
      <c r="AK25" s="69">
        <v>0</v>
      </c>
      <c r="AL25" s="130">
        <v>8</v>
      </c>
      <c r="AM25" s="130">
        <v>12</v>
      </c>
      <c r="AN25" s="130">
        <v>4</v>
      </c>
      <c r="AO25" s="130">
        <v>4</v>
      </c>
      <c r="AP25" s="130">
        <v>0</v>
      </c>
      <c r="AQ25" s="71">
        <v>0</v>
      </c>
      <c r="AR25" s="58">
        <v>20</v>
      </c>
      <c r="AT25" s="30" t="s">
        <v>86</v>
      </c>
      <c r="AU25" s="15">
        <f t="shared" si="18"/>
        <v>0</v>
      </c>
      <c r="AV25" s="15">
        <f t="shared" si="19"/>
        <v>1</v>
      </c>
      <c r="AW25" s="15">
        <f t="shared" si="20"/>
        <v>1</v>
      </c>
      <c r="AX25" s="15">
        <f t="shared" si="21"/>
        <v>1</v>
      </c>
      <c r="AY25" s="15">
        <f t="shared" si="22"/>
        <v>0</v>
      </c>
      <c r="AZ25" s="15">
        <f t="shared" si="23"/>
        <v>0</v>
      </c>
      <c r="BA25" s="15">
        <f t="shared" si="24"/>
        <v>0</v>
      </c>
      <c r="BB25" s="7">
        <v>21</v>
      </c>
      <c r="BD25" s="21">
        <v>21</v>
      </c>
      <c r="BE25" s="77" t="s">
        <v>38</v>
      </c>
      <c r="BF25" s="77" t="s">
        <v>38</v>
      </c>
      <c r="BG25" s="77" t="s">
        <v>35</v>
      </c>
      <c r="BH25" s="77" t="s">
        <v>40</v>
      </c>
      <c r="BI25" s="77" t="s">
        <v>152</v>
      </c>
      <c r="BJ25" s="77" t="s">
        <v>40</v>
      </c>
      <c r="BK25" s="37" t="s">
        <v>38</v>
      </c>
      <c r="BM25" s="76">
        <f t="shared" si="25"/>
        <v>10</v>
      </c>
      <c r="BN25" s="76">
        <f t="shared" si="26"/>
        <v>10</v>
      </c>
      <c r="BO25" s="76">
        <f t="shared" si="27"/>
        <v>5</v>
      </c>
      <c r="BP25" s="76">
        <f t="shared" si="28"/>
        <v>12</v>
      </c>
      <c r="BQ25" s="76">
        <f t="shared" si="29"/>
        <v>7</v>
      </c>
      <c r="BR25" s="76">
        <f t="shared" si="30"/>
        <v>12</v>
      </c>
      <c r="BS25" s="76">
        <f t="shared" si="31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79" t="s">
        <v>85</v>
      </c>
      <c r="CD25" s="69">
        <v>0</v>
      </c>
      <c r="CE25" s="130">
        <v>8</v>
      </c>
      <c r="CF25" s="130">
        <v>12</v>
      </c>
      <c r="CG25" s="130">
        <v>4</v>
      </c>
      <c r="CH25" s="130">
        <v>4</v>
      </c>
      <c r="CI25" s="130">
        <v>0</v>
      </c>
      <c r="CJ25" s="71">
        <v>0</v>
      </c>
      <c r="CK25" s="58">
        <v>20</v>
      </c>
    </row>
    <row r="26" spans="1:89" ht="16.5" customHeight="1" x14ac:dyDescent="0.3">
      <c r="A26" s="30" t="s">
        <v>87</v>
      </c>
      <c r="B26" s="15">
        <f t="shared" si="4"/>
        <v>0</v>
      </c>
      <c r="C26" s="15">
        <f t="shared" si="5"/>
        <v>1</v>
      </c>
      <c r="D26" s="15">
        <f t="shared" si="6"/>
        <v>1</v>
      </c>
      <c r="E26" s="15">
        <f t="shared" si="7"/>
        <v>0</v>
      </c>
      <c r="F26" s="15">
        <f t="shared" si="8"/>
        <v>1</v>
      </c>
      <c r="G26" s="15">
        <f t="shared" si="9"/>
        <v>0</v>
      </c>
      <c r="H26" s="15">
        <f t="shared" si="10"/>
        <v>0</v>
      </c>
      <c r="I26" s="7">
        <v>22</v>
      </c>
      <c r="K26" s="22">
        <v>22</v>
      </c>
      <c r="L26" s="77" t="s">
        <v>152</v>
      </c>
      <c r="M26" s="77" t="s">
        <v>37</v>
      </c>
      <c r="N26" s="77" t="s">
        <v>39</v>
      </c>
      <c r="O26" s="77" t="s">
        <v>38</v>
      </c>
      <c r="P26" s="77" t="s">
        <v>37</v>
      </c>
      <c r="Q26" s="77" t="s">
        <v>38</v>
      </c>
      <c r="R26" s="37" t="s">
        <v>37</v>
      </c>
      <c r="T26" s="76">
        <f t="shared" si="11"/>
        <v>7</v>
      </c>
      <c r="U26" s="76">
        <f t="shared" si="12"/>
        <v>9</v>
      </c>
      <c r="V26" s="76">
        <f t="shared" si="13"/>
        <v>11</v>
      </c>
      <c r="W26" s="76">
        <f t="shared" si="14"/>
        <v>10</v>
      </c>
      <c r="X26" s="76">
        <f t="shared" si="15"/>
        <v>9</v>
      </c>
      <c r="Y26" s="76">
        <f t="shared" si="16"/>
        <v>10</v>
      </c>
      <c r="Z26" s="76">
        <f t="shared" si="17"/>
        <v>9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79" t="s">
        <v>86</v>
      </c>
      <c r="AK26" s="69">
        <v>0</v>
      </c>
      <c r="AL26" s="130">
        <v>10</v>
      </c>
      <c r="AM26" s="130">
        <v>6</v>
      </c>
      <c r="AN26" s="130">
        <v>2</v>
      </c>
      <c r="AO26" s="130">
        <v>8</v>
      </c>
      <c r="AP26" s="130">
        <v>0</v>
      </c>
      <c r="AQ26" s="71">
        <v>0</v>
      </c>
      <c r="AR26" s="58">
        <v>21</v>
      </c>
      <c r="AT26" s="30" t="s">
        <v>87</v>
      </c>
      <c r="AU26" s="15">
        <f t="shared" si="18"/>
        <v>0</v>
      </c>
      <c r="AV26" s="15">
        <f t="shared" si="19"/>
        <v>1</v>
      </c>
      <c r="AW26" s="15">
        <f t="shared" si="20"/>
        <v>1</v>
      </c>
      <c r="AX26" s="15">
        <f t="shared" si="21"/>
        <v>1</v>
      </c>
      <c r="AY26" s="15">
        <f t="shared" si="22"/>
        <v>1</v>
      </c>
      <c r="AZ26" s="15">
        <f t="shared" si="23"/>
        <v>0</v>
      </c>
      <c r="BA26" s="15">
        <f t="shared" si="24"/>
        <v>0</v>
      </c>
      <c r="BB26" s="7">
        <v>22</v>
      </c>
      <c r="BD26" s="22">
        <v>22</v>
      </c>
      <c r="BE26" s="77" t="s">
        <v>38</v>
      </c>
      <c r="BF26" s="77" t="s">
        <v>40</v>
      </c>
      <c r="BG26" s="77" t="s">
        <v>35</v>
      </c>
      <c r="BH26" s="77" t="s">
        <v>40</v>
      </c>
      <c r="BI26" s="77" t="s">
        <v>40</v>
      </c>
      <c r="BJ26" s="77" t="s">
        <v>35</v>
      </c>
      <c r="BK26" s="37" t="s">
        <v>38</v>
      </c>
      <c r="BM26" s="76">
        <f t="shared" si="25"/>
        <v>10</v>
      </c>
      <c r="BN26" s="76">
        <f t="shared" si="26"/>
        <v>12</v>
      </c>
      <c r="BO26" s="76">
        <f t="shared" si="27"/>
        <v>5</v>
      </c>
      <c r="BP26" s="76">
        <f t="shared" si="28"/>
        <v>12</v>
      </c>
      <c r="BQ26" s="76">
        <f t="shared" si="29"/>
        <v>12</v>
      </c>
      <c r="BR26" s="76">
        <f t="shared" si="30"/>
        <v>5</v>
      </c>
      <c r="BS26" s="76">
        <f t="shared" si="31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79" t="s">
        <v>86</v>
      </c>
      <c r="CD26" s="69">
        <v>0</v>
      </c>
      <c r="CE26" s="130">
        <v>10</v>
      </c>
      <c r="CF26" s="130">
        <v>6</v>
      </c>
      <c r="CG26" s="130">
        <v>2</v>
      </c>
      <c r="CH26" s="130">
        <v>8</v>
      </c>
      <c r="CI26" s="130">
        <v>0</v>
      </c>
      <c r="CJ26" s="71">
        <v>0</v>
      </c>
      <c r="CK26" s="58">
        <v>21</v>
      </c>
    </row>
    <row r="27" spans="1:89" ht="16.5" customHeight="1" x14ac:dyDescent="0.3">
      <c r="A27" s="30" t="s">
        <v>88</v>
      </c>
      <c r="B27" s="15">
        <f t="shared" si="4"/>
        <v>0</v>
      </c>
      <c r="C27" s="15">
        <f t="shared" si="5"/>
        <v>2</v>
      </c>
      <c r="D27" s="15">
        <f t="shared" si="6"/>
        <v>1</v>
      </c>
      <c r="E27" s="15">
        <f t="shared" si="7"/>
        <v>0</v>
      </c>
      <c r="F27" s="15">
        <f t="shared" si="8"/>
        <v>1</v>
      </c>
      <c r="G27" s="15">
        <f t="shared" si="9"/>
        <v>0</v>
      </c>
      <c r="H27" s="15">
        <f t="shared" si="10"/>
        <v>0</v>
      </c>
      <c r="I27" s="7">
        <v>23</v>
      </c>
      <c r="K27" s="21">
        <v>23</v>
      </c>
      <c r="L27" s="77" t="s">
        <v>37</v>
      </c>
      <c r="M27" s="77" t="s">
        <v>37</v>
      </c>
      <c r="N27" s="77" t="s">
        <v>39</v>
      </c>
      <c r="O27" s="77" t="s">
        <v>38</v>
      </c>
      <c r="P27" s="77" t="s">
        <v>33</v>
      </c>
      <c r="Q27" s="77" t="s">
        <v>75</v>
      </c>
      <c r="R27" s="37" t="s">
        <v>37</v>
      </c>
      <c r="T27" s="76">
        <f t="shared" si="11"/>
        <v>9</v>
      </c>
      <c r="U27" s="76">
        <f t="shared" si="12"/>
        <v>9</v>
      </c>
      <c r="V27" s="76">
        <f t="shared" si="13"/>
        <v>11</v>
      </c>
      <c r="W27" s="76">
        <f t="shared" si="14"/>
        <v>10</v>
      </c>
      <c r="X27" s="76">
        <f t="shared" si="15"/>
        <v>3</v>
      </c>
      <c r="Y27" s="76">
        <f t="shared" si="16"/>
        <v>6</v>
      </c>
      <c r="Z27" s="76">
        <f t="shared" si="17"/>
        <v>9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79" t="s">
        <v>87</v>
      </c>
      <c r="AK27" s="69">
        <v>0</v>
      </c>
      <c r="AL27" s="130">
        <v>5</v>
      </c>
      <c r="AM27" s="130">
        <v>6</v>
      </c>
      <c r="AN27" s="130">
        <v>2</v>
      </c>
      <c r="AO27" s="130">
        <v>4</v>
      </c>
      <c r="AP27" s="130">
        <v>0</v>
      </c>
      <c r="AQ27" s="71">
        <v>0</v>
      </c>
      <c r="AR27" s="58">
        <v>22</v>
      </c>
      <c r="AT27" s="30" t="s">
        <v>88</v>
      </c>
      <c r="AU27" s="15">
        <f t="shared" si="18"/>
        <v>0</v>
      </c>
      <c r="AV27" s="15">
        <f t="shared" si="19"/>
        <v>1</v>
      </c>
      <c r="AW27" s="15">
        <f t="shared" si="20"/>
        <v>1</v>
      </c>
      <c r="AX27" s="15">
        <f t="shared" si="21"/>
        <v>1</v>
      </c>
      <c r="AY27" s="15">
        <f t="shared" si="22"/>
        <v>0</v>
      </c>
      <c r="AZ27" s="15">
        <f t="shared" si="23"/>
        <v>0</v>
      </c>
      <c r="BA27" s="15">
        <f t="shared" si="24"/>
        <v>0</v>
      </c>
      <c r="BB27" s="7">
        <v>23</v>
      </c>
      <c r="BD27" s="21">
        <v>23</v>
      </c>
      <c r="BE27" s="77" t="s">
        <v>35</v>
      </c>
      <c r="BF27" s="77" t="s">
        <v>40</v>
      </c>
      <c r="BG27" s="77" t="s">
        <v>35</v>
      </c>
      <c r="BH27" s="77" t="s">
        <v>40</v>
      </c>
      <c r="BI27" s="77" t="s">
        <v>35</v>
      </c>
      <c r="BJ27" s="77" t="s">
        <v>35</v>
      </c>
      <c r="BK27" s="37" t="s">
        <v>38</v>
      </c>
      <c r="BM27" s="76">
        <f t="shared" si="25"/>
        <v>5</v>
      </c>
      <c r="BN27" s="76">
        <f t="shared" si="26"/>
        <v>12</v>
      </c>
      <c r="BO27" s="76">
        <f t="shared" si="27"/>
        <v>5</v>
      </c>
      <c r="BP27" s="76">
        <f t="shared" si="28"/>
        <v>12</v>
      </c>
      <c r="BQ27" s="76">
        <f t="shared" si="29"/>
        <v>5</v>
      </c>
      <c r="BR27" s="76">
        <f t="shared" si="30"/>
        <v>5</v>
      </c>
      <c r="BS27" s="76">
        <f t="shared" si="31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79" t="s">
        <v>87</v>
      </c>
      <c r="CD27" s="69">
        <v>0</v>
      </c>
      <c r="CE27" s="130">
        <v>5</v>
      </c>
      <c r="CF27" s="130">
        <v>6</v>
      </c>
      <c r="CG27" s="130">
        <v>2</v>
      </c>
      <c r="CH27" s="130">
        <v>4</v>
      </c>
      <c r="CI27" s="130">
        <v>0</v>
      </c>
      <c r="CJ27" s="71">
        <v>0</v>
      </c>
      <c r="CK27" s="58">
        <v>22</v>
      </c>
    </row>
    <row r="28" spans="1:89" ht="16.5" customHeight="1" thickBot="1" x14ac:dyDescent="0.35">
      <c r="A28" s="30" t="s">
        <v>89</v>
      </c>
      <c r="B28" s="15">
        <f t="shared" si="4"/>
        <v>2</v>
      </c>
      <c r="C28" s="15">
        <f t="shared" si="5"/>
        <v>2</v>
      </c>
      <c r="D28" s="15">
        <f t="shared" si="6"/>
        <v>3</v>
      </c>
      <c r="E28" s="15">
        <f t="shared" si="7"/>
        <v>2</v>
      </c>
      <c r="F28" s="15">
        <f t="shared" si="8"/>
        <v>2</v>
      </c>
      <c r="G28" s="15">
        <f t="shared" si="9"/>
        <v>2</v>
      </c>
      <c r="H28" s="15">
        <f t="shared" si="10"/>
        <v>2</v>
      </c>
      <c r="I28" s="7">
        <v>24</v>
      </c>
      <c r="K28" s="22">
        <v>24</v>
      </c>
      <c r="L28" s="77" t="s">
        <v>37</v>
      </c>
      <c r="M28" s="77" t="s">
        <v>161</v>
      </c>
      <c r="N28" s="77" t="s">
        <v>35</v>
      </c>
      <c r="O28" s="77" t="s">
        <v>25</v>
      </c>
      <c r="P28" s="77" t="s">
        <v>37</v>
      </c>
      <c r="Q28" s="77" t="s">
        <v>34</v>
      </c>
      <c r="R28" s="37" t="s">
        <v>33</v>
      </c>
      <c r="T28" s="76">
        <f t="shared" si="11"/>
        <v>9</v>
      </c>
      <c r="U28" s="76">
        <f t="shared" si="12"/>
        <v>17</v>
      </c>
      <c r="V28" s="76">
        <f t="shared" si="13"/>
        <v>5</v>
      </c>
      <c r="W28" s="76">
        <f t="shared" si="14"/>
        <v>8</v>
      </c>
      <c r="X28" s="76">
        <f t="shared" si="15"/>
        <v>9</v>
      </c>
      <c r="Y28" s="76">
        <f t="shared" si="16"/>
        <v>4</v>
      </c>
      <c r="Z28" s="76">
        <f t="shared" si="17"/>
        <v>3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79" t="s">
        <v>88</v>
      </c>
      <c r="AK28" s="69">
        <v>0</v>
      </c>
      <c r="AL28" s="130">
        <v>4</v>
      </c>
      <c r="AM28" s="130">
        <v>6</v>
      </c>
      <c r="AN28" s="130">
        <v>2</v>
      </c>
      <c r="AO28" s="130">
        <v>4</v>
      </c>
      <c r="AP28" s="130">
        <v>0</v>
      </c>
      <c r="AQ28" s="71">
        <v>0</v>
      </c>
      <c r="AR28" s="58">
        <v>23</v>
      </c>
      <c r="AT28" s="30" t="s">
        <v>89</v>
      </c>
      <c r="AU28" s="15">
        <f t="shared" si="18"/>
        <v>0</v>
      </c>
      <c r="AV28" s="15">
        <f t="shared" si="19"/>
        <v>3</v>
      </c>
      <c r="AW28" s="15">
        <f t="shared" si="20"/>
        <v>0</v>
      </c>
      <c r="AX28" s="15">
        <f t="shared" si="21"/>
        <v>0</v>
      </c>
      <c r="AY28" s="15">
        <f t="shared" si="22"/>
        <v>0</v>
      </c>
      <c r="AZ28" s="15">
        <f t="shared" si="23"/>
        <v>0</v>
      </c>
      <c r="BA28" s="15">
        <f t="shared" si="24"/>
        <v>0</v>
      </c>
      <c r="BB28" s="7">
        <v>24</v>
      </c>
      <c r="BD28" s="22">
        <v>24</v>
      </c>
      <c r="BE28" s="77" t="s">
        <v>35</v>
      </c>
      <c r="BF28" s="77" t="s">
        <v>40</v>
      </c>
      <c r="BG28" s="77" t="s">
        <v>39</v>
      </c>
      <c r="BH28" s="77" t="s">
        <v>75</v>
      </c>
      <c r="BI28" s="77" t="s">
        <v>34</v>
      </c>
      <c r="BJ28" s="77" t="s">
        <v>25</v>
      </c>
      <c r="BK28" s="37" t="s">
        <v>40</v>
      </c>
      <c r="BM28" s="76">
        <f t="shared" si="25"/>
        <v>5</v>
      </c>
      <c r="BN28" s="76">
        <f t="shared" si="26"/>
        <v>12</v>
      </c>
      <c r="BO28" s="76">
        <f t="shared" si="27"/>
        <v>11</v>
      </c>
      <c r="BP28" s="76">
        <f t="shared" si="28"/>
        <v>6</v>
      </c>
      <c r="BQ28" s="76">
        <f t="shared" si="29"/>
        <v>4</v>
      </c>
      <c r="BR28" s="76">
        <f t="shared" si="30"/>
        <v>8</v>
      </c>
      <c r="BS28" s="76">
        <f t="shared" si="31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79" t="s">
        <v>88</v>
      </c>
      <c r="CD28" s="69">
        <v>0</v>
      </c>
      <c r="CE28" s="130">
        <v>4</v>
      </c>
      <c r="CF28" s="130">
        <v>6</v>
      </c>
      <c r="CG28" s="130">
        <v>2</v>
      </c>
      <c r="CH28" s="130">
        <v>4</v>
      </c>
      <c r="CI28" s="130">
        <v>0</v>
      </c>
      <c r="CJ28" s="71">
        <v>0</v>
      </c>
      <c r="CK28" s="58">
        <v>23</v>
      </c>
    </row>
    <row r="29" spans="1:89" ht="16.5" customHeight="1" x14ac:dyDescent="0.3">
      <c r="A29" s="30" t="s">
        <v>90</v>
      </c>
      <c r="B29" s="15">
        <f t="shared" si="4"/>
        <v>0</v>
      </c>
      <c r="C29" s="15">
        <f t="shared" si="5"/>
        <v>1</v>
      </c>
      <c r="D29" s="15">
        <f t="shared" si="6"/>
        <v>1</v>
      </c>
      <c r="E29" s="15">
        <f t="shared" si="7"/>
        <v>1</v>
      </c>
      <c r="F29" s="15">
        <f t="shared" si="8"/>
        <v>1</v>
      </c>
      <c r="G29" s="15">
        <f t="shared" si="9"/>
        <v>0</v>
      </c>
      <c r="H29" s="15">
        <f t="shared" si="10"/>
        <v>0</v>
      </c>
      <c r="I29" s="7">
        <v>25</v>
      </c>
      <c r="K29" s="21">
        <v>25</v>
      </c>
      <c r="L29" s="77" t="s">
        <v>39</v>
      </c>
      <c r="M29" s="77" t="s">
        <v>75</v>
      </c>
      <c r="N29" s="77" t="s">
        <v>35</v>
      </c>
      <c r="O29" s="77" t="s">
        <v>34</v>
      </c>
      <c r="P29" s="77" t="s">
        <v>38</v>
      </c>
      <c r="Q29" s="77" t="s">
        <v>25</v>
      </c>
      <c r="R29" s="37" t="s">
        <v>33</v>
      </c>
      <c r="T29" s="76">
        <f t="shared" si="11"/>
        <v>11</v>
      </c>
      <c r="U29" s="76">
        <f t="shared" si="12"/>
        <v>6</v>
      </c>
      <c r="V29" s="76">
        <f t="shared" si="13"/>
        <v>5</v>
      </c>
      <c r="W29" s="76">
        <f t="shared" si="14"/>
        <v>4</v>
      </c>
      <c r="X29" s="76">
        <f t="shared" si="15"/>
        <v>10</v>
      </c>
      <c r="Y29" s="76">
        <f t="shared" si="16"/>
        <v>8</v>
      </c>
      <c r="Z29" s="76">
        <f t="shared" si="17"/>
        <v>3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32" t="s">
        <v>176</v>
      </c>
      <c r="AK29" s="133">
        <v>0</v>
      </c>
      <c r="AL29" s="134">
        <v>10</v>
      </c>
      <c r="AM29" s="134">
        <v>10</v>
      </c>
      <c r="AN29" s="134">
        <v>10</v>
      </c>
      <c r="AO29" s="134">
        <v>10</v>
      </c>
      <c r="AP29" s="134">
        <v>0</v>
      </c>
      <c r="AQ29" s="135">
        <v>0</v>
      </c>
      <c r="AR29" s="131">
        <v>24</v>
      </c>
      <c r="AT29" s="30" t="s">
        <v>90</v>
      </c>
      <c r="AU29" s="15">
        <f t="shared" si="18"/>
        <v>0</v>
      </c>
      <c r="AV29" s="15">
        <f t="shared" si="19"/>
        <v>1</v>
      </c>
      <c r="AW29" s="15">
        <f t="shared" si="20"/>
        <v>0</v>
      </c>
      <c r="AX29" s="15">
        <f t="shared" si="21"/>
        <v>0</v>
      </c>
      <c r="AY29" s="15">
        <f t="shared" si="22"/>
        <v>0</v>
      </c>
      <c r="AZ29" s="15">
        <f t="shared" si="23"/>
        <v>0</v>
      </c>
      <c r="BA29" s="15">
        <f t="shared" si="24"/>
        <v>0</v>
      </c>
      <c r="BB29" s="7">
        <v>25</v>
      </c>
      <c r="BD29" s="21">
        <v>25</v>
      </c>
      <c r="BE29" s="77" t="s">
        <v>152</v>
      </c>
      <c r="BF29" s="77" t="s">
        <v>152</v>
      </c>
      <c r="BG29" s="77" t="s">
        <v>39</v>
      </c>
      <c r="BH29" s="77" t="s">
        <v>75</v>
      </c>
      <c r="BI29" s="77" t="s">
        <v>40</v>
      </c>
      <c r="BJ29" s="77" t="s">
        <v>75</v>
      </c>
      <c r="BK29" s="37" t="s">
        <v>40</v>
      </c>
      <c r="BM29" s="76">
        <f t="shared" si="25"/>
        <v>7</v>
      </c>
      <c r="BN29" s="76">
        <f t="shared" si="26"/>
        <v>7</v>
      </c>
      <c r="BO29" s="76">
        <f t="shared" si="27"/>
        <v>11</v>
      </c>
      <c r="BP29" s="76">
        <f t="shared" si="28"/>
        <v>6</v>
      </c>
      <c r="BQ29" s="76">
        <f t="shared" si="29"/>
        <v>12</v>
      </c>
      <c r="BR29" s="76">
        <f t="shared" si="30"/>
        <v>6</v>
      </c>
      <c r="BS29" s="76">
        <f t="shared" si="31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32" t="s">
        <v>176</v>
      </c>
      <c r="CD29" s="133">
        <v>0</v>
      </c>
      <c r="CE29" s="134">
        <v>10</v>
      </c>
      <c r="CF29" s="134">
        <v>10</v>
      </c>
      <c r="CG29" s="134">
        <v>10</v>
      </c>
      <c r="CH29" s="134">
        <v>10</v>
      </c>
      <c r="CI29" s="134">
        <v>0</v>
      </c>
      <c r="CJ29" s="135">
        <v>0</v>
      </c>
      <c r="CK29" s="131">
        <v>24</v>
      </c>
    </row>
    <row r="30" spans="1:89" ht="16.5" customHeight="1" thickBot="1" x14ac:dyDescent="0.35">
      <c r="A30" s="85"/>
      <c r="I30" s="18"/>
      <c r="K30" s="22">
        <v>26</v>
      </c>
      <c r="L30" s="77" t="s">
        <v>37</v>
      </c>
      <c r="M30" s="77" t="s">
        <v>75</v>
      </c>
      <c r="N30" s="77" t="s">
        <v>40</v>
      </c>
      <c r="O30" s="77" t="s">
        <v>38</v>
      </c>
      <c r="P30" s="77" t="s">
        <v>37</v>
      </c>
      <c r="Q30" s="77" t="s">
        <v>75</v>
      </c>
      <c r="R30" s="37" t="s">
        <v>33</v>
      </c>
      <c r="T30" s="76">
        <f t="shared" si="11"/>
        <v>9</v>
      </c>
      <c r="U30" s="76">
        <f t="shared" si="12"/>
        <v>6</v>
      </c>
      <c r="V30" s="76">
        <f t="shared" si="13"/>
        <v>12</v>
      </c>
      <c r="W30" s="76">
        <f t="shared" si="14"/>
        <v>10</v>
      </c>
      <c r="X30" s="76">
        <f t="shared" si="15"/>
        <v>9</v>
      </c>
      <c r="Y30" s="76">
        <f t="shared" si="16"/>
        <v>6</v>
      </c>
      <c r="Z30" s="76">
        <f t="shared" si="17"/>
        <v>3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80" t="s">
        <v>187</v>
      </c>
      <c r="AK30" s="72">
        <v>0</v>
      </c>
      <c r="AL30" s="73">
        <v>1</v>
      </c>
      <c r="AM30" s="73">
        <v>1</v>
      </c>
      <c r="AN30" s="73">
        <v>1</v>
      </c>
      <c r="AO30" s="73">
        <v>1</v>
      </c>
      <c r="AP30" s="73">
        <v>0</v>
      </c>
      <c r="AQ30" s="74">
        <v>0</v>
      </c>
      <c r="AR30" s="63">
        <v>25</v>
      </c>
      <c r="AT30" s="87"/>
      <c r="BB30" s="18"/>
      <c r="BD30" s="22">
        <v>26</v>
      </c>
      <c r="BE30" s="77" t="s">
        <v>39</v>
      </c>
      <c r="BF30" s="77" t="s">
        <v>152</v>
      </c>
      <c r="BG30" s="77" t="s">
        <v>152</v>
      </c>
      <c r="BH30" s="77" t="s">
        <v>38</v>
      </c>
      <c r="BI30" s="77" t="s">
        <v>38</v>
      </c>
      <c r="BJ30" s="77" t="s">
        <v>38</v>
      </c>
      <c r="BK30" s="37" t="s">
        <v>40</v>
      </c>
      <c r="BM30" s="76">
        <f t="shared" si="25"/>
        <v>11</v>
      </c>
      <c r="BN30" s="76">
        <f t="shared" si="26"/>
        <v>7</v>
      </c>
      <c r="BO30" s="76">
        <f t="shared" si="27"/>
        <v>7</v>
      </c>
      <c r="BP30" s="76">
        <f t="shared" si="28"/>
        <v>10</v>
      </c>
      <c r="BQ30" s="76">
        <f t="shared" si="29"/>
        <v>10</v>
      </c>
      <c r="BR30" s="76">
        <f t="shared" si="30"/>
        <v>10</v>
      </c>
      <c r="BS30" s="76">
        <f t="shared" si="31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80" t="s">
        <v>187</v>
      </c>
      <c r="CD30" s="72">
        <v>0</v>
      </c>
      <c r="CE30" s="73">
        <v>1</v>
      </c>
      <c r="CF30" s="73">
        <v>1</v>
      </c>
      <c r="CG30" s="73">
        <v>1</v>
      </c>
      <c r="CH30" s="73">
        <v>1</v>
      </c>
      <c r="CI30" s="73">
        <v>0</v>
      </c>
      <c r="CJ30" s="74">
        <v>0</v>
      </c>
      <c r="CK30" s="63">
        <v>25</v>
      </c>
    </row>
    <row r="31" spans="1:89" ht="16.5" customHeight="1" x14ac:dyDescent="0.3">
      <c r="A31" s="95"/>
      <c r="B31" s="95"/>
      <c r="C31" s="127"/>
      <c r="D31" s="127"/>
      <c r="E31" s="127"/>
      <c r="F31" s="127"/>
      <c r="I31" s="18"/>
      <c r="K31" s="21">
        <v>27</v>
      </c>
      <c r="L31" s="77" t="s">
        <v>35</v>
      </c>
      <c r="M31" s="77" t="s">
        <v>97</v>
      </c>
      <c r="N31" s="77" t="s">
        <v>40</v>
      </c>
      <c r="O31" s="77" t="s">
        <v>38</v>
      </c>
      <c r="P31" s="77" t="s">
        <v>32</v>
      </c>
      <c r="Q31" s="77" t="s">
        <v>75</v>
      </c>
      <c r="R31" s="37" t="s">
        <v>37</v>
      </c>
      <c r="T31" s="76">
        <f t="shared" si="11"/>
        <v>5</v>
      </c>
      <c r="U31" s="76">
        <f t="shared" si="12"/>
        <v>14</v>
      </c>
      <c r="V31" s="76">
        <f t="shared" si="13"/>
        <v>12</v>
      </c>
      <c r="W31" s="76">
        <f t="shared" si="14"/>
        <v>10</v>
      </c>
      <c r="X31" s="76">
        <f t="shared" si="15"/>
        <v>2</v>
      </c>
      <c r="Y31" s="76">
        <f t="shared" si="16"/>
        <v>6</v>
      </c>
      <c r="Z31" s="76">
        <f t="shared" si="17"/>
        <v>9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82"/>
      <c r="AK31" s="82"/>
      <c r="AL31" s="82"/>
      <c r="AM31" s="82"/>
      <c r="AN31" s="82"/>
      <c r="AO31" s="82"/>
      <c r="AP31" s="82"/>
      <c r="AQ31" s="82"/>
      <c r="AR31" s="82"/>
      <c r="AT31" s="95"/>
      <c r="AU31" s="95"/>
      <c r="AV31" s="95"/>
      <c r="AW31" s="95"/>
      <c r="AX31" s="95"/>
      <c r="AY31" s="75"/>
      <c r="AZ31" s="75"/>
      <c r="BB31" s="18"/>
      <c r="BD31" s="21">
        <v>27</v>
      </c>
      <c r="BE31" s="77" t="s">
        <v>39</v>
      </c>
      <c r="BF31" s="77" t="s">
        <v>25</v>
      </c>
      <c r="BG31" s="77" t="s">
        <v>34</v>
      </c>
      <c r="BH31" s="77" t="s">
        <v>38</v>
      </c>
      <c r="BI31" s="77" t="s">
        <v>38</v>
      </c>
      <c r="BJ31" s="77" t="s">
        <v>75</v>
      </c>
      <c r="BK31" s="37" t="s">
        <v>40</v>
      </c>
      <c r="BM31" s="76">
        <f t="shared" si="25"/>
        <v>11</v>
      </c>
      <c r="BN31" s="76">
        <f t="shared" si="26"/>
        <v>8</v>
      </c>
      <c r="BO31" s="76">
        <f t="shared" si="27"/>
        <v>4</v>
      </c>
      <c r="BP31" s="76">
        <f t="shared" si="28"/>
        <v>10</v>
      </c>
      <c r="BQ31" s="76">
        <f t="shared" si="29"/>
        <v>10</v>
      </c>
      <c r="BR31" s="76">
        <f t="shared" si="30"/>
        <v>6</v>
      </c>
      <c r="BS31" s="76">
        <f t="shared" si="31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82"/>
      <c r="CD31" s="82"/>
      <c r="CE31" s="82"/>
      <c r="CF31" s="82"/>
      <c r="CG31" s="82"/>
      <c r="CH31" s="82"/>
      <c r="CI31" s="82"/>
      <c r="CJ31" s="82"/>
      <c r="CK31" s="82"/>
    </row>
    <row r="32" spans="1:89" ht="16.5" customHeight="1" thickBot="1" x14ac:dyDescent="0.35">
      <c r="A32" s="7" t="s">
        <v>114</v>
      </c>
      <c r="B32" s="20" t="s">
        <v>12</v>
      </c>
      <c r="C32" s="20" t="s">
        <v>6</v>
      </c>
      <c r="D32" s="20" t="s">
        <v>7</v>
      </c>
      <c r="E32" s="20" t="s">
        <v>8</v>
      </c>
      <c r="F32" s="20" t="s">
        <v>9</v>
      </c>
      <c r="G32" s="20" t="s">
        <v>56</v>
      </c>
      <c r="I32" s="18"/>
      <c r="K32" s="22">
        <v>28</v>
      </c>
      <c r="L32" s="77" t="s">
        <v>40</v>
      </c>
      <c r="M32" s="77" t="s">
        <v>33</v>
      </c>
      <c r="N32" s="77" t="s">
        <v>33</v>
      </c>
      <c r="O32" s="77" t="s">
        <v>38</v>
      </c>
      <c r="P32" s="77" t="s">
        <v>39</v>
      </c>
      <c r="Q32" s="77" t="s">
        <v>75</v>
      </c>
      <c r="R32" s="37" t="s">
        <v>37</v>
      </c>
      <c r="T32" s="76">
        <f t="shared" si="11"/>
        <v>12</v>
      </c>
      <c r="U32" s="76">
        <f t="shared" si="12"/>
        <v>3</v>
      </c>
      <c r="V32" s="76">
        <f t="shared" si="13"/>
        <v>3</v>
      </c>
      <c r="W32" s="76">
        <f t="shared" si="14"/>
        <v>10</v>
      </c>
      <c r="X32" s="76">
        <f t="shared" si="15"/>
        <v>11</v>
      </c>
      <c r="Y32" s="76">
        <f t="shared" si="16"/>
        <v>6</v>
      </c>
      <c r="Z32" s="76">
        <f t="shared" si="17"/>
        <v>9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82"/>
      <c r="AK32" s="245" t="s">
        <v>93</v>
      </c>
      <c r="AL32" s="245"/>
      <c r="AM32" s="245"/>
      <c r="AN32" s="245"/>
      <c r="AO32" s="245"/>
      <c r="AP32" s="245"/>
      <c r="AQ32" s="245"/>
      <c r="AR32" s="245"/>
      <c r="AT32" s="7" t="s">
        <v>114</v>
      </c>
      <c r="AU32" s="20" t="s">
        <v>12</v>
      </c>
      <c r="AV32" s="20" t="s">
        <v>6</v>
      </c>
      <c r="AW32" s="20" t="s">
        <v>7</v>
      </c>
      <c r="AX32" s="20" t="s">
        <v>8</v>
      </c>
      <c r="AY32" s="20" t="s">
        <v>9</v>
      </c>
      <c r="AZ32" s="20" t="s">
        <v>56</v>
      </c>
      <c r="BB32" s="18"/>
      <c r="BD32" s="22">
        <v>28</v>
      </c>
      <c r="BE32" s="77" t="s">
        <v>38</v>
      </c>
      <c r="BF32" s="77" t="s">
        <v>25</v>
      </c>
      <c r="BG32" s="77" t="s">
        <v>193</v>
      </c>
      <c r="BH32" s="77" t="s">
        <v>190</v>
      </c>
      <c r="BI32" s="77" t="s">
        <v>152</v>
      </c>
      <c r="BJ32" s="77" t="s">
        <v>25</v>
      </c>
      <c r="BK32" s="37" t="s">
        <v>39</v>
      </c>
      <c r="BM32" s="76">
        <f t="shared" si="25"/>
        <v>10</v>
      </c>
      <c r="BN32" s="76">
        <f t="shared" si="26"/>
        <v>8</v>
      </c>
      <c r="BO32" s="76">
        <f t="shared" si="27"/>
        <v>16</v>
      </c>
      <c r="BP32" s="76">
        <f t="shared" si="28"/>
        <v>15</v>
      </c>
      <c r="BQ32" s="76">
        <f t="shared" si="29"/>
        <v>7</v>
      </c>
      <c r="BR32" s="76">
        <f t="shared" si="30"/>
        <v>8</v>
      </c>
      <c r="BS32" s="76">
        <f t="shared" si="31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82"/>
      <c r="CD32" s="245" t="s">
        <v>93</v>
      </c>
      <c r="CE32" s="245"/>
      <c r="CF32" s="245"/>
      <c r="CG32" s="245"/>
      <c r="CH32" s="245"/>
      <c r="CI32" s="245"/>
      <c r="CJ32" s="245"/>
      <c r="CK32" s="245"/>
    </row>
    <row r="33" spans="1:89" ht="16.5" customHeight="1" thickBot="1" x14ac:dyDescent="0.35">
      <c r="A33" s="7" t="s">
        <v>99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I33" s="18"/>
      <c r="K33" s="21">
        <v>29</v>
      </c>
      <c r="L33" s="77" t="s">
        <v>40</v>
      </c>
      <c r="M33" s="77" t="s">
        <v>33</v>
      </c>
      <c r="N33" s="77" t="s">
        <v>97</v>
      </c>
      <c r="O33" s="77" t="s">
        <v>75</v>
      </c>
      <c r="P33" s="77" t="s">
        <v>39</v>
      </c>
      <c r="Q33" s="77" t="s">
        <v>40</v>
      </c>
      <c r="R33" s="37" t="s">
        <v>25</v>
      </c>
      <c r="T33" s="76">
        <f t="shared" si="11"/>
        <v>12</v>
      </c>
      <c r="U33" s="76">
        <f t="shared" si="12"/>
        <v>3</v>
      </c>
      <c r="V33" s="76">
        <f t="shared" si="13"/>
        <v>14</v>
      </c>
      <c r="W33" s="76">
        <f t="shared" si="14"/>
        <v>6</v>
      </c>
      <c r="X33" s="76">
        <f t="shared" si="15"/>
        <v>11</v>
      </c>
      <c r="Y33" s="76">
        <f t="shared" si="16"/>
        <v>12</v>
      </c>
      <c r="Z33" s="76">
        <f t="shared" si="17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44" t="s">
        <v>52</v>
      </c>
      <c r="AK33" s="45" t="s">
        <v>12</v>
      </c>
      <c r="AL33" s="45" t="s">
        <v>13</v>
      </c>
      <c r="AM33" s="45" t="s">
        <v>14</v>
      </c>
      <c r="AN33" s="45" t="s">
        <v>15</v>
      </c>
      <c r="AO33" s="45" t="s">
        <v>16</v>
      </c>
      <c r="AP33" s="45" t="s">
        <v>56</v>
      </c>
      <c r="AQ33" s="46" t="s">
        <v>76</v>
      </c>
      <c r="AR33" s="47" t="s">
        <v>3</v>
      </c>
      <c r="AT33" s="7" t="s">
        <v>99</v>
      </c>
      <c r="AU33" s="13">
        <v>0</v>
      </c>
      <c r="AV33" s="13">
        <v>390</v>
      </c>
      <c r="AW33" s="13">
        <v>390</v>
      </c>
      <c r="AX33" s="13">
        <v>185</v>
      </c>
      <c r="AY33" s="13">
        <v>120</v>
      </c>
      <c r="AZ33" s="13">
        <v>0</v>
      </c>
      <c r="BB33" s="18"/>
      <c r="BD33" s="21">
        <v>29</v>
      </c>
      <c r="BE33" s="77" t="s">
        <v>38</v>
      </c>
      <c r="BF33" s="77" t="s">
        <v>25</v>
      </c>
      <c r="BG33" s="77" t="s">
        <v>35</v>
      </c>
      <c r="BH33" s="77" t="s">
        <v>38</v>
      </c>
      <c r="BI33" s="77" t="s">
        <v>152</v>
      </c>
      <c r="BJ33" s="77" t="s">
        <v>38</v>
      </c>
      <c r="BK33" s="37" t="s">
        <v>39</v>
      </c>
      <c r="BM33" s="76">
        <f t="shared" si="25"/>
        <v>10</v>
      </c>
      <c r="BN33" s="76">
        <f t="shared" si="26"/>
        <v>8</v>
      </c>
      <c r="BO33" s="76">
        <f t="shared" si="27"/>
        <v>5</v>
      </c>
      <c r="BP33" s="76">
        <f t="shared" si="28"/>
        <v>10</v>
      </c>
      <c r="BQ33" s="76">
        <f t="shared" si="29"/>
        <v>7</v>
      </c>
      <c r="BR33" s="76">
        <f t="shared" si="30"/>
        <v>10</v>
      </c>
      <c r="BS33" s="76">
        <f t="shared" si="31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44" t="s">
        <v>52</v>
      </c>
      <c r="CD33" s="45" t="s">
        <v>12</v>
      </c>
      <c r="CE33" s="45" t="s">
        <v>13</v>
      </c>
      <c r="CF33" s="45" t="s">
        <v>14</v>
      </c>
      <c r="CG33" s="45" t="s">
        <v>15</v>
      </c>
      <c r="CH33" s="45" t="s">
        <v>16</v>
      </c>
      <c r="CI33" s="45" t="s">
        <v>56</v>
      </c>
      <c r="CJ33" s="46" t="s">
        <v>76</v>
      </c>
      <c r="CK33" s="47" t="s">
        <v>3</v>
      </c>
    </row>
    <row r="34" spans="1:89" ht="16.5" customHeight="1" x14ac:dyDescent="0.3">
      <c r="A34" s="7" t="s">
        <v>102</v>
      </c>
      <c r="B34" s="13">
        <v>0</v>
      </c>
      <c r="C34" s="13">
        <v>390</v>
      </c>
      <c r="D34" s="13">
        <v>390</v>
      </c>
      <c r="E34" s="13">
        <v>185</v>
      </c>
      <c r="F34" s="13">
        <v>120</v>
      </c>
      <c r="G34" s="13">
        <v>0</v>
      </c>
      <c r="K34" s="22">
        <v>30</v>
      </c>
      <c r="L34" s="77" t="s">
        <v>39</v>
      </c>
      <c r="M34" s="77" t="s">
        <v>34</v>
      </c>
      <c r="N34" s="77" t="s">
        <v>190</v>
      </c>
      <c r="O34" s="77" t="s">
        <v>75</v>
      </c>
      <c r="P34" s="77" t="s">
        <v>33</v>
      </c>
      <c r="Q34" s="77" t="s">
        <v>75</v>
      </c>
      <c r="R34" s="77" t="s">
        <v>25</v>
      </c>
      <c r="T34" s="76">
        <f t="shared" si="11"/>
        <v>11</v>
      </c>
      <c r="U34" s="76">
        <f t="shared" si="12"/>
        <v>4</v>
      </c>
      <c r="V34" s="76">
        <f t="shared" si="13"/>
        <v>15</v>
      </c>
      <c r="W34" s="76">
        <f t="shared" si="14"/>
        <v>6</v>
      </c>
      <c r="X34" s="76">
        <f t="shared" si="15"/>
        <v>3</v>
      </c>
      <c r="Y34" s="76">
        <f t="shared" si="16"/>
        <v>6</v>
      </c>
      <c r="Z34" s="76">
        <f t="shared" si="17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48" t="s">
        <v>78</v>
      </c>
      <c r="AK34" s="49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1">
        <v>0</v>
      </c>
      <c r="AR34" s="52">
        <v>0</v>
      </c>
      <c r="AT34" s="7" t="s">
        <v>102</v>
      </c>
      <c r="AU34" s="13">
        <v>0</v>
      </c>
      <c r="AV34" s="13">
        <v>390</v>
      </c>
      <c r="AW34" s="13">
        <v>390</v>
      </c>
      <c r="AX34" s="13">
        <v>185</v>
      </c>
      <c r="AY34" s="13">
        <v>120</v>
      </c>
      <c r="AZ34" s="13">
        <v>0</v>
      </c>
      <c r="BD34" s="22">
        <v>30</v>
      </c>
      <c r="BE34" s="77" t="s">
        <v>35</v>
      </c>
      <c r="BF34" s="77" t="s">
        <v>39</v>
      </c>
      <c r="BG34" s="77" t="s">
        <v>39</v>
      </c>
      <c r="BH34" s="77" t="s">
        <v>37</v>
      </c>
      <c r="BI34" s="77" t="s">
        <v>37</v>
      </c>
      <c r="BJ34" s="77" t="s">
        <v>38</v>
      </c>
      <c r="BK34" s="77" t="s">
        <v>39</v>
      </c>
      <c r="BM34" s="76">
        <f t="shared" si="25"/>
        <v>5</v>
      </c>
      <c r="BN34" s="76">
        <f t="shared" si="26"/>
        <v>11</v>
      </c>
      <c r="BO34" s="76">
        <f t="shared" si="27"/>
        <v>11</v>
      </c>
      <c r="BP34" s="76">
        <f t="shared" si="28"/>
        <v>9</v>
      </c>
      <c r="BQ34" s="76">
        <f t="shared" si="29"/>
        <v>9</v>
      </c>
      <c r="BR34" s="76">
        <f t="shared" si="30"/>
        <v>10</v>
      </c>
      <c r="BS34" s="76">
        <f t="shared" si="31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48" t="s">
        <v>78</v>
      </c>
      <c r="CD34" s="49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1">
        <v>0</v>
      </c>
      <c r="CK34" s="52">
        <v>0</v>
      </c>
    </row>
    <row r="35" spans="1:89" ht="16.5" customHeight="1" x14ac:dyDescent="0.3">
      <c r="A35" s="7" t="s">
        <v>100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77" t="s">
        <v>37</v>
      </c>
      <c r="M35" s="77" t="s">
        <v>34</v>
      </c>
      <c r="N35" s="77" t="s">
        <v>34</v>
      </c>
      <c r="O35" s="77" t="s">
        <v>25</v>
      </c>
      <c r="P35" s="77" t="s">
        <v>152</v>
      </c>
      <c r="Q35" s="77" t="s">
        <v>75</v>
      </c>
      <c r="R35" s="37" t="s">
        <v>32</v>
      </c>
      <c r="T35" s="76">
        <f t="shared" si="11"/>
        <v>9</v>
      </c>
      <c r="U35" s="76">
        <f t="shared" si="12"/>
        <v>4</v>
      </c>
      <c r="V35" s="76">
        <f t="shared" si="13"/>
        <v>4</v>
      </c>
      <c r="W35" s="76">
        <f t="shared" si="14"/>
        <v>8</v>
      </c>
      <c r="X35" s="76">
        <f t="shared" si="15"/>
        <v>7</v>
      </c>
      <c r="Y35" s="76">
        <f t="shared" si="16"/>
        <v>6</v>
      </c>
      <c r="Z35" s="76">
        <f t="shared" si="17"/>
        <v>2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53" t="s">
        <v>19</v>
      </c>
      <c r="AK35" s="69">
        <v>0</v>
      </c>
      <c r="AL35" s="130">
        <v>0</v>
      </c>
      <c r="AM35" s="130">
        <v>0</v>
      </c>
      <c r="AN35" s="130">
        <v>0</v>
      </c>
      <c r="AO35" s="130">
        <v>0</v>
      </c>
      <c r="AP35" s="130">
        <v>0</v>
      </c>
      <c r="AQ35" s="71">
        <v>0</v>
      </c>
      <c r="AR35" s="57">
        <v>1</v>
      </c>
      <c r="AT35" s="7" t="s">
        <v>100</v>
      </c>
      <c r="AU35" s="13">
        <v>0</v>
      </c>
      <c r="AV35" s="13">
        <v>2035</v>
      </c>
      <c r="AW35" s="13">
        <v>2010</v>
      </c>
      <c r="AX35" s="13">
        <v>1125</v>
      </c>
      <c r="AY35" s="13">
        <v>860</v>
      </c>
      <c r="AZ35" s="13">
        <v>0</v>
      </c>
      <c r="BD35" s="21">
        <v>31</v>
      </c>
      <c r="BE35" s="77" t="s">
        <v>152</v>
      </c>
      <c r="BF35" s="77" t="s">
        <v>38</v>
      </c>
      <c r="BG35" s="77" t="s">
        <v>39</v>
      </c>
      <c r="BH35" s="77" t="s">
        <v>189</v>
      </c>
      <c r="BI35" s="77" t="s">
        <v>40</v>
      </c>
      <c r="BJ35" s="77" t="s">
        <v>40</v>
      </c>
      <c r="BK35" s="37" t="s">
        <v>39</v>
      </c>
      <c r="BM35" s="76">
        <f t="shared" si="25"/>
        <v>7</v>
      </c>
      <c r="BN35" s="76">
        <f t="shared" si="26"/>
        <v>10</v>
      </c>
      <c r="BO35" s="76">
        <f t="shared" si="27"/>
        <v>11</v>
      </c>
      <c r="BP35" s="76">
        <f t="shared" si="28"/>
        <v>20</v>
      </c>
      <c r="BQ35" s="76">
        <f t="shared" si="29"/>
        <v>12</v>
      </c>
      <c r="BR35" s="76">
        <f t="shared" si="30"/>
        <v>12</v>
      </c>
      <c r="BS35" s="76">
        <f t="shared" si="31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53" t="s">
        <v>19</v>
      </c>
      <c r="CD35" s="69">
        <v>0</v>
      </c>
      <c r="CE35" s="130">
        <v>0</v>
      </c>
      <c r="CF35" s="130">
        <v>0</v>
      </c>
      <c r="CG35" s="130">
        <v>0</v>
      </c>
      <c r="CH35" s="130">
        <v>0</v>
      </c>
      <c r="CI35" s="130">
        <v>0</v>
      </c>
      <c r="CJ35" s="71">
        <v>0</v>
      </c>
      <c r="CK35" s="57">
        <v>1</v>
      </c>
    </row>
    <row r="36" spans="1:89" ht="16.5" customHeight="1" x14ac:dyDescent="0.3">
      <c r="A36" s="7" t="s">
        <v>103</v>
      </c>
      <c r="B36" s="13">
        <v>0</v>
      </c>
      <c r="C36" s="13">
        <v>2035</v>
      </c>
      <c r="D36" s="13">
        <v>2010</v>
      </c>
      <c r="E36" s="13">
        <v>1125</v>
      </c>
      <c r="F36" s="13">
        <v>860</v>
      </c>
      <c r="G36" s="13">
        <v>0</v>
      </c>
      <c r="K36" s="22">
        <v>32</v>
      </c>
      <c r="L36" s="77" t="s">
        <v>37</v>
      </c>
      <c r="M36" s="77" t="s">
        <v>25</v>
      </c>
      <c r="N36" s="77" t="s">
        <v>25</v>
      </c>
      <c r="O36" s="77" t="s">
        <v>33</v>
      </c>
      <c r="P36" s="77" t="s">
        <v>152</v>
      </c>
      <c r="Q36" s="77" t="s">
        <v>38</v>
      </c>
      <c r="R36" s="37" t="s">
        <v>32</v>
      </c>
      <c r="T36" s="76">
        <f t="shared" si="11"/>
        <v>9</v>
      </c>
      <c r="U36" s="76">
        <f t="shared" si="12"/>
        <v>8</v>
      </c>
      <c r="V36" s="76">
        <f t="shared" si="13"/>
        <v>8</v>
      </c>
      <c r="W36" s="76">
        <f t="shared" si="14"/>
        <v>3</v>
      </c>
      <c r="X36" s="76">
        <f t="shared" si="15"/>
        <v>7</v>
      </c>
      <c r="Y36" s="76">
        <f t="shared" si="16"/>
        <v>10</v>
      </c>
      <c r="Z36" s="76">
        <f t="shared" si="17"/>
        <v>2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53" t="s">
        <v>20</v>
      </c>
      <c r="AK36" s="69">
        <v>8</v>
      </c>
      <c r="AL36" s="130">
        <v>8</v>
      </c>
      <c r="AM36" s="130">
        <v>8</v>
      </c>
      <c r="AN36" s="130">
        <v>8</v>
      </c>
      <c r="AO36" s="130">
        <v>8</v>
      </c>
      <c r="AP36" s="130">
        <v>8</v>
      </c>
      <c r="AQ36" s="71">
        <v>8</v>
      </c>
      <c r="AR36" s="57">
        <v>2</v>
      </c>
      <c r="AT36" s="7" t="s">
        <v>103</v>
      </c>
      <c r="AU36" s="13">
        <v>0</v>
      </c>
      <c r="AV36" s="13">
        <v>2035</v>
      </c>
      <c r="AW36" s="13">
        <v>2010</v>
      </c>
      <c r="AX36" s="13">
        <v>1125</v>
      </c>
      <c r="AY36" s="13">
        <v>860</v>
      </c>
      <c r="AZ36" s="13">
        <v>0</v>
      </c>
      <c r="BD36" s="22">
        <v>32</v>
      </c>
      <c r="BE36" s="77" t="s">
        <v>152</v>
      </c>
      <c r="BF36" s="77" t="s">
        <v>38</v>
      </c>
      <c r="BG36" s="77" t="s">
        <v>25</v>
      </c>
      <c r="BH36" s="77" t="s">
        <v>25</v>
      </c>
      <c r="BI36" s="77" t="s">
        <v>40</v>
      </c>
      <c r="BJ36" s="77" t="s">
        <v>39</v>
      </c>
      <c r="BK36" s="37" t="s">
        <v>75</v>
      </c>
      <c r="BM36" s="76">
        <f t="shared" si="25"/>
        <v>7</v>
      </c>
      <c r="BN36" s="76">
        <f t="shared" si="26"/>
        <v>10</v>
      </c>
      <c r="BO36" s="76">
        <f t="shared" si="27"/>
        <v>8</v>
      </c>
      <c r="BP36" s="76">
        <f t="shared" si="28"/>
        <v>8</v>
      </c>
      <c r="BQ36" s="76">
        <f t="shared" si="29"/>
        <v>12</v>
      </c>
      <c r="BR36" s="76">
        <f t="shared" si="30"/>
        <v>11</v>
      </c>
      <c r="BS36" s="76">
        <f t="shared" si="31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53" t="s">
        <v>20</v>
      </c>
      <c r="CD36" s="54">
        <v>1</v>
      </c>
      <c r="CE36" s="55">
        <v>1</v>
      </c>
      <c r="CF36" s="55">
        <v>1</v>
      </c>
      <c r="CG36" s="55">
        <v>1</v>
      </c>
      <c r="CH36" s="55">
        <v>1</v>
      </c>
      <c r="CI36" s="55">
        <v>1</v>
      </c>
      <c r="CJ36" s="56">
        <v>0</v>
      </c>
      <c r="CK36" s="57">
        <v>2</v>
      </c>
    </row>
    <row r="37" spans="1:89" ht="16.5" customHeight="1" x14ac:dyDescent="0.3">
      <c r="A37" s="7" t="s">
        <v>101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77" t="s">
        <v>152</v>
      </c>
      <c r="M37" s="77" t="s">
        <v>25</v>
      </c>
      <c r="N37" s="77" t="s">
        <v>39</v>
      </c>
      <c r="O37" s="77" t="s">
        <v>33</v>
      </c>
      <c r="P37" s="77" t="s">
        <v>75</v>
      </c>
      <c r="Q37" s="77" t="s">
        <v>152</v>
      </c>
      <c r="R37" s="37" t="s">
        <v>33</v>
      </c>
      <c r="T37" s="76">
        <f t="shared" si="11"/>
        <v>7</v>
      </c>
      <c r="U37" s="76">
        <f t="shared" si="12"/>
        <v>8</v>
      </c>
      <c r="V37" s="76">
        <f t="shared" si="13"/>
        <v>11</v>
      </c>
      <c r="W37" s="76">
        <f t="shared" si="14"/>
        <v>3</v>
      </c>
      <c r="X37" s="76">
        <f t="shared" si="15"/>
        <v>6</v>
      </c>
      <c r="Y37" s="76">
        <f t="shared" si="16"/>
        <v>7</v>
      </c>
      <c r="Z37" s="76">
        <f t="shared" si="17"/>
        <v>3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53" t="s">
        <v>21</v>
      </c>
      <c r="AK37" s="69">
        <v>10</v>
      </c>
      <c r="AL37" s="130">
        <v>13</v>
      </c>
      <c r="AM37" s="130">
        <v>10</v>
      </c>
      <c r="AN37" s="130">
        <v>5</v>
      </c>
      <c r="AO37" s="130">
        <v>20</v>
      </c>
      <c r="AP37" s="130">
        <v>5</v>
      </c>
      <c r="AQ37" s="71">
        <v>10</v>
      </c>
      <c r="AR37" s="57">
        <v>3</v>
      </c>
      <c r="AT37" s="7" t="s">
        <v>101</v>
      </c>
      <c r="AU37" s="13">
        <v>0</v>
      </c>
      <c r="AV37" s="13">
        <v>290</v>
      </c>
      <c r="AW37" s="13">
        <v>283</v>
      </c>
      <c r="AX37" s="13">
        <v>803</v>
      </c>
      <c r="AY37" s="13">
        <v>520</v>
      </c>
      <c r="AZ37" s="13">
        <v>0</v>
      </c>
      <c r="BD37" s="21">
        <v>33</v>
      </c>
      <c r="BE37" s="77" t="s">
        <v>39</v>
      </c>
      <c r="BF37" s="77" t="s">
        <v>38</v>
      </c>
      <c r="BG37" s="77" t="s">
        <v>39</v>
      </c>
      <c r="BH37" s="77" t="s">
        <v>38</v>
      </c>
      <c r="BI37" s="77" t="s">
        <v>37</v>
      </c>
      <c r="BJ37" s="77" t="s">
        <v>25</v>
      </c>
      <c r="BK37" s="37" t="s">
        <v>75</v>
      </c>
      <c r="BM37" s="76">
        <f t="shared" si="25"/>
        <v>11</v>
      </c>
      <c r="BN37" s="76">
        <f t="shared" si="26"/>
        <v>10</v>
      </c>
      <c r="BO37" s="76">
        <f t="shared" si="27"/>
        <v>11</v>
      </c>
      <c r="BP37" s="76">
        <f t="shared" si="28"/>
        <v>10</v>
      </c>
      <c r="BQ37" s="76">
        <f t="shared" si="29"/>
        <v>9</v>
      </c>
      <c r="BR37" s="76">
        <f t="shared" si="30"/>
        <v>8</v>
      </c>
      <c r="BS37" s="76">
        <f t="shared" si="31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53" t="s">
        <v>21</v>
      </c>
      <c r="CD37" s="54">
        <v>1</v>
      </c>
      <c r="CE37" s="55">
        <v>70</v>
      </c>
      <c r="CF37" s="55">
        <v>1</v>
      </c>
      <c r="CG37" s="55">
        <v>70</v>
      </c>
      <c r="CH37" s="55">
        <v>1</v>
      </c>
      <c r="CI37" s="55">
        <v>1</v>
      </c>
      <c r="CJ37" s="56">
        <v>0</v>
      </c>
      <c r="CK37" s="57">
        <v>3</v>
      </c>
    </row>
    <row r="38" spans="1:89" ht="16.5" customHeight="1" x14ac:dyDescent="0.3">
      <c r="A38" s="7" t="s">
        <v>104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77" t="s">
        <v>40</v>
      </c>
      <c r="M38" s="77" t="s">
        <v>75</v>
      </c>
      <c r="N38" s="77" t="s">
        <v>152</v>
      </c>
      <c r="O38" s="77" t="s">
        <v>75</v>
      </c>
      <c r="P38" s="77" t="s">
        <v>35</v>
      </c>
      <c r="Q38" s="77" t="s">
        <v>40</v>
      </c>
      <c r="R38" s="37" t="s">
        <v>33</v>
      </c>
      <c r="T38" s="76">
        <f t="shared" si="11"/>
        <v>12</v>
      </c>
      <c r="U38" s="76">
        <f t="shared" si="12"/>
        <v>6</v>
      </c>
      <c r="V38" s="76">
        <f t="shared" si="13"/>
        <v>7</v>
      </c>
      <c r="W38" s="76">
        <f t="shared" si="14"/>
        <v>6</v>
      </c>
      <c r="X38" s="76">
        <f t="shared" si="15"/>
        <v>5</v>
      </c>
      <c r="Y38" s="76">
        <f t="shared" si="16"/>
        <v>12</v>
      </c>
      <c r="Z38" s="76">
        <f t="shared" si="17"/>
        <v>3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53" t="s">
        <v>17</v>
      </c>
      <c r="AK38" s="69">
        <v>15</v>
      </c>
      <c r="AL38" s="130">
        <v>10</v>
      </c>
      <c r="AM38" s="130">
        <v>15</v>
      </c>
      <c r="AN38" s="130">
        <v>5</v>
      </c>
      <c r="AO38" s="130">
        <v>18</v>
      </c>
      <c r="AP38" s="130">
        <v>20</v>
      </c>
      <c r="AQ38" s="71">
        <v>10</v>
      </c>
      <c r="AR38" s="57">
        <v>4</v>
      </c>
      <c r="AT38" s="7" t="s">
        <v>104</v>
      </c>
      <c r="AU38" s="13">
        <v>0</v>
      </c>
      <c r="AV38" s="13">
        <v>290</v>
      </c>
      <c r="AW38" s="13">
        <v>283</v>
      </c>
      <c r="AX38" s="13">
        <v>803</v>
      </c>
      <c r="AY38" s="13">
        <v>520</v>
      </c>
      <c r="AZ38" s="13">
        <v>0</v>
      </c>
      <c r="BD38" s="22">
        <v>34</v>
      </c>
      <c r="BE38" s="77" t="s">
        <v>37</v>
      </c>
      <c r="BF38" s="77" t="s">
        <v>75</v>
      </c>
      <c r="BG38" s="77" t="s">
        <v>35</v>
      </c>
      <c r="BH38" s="77" t="s">
        <v>40</v>
      </c>
      <c r="BI38" s="77" t="s">
        <v>37</v>
      </c>
      <c r="BJ38" s="77" t="s">
        <v>25</v>
      </c>
      <c r="BK38" s="37" t="s">
        <v>75</v>
      </c>
      <c r="BM38" s="76">
        <f t="shared" si="25"/>
        <v>9</v>
      </c>
      <c r="BN38" s="76">
        <f t="shared" si="26"/>
        <v>6</v>
      </c>
      <c r="BO38" s="76">
        <f t="shared" si="27"/>
        <v>5</v>
      </c>
      <c r="BP38" s="76">
        <f t="shared" si="28"/>
        <v>12</v>
      </c>
      <c r="BQ38" s="76">
        <f t="shared" si="29"/>
        <v>9</v>
      </c>
      <c r="BR38" s="76">
        <f t="shared" si="30"/>
        <v>8</v>
      </c>
      <c r="BS38" s="76">
        <f t="shared" si="31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53" t="s">
        <v>17</v>
      </c>
      <c r="CD38" s="54">
        <v>1</v>
      </c>
      <c r="CE38" s="55">
        <v>1</v>
      </c>
      <c r="CF38" s="55">
        <v>5</v>
      </c>
      <c r="CG38" s="55">
        <v>1</v>
      </c>
      <c r="CH38" s="55">
        <v>1</v>
      </c>
      <c r="CI38" s="55">
        <v>70</v>
      </c>
      <c r="CJ38" s="56">
        <v>1</v>
      </c>
      <c r="CK38" s="57">
        <v>4</v>
      </c>
    </row>
    <row r="39" spans="1:89" ht="16.5" customHeight="1" x14ac:dyDescent="0.3">
      <c r="A39" s="7" t="s">
        <v>105</v>
      </c>
      <c r="B39" s="13">
        <v>0</v>
      </c>
      <c r="C39" s="13">
        <v>290</v>
      </c>
      <c r="D39" s="13">
        <v>283</v>
      </c>
      <c r="E39" s="13">
        <v>803</v>
      </c>
      <c r="F39" s="13">
        <v>520</v>
      </c>
      <c r="G39" s="13">
        <v>0</v>
      </c>
      <c r="K39" s="21">
        <v>35</v>
      </c>
      <c r="L39" s="77" t="s">
        <v>40</v>
      </c>
      <c r="M39" s="77" t="s">
        <v>40</v>
      </c>
      <c r="N39" s="77" t="s">
        <v>37</v>
      </c>
      <c r="O39" s="77" t="s">
        <v>25</v>
      </c>
      <c r="P39" s="77" t="s">
        <v>97</v>
      </c>
      <c r="Q39" s="77" t="s">
        <v>40</v>
      </c>
      <c r="R39" s="37" t="s">
        <v>40</v>
      </c>
      <c r="T39" s="76">
        <f t="shared" si="11"/>
        <v>12</v>
      </c>
      <c r="U39" s="76">
        <f t="shared" si="12"/>
        <v>12</v>
      </c>
      <c r="V39" s="76">
        <f t="shared" si="13"/>
        <v>9</v>
      </c>
      <c r="W39" s="76">
        <f t="shared" si="14"/>
        <v>8</v>
      </c>
      <c r="X39" s="76">
        <f t="shared" si="15"/>
        <v>14</v>
      </c>
      <c r="Y39" s="76">
        <f t="shared" si="16"/>
        <v>12</v>
      </c>
      <c r="Z39" s="76">
        <f t="shared" si="17"/>
        <v>12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53" t="s">
        <v>18</v>
      </c>
      <c r="AK39" s="69">
        <v>10</v>
      </c>
      <c r="AL39" s="130">
        <v>20</v>
      </c>
      <c r="AM39" s="130">
        <v>20</v>
      </c>
      <c r="AN39" s="130">
        <v>20</v>
      </c>
      <c r="AO39" s="130">
        <v>10</v>
      </c>
      <c r="AP39" s="130">
        <v>20</v>
      </c>
      <c r="AQ39" s="71">
        <v>10</v>
      </c>
      <c r="AR39" s="57">
        <v>5</v>
      </c>
      <c r="AT39" s="7" t="s">
        <v>105</v>
      </c>
      <c r="AU39" s="13">
        <v>0</v>
      </c>
      <c r="AV39" s="13">
        <v>290</v>
      </c>
      <c r="AW39" s="13">
        <v>283</v>
      </c>
      <c r="AX39" s="13">
        <v>803</v>
      </c>
      <c r="AY39" s="13">
        <v>520</v>
      </c>
      <c r="AZ39" s="13">
        <v>0</v>
      </c>
      <c r="BD39" s="21">
        <v>35</v>
      </c>
      <c r="BE39" s="77" t="s">
        <v>75</v>
      </c>
      <c r="BF39" s="77" t="s">
        <v>189</v>
      </c>
      <c r="BG39" s="77" t="s">
        <v>35</v>
      </c>
      <c r="BH39" s="77" t="s">
        <v>75</v>
      </c>
      <c r="BI39" s="77" t="s">
        <v>152</v>
      </c>
      <c r="BJ39" s="77" t="s">
        <v>25</v>
      </c>
      <c r="BK39" s="37" t="s">
        <v>75</v>
      </c>
      <c r="BM39" s="76">
        <f t="shared" si="25"/>
        <v>6</v>
      </c>
      <c r="BN39" s="76">
        <f t="shared" si="26"/>
        <v>20</v>
      </c>
      <c r="BO39" s="76">
        <f t="shared" si="27"/>
        <v>5</v>
      </c>
      <c r="BP39" s="76">
        <f t="shared" si="28"/>
        <v>6</v>
      </c>
      <c r="BQ39" s="76">
        <f t="shared" si="29"/>
        <v>7</v>
      </c>
      <c r="BR39" s="76">
        <f t="shared" si="30"/>
        <v>8</v>
      </c>
      <c r="BS39" s="76">
        <f t="shared" si="31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53" t="s">
        <v>18</v>
      </c>
      <c r="CD39" s="54">
        <v>1</v>
      </c>
      <c r="CE39" s="55">
        <v>70</v>
      </c>
      <c r="CF39" s="55">
        <v>1</v>
      </c>
      <c r="CG39" s="55">
        <v>1</v>
      </c>
      <c r="CH39" s="55">
        <v>1</v>
      </c>
      <c r="CI39" s="55">
        <v>70</v>
      </c>
      <c r="CJ39" s="56">
        <v>1</v>
      </c>
      <c r="CK39" s="57">
        <v>5</v>
      </c>
    </row>
    <row r="40" spans="1:89" ht="16.5" customHeight="1" x14ac:dyDescent="0.3">
      <c r="A40" s="7" t="s">
        <v>106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30" t="s">
        <v>35</v>
      </c>
      <c r="M40" s="30" t="s">
        <v>40</v>
      </c>
      <c r="N40" s="30" t="s">
        <v>34</v>
      </c>
      <c r="O40" s="30" t="s">
        <v>25</v>
      </c>
      <c r="P40" s="30" t="s">
        <v>39</v>
      </c>
      <c r="Q40" s="30" t="s">
        <v>40</v>
      </c>
      <c r="R40" s="30" t="s">
        <v>34</v>
      </c>
      <c r="T40" s="76">
        <f t="shared" si="11"/>
        <v>5</v>
      </c>
      <c r="U40" s="76">
        <f t="shared" si="12"/>
        <v>12</v>
      </c>
      <c r="V40" s="76">
        <f t="shared" si="13"/>
        <v>4</v>
      </c>
      <c r="W40" s="76">
        <f t="shared" si="14"/>
        <v>8</v>
      </c>
      <c r="X40" s="76">
        <f t="shared" si="15"/>
        <v>11</v>
      </c>
      <c r="Y40" s="76">
        <f t="shared" si="16"/>
        <v>12</v>
      </c>
      <c r="Z40" s="76">
        <f t="shared" si="17"/>
        <v>4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53" t="s">
        <v>74</v>
      </c>
      <c r="AK40" s="69">
        <v>50</v>
      </c>
      <c r="AL40" s="130">
        <v>50</v>
      </c>
      <c r="AM40" s="130">
        <v>50</v>
      </c>
      <c r="AN40" s="130">
        <v>50</v>
      </c>
      <c r="AO40" s="130">
        <v>50</v>
      </c>
      <c r="AP40" s="130">
        <v>50</v>
      </c>
      <c r="AQ40" s="71">
        <v>10</v>
      </c>
      <c r="AR40" s="57">
        <v>6</v>
      </c>
      <c r="AT40" s="7" t="s">
        <v>106</v>
      </c>
      <c r="AU40" s="13">
        <v>0</v>
      </c>
      <c r="AV40" s="13">
        <v>880</v>
      </c>
      <c r="AW40" s="13">
        <v>830</v>
      </c>
      <c r="AX40" s="13">
        <v>850</v>
      </c>
      <c r="AY40" s="13">
        <v>1250</v>
      </c>
      <c r="AZ40" s="13">
        <v>0</v>
      </c>
      <c r="BD40" s="22">
        <v>36</v>
      </c>
      <c r="BE40" s="30" t="s">
        <v>40</v>
      </c>
      <c r="BF40" s="30" t="s">
        <v>40</v>
      </c>
      <c r="BG40" s="30" t="s">
        <v>39</v>
      </c>
      <c r="BH40" s="30" t="s">
        <v>75</v>
      </c>
      <c r="BI40" s="30" t="s">
        <v>35</v>
      </c>
      <c r="BJ40" s="30" t="s">
        <v>37</v>
      </c>
      <c r="BK40" s="30" t="s">
        <v>152</v>
      </c>
      <c r="BM40" s="76">
        <f t="shared" si="25"/>
        <v>12</v>
      </c>
      <c r="BN40" s="76">
        <f t="shared" si="26"/>
        <v>12</v>
      </c>
      <c r="BO40" s="76">
        <f t="shared" si="27"/>
        <v>11</v>
      </c>
      <c r="BP40" s="76">
        <f t="shared" si="28"/>
        <v>6</v>
      </c>
      <c r="BQ40" s="76">
        <f t="shared" si="29"/>
        <v>5</v>
      </c>
      <c r="BR40" s="76">
        <f t="shared" si="30"/>
        <v>9</v>
      </c>
      <c r="BS40" s="76">
        <f t="shared" si="31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53" t="s">
        <v>74</v>
      </c>
      <c r="CD40" s="54">
        <v>5</v>
      </c>
      <c r="CE40" s="55">
        <v>1</v>
      </c>
      <c r="CF40" s="55">
        <v>70</v>
      </c>
      <c r="CG40" s="55">
        <v>1</v>
      </c>
      <c r="CH40" s="55">
        <v>70</v>
      </c>
      <c r="CI40" s="55">
        <v>1</v>
      </c>
      <c r="CJ40" s="56">
        <v>1</v>
      </c>
      <c r="CK40" s="57">
        <v>6</v>
      </c>
    </row>
    <row r="41" spans="1:89" ht="16.5" customHeight="1" x14ac:dyDescent="0.3">
      <c r="A41" s="7" t="s">
        <v>107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77" t="s">
        <v>34</v>
      </c>
      <c r="M41" s="77" t="s">
        <v>188</v>
      </c>
      <c r="N41" s="77" t="s">
        <v>34</v>
      </c>
      <c r="O41" s="77" t="s">
        <v>38</v>
      </c>
      <c r="P41" s="77" t="s">
        <v>39</v>
      </c>
      <c r="Q41" s="77" t="s">
        <v>75</v>
      </c>
      <c r="R41" s="37" t="s">
        <v>34</v>
      </c>
      <c r="T41" s="76">
        <f t="shared" si="11"/>
        <v>4</v>
      </c>
      <c r="U41" s="76">
        <f t="shared" si="12"/>
        <v>23</v>
      </c>
      <c r="V41" s="76">
        <f t="shared" si="13"/>
        <v>4</v>
      </c>
      <c r="W41" s="76">
        <f t="shared" si="14"/>
        <v>10</v>
      </c>
      <c r="X41" s="76">
        <f t="shared" si="15"/>
        <v>11</v>
      </c>
      <c r="Y41" s="76">
        <f t="shared" si="16"/>
        <v>6</v>
      </c>
      <c r="Z41" s="76">
        <f t="shared" si="17"/>
        <v>4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53" t="s">
        <v>151</v>
      </c>
      <c r="AK41" s="69">
        <v>50</v>
      </c>
      <c r="AL41" s="130">
        <v>50</v>
      </c>
      <c r="AM41" s="130">
        <v>50</v>
      </c>
      <c r="AN41" s="130">
        <v>50</v>
      </c>
      <c r="AO41" s="130">
        <v>50</v>
      </c>
      <c r="AP41" s="130">
        <v>50</v>
      </c>
      <c r="AQ41" s="71">
        <v>10</v>
      </c>
      <c r="AR41" s="57">
        <v>7</v>
      </c>
      <c r="AT41" s="7" t="s">
        <v>107</v>
      </c>
      <c r="AU41" s="13">
        <v>0</v>
      </c>
      <c r="AV41" s="13">
        <v>880</v>
      </c>
      <c r="AW41" s="13">
        <v>830</v>
      </c>
      <c r="AX41" s="13">
        <v>850</v>
      </c>
      <c r="AY41" s="13">
        <v>1250</v>
      </c>
      <c r="AZ41" s="13">
        <v>0</v>
      </c>
      <c r="BD41" s="21">
        <v>37</v>
      </c>
      <c r="BE41" s="77" t="s">
        <v>152</v>
      </c>
      <c r="BF41" s="77" t="s">
        <v>40</v>
      </c>
      <c r="BG41" s="77" t="s">
        <v>39</v>
      </c>
      <c r="BH41" s="77" t="s">
        <v>75</v>
      </c>
      <c r="BI41" s="77" t="s">
        <v>39</v>
      </c>
      <c r="BJ41" s="77" t="s">
        <v>37</v>
      </c>
      <c r="BK41" s="37" t="s">
        <v>152</v>
      </c>
      <c r="BM41" s="76">
        <f t="shared" si="25"/>
        <v>7</v>
      </c>
      <c r="BN41" s="76">
        <f t="shared" si="26"/>
        <v>12</v>
      </c>
      <c r="BO41" s="76">
        <f t="shared" si="27"/>
        <v>11</v>
      </c>
      <c r="BP41" s="76">
        <f t="shared" si="28"/>
        <v>6</v>
      </c>
      <c r="BQ41" s="76">
        <f t="shared" si="29"/>
        <v>11</v>
      </c>
      <c r="BR41" s="76">
        <f t="shared" si="30"/>
        <v>9</v>
      </c>
      <c r="BS41" s="76">
        <f t="shared" si="31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53" t="s">
        <v>151</v>
      </c>
      <c r="CD41" s="54">
        <v>1</v>
      </c>
      <c r="CE41" s="55">
        <v>70</v>
      </c>
      <c r="CF41" s="55">
        <v>1</v>
      </c>
      <c r="CG41" s="55">
        <v>1</v>
      </c>
      <c r="CH41" s="55">
        <v>1</v>
      </c>
      <c r="CI41" s="55">
        <v>70</v>
      </c>
      <c r="CJ41" s="56">
        <v>1</v>
      </c>
      <c r="CK41" s="57">
        <v>7</v>
      </c>
    </row>
    <row r="42" spans="1:89" ht="16.5" customHeight="1" x14ac:dyDescent="0.3">
      <c r="A42" s="7" t="s">
        <v>108</v>
      </c>
      <c r="B42" s="13">
        <v>0</v>
      </c>
      <c r="C42" s="13">
        <v>880</v>
      </c>
      <c r="D42" s="13">
        <v>830</v>
      </c>
      <c r="E42" s="13">
        <v>850</v>
      </c>
      <c r="F42" s="13">
        <v>1250</v>
      </c>
      <c r="G42" s="13">
        <v>0</v>
      </c>
      <c r="K42" s="22">
        <v>38</v>
      </c>
      <c r="L42" s="77" t="s">
        <v>34</v>
      </c>
      <c r="M42" s="77" t="s">
        <v>152</v>
      </c>
      <c r="N42" s="77" t="s">
        <v>163</v>
      </c>
      <c r="O42" s="77" t="s">
        <v>38</v>
      </c>
      <c r="P42" s="77" t="s">
        <v>37</v>
      </c>
      <c r="Q42" s="77" t="s">
        <v>75</v>
      </c>
      <c r="R42" s="37" t="s">
        <v>34</v>
      </c>
      <c r="T42" s="76">
        <f t="shared" si="11"/>
        <v>4</v>
      </c>
      <c r="U42" s="76">
        <f t="shared" si="12"/>
        <v>7</v>
      </c>
      <c r="V42" s="76">
        <f t="shared" si="13"/>
        <v>18</v>
      </c>
      <c r="W42" s="76">
        <f t="shared" si="14"/>
        <v>10</v>
      </c>
      <c r="X42" s="76">
        <f t="shared" si="15"/>
        <v>9</v>
      </c>
      <c r="Y42" s="76">
        <f t="shared" si="16"/>
        <v>6</v>
      </c>
      <c r="Z42" s="76">
        <f t="shared" si="17"/>
        <v>4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53" t="s">
        <v>24</v>
      </c>
      <c r="AK42" s="69">
        <v>10</v>
      </c>
      <c r="AL42" s="130">
        <v>10</v>
      </c>
      <c r="AM42" s="130">
        <v>40</v>
      </c>
      <c r="AN42" s="130">
        <v>1</v>
      </c>
      <c r="AO42" s="130">
        <v>40</v>
      </c>
      <c r="AP42" s="130">
        <v>1</v>
      </c>
      <c r="AQ42" s="71">
        <v>10</v>
      </c>
      <c r="AR42" s="57">
        <v>7</v>
      </c>
      <c r="AT42" s="7" t="s">
        <v>108</v>
      </c>
      <c r="AU42" s="13">
        <v>0</v>
      </c>
      <c r="AV42" s="13">
        <v>880</v>
      </c>
      <c r="AW42" s="13">
        <v>830</v>
      </c>
      <c r="AX42" s="13">
        <v>850</v>
      </c>
      <c r="AY42" s="13">
        <v>1250</v>
      </c>
      <c r="AZ42" s="13">
        <v>0</v>
      </c>
      <c r="BD42" s="22">
        <v>38</v>
      </c>
      <c r="BE42" s="77" t="s">
        <v>152</v>
      </c>
      <c r="BF42" s="77" t="s">
        <v>40</v>
      </c>
      <c r="BG42" s="77" t="s">
        <v>35</v>
      </c>
      <c r="BH42" s="77" t="s">
        <v>38</v>
      </c>
      <c r="BI42" s="77" t="s">
        <v>39</v>
      </c>
      <c r="BJ42" s="77" t="s">
        <v>25</v>
      </c>
      <c r="BK42" s="37" t="s">
        <v>152</v>
      </c>
      <c r="BM42" s="76">
        <f t="shared" si="25"/>
        <v>7</v>
      </c>
      <c r="BN42" s="76">
        <f t="shared" si="26"/>
        <v>12</v>
      </c>
      <c r="BO42" s="76">
        <f t="shared" si="27"/>
        <v>5</v>
      </c>
      <c r="BP42" s="76">
        <f t="shared" si="28"/>
        <v>10</v>
      </c>
      <c r="BQ42" s="76">
        <f t="shared" si="29"/>
        <v>11</v>
      </c>
      <c r="BR42" s="76">
        <f t="shared" si="30"/>
        <v>8</v>
      </c>
      <c r="BS42" s="76">
        <f t="shared" si="31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53" t="s">
        <v>24</v>
      </c>
      <c r="CD42" s="54">
        <v>1</v>
      </c>
      <c r="CE42" s="55">
        <v>1</v>
      </c>
      <c r="CF42" s="55">
        <v>1</v>
      </c>
      <c r="CG42" s="55">
        <v>1</v>
      </c>
      <c r="CH42" s="55">
        <v>70</v>
      </c>
      <c r="CI42" s="55">
        <v>1</v>
      </c>
      <c r="CJ42" s="56">
        <v>1</v>
      </c>
      <c r="CK42" s="57">
        <v>7</v>
      </c>
    </row>
    <row r="43" spans="1:89" ht="16.5" customHeight="1" x14ac:dyDescent="0.3">
      <c r="A43" s="7" t="s">
        <v>109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77" t="s">
        <v>75</v>
      </c>
      <c r="M43" s="77" t="s">
        <v>35</v>
      </c>
      <c r="N43" s="77" t="s">
        <v>152</v>
      </c>
      <c r="O43" s="77" t="s">
        <v>35</v>
      </c>
      <c r="P43" s="77" t="s">
        <v>37</v>
      </c>
      <c r="Q43" s="77" t="s">
        <v>38</v>
      </c>
      <c r="R43" s="37" t="s">
        <v>75</v>
      </c>
      <c r="T43" s="76">
        <f t="shared" si="11"/>
        <v>6</v>
      </c>
      <c r="U43" s="76">
        <f t="shared" si="12"/>
        <v>5</v>
      </c>
      <c r="V43" s="76">
        <f t="shared" si="13"/>
        <v>7</v>
      </c>
      <c r="W43" s="76">
        <f t="shared" si="14"/>
        <v>5</v>
      </c>
      <c r="X43" s="76">
        <f t="shared" si="15"/>
        <v>9</v>
      </c>
      <c r="Y43" s="76">
        <f t="shared" si="16"/>
        <v>10</v>
      </c>
      <c r="Z43" s="76">
        <f t="shared" si="17"/>
        <v>6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53" t="s">
        <v>26</v>
      </c>
      <c r="AK43" s="69">
        <v>40</v>
      </c>
      <c r="AL43" s="130">
        <v>8</v>
      </c>
      <c r="AM43" s="130">
        <v>25</v>
      </c>
      <c r="AN43" s="130">
        <v>10</v>
      </c>
      <c r="AO43" s="130">
        <v>1</v>
      </c>
      <c r="AP43" s="130">
        <v>40</v>
      </c>
      <c r="AQ43" s="71">
        <v>10</v>
      </c>
      <c r="AR43" s="57">
        <v>8</v>
      </c>
      <c r="AT43" s="7" t="s">
        <v>109</v>
      </c>
      <c r="AU43" s="13">
        <v>0</v>
      </c>
      <c r="AV43" s="13">
        <v>292</v>
      </c>
      <c r="AW43" s="13">
        <v>305</v>
      </c>
      <c r="AX43" s="13">
        <v>514</v>
      </c>
      <c r="AY43" s="13">
        <v>608</v>
      </c>
      <c r="AZ43" s="13">
        <v>0</v>
      </c>
      <c r="BD43" s="21">
        <v>39</v>
      </c>
      <c r="BE43" s="77" t="s">
        <v>39</v>
      </c>
      <c r="BF43" s="77" t="s">
        <v>181</v>
      </c>
      <c r="BG43" s="77" t="s">
        <v>40</v>
      </c>
      <c r="BH43" s="77" t="s">
        <v>75</v>
      </c>
      <c r="BI43" s="77" t="s">
        <v>35</v>
      </c>
      <c r="BJ43" s="77" t="s">
        <v>25</v>
      </c>
      <c r="BK43" s="37" t="s">
        <v>152</v>
      </c>
      <c r="BM43" s="76">
        <f t="shared" si="25"/>
        <v>11</v>
      </c>
      <c r="BN43" s="76">
        <f t="shared" si="26"/>
        <v>19</v>
      </c>
      <c r="BO43" s="76">
        <f t="shared" si="27"/>
        <v>12</v>
      </c>
      <c r="BP43" s="76">
        <f t="shared" si="28"/>
        <v>6</v>
      </c>
      <c r="BQ43" s="76">
        <f t="shared" si="29"/>
        <v>5</v>
      </c>
      <c r="BR43" s="76">
        <f t="shared" si="30"/>
        <v>8</v>
      </c>
      <c r="BS43" s="76">
        <f t="shared" si="31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53" t="s">
        <v>26</v>
      </c>
      <c r="CD43" s="54">
        <v>1</v>
      </c>
      <c r="CE43" s="55">
        <v>1</v>
      </c>
      <c r="CF43" s="55">
        <v>1</v>
      </c>
      <c r="CG43" s="55">
        <v>70</v>
      </c>
      <c r="CH43" s="55">
        <v>1</v>
      </c>
      <c r="CI43" s="55">
        <v>70</v>
      </c>
      <c r="CJ43" s="56">
        <v>1</v>
      </c>
      <c r="CK43" s="57">
        <v>8</v>
      </c>
    </row>
    <row r="44" spans="1:89" ht="16.5" customHeight="1" x14ac:dyDescent="0.3">
      <c r="A44" s="7" t="s">
        <v>110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77" t="s">
        <v>152</v>
      </c>
      <c r="M44" s="77" t="s">
        <v>193</v>
      </c>
      <c r="N44" s="77" t="s">
        <v>40</v>
      </c>
      <c r="O44" s="77" t="s">
        <v>35</v>
      </c>
      <c r="P44" s="77" t="s">
        <v>34</v>
      </c>
      <c r="Q44" s="77" t="s">
        <v>25</v>
      </c>
      <c r="R44" s="37" t="s">
        <v>75</v>
      </c>
      <c r="T44" s="76">
        <f t="shared" si="11"/>
        <v>7</v>
      </c>
      <c r="U44" s="76">
        <f t="shared" si="12"/>
        <v>16</v>
      </c>
      <c r="V44" s="76">
        <f t="shared" si="13"/>
        <v>12</v>
      </c>
      <c r="W44" s="76">
        <f t="shared" si="14"/>
        <v>5</v>
      </c>
      <c r="X44" s="76">
        <f t="shared" si="15"/>
        <v>4</v>
      </c>
      <c r="Y44" s="76">
        <f t="shared" si="16"/>
        <v>8</v>
      </c>
      <c r="Z44" s="76">
        <f t="shared" si="17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53" t="s">
        <v>27</v>
      </c>
      <c r="AK44" s="69">
        <v>10</v>
      </c>
      <c r="AL44" s="130">
        <v>40</v>
      </c>
      <c r="AM44" s="130">
        <v>40</v>
      </c>
      <c r="AN44" s="130">
        <v>10</v>
      </c>
      <c r="AO44" s="130">
        <v>40</v>
      </c>
      <c r="AP44" s="130">
        <v>1</v>
      </c>
      <c r="AQ44" s="71">
        <v>10</v>
      </c>
      <c r="AR44" s="57">
        <v>9</v>
      </c>
      <c r="AT44" s="7" t="s">
        <v>110</v>
      </c>
      <c r="AU44" s="13">
        <v>0</v>
      </c>
      <c r="AV44" s="13">
        <v>292</v>
      </c>
      <c r="AW44" s="13">
        <v>305</v>
      </c>
      <c r="AX44" s="13">
        <v>514</v>
      </c>
      <c r="AY44" s="13">
        <v>608</v>
      </c>
      <c r="AZ44" s="13">
        <v>0</v>
      </c>
      <c r="BD44" s="22">
        <v>40</v>
      </c>
      <c r="BE44" s="77" t="s">
        <v>40</v>
      </c>
      <c r="BF44" s="77" t="s">
        <v>25</v>
      </c>
      <c r="BG44" s="77" t="s">
        <v>39</v>
      </c>
      <c r="BH44" s="77" t="s">
        <v>40</v>
      </c>
      <c r="BI44" s="77" t="s">
        <v>35</v>
      </c>
      <c r="BJ44" s="77" t="s">
        <v>38</v>
      </c>
      <c r="BK44" s="37" t="s">
        <v>75</v>
      </c>
      <c r="BM44" s="76">
        <f t="shared" si="25"/>
        <v>12</v>
      </c>
      <c r="BN44" s="76">
        <f t="shared" si="26"/>
        <v>8</v>
      </c>
      <c r="BO44" s="76">
        <f t="shared" si="27"/>
        <v>11</v>
      </c>
      <c r="BP44" s="76">
        <f t="shared" si="28"/>
        <v>12</v>
      </c>
      <c r="BQ44" s="76">
        <f t="shared" si="29"/>
        <v>5</v>
      </c>
      <c r="BR44" s="76">
        <f t="shared" si="30"/>
        <v>10</v>
      </c>
      <c r="BS44" s="76">
        <f t="shared" si="31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53" t="s">
        <v>27</v>
      </c>
      <c r="CD44" s="54">
        <v>1</v>
      </c>
      <c r="CE44" s="55">
        <v>1</v>
      </c>
      <c r="CF44" s="55">
        <v>5</v>
      </c>
      <c r="CG44" s="55">
        <v>1</v>
      </c>
      <c r="CH44" s="55">
        <v>1</v>
      </c>
      <c r="CI44" s="55">
        <v>1</v>
      </c>
      <c r="CJ44" s="56">
        <v>3</v>
      </c>
      <c r="CK44" s="57">
        <v>9</v>
      </c>
    </row>
    <row r="45" spans="1:89" ht="16.5" customHeight="1" x14ac:dyDescent="0.3">
      <c r="A45" s="7" t="s">
        <v>111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77" t="s">
        <v>39</v>
      </c>
      <c r="M45" s="77" t="s">
        <v>75</v>
      </c>
      <c r="N45" s="77" t="s">
        <v>75</v>
      </c>
      <c r="O45" s="77" t="s">
        <v>37</v>
      </c>
      <c r="P45" s="77" t="s">
        <v>34</v>
      </c>
      <c r="Q45" s="77" t="s">
        <v>75</v>
      </c>
      <c r="R45" s="37" t="s">
        <v>75</v>
      </c>
      <c r="T45" s="76">
        <f t="shared" si="11"/>
        <v>11</v>
      </c>
      <c r="U45" s="76">
        <f t="shared" si="12"/>
        <v>6</v>
      </c>
      <c r="V45" s="76">
        <f t="shared" si="13"/>
        <v>6</v>
      </c>
      <c r="W45" s="76">
        <f t="shared" si="14"/>
        <v>9</v>
      </c>
      <c r="X45" s="76">
        <f t="shared" si="15"/>
        <v>4</v>
      </c>
      <c r="Y45" s="76">
        <f t="shared" si="16"/>
        <v>6</v>
      </c>
      <c r="Z45" s="76">
        <f t="shared" si="17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53" t="s">
        <v>28</v>
      </c>
      <c r="AK45" s="69">
        <v>40</v>
      </c>
      <c r="AL45" s="130">
        <v>40</v>
      </c>
      <c r="AM45" s="130">
        <v>40</v>
      </c>
      <c r="AN45" s="130">
        <v>1</v>
      </c>
      <c r="AO45" s="130">
        <v>1</v>
      </c>
      <c r="AP45" s="130">
        <v>1</v>
      </c>
      <c r="AQ45" s="71">
        <v>10</v>
      </c>
      <c r="AR45" s="57">
        <v>10</v>
      </c>
      <c r="AT45" s="7" t="s">
        <v>111</v>
      </c>
      <c r="AU45" s="13">
        <v>0</v>
      </c>
      <c r="AV45" s="13">
        <v>292</v>
      </c>
      <c r="AW45" s="13">
        <v>305</v>
      </c>
      <c r="AX45" s="13">
        <v>514</v>
      </c>
      <c r="AY45" s="13">
        <v>608</v>
      </c>
      <c r="AZ45" s="13">
        <v>0</v>
      </c>
      <c r="BD45" s="21">
        <v>41</v>
      </c>
      <c r="BE45" s="77" t="s">
        <v>35</v>
      </c>
      <c r="BF45" s="77" t="s">
        <v>25</v>
      </c>
      <c r="BG45" s="77" t="s">
        <v>39</v>
      </c>
      <c r="BH45" s="77" t="s">
        <v>40</v>
      </c>
      <c r="BI45" s="77" t="s">
        <v>75</v>
      </c>
      <c r="BJ45" s="77" t="s">
        <v>38</v>
      </c>
      <c r="BK45" s="37" t="s">
        <v>75</v>
      </c>
      <c r="BM45" s="76">
        <f t="shared" si="25"/>
        <v>5</v>
      </c>
      <c r="BN45" s="76">
        <f t="shared" si="26"/>
        <v>8</v>
      </c>
      <c r="BO45" s="76">
        <f t="shared" si="27"/>
        <v>11</v>
      </c>
      <c r="BP45" s="76">
        <f t="shared" si="28"/>
        <v>12</v>
      </c>
      <c r="BQ45" s="76">
        <f t="shared" si="29"/>
        <v>6</v>
      </c>
      <c r="BR45" s="76">
        <f t="shared" si="30"/>
        <v>10</v>
      </c>
      <c r="BS45" s="76">
        <f t="shared" si="31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53" t="s">
        <v>28</v>
      </c>
      <c r="CD45" s="54">
        <v>1</v>
      </c>
      <c r="CE45" s="55">
        <v>70</v>
      </c>
      <c r="CF45" s="55">
        <v>1</v>
      </c>
      <c r="CG45" s="55">
        <v>1</v>
      </c>
      <c r="CH45" s="55">
        <v>1</v>
      </c>
      <c r="CI45" s="55">
        <v>1</v>
      </c>
      <c r="CJ45" s="56">
        <v>1</v>
      </c>
      <c r="CK45" s="57">
        <v>10</v>
      </c>
    </row>
    <row r="46" spans="1:89" ht="16.5" customHeight="1" x14ac:dyDescent="0.3">
      <c r="A46" s="7" t="s">
        <v>112</v>
      </c>
      <c r="B46" s="13">
        <v>0</v>
      </c>
      <c r="C46" s="13">
        <v>292</v>
      </c>
      <c r="D46" s="13">
        <v>305</v>
      </c>
      <c r="E46" s="13">
        <v>514</v>
      </c>
      <c r="F46" s="13">
        <v>608</v>
      </c>
      <c r="G46" s="13">
        <v>0</v>
      </c>
      <c r="K46" s="22">
        <v>42</v>
      </c>
      <c r="L46" s="77" t="s">
        <v>39</v>
      </c>
      <c r="M46" s="77" t="s">
        <v>152</v>
      </c>
      <c r="N46" s="77" t="s">
        <v>35</v>
      </c>
      <c r="O46" s="77" t="s">
        <v>37</v>
      </c>
      <c r="P46" s="77" t="s">
        <v>152</v>
      </c>
      <c r="Q46" s="77" t="s">
        <v>33</v>
      </c>
      <c r="R46" s="37" t="s">
        <v>34</v>
      </c>
      <c r="T46" s="76">
        <f t="shared" si="11"/>
        <v>11</v>
      </c>
      <c r="U46" s="76">
        <f t="shared" si="12"/>
        <v>7</v>
      </c>
      <c r="V46" s="76">
        <f t="shared" si="13"/>
        <v>5</v>
      </c>
      <c r="W46" s="76">
        <f t="shared" si="14"/>
        <v>9</v>
      </c>
      <c r="X46" s="76">
        <f t="shared" si="15"/>
        <v>7</v>
      </c>
      <c r="Y46" s="76">
        <f t="shared" si="16"/>
        <v>3</v>
      </c>
      <c r="Z46" s="76">
        <f t="shared" si="17"/>
        <v>4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53" t="s">
        <v>29</v>
      </c>
      <c r="AK46" s="69">
        <v>5</v>
      </c>
      <c r="AL46" s="130">
        <v>40</v>
      </c>
      <c r="AM46" s="130">
        <v>20</v>
      </c>
      <c r="AN46" s="130">
        <v>1</v>
      </c>
      <c r="AO46" s="130">
        <v>1</v>
      </c>
      <c r="AP46" s="130">
        <v>1</v>
      </c>
      <c r="AQ46" s="71">
        <v>10</v>
      </c>
      <c r="AR46" s="58">
        <v>11</v>
      </c>
      <c r="AT46" s="7" t="s">
        <v>112</v>
      </c>
      <c r="AU46" s="13">
        <v>0</v>
      </c>
      <c r="AV46" s="13">
        <v>292</v>
      </c>
      <c r="AW46" s="13">
        <v>305</v>
      </c>
      <c r="AX46" s="13">
        <v>514</v>
      </c>
      <c r="AY46" s="13">
        <v>608</v>
      </c>
      <c r="AZ46" s="13">
        <v>0</v>
      </c>
      <c r="BD46" s="22">
        <v>42</v>
      </c>
      <c r="BE46" s="77" t="s">
        <v>38</v>
      </c>
      <c r="BF46" s="77" t="s">
        <v>33</v>
      </c>
      <c r="BG46" s="77" t="s">
        <v>163</v>
      </c>
      <c r="BH46" s="77" t="s">
        <v>40</v>
      </c>
      <c r="BI46" s="77" t="s">
        <v>33</v>
      </c>
      <c r="BJ46" s="77" t="s">
        <v>25</v>
      </c>
      <c r="BK46" s="37" t="s">
        <v>75</v>
      </c>
      <c r="BM46" s="76">
        <f t="shared" si="25"/>
        <v>10</v>
      </c>
      <c r="BN46" s="76">
        <f t="shared" si="26"/>
        <v>3</v>
      </c>
      <c r="BO46" s="76">
        <f t="shared" si="27"/>
        <v>18</v>
      </c>
      <c r="BP46" s="76">
        <f t="shared" si="28"/>
        <v>12</v>
      </c>
      <c r="BQ46" s="76">
        <f t="shared" si="29"/>
        <v>3</v>
      </c>
      <c r="BR46" s="76">
        <f t="shared" si="30"/>
        <v>8</v>
      </c>
      <c r="BS46" s="76">
        <f t="shared" si="31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53" t="s">
        <v>29</v>
      </c>
      <c r="CD46" s="54">
        <v>70</v>
      </c>
      <c r="CE46" s="55">
        <v>1</v>
      </c>
      <c r="CF46" s="55">
        <v>1</v>
      </c>
      <c r="CG46" s="55">
        <v>1</v>
      </c>
      <c r="CH46" s="55">
        <v>1</v>
      </c>
      <c r="CI46" s="55">
        <v>1</v>
      </c>
      <c r="CJ46" s="56">
        <v>1</v>
      </c>
      <c r="CK46" s="58">
        <v>11</v>
      </c>
    </row>
    <row r="47" spans="1:89" ht="16.5" customHeight="1" x14ac:dyDescent="0.3">
      <c r="A47" s="7" t="s">
        <v>113</v>
      </c>
      <c r="B47" s="13">
        <v>1</v>
      </c>
      <c r="C47" s="13">
        <v>470</v>
      </c>
      <c r="D47" s="13">
        <v>640</v>
      </c>
      <c r="E47" s="13">
        <v>360</v>
      </c>
      <c r="F47" s="13">
        <v>290</v>
      </c>
      <c r="G47" s="13">
        <v>1</v>
      </c>
      <c r="K47" s="21">
        <v>43</v>
      </c>
      <c r="L47" s="77" t="s">
        <v>34</v>
      </c>
      <c r="M47" s="77" t="s">
        <v>38</v>
      </c>
      <c r="N47" s="77" t="s">
        <v>193</v>
      </c>
      <c r="O47" s="77" t="s">
        <v>75</v>
      </c>
      <c r="P47" s="77" t="s">
        <v>152</v>
      </c>
      <c r="Q47" s="77" t="s">
        <v>33</v>
      </c>
      <c r="R47" s="37" t="s">
        <v>34</v>
      </c>
      <c r="T47" s="76">
        <f t="shared" si="11"/>
        <v>4</v>
      </c>
      <c r="U47" s="76">
        <f t="shared" si="12"/>
        <v>10</v>
      </c>
      <c r="V47" s="76">
        <f t="shared" si="13"/>
        <v>16</v>
      </c>
      <c r="W47" s="76">
        <f t="shared" si="14"/>
        <v>6</v>
      </c>
      <c r="X47" s="76">
        <f t="shared" si="15"/>
        <v>7</v>
      </c>
      <c r="Y47" s="76">
        <f t="shared" si="16"/>
        <v>3</v>
      </c>
      <c r="Z47" s="76">
        <f t="shared" si="17"/>
        <v>4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53" t="s">
        <v>79</v>
      </c>
      <c r="AK47" s="69">
        <v>0</v>
      </c>
      <c r="AL47" s="130">
        <v>3</v>
      </c>
      <c r="AM47" s="130">
        <v>3</v>
      </c>
      <c r="AN47" s="130">
        <v>3</v>
      </c>
      <c r="AO47" s="130">
        <v>3</v>
      </c>
      <c r="AP47" s="130">
        <v>0</v>
      </c>
      <c r="AQ47" s="71">
        <v>0</v>
      </c>
      <c r="AR47" s="57">
        <v>12</v>
      </c>
      <c r="AT47" s="7" t="s">
        <v>113</v>
      </c>
      <c r="AU47" s="13">
        <v>1</v>
      </c>
      <c r="AV47" s="13">
        <v>470</v>
      </c>
      <c r="AW47" s="13">
        <v>640</v>
      </c>
      <c r="AX47" s="13">
        <v>360</v>
      </c>
      <c r="AY47" s="13">
        <v>290</v>
      </c>
      <c r="AZ47" s="13">
        <v>1</v>
      </c>
      <c r="BD47" s="21">
        <v>43</v>
      </c>
      <c r="BE47" s="77" t="s">
        <v>40</v>
      </c>
      <c r="BF47" s="77" t="s">
        <v>33</v>
      </c>
      <c r="BG47" s="77" t="s">
        <v>25</v>
      </c>
      <c r="BH47" s="77" t="s">
        <v>38</v>
      </c>
      <c r="BI47" s="77" t="s">
        <v>152</v>
      </c>
      <c r="BJ47" s="77" t="s">
        <v>25</v>
      </c>
      <c r="BK47" s="37" t="s">
        <v>33</v>
      </c>
      <c r="BM47" s="76">
        <f t="shared" si="25"/>
        <v>12</v>
      </c>
      <c r="BN47" s="76">
        <f t="shared" si="26"/>
        <v>3</v>
      </c>
      <c r="BO47" s="76">
        <f t="shared" si="27"/>
        <v>8</v>
      </c>
      <c r="BP47" s="76">
        <f t="shared" si="28"/>
        <v>10</v>
      </c>
      <c r="BQ47" s="76">
        <f t="shared" si="29"/>
        <v>7</v>
      </c>
      <c r="BR47" s="76">
        <f t="shared" si="30"/>
        <v>8</v>
      </c>
      <c r="BS47" s="76">
        <f t="shared" si="31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53" t="s">
        <v>79</v>
      </c>
      <c r="CD47" s="54">
        <v>0</v>
      </c>
      <c r="CE47" s="55">
        <v>0</v>
      </c>
      <c r="CF47" s="55">
        <v>0</v>
      </c>
      <c r="CG47" s="55">
        <v>0</v>
      </c>
      <c r="CH47" s="55">
        <v>0</v>
      </c>
      <c r="CI47" s="55">
        <v>0</v>
      </c>
      <c r="CJ47" s="56">
        <v>0</v>
      </c>
      <c r="CK47" s="57">
        <v>12</v>
      </c>
    </row>
    <row r="48" spans="1:89" ht="16.5" customHeight="1" thickBot="1" x14ac:dyDescent="0.35">
      <c r="A48" s="75"/>
      <c r="B48" s="75"/>
      <c r="C48" s="75"/>
      <c r="D48" s="75"/>
      <c r="E48" s="75"/>
      <c r="F48" s="75"/>
      <c r="K48" s="22">
        <v>44</v>
      </c>
      <c r="L48" s="77" t="s">
        <v>34</v>
      </c>
      <c r="M48" s="77" t="s">
        <v>191</v>
      </c>
      <c r="N48" s="77" t="s">
        <v>176</v>
      </c>
      <c r="O48" s="77" t="s">
        <v>25</v>
      </c>
      <c r="P48" s="77" t="s">
        <v>152</v>
      </c>
      <c r="Q48" s="77" t="s">
        <v>38</v>
      </c>
      <c r="R48" s="37" t="s">
        <v>34</v>
      </c>
      <c r="T48" s="76">
        <f t="shared" si="11"/>
        <v>4</v>
      </c>
      <c r="U48" s="76">
        <f t="shared" si="12"/>
        <v>21</v>
      </c>
      <c r="V48" s="76">
        <f t="shared" si="13"/>
        <v>24</v>
      </c>
      <c r="W48" s="76">
        <f t="shared" si="14"/>
        <v>8</v>
      </c>
      <c r="X48" s="76">
        <f t="shared" si="15"/>
        <v>7</v>
      </c>
      <c r="Y48" s="76">
        <f t="shared" si="16"/>
        <v>10</v>
      </c>
      <c r="Z48" s="76">
        <f t="shared" si="17"/>
        <v>4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53" t="s">
        <v>80</v>
      </c>
      <c r="AK48" s="69">
        <v>0</v>
      </c>
      <c r="AL48" s="130">
        <v>4</v>
      </c>
      <c r="AM48" s="130">
        <v>4</v>
      </c>
      <c r="AN48" s="130">
        <v>2</v>
      </c>
      <c r="AO48" s="130">
        <v>2</v>
      </c>
      <c r="AP48" s="130">
        <v>0</v>
      </c>
      <c r="AQ48" s="71">
        <v>0</v>
      </c>
      <c r="AR48" s="57">
        <v>13</v>
      </c>
      <c r="AT48" s="75"/>
      <c r="AU48" s="75"/>
      <c r="AV48" s="75"/>
      <c r="AW48" s="75"/>
      <c r="AX48" s="75"/>
      <c r="AY48" s="75"/>
      <c r="AZ48" s="75"/>
      <c r="BD48" s="22">
        <v>44</v>
      </c>
      <c r="BE48" s="77" t="s">
        <v>37</v>
      </c>
      <c r="BF48" s="77" t="s">
        <v>193</v>
      </c>
      <c r="BG48" s="77" t="s">
        <v>37</v>
      </c>
      <c r="BH48" s="77" t="s">
        <v>38</v>
      </c>
      <c r="BI48" s="77" t="s">
        <v>152</v>
      </c>
      <c r="BJ48" s="77" t="s">
        <v>37</v>
      </c>
      <c r="BK48" s="37" t="s">
        <v>33</v>
      </c>
      <c r="BM48" s="76">
        <f t="shared" si="25"/>
        <v>9</v>
      </c>
      <c r="BN48" s="76">
        <f t="shared" si="26"/>
        <v>16</v>
      </c>
      <c r="BO48" s="76">
        <f t="shared" si="27"/>
        <v>9</v>
      </c>
      <c r="BP48" s="76">
        <f t="shared" si="28"/>
        <v>10</v>
      </c>
      <c r="BQ48" s="76">
        <f t="shared" si="29"/>
        <v>7</v>
      </c>
      <c r="BR48" s="76">
        <f t="shared" si="30"/>
        <v>9</v>
      </c>
      <c r="BS48" s="76">
        <f t="shared" si="31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53" t="s">
        <v>80</v>
      </c>
      <c r="CD48" s="54">
        <v>0</v>
      </c>
      <c r="CE48" s="55">
        <v>1</v>
      </c>
      <c r="CF48" s="55">
        <v>1</v>
      </c>
      <c r="CG48" s="55">
        <v>1</v>
      </c>
      <c r="CH48" s="55">
        <v>1</v>
      </c>
      <c r="CI48" s="55">
        <v>0</v>
      </c>
      <c r="CJ48" s="56">
        <v>0</v>
      </c>
      <c r="CK48" s="57">
        <v>13</v>
      </c>
    </row>
    <row r="49" spans="1:89" ht="16.5" customHeight="1" thickBot="1" x14ac:dyDescent="0.35">
      <c r="A49" s="123" t="s">
        <v>180</v>
      </c>
      <c r="B49" s="102" t="s">
        <v>169</v>
      </c>
      <c r="K49" s="21">
        <v>45</v>
      </c>
      <c r="L49" s="77" t="s">
        <v>152</v>
      </c>
      <c r="M49" s="77" t="s">
        <v>163</v>
      </c>
      <c r="N49" s="77" t="s">
        <v>33</v>
      </c>
      <c r="O49" s="77" t="s">
        <v>40</v>
      </c>
      <c r="P49" s="77" t="s">
        <v>35</v>
      </c>
      <c r="Q49" s="77" t="s">
        <v>38</v>
      </c>
      <c r="R49" s="37" t="s">
        <v>152</v>
      </c>
      <c r="T49" s="76">
        <f t="shared" si="11"/>
        <v>7</v>
      </c>
      <c r="U49" s="76">
        <f t="shared" si="12"/>
        <v>18</v>
      </c>
      <c r="V49" s="76">
        <f t="shared" si="13"/>
        <v>3</v>
      </c>
      <c r="W49" s="76">
        <f t="shared" si="14"/>
        <v>12</v>
      </c>
      <c r="X49" s="76">
        <f t="shared" si="15"/>
        <v>5</v>
      </c>
      <c r="Y49" s="76">
        <f t="shared" si="16"/>
        <v>10</v>
      </c>
      <c r="Z49" s="76">
        <f t="shared" si="17"/>
        <v>7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53" t="s">
        <v>81</v>
      </c>
      <c r="AK49" s="69">
        <v>0</v>
      </c>
      <c r="AL49" s="130">
        <v>5</v>
      </c>
      <c r="AM49" s="130">
        <v>5</v>
      </c>
      <c r="AN49" s="130">
        <v>2</v>
      </c>
      <c r="AO49" s="130">
        <v>2</v>
      </c>
      <c r="AP49" s="130">
        <v>0</v>
      </c>
      <c r="AQ49" s="71">
        <v>0</v>
      </c>
      <c r="AR49" s="57">
        <v>14</v>
      </c>
      <c r="AT49" s="97" t="s">
        <v>168</v>
      </c>
      <c r="AU49" s="102" t="s">
        <v>169</v>
      </c>
      <c r="AV49" s="75"/>
      <c r="AW49" s="75"/>
      <c r="AX49" s="75"/>
      <c r="AY49" s="75"/>
      <c r="AZ49" s="75"/>
      <c r="BD49" s="21">
        <v>45</v>
      </c>
      <c r="BE49" s="77" t="s">
        <v>37</v>
      </c>
      <c r="BF49" s="77" t="s">
        <v>38</v>
      </c>
      <c r="BG49" s="77" t="s">
        <v>189</v>
      </c>
      <c r="BH49" s="77" t="s">
        <v>33</v>
      </c>
      <c r="BI49" s="77" t="s">
        <v>39</v>
      </c>
      <c r="BJ49" s="77" t="s">
        <v>37</v>
      </c>
      <c r="BK49" s="37" t="s">
        <v>35</v>
      </c>
      <c r="BM49" s="76">
        <f t="shared" si="25"/>
        <v>9</v>
      </c>
      <c r="BN49" s="76">
        <f t="shared" si="26"/>
        <v>10</v>
      </c>
      <c r="BO49" s="76">
        <f t="shared" si="27"/>
        <v>20</v>
      </c>
      <c r="BP49" s="76">
        <f t="shared" si="28"/>
        <v>3</v>
      </c>
      <c r="BQ49" s="76">
        <f t="shared" si="29"/>
        <v>11</v>
      </c>
      <c r="BR49" s="76">
        <f t="shared" si="30"/>
        <v>9</v>
      </c>
      <c r="BS49" s="76">
        <f t="shared" si="31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53" t="s">
        <v>81</v>
      </c>
      <c r="CD49" s="54">
        <v>0</v>
      </c>
      <c r="CE49" s="55">
        <v>1</v>
      </c>
      <c r="CF49" s="55">
        <v>1</v>
      </c>
      <c r="CG49" s="55">
        <v>1</v>
      </c>
      <c r="CH49" s="55">
        <v>1</v>
      </c>
      <c r="CI49" s="55">
        <v>0</v>
      </c>
      <c r="CJ49" s="56">
        <v>0</v>
      </c>
      <c r="CK49" s="57">
        <v>14</v>
      </c>
    </row>
    <row r="50" spans="1:89" ht="16.5" customHeight="1" x14ac:dyDescent="0.3">
      <c r="A50" s="99" t="s">
        <v>78</v>
      </c>
      <c r="B50" s="100">
        <v>0</v>
      </c>
      <c r="K50" s="22">
        <v>46</v>
      </c>
      <c r="L50" s="77" t="s">
        <v>25</v>
      </c>
      <c r="M50" s="77" t="s">
        <v>152</v>
      </c>
      <c r="N50" s="77" t="s">
        <v>152</v>
      </c>
      <c r="O50" s="77" t="s">
        <v>35</v>
      </c>
      <c r="P50" s="77" t="s">
        <v>38</v>
      </c>
      <c r="Q50" s="77" t="s">
        <v>38</v>
      </c>
      <c r="R50" s="37" t="s">
        <v>75</v>
      </c>
      <c r="T50" s="76">
        <f t="shared" si="11"/>
        <v>8</v>
      </c>
      <c r="U50" s="76">
        <f t="shared" si="12"/>
        <v>7</v>
      </c>
      <c r="V50" s="76">
        <f t="shared" si="13"/>
        <v>7</v>
      </c>
      <c r="W50" s="76">
        <f t="shared" si="14"/>
        <v>5</v>
      </c>
      <c r="X50" s="76">
        <f t="shared" si="15"/>
        <v>10</v>
      </c>
      <c r="Y50" s="76">
        <f t="shared" si="16"/>
        <v>10</v>
      </c>
      <c r="Z50" s="76">
        <f t="shared" si="17"/>
        <v>6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53" t="s">
        <v>82</v>
      </c>
      <c r="AK50" s="69">
        <v>0</v>
      </c>
      <c r="AL50" s="130">
        <v>5</v>
      </c>
      <c r="AM50" s="130">
        <v>5</v>
      </c>
      <c r="AN50" s="130">
        <v>5</v>
      </c>
      <c r="AO50" s="130">
        <v>8</v>
      </c>
      <c r="AP50" s="130">
        <v>0</v>
      </c>
      <c r="AQ50" s="71">
        <v>0</v>
      </c>
      <c r="AR50" s="57">
        <v>15</v>
      </c>
      <c r="AT50" s="99" t="s">
        <v>78</v>
      </c>
      <c r="AU50" s="100">
        <v>0</v>
      </c>
      <c r="BD50" s="22">
        <v>46</v>
      </c>
      <c r="BE50" s="77" t="s">
        <v>39</v>
      </c>
      <c r="BF50" s="77" t="s">
        <v>25</v>
      </c>
      <c r="BG50" s="77" t="s">
        <v>33</v>
      </c>
      <c r="BH50" s="77" t="s">
        <v>33</v>
      </c>
      <c r="BI50" s="77" t="s">
        <v>39</v>
      </c>
      <c r="BJ50" s="77" t="s">
        <v>75</v>
      </c>
      <c r="BK50" s="37" t="s">
        <v>35</v>
      </c>
      <c r="BM50" s="76">
        <f t="shared" si="25"/>
        <v>11</v>
      </c>
      <c r="BN50" s="76">
        <f t="shared" si="26"/>
        <v>8</v>
      </c>
      <c r="BO50" s="76">
        <f t="shared" si="27"/>
        <v>3</v>
      </c>
      <c r="BP50" s="76">
        <f t="shared" si="28"/>
        <v>3</v>
      </c>
      <c r="BQ50" s="76">
        <f t="shared" si="29"/>
        <v>11</v>
      </c>
      <c r="BR50" s="76">
        <f t="shared" si="30"/>
        <v>6</v>
      </c>
      <c r="BS50" s="76">
        <f t="shared" si="31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53" t="s">
        <v>82</v>
      </c>
      <c r="CD50" s="54">
        <v>0</v>
      </c>
      <c r="CE50" s="55">
        <v>1</v>
      </c>
      <c r="CF50" s="55">
        <v>1</v>
      </c>
      <c r="CG50" s="55">
        <v>1</v>
      </c>
      <c r="CH50" s="55">
        <v>1</v>
      </c>
      <c r="CI50" s="55">
        <v>0</v>
      </c>
      <c r="CJ50" s="56">
        <v>0</v>
      </c>
      <c r="CK50" s="57">
        <v>15</v>
      </c>
    </row>
    <row r="51" spans="1:89" ht="16.5" customHeight="1" x14ac:dyDescent="0.3">
      <c r="A51" s="98" t="s">
        <v>19</v>
      </c>
      <c r="B51" s="101">
        <v>0</v>
      </c>
      <c r="K51" s="21">
        <v>47</v>
      </c>
      <c r="L51" s="77" t="s">
        <v>75</v>
      </c>
      <c r="M51" s="77" t="s">
        <v>25</v>
      </c>
      <c r="N51" s="77" t="s">
        <v>161</v>
      </c>
      <c r="O51" s="77" t="s">
        <v>35</v>
      </c>
      <c r="P51" s="77" t="s">
        <v>35</v>
      </c>
      <c r="Q51" s="77" t="s">
        <v>75</v>
      </c>
      <c r="R51" s="37" t="s">
        <v>33</v>
      </c>
      <c r="T51" s="76">
        <f t="shared" si="11"/>
        <v>6</v>
      </c>
      <c r="U51" s="76">
        <f t="shared" si="12"/>
        <v>8</v>
      </c>
      <c r="V51" s="76">
        <f t="shared" si="13"/>
        <v>17</v>
      </c>
      <c r="W51" s="76">
        <f t="shared" si="14"/>
        <v>5</v>
      </c>
      <c r="X51" s="76">
        <f t="shared" si="15"/>
        <v>5</v>
      </c>
      <c r="Y51" s="76">
        <f t="shared" si="16"/>
        <v>6</v>
      </c>
      <c r="Z51" s="76">
        <f t="shared" si="17"/>
        <v>3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53" t="s">
        <v>83</v>
      </c>
      <c r="AK51" s="69">
        <v>0</v>
      </c>
      <c r="AL51" s="130">
        <v>15</v>
      </c>
      <c r="AM51" s="130">
        <v>15</v>
      </c>
      <c r="AN51" s="130">
        <v>10</v>
      </c>
      <c r="AO51" s="130">
        <v>15</v>
      </c>
      <c r="AP51" s="130">
        <v>0</v>
      </c>
      <c r="AQ51" s="71">
        <v>0</v>
      </c>
      <c r="AR51" s="57">
        <v>16</v>
      </c>
      <c r="AT51" s="98" t="s">
        <v>19</v>
      </c>
      <c r="AU51" s="101">
        <v>0</v>
      </c>
      <c r="BD51" s="21">
        <v>47</v>
      </c>
      <c r="BE51" s="77" t="s">
        <v>38</v>
      </c>
      <c r="BF51" s="77" t="s">
        <v>38</v>
      </c>
      <c r="BG51" s="77" t="s">
        <v>25</v>
      </c>
      <c r="BH51" s="77" t="s">
        <v>33</v>
      </c>
      <c r="BI51" s="77" t="s">
        <v>152</v>
      </c>
      <c r="BJ51" s="77" t="s">
        <v>75</v>
      </c>
      <c r="BK51" s="37" t="s">
        <v>35</v>
      </c>
      <c r="BM51" s="76">
        <f t="shared" si="25"/>
        <v>10</v>
      </c>
      <c r="BN51" s="76">
        <f t="shared" si="26"/>
        <v>10</v>
      </c>
      <c r="BO51" s="76">
        <f t="shared" si="27"/>
        <v>8</v>
      </c>
      <c r="BP51" s="76">
        <f t="shared" si="28"/>
        <v>3</v>
      </c>
      <c r="BQ51" s="76">
        <f t="shared" si="29"/>
        <v>7</v>
      </c>
      <c r="BR51" s="76">
        <f t="shared" si="30"/>
        <v>6</v>
      </c>
      <c r="BS51" s="76">
        <f t="shared" si="31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53" t="s">
        <v>83</v>
      </c>
      <c r="CD51" s="54">
        <v>0</v>
      </c>
      <c r="CE51" s="55">
        <v>1</v>
      </c>
      <c r="CF51" s="55">
        <v>1</v>
      </c>
      <c r="CG51" s="55">
        <v>1</v>
      </c>
      <c r="CH51" s="55">
        <v>2</v>
      </c>
      <c r="CI51" s="55">
        <v>0</v>
      </c>
      <c r="CJ51" s="56">
        <v>0</v>
      </c>
      <c r="CK51" s="57">
        <v>16</v>
      </c>
    </row>
    <row r="52" spans="1:89" ht="16.5" customHeight="1" x14ac:dyDescent="0.3">
      <c r="A52" s="98" t="s">
        <v>20</v>
      </c>
      <c r="B52" s="101">
        <v>2</v>
      </c>
      <c r="K52" s="22">
        <v>48</v>
      </c>
      <c r="L52" s="77" t="s">
        <v>40</v>
      </c>
      <c r="M52" s="77" t="s">
        <v>40</v>
      </c>
      <c r="N52" s="77" t="s">
        <v>163</v>
      </c>
      <c r="O52" s="77" t="s">
        <v>40</v>
      </c>
      <c r="P52" s="77" t="s">
        <v>34</v>
      </c>
      <c r="Q52" s="77" t="s">
        <v>38</v>
      </c>
      <c r="R52" s="37" t="s">
        <v>40</v>
      </c>
      <c r="T52" s="76">
        <f t="shared" si="11"/>
        <v>12</v>
      </c>
      <c r="U52" s="76">
        <f t="shared" si="12"/>
        <v>12</v>
      </c>
      <c r="V52" s="76">
        <f t="shared" si="13"/>
        <v>18</v>
      </c>
      <c r="W52" s="76">
        <f t="shared" si="14"/>
        <v>12</v>
      </c>
      <c r="X52" s="76">
        <f t="shared" si="15"/>
        <v>4</v>
      </c>
      <c r="Y52" s="76">
        <f t="shared" si="16"/>
        <v>10</v>
      </c>
      <c r="Z52" s="76">
        <f t="shared" si="17"/>
        <v>12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53" t="s">
        <v>162</v>
      </c>
      <c r="AK52" s="69">
        <v>0</v>
      </c>
      <c r="AL52" s="130">
        <v>10</v>
      </c>
      <c r="AM52" s="130">
        <v>15</v>
      </c>
      <c r="AN52" s="130">
        <v>15</v>
      </c>
      <c r="AO52" s="130">
        <v>10</v>
      </c>
      <c r="AP52" s="130">
        <v>0</v>
      </c>
      <c r="AQ52" s="71">
        <v>0</v>
      </c>
      <c r="AR52" s="57">
        <v>17</v>
      </c>
      <c r="AT52" s="98" t="s">
        <v>20</v>
      </c>
      <c r="AU52" s="101">
        <v>2</v>
      </c>
      <c r="BD52" s="22">
        <v>48</v>
      </c>
      <c r="BE52" s="77" t="s">
        <v>40</v>
      </c>
      <c r="BF52" s="77" t="s">
        <v>38</v>
      </c>
      <c r="BG52" s="77" t="s">
        <v>25</v>
      </c>
      <c r="BH52" s="77" t="s">
        <v>75</v>
      </c>
      <c r="BI52" s="77" t="s">
        <v>152</v>
      </c>
      <c r="BJ52" s="77" t="s">
        <v>38</v>
      </c>
      <c r="BK52" s="37" t="s">
        <v>34</v>
      </c>
      <c r="BM52" s="76">
        <f t="shared" si="25"/>
        <v>12</v>
      </c>
      <c r="BN52" s="76">
        <f t="shared" si="26"/>
        <v>10</v>
      </c>
      <c r="BO52" s="76">
        <f t="shared" si="27"/>
        <v>8</v>
      </c>
      <c r="BP52" s="76">
        <f t="shared" si="28"/>
        <v>6</v>
      </c>
      <c r="BQ52" s="76">
        <f t="shared" si="29"/>
        <v>7</v>
      </c>
      <c r="BR52" s="76">
        <f t="shared" si="30"/>
        <v>10</v>
      </c>
      <c r="BS52" s="76">
        <f t="shared" si="31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53" t="s">
        <v>162</v>
      </c>
      <c r="CD52" s="54">
        <v>0</v>
      </c>
      <c r="CE52" s="55">
        <v>1</v>
      </c>
      <c r="CF52" s="55">
        <v>1</v>
      </c>
      <c r="CG52" s="55">
        <v>1</v>
      </c>
      <c r="CH52" s="55">
        <v>1</v>
      </c>
      <c r="CI52" s="55">
        <v>0</v>
      </c>
      <c r="CJ52" s="56">
        <v>0</v>
      </c>
      <c r="CK52" s="57">
        <v>17</v>
      </c>
    </row>
    <row r="53" spans="1:89" ht="16.5" customHeight="1" x14ac:dyDescent="0.3">
      <c r="A53" s="98" t="s">
        <v>21</v>
      </c>
      <c r="B53" s="101">
        <v>3</v>
      </c>
      <c r="K53" s="21">
        <v>49</v>
      </c>
      <c r="L53" s="77" t="s">
        <v>34</v>
      </c>
      <c r="M53" s="77" t="s">
        <v>40</v>
      </c>
      <c r="N53" s="77" t="s">
        <v>152</v>
      </c>
      <c r="O53" s="77" t="s">
        <v>25</v>
      </c>
      <c r="P53" s="77" t="s">
        <v>34</v>
      </c>
      <c r="Q53" s="77" t="s">
        <v>38</v>
      </c>
      <c r="R53" s="37" t="s">
        <v>40</v>
      </c>
      <c r="T53" s="76">
        <f t="shared" si="11"/>
        <v>4</v>
      </c>
      <c r="U53" s="76">
        <f t="shared" si="12"/>
        <v>12</v>
      </c>
      <c r="V53" s="76">
        <f t="shared" si="13"/>
        <v>7</v>
      </c>
      <c r="W53" s="76">
        <f t="shared" si="14"/>
        <v>8</v>
      </c>
      <c r="X53" s="76">
        <f t="shared" si="15"/>
        <v>4</v>
      </c>
      <c r="Y53" s="76">
        <f t="shared" si="16"/>
        <v>10</v>
      </c>
      <c r="Z53" s="76">
        <f t="shared" si="17"/>
        <v>12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53" t="s">
        <v>84</v>
      </c>
      <c r="AK53" s="69">
        <v>0</v>
      </c>
      <c r="AL53" s="130">
        <v>12</v>
      </c>
      <c r="AM53" s="130">
        <v>12</v>
      </c>
      <c r="AN53" s="130">
        <v>4</v>
      </c>
      <c r="AO53" s="130">
        <v>6</v>
      </c>
      <c r="AP53" s="130">
        <v>0</v>
      </c>
      <c r="AQ53" s="71">
        <v>0</v>
      </c>
      <c r="AR53" s="57">
        <v>17</v>
      </c>
      <c r="AT53" s="98" t="s">
        <v>21</v>
      </c>
      <c r="AU53" s="101">
        <v>3</v>
      </c>
      <c r="BD53" s="21">
        <v>49</v>
      </c>
      <c r="BE53" s="77" t="s">
        <v>39</v>
      </c>
      <c r="BF53" s="77" t="s">
        <v>75</v>
      </c>
      <c r="BG53" s="77" t="s">
        <v>39</v>
      </c>
      <c r="BH53" s="77" t="s">
        <v>75</v>
      </c>
      <c r="BI53" s="77" t="s">
        <v>38</v>
      </c>
      <c r="BJ53" s="77" t="s">
        <v>38</v>
      </c>
      <c r="BK53" s="37" t="s">
        <v>34</v>
      </c>
      <c r="BM53" s="76">
        <f t="shared" si="25"/>
        <v>11</v>
      </c>
      <c r="BN53" s="76">
        <f t="shared" si="26"/>
        <v>6</v>
      </c>
      <c r="BO53" s="76">
        <f t="shared" si="27"/>
        <v>11</v>
      </c>
      <c r="BP53" s="76">
        <f t="shared" si="28"/>
        <v>6</v>
      </c>
      <c r="BQ53" s="76">
        <f t="shared" si="29"/>
        <v>10</v>
      </c>
      <c r="BR53" s="76">
        <f t="shared" si="30"/>
        <v>10</v>
      </c>
      <c r="BS53" s="76">
        <f t="shared" si="31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53" t="s">
        <v>84</v>
      </c>
      <c r="CD53" s="54">
        <v>0</v>
      </c>
      <c r="CE53" s="55">
        <v>1</v>
      </c>
      <c r="CF53" s="55">
        <v>1</v>
      </c>
      <c r="CG53" s="55">
        <v>1</v>
      </c>
      <c r="CH53" s="55">
        <v>1</v>
      </c>
      <c r="CI53" s="55">
        <v>0</v>
      </c>
      <c r="CJ53" s="56">
        <v>0</v>
      </c>
      <c r="CK53" s="57">
        <v>17</v>
      </c>
    </row>
    <row r="54" spans="1:89" ht="16.5" customHeight="1" x14ac:dyDescent="0.3">
      <c r="A54" s="98" t="s">
        <v>17</v>
      </c>
      <c r="B54" s="101">
        <v>5</v>
      </c>
      <c r="K54" s="22">
        <v>50</v>
      </c>
      <c r="L54" s="77" t="s">
        <v>34</v>
      </c>
      <c r="M54" s="77" t="s">
        <v>38</v>
      </c>
      <c r="N54" s="77" t="s">
        <v>39</v>
      </c>
      <c r="O54" s="77" t="s">
        <v>75</v>
      </c>
      <c r="P54" s="77" t="s">
        <v>188</v>
      </c>
      <c r="Q54" s="77" t="s">
        <v>75</v>
      </c>
      <c r="R54" s="37" t="s">
        <v>40</v>
      </c>
      <c r="T54" s="76">
        <f t="shared" si="11"/>
        <v>4</v>
      </c>
      <c r="U54" s="76">
        <f t="shared" si="12"/>
        <v>10</v>
      </c>
      <c r="V54" s="76">
        <f t="shared" si="13"/>
        <v>11</v>
      </c>
      <c r="W54" s="76">
        <f t="shared" si="14"/>
        <v>6</v>
      </c>
      <c r="X54" s="76">
        <f t="shared" si="15"/>
        <v>23</v>
      </c>
      <c r="Y54" s="76">
        <f t="shared" si="16"/>
        <v>6</v>
      </c>
      <c r="Z54" s="76">
        <f t="shared" si="17"/>
        <v>12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53" t="s">
        <v>85</v>
      </c>
      <c r="AK54" s="69">
        <v>0</v>
      </c>
      <c r="AL54" s="130">
        <v>8</v>
      </c>
      <c r="AM54" s="130">
        <v>12</v>
      </c>
      <c r="AN54" s="130">
        <v>4</v>
      </c>
      <c r="AO54" s="130">
        <v>4</v>
      </c>
      <c r="AP54" s="130">
        <v>0</v>
      </c>
      <c r="AQ54" s="71">
        <v>0</v>
      </c>
      <c r="AR54" s="57">
        <v>18</v>
      </c>
      <c r="AT54" s="98" t="s">
        <v>17</v>
      </c>
      <c r="AU54" s="101">
        <v>5</v>
      </c>
      <c r="BD54" s="22">
        <v>50</v>
      </c>
      <c r="BE54" s="77" t="s">
        <v>152</v>
      </c>
      <c r="BF54" s="77" t="s">
        <v>75</v>
      </c>
      <c r="BG54" s="77" t="s">
        <v>39</v>
      </c>
      <c r="BH54" s="77" t="s">
        <v>34</v>
      </c>
      <c r="BI54" s="77" t="s">
        <v>33</v>
      </c>
      <c r="BJ54" s="77" t="s">
        <v>40</v>
      </c>
      <c r="BK54" s="37" t="s">
        <v>34</v>
      </c>
      <c r="BM54" s="76">
        <f t="shared" si="25"/>
        <v>7</v>
      </c>
      <c r="BN54" s="76">
        <f t="shared" si="26"/>
        <v>6</v>
      </c>
      <c r="BO54" s="76">
        <f t="shared" si="27"/>
        <v>11</v>
      </c>
      <c r="BP54" s="76">
        <f t="shared" si="28"/>
        <v>4</v>
      </c>
      <c r="BQ54" s="76">
        <f t="shared" si="29"/>
        <v>3</v>
      </c>
      <c r="BR54" s="76">
        <f t="shared" si="30"/>
        <v>12</v>
      </c>
      <c r="BS54" s="76">
        <f t="shared" si="31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53" t="s">
        <v>85</v>
      </c>
      <c r="CD54" s="54">
        <v>0</v>
      </c>
      <c r="CE54" s="55">
        <v>1</v>
      </c>
      <c r="CF54" s="55">
        <v>1</v>
      </c>
      <c r="CG54" s="55">
        <v>1</v>
      </c>
      <c r="CH54" s="55">
        <v>1</v>
      </c>
      <c r="CI54" s="55">
        <v>0</v>
      </c>
      <c r="CJ54" s="56">
        <v>0</v>
      </c>
      <c r="CK54" s="57">
        <v>18</v>
      </c>
    </row>
    <row r="55" spans="1:89" ht="16.5" customHeight="1" x14ac:dyDescent="0.3">
      <c r="A55" s="98" t="s">
        <v>18</v>
      </c>
      <c r="B55" s="101">
        <v>8</v>
      </c>
      <c r="K55" s="21">
        <v>51</v>
      </c>
      <c r="L55" s="77" t="s">
        <v>33</v>
      </c>
      <c r="M55" s="77" t="s">
        <v>25</v>
      </c>
      <c r="N55" s="77" t="s">
        <v>33</v>
      </c>
      <c r="O55" s="77" t="s">
        <v>33</v>
      </c>
      <c r="P55" s="77" t="s">
        <v>40</v>
      </c>
      <c r="Q55" s="77" t="s">
        <v>75</v>
      </c>
      <c r="R55" s="37" t="s">
        <v>152</v>
      </c>
      <c r="T55" s="76">
        <f t="shared" si="11"/>
        <v>3</v>
      </c>
      <c r="U55" s="76">
        <f t="shared" si="12"/>
        <v>8</v>
      </c>
      <c r="V55" s="76">
        <f t="shared" si="13"/>
        <v>3</v>
      </c>
      <c r="W55" s="76">
        <f t="shared" si="14"/>
        <v>3</v>
      </c>
      <c r="X55" s="76">
        <f t="shared" si="15"/>
        <v>12</v>
      </c>
      <c r="Y55" s="76">
        <f t="shared" si="16"/>
        <v>6</v>
      </c>
      <c r="Z55" s="76">
        <f t="shared" si="17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53" t="s">
        <v>86</v>
      </c>
      <c r="AK55" s="69">
        <v>0</v>
      </c>
      <c r="AL55" s="130">
        <v>10</v>
      </c>
      <c r="AM55" s="130">
        <v>6</v>
      </c>
      <c r="AN55" s="130">
        <v>2</v>
      </c>
      <c r="AO55" s="130">
        <v>8</v>
      </c>
      <c r="AP55" s="130">
        <v>0</v>
      </c>
      <c r="AQ55" s="71">
        <v>0</v>
      </c>
      <c r="AR55" s="57">
        <v>19</v>
      </c>
      <c r="AT55" s="98" t="s">
        <v>18</v>
      </c>
      <c r="AU55" s="101">
        <v>8</v>
      </c>
      <c r="BD55" s="21">
        <v>51</v>
      </c>
      <c r="BE55" s="77" t="s">
        <v>37</v>
      </c>
      <c r="BF55" s="77" t="s">
        <v>161</v>
      </c>
      <c r="BG55" s="77" t="s">
        <v>75</v>
      </c>
      <c r="BH55" s="77" t="s">
        <v>34</v>
      </c>
      <c r="BI55" s="77" t="s">
        <v>33</v>
      </c>
      <c r="BJ55" s="77" t="s">
        <v>40</v>
      </c>
      <c r="BK55" s="37" t="s">
        <v>75</v>
      </c>
      <c r="BM55" s="76">
        <f t="shared" si="25"/>
        <v>9</v>
      </c>
      <c r="BN55" s="76">
        <f t="shared" si="26"/>
        <v>17</v>
      </c>
      <c r="BO55" s="76">
        <f t="shared" si="27"/>
        <v>6</v>
      </c>
      <c r="BP55" s="76">
        <f t="shared" si="28"/>
        <v>4</v>
      </c>
      <c r="BQ55" s="76">
        <f t="shared" si="29"/>
        <v>3</v>
      </c>
      <c r="BR55" s="76">
        <f t="shared" si="30"/>
        <v>12</v>
      </c>
      <c r="BS55" s="76">
        <f t="shared" si="31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53" t="s">
        <v>86</v>
      </c>
      <c r="CD55" s="54">
        <v>0</v>
      </c>
      <c r="CE55" s="55">
        <v>1</v>
      </c>
      <c r="CF55" s="55">
        <v>1</v>
      </c>
      <c r="CG55" s="55">
        <v>1</v>
      </c>
      <c r="CH55" s="55">
        <v>1</v>
      </c>
      <c r="CI55" s="55">
        <v>0</v>
      </c>
      <c r="CJ55" s="56">
        <v>0</v>
      </c>
      <c r="CK55" s="57">
        <v>19</v>
      </c>
    </row>
    <row r="56" spans="1:89" ht="16.5" customHeight="1" x14ac:dyDescent="0.3">
      <c r="A56" s="98" t="s">
        <v>74</v>
      </c>
      <c r="B56" s="101">
        <v>12</v>
      </c>
      <c r="K56" s="22">
        <v>52</v>
      </c>
      <c r="L56" s="77" t="s">
        <v>40</v>
      </c>
      <c r="M56" s="77" t="s">
        <v>35</v>
      </c>
      <c r="N56" s="77" t="s">
        <v>38</v>
      </c>
      <c r="O56" s="77" t="s">
        <v>196</v>
      </c>
      <c r="P56" s="77" t="s">
        <v>40</v>
      </c>
      <c r="Q56" s="77" t="s">
        <v>38</v>
      </c>
      <c r="R56" s="37" t="s">
        <v>35</v>
      </c>
      <c r="T56" s="76">
        <f t="shared" si="11"/>
        <v>12</v>
      </c>
      <c r="U56" s="76">
        <f t="shared" si="12"/>
        <v>5</v>
      </c>
      <c r="V56" s="76">
        <f t="shared" si="13"/>
        <v>10</v>
      </c>
      <c r="W56" s="76">
        <f t="shared" si="14"/>
        <v>21</v>
      </c>
      <c r="X56" s="76">
        <f t="shared" si="15"/>
        <v>12</v>
      </c>
      <c r="Y56" s="76">
        <f t="shared" si="16"/>
        <v>10</v>
      </c>
      <c r="Z56" s="76">
        <f t="shared" si="17"/>
        <v>5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53" t="s">
        <v>87</v>
      </c>
      <c r="AK56" s="69">
        <v>0</v>
      </c>
      <c r="AL56" s="130">
        <v>5</v>
      </c>
      <c r="AM56" s="130">
        <v>6</v>
      </c>
      <c r="AN56" s="130">
        <v>2</v>
      </c>
      <c r="AO56" s="130">
        <v>4</v>
      </c>
      <c r="AP56" s="130">
        <v>0</v>
      </c>
      <c r="AQ56" s="71">
        <v>0</v>
      </c>
      <c r="AR56" s="57">
        <v>20</v>
      </c>
      <c r="AT56" s="98" t="s">
        <v>74</v>
      </c>
      <c r="AU56" s="101">
        <v>12</v>
      </c>
      <c r="BD56" s="22">
        <v>52</v>
      </c>
      <c r="BE56" s="77" t="s">
        <v>39</v>
      </c>
      <c r="BF56" s="77" t="s">
        <v>38</v>
      </c>
      <c r="BG56" s="77" t="s">
        <v>37</v>
      </c>
      <c r="BH56" s="77" t="s">
        <v>39</v>
      </c>
      <c r="BI56" s="77" t="s">
        <v>39</v>
      </c>
      <c r="BJ56" s="77" t="s">
        <v>25</v>
      </c>
      <c r="BK56" s="37" t="s">
        <v>75</v>
      </c>
      <c r="BM56" s="76">
        <f t="shared" si="25"/>
        <v>11</v>
      </c>
      <c r="BN56" s="76">
        <f t="shared" si="26"/>
        <v>10</v>
      </c>
      <c r="BO56" s="76">
        <f t="shared" si="27"/>
        <v>9</v>
      </c>
      <c r="BP56" s="76">
        <f t="shared" si="28"/>
        <v>11</v>
      </c>
      <c r="BQ56" s="76">
        <f t="shared" si="29"/>
        <v>11</v>
      </c>
      <c r="BR56" s="76">
        <f t="shared" si="30"/>
        <v>8</v>
      </c>
      <c r="BS56" s="76">
        <f t="shared" si="31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53" t="s">
        <v>87</v>
      </c>
      <c r="CD56" s="54">
        <v>0</v>
      </c>
      <c r="CE56" s="55">
        <v>1</v>
      </c>
      <c r="CF56" s="55">
        <v>1</v>
      </c>
      <c r="CG56" s="55">
        <v>1</v>
      </c>
      <c r="CH56" s="55">
        <v>1</v>
      </c>
      <c r="CI56" s="55">
        <v>0</v>
      </c>
      <c r="CJ56" s="56">
        <v>0</v>
      </c>
      <c r="CK56" s="57">
        <v>20</v>
      </c>
    </row>
    <row r="57" spans="1:89" ht="16.5" customHeight="1" thickBot="1" x14ac:dyDescent="0.35">
      <c r="A57" s="98" t="s">
        <v>170</v>
      </c>
      <c r="B57" s="101">
        <v>10</v>
      </c>
      <c r="K57" s="21">
        <v>53</v>
      </c>
      <c r="L57" s="77" t="s">
        <v>39</v>
      </c>
      <c r="M57" s="77" t="s">
        <v>35</v>
      </c>
      <c r="N57" s="77" t="s">
        <v>191</v>
      </c>
      <c r="O57" s="77" t="s">
        <v>75</v>
      </c>
      <c r="P57" s="77" t="s">
        <v>39</v>
      </c>
      <c r="Q57" s="77" t="s">
        <v>75</v>
      </c>
      <c r="R57" s="37" t="s">
        <v>35</v>
      </c>
      <c r="T57" s="76">
        <f t="shared" si="11"/>
        <v>11</v>
      </c>
      <c r="U57" s="76">
        <f t="shared" si="12"/>
        <v>5</v>
      </c>
      <c r="V57" s="76">
        <f t="shared" si="13"/>
        <v>21</v>
      </c>
      <c r="W57" s="76">
        <f t="shared" si="14"/>
        <v>6</v>
      </c>
      <c r="X57" s="76">
        <f t="shared" si="15"/>
        <v>11</v>
      </c>
      <c r="Y57" s="76">
        <f t="shared" si="16"/>
        <v>6</v>
      </c>
      <c r="Z57" s="76">
        <f t="shared" si="17"/>
        <v>5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59" t="s">
        <v>88</v>
      </c>
      <c r="AK57" s="69">
        <v>0</v>
      </c>
      <c r="AL57" s="130">
        <v>4</v>
      </c>
      <c r="AM57" s="130">
        <v>6</v>
      </c>
      <c r="AN57" s="130">
        <v>2</v>
      </c>
      <c r="AO57" s="130">
        <v>4</v>
      </c>
      <c r="AP57" s="130">
        <v>0</v>
      </c>
      <c r="AQ57" s="71">
        <v>0</v>
      </c>
      <c r="AR57" s="63">
        <v>21</v>
      </c>
      <c r="AT57" s="98" t="s">
        <v>170</v>
      </c>
      <c r="AU57" s="101">
        <v>10</v>
      </c>
      <c r="BD57" s="21">
        <v>53</v>
      </c>
      <c r="BE57" s="77" t="s">
        <v>39</v>
      </c>
      <c r="BF57" s="77" t="s">
        <v>38</v>
      </c>
      <c r="BG57" s="77" t="s">
        <v>37</v>
      </c>
      <c r="BH57" s="77" t="s">
        <v>39</v>
      </c>
      <c r="BI57" s="77" t="s">
        <v>25</v>
      </c>
      <c r="BJ57" s="77" t="s">
        <v>38</v>
      </c>
      <c r="BK57" s="37" t="s">
        <v>75</v>
      </c>
      <c r="BM57" s="76">
        <f t="shared" si="25"/>
        <v>11</v>
      </c>
      <c r="BN57" s="76">
        <f t="shared" si="26"/>
        <v>10</v>
      </c>
      <c r="BO57" s="76">
        <f t="shared" si="27"/>
        <v>9</v>
      </c>
      <c r="BP57" s="76">
        <f t="shared" si="28"/>
        <v>11</v>
      </c>
      <c r="BQ57" s="76">
        <f t="shared" si="29"/>
        <v>8</v>
      </c>
      <c r="BR57" s="76">
        <f t="shared" si="30"/>
        <v>10</v>
      </c>
      <c r="BS57" s="76">
        <f t="shared" si="31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59" t="s">
        <v>88</v>
      </c>
      <c r="CD57" s="60">
        <v>0</v>
      </c>
      <c r="CE57" s="61">
        <v>1</v>
      </c>
      <c r="CF57" s="61">
        <v>1</v>
      </c>
      <c r="CG57" s="61">
        <v>1</v>
      </c>
      <c r="CH57" s="61">
        <v>1</v>
      </c>
      <c r="CI57" s="61">
        <v>0</v>
      </c>
      <c r="CJ57" s="62">
        <v>0</v>
      </c>
      <c r="CK57" s="63">
        <v>21</v>
      </c>
    </row>
    <row r="58" spans="1:89" ht="16.5" customHeight="1" x14ac:dyDescent="0.3">
      <c r="A58" s="98" t="s">
        <v>171</v>
      </c>
      <c r="B58" s="101">
        <v>10</v>
      </c>
      <c r="K58" s="22">
        <v>54</v>
      </c>
      <c r="L58" s="77" t="s">
        <v>34</v>
      </c>
      <c r="M58" s="77" t="s">
        <v>192</v>
      </c>
      <c r="N58" s="77" t="s">
        <v>39</v>
      </c>
      <c r="O58" s="77" t="s">
        <v>75</v>
      </c>
      <c r="P58" s="77" t="s">
        <v>35</v>
      </c>
      <c r="Q58" s="77" t="s">
        <v>40</v>
      </c>
      <c r="R58" s="37" t="s">
        <v>35</v>
      </c>
      <c r="T58" s="76">
        <f t="shared" si="11"/>
        <v>4</v>
      </c>
      <c r="U58" s="76">
        <f t="shared" si="12"/>
        <v>22</v>
      </c>
      <c r="V58" s="76">
        <f t="shared" si="13"/>
        <v>11</v>
      </c>
      <c r="W58" s="76">
        <f t="shared" si="14"/>
        <v>6</v>
      </c>
      <c r="X58" s="76">
        <f t="shared" si="15"/>
        <v>5</v>
      </c>
      <c r="Y58" s="76">
        <f t="shared" si="16"/>
        <v>12</v>
      </c>
      <c r="Z58" s="76">
        <f t="shared" si="17"/>
        <v>5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2</v>
      </c>
      <c r="AJ58" s="79" t="s">
        <v>176</v>
      </c>
      <c r="AK58" s="133">
        <v>0</v>
      </c>
      <c r="AL58" s="134">
        <v>10</v>
      </c>
      <c r="AM58" s="134">
        <v>10</v>
      </c>
      <c r="AN58" s="134">
        <v>10</v>
      </c>
      <c r="AO58" s="134">
        <v>10</v>
      </c>
      <c r="AP58" s="134">
        <v>0</v>
      </c>
      <c r="AQ58" s="135">
        <v>0</v>
      </c>
      <c r="AR58" s="58">
        <v>24</v>
      </c>
      <c r="AT58" s="98" t="s">
        <v>171</v>
      </c>
      <c r="AU58" s="101">
        <v>10</v>
      </c>
      <c r="BD58" s="22">
        <v>54</v>
      </c>
      <c r="BE58" s="77" t="s">
        <v>35</v>
      </c>
      <c r="BF58" s="77" t="s">
        <v>40</v>
      </c>
      <c r="BG58" s="77" t="s">
        <v>35</v>
      </c>
      <c r="BH58" s="77" t="s">
        <v>75</v>
      </c>
      <c r="BI58" s="77" t="s">
        <v>25</v>
      </c>
      <c r="BJ58" s="77" t="s">
        <v>38</v>
      </c>
      <c r="BK58" s="37" t="s">
        <v>152</v>
      </c>
      <c r="BM58" s="76">
        <f t="shared" si="25"/>
        <v>5</v>
      </c>
      <c r="BN58" s="76">
        <f t="shared" si="26"/>
        <v>12</v>
      </c>
      <c r="BO58" s="76">
        <f t="shared" si="27"/>
        <v>5</v>
      </c>
      <c r="BP58" s="76">
        <f t="shared" si="28"/>
        <v>6</v>
      </c>
      <c r="BQ58" s="76">
        <f t="shared" si="29"/>
        <v>8</v>
      </c>
      <c r="BR58" s="76">
        <f t="shared" si="30"/>
        <v>10</v>
      </c>
      <c r="BS58" s="76">
        <f t="shared" si="31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79" t="s">
        <v>176</v>
      </c>
      <c r="CD58" s="69">
        <v>0</v>
      </c>
      <c r="CE58" s="130">
        <v>0</v>
      </c>
      <c r="CF58" s="130">
        <v>0</v>
      </c>
      <c r="CG58" s="130">
        <v>0</v>
      </c>
      <c r="CH58" s="130">
        <v>0</v>
      </c>
      <c r="CI58" s="130">
        <v>0</v>
      </c>
      <c r="CJ58" s="71">
        <v>0</v>
      </c>
      <c r="CK58" s="58">
        <v>24</v>
      </c>
    </row>
    <row r="59" spans="1:89" ht="16.5" customHeight="1" thickBot="1" x14ac:dyDescent="0.35">
      <c r="A59" s="103" t="s">
        <v>37</v>
      </c>
      <c r="B59" s="124">
        <v>10</v>
      </c>
      <c r="K59" s="21">
        <v>55</v>
      </c>
      <c r="L59" s="77" t="s">
        <v>34</v>
      </c>
      <c r="M59" s="77" t="s">
        <v>189</v>
      </c>
      <c r="N59" s="77" t="s">
        <v>39</v>
      </c>
      <c r="O59" s="77" t="s">
        <v>25</v>
      </c>
      <c r="P59" s="77" t="s">
        <v>35</v>
      </c>
      <c r="Q59" s="77" t="s">
        <v>40</v>
      </c>
      <c r="R59" s="37" t="s">
        <v>25</v>
      </c>
      <c r="T59" s="76">
        <f t="shared" si="11"/>
        <v>4</v>
      </c>
      <c r="U59" s="76">
        <f t="shared" si="12"/>
        <v>20</v>
      </c>
      <c r="V59" s="76">
        <f t="shared" si="13"/>
        <v>11</v>
      </c>
      <c r="W59" s="76">
        <f t="shared" si="14"/>
        <v>8</v>
      </c>
      <c r="X59" s="76">
        <f t="shared" si="15"/>
        <v>5</v>
      </c>
      <c r="Y59" s="76">
        <f t="shared" si="16"/>
        <v>12</v>
      </c>
      <c r="Z59" s="76">
        <f t="shared" si="17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80" t="s">
        <v>187</v>
      </c>
      <c r="AK59" s="72">
        <v>0</v>
      </c>
      <c r="AL59" s="73">
        <v>1</v>
      </c>
      <c r="AM59" s="73">
        <v>1</v>
      </c>
      <c r="AN59" s="73">
        <v>1</v>
      </c>
      <c r="AO59" s="73">
        <v>1</v>
      </c>
      <c r="AP59" s="73">
        <v>0</v>
      </c>
      <c r="AQ59" s="74">
        <v>0</v>
      </c>
      <c r="AR59" s="63">
        <v>25</v>
      </c>
      <c r="AT59" s="103" t="s">
        <v>37</v>
      </c>
      <c r="AU59" s="124">
        <v>10</v>
      </c>
      <c r="BD59" s="21">
        <v>55</v>
      </c>
      <c r="BE59" s="77" t="s">
        <v>35</v>
      </c>
      <c r="BF59" s="77" t="s">
        <v>39</v>
      </c>
      <c r="BG59" s="77" t="s">
        <v>39</v>
      </c>
      <c r="BH59" s="77" t="s">
        <v>75</v>
      </c>
      <c r="BI59" s="77" t="s">
        <v>33</v>
      </c>
      <c r="BJ59" s="77" t="s">
        <v>75</v>
      </c>
      <c r="BK59" s="37" t="s">
        <v>152</v>
      </c>
      <c r="BM59" s="76">
        <f t="shared" si="25"/>
        <v>5</v>
      </c>
      <c r="BN59" s="76">
        <f t="shared" si="26"/>
        <v>11</v>
      </c>
      <c r="BO59" s="76">
        <f t="shared" si="27"/>
        <v>11</v>
      </c>
      <c r="BP59" s="76">
        <f t="shared" si="28"/>
        <v>6</v>
      </c>
      <c r="BQ59" s="76">
        <f t="shared" si="29"/>
        <v>3</v>
      </c>
      <c r="BR59" s="76">
        <f t="shared" si="30"/>
        <v>6</v>
      </c>
      <c r="BS59" s="76">
        <f t="shared" si="31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80" t="s">
        <v>187</v>
      </c>
      <c r="CD59" s="72">
        <v>0</v>
      </c>
      <c r="CE59" s="73">
        <v>1</v>
      </c>
      <c r="CF59" s="73">
        <v>1</v>
      </c>
      <c r="CG59" s="73">
        <v>1</v>
      </c>
      <c r="CH59" s="73">
        <v>1</v>
      </c>
      <c r="CI59" s="73">
        <v>0</v>
      </c>
      <c r="CJ59" s="74">
        <v>0</v>
      </c>
      <c r="CK59" s="63">
        <v>25</v>
      </c>
    </row>
    <row r="60" spans="1:89" ht="16.5" customHeight="1" x14ac:dyDescent="0.3">
      <c r="A60" s="103" t="s">
        <v>38</v>
      </c>
      <c r="B60" s="124">
        <v>10</v>
      </c>
      <c r="K60" s="22">
        <v>56</v>
      </c>
      <c r="L60" s="77" t="s">
        <v>38</v>
      </c>
      <c r="M60" s="77" t="s">
        <v>37</v>
      </c>
      <c r="N60" s="77" t="s">
        <v>39</v>
      </c>
      <c r="O60" s="77" t="s">
        <v>25</v>
      </c>
      <c r="P60" s="77" t="s">
        <v>39</v>
      </c>
      <c r="Q60" s="77" t="s">
        <v>40</v>
      </c>
      <c r="R60" s="37" t="s">
        <v>75</v>
      </c>
      <c r="T60" s="76">
        <f t="shared" si="11"/>
        <v>10</v>
      </c>
      <c r="U60" s="76">
        <f t="shared" si="12"/>
        <v>9</v>
      </c>
      <c r="V60" s="76">
        <f t="shared" si="13"/>
        <v>11</v>
      </c>
      <c r="W60" s="76">
        <f t="shared" si="14"/>
        <v>8</v>
      </c>
      <c r="X60" s="76">
        <f t="shared" si="15"/>
        <v>11</v>
      </c>
      <c r="Y60" s="76">
        <f t="shared" si="16"/>
        <v>12</v>
      </c>
      <c r="Z60" s="76">
        <f t="shared" si="17"/>
        <v>6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82"/>
      <c r="AK60" s="82"/>
      <c r="AL60" s="82"/>
      <c r="AM60" s="82"/>
      <c r="AN60" s="82"/>
      <c r="AO60" s="82"/>
      <c r="AP60" s="82"/>
      <c r="AQ60" s="82"/>
      <c r="AR60" s="82"/>
      <c r="AT60" s="103" t="s">
        <v>38</v>
      </c>
      <c r="AU60" s="124">
        <v>10</v>
      </c>
      <c r="BD60" s="22">
        <v>56</v>
      </c>
      <c r="BE60" s="77" t="s">
        <v>40</v>
      </c>
      <c r="BF60" s="77" t="s">
        <v>39</v>
      </c>
      <c r="BG60" s="77" t="s">
        <v>39</v>
      </c>
      <c r="BH60" s="77" t="s">
        <v>161</v>
      </c>
      <c r="BI60" s="77" t="s">
        <v>33</v>
      </c>
      <c r="BJ60" s="77" t="s">
        <v>25</v>
      </c>
      <c r="BK60" s="37" t="s">
        <v>152</v>
      </c>
      <c r="BM60" s="76">
        <f t="shared" si="25"/>
        <v>12</v>
      </c>
      <c r="BN60" s="76">
        <f t="shared" si="26"/>
        <v>11</v>
      </c>
      <c r="BO60" s="76">
        <f t="shared" si="27"/>
        <v>11</v>
      </c>
      <c r="BP60" s="76">
        <f t="shared" si="28"/>
        <v>17</v>
      </c>
      <c r="BQ60" s="76">
        <f t="shared" si="29"/>
        <v>3</v>
      </c>
      <c r="BR60" s="76">
        <f t="shared" si="30"/>
        <v>8</v>
      </c>
      <c r="BS60" s="76">
        <f t="shared" si="31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82"/>
      <c r="CD60" s="82"/>
      <c r="CE60" s="82"/>
      <c r="CF60" s="82"/>
      <c r="CG60" s="82"/>
      <c r="CH60" s="82"/>
      <c r="CI60" s="82"/>
      <c r="CJ60" s="82"/>
      <c r="CK60" s="82"/>
    </row>
    <row r="61" spans="1:89" ht="16.8" thickBot="1" x14ac:dyDescent="0.35">
      <c r="A61" s="103" t="s">
        <v>39</v>
      </c>
      <c r="B61" s="124">
        <v>10</v>
      </c>
      <c r="K61" s="21">
        <v>57</v>
      </c>
      <c r="L61" s="77" t="s">
        <v>40</v>
      </c>
      <c r="M61" s="77" t="s">
        <v>37</v>
      </c>
      <c r="N61" s="77" t="s">
        <v>152</v>
      </c>
      <c r="O61" s="77" t="s">
        <v>25</v>
      </c>
      <c r="P61" s="77" t="s">
        <v>35</v>
      </c>
      <c r="Q61" s="77" t="s">
        <v>25</v>
      </c>
      <c r="R61" s="37" t="s">
        <v>75</v>
      </c>
      <c r="T61" s="76">
        <f t="shared" si="11"/>
        <v>12</v>
      </c>
      <c r="U61" s="76">
        <f t="shared" si="12"/>
        <v>9</v>
      </c>
      <c r="V61" s="76">
        <f t="shared" si="13"/>
        <v>7</v>
      </c>
      <c r="W61" s="76">
        <f t="shared" si="14"/>
        <v>8</v>
      </c>
      <c r="X61" s="76">
        <f t="shared" si="15"/>
        <v>5</v>
      </c>
      <c r="Y61" s="76">
        <f t="shared" si="16"/>
        <v>8</v>
      </c>
      <c r="Z61" s="76">
        <f t="shared" si="17"/>
        <v>6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82"/>
      <c r="AK61" s="245" t="s">
        <v>94</v>
      </c>
      <c r="AL61" s="245"/>
      <c r="AM61" s="245"/>
      <c r="AN61" s="245"/>
      <c r="AO61" s="245"/>
      <c r="AP61" s="245"/>
      <c r="AQ61" s="245"/>
      <c r="AR61" s="245"/>
      <c r="AT61" s="103" t="s">
        <v>39</v>
      </c>
      <c r="AU61" s="124">
        <v>10</v>
      </c>
      <c r="BD61" s="21">
        <v>57</v>
      </c>
      <c r="BE61" s="77" t="s">
        <v>40</v>
      </c>
      <c r="BF61" s="77" t="s">
        <v>38</v>
      </c>
      <c r="BG61" s="77" t="s">
        <v>40</v>
      </c>
      <c r="BH61" s="77" t="s">
        <v>35</v>
      </c>
      <c r="BI61" s="77" t="s">
        <v>39</v>
      </c>
      <c r="BJ61" s="77" t="s">
        <v>37</v>
      </c>
      <c r="BK61" s="37" t="s">
        <v>37</v>
      </c>
      <c r="BM61" s="76">
        <f t="shared" si="25"/>
        <v>12</v>
      </c>
      <c r="BN61" s="76">
        <f t="shared" si="26"/>
        <v>10</v>
      </c>
      <c r="BO61" s="76">
        <f t="shared" si="27"/>
        <v>12</v>
      </c>
      <c r="BP61" s="76">
        <f t="shared" si="28"/>
        <v>5</v>
      </c>
      <c r="BQ61" s="76">
        <f t="shared" si="29"/>
        <v>11</v>
      </c>
      <c r="BR61" s="76">
        <f t="shared" si="30"/>
        <v>9</v>
      </c>
      <c r="BS61" s="76">
        <f t="shared" si="31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82"/>
      <c r="CD61" s="245" t="s">
        <v>94</v>
      </c>
      <c r="CE61" s="245"/>
      <c r="CF61" s="245"/>
      <c r="CG61" s="245"/>
      <c r="CH61" s="245"/>
      <c r="CI61" s="245"/>
      <c r="CJ61" s="245"/>
      <c r="CK61" s="245"/>
    </row>
    <row r="62" spans="1:89" ht="16.8" thickBot="1" x14ac:dyDescent="0.35">
      <c r="A62" s="104" t="s">
        <v>40</v>
      </c>
      <c r="B62" s="125">
        <v>10</v>
      </c>
      <c r="K62" s="22">
        <v>58</v>
      </c>
      <c r="L62" s="77" t="s">
        <v>152</v>
      </c>
      <c r="M62" s="77" t="s">
        <v>75</v>
      </c>
      <c r="N62" s="77" t="s">
        <v>152</v>
      </c>
      <c r="O62" s="77" t="s">
        <v>152</v>
      </c>
      <c r="P62" s="77" t="s">
        <v>39</v>
      </c>
      <c r="Q62" s="77" t="s">
        <v>75</v>
      </c>
      <c r="R62" s="37" t="s">
        <v>39</v>
      </c>
      <c r="T62" s="76">
        <f t="shared" si="11"/>
        <v>7</v>
      </c>
      <c r="U62" s="76">
        <f t="shared" si="12"/>
        <v>6</v>
      </c>
      <c r="V62" s="76">
        <f t="shared" si="13"/>
        <v>7</v>
      </c>
      <c r="W62" s="76">
        <f t="shared" si="14"/>
        <v>7</v>
      </c>
      <c r="X62" s="76">
        <f t="shared" si="15"/>
        <v>11</v>
      </c>
      <c r="Y62" s="76">
        <f t="shared" si="16"/>
        <v>6</v>
      </c>
      <c r="Z62" s="76">
        <f t="shared" si="17"/>
        <v>11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44" t="s">
        <v>52</v>
      </c>
      <c r="AK62" s="45" t="s">
        <v>12</v>
      </c>
      <c r="AL62" s="45" t="s">
        <v>13</v>
      </c>
      <c r="AM62" s="45" t="s">
        <v>14</v>
      </c>
      <c r="AN62" s="45" t="s">
        <v>15</v>
      </c>
      <c r="AO62" s="45" t="s">
        <v>16</v>
      </c>
      <c r="AP62" s="45" t="s">
        <v>56</v>
      </c>
      <c r="AQ62" s="46" t="s">
        <v>76</v>
      </c>
      <c r="AR62" s="47" t="s">
        <v>3</v>
      </c>
      <c r="AT62" s="104" t="s">
        <v>40</v>
      </c>
      <c r="AU62" s="125">
        <v>10</v>
      </c>
      <c r="BD62" s="22">
        <v>58</v>
      </c>
      <c r="BE62" s="77" t="s">
        <v>152</v>
      </c>
      <c r="BF62" s="77" t="s">
        <v>97</v>
      </c>
      <c r="BG62" s="77" t="s">
        <v>25</v>
      </c>
      <c r="BH62" s="77" t="s">
        <v>25</v>
      </c>
      <c r="BI62" s="77" t="s">
        <v>39</v>
      </c>
      <c r="BJ62" s="77" t="s">
        <v>25</v>
      </c>
      <c r="BK62" s="37" t="s">
        <v>37</v>
      </c>
      <c r="BM62" s="76">
        <f t="shared" si="25"/>
        <v>7</v>
      </c>
      <c r="BN62" s="76">
        <f t="shared" si="26"/>
        <v>14</v>
      </c>
      <c r="BO62" s="76">
        <f t="shared" si="27"/>
        <v>8</v>
      </c>
      <c r="BP62" s="76">
        <f t="shared" si="28"/>
        <v>8</v>
      </c>
      <c r="BQ62" s="76">
        <f t="shared" si="29"/>
        <v>11</v>
      </c>
      <c r="BR62" s="76">
        <f t="shared" si="30"/>
        <v>8</v>
      </c>
      <c r="BS62" s="76">
        <f t="shared" si="31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44" t="s">
        <v>52</v>
      </c>
      <c r="CD62" s="45" t="s">
        <v>12</v>
      </c>
      <c r="CE62" s="45" t="s">
        <v>13</v>
      </c>
      <c r="CF62" s="45" t="s">
        <v>14</v>
      </c>
      <c r="CG62" s="45" t="s">
        <v>15</v>
      </c>
      <c r="CH62" s="45" t="s">
        <v>16</v>
      </c>
      <c r="CI62" s="45" t="s">
        <v>56</v>
      </c>
      <c r="CJ62" s="46" t="s">
        <v>76</v>
      </c>
      <c r="CK62" s="47" t="s">
        <v>3</v>
      </c>
    </row>
    <row r="63" spans="1:89" ht="16.5" customHeight="1" thickBot="1" x14ac:dyDescent="0.35">
      <c r="K63" s="21">
        <v>59</v>
      </c>
      <c r="L63" s="77" t="s">
        <v>152</v>
      </c>
      <c r="M63" s="77" t="s">
        <v>188</v>
      </c>
      <c r="N63" s="77" t="s">
        <v>37</v>
      </c>
      <c r="O63" s="77" t="s">
        <v>152</v>
      </c>
      <c r="P63" s="77" t="s">
        <v>40</v>
      </c>
      <c r="Q63" s="77" t="s">
        <v>75</v>
      </c>
      <c r="R63" s="77" t="s">
        <v>38</v>
      </c>
      <c r="T63" s="76">
        <f t="shared" si="11"/>
        <v>7</v>
      </c>
      <c r="U63" s="76">
        <f t="shared" si="12"/>
        <v>23</v>
      </c>
      <c r="V63" s="76">
        <f t="shared" si="13"/>
        <v>9</v>
      </c>
      <c r="W63" s="76">
        <f t="shared" si="14"/>
        <v>7</v>
      </c>
      <c r="X63" s="76">
        <f t="shared" si="15"/>
        <v>12</v>
      </c>
      <c r="Y63" s="76">
        <f t="shared" si="16"/>
        <v>6</v>
      </c>
      <c r="Z63" s="76">
        <f t="shared" si="17"/>
        <v>10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48" t="s">
        <v>78</v>
      </c>
      <c r="AK63" s="49">
        <v>0</v>
      </c>
      <c r="AL63" s="50">
        <v>0</v>
      </c>
      <c r="AM63" s="50">
        <v>0</v>
      </c>
      <c r="AN63" s="50">
        <v>0</v>
      </c>
      <c r="AO63" s="50">
        <v>0</v>
      </c>
      <c r="AP63" s="50">
        <v>0</v>
      </c>
      <c r="AQ63" s="51">
        <v>0</v>
      </c>
      <c r="AR63" s="52">
        <v>0</v>
      </c>
      <c r="BD63" s="21">
        <v>59</v>
      </c>
      <c r="BE63" s="77" t="s">
        <v>37</v>
      </c>
      <c r="BF63" s="77" t="s">
        <v>75</v>
      </c>
      <c r="BG63" s="77" t="s">
        <v>40</v>
      </c>
      <c r="BH63" s="77" t="s">
        <v>34</v>
      </c>
      <c r="BI63" s="77" t="s">
        <v>152</v>
      </c>
      <c r="BJ63" s="77" t="s">
        <v>75</v>
      </c>
      <c r="BK63" s="77" t="s">
        <v>34</v>
      </c>
      <c r="BM63" s="76">
        <f t="shared" si="25"/>
        <v>9</v>
      </c>
      <c r="BN63" s="76">
        <f t="shared" si="26"/>
        <v>6</v>
      </c>
      <c r="BO63" s="76">
        <f t="shared" si="27"/>
        <v>12</v>
      </c>
      <c r="BP63" s="76">
        <f t="shared" si="28"/>
        <v>4</v>
      </c>
      <c r="BQ63" s="76">
        <f t="shared" si="29"/>
        <v>7</v>
      </c>
      <c r="BR63" s="76">
        <f t="shared" si="30"/>
        <v>6</v>
      </c>
      <c r="BS63" s="76">
        <f t="shared" si="31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48" t="s">
        <v>78</v>
      </c>
      <c r="CD63" s="49">
        <v>0</v>
      </c>
      <c r="CE63" s="50">
        <v>0</v>
      </c>
      <c r="CF63" s="50">
        <v>0</v>
      </c>
      <c r="CG63" s="50">
        <v>0</v>
      </c>
      <c r="CH63" s="50">
        <v>0</v>
      </c>
      <c r="CI63" s="50">
        <v>0</v>
      </c>
      <c r="CJ63" s="51">
        <v>0</v>
      </c>
      <c r="CK63" s="52">
        <v>0</v>
      </c>
    </row>
    <row r="64" spans="1:89" ht="16.5" customHeight="1" thickBot="1" x14ac:dyDescent="0.35">
      <c r="A64" s="115" t="s">
        <v>177</v>
      </c>
      <c r="B64" s="116" t="s">
        <v>51</v>
      </c>
      <c r="K64" s="22">
        <v>60</v>
      </c>
      <c r="L64" s="77" t="s">
        <v>39</v>
      </c>
      <c r="M64" s="77" t="s">
        <v>40</v>
      </c>
      <c r="N64" s="77" t="s">
        <v>75</v>
      </c>
      <c r="O64" s="77" t="s">
        <v>25</v>
      </c>
      <c r="P64" s="77" t="s">
        <v>40</v>
      </c>
      <c r="Q64" s="77" t="s">
        <v>25</v>
      </c>
      <c r="R64" s="37" t="s">
        <v>38</v>
      </c>
      <c r="T64" s="76">
        <f t="shared" si="11"/>
        <v>11</v>
      </c>
      <c r="U64" s="76">
        <f t="shared" si="12"/>
        <v>12</v>
      </c>
      <c r="V64" s="76">
        <f t="shared" si="13"/>
        <v>6</v>
      </c>
      <c r="W64" s="76">
        <f t="shared" si="14"/>
        <v>8</v>
      </c>
      <c r="X64" s="76">
        <f t="shared" si="15"/>
        <v>12</v>
      </c>
      <c r="Y64" s="76">
        <f t="shared" si="16"/>
        <v>8</v>
      </c>
      <c r="Z64" s="76">
        <f t="shared" si="17"/>
        <v>10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53" t="s">
        <v>19</v>
      </c>
      <c r="AK64" s="69">
        <v>0</v>
      </c>
      <c r="AL64" s="130">
        <v>0</v>
      </c>
      <c r="AM64" s="130">
        <v>0</v>
      </c>
      <c r="AN64" s="130">
        <v>0</v>
      </c>
      <c r="AO64" s="130">
        <v>0</v>
      </c>
      <c r="AP64" s="130">
        <v>0</v>
      </c>
      <c r="AQ64" s="71">
        <v>0</v>
      </c>
      <c r="AR64" s="57">
        <v>1</v>
      </c>
      <c r="AT64" s="115" t="s">
        <v>177</v>
      </c>
      <c r="AU64" s="116" t="s">
        <v>51</v>
      </c>
      <c r="BD64" s="22">
        <v>60</v>
      </c>
      <c r="BE64" s="77" t="s">
        <v>37</v>
      </c>
      <c r="BF64" s="77" t="s">
        <v>161</v>
      </c>
      <c r="BG64" s="77" t="s">
        <v>188</v>
      </c>
      <c r="BH64" s="77" t="s">
        <v>34</v>
      </c>
      <c r="BI64" s="77" t="s">
        <v>39</v>
      </c>
      <c r="BJ64" s="77" t="s">
        <v>25</v>
      </c>
      <c r="BK64" s="37" t="s">
        <v>34</v>
      </c>
      <c r="BM64" s="76">
        <f t="shared" si="25"/>
        <v>9</v>
      </c>
      <c r="BN64" s="76">
        <f t="shared" si="26"/>
        <v>17</v>
      </c>
      <c r="BO64" s="76">
        <f t="shared" si="27"/>
        <v>23</v>
      </c>
      <c r="BP64" s="76">
        <f t="shared" si="28"/>
        <v>4</v>
      </c>
      <c r="BQ64" s="76">
        <f t="shared" si="29"/>
        <v>11</v>
      </c>
      <c r="BR64" s="76">
        <f t="shared" si="30"/>
        <v>8</v>
      </c>
      <c r="BS64" s="76">
        <f t="shared" si="31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53" t="s">
        <v>19</v>
      </c>
      <c r="CD64" s="69">
        <v>0</v>
      </c>
      <c r="CE64" s="130">
        <v>0</v>
      </c>
      <c r="CF64" s="130">
        <v>0</v>
      </c>
      <c r="CG64" s="130">
        <v>0</v>
      </c>
      <c r="CH64" s="130">
        <v>0</v>
      </c>
      <c r="CI64" s="130">
        <v>0</v>
      </c>
      <c r="CJ64" s="71">
        <v>0</v>
      </c>
      <c r="CK64" s="57">
        <v>1</v>
      </c>
    </row>
    <row r="65" spans="1:89" ht="16.5" customHeight="1" x14ac:dyDescent="0.3">
      <c r="A65" s="117">
        <v>0</v>
      </c>
      <c r="B65" s="107">
        <v>1000</v>
      </c>
      <c r="K65" s="21">
        <v>61</v>
      </c>
      <c r="L65" s="77" t="s">
        <v>25</v>
      </c>
      <c r="M65" s="77" t="s">
        <v>40</v>
      </c>
      <c r="N65" s="77" t="s">
        <v>75</v>
      </c>
      <c r="O65" s="77" t="s">
        <v>38</v>
      </c>
      <c r="P65" s="77" t="s">
        <v>152</v>
      </c>
      <c r="Q65" s="77" t="s">
        <v>25</v>
      </c>
      <c r="R65" s="37" t="s">
        <v>38</v>
      </c>
      <c r="T65" s="76">
        <f t="shared" si="11"/>
        <v>8</v>
      </c>
      <c r="U65" s="76">
        <f t="shared" si="12"/>
        <v>12</v>
      </c>
      <c r="V65" s="76">
        <f t="shared" si="13"/>
        <v>6</v>
      </c>
      <c r="W65" s="76">
        <f t="shared" si="14"/>
        <v>10</v>
      </c>
      <c r="X65" s="76">
        <f t="shared" si="15"/>
        <v>7</v>
      </c>
      <c r="Y65" s="76">
        <f t="shared" si="16"/>
        <v>8</v>
      </c>
      <c r="Z65" s="76">
        <f t="shared" si="17"/>
        <v>10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53" t="s">
        <v>20</v>
      </c>
      <c r="AK65" s="69">
        <v>6</v>
      </c>
      <c r="AL65" s="130">
        <v>6</v>
      </c>
      <c r="AM65" s="130">
        <v>6</v>
      </c>
      <c r="AN65" s="130">
        <v>6</v>
      </c>
      <c r="AO65" s="130">
        <v>6</v>
      </c>
      <c r="AP65" s="130">
        <v>6</v>
      </c>
      <c r="AQ65" s="71">
        <v>4</v>
      </c>
      <c r="AR65" s="57">
        <v>2</v>
      </c>
      <c r="AT65" s="117">
        <v>0</v>
      </c>
      <c r="AU65" s="107">
        <v>100</v>
      </c>
      <c r="BD65" s="21">
        <v>61</v>
      </c>
      <c r="BE65" s="77" t="s">
        <v>39</v>
      </c>
      <c r="BF65" s="77" t="s">
        <v>25</v>
      </c>
      <c r="BG65" s="77" t="s">
        <v>37</v>
      </c>
      <c r="BH65" s="77" t="s">
        <v>34</v>
      </c>
      <c r="BI65" s="77" t="s">
        <v>39</v>
      </c>
      <c r="BJ65" s="77" t="s">
        <v>25</v>
      </c>
      <c r="BK65" s="37" t="s">
        <v>34</v>
      </c>
      <c r="BM65" s="76">
        <f t="shared" si="25"/>
        <v>11</v>
      </c>
      <c r="BN65" s="76">
        <f t="shared" si="26"/>
        <v>8</v>
      </c>
      <c r="BO65" s="76">
        <f t="shared" si="27"/>
        <v>9</v>
      </c>
      <c r="BP65" s="76">
        <f t="shared" si="28"/>
        <v>4</v>
      </c>
      <c r="BQ65" s="76">
        <f t="shared" si="29"/>
        <v>11</v>
      </c>
      <c r="BR65" s="76">
        <f t="shared" si="30"/>
        <v>8</v>
      </c>
      <c r="BS65" s="76">
        <f t="shared" si="31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53" t="s">
        <v>20</v>
      </c>
      <c r="CD65" s="54">
        <v>1</v>
      </c>
      <c r="CE65" s="55">
        <v>1</v>
      </c>
      <c r="CF65" s="55">
        <v>1</v>
      </c>
      <c r="CG65" s="55">
        <v>1</v>
      </c>
      <c r="CH65" s="55">
        <v>1</v>
      </c>
      <c r="CI65" s="55">
        <v>1</v>
      </c>
      <c r="CJ65" s="56">
        <v>0</v>
      </c>
      <c r="CK65" s="57">
        <v>2</v>
      </c>
    </row>
    <row r="66" spans="1:89" ht="16.5" customHeight="1" x14ac:dyDescent="0.3">
      <c r="A66" s="118">
        <v>1</v>
      </c>
      <c r="B66" s="108">
        <v>50</v>
      </c>
      <c r="K66" s="22">
        <v>62</v>
      </c>
      <c r="L66" s="77" t="s">
        <v>25</v>
      </c>
      <c r="M66" s="77" t="s">
        <v>37</v>
      </c>
      <c r="N66" s="77" t="s">
        <v>40</v>
      </c>
      <c r="O66" s="77" t="s">
        <v>40</v>
      </c>
      <c r="P66" s="77" t="s">
        <v>152</v>
      </c>
      <c r="Q66" s="77" t="s">
        <v>38</v>
      </c>
      <c r="R66" s="37" t="s">
        <v>39</v>
      </c>
      <c r="T66" s="76">
        <f t="shared" si="11"/>
        <v>8</v>
      </c>
      <c r="U66" s="76">
        <f t="shared" si="12"/>
        <v>9</v>
      </c>
      <c r="V66" s="76">
        <f t="shared" si="13"/>
        <v>12</v>
      </c>
      <c r="W66" s="76">
        <f t="shared" si="14"/>
        <v>12</v>
      </c>
      <c r="X66" s="76">
        <f t="shared" si="15"/>
        <v>7</v>
      </c>
      <c r="Y66" s="76">
        <f t="shared" si="16"/>
        <v>10</v>
      </c>
      <c r="Z66" s="76">
        <f t="shared" si="17"/>
        <v>11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53" t="s">
        <v>21</v>
      </c>
      <c r="AK66" s="69">
        <v>10</v>
      </c>
      <c r="AL66" s="130">
        <v>13</v>
      </c>
      <c r="AM66" s="130">
        <v>10</v>
      </c>
      <c r="AN66" s="130">
        <v>5</v>
      </c>
      <c r="AO66" s="130">
        <v>20</v>
      </c>
      <c r="AP66" s="130">
        <v>5</v>
      </c>
      <c r="AQ66" s="71">
        <v>10</v>
      </c>
      <c r="AR66" s="57">
        <v>3</v>
      </c>
      <c r="AT66" s="118">
        <v>1</v>
      </c>
      <c r="AU66" s="108">
        <v>0</v>
      </c>
      <c r="BD66" s="22">
        <v>62</v>
      </c>
      <c r="BE66" s="77" t="s">
        <v>37</v>
      </c>
      <c r="BF66" s="77" t="s">
        <v>25</v>
      </c>
      <c r="BG66" s="77" t="s">
        <v>37</v>
      </c>
      <c r="BH66" s="77" t="s">
        <v>38</v>
      </c>
      <c r="BI66" s="77" t="s">
        <v>37</v>
      </c>
      <c r="BJ66" s="77" t="s">
        <v>37</v>
      </c>
      <c r="BK66" s="37" t="s">
        <v>37</v>
      </c>
      <c r="BM66" s="76">
        <f t="shared" si="25"/>
        <v>9</v>
      </c>
      <c r="BN66" s="76">
        <f t="shared" si="26"/>
        <v>8</v>
      </c>
      <c r="BO66" s="76">
        <f t="shared" si="27"/>
        <v>9</v>
      </c>
      <c r="BP66" s="76">
        <f t="shared" si="28"/>
        <v>10</v>
      </c>
      <c r="BQ66" s="76">
        <f t="shared" si="29"/>
        <v>9</v>
      </c>
      <c r="BR66" s="76">
        <f t="shared" si="30"/>
        <v>9</v>
      </c>
      <c r="BS66" s="76">
        <f t="shared" si="31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53" t="s">
        <v>21</v>
      </c>
      <c r="CD66" s="54">
        <v>1</v>
      </c>
      <c r="CE66" s="55">
        <v>70</v>
      </c>
      <c r="CF66" s="55">
        <v>1</v>
      </c>
      <c r="CG66" s="55">
        <v>70</v>
      </c>
      <c r="CH66" s="55">
        <v>1</v>
      </c>
      <c r="CI66" s="55">
        <v>1</v>
      </c>
      <c r="CJ66" s="56">
        <v>0</v>
      </c>
      <c r="CK66" s="57">
        <v>3</v>
      </c>
    </row>
    <row r="67" spans="1:89" ht="16.5" customHeight="1" x14ac:dyDescent="0.3">
      <c r="A67" s="118">
        <v>2</v>
      </c>
      <c r="B67" s="108">
        <v>20</v>
      </c>
      <c r="K67" s="21">
        <v>63</v>
      </c>
      <c r="L67" s="77" t="s">
        <v>176</v>
      </c>
      <c r="M67" s="77" t="s">
        <v>176</v>
      </c>
      <c r="N67" s="77" t="s">
        <v>176</v>
      </c>
      <c r="O67" s="77" t="s">
        <v>176</v>
      </c>
      <c r="P67" s="77" t="s">
        <v>176</v>
      </c>
      <c r="Q67" s="77" t="s">
        <v>176</v>
      </c>
      <c r="R67" s="37" t="s">
        <v>176</v>
      </c>
      <c r="T67" s="76">
        <f t="shared" si="11"/>
        <v>24</v>
      </c>
      <c r="U67" s="76">
        <f t="shared" si="12"/>
        <v>24</v>
      </c>
      <c r="V67" s="76">
        <f t="shared" si="13"/>
        <v>24</v>
      </c>
      <c r="W67" s="76">
        <f t="shared" si="14"/>
        <v>24</v>
      </c>
      <c r="X67" s="76">
        <f t="shared" si="15"/>
        <v>24</v>
      </c>
      <c r="Y67" s="76">
        <f t="shared" si="16"/>
        <v>24</v>
      </c>
      <c r="Z67" s="76">
        <f t="shared" si="17"/>
        <v>24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53" t="s">
        <v>17</v>
      </c>
      <c r="AK67" s="69">
        <v>12</v>
      </c>
      <c r="AL67" s="130">
        <v>10</v>
      </c>
      <c r="AM67" s="130">
        <v>15</v>
      </c>
      <c r="AN67" s="130">
        <v>5</v>
      </c>
      <c r="AO67" s="130">
        <v>18</v>
      </c>
      <c r="AP67" s="130">
        <v>20</v>
      </c>
      <c r="AQ67" s="71">
        <v>10</v>
      </c>
      <c r="AR67" s="57">
        <v>4</v>
      </c>
      <c r="AT67" s="118">
        <v>2</v>
      </c>
      <c r="AU67" s="108">
        <v>20</v>
      </c>
      <c r="BD67" s="21">
        <v>63</v>
      </c>
      <c r="BE67" s="77" t="s">
        <v>40</v>
      </c>
      <c r="BF67" s="77" t="s">
        <v>75</v>
      </c>
      <c r="BG67" s="77" t="s">
        <v>37</v>
      </c>
      <c r="BH67" s="77" t="s">
        <v>38</v>
      </c>
      <c r="BI67" s="77" t="s">
        <v>35</v>
      </c>
      <c r="BJ67" s="77" t="s">
        <v>40</v>
      </c>
      <c r="BK67" s="37" t="s">
        <v>37</v>
      </c>
      <c r="BM67" s="76">
        <f t="shared" si="25"/>
        <v>12</v>
      </c>
      <c r="BN67" s="76">
        <f t="shared" si="26"/>
        <v>6</v>
      </c>
      <c r="BO67" s="76">
        <f t="shared" si="27"/>
        <v>9</v>
      </c>
      <c r="BP67" s="76">
        <f t="shared" si="28"/>
        <v>10</v>
      </c>
      <c r="BQ67" s="76">
        <f t="shared" si="29"/>
        <v>5</v>
      </c>
      <c r="BR67" s="76">
        <f t="shared" si="30"/>
        <v>12</v>
      </c>
      <c r="BS67" s="76">
        <f t="shared" si="31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53" t="s">
        <v>17</v>
      </c>
      <c r="CD67" s="54">
        <v>1</v>
      </c>
      <c r="CE67" s="55">
        <v>1</v>
      </c>
      <c r="CF67" s="55">
        <v>5</v>
      </c>
      <c r="CG67" s="55">
        <v>1</v>
      </c>
      <c r="CH67" s="55">
        <v>1</v>
      </c>
      <c r="CI67" s="55">
        <v>70</v>
      </c>
      <c r="CJ67" s="56">
        <v>1</v>
      </c>
      <c r="CK67" s="57">
        <v>4</v>
      </c>
    </row>
    <row r="68" spans="1:89" ht="16.5" customHeight="1" x14ac:dyDescent="0.3">
      <c r="A68" s="118">
        <v>3</v>
      </c>
      <c r="B68" s="108">
        <v>10</v>
      </c>
      <c r="K68" s="22">
        <v>64</v>
      </c>
      <c r="L68" s="77" t="s">
        <v>176</v>
      </c>
      <c r="M68" s="77" t="s">
        <v>176</v>
      </c>
      <c r="N68" s="77" t="s">
        <v>176</v>
      </c>
      <c r="O68" s="77" t="s">
        <v>176</v>
      </c>
      <c r="P68" s="77" t="s">
        <v>176</v>
      </c>
      <c r="Q68" s="77" t="s">
        <v>176</v>
      </c>
      <c r="R68" s="37" t="s">
        <v>176</v>
      </c>
      <c r="T68" s="76">
        <f t="shared" si="11"/>
        <v>24</v>
      </c>
      <c r="U68" s="76">
        <f t="shared" si="12"/>
        <v>24</v>
      </c>
      <c r="V68" s="76">
        <f t="shared" si="13"/>
        <v>24</v>
      </c>
      <c r="W68" s="76">
        <f t="shared" si="14"/>
        <v>24</v>
      </c>
      <c r="X68" s="76">
        <f t="shared" si="15"/>
        <v>24</v>
      </c>
      <c r="Y68" s="76">
        <f t="shared" si="16"/>
        <v>24</v>
      </c>
      <c r="Z68" s="76">
        <f t="shared" si="17"/>
        <v>24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53" t="s">
        <v>18</v>
      </c>
      <c r="AK68" s="69">
        <v>10</v>
      </c>
      <c r="AL68" s="130">
        <v>20</v>
      </c>
      <c r="AM68" s="130">
        <v>20</v>
      </c>
      <c r="AN68" s="130">
        <v>20</v>
      </c>
      <c r="AO68" s="130">
        <v>10</v>
      </c>
      <c r="AP68" s="130">
        <v>20</v>
      </c>
      <c r="AQ68" s="71">
        <v>10</v>
      </c>
      <c r="AR68" s="57">
        <v>5</v>
      </c>
      <c r="AT68" s="118">
        <v>3</v>
      </c>
      <c r="AU68" s="108">
        <v>100</v>
      </c>
      <c r="BD68" s="22">
        <v>64</v>
      </c>
      <c r="BE68" s="77" t="s">
        <v>34</v>
      </c>
      <c r="BF68" s="77" t="s">
        <v>38</v>
      </c>
      <c r="BG68" s="77" t="s">
        <v>35</v>
      </c>
      <c r="BH68" s="77" t="s">
        <v>40</v>
      </c>
      <c r="BI68" s="77" t="s">
        <v>152</v>
      </c>
      <c r="BJ68" s="77" t="s">
        <v>40</v>
      </c>
      <c r="BK68" s="37" t="s">
        <v>39</v>
      </c>
      <c r="BM68" s="76">
        <f t="shared" si="25"/>
        <v>4</v>
      </c>
      <c r="BN68" s="76">
        <f t="shared" si="26"/>
        <v>10</v>
      </c>
      <c r="BO68" s="76">
        <f t="shared" si="27"/>
        <v>5</v>
      </c>
      <c r="BP68" s="76">
        <f t="shared" si="28"/>
        <v>12</v>
      </c>
      <c r="BQ68" s="76">
        <f t="shared" si="29"/>
        <v>7</v>
      </c>
      <c r="BR68" s="76">
        <f t="shared" si="30"/>
        <v>12</v>
      </c>
      <c r="BS68" s="76">
        <f t="shared" si="31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53" t="s">
        <v>18</v>
      </c>
      <c r="CD68" s="54">
        <v>1</v>
      </c>
      <c r="CE68" s="55">
        <v>70</v>
      </c>
      <c r="CF68" s="55">
        <v>1</v>
      </c>
      <c r="CG68" s="55">
        <v>1</v>
      </c>
      <c r="CH68" s="55">
        <v>1</v>
      </c>
      <c r="CI68" s="55">
        <v>70</v>
      </c>
      <c r="CJ68" s="56">
        <v>1</v>
      </c>
      <c r="CK68" s="57">
        <v>5</v>
      </c>
    </row>
    <row r="69" spans="1:89" ht="16.5" customHeight="1" x14ac:dyDescent="0.3">
      <c r="A69" s="118">
        <v>4</v>
      </c>
      <c r="B69" s="108">
        <v>1</v>
      </c>
      <c r="K69" s="21">
        <v>65</v>
      </c>
      <c r="L69" s="77" t="s">
        <v>152</v>
      </c>
      <c r="M69" s="77" t="s">
        <v>75</v>
      </c>
      <c r="N69" s="77" t="s">
        <v>38</v>
      </c>
      <c r="O69" s="77" t="s">
        <v>75</v>
      </c>
      <c r="P69" s="77" t="s">
        <v>25</v>
      </c>
      <c r="Q69" s="77" t="s">
        <v>75</v>
      </c>
      <c r="R69" s="37" t="s">
        <v>38</v>
      </c>
      <c r="T69" s="76">
        <f t="shared" ref="T69:T124" si="32">VLOOKUP(L69, $A$4:$I$29, 9, 0)</f>
        <v>7</v>
      </c>
      <c r="U69" s="76">
        <f t="shared" ref="U69:U124" si="33">VLOOKUP(M69, $A$4:$I$29, 9, 0)</f>
        <v>6</v>
      </c>
      <c r="V69" s="76">
        <f t="shared" ref="V69:V124" si="34">VLOOKUP(N69, $A$4:$I$29, 9, 0)</f>
        <v>10</v>
      </c>
      <c r="W69" s="76">
        <f t="shared" ref="W69:W124" si="35">VLOOKUP(O69, $A$4:$I$29, 9, 0)</f>
        <v>6</v>
      </c>
      <c r="X69" s="76">
        <f t="shared" ref="X69:X124" si="36">VLOOKUP(P69, $A$4:$I$29, 9, 0)</f>
        <v>8</v>
      </c>
      <c r="Y69" s="76">
        <f t="shared" ref="Y69:Y124" si="37">VLOOKUP(Q69, $A$4:$I$29, 9, 0)</f>
        <v>6</v>
      </c>
      <c r="Z69" s="76">
        <f t="shared" ref="Z69:Z124" si="38">VLOOKUP(R69, $A$4:$I$29, 9, 0)</f>
        <v>10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53" t="s">
        <v>74</v>
      </c>
      <c r="AK69" s="69">
        <v>50</v>
      </c>
      <c r="AL69" s="130">
        <v>50</v>
      </c>
      <c r="AM69" s="130">
        <v>50</v>
      </c>
      <c r="AN69" s="130">
        <v>50</v>
      </c>
      <c r="AO69" s="130">
        <v>50</v>
      </c>
      <c r="AP69" s="130">
        <v>50</v>
      </c>
      <c r="AQ69" s="71">
        <v>10</v>
      </c>
      <c r="AR69" s="57">
        <v>6</v>
      </c>
      <c r="AT69" s="118">
        <v>4</v>
      </c>
      <c r="AU69" s="108">
        <v>5</v>
      </c>
      <c r="BD69" s="21">
        <v>65</v>
      </c>
      <c r="BE69" s="77" t="s">
        <v>38</v>
      </c>
      <c r="BF69" s="77" t="s">
        <v>38</v>
      </c>
      <c r="BG69" s="77" t="s">
        <v>25</v>
      </c>
      <c r="BH69" s="77" t="s">
        <v>40</v>
      </c>
      <c r="BI69" s="77" t="s">
        <v>152</v>
      </c>
      <c r="BJ69" s="77" t="s">
        <v>38</v>
      </c>
      <c r="BK69" s="37" t="s">
        <v>39</v>
      </c>
      <c r="BM69" s="76">
        <f t="shared" ref="BM69:BM124" si="39">VLOOKUP(BE69, $A$4:$I$29, 9, 0)</f>
        <v>10</v>
      </c>
      <c r="BN69" s="76">
        <f t="shared" ref="BN69:BN124" si="40">VLOOKUP(BF69, $A$4:$I$29, 9, 0)</f>
        <v>10</v>
      </c>
      <c r="BO69" s="76">
        <f t="shared" ref="BO69:BO124" si="41">VLOOKUP(BG69, $A$4:$I$29, 9, 0)</f>
        <v>8</v>
      </c>
      <c r="BP69" s="76">
        <f t="shared" ref="BP69:BP124" si="42">VLOOKUP(BH69, $A$4:$I$29, 9, 0)</f>
        <v>12</v>
      </c>
      <c r="BQ69" s="76">
        <f t="shared" ref="BQ69:BQ124" si="43">VLOOKUP(BI69, $A$4:$I$29, 9, 0)</f>
        <v>7</v>
      </c>
      <c r="BR69" s="76">
        <f t="shared" ref="BR69:BR124" si="44">VLOOKUP(BJ69, $A$4:$I$29, 9, 0)</f>
        <v>10</v>
      </c>
      <c r="BS69" s="76">
        <f t="shared" ref="BS69:BS124" si="45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53" t="s">
        <v>74</v>
      </c>
      <c r="CD69" s="54">
        <v>5</v>
      </c>
      <c r="CE69" s="55">
        <v>1</v>
      </c>
      <c r="CF69" s="55">
        <v>70</v>
      </c>
      <c r="CG69" s="55">
        <v>1</v>
      </c>
      <c r="CH69" s="55">
        <v>70</v>
      </c>
      <c r="CI69" s="55">
        <v>1</v>
      </c>
      <c r="CJ69" s="56">
        <v>1</v>
      </c>
      <c r="CK69" s="57">
        <v>6</v>
      </c>
    </row>
    <row r="70" spans="1:89" ht="16.5" customHeight="1" x14ac:dyDescent="0.3">
      <c r="A70" s="119">
        <v>5</v>
      </c>
      <c r="B70" s="121">
        <v>0</v>
      </c>
      <c r="K70" s="22">
        <v>66</v>
      </c>
      <c r="L70" s="77" t="s">
        <v>25</v>
      </c>
      <c r="M70" s="77" t="s">
        <v>38</v>
      </c>
      <c r="N70" s="77" t="s">
        <v>39</v>
      </c>
      <c r="O70" s="77" t="s">
        <v>75</v>
      </c>
      <c r="P70" s="77" t="s">
        <v>37</v>
      </c>
      <c r="Q70" s="77" t="s">
        <v>25</v>
      </c>
      <c r="R70" s="37" t="s">
        <v>38</v>
      </c>
      <c r="T70" s="76">
        <f t="shared" si="32"/>
        <v>8</v>
      </c>
      <c r="U70" s="76">
        <f t="shared" si="33"/>
        <v>10</v>
      </c>
      <c r="V70" s="76">
        <f t="shared" si="34"/>
        <v>11</v>
      </c>
      <c r="W70" s="76">
        <f t="shared" si="35"/>
        <v>6</v>
      </c>
      <c r="X70" s="76">
        <f t="shared" si="36"/>
        <v>9</v>
      </c>
      <c r="Y70" s="76">
        <f t="shared" si="37"/>
        <v>8</v>
      </c>
      <c r="Z70" s="76">
        <f t="shared" si="38"/>
        <v>10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53" t="s">
        <v>151</v>
      </c>
      <c r="AK70" s="69">
        <v>50</v>
      </c>
      <c r="AL70" s="130">
        <v>50</v>
      </c>
      <c r="AM70" s="130">
        <v>50</v>
      </c>
      <c r="AN70" s="130">
        <v>50</v>
      </c>
      <c r="AO70" s="130">
        <v>50</v>
      </c>
      <c r="AP70" s="130">
        <v>50</v>
      </c>
      <c r="AQ70" s="71">
        <v>10</v>
      </c>
      <c r="AR70" s="57">
        <v>7</v>
      </c>
      <c r="AT70" s="119">
        <v>5</v>
      </c>
      <c r="AU70" s="121">
        <v>0</v>
      </c>
      <c r="BD70" s="22">
        <v>66</v>
      </c>
      <c r="BE70" s="77" t="s">
        <v>38</v>
      </c>
      <c r="BF70" s="77" t="s">
        <v>40</v>
      </c>
      <c r="BG70" s="77" t="s">
        <v>25</v>
      </c>
      <c r="BH70" s="77" t="s">
        <v>40</v>
      </c>
      <c r="BI70" s="77" t="s">
        <v>35</v>
      </c>
      <c r="BJ70" s="77" t="s">
        <v>25</v>
      </c>
      <c r="BK70" s="37" t="s">
        <v>39</v>
      </c>
      <c r="BM70" s="76">
        <f t="shared" si="39"/>
        <v>10</v>
      </c>
      <c r="BN70" s="76">
        <f t="shared" si="40"/>
        <v>12</v>
      </c>
      <c r="BO70" s="76">
        <f t="shared" si="41"/>
        <v>8</v>
      </c>
      <c r="BP70" s="76">
        <f t="shared" si="42"/>
        <v>12</v>
      </c>
      <c r="BQ70" s="76">
        <f t="shared" si="43"/>
        <v>5</v>
      </c>
      <c r="BR70" s="76">
        <f t="shared" si="44"/>
        <v>8</v>
      </c>
      <c r="BS70" s="76">
        <f t="shared" si="45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53" t="s">
        <v>151</v>
      </c>
      <c r="CD70" s="54">
        <v>1</v>
      </c>
      <c r="CE70" s="55">
        <v>70</v>
      </c>
      <c r="CF70" s="55">
        <v>1</v>
      </c>
      <c r="CG70" s="55">
        <v>1</v>
      </c>
      <c r="CH70" s="55">
        <v>1</v>
      </c>
      <c r="CI70" s="55">
        <v>70</v>
      </c>
      <c r="CJ70" s="56">
        <v>1</v>
      </c>
      <c r="CK70" s="57">
        <v>7</v>
      </c>
    </row>
    <row r="71" spans="1:89" ht="16.5" customHeight="1" x14ac:dyDescent="0.3">
      <c r="A71" s="119">
        <v>6</v>
      </c>
      <c r="B71" s="121">
        <v>0</v>
      </c>
      <c r="K71" s="21">
        <v>67</v>
      </c>
      <c r="L71" s="77" t="s">
        <v>37</v>
      </c>
      <c r="M71" s="77" t="s">
        <v>187</v>
      </c>
      <c r="N71" s="77" t="s">
        <v>187</v>
      </c>
      <c r="O71" s="77" t="s">
        <v>187</v>
      </c>
      <c r="P71" s="77" t="s">
        <v>187</v>
      </c>
      <c r="Q71" s="77" t="s">
        <v>25</v>
      </c>
      <c r="R71" s="37" t="s">
        <v>35</v>
      </c>
      <c r="T71" s="76">
        <f t="shared" si="32"/>
        <v>9</v>
      </c>
      <c r="U71" s="76">
        <f t="shared" si="33"/>
        <v>25</v>
      </c>
      <c r="V71" s="76">
        <f t="shared" si="34"/>
        <v>25</v>
      </c>
      <c r="W71" s="76">
        <f t="shared" si="35"/>
        <v>25</v>
      </c>
      <c r="X71" s="76">
        <f t="shared" si="36"/>
        <v>25</v>
      </c>
      <c r="Y71" s="76">
        <f t="shared" si="37"/>
        <v>8</v>
      </c>
      <c r="Z71" s="76">
        <f t="shared" si="38"/>
        <v>5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53" t="s">
        <v>24</v>
      </c>
      <c r="AK71" s="69">
        <v>10</v>
      </c>
      <c r="AL71" s="130">
        <v>10</v>
      </c>
      <c r="AM71" s="130">
        <v>40</v>
      </c>
      <c r="AN71" s="130">
        <v>1</v>
      </c>
      <c r="AO71" s="130">
        <v>40</v>
      </c>
      <c r="AP71" s="130">
        <v>1</v>
      </c>
      <c r="AQ71" s="71">
        <v>10</v>
      </c>
      <c r="AR71" s="57">
        <v>8</v>
      </c>
      <c r="AT71" s="119">
        <v>6</v>
      </c>
      <c r="AU71" s="121">
        <v>0</v>
      </c>
      <c r="BD71" s="21">
        <v>67</v>
      </c>
      <c r="BE71" s="77" t="s">
        <v>35</v>
      </c>
      <c r="BF71" s="77" t="s">
        <v>38</v>
      </c>
      <c r="BG71" s="77" t="s">
        <v>25</v>
      </c>
      <c r="BH71" s="77" t="s">
        <v>37</v>
      </c>
      <c r="BI71" s="77" t="s">
        <v>35</v>
      </c>
      <c r="BJ71" s="77" t="s">
        <v>75</v>
      </c>
      <c r="BK71" s="37" t="s">
        <v>40</v>
      </c>
      <c r="BM71" s="76">
        <f t="shared" si="39"/>
        <v>5</v>
      </c>
      <c r="BN71" s="76">
        <f t="shared" si="40"/>
        <v>10</v>
      </c>
      <c r="BO71" s="76">
        <f t="shared" si="41"/>
        <v>8</v>
      </c>
      <c r="BP71" s="76">
        <f t="shared" si="42"/>
        <v>9</v>
      </c>
      <c r="BQ71" s="76">
        <f t="shared" si="43"/>
        <v>5</v>
      </c>
      <c r="BR71" s="76">
        <f t="shared" si="44"/>
        <v>6</v>
      </c>
      <c r="BS71" s="76">
        <f t="shared" si="45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53" t="s">
        <v>24</v>
      </c>
      <c r="CD71" s="54">
        <v>1</v>
      </c>
      <c r="CE71" s="55">
        <v>1</v>
      </c>
      <c r="CF71" s="55">
        <v>1</v>
      </c>
      <c r="CG71" s="55">
        <v>1</v>
      </c>
      <c r="CH71" s="55">
        <v>70</v>
      </c>
      <c r="CI71" s="55">
        <v>1</v>
      </c>
      <c r="CJ71" s="56">
        <v>1</v>
      </c>
      <c r="CK71" s="57">
        <v>8</v>
      </c>
    </row>
    <row r="72" spans="1:89" ht="16.5" customHeight="1" thickBot="1" x14ac:dyDescent="0.35">
      <c r="A72" s="120">
        <v>7</v>
      </c>
      <c r="B72" s="122">
        <v>0</v>
      </c>
      <c r="K72" s="22">
        <v>68</v>
      </c>
      <c r="L72" s="77" t="s">
        <v>37</v>
      </c>
      <c r="M72" s="77" t="s">
        <v>40</v>
      </c>
      <c r="N72" s="77" t="s">
        <v>25</v>
      </c>
      <c r="O72" s="77" t="s">
        <v>39</v>
      </c>
      <c r="P72" s="77" t="s">
        <v>34</v>
      </c>
      <c r="Q72" s="77" t="s">
        <v>75</v>
      </c>
      <c r="R72" s="37" t="s">
        <v>35</v>
      </c>
      <c r="T72" s="76">
        <f t="shared" si="32"/>
        <v>9</v>
      </c>
      <c r="U72" s="76">
        <f t="shared" si="33"/>
        <v>12</v>
      </c>
      <c r="V72" s="76">
        <f t="shared" si="34"/>
        <v>8</v>
      </c>
      <c r="W72" s="76">
        <f t="shared" si="35"/>
        <v>11</v>
      </c>
      <c r="X72" s="76">
        <f t="shared" si="36"/>
        <v>4</v>
      </c>
      <c r="Y72" s="76">
        <f t="shared" si="37"/>
        <v>6</v>
      </c>
      <c r="Z72" s="76">
        <f t="shared" si="38"/>
        <v>5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53" t="s">
        <v>26</v>
      </c>
      <c r="AK72" s="69">
        <v>40</v>
      </c>
      <c r="AL72" s="130">
        <v>8</v>
      </c>
      <c r="AM72" s="130">
        <v>25</v>
      </c>
      <c r="AN72" s="130">
        <v>10</v>
      </c>
      <c r="AO72" s="130">
        <v>1</v>
      </c>
      <c r="AP72" s="130">
        <v>40</v>
      </c>
      <c r="AQ72" s="71">
        <v>10</v>
      </c>
      <c r="AR72" s="57">
        <v>9</v>
      </c>
      <c r="AT72" s="120">
        <v>7</v>
      </c>
      <c r="AU72" s="122">
        <v>0</v>
      </c>
      <c r="BD72" s="22">
        <v>68</v>
      </c>
      <c r="BE72" s="77" t="s">
        <v>35</v>
      </c>
      <c r="BF72" s="77" t="s">
        <v>38</v>
      </c>
      <c r="BG72" s="77" t="s">
        <v>39</v>
      </c>
      <c r="BH72" s="77" t="s">
        <v>161</v>
      </c>
      <c r="BI72" s="77" t="s">
        <v>161</v>
      </c>
      <c r="BJ72" s="77" t="s">
        <v>75</v>
      </c>
      <c r="BK72" s="37" t="s">
        <v>33</v>
      </c>
      <c r="BM72" s="76">
        <f t="shared" si="39"/>
        <v>5</v>
      </c>
      <c r="BN72" s="76">
        <f t="shared" si="40"/>
        <v>10</v>
      </c>
      <c r="BO72" s="76">
        <f t="shared" si="41"/>
        <v>11</v>
      </c>
      <c r="BP72" s="76">
        <f t="shared" si="42"/>
        <v>17</v>
      </c>
      <c r="BQ72" s="76">
        <f t="shared" si="43"/>
        <v>17</v>
      </c>
      <c r="BR72" s="76">
        <f t="shared" si="44"/>
        <v>6</v>
      </c>
      <c r="BS72" s="76">
        <f t="shared" si="45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53" t="s">
        <v>26</v>
      </c>
      <c r="CD72" s="54">
        <v>1</v>
      </c>
      <c r="CE72" s="55">
        <v>1</v>
      </c>
      <c r="CF72" s="55">
        <v>1</v>
      </c>
      <c r="CG72" s="55">
        <v>70</v>
      </c>
      <c r="CH72" s="55">
        <v>1</v>
      </c>
      <c r="CI72" s="55">
        <v>70</v>
      </c>
      <c r="CJ72" s="56">
        <v>1</v>
      </c>
      <c r="CK72" s="57">
        <v>9</v>
      </c>
    </row>
    <row r="73" spans="1:89" ht="16.5" customHeight="1" x14ac:dyDescent="0.3">
      <c r="K73" s="21">
        <v>69</v>
      </c>
      <c r="L73" s="77" t="s">
        <v>40</v>
      </c>
      <c r="M73" s="77" t="s">
        <v>75</v>
      </c>
      <c r="N73" s="77" t="s">
        <v>25</v>
      </c>
      <c r="O73" s="77" t="s">
        <v>25</v>
      </c>
      <c r="P73" s="77" t="s">
        <v>39</v>
      </c>
      <c r="Q73" s="77" t="s">
        <v>25</v>
      </c>
      <c r="R73" s="37" t="s">
        <v>35</v>
      </c>
      <c r="T73" s="76">
        <f t="shared" si="32"/>
        <v>12</v>
      </c>
      <c r="U73" s="76">
        <f t="shared" si="33"/>
        <v>6</v>
      </c>
      <c r="V73" s="76">
        <f t="shared" si="34"/>
        <v>8</v>
      </c>
      <c r="W73" s="76">
        <f t="shared" si="35"/>
        <v>8</v>
      </c>
      <c r="X73" s="76">
        <f t="shared" si="36"/>
        <v>11</v>
      </c>
      <c r="Y73" s="76">
        <f t="shared" si="37"/>
        <v>8</v>
      </c>
      <c r="Z73" s="76">
        <f t="shared" si="38"/>
        <v>5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53" t="s">
        <v>27</v>
      </c>
      <c r="AK73" s="69">
        <v>10</v>
      </c>
      <c r="AL73" s="130">
        <v>30</v>
      </c>
      <c r="AM73" s="130">
        <v>30</v>
      </c>
      <c r="AN73" s="130">
        <v>10</v>
      </c>
      <c r="AO73" s="130">
        <v>40</v>
      </c>
      <c r="AP73" s="130">
        <v>1</v>
      </c>
      <c r="AQ73" s="71">
        <v>10</v>
      </c>
      <c r="AR73" s="57">
        <v>10</v>
      </c>
      <c r="BD73" s="21">
        <v>69</v>
      </c>
      <c r="BE73" s="77" t="s">
        <v>37</v>
      </c>
      <c r="BF73" s="77" t="s">
        <v>38</v>
      </c>
      <c r="BG73" s="77" t="s">
        <v>39</v>
      </c>
      <c r="BH73" s="77" t="s">
        <v>75</v>
      </c>
      <c r="BI73" s="77" t="s">
        <v>75</v>
      </c>
      <c r="BJ73" s="77" t="s">
        <v>40</v>
      </c>
      <c r="BK73" s="37" t="s">
        <v>33</v>
      </c>
      <c r="BM73" s="76">
        <f t="shared" si="39"/>
        <v>9</v>
      </c>
      <c r="BN73" s="76">
        <f t="shared" si="40"/>
        <v>10</v>
      </c>
      <c r="BO73" s="76">
        <f t="shared" si="41"/>
        <v>11</v>
      </c>
      <c r="BP73" s="76">
        <f t="shared" si="42"/>
        <v>6</v>
      </c>
      <c r="BQ73" s="76">
        <f t="shared" si="43"/>
        <v>6</v>
      </c>
      <c r="BR73" s="76">
        <f t="shared" si="44"/>
        <v>12</v>
      </c>
      <c r="BS73" s="76">
        <f t="shared" si="45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53" t="s">
        <v>27</v>
      </c>
      <c r="CD73" s="54">
        <v>1</v>
      </c>
      <c r="CE73" s="55">
        <v>1</v>
      </c>
      <c r="CF73" s="55">
        <v>5</v>
      </c>
      <c r="CG73" s="55">
        <v>1</v>
      </c>
      <c r="CH73" s="55">
        <v>1</v>
      </c>
      <c r="CI73" s="55">
        <v>1</v>
      </c>
      <c r="CJ73" s="56">
        <v>3</v>
      </c>
      <c r="CK73" s="57">
        <v>10</v>
      </c>
    </row>
    <row r="74" spans="1:89" ht="16.5" customHeight="1" x14ac:dyDescent="0.3">
      <c r="K74" s="22">
        <v>70</v>
      </c>
      <c r="L74" s="77" t="s">
        <v>32</v>
      </c>
      <c r="M74" s="77" t="s">
        <v>161</v>
      </c>
      <c r="N74" s="77" t="s">
        <v>35</v>
      </c>
      <c r="O74" s="77" t="s">
        <v>75</v>
      </c>
      <c r="P74" s="77" t="s">
        <v>35</v>
      </c>
      <c r="Q74" s="77" t="s">
        <v>25</v>
      </c>
      <c r="R74" s="37" t="s">
        <v>75</v>
      </c>
      <c r="T74" s="76">
        <f t="shared" si="32"/>
        <v>2</v>
      </c>
      <c r="U74" s="76">
        <f t="shared" si="33"/>
        <v>17</v>
      </c>
      <c r="V74" s="76">
        <f t="shared" si="34"/>
        <v>5</v>
      </c>
      <c r="W74" s="76">
        <f t="shared" si="35"/>
        <v>6</v>
      </c>
      <c r="X74" s="76">
        <f t="shared" si="36"/>
        <v>5</v>
      </c>
      <c r="Y74" s="76">
        <f t="shared" si="37"/>
        <v>8</v>
      </c>
      <c r="Z74" s="76">
        <f t="shared" si="38"/>
        <v>6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53" t="s">
        <v>28</v>
      </c>
      <c r="AK74" s="69">
        <v>40</v>
      </c>
      <c r="AL74" s="130">
        <v>30</v>
      </c>
      <c r="AM74" s="130">
        <v>30</v>
      </c>
      <c r="AN74" s="130">
        <v>1</v>
      </c>
      <c r="AO74" s="130">
        <v>1</v>
      </c>
      <c r="AP74" s="130">
        <v>1</v>
      </c>
      <c r="AQ74" s="71">
        <v>10</v>
      </c>
      <c r="AR74" s="57">
        <v>11</v>
      </c>
      <c r="BD74" s="22">
        <v>70</v>
      </c>
      <c r="BE74" s="77" t="s">
        <v>40</v>
      </c>
      <c r="BF74" s="77" t="s">
        <v>192</v>
      </c>
      <c r="BG74" s="77" t="s">
        <v>39</v>
      </c>
      <c r="BH74" s="77" t="s">
        <v>75</v>
      </c>
      <c r="BI74" s="77" t="s">
        <v>35</v>
      </c>
      <c r="BJ74" s="77" t="s">
        <v>39</v>
      </c>
      <c r="BK74" s="37" t="s">
        <v>34</v>
      </c>
      <c r="BM74" s="76">
        <f t="shared" si="39"/>
        <v>12</v>
      </c>
      <c r="BN74" s="76">
        <f t="shared" si="40"/>
        <v>22</v>
      </c>
      <c r="BO74" s="76">
        <f t="shared" si="41"/>
        <v>11</v>
      </c>
      <c r="BP74" s="76">
        <f t="shared" si="42"/>
        <v>6</v>
      </c>
      <c r="BQ74" s="76">
        <f t="shared" si="43"/>
        <v>5</v>
      </c>
      <c r="BR74" s="76">
        <f t="shared" si="44"/>
        <v>11</v>
      </c>
      <c r="BS74" s="76">
        <f t="shared" si="45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53" t="s">
        <v>28</v>
      </c>
      <c r="CD74" s="54">
        <v>1</v>
      </c>
      <c r="CE74" s="55">
        <v>70</v>
      </c>
      <c r="CF74" s="55">
        <v>1</v>
      </c>
      <c r="CG74" s="55">
        <v>1</v>
      </c>
      <c r="CH74" s="55">
        <v>1</v>
      </c>
      <c r="CI74" s="55">
        <v>1</v>
      </c>
      <c r="CJ74" s="56">
        <v>1</v>
      </c>
      <c r="CK74" s="57">
        <v>11</v>
      </c>
    </row>
    <row r="75" spans="1:89" ht="16.5" customHeight="1" x14ac:dyDescent="0.3">
      <c r="K75" s="21">
        <v>71</v>
      </c>
      <c r="L75" s="77" t="s">
        <v>35</v>
      </c>
      <c r="M75" s="77" t="s">
        <v>38</v>
      </c>
      <c r="N75" s="77" t="s">
        <v>152</v>
      </c>
      <c r="O75" s="77" t="s">
        <v>33</v>
      </c>
      <c r="P75" s="77" t="s">
        <v>39</v>
      </c>
      <c r="Q75" s="77" t="s">
        <v>33</v>
      </c>
      <c r="R75" s="37" t="s">
        <v>75</v>
      </c>
      <c r="T75" s="76">
        <f t="shared" si="32"/>
        <v>5</v>
      </c>
      <c r="U75" s="76">
        <f t="shared" si="33"/>
        <v>10</v>
      </c>
      <c r="V75" s="76">
        <f t="shared" si="34"/>
        <v>7</v>
      </c>
      <c r="W75" s="76">
        <f t="shared" si="35"/>
        <v>3</v>
      </c>
      <c r="X75" s="76">
        <f t="shared" si="36"/>
        <v>11</v>
      </c>
      <c r="Y75" s="76">
        <f t="shared" si="37"/>
        <v>3</v>
      </c>
      <c r="Z75" s="76">
        <f t="shared" si="38"/>
        <v>6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53" t="s">
        <v>29</v>
      </c>
      <c r="AK75" s="69">
        <v>5</v>
      </c>
      <c r="AL75" s="130">
        <v>40</v>
      </c>
      <c r="AM75" s="130">
        <v>20</v>
      </c>
      <c r="AN75" s="130">
        <v>1</v>
      </c>
      <c r="AO75" s="130">
        <v>1</v>
      </c>
      <c r="AP75" s="130">
        <v>1</v>
      </c>
      <c r="AQ75" s="71">
        <v>10</v>
      </c>
      <c r="AR75" s="57">
        <v>12</v>
      </c>
      <c r="BD75" s="21">
        <v>71</v>
      </c>
      <c r="BE75" s="77" t="s">
        <v>40</v>
      </c>
      <c r="BF75" s="77" t="s">
        <v>39</v>
      </c>
      <c r="BG75" s="77" t="s">
        <v>37</v>
      </c>
      <c r="BH75" s="77" t="s">
        <v>25</v>
      </c>
      <c r="BI75" s="77" t="s">
        <v>25</v>
      </c>
      <c r="BJ75" s="77" t="s">
        <v>25</v>
      </c>
      <c r="BK75" s="37" t="s">
        <v>34</v>
      </c>
      <c r="BM75" s="76">
        <f t="shared" si="39"/>
        <v>12</v>
      </c>
      <c r="BN75" s="76">
        <f t="shared" si="40"/>
        <v>11</v>
      </c>
      <c r="BO75" s="76">
        <f t="shared" si="41"/>
        <v>9</v>
      </c>
      <c r="BP75" s="76">
        <f t="shared" si="42"/>
        <v>8</v>
      </c>
      <c r="BQ75" s="76">
        <f t="shared" si="43"/>
        <v>8</v>
      </c>
      <c r="BR75" s="76">
        <f t="shared" si="44"/>
        <v>8</v>
      </c>
      <c r="BS75" s="76">
        <f t="shared" si="45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53" t="s">
        <v>29</v>
      </c>
      <c r="CD75" s="54">
        <v>70</v>
      </c>
      <c r="CE75" s="55">
        <v>1</v>
      </c>
      <c r="CF75" s="55">
        <v>1</v>
      </c>
      <c r="CG75" s="55">
        <v>1</v>
      </c>
      <c r="CH75" s="55">
        <v>1</v>
      </c>
      <c r="CI75" s="55">
        <v>1</v>
      </c>
      <c r="CJ75" s="56">
        <v>1</v>
      </c>
      <c r="CK75" s="57">
        <v>12</v>
      </c>
    </row>
    <row r="76" spans="1:89" ht="16.5" customHeight="1" x14ac:dyDescent="0.3">
      <c r="K76" s="22">
        <v>72</v>
      </c>
      <c r="L76" s="77" t="s">
        <v>39</v>
      </c>
      <c r="M76" s="77" t="s">
        <v>35</v>
      </c>
      <c r="N76" s="77" t="s">
        <v>152</v>
      </c>
      <c r="O76" s="77" t="s">
        <v>35</v>
      </c>
      <c r="P76" s="77" t="s">
        <v>39</v>
      </c>
      <c r="Q76" s="77" t="s">
        <v>34</v>
      </c>
      <c r="R76" s="37" t="s">
        <v>75</v>
      </c>
      <c r="T76" s="76">
        <f t="shared" si="32"/>
        <v>11</v>
      </c>
      <c r="U76" s="76">
        <f t="shared" si="33"/>
        <v>5</v>
      </c>
      <c r="V76" s="76">
        <f t="shared" si="34"/>
        <v>7</v>
      </c>
      <c r="W76" s="76">
        <f t="shared" si="35"/>
        <v>5</v>
      </c>
      <c r="X76" s="76">
        <f t="shared" si="36"/>
        <v>11</v>
      </c>
      <c r="Y76" s="76">
        <f t="shared" si="37"/>
        <v>4</v>
      </c>
      <c r="Z76" s="76">
        <f t="shared" si="38"/>
        <v>6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53" t="s">
        <v>79</v>
      </c>
      <c r="AK76" s="69">
        <v>0</v>
      </c>
      <c r="AL76" s="130">
        <v>1</v>
      </c>
      <c r="AM76" s="130">
        <v>1</v>
      </c>
      <c r="AN76" s="130">
        <v>1</v>
      </c>
      <c r="AO76" s="130">
        <v>1</v>
      </c>
      <c r="AP76" s="130">
        <v>0</v>
      </c>
      <c r="AQ76" s="71">
        <v>0</v>
      </c>
      <c r="AR76" s="57">
        <v>13</v>
      </c>
      <c r="BD76" s="22">
        <v>72</v>
      </c>
      <c r="BE76" s="77" t="s">
        <v>37</v>
      </c>
      <c r="BF76" s="77" t="s">
        <v>163</v>
      </c>
      <c r="BG76" s="77" t="s">
        <v>35</v>
      </c>
      <c r="BH76" s="77" t="s">
        <v>75</v>
      </c>
      <c r="BI76" s="77" t="s">
        <v>35</v>
      </c>
      <c r="BJ76" s="77" t="s">
        <v>25</v>
      </c>
      <c r="BK76" s="37" t="s">
        <v>34</v>
      </c>
      <c r="BM76" s="76">
        <f t="shared" si="39"/>
        <v>9</v>
      </c>
      <c r="BN76" s="76">
        <f t="shared" si="40"/>
        <v>18</v>
      </c>
      <c r="BO76" s="76">
        <f t="shared" si="41"/>
        <v>5</v>
      </c>
      <c r="BP76" s="76">
        <f t="shared" si="42"/>
        <v>6</v>
      </c>
      <c r="BQ76" s="76">
        <f t="shared" si="43"/>
        <v>5</v>
      </c>
      <c r="BR76" s="76">
        <f t="shared" si="44"/>
        <v>8</v>
      </c>
      <c r="BS76" s="76">
        <f t="shared" si="45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53" t="s">
        <v>79</v>
      </c>
      <c r="CD76" s="54">
        <v>0</v>
      </c>
      <c r="CE76" s="55">
        <v>0</v>
      </c>
      <c r="CF76" s="55">
        <v>0</v>
      </c>
      <c r="CG76" s="55">
        <v>0</v>
      </c>
      <c r="CH76" s="55">
        <v>0</v>
      </c>
      <c r="CI76" s="55">
        <v>0</v>
      </c>
      <c r="CJ76" s="56">
        <v>0</v>
      </c>
      <c r="CK76" s="57">
        <v>13</v>
      </c>
    </row>
    <row r="77" spans="1:89" ht="16.5" customHeight="1" x14ac:dyDescent="0.3">
      <c r="K77" s="21">
        <v>73</v>
      </c>
      <c r="L77" s="77" t="s">
        <v>39</v>
      </c>
      <c r="M77" s="77" t="s">
        <v>152</v>
      </c>
      <c r="N77" s="77" t="s">
        <v>152</v>
      </c>
      <c r="O77" s="77" t="s">
        <v>32</v>
      </c>
      <c r="P77" s="77" t="s">
        <v>189</v>
      </c>
      <c r="Q77" s="77" t="s">
        <v>25</v>
      </c>
      <c r="R77" s="37" t="s">
        <v>37</v>
      </c>
      <c r="T77" s="76">
        <f t="shared" si="32"/>
        <v>11</v>
      </c>
      <c r="U77" s="76">
        <f t="shared" si="33"/>
        <v>7</v>
      </c>
      <c r="V77" s="76">
        <f t="shared" si="34"/>
        <v>7</v>
      </c>
      <c r="W77" s="76">
        <f t="shared" si="35"/>
        <v>2</v>
      </c>
      <c r="X77" s="76">
        <f t="shared" si="36"/>
        <v>20</v>
      </c>
      <c r="Y77" s="76">
        <f t="shared" si="37"/>
        <v>8</v>
      </c>
      <c r="Z77" s="76">
        <f t="shared" si="38"/>
        <v>9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53" t="s">
        <v>80</v>
      </c>
      <c r="AK77" s="69">
        <v>0</v>
      </c>
      <c r="AL77" s="130">
        <v>4</v>
      </c>
      <c r="AM77" s="130">
        <v>4</v>
      </c>
      <c r="AN77" s="130">
        <v>2</v>
      </c>
      <c r="AO77" s="130">
        <v>2</v>
      </c>
      <c r="AP77" s="130">
        <v>0</v>
      </c>
      <c r="AQ77" s="71">
        <v>0</v>
      </c>
      <c r="AR77" s="57">
        <v>14</v>
      </c>
      <c r="BD77" s="21">
        <v>73</v>
      </c>
      <c r="BE77" s="77" t="s">
        <v>39</v>
      </c>
      <c r="BF77" s="77" t="s">
        <v>25</v>
      </c>
      <c r="BG77" s="77" t="s">
        <v>39</v>
      </c>
      <c r="BH77" s="77" t="s">
        <v>39</v>
      </c>
      <c r="BI77" s="77" t="s">
        <v>34</v>
      </c>
      <c r="BJ77" s="77" t="s">
        <v>34</v>
      </c>
      <c r="BK77" s="37" t="s">
        <v>38</v>
      </c>
      <c r="BM77" s="76">
        <f t="shared" si="39"/>
        <v>11</v>
      </c>
      <c r="BN77" s="76">
        <f t="shared" si="40"/>
        <v>8</v>
      </c>
      <c r="BO77" s="76">
        <f t="shared" si="41"/>
        <v>11</v>
      </c>
      <c r="BP77" s="76">
        <f t="shared" si="42"/>
        <v>11</v>
      </c>
      <c r="BQ77" s="76">
        <f t="shared" si="43"/>
        <v>4</v>
      </c>
      <c r="BR77" s="76">
        <f t="shared" si="44"/>
        <v>4</v>
      </c>
      <c r="BS77" s="76">
        <f t="shared" si="45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53" t="s">
        <v>80</v>
      </c>
      <c r="CD77" s="54">
        <v>0</v>
      </c>
      <c r="CE77" s="55">
        <v>1</v>
      </c>
      <c r="CF77" s="55">
        <v>1</v>
      </c>
      <c r="CG77" s="55">
        <v>1</v>
      </c>
      <c r="CH77" s="55">
        <v>1</v>
      </c>
      <c r="CI77" s="55">
        <v>0</v>
      </c>
      <c r="CJ77" s="56">
        <v>0</v>
      </c>
      <c r="CK77" s="57">
        <v>14</v>
      </c>
    </row>
    <row r="78" spans="1:89" ht="16.5" customHeight="1" x14ac:dyDescent="0.3">
      <c r="K78" s="22">
        <v>74</v>
      </c>
      <c r="L78" s="77" t="s">
        <v>75</v>
      </c>
      <c r="M78" s="77" t="s">
        <v>25</v>
      </c>
      <c r="N78" s="77" t="s">
        <v>39</v>
      </c>
      <c r="O78" s="77" t="s">
        <v>75</v>
      </c>
      <c r="P78" s="77" t="s">
        <v>37</v>
      </c>
      <c r="Q78" s="77" t="s">
        <v>25</v>
      </c>
      <c r="R78" s="37" t="s">
        <v>34</v>
      </c>
      <c r="T78" s="76">
        <f t="shared" si="32"/>
        <v>6</v>
      </c>
      <c r="U78" s="76">
        <f t="shared" si="33"/>
        <v>8</v>
      </c>
      <c r="V78" s="76">
        <f t="shared" si="34"/>
        <v>11</v>
      </c>
      <c r="W78" s="76">
        <f t="shared" si="35"/>
        <v>6</v>
      </c>
      <c r="X78" s="76">
        <f t="shared" si="36"/>
        <v>9</v>
      </c>
      <c r="Y78" s="76">
        <f t="shared" si="37"/>
        <v>8</v>
      </c>
      <c r="Z78" s="76">
        <f t="shared" si="38"/>
        <v>4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53" t="s">
        <v>81</v>
      </c>
      <c r="AK78" s="69">
        <v>0</v>
      </c>
      <c r="AL78" s="130">
        <v>5</v>
      </c>
      <c r="AM78" s="130">
        <v>5</v>
      </c>
      <c r="AN78" s="130">
        <v>2</v>
      </c>
      <c r="AO78" s="130">
        <v>2</v>
      </c>
      <c r="AP78" s="130">
        <v>0</v>
      </c>
      <c r="AQ78" s="71">
        <v>0</v>
      </c>
      <c r="AR78" s="57">
        <v>15</v>
      </c>
      <c r="BD78" s="22">
        <v>74</v>
      </c>
      <c r="BE78" s="77" t="s">
        <v>75</v>
      </c>
      <c r="BF78" s="77" t="s">
        <v>176</v>
      </c>
      <c r="BG78" s="77" t="s">
        <v>39</v>
      </c>
      <c r="BH78" s="77" t="s">
        <v>39</v>
      </c>
      <c r="BI78" s="77" t="s">
        <v>34</v>
      </c>
      <c r="BJ78" s="77" t="s">
        <v>34</v>
      </c>
      <c r="BK78" s="37" t="s">
        <v>38</v>
      </c>
      <c r="BM78" s="76">
        <f t="shared" si="39"/>
        <v>6</v>
      </c>
      <c r="BN78" s="76">
        <f t="shared" si="40"/>
        <v>24</v>
      </c>
      <c r="BO78" s="76">
        <f t="shared" si="41"/>
        <v>11</v>
      </c>
      <c r="BP78" s="76">
        <f t="shared" si="42"/>
        <v>11</v>
      </c>
      <c r="BQ78" s="76">
        <f t="shared" si="43"/>
        <v>4</v>
      </c>
      <c r="BR78" s="76">
        <f t="shared" si="44"/>
        <v>4</v>
      </c>
      <c r="BS78" s="76">
        <f t="shared" si="45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53" t="s">
        <v>81</v>
      </c>
      <c r="CD78" s="54">
        <v>0</v>
      </c>
      <c r="CE78" s="55">
        <v>1</v>
      </c>
      <c r="CF78" s="55">
        <v>1</v>
      </c>
      <c r="CG78" s="55">
        <v>1</v>
      </c>
      <c r="CH78" s="55">
        <v>1</v>
      </c>
      <c r="CI78" s="55">
        <v>0</v>
      </c>
      <c r="CJ78" s="56">
        <v>0</v>
      </c>
      <c r="CK78" s="57">
        <v>15</v>
      </c>
    </row>
    <row r="79" spans="1:89" ht="16.5" customHeight="1" x14ac:dyDescent="0.3">
      <c r="K79" s="21">
        <v>75</v>
      </c>
      <c r="L79" s="77" t="s">
        <v>25</v>
      </c>
      <c r="M79" s="77" t="s">
        <v>40</v>
      </c>
      <c r="N79" s="77" t="s">
        <v>75</v>
      </c>
      <c r="O79" s="77" t="s">
        <v>152</v>
      </c>
      <c r="P79" s="77" t="s">
        <v>37</v>
      </c>
      <c r="Q79" s="77" t="s">
        <v>75</v>
      </c>
      <c r="R79" s="37" t="s">
        <v>38</v>
      </c>
      <c r="T79" s="76">
        <f t="shared" si="32"/>
        <v>8</v>
      </c>
      <c r="U79" s="76">
        <f t="shared" si="33"/>
        <v>12</v>
      </c>
      <c r="V79" s="76">
        <f t="shared" si="34"/>
        <v>6</v>
      </c>
      <c r="W79" s="76">
        <f t="shared" si="35"/>
        <v>7</v>
      </c>
      <c r="X79" s="76">
        <f t="shared" si="36"/>
        <v>9</v>
      </c>
      <c r="Y79" s="76">
        <f t="shared" si="37"/>
        <v>6</v>
      </c>
      <c r="Z79" s="76">
        <f t="shared" si="38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53" t="s">
        <v>82</v>
      </c>
      <c r="AK79" s="69">
        <v>0</v>
      </c>
      <c r="AL79" s="130">
        <v>5</v>
      </c>
      <c r="AM79" s="130">
        <v>5</v>
      </c>
      <c r="AN79" s="130">
        <v>5</v>
      </c>
      <c r="AO79" s="130">
        <v>8</v>
      </c>
      <c r="AP79" s="130">
        <v>0</v>
      </c>
      <c r="AQ79" s="71">
        <v>0</v>
      </c>
      <c r="AR79" s="57">
        <v>16</v>
      </c>
      <c r="BD79" s="21">
        <v>75</v>
      </c>
      <c r="BE79" s="77" t="s">
        <v>40</v>
      </c>
      <c r="BF79" s="77" t="s">
        <v>176</v>
      </c>
      <c r="BG79" s="77" t="s">
        <v>25</v>
      </c>
      <c r="BH79" s="77" t="s">
        <v>192</v>
      </c>
      <c r="BI79" s="77" t="s">
        <v>190</v>
      </c>
      <c r="BJ79" s="77" t="s">
        <v>34</v>
      </c>
      <c r="BK79" s="37" t="s">
        <v>38</v>
      </c>
      <c r="BM79" s="76">
        <f t="shared" si="39"/>
        <v>12</v>
      </c>
      <c r="BN79" s="76">
        <f t="shared" si="40"/>
        <v>24</v>
      </c>
      <c r="BO79" s="76">
        <f t="shared" si="41"/>
        <v>8</v>
      </c>
      <c r="BP79" s="76">
        <f t="shared" si="42"/>
        <v>22</v>
      </c>
      <c r="BQ79" s="76">
        <f t="shared" si="43"/>
        <v>15</v>
      </c>
      <c r="BR79" s="76">
        <f t="shared" si="44"/>
        <v>4</v>
      </c>
      <c r="BS79" s="76">
        <f t="shared" si="45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53" t="s">
        <v>82</v>
      </c>
      <c r="CD79" s="54">
        <v>0</v>
      </c>
      <c r="CE79" s="55">
        <v>1</v>
      </c>
      <c r="CF79" s="55">
        <v>1</v>
      </c>
      <c r="CG79" s="55">
        <v>1</v>
      </c>
      <c r="CH79" s="55">
        <v>1</v>
      </c>
      <c r="CI79" s="55">
        <v>0</v>
      </c>
      <c r="CJ79" s="56">
        <v>0</v>
      </c>
      <c r="CK79" s="57">
        <v>16</v>
      </c>
    </row>
    <row r="80" spans="1:89" ht="16.2" x14ac:dyDescent="0.3">
      <c r="K80" s="22">
        <v>76</v>
      </c>
      <c r="L80" s="77" t="s">
        <v>152</v>
      </c>
      <c r="M80" s="77" t="s">
        <v>40</v>
      </c>
      <c r="N80" s="77" t="s">
        <v>34</v>
      </c>
      <c r="O80" s="77" t="s">
        <v>189</v>
      </c>
      <c r="P80" s="77" t="s">
        <v>40</v>
      </c>
      <c r="Q80" s="77" t="s">
        <v>38</v>
      </c>
      <c r="R80" s="77" t="s">
        <v>38</v>
      </c>
      <c r="T80" s="76">
        <f t="shared" si="32"/>
        <v>7</v>
      </c>
      <c r="U80" s="76">
        <f t="shared" si="33"/>
        <v>12</v>
      </c>
      <c r="V80" s="76">
        <f t="shared" si="34"/>
        <v>4</v>
      </c>
      <c r="W80" s="76">
        <f t="shared" si="35"/>
        <v>20</v>
      </c>
      <c r="X80" s="76">
        <f t="shared" si="36"/>
        <v>12</v>
      </c>
      <c r="Y80" s="76">
        <f t="shared" si="37"/>
        <v>10</v>
      </c>
      <c r="Z80" s="76">
        <f t="shared" si="38"/>
        <v>10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53" t="s">
        <v>83</v>
      </c>
      <c r="AK80" s="69">
        <v>0</v>
      </c>
      <c r="AL80" s="130">
        <v>8</v>
      </c>
      <c r="AM80" s="130">
        <v>8</v>
      </c>
      <c r="AN80" s="130">
        <v>5</v>
      </c>
      <c r="AO80" s="130">
        <v>8</v>
      </c>
      <c r="AP80" s="130">
        <v>0</v>
      </c>
      <c r="AQ80" s="71">
        <v>0</v>
      </c>
      <c r="AR80" s="57">
        <v>17</v>
      </c>
      <c r="BD80" s="22">
        <v>76</v>
      </c>
      <c r="BE80" s="77" t="s">
        <v>40</v>
      </c>
      <c r="BF80" s="77" t="s">
        <v>152</v>
      </c>
      <c r="BG80" s="77" t="s">
        <v>37</v>
      </c>
      <c r="BH80" s="77" t="s">
        <v>40</v>
      </c>
      <c r="BI80" s="77" t="s">
        <v>75</v>
      </c>
      <c r="BJ80" s="77" t="s">
        <v>75</v>
      </c>
      <c r="BK80" s="77" t="s">
        <v>34</v>
      </c>
      <c r="BM80" s="76">
        <f t="shared" si="39"/>
        <v>12</v>
      </c>
      <c r="BN80" s="76">
        <f t="shared" si="40"/>
        <v>7</v>
      </c>
      <c r="BO80" s="76">
        <f t="shared" si="41"/>
        <v>9</v>
      </c>
      <c r="BP80" s="76">
        <f t="shared" si="42"/>
        <v>12</v>
      </c>
      <c r="BQ80" s="76">
        <f t="shared" si="43"/>
        <v>6</v>
      </c>
      <c r="BR80" s="76">
        <f t="shared" si="44"/>
        <v>6</v>
      </c>
      <c r="BS80" s="76">
        <f t="shared" si="45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53" t="s">
        <v>83</v>
      </c>
      <c r="CD80" s="54">
        <v>0</v>
      </c>
      <c r="CE80" s="55">
        <v>1</v>
      </c>
      <c r="CF80" s="55">
        <v>1</v>
      </c>
      <c r="CG80" s="55">
        <v>1</v>
      </c>
      <c r="CH80" s="55">
        <v>2</v>
      </c>
      <c r="CI80" s="55">
        <v>0</v>
      </c>
      <c r="CJ80" s="56">
        <v>0</v>
      </c>
      <c r="CK80" s="57">
        <v>17</v>
      </c>
    </row>
    <row r="81" spans="11:89" ht="16.2" x14ac:dyDescent="0.3">
      <c r="K81" s="21">
        <v>77</v>
      </c>
      <c r="L81" s="77" t="s">
        <v>75</v>
      </c>
      <c r="M81" s="77" t="s">
        <v>163</v>
      </c>
      <c r="N81" s="77" t="s">
        <v>34</v>
      </c>
      <c r="O81" s="77" t="s">
        <v>37</v>
      </c>
      <c r="P81" s="77" t="s">
        <v>40</v>
      </c>
      <c r="Q81" s="77" t="s">
        <v>38</v>
      </c>
      <c r="R81" s="37" t="s">
        <v>35</v>
      </c>
      <c r="T81" s="76">
        <f t="shared" si="32"/>
        <v>6</v>
      </c>
      <c r="U81" s="76">
        <f t="shared" si="33"/>
        <v>18</v>
      </c>
      <c r="V81" s="76">
        <f t="shared" si="34"/>
        <v>4</v>
      </c>
      <c r="W81" s="76">
        <f t="shared" si="35"/>
        <v>9</v>
      </c>
      <c r="X81" s="76">
        <f t="shared" si="36"/>
        <v>12</v>
      </c>
      <c r="Y81" s="76">
        <f t="shared" si="37"/>
        <v>10</v>
      </c>
      <c r="Z81" s="76">
        <f t="shared" si="38"/>
        <v>5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53" t="s">
        <v>162</v>
      </c>
      <c r="AK81" s="69">
        <v>0</v>
      </c>
      <c r="AL81" s="130">
        <v>5</v>
      </c>
      <c r="AM81" s="130">
        <v>12</v>
      </c>
      <c r="AN81" s="130">
        <v>12</v>
      </c>
      <c r="AO81" s="130">
        <v>5</v>
      </c>
      <c r="AP81" s="130">
        <v>0</v>
      </c>
      <c r="AQ81" s="71">
        <v>0</v>
      </c>
      <c r="AR81" s="57">
        <v>18</v>
      </c>
      <c r="BD81" s="21">
        <v>77</v>
      </c>
      <c r="BE81" s="77" t="s">
        <v>38</v>
      </c>
      <c r="BF81" s="77" t="s">
        <v>152</v>
      </c>
      <c r="BG81" s="77" t="s">
        <v>37</v>
      </c>
      <c r="BH81" s="77" t="s">
        <v>40</v>
      </c>
      <c r="BI81" s="77" t="s">
        <v>75</v>
      </c>
      <c r="BJ81" s="77" t="s">
        <v>75</v>
      </c>
      <c r="BK81" s="37" t="s">
        <v>40</v>
      </c>
      <c r="BM81" s="76">
        <f t="shared" si="39"/>
        <v>10</v>
      </c>
      <c r="BN81" s="76">
        <f t="shared" si="40"/>
        <v>7</v>
      </c>
      <c r="BO81" s="76">
        <f t="shared" si="41"/>
        <v>9</v>
      </c>
      <c r="BP81" s="76">
        <f t="shared" si="42"/>
        <v>12</v>
      </c>
      <c r="BQ81" s="76">
        <f t="shared" si="43"/>
        <v>6</v>
      </c>
      <c r="BR81" s="76">
        <f t="shared" si="44"/>
        <v>6</v>
      </c>
      <c r="BS81" s="76">
        <f t="shared" si="45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53" t="s">
        <v>162</v>
      </c>
      <c r="CD81" s="54">
        <v>0</v>
      </c>
      <c r="CE81" s="55">
        <v>1</v>
      </c>
      <c r="CF81" s="55">
        <v>1</v>
      </c>
      <c r="CG81" s="55">
        <v>1</v>
      </c>
      <c r="CH81" s="55">
        <v>1</v>
      </c>
      <c r="CI81" s="55">
        <v>0</v>
      </c>
      <c r="CJ81" s="56">
        <v>0</v>
      </c>
      <c r="CK81" s="57">
        <v>18</v>
      </c>
    </row>
    <row r="82" spans="11:89" ht="16.2" x14ac:dyDescent="0.3">
      <c r="K82" s="22">
        <v>78</v>
      </c>
      <c r="L82" s="77" t="s">
        <v>35</v>
      </c>
      <c r="M82" s="77" t="s">
        <v>75</v>
      </c>
      <c r="N82" s="77" t="s">
        <v>37</v>
      </c>
      <c r="O82" s="77" t="s">
        <v>75</v>
      </c>
      <c r="P82" s="77" t="s">
        <v>35</v>
      </c>
      <c r="Q82" s="77" t="s">
        <v>25</v>
      </c>
      <c r="R82" s="37" t="s">
        <v>38</v>
      </c>
      <c r="T82" s="76">
        <f t="shared" si="32"/>
        <v>5</v>
      </c>
      <c r="U82" s="76">
        <f t="shared" si="33"/>
        <v>6</v>
      </c>
      <c r="V82" s="76">
        <f t="shared" si="34"/>
        <v>9</v>
      </c>
      <c r="W82" s="76">
        <f t="shared" si="35"/>
        <v>6</v>
      </c>
      <c r="X82" s="76">
        <f t="shared" si="36"/>
        <v>5</v>
      </c>
      <c r="Y82" s="76">
        <f t="shared" si="37"/>
        <v>8</v>
      </c>
      <c r="Z82" s="76">
        <f t="shared" si="38"/>
        <v>10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53" t="s">
        <v>84</v>
      </c>
      <c r="AK82" s="69">
        <v>0</v>
      </c>
      <c r="AL82" s="130">
        <v>6</v>
      </c>
      <c r="AM82" s="130">
        <v>6</v>
      </c>
      <c r="AN82" s="130">
        <v>4</v>
      </c>
      <c r="AO82" s="130">
        <v>6</v>
      </c>
      <c r="AP82" s="130">
        <v>0</v>
      </c>
      <c r="AQ82" s="71">
        <v>0</v>
      </c>
      <c r="AR82" s="57">
        <v>19</v>
      </c>
      <c r="BD82" s="22">
        <v>78</v>
      </c>
      <c r="BE82" s="77" t="s">
        <v>39</v>
      </c>
      <c r="BF82" s="77" t="s">
        <v>33</v>
      </c>
      <c r="BG82" s="77" t="s">
        <v>37</v>
      </c>
      <c r="BH82" s="77" t="s">
        <v>25</v>
      </c>
      <c r="BI82" s="77" t="s">
        <v>152</v>
      </c>
      <c r="BJ82" s="77" t="s">
        <v>75</v>
      </c>
      <c r="BK82" s="37" t="s">
        <v>40</v>
      </c>
      <c r="BM82" s="76">
        <f t="shared" si="39"/>
        <v>11</v>
      </c>
      <c r="BN82" s="76">
        <f t="shared" si="40"/>
        <v>3</v>
      </c>
      <c r="BO82" s="76">
        <f t="shared" si="41"/>
        <v>9</v>
      </c>
      <c r="BP82" s="76">
        <f t="shared" si="42"/>
        <v>8</v>
      </c>
      <c r="BQ82" s="76">
        <f t="shared" si="43"/>
        <v>7</v>
      </c>
      <c r="BR82" s="76">
        <f t="shared" si="44"/>
        <v>6</v>
      </c>
      <c r="BS82" s="76">
        <f t="shared" si="45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53" t="s">
        <v>84</v>
      </c>
      <c r="CD82" s="54">
        <v>0</v>
      </c>
      <c r="CE82" s="55">
        <v>1</v>
      </c>
      <c r="CF82" s="55">
        <v>1</v>
      </c>
      <c r="CG82" s="55">
        <v>1</v>
      </c>
      <c r="CH82" s="55">
        <v>1</v>
      </c>
      <c r="CI82" s="55">
        <v>0</v>
      </c>
      <c r="CJ82" s="56">
        <v>0</v>
      </c>
      <c r="CK82" s="57">
        <v>19</v>
      </c>
    </row>
    <row r="83" spans="11:89" ht="16.2" x14ac:dyDescent="0.3">
      <c r="K83" s="21">
        <v>79</v>
      </c>
      <c r="L83" s="77" t="s">
        <v>37</v>
      </c>
      <c r="M83" s="77" t="s">
        <v>75</v>
      </c>
      <c r="N83" s="77" t="s">
        <v>38</v>
      </c>
      <c r="O83" s="77" t="s">
        <v>191</v>
      </c>
      <c r="P83" s="77" t="s">
        <v>193</v>
      </c>
      <c r="Q83" s="77" t="s">
        <v>25</v>
      </c>
      <c r="R83" s="37" t="s">
        <v>38</v>
      </c>
      <c r="T83" s="76">
        <f t="shared" si="32"/>
        <v>9</v>
      </c>
      <c r="U83" s="76">
        <f t="shared" si="33"/>
        <v>6</v>
      </c>
      <c r="V83" s="76">
        <f t="shared" si="34"/>
        <v>10</v>
      </c>
      <c r="W83" s="76">
        <f t="shared" si="35"/>
        <v>21</v>
      </c>
      <c r="X83" s="76">
        <f t="shared" si="36"/>
        <v>16</v>
      </c>
      <c r="Y83" s="76">
        <f t="shared" si="37"/>
        <v>8</v>
      </c>
      <c r="Z83" s="76">
        <f t="shared" si="38"/>
        <v>10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53" t="s">
        <v>85</v>
      </c>
      <c r="AK83" s="69">
        <v>0</v>
      </c>
      <c r="AL83" s="130">
        <v>8</v>
      </c>
      <c r="AM83" s="130">
        <v>6</v>
      </c>
      <c r="AN83" s="130">
        <v>4</v>
      </c>
      <c r="AO83" s="130">
        <v>4</v>
      </c>
      <c r="AP83" s="130">
        <v>0</v>
      </c>
      <c r="AQ83" s="71">
        <v>0</v>
      </c>
      <c r="AR83" s="57">
        <v>20</v>
      </c>
      <c r="BD83" s="21">
        <v>79</v>
      </c>
      <c r="BE83" s="77" t="s">
        <v>75</v>
      </c>
      <c r="BF83" s="77" t="s">
        <v>33</v>
      </c>
      <c r="BG83" s="77" t="s">
        <v>35</v>
      </c>
      <c r="BH83" s="77" t="s">
        <v>193</v>
      </c>
      <c r="BI83" s="77" t="s">
        <v>152</v>
      </c>
      <c r="BJ83" s="77" t="s">
        <v>40</v>
      </c>
      <c r="BK83" s="37" t="s">
        <v>40</v>
      </c>
      <c r="BM83" s="76">
        <f t="shared" si="39"/>
        <v>6</v>
      </c>
      <c r="BN83" s="76">
        <f t="shared" si="40"/>
        <v>3</v>
      </c>
      <c r="BO83" s="76">
        <f t="shared" si="41"/>
        <v>5</v>
      </c>
      <c r="BP83" s="76">
        <f t="shared" si="42"/>
        <v>16</v>
      </c>
      <c r="BQ83" s="76">
        <f t="shared" si="43"/>
        <v>7</v>
      </c>
      <c r="BR83" s="76">
        <f t="shared" si="44"/>
        <v>12</v>
      </c>
      <c r="BS83" s="76">
        <f t="shared" si="45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53" t="s">
        <v>85</v>
      </c>
      <c r="CD83" s="54">
        <v>0</v>
      </c>
      <c r="CE83" s="55">
        <v>1</v>
      </c>
      <c r="CF83" s="55">
        <v>1</v>
      </c>
      <c r="CG83" s="55">
        <v>1</v>
      </c>
      <c r="CH83" s="55">
        <v>1</v>
      </c>
      <c r="CI83" s="55">
        <v>0</v>
      </c>
      <c r="CJ83" s="56">
        <v>0</v>
      </c>
      <c r="CK83" s="57">
        <v>20</v>
      </c>
    </row>
    <row r="84" spans="11:89" ht="16.2" x14ac:dyDescent="0.3">
      <c r="K84" s="22">
        <v>80</v>
      </c>
      <c r="L84" s="77" t="s">
        <v>37</v>
      </c>
      <c r="M84" s="77" t="s">
        <v>161</v>
      </c>
      <c r="N84" s="77" t="s">
        <v>189</v>
      </c>
      <c r="O84" s="77" t="s">
        <v>38</v>
      </c>
      <c r="P84" s="77" t="s">
        <v>37</v>
      </c>
      <c r="Q84" s="77" t="s">
        <v>37</v>
      </c>
      <c r="R84" s="37" t="s">
        <v>38</v>
      </c>
      <c r="T84" s="76">
        <f t="shared" si="32"/>
        <v>9</v>
      </c>
      <c r="U84" s="76">
        <f t="shared" si="33"/>
        <v>17</v>
      </c>
      <c r="V84" s="76">
        <f t="shared" si="34"/>
        <v>20</v>
      </c>
      <c r="W84" s="76">
        <f t="shared" si="35"/>
        <v>10</v>
      </c>
      <c r="X84" s="76">
        <f t="shared" si="36"/>
        <v>9</v>
      </c>
      <c r="Y84" s="76">
        <f t="shared" si="37"/>
        <v>9</v>
      </c>
      <c r="Z84" s="76">
        <f t="shared" si="38"/>
        <v>10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53" t="s">
        <v>86</v>
      </c>
      <c r="AK84" s="69">
        <v>0</v>
      </c>
      <c r="AL84" s="130">
        <v>10</v>
      </c>
      <c r="AM84" s="130">
        <v>6</v>
      </c>
      <c r="AN84" s="130">
        <v>2</v>
      </c>
      <c r="AO84" s="130">
        <v>8</v>
      </c>
      <c r="AP84" s="130">
        <v>0</v>
      </c>
      <c r="AQ84" s="71">
        <v>0</v>
      </c>
      <c r="AR84" s="57">
        <v>21</v>
      </c>
      <c r="BD84" s="22">
        <v>80</v>
      </c>
      <c r="BE84" s="77" t="s">
        <v>75</v>
      </c>
      <c r="BF84" s="77" t="s">
        <v>37</v>
      </c>
      <c r="BG84" s="77" t="s">
        <v>39</v>
      </c>
      <c r="BH84" s="77" t="s">
        <v>35</v>
      </c>
      <c r="BI84" s="77" t="s">
        <v>163</v>
      </c>
      <c r="BJ84" s="77" t="s">
        <v>38</v>
      </c>
      <c r="BK84" s="37" t="s">
        <v>25</v>
      </c>
      <c r="BM84" s="76">
        <f t="shared" si="39"/>
        <v>6</v>
      </c>
      <c r="BN84" s="76">
        <f t="shared" si="40"/>
        <v>9</v>
      </c>
      <c r="BO84" s="76">
        <f t="shared" si="41"/>
        <v>11</v>
      </c>
      <c r="BP84" s="76">
        <f t="shared" si="42"/>
        <v>5</v>
      </c>
      <c r="BQ84" s="76">
        <f t="shared" si="43"/>
        <v>18</v>
      </c>
      <c r="BR84" s="76">
        <f t="shared" si="44"/>
        <v>10</v>
      </c>
      <c r="BS84" s="76">
        <f t="shared" si="45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53" t="s">
        <v>86</v>
      </c>
      <c r="CD84" s="54">
        <v>0</v>
      </c>
      <c r="CE84" s="55">
        <v>1</v>
      </c>
      <c r="CF84" s="55">
        <v>1</v>
      </c>
      <c r="CG84" s="55">
        <v>1</v>
      </c>
      <c r="CH84" s="55">
        <v>1</v>
      </c>
      <c r="CI84" s="55">
        <v>0</v>
      </c>
      <c r="CJ84" s="56">
        <v>0</v>
      </c>
      <c r="CK84" s="57">
        <v>21</v>
      </c>
    </row>
    <row r="85" spans="11:89" ht="16.2" x14ac:dyDescent="0.3">
      <c r="K85" s="21">
        <v>81</v>
      </c>
      <c r="L85" s="77" t="s">
        <v>40</v>
      </c>
      <c r="M85" s="77" t="s">
        <v>25</v>
      </c>
      <c r="N85" s="77" t="s">
        <v>39</v>
      </c>
      <c r="O85" s="77" t="s">
        <v>38</v>
      </c>
      <c r="P85" s="77" t="s">
        <v>37</v>
      </c>
      <c r="Q85" s="77" t="s">
        <v>33</v>
      </c>
      <c r="R85" s="37" t="s">
        <v>33</v>
      </c>
      <c r="T85" s="76">
        <f t="shared" si="32"/>
        <v>12</v>
      </c>
      <c r="U85" s="76">
        <f t="shared" si="33"/>
        <v>8</v>
      </c>
      <c r="V85" s="76">
        <f t="shared" si="34"/>
        <v>11</v>
      </c>
      <c r="W85" s="76">
        <f t="shared" si="35"/>
        <v>10</v>
      </c>
      <c r="X85" s="76">
        <f t="shared" si="36"/>
        <v>9</v>
      </c>
      <c r="Y85" s="76">
        <f t="shared" si="37"/>
        <v>3</v>
      </c>
      <c r="Z85" s="76">
        <f t="shared" si="38"/>
        <v>3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53" t="s">
        <v>87</v>
      </c>
      <c r="AK85" s="69">
        <v>0</v>
      </c>
      <c r="AL85" s="130">
        <v>5</v>
      </c>
      <c r="AM85" s="130">
        <v>6</v>
      </c>
      <c r="AN85" s="130">
        <v>2</v>
      </c>
      <c r="AO85" s="130">
        <v>4</v>
      </c>
      <c r="AP85" s="130">
        <v>0</v>
      </c>
      <c r="AQ85" s="71">
        <v>0</v>
      </c>
      <c r="AR85" s="57">
        <v>22</v>
      </c>
      <c r="BD85" s="21">
        <v>81</v>
      </c>
      <c r="BE85" s="77" t="s">
        <v>39</v>
      </c>
      <c r="BF85" s="77" t="s">
        <v>37</v>
      </c>
      <c r="BG85" s="77" t="s">
        <v>33</v>
      </c>
      <c r="BH85" s="77" t="s">
        <v>75</v>
      </c>
      <c r="BI85" s="77" t="s">
        <v>39</v>
      </c>
      <c r="BJ85" s="77" t="s">
        <v>38</v>
      </c>
      <c r="BK85" s="37" t="s">
        <v>25</v>
      </c>
      <c r="BM85" s="76">
        <f t="shared" si="39"/>
        <v>11</v>
      </c>
      <c r="BN85" s="76">
        <f t="shared" si="40"/>
        <v>9</v>
      </c>
      <c r="BO85" s="76">
        <f t="shared" si="41"/>
        <v>3</v>
      </c>
      <c r="BP85" s="76">
        <f t="shared" si="42"/>
        <v>6</v>
      </c>
      <c r="BQ85" s="76">
        <f t="shared" si="43"/>
        <v>11</v>
      </c>
      <c r="BR85" s="76">
        <f t="shared" si="44"/>
        <v>10</v>
      </c>
      <c r="BS85" s="76">
        <f t="shared" si="45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53" t="s">
        <v>87</v>
      </c>
      <c r="CD85" s="54">
        <v>0</v>
      </c>
      <c r="CE85" s="55">
        <v>1</v>
      </c>
      <c r="CF85" s="55">
        <v>1</v>
      </c>
      <c r="CG85" s="55">
        <v>1</v>
      </c>
      <c r="CH85" s="55">
        <v>1</v>
      </c>
      <c r="CI85" s="55">
        <v>0</v>
      </c>
      <c r="CJ85" s="56">
        <v>0</v>
      </c>
      <c r="CK85" s="57">
        <v>22</v>
      </c>
    </row>
    <row r="86" spans="11:89" ht="16.8" thickBot="1" x14ac:dyDescent="0.35">
      <c r="K86" s="22">
        <v>82</v>
      </c>
      <c r="L86" s="77" t="s">
        <v>40</v>
      </c>
      <c r="M86" s="77" t="s">
        <v>37</v>
      </c>
      <c r="N86" s="77" t="s">
        <v>32</v>
      </c>
      <c r="O86" s="77" t="s">
        <v>25</v>
      </c>
      <c r="P86" s="77" t="s">
        <v>25</v>
      </c>
      <c r="Q86" s="77" t="s">
        <v>33</v>
      </c>
      <c r="R86" s="37" t="s">
        <v>35</v>
      </c>
      <c r="T86" s="76">
        <f t="shared" si="32"/>
        <v>12</v>
      </c>
      <c r="U86" s="76">
        <f t="shared" si="33"/>
        <v>9</v>
      </c>
      <c r="V86" s="76">
        <f t="shared" si="34"/>
        <v>2</v>
      </c>
      <c r="W86" s="76">
        <f t="shared" si="35"/>
        <v>8</v>
      </c>
      <c r="X86" s="76">
        <f t="shared" si="36"/>
        <v>8</v>
      </c>
      <c r="Y86" s="76">
        <f t="shared" si="37"/>
        <v>3</v>
      </c>
      <c r="Z86" s="76">
        <f t="shared" si="38"/>
        <v>5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59" t="s">
        <v>88</v>
      </c>
      <c r="AK86" s="69">
        <v>0</v>
      </c>
      <c r="AL86" s="130">
        <v>4</v>
      </c>
      <c r="AM86" s="130">
        <v>6</v>
      </c>
      <c r="AN86" s="130">
        <v>2</v>
      </c>
      <c r="AO86" s="130">
        <v>4</v>
      </c>
      <c r="AP86" s="130">
        <v>0</v>
      </c>
      <c r="AQ86" s="71">
        <v>0</v>
      </c>
      <c r="AR86" s="126">
        <v>23</v>
      </c>
      <c r="BD86" s="22">
        <v>82</v>
      </c>
      <c r="BE86" s="77" t="s">
        <v>40</v>
      </c>
      <c r="BF86" s="77" t="s">
        <v>38</v>
      </c>
      <c r="BG86" s="77" t="s">
        <v>33</v>
      </c>
      <c r="BH86" s="77" t="s">
        <v>38</v>
      </c>
      <c r="BI86" s="77" t="s">
        <v>39</v>
      </c>
      <c r="BJ86" s="77" t="s">
        <v>25</v>
      </c>
      <c r="BK86" s="37" t="s">
        <v>25</v>
      </c>
      <c r="BM86" s="76">
        <f t="shared" si="39"/>
        <v>12</v>
      </c>
      <c r="BN86" s="76">
        <f t="shared" si="40"/>
        <v>10</v>
      </c>
      <c r="BO86" s="76">
        <f t="shared" si="41"/>
        <v>3</v>
      </c>
      <c r="BP86" s="76">
        <f t="shared" si="42"/>
        <v>10</v>
      </c>
      <c r="BQ86" s="76">
        <f t="shared" si="43"/>
        <v>11</v>
      </c>
      <c r="BR86" s="76">
        <f t="shared" si="44"/>
        <v>8</v>
      </c>
      <c r="BS86" s="76">
        <f t="shared" si="45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59" t="s">
        <v>88</v>
      </c>
      <c r="CD86" s="60">
        <v>0</v>
      </c>
      <c r="CE86" s="61">
        <v>1</v>
      </c>
      <c r="CF86" s="61">
        <v>1</v>
      </c>
      <c r="CG86" s="61">
        <v>1</v>
      </c>
      <c r="CH86" s="61">
        <v>1</v>
      </c>
      <c r="CI86" s="61">
        <v>0</v>
      </c>
      <c r="CJ86" s="62">
        <v>0</v>
      </c>
      <c r="CK86" s="126">
        <v>23</v>
      </c>
    </row>
    <row r="87" spans="11:89" ht="16.2" x14ac:dyDescent="0.3">
      <c r="K87" s="21">
        <v>83</v>
      </c>
      <c r="L87" s="77" t="s">
        <v>37</v>
      </c>
      <c r="M87" s="77" t="s">
        <v>35</v>
      </c>
      <c r="N87" s="77" t="s">
        <v>32</v>
      </c>
      <c r="O87" s="77" t="s">
        <v>38</v>
      </c>
      <c r="P87" s="77" t="s">
        <v>152</v>
      </c>
      <c r="Q87" s="77" t="s">
        <v>75</v>
      </c>
      <c r="R87" s="37" t="s">
        <v>33</v>
      </c>
      <c r="T87" s="76">
        <f t="shared" si="32"/>
        <v>9</v>
      </c>
      <c r="U87" s="76">
        <f t="shared" si="33"/>
        <v>5</v>
      </c>
      <c r="V87" s="76">
        <f t="shared" si="34"/>
        <v>2</v>
      </c>
      <c r="W87" s="76">
        <f t="shared" si="35"/>
        <v>10</v>
      </c>
      <c r="X87" s="76">
        <f t="shared" si="36"/>
        <v>7</v>
      </c>
      <c r="Y87" s="76">
        <f t="shared" si="37"/>
        <v>6</v>
      </c>
      <c r="Z87" s="76">
        <f t="shared" si="38"/>
        <v>3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3</v>
      </c>
      <c r="AJ87" s="79" t="s">
        <v>176</v>
      </c>
      <c r="AK87" s="133">
        <v>0</v>
      </c>
      <c r="AL87" s="134">
        <v>5</v>
      </c>
      <c r="AM87" s="134">
        <v>5</v>
      </c>
      <c r="AN87" s="134">
        <v>5</v>
      </c>
      <c r="AO87" s="134">
        <v>5</v>
      </c>
      <c r="AP87" s="134">
        <v>0</v>
      </c>
      <c r="AQ87" s="135">
        <v>0</v>
      </c>
      <c r="AR87" s="58">
        <v>24</v>
      </c>
      <c r="BD87" s="21">
        <v>83</v>
      </c>
      <c r="BE87" s="77" t="s">
        <v>39</v>
      </c>
      <c r="BF87" s="77" t="s">
        <v>38</v>
      </c>
      <c r="BG87" s="77" t="s">
        <v>33</v>
      </c>
      <c r="BH87" s="77" t="s">
        <v>35</v>
      </c>
      <c r="BI87" s="77" t="s">
        <v>152</v>
      </c>
      <c r="BJ87" s="77" t="s">
        <v>40</v>
      </c>
      <c r="BK87" s="37" t="s">
        <v>38</v>
      </c>
      <c r="BM87" s="76">
        <f t="shared" si="39"/>
        <v>11</v>
      </c>
      <c r="BN87" s="76">
        <f t="shared" si="40"/>
        <v>10</v>
      </c>
      <c r="BO87" s="76">
        <f t="shared" si="41"/>
        <v>3</v>
      </c>
      <c r="BP87" s="76">
        <f t="shared" si="42"/>
        <v>5</v>
      </c>
      <c r="BQ87" s="76">
        <f t="shared" si="43"/>
        <v>7</v>
      </c>
      <c r="BR87" s="76">
        <f t="shared" si="44"/>
        <v>12</v>
      </c>
      <c r="BS87" s="76">
        <f t="shared" si="45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79" t="s">
        <v>176</v>
      </c>
      <c r="CD87" s="69">
        <v>0</v>
      </c>
      <c r="CE87" s="130">
        <v>0</v>
      </c>
      <c r="CF87" s="130">
        <v>0</v>
      </c>
      <c r="CG87" s="130">
        <v>0</v>
      </c>
      <c r="CH87" s="130">
        <v>0</v>
      </c>
      <c r="CI87" s="130">
        <v>0</v>
      </c>
      <c r="CJ87" s="71">
        <v>0</v>
      </c>
      <c r="CK87" s="58">
        <v>24</v>
      </c>
    </row>
    <row r="88" spans="11:89" ht="16.8" thickBot="1" x14ac:dyDescent="0.35">
      <c r="K88" s="22">
        <v>84</v>
      </c>
      <c r="L88" s="77" t="s">
        <v>37</v>
      </c>
      <c r="M88" s="77" t="s">
        <v>181</v>
      </c>
      <c r="N88" s="77" t="s">
        <v>75</v>
      </c>
      <c r="O88" s="77" t="s">
        <v>38</v>
      </c>
      <c r="P88" s="77" t="s">
        <v>152</v>
      </c>
      <c r="Q88" s="77" t="s">
        <v>25</v>
      </c>
      <c r="R88" s="37" t="s">
        <v>152</v>
      </c>
      <c r="T88" s="76">
        <f t="shared" si="32"/>
        <v>9</v>
      </c>
      <c r="U88" s="76">
        <f t="shared" si="33"/>
        <v>19</v>
      </c>
      <c r="V88" s="76">
        <f t="shared" si="34"/>
        <v>6</v>
      </c>
      <c r="W88" s="76">
        <f t="shared" si="35"/>
        <v>10</v>
      </c>
      <c r="X88" s="76">
        <f t="shared" si="36"/>
        <v>7</v>
      </c>
      <c r="Y88" s="76">
        <f t="shared" si="37"/>
        <v>8</v>
      </c>
      <c r="Z88" s="76">
        <f t="shared" si="38"/>
        <v>7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80" t="s">
        <v>187</v>
      </c>
      <c r="AK88" s="72">
        <v>0</v>
      </c>
      <c r="AL88" s="73">
        <v>1</v>
      </c>
      <c r="AM88" s="73">
        <v>1</v>
      </c>
      <c r="AN88" s="73">
        <v>1</v>
      </c>
      <c r="AO88" s="73">
        <v>1</v>
      </c>
      <c r="AP88" s="73">
        <v>0</v>
      </c>
      <c r="AQ88" s="74">
        <v>0</v>
      </c>
      <c r="AR88" s="63">
        <v>25</v>
      </c>
      <c r="BD88" s="22">
        <v>84</v>
      </c>
      <c r="BE88" s="77" t="s">
        <v>39</v>
      </c>
      <c r="BF88" s="77" t="s">
        <v>75</v>
      </c>
      <c r="BG88" s="77" t="s">
        <v>35</v>
      </c>
      <c r="BH88" s="77" t="s">
        <v>38</v>
      </c>
      <c r="BI88" s="77" t="s">
        <v>33</v>
      </c>
      <c r="BJ88" s="77" t="s">
        <v>40</v>
      </c>
      <c r="BK88" s="37" t="s">
        <v>38</v>
      </c>
      <c r="BM88" s="76">
        <f t="shared" si="39"/>
        <v>11</v>
      </c>
      <c r="BN88" s="76">
        <f t="shared" si="40"/>
        <v>6</v>
      </c>
      <c r="BO88" s="76">
        <f t="shared" si="41"/>
        <v>5</v>
      </c>
      <c r="BP88" s="76">
        <f t="shared" si="42"/>
        <v>10</v>
      </c>
      <c r="BQ88" s="76">
        <f t="shared" si="43"/>
        <v>3</v>
      </c>
      <c r="BR88" s="76">
        <f t="shared" si="44"/>
        <v>12</v>
      </c>
      <c r="BS88" s="76">
        <f t="shared" si="45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80" t="s">
        <v>187</v>
      </c>
      <c r="CD88" s="72">
        <v>0</v>
      </c>
      <c r="CE88" s="73">
        <v>1</v>
      </c>
      <c r="CF88" s="73">
        <v>1</v>
      </c>
      <c r="CG88" s="73">
        <v>1</v>
      </c>
      <c r="CH88" s="73">
        <v>1</v>
      </c>
      <c r="CI88" s="73">
        <v>0</v>
      </c>
      <c r="CJ88" s="74">
        <v>0</v>
      </c>
      <c r="CK88" s="63">
        <v>25</v>
      </c>
    </row>
    <row r="89" spans="11:89" x14ac:dyDescent="0.3">
      <c r="K89" s="21">
        <v>85</v>
      </c>
      <c r="L89" s="77" t="s">
        <v>35</v>
      </c>
      <c r="M89" s="77" t="s">
        <v>25</v>
      </c>
      <c r="N89" s="77" t="s">
        <v>37</v>
      </c>
      <c r="O89" s="77" t="s">
        <v>181</v>
      </c>
      <c r="P89" s="77" t="s">
        <v>39</v>
      </c>
      <c r="Q89" s="77" t="s">
        <v>25</v>
      </c>
      <c r="R89" s="37" t="s">
        <v>152</v>
      </c>
      <c r="T89" s="76">
        <f t="shared" si="32"/>
        <v>5</v>
      </c>
      <c r="U89" s="76">
        <f t="shared" si="33"/>
        <v>8</v>
      </c>
      <c r="V89" s="76">
        <f t="shared" si="34"/>
        <v>9</v>
      </c>
      <c r="W89" s="76">
        <f t="shared" si="35"/>
        <v>19</v>
      </c>
      <c r="X89" s="76">
        <f t="shared" si="36"/>
        <v>11</v>
      </c>
      <c r="Y89" s="76">
        <f t="shared" si="37"/>
        <v>8</v>
      </c>
      <c r="Z89" s="76">
        <f t="shared" si="38"/>
        <v>7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82"/>
      <c r="AK89" s="82"/>
      <c r="AL89" s="82"/>
      <c r="AM89" s="82"/>
      <c r="AN89" s="82"/>
      <c r="AO89" s="82"/>
      <c r="AP89" s="82"/>
      <c r="AQ89" s="82"/>
      <c r="AR89" s="82"/>
      <c r="BD89" s="21">
        <v>85</v>
      </c>
      <c r="BE89" s="77" t="s">
        <v>40</v>
      </c>
      <c r="BF89" s="77" t="s">
        <v>25</v>
      </c>
      <c r="BG89" s="77" t="s">
        <v>181</v>
      </c>
      <c r="BH89" s="77" t="s">
        <v>38</v>
      </c>
      <c r="BI89" s="77" t="s">
        <v>37</v>
      </c>
      <c r="BJ89" s="77" t="s">
        <v>25</v>
      </c>
      <c r="BK89" s="37" t="s">
        <v>38</v>
      </c>
      <c r="BM89" s="76">
        <f t="shared" si="39"/>
        <v>12</v>
      </c>
      <c r="BN89" s="76">
        <f t="shared" si="40"/>
        <v>8</v>
      </c>
      <c r="BO89" s="76">
        <f t="shared" si="41"/>
        <v>19</v>
      </c>
      <c r="BP89" s="76">
        <f t="shared" si="42"/>
        <v>10</v>
      </c>
      <c r="BQ89" s="76">
        <f t="shared" si="43"/>
        <v>9</v>
      </c>
      <c r="BR89" s="76">
        <f t="shared" si="44"/>
        <v>8</v>
      </c>
      <c r="BS89" s="76">
        <f t="shared" si="45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82"/>
      <c r="CD89" s="82"/>
      <c r="CE89" s="82"/>
      <c r="CF89" s="82"/>
      <c r="CG89" s="82"/>
      <c r="CH89" s="82"/>
      <c r="CI89" s="82"/>
      <c r="CJ89" s="82"/>
      <c r="CK89" s="82"/>
    </row>
    <row r="90" spans="11:89" ht="16.2" thickBot="1" x14ac:dyDescent="0.35">
      <c r="K90" s="22">
        <v>86</v>
      </c>
      <c r="L90" s="77" t="s">
        <v>25</v>
      </c>
      <c r="M90" s="77" t="s">
        <v>25</v>
      </c>
      <c r="N90" s="77" t="s">
        <v>40</v>
      </c>
      <c r="O90" s="77" t="s">
        <v>25</v>
      </c>
      <c r="P90" s="77" t="s">
        <v>39</v>
      </c>
      <c r="Q90" s="77" t="s">
        <v>25</v>
      </c>
      <c r="R90" s="37" t="s">
        <v>75</v>
      </c>
      <c r="T90" s="76">
        <f t="shared" si="32"/>
        <v>8</v>
      </c>
      <c r="U90" s="76">
        <f t="shared" si="33"/>
        <v>8</v>
      </c>
      <c r="V90" s="76">
        <f t="shared" si="34"/>
        <v>12</v>
      </c>
      <c r="W90" s="76">
        <f t="shared" si="35"/>
        <v>8</v>
      </c>
      <c r="X90" s="76">
        <f t="shared" si="36"/>
        <v>11</v>
      </c>
      <c r="Y90" s="76">
        <f t="shared" si="37"/>
        <v>8</v>
      </c>
      <c r="Z90" s="76">
        <f t="shared" si="38"/>
        <v>6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82"/>
      <c r="AK90" s="245" t="s">
        <v>95</v>
      </c>
      <c r="AL90" s="245"/>
      <c r="AM90" s="245"/>
      <c r="AN90" s="245"/>
      <c r="AO90" s="245"/>
      <c r="AP90" s="245"/>
      <c r="AQ90" s="245"/>
      <c r="AR90" s="245"/>
      <c r="BD90" s="22">
        <v>86</v>
      </c>
      <c r="BE90" s="77" t="s">
        <v>40</v>
      </c>
      <c r="BF90" s="77" t="s">
        <v>40</v>
      </c>
      <c r="BG90" s="77" t="s">
        <v>25</v>
      </c>
      <c r="BH90" s="77" t="s">
        <v>38</v>
      </c>
      <c r="BI90" s="77" t="s">
        <v>35</v>
      </c>
      <c r="BJ90" s="77" t="s">
        <v>75</v>
      </c>
      <c r="BK90" s="37" t="s">
        <v>40</v>
      </c>
      <c r="BM90" s="76">
        <f t="shared" si="39"/>
        <v>12</v>
      </c>
      <c r="BN90" s="76">
        <f t="shared" si="40"/>
        <v>12</v>
      </c>
      <c r="BO90" s="76">
        <f t="shared" si="41"/>
        <v>8</v>
      </c>
      <c r="BP90" s="76">
        <f t="shared" si="42"/>
        <v>10</v>
      </c>
      <c r="BQ90" s="76">
        <f t="shared" si="43"/>
        <v>5</v>
      </c>
      <c r="BR90" s="76">
        <f t="shared" si="44"/>
        <v>6</v>
      </c>
      <c r="BS90" s="76">
        <f t="shared" si="45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82"/>
      <c r="CD90" s="245" t="s">
        <v>95</v>
      </c>
      <c r="CE90" s="245"/>
      <c r="CF90" s="245"/>
      <c r="CG90" s="245"/>
      <c r="CH90" s="245"/>
      <c r="CI90" s="245"/>
      <c r="CJ90" s="245"/>
      <c r="CK90" s="245"/>
    </row>
    <row r="91" spans="11:89" ht="16.8" thickBot="1" x14ac:dyDescent="0.35">
      <c r="K91" s="21">
        <v>87</v>
      </c>
      <c r="L91" s="77" t="s">
        <v>25</v>
      </c>
      <c r="M91" s="77" t="s">
        <v>75</v>
      </c>
      <c r="N91" s="77" t="s">
        <v>39</v>
      </c>
      <c r="O91" s="77" t="s">
        <v>25</v>
      </c>
      <c r="P91" s="77" t="s">
        <v>35</v>
      </c>
      <c r="Q91" s="77" t="s">
        <v>40</v>
      </c>
      <c r="R91" s="37" t="s">
        <v>37</v>
      </c>
      <c r="T91" s="76">
        <f t="shared" si="32"/>
        <v>8</v>
      </c>
      <c r="U91" s="76">
        <f t="shared" si="33"/>
        <v>6</v>
      </c>
      <c r="V91" s="76">
        <f t="shared" si="34"/>
        <v>11</v>
      </c>
      <c r="W91" s="76">
        <f t="shared" si="35"/>
        <v>8</v>
      </c>
      <c r="X91" s="76">
        <f t="shared" si="36"/>
        <v>5</v>
      </c>
      <c r="Y91" s="76">
        <f t="shared" si="37"/>
        <v>12</v>
      </c>
      <c r="Z91" s="76">
        <f t="shared" si="38"/>
        <v>9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44" t="s">
        <v>52</v>
      </c>
      <c r="AK91" s="45" t="s">
        <v>12</v>
      </c>
      <c r="AL91" s="45" t="s">
        <v>13</v>
      </c>
      <c r="AM91" s="45" t="s">
        <v>14</v>
      </c>
      <c r="AN91" s="45" t="s">
        <v>15</v>
      </c>
      <c r="AO91" s="45" t="s">
        <v>16</v>
      </c>
      <c r="AP91" s="45" t="s">
        <v>56</v>
      </c>
      <c r="AQ91" s="46" t="s">
        <v>76</v>
      </c>
      <c r="AR91" s="47" t="s">
        <v>3</v>
      </c>
      <c r="BD91" s="21">
        <v>87</v>
      </c>
      <c r="BE91" s="77" t="s">
        <v>40</v>
      </c>
      <c r="BF91" s="77" t="s">
        <v>40</v>
      </c>
      <c r="BG91" s="77" t="s">
        <v>25</v>
      </c>
      <c r="BH91" s="77" t="s">
        <v>40</v>
      </c>
      <c r="BI91" s="77" t="s">
        <v>38</v>
      </c>
      <c r="BJ91" s="77" t="s">
        <v>25</v>
      </c>
      <c r="BK91" s="37" t="s">
        <v>75</v>
      </c>
      <c r="BM91" s="76">
        <f t="shared" si="39"/>
        <v>12</v>
      </c>
      <c r="BN91" s="76">
        <f t="shared" si="40"/>
        <v>12</v>
      </c>
      <c r="BO91" s="76">
        <f t="shared" si="41"/>
        <v>8</v>
      </c>
      <c r="BP91" s="76">
        <f t="shared" si="42"/>
        <v>12</v>
      </c>
      <c r="BQ91" s="76">
        <f t="shared" si="43"/>
        <v>10</v>
      </c>
      <c r="BR91" s="76">
        <f t="shared" si="44"/>
        <v>8</v>
      </c>
      <c r="BS91" s="76">
        <f t="shared" si="45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44" t="s">
        <v>52</v>
      </c>
      <c r="CD91" s="45" t="s">
        <v>12</v>
      </c>
      <c r="CE91" s="45" t="s">
        <v>13</v>
      </c>
      <c r="CF91" s="45" t="s">
        <v>14</v>
      </c>
      <c r="CG91" s="45" t="s">
        <v>15</v>
      </c>
      <c r="CH91" s="45" t="s">
        <v>16</v>
      </c>
      <c r="CI91" s="45" t="s">
        <v>56</v>
      </c>
      <c r="CJ91" s="46" t="s">
        <v>76</v>
      </c>
      <c r="CK91" s="47" t="s">
        <v>3</v>
      </c>
    </row>
    <row r="92" spans="11:89" ht="16.2" x14ac:dyDescent="0.3">
      <c r="K92" s="22">
        <v>88</v>
      </c>
      <c r="L92" s="77" t="s">
        <v>35</v>
      </c>
      <c r="M92" s="77" t="s">
        <v>75</v>
      </c>
      <c r="N92" s="77" t="s">
        <v>25</v>
      </c>
      <c r="O92" s="77" t="s">
        <v>38</v>
      </c>
      <c r="P92" s="77" t="s">
        <v>152</v>
      </c>
      <c r="Q92" s="77" t="s">
        <v>25</v>
      </c>
      <c r="R92" s="37" t="s">
        <v>34</v>
      </c>
      <c r="T92" s="76">
        <f t="shared" si="32"/>
        <v>5</v>
      </c>
      <c r="U92" s="76">
        <f t="shared" si="33"/>
        <v>6</v>
      </c>
      <c r="V92" s="76">
        <f t="shared" si="34"/>
        <v>8</v>
      </c>
      <c r="W92" s="76">
        <f t="shared" si="35"/>
        <v>10</v>
      </c>
      <c r="X92" s="76">
        <f t="shared" si="36"/>
        <v>7</v>
      </c>
      <c r="Y92" s="76">
        <f t="shared" si="37"/>
        <v>8</v>
      </c>
      <c r="Z92" s="76">
        <f t="shared" si="38"/>
        <v>4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48" t="s">
        <v>78</v>
      </c>
      <c r="AK92" s="49">
        <v>0</v>
      </c>
      <c r="AL92" s="50">
        <v>0</v>
      </c>
      <c r="AM92" s="50">
        <v>0</v>
      </c>
      <c r="AN92" s="50">
        <v>0</v>
      </c>
      <c r="AO92" s="50">
        <v>0</v>
      </c>
      <c r="AP92" s="50">
        <v>0</v>
      </c>
      <c r="AQ92" s="51">
        <v>0</v>
      </c>
      <c r="AR92" s="52">
        <v>0</v>
      </c>
      <c r="BD92" s="22">
        <v>88</v>
      </c>
      <c r="BE92" s="77" t="s">
        <v>40</v>
      </c>
      <c r="BF92" s="77" t="s">
        <v>34</v>
      </c>
      <c r="BG92" s="77" t="s">
        <v>39</v>
      </c>
      <c r="BH92" s="77" t="s">
        <v>40</v>
      </c>
      <c r="BI92" s="77" t="s">
        <v>38</v>
      </c>
      <c r="BJ92" s="77" t="s">
        <v>25</v>
      </c>
      <c r="BK92" s="37" t="s">
        <v>75</v>
      </c>
      <c r="BM92" s="76">
        <f t="shared" si="39"/>
        <v>12</v>
      </c>
      <c r="BN92" s="76">
        <f t="shared" si="40"/>
        <v>4</v>
      </c>
      <c r="BO92" s="76">
        <f t="shared" si="41"/>
        <v>11</v>
      </c>
      <c r="BP92" s="76">
        <f t="shared" si="42"/>
        <v>12</v>
      </c>
      <c r="BQ92" s="76">
        <f t="shared" si="43"/>
        <v>10</v>
      </c>
      <c r="BR92" s="76">
        <f t="shared" si="44"/>
        <v>8</v>
      </c>
      <c r="BS92" s="76">
        <f t="shared" si="45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48" t="s">
        <v>78</v>
      </c>
      <c r="CD92" s="49">
        <v>0</v>
      </c>
      <c r="CE92" s="50">
        <v>0</v>
      </c>
      <c r="CF92" s="50">
        <v>0</v>
      </c>
      <c r="CG92" s="50">
        <v>0</v>
      </c>
      <c r="CH92" s="50">
        <v>0</v>
      </c>
      <c r="CI92" s="50">
        <v>0</v>
      </c>
      <c r="CJ92" s="51">
        <v>0</v>
      </c>
      <c r="CK92" s="52">
        <v>0</v>
      </c>
    </row>
    <row r="93" spans="11:89" ht="16.2" x14ac:dyDescent="0.3">
      <c r="K93" s="21">
        <v>89</v>
      </c>
      <c r="L93" s="77" t="s">
        <v>35</v>
      </c>
      <c r="M93" s="77" t="s">
        <v>152</v>
      </c>
      <c r="N93" s="77" t="s">
        <v>25</v>
      </c>
      <c r="O93" s="77" t="s">
        <v>38</v>
      </c>
      <c r="P93" s="77" t="s">
        <v>39</v>
      </c>
      <c r="Q93" s="77" t="s">
        <v>25</v>
      </c>
      <c r="R93" s="37" t="s">
        <v>34</v>
      </c>
      <c r="T93" s="76">
        <f t="shared" si="32"/>
        <v>5</v>
      </c>
      <c r="U93" s="76">
        <f t="shared" si="33"/>
        <v>7</v>
      </c>
      <c r="V93" s="76">
        <f t="shared" si="34"/>
        <v>8</v>
      </c>
      <c r="W93" s="76">
        <f t="shared" si="35"/>
        <v>10</v>
      </c>
      <c r="X93" s="76">
        <f t="shared" si="36"/>
        <v>11</v>
      </c>
      <c r="Y93" s="76">
        <f t="shared" si="37"/>
        <v>8</v>
      </c>
      <c r="Z93" s="76">
        <f t="shared" si="38"/>
        <v>4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53" t="s">
        <v>19</v>
      </c>
      <c r="AK93" s="69">
        <v>0</v>
      </c>
      <c r="AL93" s="130">
        <v>0</v>
      </c>
      <c r="AM93" s="130">
        <v>0</v>
      </c>
      <c r="AN93" s="130">
        <v>0</v>
      </c>
      <c r="AO93" s="130">
        <v>0</v>
      </c>
      <c r="AP93" s="130">
        <v>0</v>
      </c>
      <c r="AQ93" s="71">
        <v>0</v>
      </c>
      <c r="AR93" s="57">
        <v>1</v>
      </c>
      <c r="BD93" s="21">
        <v>89</v>
      </c>
      <c r="BE93" s="77" t="s">
        <v>39</v>
      </c>
      <c r="BF93" s="77" t="s">
        <v>33</v>
      </c>
      <c r="BG93" s="77" t="s">
        <v>39</v>
      </c>
      <c r="BH93" s="77" t="s">
        <v>40</v>
      </c>
      <c r="BI93" s="77" t="s">
        <v>37</v>
      </c>
      <c r="BJ93" s="77" t="s">
        <v>25</v>
      </c>
      <c r="BK93" s="37" t="s">
        <v>75</v>
      </c>
      <c r="BM93" s="76">
        <f t="shared" si="39"/>
        <v>11</v>
      </c>
      <c r="BN93" s="76">
        <f t="shared" si="40"/>
        <v>3</v>
      </c>
      <c r="BO93" s="76">
        <f t="shared" si="41"/>
        <v>11</v>
      </c>
      <c r="BP93" s="76">
        <f t="shared" si="42"/>
        <v>12</v>
      </c>
      <c r="BQ93" s="76">
        <f t="shared" si="43"/>
        <v>9</v>
      </c>
      <c r="BR93" s="76">
        <f t="shared" si="44"/>
        <v>8</v>
      </c>
      <c r="BS93" s="76">
        <f t="shared" si="45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53" t="s">
        <v>19</v>
      </c>
      <c r="CD93" s="69">
        <v>0</v>
      </c>
      <c r="CE93" s="130">
        <v>0</v>
      </c>
      <c r="CF93" s="130">
        <v>0</v>
      </c>
      <c r="CG93" s="130">
        <v>0</v>
      </c>
      <c r="CH93" s="130">
        <v>0</v>
      </c>
      <c r="CI93" s="130">
        <v>0</v>
      </c>
      <c r="CJ93" s="71">
        <v>0</v>
      </c>
      <c r="CK93" s="57">
        <v>1</v>
      </c>
    </row>
    <row r="94" spans="11:89" ht="16.2" x14ac:dyDescent="0.3">
      <c r="K94" s="22">
        <v>90</v>
      </c>
      <c r="L94" s="77" t="s">
        <v>25</v>
      </c>
      <c r="M94" s="77" t="s">
        <v>37</v>
      </c>
      <c r="N94" s="77" t="s">
        <v>35</v>
      </c>
      <c r="O94" s="77" t="s">
        <v>40</v>
      </c>
      <c r="P94" s="77" t="s">
        <v>39</v>
      </c>
      <c r="Q94" s="77" t="s">
        <v>25</v>
      </c>
      <c r="R94" s="37" t="s">
        <v>75</v>
      </c>
      <c r="T94" s="76">
        <f t="shared" si="32"/>
        <v>8</v>
      </c>
      <c r="U94" s="76">
        <f t="shared" si="33"/>
        <v>9</v>
      </c>
      <c r="V94" s="76">
        <f t="shared" si="34"/>
        <v>5</v>
      </c>
      <c r="W94" s="76">
        <f t="shared" si="35"/>
        <v>12</v>
      </c>
      <c r="X94" s="76">
        <f t="shared" si="36"/>
        <v>11</v>
      </c>
      <c r="Y94" s="76">
        <f t="shared" si="37"/>
        <v>8</v>
      </c>
      <c r="Z94" s="76">
        <f t="shared" si="38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53" t="s">
        <v>20</v>
      </c>
      <c r="AK94" s="69">
        <v>4</v>
      </c>
      <c r="AL94" s="130">
        <v>4</v>
      </c>
      <c r="AM94" s="130">
        <v>4</v>
      </c>
      <c r="AN94" s="130">
        <v>4</v>
      </c>
      <c r="AO94" s="130">
        <v>4</v>
      </c>
      <c r="AP94" s="130">
        <v>4</v>
      </c>
      <c r="AQ94" s="71">
        <v>3</v>
      </c>
      <c r="AR94" s="57">
        <v>2</v>
      </c>
      <c r="BD94" s="22">
        <v>90</v>
      </c>
      <c r="BE94" s="77" t="s">
        <v>25</v>
      </c>
      <c r="BF94" s="77" t="s">
        <v>33</v>
      </c>
      <c r="BG94" s="77" t="s">
        <v>35</v>
      </c>
      <c r="BH94" s="77" t="s">
        <v>75</v>
      </c>
      <c r="BI94" s="77" t="s">
        <v>37</v>
      </c>
      <c r="BJ94" s="77" t="s">
        <v>38</v>
      </c>
      <c r="BK94" s="37" t="s">
        <v>75</v>
      </c>
      <c r="BM94" s="76">
        <f t="shared" si="39"/>
        <v>8</v>
      </c>
      <c r="BN94" s="76">
        <f t="shared" si="40"/>
        <v>3</v>
      </c>
      <c r="BO94" s="76">
        <f t="shared" si="41"/>
        <v>5</v>
      </c>
      <c r="BP94" s="76">
        <f t="shared" si="42"/>
        <v>6</v>
      </c>
      <c r="BQ94" s="76">
        <f t="shared" si="43"/>
        <v>9</v>
      </c>
      <c r="BR94" s="76">
        <f t="shared" si="44"/>
        <v>10</v>
      </c>
      <c r="BS94" s="76">
        <f t="shared" si="45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53" t="s">
        <v>20</v>
      </c>
      <c r="CD94" s="54">
        <v>1</v>
      </c>
      <c r="CE94" s="55">
        <v>1</v>
      </c>
      <c r="CF94" s="55">
        <v>1</v>
      </c>
      <c r="CG94" s="55">
        <v>1</v>
      </c>
      <c r="CH94" s="55">
        <v>1</v>
      </c>
      <c r="CI94" s="55">
        <v>1</v>
      </c>
      <c r="CJ94" s="56">
        <v>0</v>
      </c>
      <c r="CK94" s="57">
        <v>2</v>
      </c>
    </row>
    <row r="95" spans="11:89" ht="16.2" x14ac:dyDescent="0.3">
      <c r="K95" s="21">
        <v>91</v>
      </c>
      <c r="L95" s="77" t="s">
        <v>35</v>
      </c>
      <c r="M95" s="77" t="s">
        <v>75</v>
      </c>
      <c r="N95" s="77" t="s">
        <v>35</v>
      </c>
      <c r="O95" s="77" t="s">
        <v>33</v>
      </c>
      <c r="P95" s="77" t="s">
        <v>192</v>
      </c>
      <c r="Q95" s="77" t="s">
        <v>39</v>
      </c>
      <c r="R95" s="37" t="s">
        <v>152</v>
      </c>
      <c r="T95" s="76">
        <f t="shared" si="32"/>
        <v>5</v>
      </c>
      <c r="U95" s="76">
        <f t="shared" si="33"/>
        <v>6</v>
      </c>
      <c r="V95" s="76">
        <f t="shared" si="34"/>
        <v>5</v>
      </c>
      <c r="W95" s="76">
        <f t="shared" si="35"/>
        <v>3</v>
      </c>
      <c r="X95" s="76">
        <f t="shared" si="36"/>
        <v>22</v>
      </c>
      <c r="Y95" s="76">
        <f t="shared" si="37"/>
        <v>11</v>
      </c>
      <c r="Z95" s="76">
        <f t="shared" si="38"/>
        <v>7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53" t="s">
        <v>21</v>
      </c>
      <c r="AK95" s="69">
        <v>5</v>
      </c>
      <c r="AL95" s="130">
        <v>13</v>
      </c>
      <c r="AM95" s="130">
        <v>5</v>
      </c>
      <c r="AN95" s="130">
        <v>5</v>
      </c>
      <c r="AO95" s="130">
        <v>10</v>
      </c>
      <c r="AP95" s="130">
        <v>5</v>
      </c>
      <c r="AQ95" s="71">
        <v>10</v>
      </c>
      <c r="AR95" s="57">
        <v>3</v>
      </c>
      <c r="BD95" s="21">
        <v>91</v>
      </c>
      <c r="BE95" s="77" t="s">
        <v>39</v>
      </c>
      <c r="BF95" s="77" t="s">
        <v>25</v>
      </c>
      <c r="BG95" s="77" t="s">
        <v>39</v>
      </c>
      <c r="BH95" s="77" t="s">
        <v>75</v>
      </c>
      <c r="BI95" s="77" t="s">
        <v>189</v>
      </c>
      <c r="BJ95" s="77" t="s">
        <v>38</v>
      </c>
      <c r="BK95" s="37" t="s">
        <v>40</v>
      </c>
      <c r="BM95" s="76">
        <f t="shared" si="39"/>
        <v>11</v>
      </c>
      <c r="BN95" s="76">
        <f t="shared" si="40"/>
        <v>8</v>
      </c>
      <c r="BO95" s="76">
        <f t="shared" si="41"/>
        <v>11</v>
      </c>
      <c r="BP95" s="76">
        <f t="shared" si="42"/>
        <v>6</v>
      </c>
      <c r="BQ95" s="76">
        <f t="shared" si="43"/>
        <v>20</v>
      </c>
      <c r="BR95" s="76">
        <f t="shared" si="44"/>
        <v>10</v>
      </c>
      <c r="BS95" s="76">
        <f t="shared" si="45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53" t="s">
        <v>21</v>
      </c>
      <c r="CD95" s="54">
        <v>1</v>
      </c>
      <c r="CE95" s="55">
        <v>70</v>
      </c>
      <c r="CF95" s="55">
        <v>1</v>
      </c>
      <c r="CG95" s="55">
        <v>70</v>
      </c>
      <c r="CH95" s="55">
        <v>1</v>
      </c>
      <c r="CI95" s="55">
        <v>1</v>
      </c>
      <c r="CJ95" s="56">
        <v>0</v>
      </c>
      <c r="CK95" s="57">
        <v>3</v>
      </c>
    </row>
    <row r="96" spans="11:89" ht="16.2" x14ac:dyDescent="0.3">
      <c r="K96" s="22">
        <v>92</v>
      </c>
      <c r="L96" s="77" t="s">
        <v>39</v>
      </c>
      <c r="M96" s="77" t="s">
        <v>38</v>
      </c>
      <c r="N96" s="77" t="s">
        <v>37</v>
      </c>
      <c r="O96" s="77" t="s">
        <v>33</v>
      </c>
      <c r="P96" s="77" t="s">
        <v>40</v>
      </c>
      <c r="Q96" s="77" t="s">
        <v>39</v>
      </c>
      <c r="R96" s="37" t="s">
        <v>152</v>
      </c>
      <c r="T96" s="76">
        <f t="shared" si="32"/>
        <v>11</v>
      </c>
      <c r="U96" s="76">
        <f t="shared" si="33"/>
        <v>10</v>
      </c>
      <c r="V96" s="76">
        <f t="shared" si="34"/>
        <v>9</v>
      </c>
      <c r="W96" s="76">
        <f t="shared" si="35"/>
        <v>3</v>
      </c>
      <c r="X96" s="76">
        <f t="shared" si="36"/>
        <v>12</v>
      </c>
      <c r="Y96" s="76">
        <f t="shared" si="37"/>
        <v>11</v>
      </c>
      <c r="Z96" s="76">
        <f t="shared" si="38"/>
        <v>7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53" t="s">
        <v>17</v>
      </c>
      <c r="AK96" s="69">
        <v>12</v>
      </c>
      <c r="AL96" s="130">
        <v>5</v>
      </c>
      <c r="AM96" s="130">
        <v>12</v>
      </c>
      <c r="AN96" s="130">
        <v>5</v>
      </c>
      <c r="AO96" s="130">
        <v>12</v>
      </c>
      <c r="AP96" s="130">
        <v>10</v>
      </c>
      <c r="AQ96" s="71">
        <v>10</v>
      </c>
      <c r="AR96" s="57">
        <v>4</v>
      </c>
      <c r="BD96" s="22">
        <v>92</v>
      </c>
      <c r="BE96" s="77" t="s">
        <v>75</v>
      </c>
      <c r="BF96" s="77" t="s">
        <v>75</v>
      </c>
      <c r="BG96" s="77" t="s">
        <v>39</v>
      </c>
      <c r="BH96" s="77" t="s">
        <v>75</v>
      </c>
      <c r="BI96" s="77" t="s">
        <v>39</v>
      </c>
      <c r="BJ96" s="77" t="s">
        <v>75</v>
      </c>
      <c r="BK96" s="37" t="s">
        <v>40</v>
      </c>
      <c r="BM96" s="76">
        <f t="shared" si="39"/>
        <v>6</v>
      </c>
      <c r="BN96" s="76">
        <f t="shared" si="40"/>
        <v>6</v>
      </c>
      <c r="BO96" s="76">
        <f t="shared" si="41"/>
        <v>11</v>
      </c>
      <c r="BP96" s="76">
        <f t="shared" si="42"/>
        <v>6</v>
      </c>
      <c r="BQ96" s="76">
        <f t="shared" si="43"/>
        <v>11</v>
      </c>
      <c r="BR96" s="76">
        <f t="shared" si="44"/>
        <v>6</v>
      </c>
      <c r="BS96" s="76">
        <f t="shared" si="45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53" t="s">
        <v>17</v>
      </c>
      <c r="CD96" s="54">
        <v>1</v>
      </c>
      <c r="CE96" s="55">
        <v>1</v>
      </c>
      <c r="CF96" s="55">
        <v>5</v>
      </c>
      <c r="CG96" s="55">
        <v>1</v>
      </c>
      <c r="CH96" s="55">
        <v>1</v>
      </c>
      <c r="CI96" s="55">
        <v>70</v>
      </c>
      <c r="CJ96" s="56">
        <v>1</v>
      </c>
      <c r="CK96" s="57">
        <v>4</v>
      </c>
    </row>
    <row r="97" spans="11:89" ht="16.2" x14ac:dyDescent="0.3">
      <c r="K97" s="21">
        <v>93</v>
      </c>
      <c r="L97" s="77" t="s">
        <v>40</v>
      </c>
      <c r="M97" s="77" t="s">
        <v>38</v>
      </c>
      <c r="N97" s="77" t="s">
        <v>35</v>
      </c>
      <c r="O97" s="77" t="s">
        <v>33</v>
      </c>
      <c r="P97" s="77" t="s">
        <v>39</v>
      </c>
      <c r="Q97" s="77" t="s">
        <v>32</v>
      </c>
      <c r="R97" s="37" t="s">
        <v>37</v>
      </c>
      <c r="T97" s="76">
        <f t="shared" si="32"/>
        <v>12</v>
      </c>
      <c r="U97" s="76">
        <f t="shared" si="33"/>
        <v>10</v>
      </c>
      <c r="V97" s="76">
        <f t="shared" si="34"/>
        <v>5</v>
      </c>
      <c r="W97" s="76">
        <f t="shared" si="35"/>
        <v>3</v>
      </c>
      <c r="X97" s="76">
        <f t="shared" si="36"/>
        <v>11</v>
      </c>
      <c r="Y97" s="76">
        <f t="shared" si="37"/>
        <v>2</v>
      </c>
      <c r="Z97" s="76">
        <f t="shared" si="38"/>
        <v>9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53" t="s">
        <v>18</v>
      </c>
      <c r="AK97" s="69">
        <v>5</v>
      </c>
      <c r="AL97" s="130">
        <v>20</v>
      </c>
      <c r="AM97" s="130">
        <v>10</v>
      </c>
      <c r="AN97" s="130">
        <v>5</v>
      </c>
      <c r="AO97" s="130">
        <v>5</v>
      </c>
      <c r="AP97" s="130">
        <v>10</v>
      </c>
      <c r="AQ97" s="71">
        <v>10</v>
      </c>
      <c r="AR97" s="57">
        <v>5</v>
      </c>
      <c r="BD97" s="21">
        <v>93</v>
      </c>
      <c r="BE97" s="77" t="s">
        <v>25</v>
      </c>
      <c r="BF97" s="77" t="s">
        <v>35</v>
      </c>
      <c r="BG97" s="77" t="s">
        <v>40</v>
      </c>
      <c r="BH97" s="77" t="s">
        <v>40</v>
      </c>
      <c r="BI97" s="77" t="s">
        <v>37</v>
      </c>
      <c r="BJ97" s="77" t="s">
        <v>75</v>
      </c>
      <c r="BK97" s="37" t="s">
        <v>40</v>
      </c>
      <c r="BM97" s="76">
        <f t="shared" si="39"/>
        <v>8</v>
      </c>
      <c r="BN97" s="76">
        <f t="shared" si="40"/>
        <v>5</v>
      </c>
      <c r="BO97" s="76">
        <f t="shared" si="41"/>
        <v>12</v>
      </c>
      <c r="BP97" s="76">
        <f t="shared" si="42"/>
        <v>12</v>
      </c>
      <c r="BQ97" s="76">
        <f t="shared" si="43"/>
        <v>9</v>
      </c>
      <c r="BR97" s="76">
        <f t="shared" si="44"/>
        <v>6</v>
      </c>
      <c r="BS97" s="76">
        <f t="shared" si="45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53" t="s">
        <v>18</v>
      </c>
      <c r="CD97" s="54">
        <v>1</v>
      </c>
      <c r="CE97" s="55">
        <v>70</v>
      </c>
      <c r="CF97" s="55">
        <v>1</v>
      </c>
      <c r="CG97" s="55">
        <v>1</v>
      </c>
      <c r="CH97" s="55">
        <v>1</v>
      </c>
      <c r="CI97" s="55">
        <v>70</v>
      </c>
      <c r="CJ97" s="56">
        <v>1</v>
      </c>
      <c r="CK97" s="57">
        <v>5</v>
      </c>
    </row>
    <row r="98" spans="11:89" ht="16.2" x14ac:dyDescent="0.3">
      <c r="K98" s="22">
        <v>94</v>
      </c>
      <c r="L98" s="77" t="s">
        <v>152</v>
      </c>
      <c r="M98" s="77" t="s">
        <v>38</v>
      </c>
      <c r="N98" s="77" t="s">
        <v>35</v>
      </c>
      <c r="O98" s="77" t="s">
        <v>40</v>
      </c>
      <c r="P98" s="77" t="s">
        <v>39</v>
      </c>
      <c r="Q98" s="77" t="s">
        <v>32</v>
      </c>
      <c r="R98" s="37" t="s">
        <v>37</v>
      </c>
      <c r="T98" s="76">
        <f t="shared" si="32"/>
        <v>7</v>
      </c>
      <c r="U98" s="76">
        <f t="shared" si="33"/>
        <v>10</v>
      </c>
      <c r="V98" s="76">
        <f t="shared" si="34"/>
        <v>5</v>
      </c>
      <c r="W98" s="76">
        <f t="shared" si="35"/>
        <v>12</v>
      </c>
      <c r="X98" s="76">
        <f t="shared" si="36"/>
        <v>11</v>
      </c>
      <c r="Y98" s="76">
        <f t="shared" si="37"/>
        <v>2</v>
      </c>
      <c r="Z98" s="76">
        <f t="shared" si="38"/>
        <v>9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53" t="s">
        <v>74</v>
      </c>
      <c r="AK98" s="69">
        <v>25</v>
      </c>
      <c r="AL98" s="130">
        <v>12</v>
      </c>
      <c r="AM98" s="130">
        <v>25</v>
      </c>
      <c r="AN98" s="130">
        <v>12</v>
      </c>
      <c r="AO98" s="130">
        <v>25</v>
      </c>
      <c r="AP98" s="130">
        <v>20</v>
      </c>
      <c r="AQ98" s="71">
        <v>10</v>
      </c>
      <c r="AR98" s="57">
        <v>6</v>
      </c>
      <c r="BD98" s="22">
        <v>94</v>
      </c>
      <c r="BE98" s="77" t="s">
        <v>37</v>
      </c>
      <c r="BF98" s="77" t="s">
        <v>97</v>
      </c>
      <c r="BG98" s="77" t="s">
        <v>39</v>
      </c>
      <c r="BH98" s="77" t="s">
        <v>40</v>
      </c>
      <c r="BI98" s="77" t="s">
        <v>37</v>
      </c>
      <c r="BJ98" s="77" t="s">
        <v>75</v>
      </c>
      <c r="BK98" s="37" t="s">
        <v>39</v>
      </c>
      <c r="BM98" s="76">
        <f t="shared" si="39"/>
        <v>9</v>
      </c>
      <c r="BN98" s="76">
        <f t="shared" si="40"/>
        <v>14</v>
      </c>
      <c r="BO98" s="76">
        <f t="shared" si="41"/>
        <v>11</v>
      </c>
      <c r="BP98" s="76">
        <f t="shared" si="42"/>
        <v>12</v>
      </c>
      <c r="BQ98" s="76">
        <f t="shared" si="43"/>
        <v>9</v>
      </c>
      <c r="BR98" s="76">
        <f t="shared" si="44"/>
        <v>6</v>
      </c>
      <c r="BS98" s="76">
        <f t="shared" si="45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53" t="s">
        <v>74</v>
      </c>
      <c r="CD98" s="54">
        <v>5</v>
      </c>
      <c r="CE98" s="55">
        <v>1</v>
      </c>
      <c r="CF98" s="55">
        <v>70</v>
      </c>
      <c r="CG98" s="55">
        <v>1</v>
      </c>
      <c r="CH98" s="55">
        <v>70</v>
      </c>
      <c r="CI98" s="55">
        <v>1</v>
      </c>
      <c r="CJ98" s="56">
        <v>1</v>
      </c>
      <c r="CK98" s="57">
        <v>6</v>
      </c>
    </row>
    <row r="99" spans="11:89" ht="16.2" x14ac:dyDescent="0.3">
      <c r="K99" s="21">
        <v>95</v>
      </c>
      <c r="L99" s="77" t="s">
        <v>40</v>
      </c>
      <c r="M99" s="77" t="s">
        <v>75</v>
      </c>
      <c r="N99" s="77" t="s">
        <v>35</v>
      </c>
      <c r="O99" s="77" t="s">
        <v>40</v>
      </c>
      <c r="P99" s="77" t="s">
        <v>152</v>
      </c>
      <c r="Q99" s="77" t="s">
        <v>37</v>
      </c>
      <c r="R99" s="37" t="s">
        <v>37</v>
      </c>
      <c r="T99" s="76">
        <f t="shared" si="32"/>
        <v>12</v>
      </c>
      <c r="U99" s="76">
        <f t="shared" si="33"/>
        <v>6</v>
      </c>
      <c r="V99" s="76">
        <f t="shared" si="34"/>
        <v>5</v>
      </c>
      <c r="W99" s="76">
        <f t="shared" si="35"/>
        <v>12</v>
      </c>
      <c r="X99" s="76">
        <f t="shared" si="36"/>
        <v>7</v>
      </c>
      <c r="Y99" s="76">
        <f t="shared" si="37"/>
        <v>9</v>
      </c>
      <c r="Z99" s="76">
        <f t="shared" si="38"/>
        <v>9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53" t="s">
        <v>151</v>
      </c>
      <c r="AK99" s="69">
        <v>25</v>
      </c>
      <c r="AL99" s="130">
        <v>12</v>
      </c>
      <c r="AM99" s="130">
        <v>25</v>
      </c>
      <c r="AN99" s="130">
        <v>12</v>
      </c>
      <c r="AO99" s="130">
        <v>25</v>
      </c>
      <c r="AP99" s="130">
        <v>20</v>
      </c>
      <c r="AQ99" s="71">
        <v>10</v>
      </c>
      <c r="AR99" s="57">
        <v>7</v>
      </c>
      <c r="BD99" s="21">
        <v>95</v>
      </c>
      <c r="BE99" s="77" t="s">
        <v>37</v>
      </c>
      <c r="BF99" s="77" t="s">
        <v>75</v>
      </c>
      <c r="BG99" s="77" t="s">
        <v>39</v>
      </c>
      <c r="BH99" s="77" t="s">
        <v>163</v>
      </c>
      <c r="BI99" s="77" t="s">
        <v>37</v>
      </c>
      <c r="BJ99" s="77" t="s">
        <v>40</v>
      </c>
      <c r="BK99" s="37" t="s">
        <v>39</v>
      </c>
      <c r="BM99" s="76">
        <f t="shared" si="39"/>
        <v>9</v>
      </c>
      <c r="BN99" s="76">
        <f t="shared" si="40"/>
        <v>6</v>
      </c>
      <c r="BO99" s="76">
        <f t="shared" si="41"/>
        <v>11</v>
      </c>
      <c r="BP99" s="76">
        <f t="shared" si="42"/>
        <v>18</v>
      </c>
      <c r="BQ99" s="76">
        <f t="shared" si="43"/>
        <v>9</v>
      </c>
      <c r="BR99" s="76">
        <f t="shared" si="44"/>
        <v>12</v>
      </c>
      <c r="BS99" s="76">
        <f t="shared" si="45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53" t="s">
        <v>151</v>
      </c>
      <c r="CD99" s="54">
        <v>1</v>
      </c>
      <c r="CE99" s="55">
        <v>70</v>
      </c>
      <c r="CF99" s="55">
        <v>1</v>
      </c>
      <c r="CG99" s="55">
        <v>1</v>
      </c>
      <c r="CH99" s="55">
        <v>1</v>
      </c>
      <c r="CI99" s="55">
        <v>70</v>
      </c>
      <c r="CJ99" s="56">
        <v>1</v>
      </c>
      <c r="CK99" s="57">
        <v>7</v>
      </c>
    </row>
    <row r="100" spans="11:89" ht="16.2" x14ac:dyDescent="0.3">
      <c r="K100" s="22">
        <v>96</v>
      </c>
      <c r="L100" s="77" t="s">
        <v>37</v>
      </c>
      <c r="M100" s="77" t="s">
        <v>161</v>
      </c>
      <c r="N100" s="77" t="s">
        <v>25</v>
      </c>
      <c r="O100" s="77" t="s">
        <v>39</v>
      </c>
      <c r="P100" s="77" t="s">
        <v>39</v>
      </c>
      <c r="Q100" s="77" t="s">
        <v>37</v>
      </c>
      <c r="R100" s="37" t="s">
        <v>39</v>
      </c>
      <c r="T100" s="76">
        <f t="shared" si="32"/>
        <v>9</v>
      </c>
      <c r="U100" s="76">
        <f t="shared" si="33"/>
        <v>17</v>
      </c>
      <c r="V100" s="76">
        <f t="shared" si="34"/>
        <v>8</v>
      </c>
      <c r="W100" s="76">
        <f t="shared" si="35"/>
        <v>11</v>
      </c>
      <c r="X100" s="76">
        <f t="shared" si="36"/>
        <v>11</v>
      </c>
      <c r="Y100" s="76">
        <f t="shared" si="37"/>
        <v>9</v>
      </c>
      <c r="Z100" s="76">
        <f t="shared" si="38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53" t="s">
        <v>24</v>
      </c>
      <c r="AK100" s="69">
        <v>10</v>
      </c>
      <c r="AL100" s="130">
        <v>10</v>
      </c>
      <c r="AM100" s="130">
        <v>40</v>
      </c>
      <c r="AN100" s="130">
        <v>1</v>
      </c>
      <c r="AO100" s="130">
        <v>40</v>
      </c>
      <c r="AP100" s="130">
        <v>1</v>
      </c>
      <c r="AQ100" s="71">
        <v>10</v>
      </c>
      <c r="AR100" s="57">
        <v>8</v>
      </c>
      <c r="BD100" s="22">
        <v>96</v>
      </c>
      <c r="BE100" s="77" t="s">
        <v>38</v>
      </c>
      <c r="BF100" s="77" t="s">
        <v>75</v>
      </c>
      <c r="BG100" s="77" t="s">
        <v>39</v>
      </c>
      <c r="BH100" s="77" t="s">
        <v>152</v>
      </c>
      <c r="BI100" s="77" t="s">
        <v>152</v>
      </c>
      <c r="BJ100" s="77" t="s">
        <v>35</v>
      </c>
      <c r="BK100" s="37" t="s">
        <v>39</v>
      </c>
      <c r="BM100" s="76">
        <f t="shared" si="39"/>
        <v>10</v>
      </c>
      <c r="BN100" s="76">
        <f t="shared" si="40"/>
        <v>6</v>
      </c>
      <c r="BO100" s="76">
        <f t="shared" si="41"/>
        <v>11</v>
      </c>
      <c r="BP100" s="76">
        <f t="shared" si="42"/>
        <v>7</v>
      </c>
      <c r="BQ100" s="76">
        <f t="shared" si="43"/>
        <v>7</v>
      </c>
      <c r="BR100" s="76">
        <f t="shared" si="44"/>
        <v>5</v>
      </c>
      <c r="BS100" s="76">
        <f t="shared" si="45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53" t="s">
        <v>24</v>
      </c>
      <c r="CD100" s="54">
        <v>1</v>
      </c>
      <c r="CE100" s="55">
        <v>1</v>
      </c>
      <c r="CF100" s="55">
        <v>1</v>
      </c>
      <c r="CG100" s="55">
        <v>1</v>
      </c>
      <c r="CH100" s="55">
        <v>70</v>
      </c>
      <c r="CI100" s="55">
        <v>1</v>
      </c>
      <c r="CJ100" s="56">
        <v>1</v>
      </c>
      <c r="CK100" s="57">
        <v>8</v>
      </c>
    </row>
    <row r="101" spans="11:89" ht="16.2" x14ac:dyDescent="0.3">
      <c r="K101" s="21">
        <v>97</v>
      </c>
      <c r="L101" s="77" t="s">
        <v>39</v>
      </c>
      <c r="M101" s="77" t="s">
        <v>163</v>
      </c>
      <c r="N101" s="77" t="s">
        <v>25</v>
      </c>
      <c r="O101" s="77" t="s">
        <v>37</v>
      </c>
      <c r="P101" s="77" t="s">
        <v>75</v>
      </c>
      <c r="Q101" s="77" t="s">
        <v>40</v>
      </c>
      <c r="R101" s="37" t="s">
        <v>39</v>
      </c>
      <c r="T101" s="76">
        <f t="shared" si="32"/>
        <v>11</v>
      </c>
      <c r="U101" s="76">
        <f t="shared" si="33"/>
        <v>18</v>
      </c>
      <c r="V101" s="76">
        <f t="shared" si="34"/>
        <v>8</v>
      </c>
      <c r="W101" s="76">
        <f t="shared" si="35"/>
        <v>9</v>
      </c>
      <c r="X101" s="76">
        <f t="shared" si="36"/>
        <v>6</v>
      </c>
      <c r="Y101" s="76">
        <f t="shared" si="37"/>
        <v>12</v>
      </c>
      <c r="Z101" s="76">
        <f t="shared" si="38"/>
        <v>11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53" t="s">
        <v>26</v>
      </c>
      <c r="AK101" s="69">
        <v>40</v>
      </c>
      <c r="AL101" s="130">
        <v>8</v>
      </c>
      <c r="AM101" s="130">
        <v>25</v>
      </c>
      <c r="AN101" s="130">
        <v>10</v>
      </c>
      <c r="AO101" s="130">
        <v>1</v>
      </c>
      <c r="AP101" s="130">
        <v>40</v>
      </c>
      <c r="AQ101" s="71">
        <v>10</v>
      </c>
      <c r="AR101" s="57">
        <v>9</v>
      </c>
      <c r="BD101" s="21">
        <v>97</v>
      </c>
      <c r="BE101" s="77" t="s">
        <v>40</v>
      </c>
      <c r="BF101" s="77" t="s">
        <v>33</v>
      </c>
      <c r="BG101" s="77" t="s">
        <v>25</v>
      </c>
      <c r="BH101" s="77" t="s">
        <v>152</v>
      </c>
      <c r="BI101" s="77" t="s">
        <v>35</v>
      </c>
      <c r="BJ101" s="77" t="s">
        <v>35</v>
      </c>
      <c r="BK101" s="37" t="s">
        <v>40</v>
      </c>
      <c r="BM101" s="76">
        <f t="shared" si="39"/>
        <v>12</v>
      </c>
      <c r="BN101" s="76">
        <f t="shared" si="40"/>
        <v>3</v>
      </c>
      <c r="BO101" s="76">
        <f t="shared" si="41"/>
        <v>8</v>
      </c>
      <c r="BP101" s="76">
        <f t="shared" si="42"/>
        <v>7</v>
      </c>
      <c r="BQ101" s="76">
        <f t="shared" si="43"/>
        <v>5</v>
      </c>
      <c r="BR101" s="76">
        <f t="shared" si="44"/>
        <v>5</v>
      </c>
      <c r="BS101" s="76">
        <f t="shared" si="45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53" t="s">
        <v>26</v>
      </c>
      <c r="CD101" s="54">
        <v>1</v>
      </c>
      <c r="CE101" s="55">
        <v>1</v>
      </c>
      <c r="CF101" s="55">
        <v>1</v>
      </c>
      <c r="CG101" s="55">
        <v>70</v>
      </c>
      <c r="CH101" s="55">
        <v>1</v>
      </c>
      <c r="CI101" s="55">
        <v>70</v>
      </c>
      <c r="CJ101" s="56">
        <v>1</v>
      </c>
      <c r="CK101" s="57">
        <v>9</v>
      </c>
    </row>
    <row r="102" spans="11:89" ht="16.2" x14ac:dyDescent="0.3">
      <c r="K102" s="22">
        <v>98</v>
      </c>
      <c r="L102" s="77" t="s">
        <v>39</v>
      </c>
      <c r="M102" s="77" t="s">
        <v>38</v>
      </c>
      <c r="N102" s="77" t="s">
        <v>181</v>
      </c>
      <c r="O102" s="77" t="s">
        <v>37</v>
      </c>
      <c r="P102" s="77" t="s">
        <v>37</v>
      </c>
      <c r="Q102" s="77" t="s">
        <v>40</v>
      </c>
      <c r="R102" s="37" t="s">
        <v>39</v>
      </c>
      <c r="T102" s="76">
        <f t="shared" si="32"/>
        <v>11</v>
      </c>
      <c r="U102" s="76">
        <f t="shared" si="33"/>
        <v>10</v>
      </c>
      <c r="V102" s="76">
        <f t="shared" si="34"/>
        <v>19</v>
      </c>
      <c r="W102" s="76">
        <f t="shared" si="35"/>
        <v>9</v>
      </c>
      <c r="X102" s="76">
        <f t="shared" si="36"/>
        <v>9</v>
      </c>
      <c r="Y102" s="76">
        <f t="shared" si="37"/>
        <v>12</v>
      </c>
      <c r="Z102" s="76">
        <f t="shared" si="38"/>
        <v>11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53" t="s">
        <v>27</v>
      </c>
      <c r="AK102" s="69">
        <v>10</v>
      </c>
      <c r="AL102" s="130">
        <v>30</v>
      </c>
      <c r="AM102" s="130">
        <v>30</v>
      </c>
      <c r="AN102" s="130">
        <v>10</v>
      </c>
      <c r="AO102" s="130">
        <v>40</v>
      </c>
      <c r="AP102" s="130">
        <v>1</v>
      </c>
      <c r="AQ102" s="71">
        <v>10</v>
      </c>
      <c r="AR102" s="57">
        <v>10</v>
      </c>
      <c r="BD102" s="22">
        <v>98</v>
      </c>
      <c r="BE102" s="77" t="s">
        <v>34</v>
      </c>
      <c r="BF102" s="77" t="s">
        <v>152</v>
      </c>
      <c r="BG102" s="77" t="s">
        <v>38</v>
      </c>
      <c r="BH102" s="77" t="s">
        <v>38</v>
      </c>
      <c r="BI102" s="77" t="s">
        <v>39</v>
      </c>
      <c r="BJ102" s="77" t="s">
        <v>40</v>
      </c>
      <c r="BK102" s="37" t="s">
        <v>35</v>
      </c>
      <c r="BM102" s="76">
        <f t="shared" si="39"/>
        <v>4</v>
      </c>
      <c r="BN102" s="76">
        <f t="shared" si="40"/>
        <v>7</v>
      </c>
      <c r="BO102" s="76">
        <f t="shared" si="41"/>
        <v>10</v>
      </c>
      <c r="BP102" s="76">
        <f t="shared" si="42"/>
        <v>10</v>
      </c>
      <c r="BQ102" s="76">
        <f t="shared" si="43"/>
        <v>11</v>
      </c>
      <c r="BR102" s="76">
        <f t="shared" si="44"/>
        <v>12</v>
      </c>
      <c r="BS102" s="76">
        <f t="shared" si="45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53" t="s">
        <v>27</v>
      </c>
      <c r="CD102" s="54">
        <v>1</v>
      </c>
      <c r="CE102" s="55">
        <v>1</v>
      </c>
      <c r="CF102" s="55">
        <v>5</v>
      </c>
      <c r="CG102" s="55">
        <v>1</v>
      </c>
      <c r="CH102" s="55">
        <v>1</v>
      </c>
      <c r="CI102" s="55">
        <v>1</v>
      </c>
      <c r="CJ102" s="56">
        <v>3</v>
      </c>
      <c r="CK102" s="57">
        <v>10</v>
      </c>
    </row>
    <row r="103" spans="11:89" ht="16.2" x14ac:dyDescent="0.3">
      <c r="K103" s="21">
        <v>99</v>
      </c>
      <c r="L103" s="77" t="s">
        <v>37</v>
      </c>
      <c r="M103" s="77" t="s">
        <v>38</v>
      </c>
      <c r="N103" s="77" t="s">
        <v>192</v>
      </c>
      <c r="O103" s="77" t="s">
        <v>161</v>
      </c>
      <c r="P103" s="77" t="s">
        <v>152</v>
      </c>
      <c r="Q103" s="77" t="s">
        <v>37</v>
      </c>
      <c r="R103" s="37" t="s">
        <v>35</v>
      </c>
      <c r="T103" s="76">
        <f t="shared" si="32"/>
        <v>9</v>
      </c>
      <c r="U103" s="76">
        <f t="shared" si="33"/>
        <v>10</v>
      </c>
      <c r="V103" s="76">
        <f t="shared" si="34"/>
        <v>22</v>
      </c>
      <c r="W103" s="76">
        <f t="shared" si="35"/>
        <v>17</v>
      </c>
      <c r="X103" s="76">
        <f t="shared" si="36"/>
        <v>7</v>
      </c>
      <c r="Y103" s="76">
        <f t="shared" si="37"/>
        <v>9</v>
      </c>
      <c r="Z103" s="76">
        <f t="shared" si="38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53" t="s">
        <v>28</v>
      </c>
      <c r="AK103" s="69">
        <v>30</v>
      </c>
      <c r="AL103" s="130">
        <v>30</v>
      </c>
      <c r="AM103" s="130">
        <v>30</v>
      </c>
      <c r="AN103" s="130">
        <v>1</v>
      </c>
      <c r="AO103" s="130">
        <v>1</v>
      </c>
      <c r="AP103" s="130">
        <v>1</v>
      </c>
      <c r="AQ103" s="71">
        <v>10</v>
      </c>
      <c r="AR103" s="57">
        <v>11</v>
      </c>
      <c r="BD103" s="21">
        <v>99</v>
      </c>
      <c r="BE103" s="77" t="s">
        <v>39</v>
      </c>
      <c r="BF103" s="77" t="s">
        <v>163</v>
      </c>
      <c r="BG103" s="77" t="s">
        <v>37</v>
      </c>
      <c r="BH103" s="77" t="s">
        <v>38</v>
      </c>
      <c r="BI103" s="77" t="s">
        <v>39</v>
      </c>
      <c r="BJ103" s="77" t="s">
        <v>40</v>
      </c>
      <c r="BK103" s="37" t="s">
        <v>35</v>
      </c>
      <c r="BM103" s="76">
        <f t="shared" si="39"/>
        <v>11</v>
      </c>
      <c r="BN103" s="76">
        <f t="shared" si="40"/>
        <v>18</v>
      </c>
      <c r="BO103" s="76">
        <f t="shared" si="41"/>
        <v>9</v>
      </c>
      <c r="BP103" s="76">
        <f t="shared" si="42"/>
        <v>10</v>
      </c>
      <c r="BQ103" s="76">
        <f t="shared" si="43"/>
        <v>11</v>
      </c>
      <c r="BR103" s="76">
        <f t="shared" si="44"/>
        <v>12</v>
      </c>
      <c r="BS103" s="76">
        <f t="shared" si="45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53" t="s">
        <v>28</v>
      </c>
      <c r="CD103" s="54">
        <v>1</v>
      </c>
      <c r="CE103" s="55">
        <v>70</v>
      </c>
      <c r="CF103" s="55">
        <v>1</v>
      </c>
      <c r="CG103" s="55">
        <v>1</v>
      </c>
      <c r="CH103" s="55">
        <v>1</v>
      </c>
      <c r="CI103" s="55">
        <v>1</v>
      </c>
      <c r="CJ103" s="56">
        <v>1</v>
      </c>
      <c r="CK103" s="57">
        <v>11</v>
      </c>
    </row>
    <row r="104" spans="11:89" ht="16.2" x14ac:dyDescent="0.3">
      <c r="K104" s="22">
        <v>100</v>
      </c>
      <c r="L104" s="77" t="s">
        <v>37</v>
      </c>
      <c r="M104" s="77" t="s">
        <v>38</v>
      </c>
      <c r="N104" s="77" t="s">
        <v>39</v>
      </c>
      <c r="O104" s="77" t="s">
        <v>75</v>
      </c>
      <c r="P104" s="77" t="s">
        <v>152</v>
      </c>
      <c r="Q104" s="77" t="s">
        <v>25</v>
      </c>
      <c r="R104" s="37" t="s">
        <v>35</v>
      </c>
      <c r="T104" s="76">
        <f t="shared" si="32"/>
        <v>9</v>
      </c>
      <c r="U104" s="76">
        <f t="shared" si="33"/>
        <v>10</v>
      </c>
      <c r="V104" s="76">
        <f t="shared" si="34"/>
        <v>11</v>
      </c>
      <c r="W104" s="76">
        <f t="shared" si="35"/>
        <v>6</v>
      </c>
      <c r="X104" s="76">
        <f t="shared" si="36"/>
        <v>7</v>
      </c>
      <c r="Y104" s="76">
        <f t="shared" si="37"/>
        <v>8</v>
      </c>
      <c r="Z104" s="76">
        <f t="shared" si="38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53" t="s">
        <v>29</v>
      </c>
      <c r="AK104" s="69">
        <v>5</v>
      </c>
      <c r="AL104" s="130">
        <v>30</v>
      </c>
      <c r="AM104" s="130">
        <v>20</v>
      </c>
      <c r="AN104" s="130">
        <v>1</v>
      </c>
      <c r="AO104" s="130">
        <v>1</v>
      </c>
      <c r="AP104" s="130">
        <v>1</v>
      </c>
      <c r="AQ104" s="71">
        <v>10</v>
      </c>
      <c r="AR104" s="57">
        <v>12</v>
      </c>
      <c r="BD104" s="22">
        <v>100</v>
      </c>
      <c r="BE104" s="77" t="s">
        <v>152</v>
      </c>
      <c r="BF104" s="77" t="s">
        <v>75</v>
      </c>
      <c r="BG104" s="77" t="s">
        <v>37</v>
      </c>
      <c r="BH104" s="77" t="s">
        <v>191</v>
      </c>
      <c r="BI104" s="77" t="s">
        <v>35</v>
      </c>
      <c r="BJ104" s="77" t="s">
        <v>75</v>
      </c>
      <c r="BK104" s="37" t="s">
        <v>35</v>
      </c>
      <c r="BM104" s="76">
        <f t="shared" si="39"/>
        <v>7</v>
      </c>
      <c r="BN104" s="76">
        <f t="shared" si="40"/>
        <v>6</v>
      </c>
      <c r="BO104" s="76">
        <f t="shared" si="41"/>
        <v>9</v>
      </c>
      <c r="BP104" s="76">
        <f t="shared" si="42"/>
        <v>21</v>
      </c>
      <c r="BQ104" s="76">
        <f t="shared" si="43"/>
        <v>5</v>
      </c>
      <c r="BR104" s="76">
        <f t="shared" si="44"/>
        <v>6</v>
      </c>
      <c r="BS104" s="76">
        <f t="shared" si="45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53" t="s">
        <v>29</v>
      </c>
      <c r="CD104" s="54">
        <v>70</v>
      </c>
      <c r="CE104" s="55">
        <v>1</v>
      </c>
      <c r="CF104" s="55">
        <v>1</v>
      </c>
      <c r="CG104" s="55">
        <v>1</v>
      </c>
      <c r="CH104" s="55">
        <v>1</v>
      </c>
      <c r="CI104" s="55">
        <v>1</v>
      </c>
      <c r="CJ104" s="56">
        <v>1</v>
      </c>
      <c r="CK104" s="57">
        <v>12</v>
      </c>
    </row>
    <row r="105" spans="11:89" ht="16.2" x14ac:dyDescent="0.3">
      <c r="K105" s="21">
        <v>101</v>
      </c>
      <c r="L105" s="77" t="s">
        <v>39</v>
      </c>
      <c r="M105" s="77" t="s">
        <v>152</v>
      </c>
      <c r="N105" s="77" t="s">
        <v>25</v>
      </c>
      <c r="O105" s="77" t="s">
        <v>75</v>
      </c>
      <c r="P105" s="77" t="s">
        <v>37</v>
      </c>
      <c r="Q105" s="77" t="s">
        <v>38</v>
      </c>
      <c r="R105" s="37" t="s">
        <v>35</v>
      </c>
      <c r="T105" s="76">
        <f t="shared" si="32"/>
        <v>11</v>
      </c>
      <c r="U105" s="76">
        <f t="shared" si="33"/>
        <v>7</v>
      </c>
      <c r="V105" s="76">
        <f t="shared" si="34"/>
        <v>8</v>
      </c>
      <c r="W105" s="76">
        <f t="shared" si="35"/>
        <v>6</v>
      </c>
      <c r="X105" s="76">
        <f t="shared" si="36"/>
        <v>9</v>
      </c>
      <c r="Y105" s="76">
        <f t="shared" si="37"/>
        <v>10</v>
      </c>
      <c r="Z105" s="76">
        <f t="shared" si="38"/>
        <v>5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53" t="s">
        <v>79</v>
      </c>
      <c r="AK105" s="69">
        <v>0</v>
      </c>
      <c r="AL105" s="130">
        <v>1</v>
      </c>
      <c r="AM105" s="130">
        <v>1</v>
      </c>
      <c r="AN105" s="130">
        <v>1</v>
      </c>
      <c r="AO105" s="130">
        <v>1</v>
      </c>
      <c r="AP105" s="130">
        <v>0</v>
      </c>
      <c r="AQ105" s="71">
        <v>0</v>
      </c>
      <c r="AR105" s="57">
        <v>13</v>
      </c>
      <c r="BD105" s="21">
        <v>101</v>
      </c>
      <c r="BE105" s="77" t="s">
        <v>152</v>
      </c>
      <c r="BF105" s="77" t="s">
        <v>176</v>
      </c>
      <c r="BG105" s="77" t="s">
        <v>39</v>
      </c>
      <c r="BH105" s="77" t="s">
        <v>75</v>
      </c>
      <c r="BI105" s="77" t="s">
        <v>192</v>
      </c>
      <c r="BJ105" s="77" t="s">
        <v>75</v>
      </c>
      <c r="BK105" s="37" t="s">
        <v>39</v>
      </c>
      <c r="BM105" s="76">
        <f t="shared" si="39"/>
        <v>7</v>
      </c>
      <c r="BN105" s="76">
        <f t="shared" si="40"/>
        <v>24</v>
      </c>
      <c r="BO105" s="76">
        <f t="shared" si="41"/>
        <v>11</v>
      </c>
      <c r="BP105" s="76">
        <f t="shared" si="42"/>
        <v>6</v>
      </c>
      <c r="BQ105" s="76">
        <f t="shared" si="43"/>
        <v>22</v>
      </c>
      <c r="BR105" s="76">
        <f t="shared" si="44"/>
        <v>6</v>
      </c>
      <c r="BS105" s="76">
        <f t="shared" si="45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53" t="s">
        <v>79</v>
      </c>
      <c r="CD105" s="54">
        <v>0</v>
      </c>
      <c r="CE105" s="55">
        <v>0</v>
      </c>
      <c r="CF105" s="55">
        <v>0</v>
      </c>
      <c r="CG105" s="55">
        <v>0</v>
      </c>
      <c r="CH105" s="55">
        <v>0</v>
      </c>
      <c r="CI105" s="55">
        <v>0</v>
      </c>
      <c r="CJ105" s="56">
        <v>0</v>
      </c>
      <c r="CK105" s="57">
        <v>13</v>
      </c>
    </row>
    <row r="106" spans="11:89" ht="16.2" x14ac:dyDescent="0.3">
      <c r="K106" s="22">
        <v>102</v>
      </c>
      <c r="L106" s="77" t="s">
        <v>38</v>
      </c>
      <c r="M106" s="77" t="s">
        <v>39</v>
      </c>
      <c r="N106" s="77" t="s">
        <v>33</v>
      </c>
      <c r="O106" s="77" t="s">
        <v>35</v>
      </c>
      <c r="P106" s="77" t="s">
        <v>37</v>
      </c>
      <c r="Q106" s="77" t="s">
        <v>25</v>
      </c>
      <c r="R106" s="37" t="s">
        <v>75</v>
      </c>
      <c r="T106" s="76">
        <f t="shared" si="32"/>
        <v>10</v>
      </c>
      <c r="U106" s="76">
        <f t="shared" si="33"/>
        <v>11</v>
      </c>
      <c r="V106" s="76">
        <f t="shared" si="34"/>
        <v>3</v>
      </c>
      <c r="W106" s="76">
        <f t="shared" si="35"/>
        <v>5</v>
      </c>
      <c r="X106" s="76">
        <f t="shared" si="36"/>
        <v>9</v>
      </c>
      <c r="Y106" s="76">
        <f t="shared" si="37"/>
        <v>8</v>
      </c>
      <c r="Z106" s="76">
        <f t="shared" si="38"/>
        <v>6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53" t="s">
        <v>80</v>
      </c>
      <c r="AK106" s="69">
        <v>0</v>
      </c>
      <c r="AL106" s="130">
        <v>1</v>
      </c>
      <c r="AM106" s="130">
        <v>1</v>
      </c>
      <c r="AN106" s="130">
        <v>1</v>
      </c>
      <c r="AO106" s="130">
        <v>1</v>
      </c>
      <c r="AP106" s="130">
        <v>0</v>
      </c>
      <c r="AQ106" s="71">
        <v>0</v>
      </c>
      <c r="AR106" s="57">
        <v>14</v>
      </c>
      <c r="BD106" s="22">
        <v>102</v>
      </c>
      <c r="BE106" s="77" t="s">
        <v>37</v>
      </c>
      <c r="BF106" s="77" t="s">
        <v>187</v>
      </c>
      <c r="BG106" s="77" t="s">
        <v>39</v>
      </c>
      <c r="BH106" s="77" t="s">
        <v>25</v>
      </c>
      <c r="BI106" s="77" t="s">
        <v>39</v>
      </c>
      <c r="BJ106" s="77" t="s">
        <v>38</v>
      </c>
      <c r="BK106" s="37" t="s">
        <v>39</v>
      </c>
      <c r="BM106" s="76">
        <f t="shared" si="39"/>
        <v>9</v>
      </c>
      <c r="BN106" s="76">
        <f t="shared" si="40"/>
        <v>25</v>
      </c>
      <c r="BO106" s="76">
        <f t="shared" si="41"/>
        <v>11</v>
      </c>
      <c r="BP106" s="76">
        <f t="shared" si="42"/>
        <v>8</v>
      </c>
      <c r="BQ106" s="76">
        <f t="shared" si="43"/>
        <v>11</v>
      </c>
      <c r="BR106" s="76">
        <f t="shared" si="44"/>
        <v>10</v>
      </c>
      <c r="BS106" s="76">
        <f t="shared" si="45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53" t="s">
        <v>80</v>
      </c>
      <c r="CD106" s="54">
        <v>0</v>
      </c>
      <c r="CE106" s="55">
        <v>1</v>
      </c>
      <c r="CF106" s="55">
        <v>1</v>
      </c>
      <c r="CG106" s="55">
        <v>1</v>
      </c>
      <c r="CH106" s="55">
        <v>1</v>
      </c>
      <c r="CI106" s="55">
        <v>0</v>
      </c>
      <c r="CJ106" s="56">
        <v>0</v>
      </c>
      <c r="CK106" s="57">
        <v>14</v>
      </c>
    </row>
    <row r="107" spans="11:89" ht="16.2" x14ac:dyDescent="0.3">
      <c r="K107" s="21">
        <v>103</v>
      </c>
      <c r="L107" s="77" t="s">
        <v>75</v>
      </c>
      <c r="M107" s="77" t="s">
        <v>25</v>
      </c>
      <c r="N107" s="77" t="s">
        <v>33</v>
      </c>
      <c r="O107" s="77" t="s">
        <v>40</v>
      </c>
      <c r="P107" s="77" t="s">
        <v>37</v>
      </c>
      <c r="Q107" s="77" t="s">
        <v>25</v>
      </c>
      <c r="R107" s="37" t="s">
        <v>25</v>
      </c>
      <c r="T107" s="76">
        <f t="shared" si="32"/>
        <v>6</v>
      </c>
      <c r="U107" s="76">
        <f t="shared" si="33"/>
        <v>8</v>
      </c>
      <c r="V107" s="76">
        <f t="shared" si="34"/>
        <v>3</v>
      </c>
      <c r="W107" s="76">
        <f t="shared" si="35"/>
        <v>12</v>
      </c>
      <c r="X107" s="76">
        <f t="shared" si="36"/>
        <v>9</v>
      </c>
      <c r="Y107" s="76">
        <f t="shared" si="37"/>
        <v>8</v>
      </c>
      <c r="Z107" s="76">
        <f t="shared" si="38"/>
        <v>8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53" t="s">
        <v>81</v>
      </c>
      <c r="AK107" s="69">
        <v>0</v>
      </c>
      <c r="AL107" s="130">
        <v>1</v>
      </c>
      <c r="AM107" s="130">
        <v>1</v>
      </c>
      <c r="AN107" s="130">
        <v>1</v>
      </c>
      <c r="AO107" s="130">
        <v>1</v>
      </c>
      <c r="AP107" s="130">
        <v>0</v>
      </c>
      <c r="AQ107" s="71">
        <v>0</v>
      </c>
      <c r="AR107" s="57">
        <v>15</v>
      </c>
      <c r="BD107" s="21">
        <v>103</v>
      </c>
      <c r="BE107" s="77" t="s">
        <v>38</v>
      </c>
      <c r="BF107" s="77" t="s">
        <v>75</v>
      </c>
      <c r="BG107" s="77" t="s">
        <v>40</v>
      </c>
      <c r="BH107" s="77" t="s">
        <v>38</v>
      </c>
      <c r="BI107" s="77" t="s">
        <v>39</v>
      </c>
      <c r="BJ107" s="77" t="s">
        <v>38</v>
      </c>
      <c r="BK107" s="37" t="s">
        <v>33</v>
      </c>
      <c r="BM107" s="76">
        <f t="shared" si="39"/>
        <v>10</v>
      </c>
      <c r="BN107" s="76">
        <f t="shared" si="40"/>
        <v>6</v>
      </c>
      <c r="BO107" s="76">
        <f t="shared" si="41"/>
        <v>12</v>
      </c>
      <c r="BP107" s="76">
        <f t="shared" si="42"/>
        <v>10</v>
      </c>
      <c r="BQ107" s="76">
        <f t="shared" si="43"/>
        <v>11</v>
      </c>
      <c r="BR107" s="76">
        <f t="shared" si="44"/>
        <v>10</v>
      </c>
      <c r="BS107" s="76">
        <f t="shared" si="45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53" t="s">
        <v>81</v>
      </c>
      <c r="CD107" s="54">
        <v>0</v>
      </c>
      <c r="CE107" s="55">
        <v>1</v>
      </c>
      <c r="CF107" s="55">
        <v>1</v>
      </c>
      <c r="CG107" s="55">
        <v>1</v>
      </c>
      <c r="CH107" s="55">
        <v>1</v>
      </c>
      <c r="CI107" s="55">
        <v>0</v>
      </c>
      <c r="CJ107" s="56">
        <v>0</v>
      </c>
      <c r="CK107" s="57">
        <v>15</v>
      </c>
    </row>
    <row r="108" spans="11:89" ht="16.2" x14ac:dyDescent="0.3">
      <c r="K108" s="22">
        <v>104</v>
      </c>
      <c r="L108" s="77" t="s">
        <v>40</v>
      </c>
      <c r="M108" s="77" t="s">
        <v>25</v>
      </c>
      <c r="N108" s="77" t="s">
        <v>33</v>
      </c>
      <c r="O108" s="77" t="s">
        <v>40</v>
      </c>
      <c r="P108" s="77" t="s">
        <v>39</v>
      </c>
      <c r="Q108" s="77" t="s">
        <v>25</v>
      </c>
      <c r="R108" s="37" t="s">
        <v>75</v>
      </c>
      <c r="T108" s="76">
        <f t="shared" si="32"/>
        <v>12</v>
      </c>
      <c r="U108" s="76">
        <f t="shared" si="33"/>
        <v>8</v>
      </c>
      <c r="V108" s="76">
        <f t="shared" si="34"/>
        <v>3</v>
      </c>
      <c r="W108" s="76">
        <f t="shared" si="35"/>
        <v>12</v>
      </c>
      <c r="X108" s="76">
        <f t="shared" si="36"/>
        <v>11</v>
      </c>
      <c r="Y108" s="76">
        <f t="shared" si="37"/>
        <v>8</v>
      </c>
      <c r="Z108" s="76">
        <f t="shared" si="38"/>
        <v>6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53" t="s">
        <v>82</v>
      </c>
      <c r="AK108" s="69">
        <v>0</v>
      </c>
      <c r="AL108" s="130">
        <v>1</v>
      </c>
      <c r="AM108" s="130">
        <v>1</v>
      </c>
      <c r="AN108" s="130">
        <v>1</v>
      </c>
      <c r="AO108" s="130">
        <v>1</v>
      </c>
      <c r="AP108" s="130">
        <v>0</v>
      </c>
      <c r="AQ108" s="71">
        <v>0</v>
      </c>
      <c r="AR108" s="57">
        <v>16</v>
      </c>
      <c r="BD108" s="22">
        <v>104</v>
      </c>
      <c r="BE108" s="77" t="s">
        <v>37</v>
      </c>
      <c r="BF108" s="77" t="s">
        <v>75</v>
      </c>
      <c r="BG108" s="77" t="s">
        <v>33</v>
      </c>
      <c r="BH108" s="77" t="s">
        <v>38</v>
      </c>
      <c r="BI108" s="77" t="s">
        <v>152</v>
      </c>
      <c r="BJ108" s="77" t="s">
        <v>40</v>
      </c>
      <c r="BK108" s="37" t="s">
        <v>33</v>
      </c>
      <c r="BM108" s="76">
        <f t="shared" si="39"/>
        <v>9</v>
      </c>
      <c r="BN108" s="76">
        <f t="shared" si="40"/>
        <v>6</v>
      </c>
      <c r="BO108" s="76">
        <f t="shared" si="41"/>
        <v>3</v>
      </c>
      <c r="BP108" s="76">
        <f t="shared" si="42"/>
        <v>10</v>
      </c>
      <c r="BQ108" s="76">
        <f t="shared" si="43"/>
        <v>7</v>
      </c>
      <c r="BR108" s="76">
        <f t="shared" si="44"/>
        <v>12</v>
      </c>
      <c r="BS108" s="76">
        <f t="shared" si="45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53" t="s">
        <v>82</v>
      </c>
      <c r="CD108" s="54">
        <v>0</v>
      </c>
      <c r="CE108" s="55">
        <v>1</v>
      </c>
      <c r="CF108" s="55">
        <v>1</v>
      </c>
      <c r="CG108" s="55">
        <v>1</v>
      </c>
      <c r="CH108" s="55">
        <v>1</v>
      </c>
      <c r="CI108" s="55">
        <v>0</v>
      </c>
      <c r="CJ108" s="56">
        <v>0</v>
      </c>
      <c r="CK108" s="57">
        <v>16</v>
      </c>
    </row>
    <row r="109" spans="11:89" ht="16.2" x14ac:dyDescent="0.3">
      <c r="K109" s="21">
        <v>105</v>
      </c>
      <c r="L109" s="77" t="s">
        <v>37</v>
      </c>
      <c r="M109" s="77" t="s">
        <v>25</v>
      </c>
      <c r="N109" s="77" t="s">
        <v>35</v>
      </c>
      <c r="O109" s="77" t="s">
        <v>38</v>
      </c>
      <c r="P109" s="77" t="s">
        <v>152</v>
      </c>
      <c r="Q109" s="77" t="s">
        <v>35</v>
      </c>
      <c r="R109" s="37" t="s">
        <v>75</v>
      </c>
      <c r="T109" s="76">
        <f t="shared" si="32"/>
        <v>9</v>
      </c>
      <c r="U109" s="76">
        <f t="shared" si="33"/>
        <v>8</v>
      </c>
      <c r="V109" s="76">
        <f t="shared" si="34"/>
        <v>5</v>
      </c>
      <c r="W109" s="76">
        <f t="shared" si="35"/>
        <v>10</v>
      </c>
      <c r="X109" s="76">
        <f t="shared" si="36"/>
        <v>7</v>
      </c>
      <c r="Y109" s="76">
        <f t="shared" si="37"/>
        <v>5</v>
      </c>
      <c r="Z109" s="76">
        <f t="shared" si="38"/>
        <v>6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53" t="s">
        <v>83</v>
      </c>
      <c r="AK109" s="69">
        <v>0</v>
      </c>
      <c r="AL109" s="130">
        <v>5</v>
      </c>
      <c r="AM109" s="130">
        <v>5</v>
      </c>
      <c r="AN109" s="130">
        <v>5</v>
      </c>
      <c r="AO109" s="130">
        <v>5</v>
      </c>
      <c r="AP109" s="130">
        <v>0</v>
      </c>
      <c r="AQ109" s="71">
        <v>0</v>
      </c>
      <c r="AR109" s="57">
        <v>17</v>
      </c>
      <c r="BD109" s="21">
        <v>105</v>
      </c>
      <c r="BE109" s="77" t="s">
        <v>40</v>
      </c>
      <c r="BF109" s="77" t="s">
        <v>40</v>
      </c>
      <c r="BG109" s="77" t="s">
        <v>33</v>
      </c>
      <c r="BH109" s="77" t="s">
        <v>34</v>
      </c>
      <c r="BI109" s="77" t="s">
        <v>39</v>
      </c>
      <c r="BJ109" s="77" t="s">
        <v>40</v>
      </c>
      <c r="BK109" s="37" t="s">
        <v>40</v>
      </c>
      <c r="BM109" s="76">
        <f t="shared" si="39"/>
        <v>12</v>
      </c>
      <c r="BN109" s="76">
        <f t="shared" si="40"/>
        <v>12</v>
      </c>
      <c r="BO109" s="76">
        <f t="shared" si="41"/>
        <v>3</v>
      </c>
      <c r="BP109" s="76">
        <f t="shared" si="42"/>
        <v>4</v>
      </c>
      <c r="BQ109" s="76">
        <f t="shared" si="43"/>
        <v>11</v>
      </c>
      <c r="BR109" s="76">
        <f t="shared" si="44"/>
        <v>12</v>
      </c>
      <c r="BS109" s="76">
        <f t="shared" si="45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53" t="s">
        <v>83</v>
      </c>
      <c r="CD109" s="54">
        <v>0</v>
      </c>
      <c r="CE109" s="55">
        <v>1</v>
      </c>
      <c r="CF109" s="55">
        <v>1</v>
      </c>
      <c r="CG109" s="55">
        <v>1</v>
      </c>
      <c r="CH109" s="55">
        <v>2</v>
      </c>
      <c r="CI109" s="55">
        <v>0</v>
      </c>
      <c r="CJ109" s="56">
        <v>0</v>
      </c>
      <c r="CK109" s="57">
        <v>17</v>
      </c>
    </row>
    <row r="110" spans="11:89" ht="16.2" x14ac:dyDescent="0.3">
      <c r="K110" s="22">
        <v>106</v>
      </c>
      <c r="L110" s="77" t="s">
        <v>35</v>
      </c>
      <c r="M110" s="77" t="s">
        <v>40</v>
      </c>
      <c r="N110" s="77" t="s">
        <v>35</v>
      </c>
      <c r="O110" s="77" t="s">
        <v>38</v>
      </c>
      <c r="P110" s="77" t="s">
        <v>152</v>
      </c>
      <c r="Q110" s="77" t="s">
        <v>25</v>
      </c>
      <c r="R110" s="37" t="s">
        <v>75</v>
      </c>
      <c r="T110" s="76">
        <f t="shared" si="32"/>
        <v>5</v>
      </c>
      <c r="U110" s="76">
        <f t="shared" si="33"/>
        <v>12</v>
      </c>
      <c r="V110" s="76">
        <f t="shared" si="34"/>
        <v>5</v>
      </c>
      <c r="W110" s="76">
        <f t="shared" si="35"/>
        <v>10</v>
      </c>
      <c r="X110" s="76">
        <f t="shared" si="36"/>
        <v>7</v>
      </c>
      <c r="Y110" s="76">
        <f t="shared" si="37"/>
        <v>8</v>
      </c>
      <c r="Z110" s="76">
        <f t="shared" si="38"/>
        <v>6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53" t="s">
        <v>162</v>
      </c>
      <c r="AK110" s="69">
        <v>0</v>
      </c>
      <c r="AL110" s="130">
        <v>5</v>
      </c>
      <c r="AM110" s="130">
        <v>5</v>
      </c>
      <c r="AN110" s="130">
        <v>5</v>
      </c>
      <c r="AO110" s="130">
        <v>5</v>
      </c>
      <c r="AP110" s="130">
        <v>0</v>
      </c>
      <c r="AQ110" s="71">
        <v>0</v>
      </c>
      <c r="AR110" s="57">
        <v>18</v>
      </c>
      <c r="BD110" s="22">
        <v>106</v>
      </c>
      <c r="BE110" s="77" t="s">
        <v>40</v>
      </c>
      <c r="BF110" s="77" t="s">
        <v>38</v>
      </c>
      <c r="BG110" s="77" t="s">
        <v>39</v>
      </c>
      <c r="BH110" s="77" t="s">
        <v>75</v>
      </c>
      <c r="BI110" s="77" t="s">
        <v>40</v>
      </c>
      <c r="BJ110" s="77" t="s">
        <v>25</v>
      </c>
      <c r="BK110" s="37" t="s">
        <v>40</v>
      </c>
      <c r="BM110" s="76">
        <f t="shared" si="39"/>
        <v>12</v>
      </c>
      <c r="BN110" s="76">
        <f t="shared" si="40"/>
        <v>10</v>
      </c>
      <c r="BO110" s="76">
        <f t="shared" si="41"/>
        <v>11</v>
      </c>
      <c r="BP110" s="76">
        <f t="shared" si="42"/>
        <v>6</v>
      </c>
      <c r="BQ110" s="76">
        <f t="shared" si="43"/>
        <v>12</v>
      </c>
      <c r="BR110" s="76">
        <f t="shared" si="44"/>
        <v>8</v>
      </c>
      <c r="BS110" s="76">
        <f t="shared" si="45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53" t="s">
        <v>162</v>
      </c>
      <c r="CD110" s="54">
        <v>0</v>
      </c>
      <c r="CE110" s="55">
        <v>1</v>
      </c>
      <c r="CF110" s="55">
        <v>1</v>
      </c>
      <c r="CG110" s="55">
        <v>1</v>
      </c>
      <c r="CH110" s="55">
        <v>1</v>
      </c>
      <c r="CI110" s="55">
        <v>0</v>
      </c>
      <c r="CJ110" s="56">
        <v>0</v>
      </c>
      <c r="CK110" s="57">
        <v>18</v>
      </c>
    </row>
    <row r="111" spans="11:89" ht="16.2" x14ac:dyDescent="0.3">
      <c r="K111" s="21">
        <v>107</v>
      </c>
      <c r="L111" s="77" t="s">
        <v>35</v>
      </c>
      <c r="M111" s="77" t="s">
        <v>40</v>
      </c>
      <c r="N111" s="77" t="s">
        <v>75</v>
      </c>
      <c r="O111" s="77" t="s">
        <v>75</v>
      </c>
      <c r="P111" s="77" t="s">
        <v>39</v>
      </c>
      <c r="Q111" s="77" t="s">
        <v>25</v>
      </c>
      <c r="R111" s="37" t="s">
        <v>38</v>
      </c>
      <c r="T111" s="76">
        <f t="shared" si="32"/>
        <v>5</v>
      </c>
      <c r="U111" s="76">
        <f t="shared" si="33"/>
        <v>12</v>
      </c>
      <c r="V111" s="76">
        <f t="shared" si="34"/>
        <v>6</v>
      </c>
      <c r="W111" s="76">
        <f t="shared" si="35"/>
        <v>6</v>
      </c>
      <c r="X111" s="76">
        <f t="shared" si="36"/>
        <v>11</v>
      </c>
      <c r="Y111" s="76">
        <f t="shared" si="37"/>
        <v>8</v>
      </c>
      <c r="Z111" s="76">
        <f t="shared" si="38"/>
        <v>10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53" t="s">
        <v>84</v>
      </c>
      <c r="AK111" s="69">
        <v>0</v>
      </c>
      <c r="AL111" s="130">
        <v>6</v>
      </c>
      <c r="AM111" s="130">
        <v>6</v>
      </c>
      <c r="AN111" s="130">
        <v>2</v>
      </c>
      <c r="AO111" s="130">
        <v>2</v>
      </c>
      <c r="AP111" s="130">
        <v>0</v>
      </c>
      <c r="AQ111" s="71">
        <v>0</v>
      </c>
      <c r="AR111" s="57">
        <v>19</v>
      </c>
      <c r="BD111" s="21">
        <v>107</v>
      </c>
      <c r="BE111" s="77" t="s">
        <v>34</v>
      </c>
      <c r="BF111" s="77" t="s">
        <v>38</v>
      </c>
      <c r="BG111" s="77" t="s">
        <v>39</v>
      </c>
      <c r="BH111" s="77" t="s">
        <v>39</v>
      </c>
      <c r="BI111" s="77" t="s">
        <v>35</v>
      </c>
      <c r="BJ111" s="77" t="s">
        <v>25</v>
      </c>
      <c r="BK111" s="37" t="s">
        <v>40</v>
      </c>
      <c r="BM111" s="76">
        <f t="shared" si="39"/>
        <v>4</v>
      </c>
      <c r="BN111" s="76">
        <f t="shared" si="40"/>
        <v>10</v>
      </c>
      <c r="BO111" s="76">
        <f t="shared" si="41"/>
        <v>11</v>
      </c>
      <c r="BP111" s="76">
        <f t="shared" si="42"/>
        <v>11</v>
      </c>
      <c r="BQ111" s="76">
        <f t="shared" si="43"/>
        <v>5</v>
      </c>
      <c r="BR111" s="76">
        <f t="shared" si="44"/>
        <v>8</v>
      </c>
      <c r="BS111" s="76">
        <f t="shared" si="45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53" t="s">
        <v>84</v>
      </c>
      <c r="CD111" s="54">
        <v>0</v>
      </c>
      <c r="CE111" s="55">
        <v>1</v>
      </c>
      <c r="CF111" s="55">
        <v>1</v>
      </c>
      <c r="CG111" s="55">
        <v>1</v>
      </c>
      <c r="CH111" s="55">
        <v>1</v>
      </c>
      <c r="CI111" s="55">
        <v>0</v>
      </c>
      <c r="CJ111" s="56">
        <v>0</v>
      </c>
      <c r="CK111" s="57">
        <v>19</v>
      </c>
    </row>
    <row r="112" spans="11:89" ht="16.2" x14ac:dyDescent="0.3">
      <c r="K112" s="22">
        <v>108</v>
      </c>
      <c r="L112" s="77" t="s">
        <v>39</v>
      </c>
      <c r="M112" s="77" t="s">
        <v>40</v>
      </c>
      <c r="N112" s="77" t="s">
        <v>75</v>
      </c>
      <c r="O112" s="77" t="s">
        <v>75</v>
      </c>
      <c r="P112" s="77" t="s">
        <v>39</v>
      </c>
      <c r="Q112" s="77" t="s">
        <v>34</v>
      </c>
      <c r="R112" s="37" t="s">
        <v>32</v>
      </c>
      <c r="T112" s="76">
        <f t="shared" si="32"/>
        <v>11</v>
      </c>
      <c r="U112" s="76">
        <f t="shared" si="33"/>
        <v>12</v>
      </c>
      <c r="V112" s="76">
        <f t="shared" si="34"/>
        <v>6</v>
      </c>
      <c r="W112" s="76">
        <f t="shared" si="35"/>
        <v>6</v>
      </c>
      <c r="X112" s="76">
        <f t="shared" si="36"/>
        <v>11</v>
      </c>
      <c r="Y112" s="76">
        <f t="shared" si="37"/>
        <v>4</v>
      </c>
      <c r="Z112" s="76">
        <f t="shared" si="38"/>
        <v>2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53" t="s">
        <v>85</v>
      </c>
      <c r="AK112" s="69">
        <v>0</v>
      </c>
      <c r="AL112" s="130">
        <v>4</v>
      </c>
      <c r="AM112" s="130">
        <v>6</v>
      </c>
      <c r="AN112" s="130">
        <v>2</v>
      </c>
      <c r="AO112" s="130">
        <v>2</v>
      </c>
      <c r="AP112" s="130">
        <v>0</v>
      </c>
      <c r="AQ112" s="71">
        <v>0</v>
      </c>
      <c r="AR112" s="57">
        <v>20</v>
      </c>
      <c r="BD112" s="22">
        <v>108</v>
      </c>
      <c r="BE112" s="77" t="s">
        <v>38</v>
      </c>
      <c r="BF112" s="77" t="s">
        <v>33</v>
      </c>
      <c r="BG112" s="77" t="s">
        <v>39</v>
      </c>
      <c r="BH112" s="77" t="s">
        <v>40</v>
      </c>
      <c r="BI112" s="77" t="s">
        <v>163</v>
      </c>
      <c r="BJ112" s="77" t="s">
        <v>40</v>
      </c>
      <c r="BK112" s="37" t="s">
        <v>39</v>
      </c>
      <c r="BM112" s="76">
        <f t="shared" si="39"/>
        <v>10</v>
      </c>
      <c r="BN112" s="76">
        <f t="shared" si="40"/>
        <v>3</v>
      </c>
      <c r="BO112" s="76">
        <f t="shared" si="41"/>
        <v>11</v>
      </c>
      <c r="BP112" s="76">
        <f t="shared" si="42"/>
        <v>12</v>
      </c>
      <c r="BQ112" s="76">
        <f t="shared" si="43"/>
        <v>18</v>
      </c>
      <c r="BR112" s="76">
        <f t="shared" si="44"/>
        <v>12</v>
      </c>
      <c r="BS112" s="76">
        <f t="shared" si="45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53" t="s">
        <v>85</v>
      </c>
      <c r="CD112" s="54">
        <v>0</v>
      </c>
      <c r="CE112" s="55">
        <v>1</v>
      </c>
      <c r="CF112" s="55">
        <v>1</v>
      </c>
      <c r="CG112" s="55">
        <v>1</v>
      </c>
      <c r="CH112" s="55">
        <v>1</v>
      </c>
      <c r="CI112" s="55">
        <v>0</v>
      </c>
      <c r="CJ112" s="56">
        <v>0</v>
      </c>
      <c r="CK112" s="57">
        <v>20</v>
      </c>
    </row>
    <row r="113" spans="11:89" ht="16.2" x14ac:dyDescent="0.3">
      <c r="K113" s="21">
        <v>109</v>
      </c>
      <c r="L113" s="77" t="s">
        <v>34</v>
      </c>
      <c r="M113" s="77" t="s">
        <v>25</v>
      </c>
      <c r="N113" s="77" t="s">
        <v>75</v>
      </c>
      <c r="O113" s="77" t="s">
        <v>75</v>
      </c>
      <c r="P113" s="77" t="s">
        <v>152</v>
      </c>
      <c r="Q113" s="77" t="s">
        <v>25</v>
      </c>
      <c r="R113" s="77" t="s">
        <v>32</v>
      </c>
      <c r="T113" s="76">
        <f t="shared" si="32"/>
        <v>4</v>
      </c>
      <c r="U113" s="76">
        <f t="shared" si="33"/>
        <v>8</v>
      </c>
      <c r="V113" s="76">
        <f t="shared" si="34"/>
        <v>6</v>
      </c>
      <c r="W113" s="76">
        <f t="shared" si="35"/>
        <v>6</v>
      </c>
      <c r="X113" s="76">
        <f t="shared" si="36"/>
        <v>7</v>
      </c>
      <c r="Y113" s="76">
        <f t="shared" si="37"/>
        <v>8</v>
      </c>
      <c r="Z113" s="76">
        <f t="shared" si="38"/>
        <v>2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53" t="s">
        <v>86</v>
      </c>
      <c r="AK113" s="69">
        <v>0</v>
      </c>
      <c r="AL113" s="130">
        <v>5</v>
      </c>
      <c r="AM113" s="130">
        <v>3</v>
      </c>
      <c r="AN113" s="130">
        <v>1</v>
      </c>
      <c r="AO113" s="130">
        <v>4</v>
      </c>
      <c r="AP113" s="130">
        <v>0</v>
      </c>
      <c r="AQ113" s="71">
        <v>0</v>
      </c>
      <c r="AR113" s="57">
        <v>21</v>
      </c>
      <c r="BD113" s="21">
        <v>109</v>
      </c>
      <c r="BE113" s="77" t="s">
        <v>38</v>
      </c>
      <c r="BF113" s="77" t="s">
        <v>25</v>
      </c>
      <c r="BG113" s="77" t="s">
        <v>25</v>
      </c>
      <c r="BH113" s="77" t="s">
        <v>75</v>
      </c>
      <c r="BI113" s="77" t="s">
        <v>152</v>
      </c>
      <c r="BJ113" s="77" t="s">
        <v>40</v>
      </c>
      <c r="BK113" s="77" t="s">
        <v>39</v>
      </c>
      <c r="BM113" s="76">
        <f t="shared" si="39"/>
        <v>10</v>
      </c>
      <c r="BN113" s="76">
        <f t="shared" si="40"/>
        <v>8</v>
      </c>
      <c r="BO113" s="76">
        <f t="shared" si="41"/>
        <v>8</v>
      </c>
      <c r="BP113" s="76">
        <f t="shared" si="42"/>
        <v>6</v>
      </c>
      <c r="BQ113" s="76">
        <f t="shared" si="43"/>
        <v>7</v>
      </c>
      <c r="BR113" s="76">
        <f t="shared" si="44"/>
        <v>12</v>
      </c>
      <c r="BS113" s="76">
        <f t="shared" si="45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53" t="s">
        <v>86</v>
      </c>
      <c r="CD113" s="54">
        <v>0</v>
      </c>
      <c r="CE113" s="55">
        <v>1</v>
      </c>
      <c r="CF113" s="55">
        <v>1</v>
      </c>
      <c r="CG113" s="55">
        <v>1</v>
      </c>
      <c r="CH113" s="55">
        <v>1</v>
      </c>
      <c r="CI113" s="55">
        <v>0</v>
      </c>
      <c r="CJ113" s="56">
        <v>0</v>
      </c>
      <c r="CK113" s="57">
        <v>21</v>
      </c>
    </row>
    <row r="114" spans="11:89" ht="16.2" x14ac:dyDescent="0.3">
      <c r="K114" s="22">
        <v>110</v>
      </c>
      <c r="L114" s="77" t="s">
        <v>25</v>
      </c>
      <c r="M114" s="77" t="s">
        <v>25</v>
      </c>
      <c r="N114" s="77" t="s">
        <v>37</v>
      </c>
      <c r="O114" s="77" t="s">
        <v>163</v>
      </c>
      <c r="P114" s="77" t="s">
        <v>35</v>
      </c>
      <c r="Q114" s="77" t="s">
        <v>25</v>
      </c>
      <c r="R114" s="37" t="s">
        <v>34</v>
      </c>
      <c r="T114" s="76">
        <f t="shared" si="32"/>
        <v>8</v>
      </c>
      <c r="U114" s="76">
        <f t="shared" si="33"/>
        <v>8</v>
      </c>
      <c r="V114" s="76">
        <f t="shared" si="34"/>
        <v>9</v>
      </c>
      <c r="W114" s="76">
        <f t="shared" si="35"/>
        <v>18</v>
      </c>
      <c r="X114" s="76">
        <f t="shared" si="36"/>
        <v>5</v>
      </c>
      <c r="Y114" s="76">
        <f t="shared" si="37"/>
        <v>8</v>
      </c>
      <c r="Z114" s="76">
        <f t="shared" si="38"/>
        <v>4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53" t="s">
        <v>87</v>
      </c>
      <c r="AK114" s="69">
        <v>0</v>
      </c>
      <c r="AL114" s="130">
        <v>2</v>
      </c>
      <c r="AM114" s="130">
        <v>2</v>
      </c>
      <c r="AN114" s="130">
        <v>2</v>
      </c>
      <c r="AO114" s="130">
        <v>2</v>
      </c>
      <c r="AP114" s="130">
        <v>0</v>
      </c>
      <c r="AQ114" s="71">
        <v>0</v>
      </c>
      <c r="AR114" s="57">
        <v>22</v>
      </c>
      <c r="BD114" s="22">
        <v>110</v>
      </c>
      <c r="BE114" s="77" t="s">
        <v>39</v>
      </c>
      <c r="BF114" s="77" t="s">
        <v>75</v>
      </c>
      <c r="BG114" s="77" t="s">
        <v>25</v>
      </c>
      <c r="BH114" s="77" t="s">
        <v>75</v>
      </c>
      <c r="BI114" s="77" t="s">
        <v>39</v>
      </c>
      <c r="BJ114" s="77" t="s">
        <v>38</v>
      </c>
      <c r="BK114" s="37" t="s">
        <v>39</v>
      </c>
      <c r="BM114" s="76">
        <f t="shared" si="39"/>
        <v>11</v>
      </c>
      <c r="BN114" s="76">
        <f t="shared" si="40"/>
        <v>6</v>
      </c>
      <c r="BO114" s="76">
        <f t="shared" si="41"/>
        <v>8</v>
      </c>
      <c r="BP114" s="76">
        <f t="shared" si="42"/>
        <v>6</v>
      </c>
      <c r="BQ114" s="76">
        <f t="shared" si="43"/>
        <v>11</v>
      </c>
      <c r="BR114" s="76">
        <f t="shared" si="44"/>
        <v>10</v>
      </c>
      <c r="BS114" s="76">
        <f t="shared" si="45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53" t="s">
        <v>87</v>
      </c>
      <c r="CD114" s="54">
        <v>0</v>
      </c>
      <c r="CE114" s="55">
        <v>1</v>
      </c>
      <c r="CF114" s="55">
        <v>1</v>
      </c>
      <c r="CG114" s="55">
        <v>1</v>
      </c>
      <c r="CH114" s="55">
        <v>1</v>
      </c>
      <c r="CI114" s="55">
        <v>0</v>
      </c>
      <c r="CJ114" s="56">
        <v>0</v>
      </c>
      <c r="CK114" s="57">
        <v>22</v>
      </c>
    </row>
    <row r="115" spans="11:89" ht="16.8" thickBot="1" x14ac:dyDescent="0.35">
      <c r="K115" s="21">
        <v>111</v>
      </c>
      <c r="L115" s="77" t="s">
        <v>40</v>
      </c>
      <c r="M115" s="77" t="s">
        <v>25</v>
      </c>
      <c r="N115" s="77" t="s">
        <v>39</v>
      </c>
      <c r="O115" s="77" t="s">
        <v>152</v>
      </c>
      <c r="P115" s="77" t="s">
        <v>35</v>
      </c>
      <c r="Q115" s="77" t="s">
        <v>40</v>
      </c>
      <c r="R115" s="37" t="s">
        <v>38</v>
      </c>
      <c r="T115" s="76">
        <f t="shared" si="32"/>
        <v>12</v>
      </c>
      <c r="U115" s="76">
        <f t="shared" si="33"/>
        <v>8</v>
      </c>
      <c r="V115" s="76">
        <f t="shared" si="34"/>
        <v>11</v>
      </c>
      <c r="W115" s="76">
        <f t="shared" si="35"/>
        <v>7</v>
      </c>
      <c r="X115" s="76">
        <f t="shared" si="36"/>
        <v>5</v>
      </c>
      <c r="Y115" s="76">
        <f t="shared" si="37"/>
        <v>12</v>
      </c>
      <c r="Z115" s="76">
        <f t="shared" si="38"/>
        <v>10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59" t="s">
        <v>88</v>
      </c>
      <c r="AK115" s="69">
        <v>0</v>
      </c>
      <c r="AL115" s="130">
        <v>2</v>
      </c>
      <c r="AM115" s="130">
        <v>2</v>
      </c>
      <c r="AN115" s="130">
        <v>2</v>
      </c>
      <c r="AO115" s="130">
        <v>2</v>
      </c>
      <c r="AP115" s="130">
        <v>0</v>
      </c>
      <c r="AQ115" s="71">
        <v>0</v>
      </c>
      <c r="AR115" s="126">
        <v>23</v>
      </c>
      <c r="BD115" s="21">
        <v>111</v>
      </c>
      <c r="BE115" s="77" t="s">
        <v>152</v>
      </c>
      <c r="BF115" s="77" t="s">
        <v>38</v>
      </c>
      <c r="BG115" s="77" t="s">
        <v>192</v>
      </c>
      <c r="BH115" s="77" t="s">
        <v>37</v>
      </c>
      <c r="BI115" s="77" t="s">
        <v>152</v>
      </c>
      <c r="BJ115" s="77" t="s">
        <v>25</v>
      </c>
      <c r="BK115" s="37" t="s">
        <v>33</v>
      </c>
      <c r="BM115" s="76">
        <f t="shared" si="39"/>
        <v>7</v>
      </c>
      <c r="BN115" s="76">
        <f t="shared" si="40"/>
        <v>10</v>
      </c>
      <c r="BO115" s="76">
        <f t="shared" si="41"/>
        <v>22</v>
      </c>
      <c r="BP115" s="76">
        <f t="shared" si="42"/>
        <v>9</v>
      </c>
      <c r="BQ115" s="76">
        <f t="shared" si="43"/>
        <v>7</v>
      </c>
      <c r="BR115" s="76">
        <f t="shared" si="44"/>
        <v>8</v>
      </c>
      <c r="BS115" s="76">
        <f t="shared" si="45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59" t="s">
        <v>88</v>
      </c>
      <c r="CD115" s="60">
        <v>0</v>
      </c>
      <c r="CE115" s="61">
        <v>1</v>
      </c>
      <c r="CF115" s="61">
        <v>1</v>
      </c>
      <c r="CG115" s="61">
        <v>1</v>
      </c>
      <c r="CH115" s="61">
        <v>1</v>
      </c>
      <c r="CI115" s="61">
        <v>0</v>
      </c>
      <c r="CJ115" s="62">
        <v>0</v>
      </c>
      <c r="CK115" s="126">
        <v>23</v>
      </c>
    </row>
    <row r="116" spans="11:89" ht="16.2" x14ac:dyDescent="0.3">
      <c r="K116" s="22">
        <v>112</v>
      </c>
      <c r="L116" s="77" t="s">
        <v>39</v>
      </c>
      <c r="M116" s="77" t="s">
        <v>37</v>
      </c>
      <c r="N116" s="77" t="s">
        <v>39</v>
      </c>
      <c r="O116" s="77" t="s">
        <v>152</v>
      </c>
      <c r="P116" s="77" t="s">
        <v>75</v>
      </c>
      <c r="Q116" s="77" t="s">
        <v>39</v>
      </c>
      <c r="R116" s="37" t="s">
        <v>38</v>
      </c>
      <c r="T116" s="76">
        <f t="shared" si="32"/>
        <v>11</v>
      </c>
      <c r="U116" s="76">
        <f t="shared" si="33"/>
        <v>9</v>
      </c>
      <c r="V116" s="76">
        <f t="shared" si="34"/>
        <v>11</v>
      </c>
      <c r="W116" s="76">
        <f t="shared" si="35"/>
        <v>7</v>
      </c>
      <c r="X116" s="76">
        <f t="shared" si="36"/>
        <v>6</v>
      </c>
      <c r="Y116" s="76">
        <f t="shared" si="37"/>
        <v>11</v>
      </c>
      <c r="Z116" s="76">
        <f t="shared" si="38"/>
        <v>10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79" t="s">
        <v>176</v>
      </c>
      <c r="AK116" s="133">
        <v>0</v>
      </c>
      <c r="AL116" s="134">
        <v>2</v>
      </c>
      <c r="AM116" s="134">
        <v>2</v>
      </c>
      <c r="AN116" s="134">
        <v>2</v>
      </c>
      <c r="AO116" s="134">
        <v>2</v>
      </c>
      <c r="AP116" s="134">
        <v>0</v>
      </c>
      <c r="AQ116" s="135">
        <v>0</v>
      </c>
      <c r="AR116" s="58">
        <v>24</v>
      </c>
      <c r="BD116" s="22">
        <v>112</v>
      </c>
      <c r="BE116" s="77" t="s">
        <v>40</v>
      </c>
      <c r="BF116" s="77" t="s">
        <v>38</v>
      </c>
      <c r="BG116" s="77" t="s">
        <v>39</v>
      </c>
      <c r="BH116" s="77" t="s">
        <v>188</v>
      </c>
      <c r="BI116" s="77" t="s">
        <v>152</v>
      </c>
      <c r="BJ116" s="77" t="s">
        <v>38</v>
      </c>
      <c r="BK116" s="37" t="s">
        <v>33</v>
      </c>
      <c r="BM116" s="76">
        <f t="shared" si="39"/>
        <v>12</v>
      </c>
      <c r="BN116" s="76">
        <f t="shared" si="40"/>
        <v>10</v>
      </c>
      <c r="BO116" s="76">
        <f t="shared" si="41"/>
        <v>11</v>
      </c>
      <c r="BP116" s="76">
        <f t="shared" si="42"/>
        <v>23</v>
      </c>
      <c r="BQ116" s="76">
        <f t="shared" si="43"/>
        <v>7</v>
      </c>
      <c r="BR116" s="76">
        <f t="shared" si="44"/>
        <v>10</v>
      </c>
      <c r="BS116" s="76">
        <f t="shared" si="45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79" t="s">
        <v>176</v>
      </c>
      <c r="CD116" s="69">
        <v>0</v>
      </c>
      <c r="CE116" s="130">
        <v>0</v>
      </c>
      <c r="CF116" s="130">
        <v>0</v>
      </c>
      <c r="CG116" s="130">
        <v>0</v>
      </c>
      <c r="CH116" s="130">
        <v>0</v>
      </c>
      <c r="CI116" s="130">
        <v>0</v>
      </c>
      <c r="CJ116" s="71">
        <v>0</v>
      </c>
      <c r="CK116" s="58">
        <v>24</v>
      </c>
    </row>
    <row r="117" spans="11:89" ht="16.8" thickBot="1" x14ac:dyDescent="0.35">
      <c r="K117" s="21">
        <v>113</v>
      </c>
      <c r="L117" s="77" t="s">
        <v>152</v>
      </c>
      <c r="M117" s="77" t="s">
        <v>38</v>
      </c>
      <c r="N117" s="77" t="s">
        <v>39</v>
      </c>
      <c r="O117" s="77" t="s">
        <v>25</v>
      </c>
      <c r="P117" s="77" t="s">
        <v>39</v>
      </c>
      <c r="Q117" s="77" t="s">
        <v>39</v>
      </c>
      <c r="R117" s="37" t="s">
        <v>38</v>
      </c>
      <c r="T117" s="76">
        <f t="shared" si="32"/>
        <v>7</v>
      </c>
      <c r="U117" s="76">
        <f t="shared" si="33"/>
        <v>10</v>
      </c>
      <c r="V117" s="76">
        <f t="shared" si="34"/>
        <v>11</v>
      </c>
      <c r="W117" s="76">
        <f t="shared" si="35"/>
        <v>8</v>
      </c>
      <c r="X117" s="76">
        <f t="shared" si="36"/>
        <v>11</v>
      </c>
      <c r="Y117" s="76">
        <f t="shared" si="37"/>
        <v>11</v>
      </c>
      <c r="Z117" s="76">
        <f t="shared" si="38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80" t="s">
        <v>187</v>
      </c>
      <c r="AK117" s="72">
        <v>0</v>
      </c>
      <c r="AL117" s="73">
        <v>1</v>
      </c>
      <c r="AM117" s="73">
        <v>1</v>
      </c>
      <c r="AN117" s="73">
        <v>1</v>
      </c>
      <c r="AO117" s="73">
        <v>1</v>
      </c>
      <c r="AP117" s="73">
        <v>0</v>
      </c>
      <c r="AQ117" s="74">
        <v>0</v>
      </c>
      <c r="AR117" s="63">
        <v>25</v>
      </c>
      <c r="BD117" s="21">
        <v>113</v>
      </c>
      <c r="BE117" s="77" t="s">
        <v>40</v>
      </c>
      <c r="BF117" s="77" t="s">
        <v>33</v>
      </c>
      <c r="BG117" s="77" t="s">
        <v>25</v>
      </c>
      <c r="BH117" s="77" t="s">
        <v>39</v>
      </c>
      <c r="BI117" s="77" t="s">
        <v>152</v>
      </c>
      <c r="BJ117" s="77" t="s">
        <v>38</v>
      </c>
      <c r="BK117" s="37" t="s">
        <v>38</v>
      </c>
      <c r="BM117" s="76">
        <f t="shared" si="39"/>
        <v>12</v>
      </c>
      <c r="BN117" s="76">
        <f t="shared" si="40"/>
        <v>3</v>
      </c>
      <c r="BO117" s="76">
        <f t="shared" si="41"/>
        <v>8</v>
      </c>
      <c r="BP117" s="76">
        <f t="shared" si="42"/>
        <v>11</v>
      </c>
      <c r="BQ117" s="76">
        <f t="shared" si="43"/>
        <v>7</v>
      </c>
      <c r="BR117" s="76">
        <f t="shared" si="44"/>
        <v>10</v>
      </c>
      <c r="BS117" s="76">
        <f t="shared" si="45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80" t="s">
        <v>187</v>
      </c>
      <c r="CD117" s="72">
        <v>0</v>
      </c>
      <c r="CE117" s="73">
        <v>1</v>
      </c>
      <c r="CF117" s="73">
        <v>1</v>
      </c>
      <c r="CG117" s="73">
        <v>1</v>
      </c>
      <c r="CH117" s="73">
        <v>1</v>
      </c>
      <c r="CI117" s="73">
        <v>0</v>
      </c>
      <c r="CJ117" s="74">
        <v>0</v>
      </c>
      <c r="CK117" s="63">
        <v>25</v>
      </c>
    </row>
    <row r="118" spans="11:89" x14ac:dyDescent="0.3">
      <c r="K118" s="22">
        <v>114</v>
      </c>
      <c r="L118" s="77" t="s">
        <v>34</v>
      </c>
      <c r="M118" s="77" t="s">
        <v>33</v>
      </c>
      <c r="N118" s="77" t="s">
        <v>34</v>
      </c>
      <c r="O118" s="77" t="s">
        <v>40</v>
      </c>
      <c r="P118" s="77" t="s">
        <v>39</v>
      </c>
      <c r="Q118" s="77" t="s">
        <v>38</v>
      </c>
      <c r="R118" s="37" t="s">
        <v>34</v>
      </c>
      <c r="T118" s="76">
        <f t="shared" si="32"/>
        <v>4</v>
      </c>
      <c r="U118" s="76">
        <f t="shared" si="33"/>
        <v>3</v>
      </c>
      <c r="V118" s="76">
        <f t="shared" si="34"/>
        <v>4</v>
      </c>
      <c r="W118" s="76">
        <f t="shared" si="35"/>
        <v>12</v>
      </c>
      <c r="X118" s="76">
        <f t="shared" si="36"/>
        <v>11</v>
      </c>
      <c r="Y118" s="76">
        <f t="shared" si="37"/>
        <v>10</v>
      </c>
      <c r="Z118" s="76">
        <f t="shared" si="38"/>
        <v>4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82"/>
      <c r="AK118" s="82"/>
      <c r="AL118" s="82"/>
      <c r="AM118" s="82"/>
      <c r="AN118" s="82"/>
      <c r="AO118" s="82"/>
      <c r="AP118" s="82"/>
      <c r="AQ118" s="82"/>
      <c r="AR118" s="82"/>
      <c r="BD118" s="22">
        <v>114</v>
      </c>
      <c r="BE118" s="77" t="s">
        <v>38</v>
      </c>
      <c r="BF118" s="77" t="s">
        <v>33</v>
      </c>
      <c r="BG118" s="77" t="s">
        <v>37</v>
      </c>
      <c r="BH118" s="77" t="s">
        <v>37</v>
      </c>
      <c r="BI118" s="77" t="s">
        <v>35</v>
      </c>
      <c r="BJ118" s="77" t="s">
        <v>25</v>
      </c>
      <c r="BK118" s="37" t="s">
        <v>38</v>
      </c>
      <c r="BM118" s="76">
        <f t="shared" si="39"/>
        <v>10</v>
      </c>
      <c r="BN118" s="76">
        <f t="shared" si="40"/>
        <v>3</v>
      </c>
      <c r="BO118" s="76">
        <f t="shared" si="41"/>
        <v>9</v>
      </c>
      <c r="BP118" s="76">
        <f t="shared" si="42"/>
        <v>9</v>
      </c>
      <c r="BQ118" s="76">
        <f t="shared" si="43"/>
        <v>5</v>
      </c>
      <c r="BR118" s="76">
        <f t="shared" si="44"/>
        <v>8</v>
      </c>
      <c r="BS118" s="76">
        <f t="shared" si="45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82"/>
      <c r="CD118" s="82"/>
      <c r="CE118" s="82"/>
      <c r="CF118" s="82"/>
      <c r="CG118" s="82"/>
      <c r="CH118" s="82"/>
      <c r="CI118" s="82"/>
      <c r="CJ118" s="82"/>
      <c r="CK118" s="82"/>
    </row>
    <row r="119" spans="11:89" ht="16.2" thickBot="1" x14ac:dyDescent="0.35">
      <c r="K119" s="21">
        <v>115</v>
      </c>
      <c r="L119" s="77" t="s">
        <v>39</v>
      </c>
      <c r="M119" s="77" t="s">
        <v>33</v>
      </c>
      <c r="N119" s="77" t="s">
        <v>34</v>
      </c>
      <c r="O119" s="77" t="s">
        <v>40</v>
      </c>
      <c r="P119" s="77" t="s">
        <v>35</v>
      </c>
      <c r="Q119" s="77" t="s">
        <v>38</v>
      </c>
      <c r="R119" s="37" t="s">
        <v>34</v>
      </c>
      <c r="T119" s="76">
        <f t="shared" si="32"/>
        <v>11</v>
      </c>
      <c r="U119" s="76">
        <f t="shared" si="33"/>
        <v>3</v>
      </c>
      <c r="V119" s="76">
        <f t="shared" si="34"/>
        <v>4</v>
      </c>
      <c r="W119" s="76">
        <f t="shared" si="35"/>
        <v>12</v>
      </c>
      <c r="X119" s="76">
        <f t="shared" si="36"/>
        <v>5</v>
      </c>
      <c r="Y119" s="76">
        <f t="shared" si="37"/>
        <v>10</v>
      </c>
      <c r="Z119" s="76">
        <f t="shared" si="38"/>
        <v>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82"/>
      <c r="AK119" s="245" t="s">
        <v>164</v>
      </c>
      <c r="AL119" s="245"/>
      <c r="AM119" s="245"/>
      <c r="AN119" s="245"/>
      <c r="AO119" s="245"/>
      <c r="AP119" s="245"/>
      <c r="AQ119" s="245"/>
      <c r="AR119" s="245"/>
      <c r="BD119" s="21">
        <v>115</v>
      </c>
      <c r="BE119" s="77" t="s">
        <v>40</v>
      </c>
      <c r="BF119" s="77" t="s">
        <v>152</v>
      </c>
      <c r="BG119" s="77" t="s">
        <v>35</v>
      </c>
      <c r="BH119" s="77" t="s">
        <v>161</v>
      </c>
      <c r="BI119" s="77" t="s">
        <v>97</v>
      </c>
      <c r="BJ119" s="77" t="s">
        <v>25</v>
      </c>
      <c r="BK119" s="37" t="s">
        <v>40</v>
      </c>
      <c r="BM119" s="76">
        <f t="shared" si="39"/>
        <v>12</v>
      </c>
      <c r="BN119" s="76">
        <f t="shared" si="40"/>
        <v>7</v>
      </c>
      <c r="BO119" s="76">
        <f t="shared" si="41"/>
        <v>5</v>
      </c>
      <c r="BP119" s="76">
        <f t="shared" si="42"/>
        <v>17</v>
      </c>
      <c r="BQ119" s="76">
        <f t="shared" si="43"/>
        <v>14</v>
      </c>
      <c r="BR119" s="76">
        <f t="shared" si="44"/>
        <v>8</v>
      </c>
      <c r="BS119" s="76">
        <f t="shared" si="45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82"/>
      <c r="CD119" s="245" t="s">
        <v>164</v>
      </c>
      <c r="CE119" s="245"/>
      <c r="CF119" s="245"/>
      <c r="CG119" s="245"/>
      <c r="CH119" s="245"/>
      <c r="CI119" s="245"/>
      <c r="CJ119" s="245"/>
      <c r="CK119" s="245"/>
    </row>
    <row r="120" spans="11:89" ht="16.8" thickBot="1" x14ac:dyDescent="0.35">
      <c r="K120" s="22">
        <v>116</v>
      </c>
      <c r="L120" s="77" t="s">
        <v>75</v>
      </c>
      <c r="M120" s="77" t="s">
        <v>33</v>
      </c>
      <c r="N120" s="77" t="s">
        <v>38</v>
      </c>
      <c r="O120" s="77" t="s">
        <v>40</v>
      </c>
      <c r="P120" s="77" t="s">
        <v>35</v>
      </c>
      <c r="Q120" s="77" t="s">
        <v>40</v>
      </c>
      <c r="R120" s="37" t="s">
        <v>34</v>
      </c>
      <c r="T120" s="76">
        <f t="shared" si="32"/>
        <v>6</v>
      </c>
      <c r="U120" s="76">
        <f t="shared" si="33"/>
        <v>3</v>
      </c>
      <c r="V120" s="76">
        <f t="shared" si="34"/>
        <v>10</v>
      </c>
      <c r="W120" s="76">
        <f t="shared" si="35"/>
        <v>12</v>
      </c>
      <c r="X120" s="76">
        <f t="shared" si="36"/>
        <v>5</v>
      </c>
      <c r="Y120" s="76">
        <f t="shared" si="37"/>
        <v>12</v>
      </c>
      <c r="Z120" s="76">
        <f t="shared" si="38"/>
        <v>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44" t="s">
        <v>52</v>
      </c>
      <c r="AK120" s="45" t="s">
        <v>12</v>
      </c>
      <c r="AL120" s="45" t="s">
        <v>13</v>
      </c>
      <c r="AM120" s="45" t="s">
        <v>14</v>
      </c>
      <c r="AN120" s="45" t="s">
        <v>15</v>
      </c>
      <c r="AO120" s="45" t="s">
        <v>16</v>
      </c>
      <c r="AP120" s="45" t="s">
        <v>56</v>
      </c>
      <c r="AQ120" s="46" t="s">
        <v>76</v>
      </c>
      <c r="AR120" s="47" t="s">
        <v>3</v>
      </c>
      <c r="BD120" s="22">
        <v>116</v>
      </c>
      <c r="BE120" s="77" t="s">
        <v>40</v>
      </c>
      <c r="BF120" s="77" t="s">
        <v>40</v>
      </c>
      <c r="BG120" s="77" t="s">
        <v>25</v>
      </c>
      <c r="BH120" s="77" t="s">
        <v>75</v>
      </c>
      <c r="BI120" s="77" t="s">
        <v>33</v>
      </c>
      <c r="BJ120" s="77" t="s">
        <v>38</v>
      </c>
      <c r="BK120" s="37" t="s">
        <v>40</v>
      </c>
      <c r="BM120" s="76">
        <f t="shared" si="39"/>
        <v>12</v>
      </c>
      <c r="BN120" s="76">
        <f t="shared" si="40"/>
        <v>12</v>
      </c>
      <c r="BO120" s="76">
        <f t="shared" si="41"/>
        <v>8</v>
      </c>
      <c r="BP120" s="76">
        <f t="shared" si="42"/>
        <v>6</v>
      </c>
      <c r="BQ120" s="76">
        <f t="shared" si="43"/>
        <v>3</v>
      </c>
      <c r="BR120" s="76">
        <f t="shared" si="44"/>
        <v>10</v>
      </c>
      <c r="BS120" s="76">
        <f t="shared" si="45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44" t="s">
        <v>52</v>
      </c>
      <c r="CD120" s="45" t="s">
        <v>12</v>
      </c>
      <c r="CE120" s="45" t="s">
        <v>13</v>
      </c>
      <c r="CF120" s="45" t="s">
        <v>14</v>
      </c>
      <c r="CG120" s="45" t="s">
        <v>15</v>
      </c>
      <c r="CH120" s="45" t="s">
        <v>16</v>
      </c>
      <c r="CI120" s="45" t="s">
        <v>56</v>
      </c>
      <c r="CJ120" s="46" t="s">
        <v>76</v>
      </c>
      <c r="CK120" s="47" t="s">
        <v>3</v>
      </c>
    </row>
    <row r="121" spans="11:89" ht="16.2" x14ac:dyDescent="0.3">
      <c r="K121" s="21">
        <v>117</v>
      </c>
      <c r="L121" s="77" t="s">
        <v>75</v>
      </c>
      <c r="M121" s="77" t="s">
        <v>38</v>
      </c>
      <c r="N121" s="77" t="s">
        <v>188</v>
      </c>
      <c r="O121" s="77" t="s">
        <v>25</v>
      </c>
      <c r="P121" s="77" t="s">
        <v>35</v>
      </c>
      <c r="Q121" s="77" t="s">
        <v>38</v>
      </c>
      <c r="R121" s="37" t="s">
        <v>40</v>
      </c>
      <c r="T121" s="76">
        <f t="shared" si="32"/>
        <v>6</v>
      </c>
      <c r="U121" s="76">
        <f t="shared" si="33"/>
        <v>10</v>
      </c>
      <c r="V121" s="76">
        <f t="shared" si="34"/>
        <v>23</v>
      </c>
      <c r="W121" s="76">
        <f t="shared" si="35"/>
        <v>8</v>
      </c>
      <c r="X121" s="76">
        <f t="shared" si="36"/>
        <v>5</v>
      </c>
      <c r="Y121" s="76">
        <f t="shared" si="37"/>
        <v>10</v>
      </c>
      <c r="Z121" s="76">
        <f t="shared" si="38"/>
        <v>12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48" t="s">
        <v>78</v>
      </c>
      <c r="AK121" s="49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1">
        <v>0</v>
      </c>
      <c r="AR121" s="52">
        <v>0</v>
      </c>
      <c r="BD121" s="21">
        <v>117</v>
      </c>
      <c r="BE121" s="77" t="s">
        <v>75</v>
      </c>
      <c r="BF121" s="77" t="s">
        <v>40</v>
      </c>
      <c r="BG121" s="77" t="s">
        <v>25</v>
      </c>
      <c r="BH121" s="77" t="s">
        <v>38</v>
      </c>
      <c r="BI121" s="77" t="s">
        <v>33</v>
      </c>
      <c r="BJ121" s="77" t="s">
        <v>38</v>
      </c>
      <c r="BK121" s="37" t="s">
        <v>40</v>
      </c>
      <c r="BM121" s="76">
        <f t="shared" si="39"/>
        <v>6</v>
      </c>
      <c r="BN121" s="76">
        <f t="shared" si="40"/>
        <v>12</v>
      </c>
      <c r="BO121" s="76">
        <f t="shared" si="41"/>
        <v>8</v>
      </c>
      <c r="BP121" s="76">
        <f t="shared" si="42"/>
        <v>10</v>
      </c>
      <c r="BQ121" s="76">
        <f t="shared" si="43"/>
        <v>3</v>
      </c>
      <c r="BR121" s="76">
        <f t="shared" si="44"/>
        <v>10</v>
      </c>
      <c r="BS121" s="76">
        <f t="shared" si="45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48" t="s">
        <v>78</v>
      </c>
      <c r="CD121" s="49">
        <v>0</v>
      </c>
      <c r="CE121" s="50">
        <v>0</v>
      </c>
      <c r="CF121" s="50">
        <v>0</v>
      </c>
      <c r="CG121" s="50">
        <v>0</v>
      </c>
      <c r="CH121" s="50">
        <v>0</v>
      </c>
      <c r="CI121" s="50">
        <v>0</v>
      </c>
      <c r="CJ121" s="51">
        <v>0</v>
      </c>
      <c r="CK121" s="52">
        <v>0</v>
      </c>
    </row>
    <row r="122" spans="11:89" ht="16.2" x14ac:dyDescent="0.3">
      <c r="K122" s="22">
        <v>118</v>
      </c>
      <c r="L122" s="77" t="s">
        <v>25</v>
      </c>
      <c r="M122" s="77" t="s">
        <v>152</v>
      </c>
      <c r="N122" s="77" t="s">
        <v>40</v>
      </c>
      <c r="O122" s="77" t="s">
        <v>33</v>
      </c>
      <c r="P122" s="77" t="s">
        <v>75</v>
      </c>
      <c r="Q122" s="77" t="s">
        <v>34</v>
      </c>
      <c r="R122" s="37" t="s">
        <v>40</v>
      </c>
      <c r="T122" s="76">
        <f t="shared" si="32"/>
        <v>8</v>
      </c>
      <c r="U122" s="76">
        <f t="shared" si="33"/>
        <v>7</v>
      </c>
      <c r="V122" s="76">
        <f t="shared" si="34"/>
        <v>12</v>
      </c>
      <c r="W122" s="76">
        <f t="shared" si="35"/>
        <v>3</v>
      </c>
      <c r="X122" s="76">
        <f t="shared" si="36"/>
        <v>6</v>
      </c>
      <c r="Y122" s="76">
        <f t="shared" si="37"/>
        <v>4</v>
      </c>
      <c r="Z122" s="76">
        <f t="shared" si="38"/>
        <v>12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53" t="s">
        <v>19</v>
      </c>
      <c r="AK122" s="69">
        <v>0</v>
      </c>
      <c r="AL122" s="130">
        <v>0</v>
      </c>
      <c r="AM122" s="130">
        <v>0</v>
      </c>
      <c r="AN122" s="130">
        <v>0</v>
      </c>
      <c r="AO122" s="130">
        <v>0</v>
      </c>
      <c r="AP122" s="130">
        <v>0</v>
      </c>
      <c r="AQ122" s="71">
        <v>0</v>
      </c>
      <c r="AR122" s="57">
        <v>1</v>
      </c>
      <c r="BD122" s="22">
        <v>118</v>
      </c>
      <c r="BE122" s="77" t="s">
        <v>40</v>
      </c>
      <c r="BF122" s="77" t="s">
        <v>191</v>
      </c>
      <c r="BG122" s="77" t="s">
        <v>39</v>
      </c>
      <c r="BH122" s="77" t="s">
        <v>38</v>
      </c>
      <c r="BI122" s="77" t="s">
        <v>152</v>
      </c>
      <c r="BJ122" s="77" t="s">
        <v>38</v>
      </c>
      <c r="BK122" s="37" t="s">
        <v>37</v>
      </c>
      <c r="BM122" s="76">
        <f t="shared" si="39"/>
        <v>12</v>
      </c>
      <c r="BN122" s="76">
        <f t="shared" si="40"/>
        <v>21</v>
      </c>
      <c r="BO122" s="76">
        <f t="shared" si="41"/>
        <v>11</v>
      </c>
      <c r="BP122" s="76">
        <f t="shared" si="42"/>
        <v>10</v>
      </c>
      <c r="BQ122" s="76">
        <f t="shared" si="43"/>
        <v>7</v>
      </c>
      <c r="BR122" s="76">
        <f t="shared" si="44"/>
        <v>10</v>
      </c>
      <c r="BS122" s="76">
        <f t="shared" si="45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53" t="s">
        <v>19</v>
      </c>
      <c r="CD122" s="69">
        <v>0</v>
      </c>
      <c r="CE122" s="130">
        <v>0</v>
      </c>
      <c r="CF122" s="130">
        <v>0</v>
      </c>
      <c r="CG122" s="130">
        <v>0</v>
      </c>
      <c r="CH122" s="130">
        <v>0</v>
      </c>
      <c r="CI122" s="130">
        <v>0</v>
      </c>
      <c r="CJ122" s="71">
        <v>0</v>
      </c>
      <c r="CK122" s="57">
        <v>1</v>
      </c>
    </row>
    <row r="123" spans="11:89" ht="16.2" x14ac:dyDescent="0.3">
      <c r="K123" s="21">
        <v>119</v>
      </c>
      <c r="L123" s="77" t="s">
        <v>39</v>
      </c>
      <c r="M123" s="77" t="s">
        <v>152</v>
      </c>
      <c r="N123" s="77" t="s">
        <v>34</v>
      </c>
      <c r="O123" s="77" t="s">
        <v>39</v>
      </c>
      <c r="P123" s="77" t="s">
        <v>40</v>
      </c>
      <c r="Q123" s="77" t="s">
        <v>25</v>
      </c>
      <c r="R123" s="37" t="s">
        <v>40</v>
      </c>
      <c r="T123" s="76">
        <f t="shared" si="32"/>
        <v>11</v>
      </c>
      <c r="U123" s="76">
        <f t="shared" si="33"/>
        <v>7</v>
      </c>
      <c r="V123" s="76">
        <f t="shared" si="34"/>
        <v>4</v>
      </c>
      <c r="W123" s="76">
        <f t="shared" si="35"/>
        <v>11</v>
      </c>
      <c r="X123" s="76">
        <f t="shared" si="36"/>
        <v>12</v>
      </c>
      <c r="Y123" s="76">
        <f t="shared" si="37"/>
        <v>8</v>
      </c>
      <c r="Z123" s="76">
        <f t="shared" si="38"/>
        <v>12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53" t="s">
        <v>20</v>
      </c>
      <c r="AK123" s="54">
        <v>1</v>
      </c>
      <c r="AL123" s="55">
        <v>1</v>
      </c>
      <c r="AM123" s="55">
        <v>1</v>
      </c>
      <c r="AN123" s="55">
        <v>1</v>
      </c>
      <c r="AO123" s="55">
        <v>1</v>
      </c>
      <c r="AP123" s="55">
        <v>1</v>
      </c>
      <c r="AQ123" s="56">
        <v>0</v>
      </c>
      <c r="AR123" s="57">
        <v>2</v>
      </c>
      <c r="BD123" s="21">
        <v>119</v>
      </c>
      <c r="BE123" s="77" t="s">
        <v>37</v>
      </c>
      <c r="BF123" s="77" t="s">
        <v>38</v>
      </c>
      <c r="BG123" s="77" t="s">
        <v>37</v>
      </c>
      <c r="BH123" s="77" t="s">
        <v>75</v>
      </c>
      <c r="BI123" s="77" t="s">
        <v>33</v>
      </c>
      <c r="BJ123" s="77" t="s">
        <v>25</v>
      </c>
      <c r="BK123" s="37" t="s">
        <v>37</v>
      </c>
      <c r="BM123" s="76">
        <f t="shared" si="39"/>
        <v>9</v>
      </c>
      <c r="BN123" s="76">
        <f t="shared" si="40"/>
        <v>10</v>
      </c>
      <c r="BO123" s="76">
        <f t="shared" si="41"/>
        <v>9</v>
      </c>
      <c r="BP123" s="76">
        <f t="shared" si="42"/>
        <v>6</v>
      </c>
      <c r="BQ123" s="76">
        <f t="shared" si="43"/>
        <v>3</v>
      </c>
      <c r="BR123" s="76">
        <f t="shared" si="44"/>
        <v>8</v>
      </c>
      <c r="BS123" s="76">
        <f t="shared" si="45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53" t="s">
        <v>20</v>
      </c>
      <c r="CD123" s="54">
        <v>1</v>
      </c>
      <c r="CE123" s="55">
        <v>1</v>
      </c>
      <c r="CF123" s="55">
        <v>1</v>
      </c>
      <c r="CG123" s="55">
        <v>1</v>
      </c>
      <c r="CH123" s="55">
        <v>1</v>
      </c>
      <c r="CI123" s="55">
        <v>1</v>
      </c>
      <c r="CJ123" s="56">
        <v>0</v>
      </c>
      <c r="CK123" s="57">
        <v>2</v>
      </c>
    </row>
    <row r="124" spans="11:89" ht="16.2" x14ac:dyDescent="0.3">
      <c r="K124" s="22">
        <v>120</v>
      </c>
      <c r="L124" s="77" t="s">
        <v>39</v>
      </c>
      <c r="M124" s="77" t="s">
        <v>37</v>
      </c>
      <c r="N124" s="77" t="s">
        <v>35</v>
      </c>
      <c r="O124" s="77" t="s">
        <v>39</v>
      </c>
      <c r="P124" s="77" t="s">
        <v>40</v>
      </c>
      <c r="Q124" s="77" t="s">
        <v>25</v>
      </c>
      <c r="R124" s="37" t="s">
        <v>37</v>
      </c>
      <c r="T124" s="76">
        <f t="shared" si="32"/>
        <v>11</v>
      </c>
      <c r="U124" s="76">
        <f t="shared" si="33"/>
        <v>9</v>
      </c>
      <c r="V124" s="76">
        <f t="shared" si="34"/>
        <v>5</v>
      </c>
      <c r="W124" s="76">
        <f t="shared" si="35"/>
        <v>11</v>
      </c>
      <c r="X124" s="76">
        <f t="shared" si="36"/>
        <v>12</v>
      </c>
      <c r="Y124" s="76">
        <f t="shared" si="37"/>
        <v>8</v>
      </c>
      <c r="Z124" s="76">
        <f t="shared" si="38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53" t="s">
        <v>21</v>
      </c>
      <c r="AK124" s="54">
        <v>1</v>
      </c>
      <c r="AL124" s="55">
        <v>70</v>
      </c>
      <c r="AM124" s="55">
        <v>1</v>
      </c>
      <c r="AN124" s="55">
        <v>70</v>
      </c>
      <c r="AO124" s="55">
        <v>1</v>
      </c>
      <c r="AP124" s="55">
        <v>1</v>
      </c>
      <c r="AQ124" s="56">
        <v>0</v>
      </c>
      <c r="AR124" s="57">
        <v>3</v>
      </c>
      <c r="BD124" s="22">
        <v>120</v>
      </c>
      <c r="BE124" s="77" t="s">
        <v>37</v>
      </c>
      <c r="BF124" s="77" t="s">
        <v>40</v>
      </c>
      <c r="BG124" s="77" t="s">
        <v>25</v>
      </c>
      <c r="BH124" s="77" t="s">
        <v>75</v>
      </c>
      <c r="BI124" s="77" t="s">
        <v>152</v>
      </c>
      <c r="BJ124" s="77" t="s">
        <v>38</v>
      </c>
      <c r="BK124" s="37" t="s">
        <v>37</v>
      </c>
      <c r="BM124" s="76">
        <f t="shared" si="39"/>
        <v>9</v>
      </c>
      <c r="BN124" s="76">
        <f t="shared" si="40"/>
        <v>12</v>
      </c>
      <c r="BO124" s="76">
        <f t="shared" si="41"/>
        <v>8</v>
      </c>
      <c r="BP124" s="76">
        <f t="shared" si="42"/>
        <v>6</v>
      </c>
      <c r="BQ124" s="76">
        <f t="shared" si="43"/>
        <v>7</v>
      </c>
      <c r="BR124" s="76">
        <f t="shared" si="44"/>
        <v>10</v>
      </c>
      <c r="BS124" s="76">
        <f t="shared" si="45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53" t="s">
        <v>21</v>
      </c>
      <c r="CD124" s="54">
        <v>1</v>
      </c>
      <c r="CE124" s="55">
        <v>70</v>
      </c>
      <c r="CF124" s="55">
        <v>1</v>
      </c>
      <c r="CG124" s="55">
        <v>70</v>
      </c>
      <c r="CH124" s="55">
        <v>1</v>
      </c>
      <c r="CI124" s="55">
        <v>1</v>
      </c>
      <c r="CJ124" s="56">
        <v>0</v>
      </c>
      <c r="CK124" s="57">
        <v>3</v>
      </c>
    </row>
    <row r="125" spans="11:89" ht="16.2" x14ac:dyDescent="0.3">
      <c r="AB125" s="64"/>
      <c r="AC125" s="64"/>
      <c r="AD125" s="64"/>
      <c r="AE125" s="64"/>
      <c r="AF125" s="64"/>
      <c r="AG125" s="64"/>
      <c r="AH125" s="64"/>
      <c r="AJ125" s="53" t="s">
        <v>17</v>
      </c>
      <c r="AK125" s="54">
        <v>1</v>
      </c>
      <c r="AL125" s="55">
        <v>1</v>
      </c>
      <c r="AM125" s="55">
        <v>5</v>
      </c>
      <c r="AN125" s="55">
        <v>1</v>
      </c>
      <c r="AO125" s="55">
        <v>1</v>
      </c>
      <c r="AP125" s="55">
        <v>70</v>
      </c>
      <c r="AQ125" s="56">
        <v>1</v>
      </c>
      <c r="AR125" s="57">
        <v>4</v>
      </c>
      <c r="BU125" s="64"/>
      <c r="BV125" s="64"/>
      <c r="BW125" s="64"/>
      <c r="BX125" s="64"/>
      <c r="BY125" s="64"/>
      <c r="BZ125" s="64"/>
      <c r="CA125" s="64"/>
      <c r="CC125" s="53" t="s">
        <v>17</v>
      </c>
      <c r="CD125" s="54">
        <v>1</v>
      </c>
      <c r="CE125" s="55">
        <v>1</v>
      </c>
      <c r="CF125" s="55">
        <v>5</v>
      </c>
      <c r="CG125" s="55">
        <v>1</v>
      </c>
      <c r="CH125" s="55">
        <v>1</v>
      </c>
      <c r="CI125" s="55">
        <v>70</v>
      </c>
      <c r="CJ125" s="56">
        <v>1</v>
      </c>
      <c r="CK125" s="57">
        <v>4</v>
      </c>
    </row>
    <row r="126" spans="11:89" ht="16.2" x14ac:dyDescent="0.3">
      <c r="AJ126" s="53" t="s">
        <v>18</v>
      </c>
      <c r="AK126" s="54">
        <v>1</v>
      </c>
      <c r="AL126" s="55">
        <v>70</v>
      </c>
      <c r="AM126" s="55">
        <v>1</v>
      </c>
      <c r="AN126" s="55">
        <v>1</v>
      </c>
      <c r="AO126" s="55">
        <v>1</v>
      </c>
      <c r="AP126" s="55">
        <v>70</v>
      </c>
      <c r="AQ126" s="56">
        <v>1</v>
      </c>
      <c r="AR126" s="57">
        <v>5</v>
      </c>
      <c r="CC126" s="53" t="s">
        <v>18</v>
      </c>
      <c r="CD126" s="54">
        <v>1</v>
      </c>
      <c r="CE126" s="55">
        <v>70</v>
      </c>
      <c r="CF126" s="55">
        <v>1</v>
      </c>
      <c r="CG126" s="55">
        <v>1</v>
      </c>
      <c r="CH126" s="55">
        <v>1</v>
      </c>
      <c r="CI126" s="55">
        <v>70</v>
      </c>
      <c r="CJ126" s="56">
        <v>1</v>
      </c>
      <c r="CK126" s="57">
        <v>5</v>
      </c>
    </row>
    <row r="127" spans="11:89" ht="16.2" x14ac:dyDescent="0.3">
      <c r="AJ127" s="53" t="s">
        <v>74</v>
      </c>
      <c r="AK127" s="54">
        <v>5</v>
      </c>
      <c r="AL127" s="55">
        <v>1</v>
      </c>
      <c r="AM127" s="55">
        <v>70</v>
      </c>
      <c r="AN127" s="55">
        <v>1</v>
      </c>
      <c r="AO127" s="55">
        <v>70</v>
      </c>
      <c r="AP127" s="55">
        <v>1</v>
      </c>
      <c r="AQ127" s="56">
        <v>1</v>
      </c>
      <c r="AR127" s="57">
        <v>6</v>
      </c>
      <c r="CC127" s="53" t="s">
        <v>74</v>
      </c>
      <c r="CD127" s="54">
        <v>5</v>
      </c>
      <c r="CE127" s="55">
        <v>1</v>
      </c>
      <c r="CF127" s="55">
        <v>70</v>
      </c>
      <c r="CG127" s="55">
        <v>1</v>
      </c>
      <c r="CH127" s="55">
        <v>70</v>
      </c>
      <c r="CI127" s="55">
        <v>1</v>
      </c>
      <c r="CJ127" s="56">
        <v>1</v>
      </c>
      <c r="CK127" s="57">
        <v>6</v>
      </c>
    </row>
    <row r="128" spans="11:89" ht="16.2" x14ac:dyDescent="0.3">
      <c r="AJ128" s="53" t="s">
        <v>151</v>
      </c>
      <c r="AK128" s="54">
        <v>1</v>
      </c>
      <c r="AL128" s="55">
        <v>70</v>
      </c>
      <c r="AM128" s="55">
        <v>1</v>
      </c>
      <c r="AN128" s="55">
        <v>1</v>
      </c>
      <c r="AO128" s="55">
        <v>1</v>
      </c>
      <c r="AP128" s="55">
        <v>70</v>
      </c>
      <c r="AQ128" s="56">
        <v>1</v>
      </c>
      <c r="AR128" s="57">
        <v>7</v>
      </c>
      <c r="AS128" s="14"/>
      <c r="CC128" s="53" t="s">
        <v>151</v>
      </c>
      <c r="CD128" s="54">
        <v>1</v>
      </c>
      <c r="CE128" s="55">
        <v>70</v>
      </c>
      <c r="CF128" s="55">
        <v>1</v>
      </c>
      <c r="CG128" s="55">
        <v>1</v>
      </c>
      <c r="CH128" s="55">
        <v>1</v>
      </c>
      <c r="CI128" s="55">
        <v>70</v>
      </c>
      <c r="CJ128" s="56">
        <v>1</v>
      </c>
      <c r="CK128" s="57">
        <v>7</v>
      </c>
    </row>
    <row r="129" spans="36:89" ht="16.2" x14ac:dyDescent="0.3">
      <c r="AJ129" s="53" t="s">
        <v>24</v>
      </c>
      <c r="AK129" s="54">
        <v>1</v>
      </c>
      <c r="AL129" s="55">
        <v>1</v>
      </c>
      <c r="AM129" s="55">
        <v>1</v>
      </c>
      <c r="AN129" s="55">
        <v>1</v>
      </c>
      <c r="AO129" s="55">
        <v>70</v>
      </c>
      <c r="AP129" s="55">
        <v>1</v>
      </c>
      <c r="AQ129" s="56">
        <v>1</v>
      </c>
      <c r="AR129" s="57">
        <v>8</v>
      </c>
      <c r="AS129" s="14"/>
      <c r="CC129" s="53" t="s">
        <v>24</v>
      </c>
      <c r="CD129" s="54">
        <v>1</v>
      </c>
      <c r="CE129" s="55">
        <v>1</v>
      </c>
      <c r="CF129" s="55">
        <v>1</v>
      </c>
      <c r="CG129" s="55">
        <v>1</v>
      </c>
      <c r="CH129" s="55">
        <v>70</v>
      </c>
      <c r="CI129" s="55">
        <v>1</v>
      </c>
      <c r="CJ129" s="56">
        <v>1</v>
      </c>
      <c r="CK129" s="57">
        <v>8</v>
      </c>
    </row>
    <row r="130" spans="36:89" ht="16.2" x14ac:dyDescent="0.3">
      <c r="AJ130" s="53" t="s">
        <v>26</v>
      </c>
      <c r="AK130" s="54">
        <v>1</v>
      </c>
      <c r="AL130" s="55">
        <v>1</v>
      </c>
      <c r="AM130" s="55">
        <v>1</v>
      </c>
      <c r="AN130" s="55">
        <v>70</v>
      </c>
      <c r="AO130" s="55">
        <v>1</v>
      </c>
      <c r="AP130" s="55">
        <v>70</v>
      </c>
      <c r="AQ130" s="56">
        <v>1</v>
      </c>
      <c r="AR130" s="57">
        <v>9</v>
      </c>
      <c r="AS130" s="14"/>
      <c r="CC130" s="53" t="s">
        <v>26</v>
      </c>
      <c r="CD130" s="54">
        <v>1</v>
      </c>
      <c r="CE130" s="55">
        <v>1</v>
      </c>
      <c r="CF130" s="55">
        <v>1</v>
      </c>
      <c r="CG130" s="55">
        <v>70</v>
      </c>
      <c r="CH130" s="55">
        <v>1</v>
      </c>
      <c r="CI130" s="55">
        <v>70</v>
      </c>
      <c r="CJ130" s="56">
        <v>1</v>
      </c>
      <c r="CK130" s="57">
        <v>9</v>
      </c>
    </row>
    <row r="131" spans="36:89" ht="16.2" x14ac:dyDescent="0.3">
      <c r="AJ131" s="53" t="s">
        <v>27</v>
      </c>
      <c r="AK131" s="54">
        <v>1</v>
      </c>
      <c r="AL131" s="55">
        <v>1</v>
      </c>
      <c r="AM131" s="55">
        <v>5</v>
      </c>
      <c r="AN131" s="55">
        <v>1</v>
      </c>
      <c r="AO131" s="55">
        <v>1</v>
      </c>
      <c r="AP131" s="55">
        <v>1</v>
      </c>
      <c r="AQ131" s="56">
        <v>3</v>
      </c>
      <c r="AR131" s="57">
        <v>10</v>
      </c>
      <c r="AS131" s="14"/>
      <c r="CC131" s="53" t="s">
        <v>27</v>
      </c>
      <c r="CD131" s="54">
        <v>1</v>
      </c>
      <c r="CE131" s="55">
        <v>1</v>
      </c>
      <c r="CF131" s="55">
        <v>5</v>
      </c>
      <c r="CG131" s="55">
        <v>1</v>
      </c>
      <c r="CH131" s="55">
        <v>1</v>
      </c>
      <c r="CI131" s="55">
        <v>1</v>
      </c>
      <c r="CJ131" s="56">
        <v>3</v>
      </c>
      <c r="CK131" s="57">
        <v>10</v>
      </c>
    </row>
    <row r="132" spans="36:89" ht="16.2" x14ac:dyDescent="0.3">
      <c r="AJ132" s="53" t="s">
        <v>28</v>
      </c>
      <c r="AK132" s="54">
        <v>1</v>
      </c>
      <c r="AL132" s="55">
        <v>70</v>
      </c>
      <c r="AM132" s="55">
        <v>1</v>
      </c>
      <c r="AN132" s="55">
        <v>1</v>
      </c>
      <c r="AO132" s="55">
        <v>1</v>
      </c>
      <c r="AP132" s="55">
        <v>1</v>
      </c>
      <c r="AQ132" s="56">
        <v>1</v>
      </c>
      <c r="AR132" s="57">
        <v>11</v>
      </c>
      <c r="AS132" s="14"/>
      <c r="CC132" s="53" t="s">
        <v>28</v>
      </c>
      <c r="CD132" s="54">
        <v>1</v>
      </c>
      <c r="CE132" s="55">
        <v>70</v>
      </c>
      <c r="CF132" s="55">
        <v>1</v>
      </c>
      <c r="CG132" s="55">
        <v>1</v>
      </c>
      <c r="CH132" s="55">
        <v>1</v>
      </c>
      <c r="CI132" s="55">
        <v>1</v>
      </c>
      <c r="CJ132" s="56">
        <v>1</v>
      </c>
      <c r="CK132" s="57">
        <v>11</v>
      </c>
    </row>
    <row r="133" spans="36:89" ht="16.2" x14ac:dyDescent="0.3">
      <c r="AJ133" s="53" t="s">
        <v>29</v>
      </c>
      <c r="AK133" s="54">
        <v>70</v>
      </c>
      <c r="AL133" s="55">
        <v>1</v>
      </c>
      <c r="AM133" s="55">
        <v>1</v>
      </c>
      <c r="AN133" s="55">
        <v>1</v>
      </c>
      <c r="AO133" s="55">
        <v>1</v>
      </c>
      <c r="AP133" s="55">
        <v>1</v>
      </c>
      <c r="AQ133" s="56">
        <v>1</v>
      </c>
      <c r="AR133" s="57">
        <v>12</v>
      </c>
      <c r="AS133" s="14"/>
      <c r="CC133" s="53" t="s">
        <v>29</v>
      </c>
      <c r="CD133" s="54">
        <v>70</v>
      </c>
      <c r="CE133" s="55">
        <v>1</v>
      </c>
      <c r="CF133" s="55">
        <v>1</v>
      </c>
      <c r="CG133" s="55">
        <v>1</v>
      </c>
      <c r="CH133" s="55">
        <v>1</v>
      </c>
      <c r="CI133" s="55">
        <v>1</v>
      </c>
      <c r="CJ133" s="56">
        <v>1</v>
      </c>
      <c r="CK133" s="57">
        <v>12</v>
      </c>
    </row>
    <row r="134" spans="36:89" ht="16.2" x14ac:dyDescent="0.3">
      <c r="AJ134" s="53" t="s">
        <v>79</v>
      </c>
      <c r="AK134" s="54">
        <v>0</v>
      </c>
      <c r="AL134" s="55">
        <v>0</v>
      </c>
      <c r="AM134" s="55">
        <v>0</v>
      </c>
      <c r="AN134" s="55">
        <v>0</v>
      </c>
      <c r="AO134" s="55">
        <v>0</v>
      </c>
      <c r="AP134" s="55">
        <v>0</v>
      </c>
      <c r="AQ134" s="56">
        <v>0</v>
      </c>
      <c r="AR134" s="57">
        <v>13</v>
      </c>
      <c r="AS134" s="14"/>
      <c r="CC134" s="53" t="s">
        <v>79</v>
      </c>
      <c r="CD134" s="54">
        <v>0</v>
      </c>
      <c r="CE134" s="55">
        <v>0</v>
      </c>
      <c r="CF134" s="55">
        <v>0</v>
      </c>
      <c r="CG134" s="55">
        <v>0</v>
      </c>
      <c r="CH134" s="55">
        <v>0</v>
      </c>
      <c r="CI134" s="55">
        <v>0</v>
      </c>
      <c r="CJ134" s="56">
        <v>0</v>
      </c>
      <c r="CK134" s="57">
        <v>13</v>
      </c>
    </row>
    <row r="135" spans="36:89" ht="16.2" x14ac:dyDescent="0.3">
      <c r="AJ135" s="53" t="s">
        <v>80</v>
      </c>
      <c r="AK135" s="54">
        <v>0</v>
      </c>
      <c r="AL135" s="55">
        <v>1</v>
      </c>
      <c r="AM135" s="55">
        <v>1</v>
      </c>
      <c r="AN135" s="55">
        <v>1</v>
      </c>
      <c r="AO135" s="55">
        <v>1</v>
      </c>
      <c r="AP135" s="55">
        <v>0</v>
      </c>
      <c r="AQ135" s="56">
        <v>0</v>
      </c>
      <c r="AR135" s="57">
        <v>14</v>
      </c>
      <c r="AS135" s="14"/>
      <c r="CC135" s="53" t="s">
        <v>80</v>
      </c>
      <c r="CD135" s="54">
        <v>0</v>
      </c>
      <c r="CE135" s="55">
        <v>1</v>
      </c>
      <c r="CF135" s="55">
        <v>1</v>
      </c>
      <c r="CG135" s="55">
        <v>1</v>
      </c>
      <c r="CH135" s="55">
        <v>1</v>
      </c>
      <c r="CI135" s="55">
        <v>0</v>
      </c>
      <c r="CJ135" s="56">
        <v>0</v>
      </c>
      <c r="CK135" s="57">
        <v>14</v>
      </c>
    </row>
    <row r="136" spans="36:89" ht="16.2" x14ac:dyDescent="0.3">
      <c r="AJ136" s="53" t="s">
        <v>81</v>
      </c>
      <c r="AK136" s="54">
        <v>0</v>
      </c>
      <c r="AL136" s="55">
        <v>1</v>
      </c>
      <c r="AM136" s="55">
        <v>1</v>
      </c>
      <c r="AN136" s="55">
        <v>1</v>
      </c>
      <c r="AO136" s="55">
        <v>1</v>
      </c>
      <c r="AP136" s="55">
        <v>0</v>
      </c>
      <c r="AQ136" s="56">
        <v>0</v>
      </c>
      <c r="AR136" s="57">
        <v>15</v>
      </c>
      <c r="AS136" s="14"/>
      <c r="CC136" s="53" t="s">
        <v>81</v>
      </c>
      <c r="CD136" s="54">
        <v>0</v>
      </c>
      <c r="CE136" s="55">
        <v>1</v>
      </c>
      <c r="CF136" s="55">
        <v>1</v>
      </c>
      <c r="CG136" s="55">
        <v>1</v>
      </c>
      <c r="CH136" s="55">
        <v>1</v>
      </c>
      <c r="CI136" s="55">
        <v>0</v>
      </c>
      <c r="CJ136" s="56">
        <v>0</v>
      </c>
      <c r="CK136" s="57">
        <v>15</v>
      </c>
    </row>
    <row r="137" spans="36:89" ht="16.2" x14ac:dyDescent="0.3">
      <c r="AJ137" s="53" t="s">
        <v>82</v>
      </c>
      <c r="AK137" s="54">
        <v>0</v>
      </c>
      <c r="AL137" s="55">
        <v>1</v>
      </c>
      <c r="AM137" s="55">
        <v>1</v>
      </c>
      <c r="AN137" s="55">
        <v>1</v>
      </c>
      <c r="AO137" s="55">
        <v>1</v>
      </c>
      <c r="AP137" s="55">
        <v>0</v>
      </c>
      <c r="AQ137" s="56">
        <v>0</v>
      </c>
      <c r="AR137" s="57">
        <v>16</v>
      </c>
      <c r="AS137" s="14"/>
      <c r="CC137" s="53" t="s">
        <v>82</v>
      </c>
      <c r="CD137" s="54">
        <v>0</v>
      </c>
      <c r="CE137" s="55">
        <v>1</v>
      </c>
      <c r="CF137" s="55">
        <v>1</v>
      </c>
      <c r="CG137" s="55">
        <v>1</v>
      </c>
      <c r="CH137" s="55">
        <v>1</v>
      </c>
      <c r="CI137" s="55">
        <v>0</v>
      </c>
      <c r="CJ137" s="56">
        <v>0</v>
      </c>
      <c r="CK137" s="57">
        <v>16</v>
      </c>
    </row>
    <row r="138" spans="36:89" ht="16.2" x14ac:dyDescent="0.3">
      <c r="AJ138" s="53" t="s">
        <v>83</v>
      </c>
      <c r="AK138" s="54">
        <v>0</v>
      </c>
      <c r="AL138" s="55">
        <v>1</v>
      </c>
      <c r="AM138" s="55">
        <v>1</v>
      </c>
      <c r="AN138" s="55">
        <v>1</v>
      </c>
      <c r="AO138" s="55">
        <v>2</v>
      </c>
      <c r="AP138" s="55">
        <v>0</v>
      </c>
      <c r="AQ138" s="56">
        <v>0</v>
      </c>
      <c r="AR138" s="57">
        <v>17</v>
      </c>
      <c r="AS138" s="14"/>
      <c r="CC138" s="53" t="s">
        <v>83</v>
      </c>
      <c r="CD138" s="54">
        <v>0</v>
      </c>
      <c r="CE138" s="55">
        <v>1</v>
      </c>
      <c r="CF138" s="55">
        <v>1</v>
      </c>
      <c r="CG138" s="55">
        <v>1</v>
      </c>
      <c r="CH138" s="55">
        <v>2</v>
      </c>
      <c r="CI138" s="55">
        <v>0</v>
      </c>
      <c r="CJ138" s="56">
        <v>0</v>
      </c>
      <c r="CK138" s="57">
        <v>17</v>
      </c>
    </row>
    <row r="139" spans="36:89" ht="16.2" x14ac:dyDescent="0.3">
      <c r="AJ139" s="53" t="s">
        <v>162</v>
      </c>
      <c r="AK139" s="54">
        <v>0</v>
      </c>
      <c r="AL139" s="55">
        <v>1</v>
      </c>
      <c r="AM139" s="55">
        <v>1</v>
      </c>
      <c r="AN139" s="55">
        <v>1</v>
      </c>
      <c r="AO139" s="55">
        <v>1</v>
      </c>
      <c r="AP139" s="55">
        <v>0</v>
      </c>
      <c r="AQ139" s="56">
        <v>0</v>
      </c>
      <c r="AR139" s="57">
        <v>18</v>
      </c>
      <c r="AS139" s="14"/>
      <c r="CC139" s="53" t="s">
        <v>162</v>
      </c>
      <c r="CD139" s="54">
        <v>0</v>
      </c>
      <c r="CE139" s="55">
        <v>1</v>
      </c>
      <c r="CF139" s="55">
        <v>1</v>
      </c>
      <c r="CG139" s="55">
        <v>1</v>
      </c>
      <c r="CH139" s="55">
        <v>1</v>
      </c>
      <c r="CI139" s="55">
        <v>0</v>
      </c>
      <c r="CJ139" s="56">
        <v>0</v>
      </c>
      <c r="CK139" s="57">
        <v>18</v>
      </c>
    </row>
    <row r="140" spans="36:89" ht="16.2" x14ac:dyDescent="0.3">
      <c r="AJ140" s="53" t="s">
        <v>84</v>
      </c>
      <c r="AK140" s="54">
        <v>0</v>
      </c>
      <c r="AL140" s="55">
        <v>1</v>
      </c>
      <c r="AM140" s="55">
        <v>1</v>
      </c>
      <c r="AN140" s="55">
        <v>1</v>
      </c>
      <c r="AO140" s="55">
        <v>1</v>
      </c>
      <c r="AP140" s="55">
        <v>0</v>
      </c>
      <c r="AQ140" s="56">
        <v>0</v>
      </c>
      <c r="AR140" s="57">
        <v>19</v>
      </c>
      <c r="AS140" s="14"/>
      <c r="CC140" s="53" t="s">
        <v>84</v>
      </c>
      <c r="CD140" s="54">
        <v>0</v>
      </c>
      <c r="CE140" s="55">
        <v>1</v>
      </c>
      <c r="CF140" s="55">
        <v>1</v>
      </c>
      <c r="CG140" s="55">
        <v>1</v>
      </c>
      <c r="CH140" s="55">
        <v>1</v>
      </c>
      <c r="CI140" s="55">
        <v>0</v>
      </c>
      <c r="CJ140" s="56">
        <v>0</v>
      </c>
      <c r="CK140" s="57">
        <v>19</v>
      </c>
    </row>
    <row r="141" spans="36:89" ht="16.2" x14ac:dyDescent="0.3">
      <c r="AJ141" s="53" t="s">
        <v>85</v>
      </c>
      <c r="AK141" s="54">
        <v>0</v>
      </c>
      <c r="AL141" s="55">
        <v>1</v>
      </c>
      <c r="AM141" s="55">
        <v>1</v>
      </c>
      <c r="AN141" s="55">
        <v>1</v>
      </c>
      <c r="AO141" s="55">
        <v>1</v>
      </c>
      <c r="AP141" s="55">
        <v>0</v>
      </c>
      <c r="AQ141" s="56">
        <v>0</v>
      </c>
      <c r="AR141" s="57">
        <v>20</v>
      </c>
      <c r="AS141" s="14"/>
      <c r="CC141" s="53" t="s">
        <v>85</v>
      </c>
      <c r="CD141" s="54">
        <v>0</v>
      </c>
      <c r="CE141" s="55">
        <v>1</v>
      </c>
      <c r="CF141" s="55">
        <v>1</v>
      </c>
      <c r="CG141" s="55">
        <v>1</v>
      </c>
      <c r="CH141" s="55">
        <v>1</v>
      </c>
      <c r="CI141" s="55">
        <v>0</v>
      </c>
      <c r="CJ141" s="56">
        <v>0</v>
      </c>
      <c r="CK141" s="57">
        <v>20</v>
      </c>
    </row>
    <row r="142" spans="36:89" ht="16.2" x14ac:dyDescent="0.3">
      <c r="AJ142" s="53" t="s">
        <v>86</v>
      </c>
      <c r="AK142" s="54">
        <v>0</v>
      </c>
      <c r="AL142" s="55">
        <v>1</v>
      </c>
      <c r="AM142" s="55">
        <v>1</v>
      </c>
      <c r="AN142" s="55">
        <v>1</v>
      </c>
      <c r="AO142" s="55">
        <v>1</v>
      </c>
      <c r="AP142" s="55">
        <v>0</v>
      </c>
      <c r="AQ142" s="56">
        <v>0</v>
      </c>
      <c r="AR142" s="57">
        <v>21</v>
      </c>
      <c r="AS142" s="14"/>
      <c r="CC142" s="53" t="s">
        <v>86</v>
      </c>
      <c r="CD142" s="54">
        <v>0</v>
      </c>
      <c r="CE142" s="55">
        <v>1</v>
      </c>
      <c r="CF142" s="55">
        <v>1</v>
      </c>
      <c r="CG142" s="55">
        <v>1</v>
      </c>
      <c r="CH142" s="55">
        <v>1</v>
      </c>
      <c r="CI142" s="55">
        <v>0</v>
      </c>
      <c r="CJ142" s="56">
        <v>0</v>
      </c>
      <c r="CK142" s="57">
        <v>21</v>
      </c>
    </row>
    <row r="143" spans="36:89" ht="16.2" x14ac:dyDescent="0.3">
      <c r="AJ143" s="53" t="s">
        <v>87</v>
      </c>
      <c r="AK143" s="54">
        <v>0</v>
      </c>
      <c r="AL143" s="55">
        <v>1</v>
      </c>
      <c r="AM143" s="55">
        <v>1</v>
      </c>
      <c r="AN143" s="55">
        <v>1</v>
      </c>
      <c r="AO143" s="55">
        <v>1</v>
      </c>
      <c r="AP143" s="55">
        <v>0</v>
      </c>
      <c r="AQ143" s="56">
        <v>0</v>
      </c>
      <c r="AR143" s="57">
        <v>22</v>
      </c>
      <c r="AS143" s="14"/>
      <c r="CC143" s="53" t="s">
        <v>87</v>
      </c>
      <c r="CD143" s="54">
        <v>0</v>
      </c>
      <c r="CE143" s="55">
        <v>1</v>
      </c>
      <c r="CF143" s="55">
        <v>1</v>
      </c>
      <c r="CG143" s="55">
        <v>1</v>
      </c>
      <c r="CH143" s="55">
        <v>1</v>
      </c>
      <c r="CI143" s="55">
        <v>0</v>
      </c>
      <c r="CJ143" s="56">
        <v>0</v>
      </c>
      <c r="CK143" s="57">
        <v>22</v>
      </c>
    </row>
    <row r="144" spans="36:89" ht="16.8" thickBot="1" x14ac:dyDescent="0.35">
      <c r="AJ144" s="59" t="s">
        <v>88</v>
      </c>
      <c r="AK144" s="60">
        <v>0</v>
      </c>
      <c r="AL144" s="61">
        <v>1</v>
      </c>
      <c r="AM144" s="61">
        <v>1</v>
      </c>
      <c r="AN144" s="61">
        <v>1</v>
      </c>
      <c r="AO144" s="61">
        <v>1</v>
      </c>
      <c r="AP144" s="61">
        <v>0</v>
      </c>
      <c r="AQ144" s="62">
        <v>0</v>
      </c>
      <c r="AR144" s="126">
        <v>23</v>
      </c>
      <c r="AS144" s="14"/>
      <c r="CC144" s="59" t="s">
        <v>88</v>
      </c>
      <c r="CD144" s="60">
        <v>0</v>
      </c>
      <c r="CE144" s="61">
        <v>1</v>
      </c>
      <c r="CF144" s="61">
        <v>1</v>
      </c>
      <c r="CG144" s="61">
        <v>1</v>
      </c>
      <c r="CH144" s="61">
        <v>1</v>
      </c>
      <c r="CI144" s="61">
        <v>0</v>
      </c>
      <c r="CJ144" s="62">
        <v>0</v>
      </c>
      <c r="CK144" s="126">
        <v>23</v>
      </c>
    </row>
    <row r="145" spans="36:89" ht="16.2" x14ac:dyDescent="0.3">
      <c r="AJ145" s="79" t="s">
        <v>176</v>
      </c>
      <c r="AK145" s="69">
        <v>0</v>
      </c>
      <c r="AL145" s="130">
        <v>0</v>
      </c>
      <c r="AM145" s="130">
        <v>0</v>
      </c>
      <c r="AN145" s="130">
        <v>0</v>
      </c>
      <c r="AO145" s="130">
        <v>0</v>
      </c>
      <c r="AP145" s="130">
        <v>0</v>
      </c>
      <c r="AQ145" s="71">
        <v>0</v>
      </c>
      <c r="AR145" s="58">
        <v>24</v>
      </c>
      <c r="AS145" s="14"/>
      <c r="CC145" s="79" t="s">
        <v>176</v>
      </c>
      <c r="CD145" s="69">
        <v>0</v>
      </c>
      <c r="CE145" s="130">
        <v>0</v>
      </c>
      <c r="CF145" s="130">
        <v>0</v>
      </c>
      <c r="CG145" s="130">
        <v>0</v>
      </c>
      <c r="CH145" s="130">
        <v>0</v>
      </c>
      <c r="CI145" s="130">
        <v>0</v>
      </c>
      <c r="CJ145" s="71">
        <v>0</v>
      </c>
      <c r="CK145" s="58">
        <v>24</v>
      </c>
    </row>
    <row r="146" spans="36:89" ht="16.8" thickBot="1" x14ac:dyDescent="0.35">
      <c r="AJ146" s="80" t="s">
        <v>187</v>
      </c>
      <c r="AK146" s="72">
        <v>0</v>
      </c>
      <c r="AL146" s="73">
        <v>1</v>
      </c>
      <c r="AM146" s="73">
        <v>1</v>
      </c>
      <c r="AN146" s="73">
        <v>1</v>
      </c>
      <c r="AO146" s="73">
        <v>1</v>
      </c>
      <c r="AP146" s="73">
        <v>0</v>
      </c>
      <c r="AQ146" s="74">
        <v>0</v>
      </c>
      <c r="AR146" s="63">
        <v>25</v>
      </c>
      <c r="AS146" s="14"/>
      <c r="CC146" s="80" t="s">
        <v>187</v>
      </c>
      <c r="CD146" s="72">
        <v>0</v>
      </c>
      <c r="CE146" s="73">
        <v>1</v>
      </c>
      <c r="CF146" s="73">
        <v>1</v>
      </c>
      <c r="CG146" s="73">
        <v>1</v>
      </c>
      <c r="CH146" s="73">
        <v>1</v>
      </c>
      <c r="CI146" s="73">
        <v>0</v>
      </c>
      <c r="CJ146" s="74">
        <v>0</v>
      </c>
      <c r="CK146" s="63">
        <v>25</v>
      </c>
    </row>
    <row r="147" spans="36:89" x14ac:dyDescent="0.3">
      <c r="AN147" s="14"/>
      <c r="AO147" s="14"/>
      <c r="AP147" s="14"/>
      <c r="AQ147" s="14"/>
      <c r="AR147" s="14"/>
      <c r="AS147" s="14"/>
      <c r="CG147" s="14"/>
      <c r="CH147" s="14"/>
      <c r="CI147" s="14"/>
      <c r="CJ147" s="14"/>
      <c r="CK147" s="14"/>
    </row>
    <row r="148" spans="36:89" x14ac:dyDescent="0.3">
      <c r="AN148" s="14"/>
      <c r="AO148" s="14"/>
      <c r="AP148" s="14"/>
      <c r="AQ148" s="14"/>
      <c r="AR148" s="14"/>
      <c r="AS148" s="14"/>
      <c r="CG148" s="14"/>
      <c r="CH148" s="14"/>
      <c r="CI148" s="14"/>
      <c r="CJ148" s="14"/>
      <c r="CK148" s="14"/>
    </row>
    <row r="149" spans="36:89" x14ac:dyDescent="0.3">
      <c r="AN149" s="14"/>
      <c r="AO149" s="14"/>
      <c r="AP149" s="14"/>
      <c r="AQ149" s="14"/>
      <c r="AR149" s="14"/>
      <c r="AS149" s="14"/>
      <c r="CG149" s="14"/>
      <c r="CH149" s="14"/>
      <c r="CI149" s="14"/>
      <c r="CJ149" s="14"/>
      <c r="CK149" s="14"/>
    </row>
    <row r="150" spans="36:89" x14ac:dyDescent="0.3">
      <c r="AN150" s="14"/>
      <c r="AO150" s="14"/>
      <c r="AP150" s="14"/>
      <c r="AQ150" s="14"/>
      <c r="AR150" s="14"/>
      <c r="AS150" s="14"/>
      <c r="CG150" s="14"/>
      <c r="CH150" s="14"/>
      <c r="CI150" s="14"/>
      <c r="CJ150" s="14"/>
      <c r="CK150" s="14"/>
    </row>
    <row r="151" spans="36:89" x14ac:dyDescent="0.3">
      <c r="AN151" s="14"/>
      <c r="AO151" s="14"/>
      <c r="AP151" s="14"/>
      <c r="AQ151" s="14"/>
      <c r="AR151" s="14"/>
      <c r="AS151" s="14"/>
      <c r="CG151" s="14"/>
      <c r="CH151" s="14"/>
      <c r="CI151" s="14"/>
      <c r="CJ151" s="14"/>
      <c r="CK151" s="14"/>
    </row>
    <row r="152" spans="36:89" x14ac:dyDescent="0.3">
      <c r="AN152" s="14"/>
      <c r="AO152" s="14"/>
      <c r="AP152" s="14"/>
      <c r="AQ152" s="14"/>
      <c r="AR152" s="14"/>
      <c r="AS152" s="14"/>
      <c r="CG152" s="14"/>
      <c r="CH152" s="14"/>
      <c r="CI152" s="14"/>
      <c r="CJ152" s="14"/>
      <c r="CK152" s="14"/>
    </row>
    <row r="153" spans="36:89" x14ac:dyDescent="0.3">
      <c r="AN153" s="14"/>
      <c r="AO153" s="14"/>
      <c r="AP153" s="14"/>
      <c r="AQ153" s="14"/>
      <c r="AR153" s="14"/>
      <c r="AS153" s="14"/>
      <c r="CG153" s="14"/>
      <c r="CH153" s="14"/>
      <c r="CI153" s="14"/>
      <c r="CJ153" s="14"/>
      <c r="CK153" s="14"/>
    </row>
    <row r="154" spans="36:89" x14ac:dyDescent="0.3">
      <c r="AN154" s="14"/>
      <c r="AO154" s="14"/>
      <c r="AP154" s="14"/>
      <c r="AQ154" s="14"/>
      <c r="AR154" s="14"/>
      <c r="AS154" s="14"/>
      <c r="CG154" s="14"/>
      <c r="CH154" s="14"/>
      <c r="CI154" s="14"/>
      <c r="CJ154" s="14"/>
      <c r="CK154" s="14"/>
    </row>
    <row r="155" spans="36:89" x14ac:dyDescent="0.3">
      <c r="AN155" s="14"/>
      <c r="AO155" s="14"/>
      <c r="AP155" s="14"/>
      <c r="AQ155" s="14"/>
      <c r="AR155" s="14"/>
      <c r="AS155" s="14"/>
      <c r="CG155" s="14"/>
      <c r="CH155" s="14"/>
      <c r="CI155" s="14"/>
      <c r="CJ155" s="14"/>
      <c r="CK155" s="14"/>
    </row>
    <row r="156" spans="36:89" x14ac:dyDescent="0.3">
      <c r="AN156" s="14"/>
      <c r="AO156" s="14"/>
      <c r="AP156" s="14"/>
      <c r="AQ156" s="14"/>
      <c r="AR156" s="14"/>
      <c r="AS156" s="14"/>
      <c r="CG156" s="14"/>
      <c r="CH156" s="14"/>
      <c r="CI156" s="14"/>
      <c r="CJ156" s="14"/>
      <c r="CK156" s="14"/>
    </row>
    <row r="157" spans="36:89" x14ac:dyDescent="0.3">
      <c r="AN157" s="14"/>
      <c r="AO157" s="14"/>
      <c r="AP157" s="14"/>
      <c r="AQ157" s="14"/>
      <c r="AR157" s="14"/>
      <c r="AS157" s="14"/>
      <c r="CG157" s="14"/>
      <c r="CH157" s="14"/>
      <c r="CI157" s="14"/>
      <c r="CJ157" s="14"/>
      <c r="CK157" s="14"/>
    </row>
    <row r="158" spans="36:89" x14ac:dyDescent="0.3">
      <c r="AN158" s="14"/>
      <c r="AO158" s="14"/>
      <c r="AP158" s="14"/>
      <c r="AQ158" s="14"/>
      <c r="AR158" s="14"/>
      <c r="AS158" s="14"/>
      <c r="CG158" s="14"/>
      <c r="CH158" s="14"/>
      <c r="CI158" s="14"/>
      <c r="CJ158" s="14"/>
      <c r="CK158" s="14"/>
    </row>
    <row r="159" spans="36:89" x14ac:dyDescent="0.3">
      <c r="AN159" s="14"/>
      <c r="AO159" s="14"/>
      <c r="AP159" s="14"/>
      <c r="AQ159" s="14"/>
      <c r="AR159" s="14"/>
      <c r="AS159" s="14"/>
      <c r="CG159" s="14"/>
      <c r="CH159" s="14"/>
      <c r="CI159" s="14"/>
      <c r="CJ159" s="14"/>
      <c r="CK159" s="14"/>
    </row>
    <row r="160" spans="36:89" x14ac:dyDescent="0.3">
      <c r="AN160" s="14"/>
      <c r="AO160" s="14"/>
      <c r="AP160" s="14"/>
      <c r="AQ160" s="14"/>
      <c r="AR160" s="14"/>
      <c r="AS160" s="14"/>
      <c r="CG160" s="14"/>
      <c r="CH160" s="14"/>
      <c r="CI160" s="14"/>
      <c r="CJ160" s="14"/>
      <c r="CK160" s="14"/>
    </row>
    <row r="161" spans="40:89" x14ac:dyDescent="0.3">
      <c r="AN161" s="14"/>
      <c r="AO161" s="14"/>
      <c r="AP161" s="14"/>
      <c r="AQ161" s="14"/>
      <c r="AR161" s="14"/>
      <c r="AS161" s="14"/>
      <c r="CG161" s="14"/>
      <c r="CH161" s="14"/>
      <c r="CI161" s="14"/>
      <c r="CJ161" s="14"/>
      <c r="CK161" s="14"/>
    </row>
    <row r="162" spans="40:89" x14ac:dyDescent="0.3">
      <c r="AN162" s="14"/>
      <c r="AO162" s="14"/>
      <c r="AP162" s="14"/>
      <c r="AQ162" s="14"/>
      <c r="AR162" s="14"/>
      <c r="AS162" s="14"/>
      <c r="CG162" s="14"/>
      <c r="CH162" s="14"/>
      <c r="CI162" s="14"/>
      <c r="CJ162" s="14"/>
      <c r="CK162" s="14"/>
    </row>
    <row r="163" spans="40:89" x14ac:dyDescent="0.3">
      <c r="AN163" s="14"/>
      <c r="AO163" s="14"/>
      <c r="AP163" s="14"/>
      <c r="AQ163" s="14"/>
      <c r="AR163" s="14"/>
      <c r="AS163" s="14"/>
      <c r="CG163" s="14"/>
      <c r="CH163" s="14"/>
      <c r="CI163" s="14"/>
      <c r="CJ163" s="14"/>
      <c r="CK163" s="14"/>
    </row>
    <row r="164" spans="40:89" x14ac:dyDescent="0.3">
      <c r="AN164" s="14"/>
      <c r="AO164" s="14"/>
      <c r="AP164" s="14"/>
      <c r="AQ164" s="14"/>
      <c r="AR164" s="14"/>
      <c r="AS164" s="14"/>
      <c r="CG164" s="14"/>
      <c r="CH164" s="14"/>
      <c r="CI164" s="14"/>
      <c r="CJ164" s="14"/>
      <c r="CK164" s="14"/>
    </row>
    <row r="165" spans="40:89" x14ac:dyDescent="0.3">
      <c r="AN165" s="14"/>
      <c r="AO165" s="14"/>
      <c r="AP165" s="14"/>
      <c r="AQ165" s="14"/>
      <c r="AR165" s="14"/>
      <c r="AS165" s="14"/>
      <c r="CG165" s="14"/>
      <c r="CH165" s="14"/>
      <c r="CI165" s="14"/>
      <c r="CJ165" s="14"/>
      <c r="CK165" s="14"/>
    </row>
    <row r="166" spans="40:89" x14ac:dyDescent="0.3">
      <c r="AN166" s="14"/>
      <c r="AO166" s="14"/>
      <c r="AP166" s="14"/>
      <c r="AQ166" s="14"/>
      <c r="AR166" s="14"/>
      <c r="AS166" s="14"/>
      <c r="CG166" s="14"/>
      <c r="CH166" s="14"/>
      <c r="CI166" s="14"/>
      <c r="CJ166" s="14"/>
      <c r="CK166" s="14"/>
    </row>
    <row r="167" spans="40:89" x14ac:dyDescent="0.3">
      <c r="AN167" s="14"/>
      <c r="AO167" s="14"/>
      <c r="AP167" s="14"/>
      <c r="AQ167" s="14"/>
      <c r="AR167" s="14"/>
      <c r="AS167" s="14"/>
      <c r="CG167" s="14"/>
      <c r="CH167" s="14"/>
      <c r="CI167" s="14"/>
      <c r="CJ167" s="14"/>
      <c r="CK167" s="14"/>
    </row>
    <row r="168" spans="40:89" x14ac:dyDescent="0.3">
      <c r="AN168" s="14"/>
      <c r="AO168" s="14"/>
      <c r="AP168" s="14"/>
      <c r="AQ168" s="14"/>
      <c r="AR168" s="14"/>
      <c r="AS168" s="14"/>
      <c r="CG168" s="14"/>
      <c r="CH168" s="14"/>
      <c r="CI168" s="14"/>
      <c r="CJ168" s="14"/>
      <c r="CK168" s="14"/>
    </row>
    <row r="169" spans="40:89" x14ac:dyDescent="0.3">
      <c r="AN169" s="14"/>
      <c r="AO169" s="14"/>
      <c r="AP169" s="14"/>
      <c r="AQ169" s="14"/>
      <c r="AR169" s="14"/>
      <c r="AS169" s="14"/>
      <c r="CG169" s="14"/>
      <c r="CH169" s="14"/>
      <c r="CI169" s="14"/>
      <c r="CJ169" s="14"/>
      <c r="CK169" s="14"/>
    </row>
    <row r="170" spans="40:89" x14ac:dyDescent="0.3">
      <c r="AN170" s="14"/>
      <c r="AO170" s="14"/>
      <c r="AP170" s="14"/>
      <c r="AQ170" s="14"/>
      <c r="AR170" s="14"/>
      <c r="AS170" s="14"/>
      <c r="CG170" s="14"/>
      <c r="CH170" s="14"/>
      <c r="CI170" s="14"/>
      <c r="CJ170" s="14"/>
      <c r="CK170" s="14"/>
    </row>
    <row r="171" spans="40:89" x14ac:dyDescent="0.3">
      <c r="AN171" s="14"/>
      <c r="AO171" s="14"/>
      <c r="AP171" s="14"/>
      <c r="AQ171" s="14"/>
      <c r="AR171" s="14"/>
      <c r="AS171" s="14"/>
      <c r="CG171" s="14"/>
      <c r="CH171" s="14"/>
      <c r="CI171" s="14"/>
      <c r="CJ171" s="14"/>
      <c r="CK171" s="14"/>
    </row>
    <row r="172" spans="40:89" x14ac:dyDescent="0.3">
      <c r="AN172" s="14"/>
      <c r="AO172" s="14"/>
      <c r="AP172" s="14"/>
      <c r="AQ172" s="14"/>
      <c r="AR172" s="14"/>
      <c r="AS172" s="14"/>
      <c r="CG172" s="14"/>
      <c r="CH172" s="14"/>
      <c r="CI172" s="14"/>
      <c r="CJ172" s="14"/>
      <c r="CK172" s="14"/>
    </row>
    <row r="173" spans="40:89" x14ac:dyDescent="0.3">
      <c r="AN173" s="14"/>
      <c r="AO173" s="14"/>
      <c r="AP173" s="14"/>
      <c r="AQ173" s="14"/>
      <c r="AR173" s="14"/>
      <c r="AS173" s="14"/>
      <c r="CG173" s="14"/>
      <c r="CH173" s="14"/>
      <c r="CI173" s="14"/>
      <c r="CJ173" s="14"/>
      <c r="CK173" s="14"/>
    </row>
    <row r="174" spans="40:89" x14ac:dyDescent="0.3">
      <c r="AN174" s="14"/>
      <c r="AO174" s="14"/>
      <c r="AP174" s="14"/>
      <c r="AQ174" s="14"/>
      <c r="AR174" s="14"/>
      <c r="AS174" s="14"/>
      <c r="CG174" s="14"/>
      <c r="CH174" s="14"/>
      <c r="CI174" s="14"/>
      <c r="CJ174" s="14"/>
      <c r="CK174" s="14"/>
    </row>
    <row r="175" spans="40:89" x14ac:dyDescent="0.3">
      <c r="AN175" s="14"/>
      <c r="AO175" s="14"/>
      <c r="AP175" s="14"/>
      <c r="AQ175" s="14"/>
      <c r="AR175" s="14"/>
      <c r="AS175" s="14"/>
      <c r="CG175" s="14"/>
      <c r="CH175" s="14"/>
      <c r="CI175" s="14"/>
      <c r="CJ175" s="14"/>
      <c r="CK175" s="14"/>
    </row>
    <row r="176" spans="40:89" x14ac:dyDescent="0.3">
      <c r="AN176" s="14"/>
      <c r="AO176" s="14"/>
      <c r="AP176" s="14"/>
      <c r="AQ176" s="14"/>
      <c r="AR176" s="14"/>
      <c r="AS176" s="14"/>
      <c r="CG176" s="14"/>
      <c r="CH176" s="14"/>
      <c r="CI176" s="14"/>
      <c r="CJ176" s="14"/>
      <c r="CK176" s="14"/>
    </row>
    <row r="177" spans="40:89" x14ac:dyDescent="0.3">
      <c r="AN177" s="14"/>
      <c r="AO177" s="14"/>
      <c r="AP177" s="14"/>
      <c r="AQ177" s="14"/>
      <c r="AR177" s="14"/>
      <c r="AS177" s="14"/>
      <c r="CG177" s="14"/>
      <c r="CH177" s="14"/>
      <c r="CI177" s="14"/>
      <c r="CJ177" s="14"/>
      <c r="CK177" s="14"/>
    </row>
    <row r="178" spans="40:89" x14ac:dyDescent="0.3">
      <c r="AN178" s="14"/>
      <c r="AO178" s="14"/>
      <c r="AP178" s="14"/>
      <c r="AQ178" s="14"/>
      <c r="AR178" s="14"/>
      <c r="AS178" s="14"/>
      <c r="CG178" s="14"/>
      <c r="CH178" s="14"/>
      <c r="CI178" s="14"/>
      <c r="CJ178" s="14"/>
      <c r="CK178" s="14"/>
    </row>
    <row r="179" spans="40:89" x14ac:dyDescent="0.3">
      <c r="AN179" s="14"/>
      <c r="AO179" s="14"/>
      <c r="AP179" s="14"/>
      <c r="AQ179" s="14"/>
      <c r="AR179" s="14"/>
      <c r="AS179" s="14"/>
      <c r="CG179" s="14"/>
      <c r="CH179" s="14"/>
      <c r="CI179" s="14"/>
      <c r="CJ179" s="14"/>
      <c r="CK179" s="14"/>
    </row>
    <row r="180" spans="40:89" x14ac:dyDescent="0.3">
      <c r="AN180" s="14"/>
      <c r="AO180" s="14"/>
      <c r="AP180" s="14"/>
      <c r="AQ180" s="14"/>
      <c r="AR180" s="14"/>
      <c r="AS180" s="14"/>
      <c r="CG180" s="14"/>
      <c r="CH180" s="14"/>
      <c r="CI180" s="14"/>
      <c r="CJ180" s="14"/>
      <c r="CK180" s="14"/>
    </row>
    <row r="181" spans="40:89" x14ac:dyDescent="0.3">
      <c r="AN181" s="14"/>
      <c r="AO181" s="14"/>
      <c r="AP181" s="14"/>
      <c r="AQ181" s="14"/>
      <c r="AR181" s="14"/>
      <c r="AS181" s="14"/>
      <c r="CG181" s="14"/>
      <c r="CH181" s="14"/>
      <c r="CI181" s="14"/>
      <c r="CJ181" s="14"/>
      <c r="CK181" s="14"/>
    </row>
    <row r="182" spans="40:89" x14ac:dyDescent="0.3">
      <c r="AN182" s="14"/>
      <c r="AO182" s="14"/>
      <c r="AP182" s="14"/>
      <c r="AQ182" s="14"/>
      <c r="AR182" s="14"/>
      <c r="AS182" s="14"/>
      <c r="CG182" s="14"/>
      <c r="CH182" s="14"/>
      <c r="CI182" s="14"/>
      <c r="CJ182" s="14"/>
      <c r="CK182" s="14"/>
    </row>
    <row r="183" spans="40:89" x14ac:dyDescent="0.3">
      <c r="AN183" s="14"/>
      <c r="AO183" s="14"/>
      <c r="AP183" s="14"/>
      <c r="AQ183" s="14"/>
      <c r="AR183" s="14"/>
      <c r="AS183" s="14"/>
      <c r="CG183" s="14"/>
      <c r="CH183" s="14"/>
      <c r="CI183" s="14"/>
      <c r="CJ183" s="14"/>
      <c r="CK183" s="14"/>
    </row>
    <row r="184" spans="40:89" x14ac:dyDescent="0.3">
      <c r="AN184" s="14"/>
      <c r="AO184" s="14"/>
      <c r="AP184" s="14"/>
      <c r="AQ184" s="14"/>
      <c r="AR184" s="14"/>
      <c r="AS184" s="14"/>
      <c r="CG184" s="14"/>
      <c r="CH184" s="14"/>
      <c r="CI184" s="14"/>
      <c r="CJ184" s="14"/>
      <c r="CK184" s="14"/>
    </row>
    <row r="185" spans="40:89" x14ac:dyDescent="0.3">
      <c r="AN185" s="14"/>
      <c r="AO185" s="14"/>
      <c r="AP185" s="14"/>
      <c r="AQ185" s="14"/>
      <c r="AR185" s="14"/>
      <c r="AS185" s="14"/>
      <c r="CG185" s="14"/>
      <c r="CH185" s="14"/>
      <c r="CI185" s="14"/>
      <c r="CJ185" s="14"/>
      <c r="CK185" s="14"/>
    </row>
    <row r="186" spans="40:89" x14ac:dyDescent="0.3">
      <c r="AN186" s="14"/>
      <c r="AO186" s="14"/>
      <c r="AP186" s="14"/>
      <c r="AQ186" s="14"/>
      <c r="AR186" s="14"/>
      <c r="AS186" s="14"/>
      <c r="CG186" s="14"/>
      <c r="CH186" s="14"/>
      <c r="CI186" s="14"/>
      <c r="CJ186" s="14"/>
      <c r="CK186" s="14"/>
    </row>
    <row r="187" spans="40:89" x14ac:dyDescent="0.3">
      <c r="AN187" s="14"/>
      <c r="AO187" s="14"/>
      <c r="AP187" s="14"/>
      <c r="AQ187" s="14"/>
      <c r="AR187" s="14"/>
      <c r="AS187" s="14"/>
      <c r="CG187" s="14"/>
      <c r="CH187" s="14"/>
      <c r="CI187" s="14"/>
      <c r="CJ187" s="14"/>
      <c r="CK187" s="14"/>
    </row>
    <row r="188" spans="40:89" x14ac:dyDescent="0.3">
      <c r="AN188" s="14"/>
      <c r="AO188" s="14"/>
      <c r="AP188" s="14"/>
      <c r="AQ188" s="14"/>
      <c r="AR188" s="14"/>
      <c r="AS188" s="14"/>
      <c r="CG188" s="14"/>
      <c r="CH188" s="14"/>
      <c r="CI188" s="14"/>
      <c r="CJ188" s="14"/>
      <c r="CK188" s="14"/>
    </row>
    <row r="189" spans="40:89" x14ac:dyDescent="0.3">
      <c r="AN189" s="14"/>
      <c r="AO189" s="14"/>
      <c r="AP189" s="14"/>
      <c r="AQ189" s="14"/>
      <c r="AR189" s="14"/>
      <c r="AS189" s="14"/>
      <c r="CG189" s="14"/>
      <c r="CH189" s="14"/>
      <c r="CI189" s="14"/>
      <c r="CJ189" s="14"/>
      <c r="CK189" s="14"/>
    </row>
    <row r="190" spans="40:89" x14ac:dyDescent="0.3">
      <c r="AN190" s="14"/>
      <c r="AO190" s="14"/>
      <c r="AP190" s="14"/>
      <c r="AQ190" s="14"/>
      <c r="AR190" s="14"/>
      <c r="AS190" s="14"/>
      <c r="CG190" s="14"/>
      <c r="CH190" s="14"/>
      <c r="CI190" s="14"/>
      <c r="CJ190" s="14"/>
      <c r="CK190" s="14"/>
    </row>
    <row r="191" spans="40:89" x14ac:dyDescent="0.3">
      <c r="AN191" s="14"/>
      <c r="AO191" s="14"/>
      <c r="AP191" s="14"/>
      <c r="AQ191" s="14"/>
      <c r="AR191" s="14"/>
      <c r="AS191" s="14"/>
      <c r="CG191" s="14"/>
      <c r="CH191" s="14"/>
      <c r="CI191" s="14"/>
      <c r="CJ191" s="14"/>
      <c r="CK191" s="14"/>
    </row>
    <row r="192" spans="40:89" x14ac:dyDescent="0.3">
      <c r="AN192" s="14"/>
      <c r="AO192" s="14"/>
      <c r="AP192" s="14"/>
      <c r="AQ192" s="14"/>
      <c r="AR192" s="14"/>
      <c r="AS192" s="14"/>
      <c r="CG192" s="14"/>
      <c r="CH192" s="14"/>
      <c r="CI192" s="14"/>
      <c r="CJ192" s="14"/>
      <c r="CK192" s="14"/>
    </row>
    <row r="193" spans="40:89" x14ac:dyDescent="0.3">
      <c r="AN193" s="14"/>
      <c r="AO193" s="14"/>
      <c r="AP193" s="14"/>
      <c r="AQ193" s="14"/>
      <c r="AR193" s="14"/>
      <c r="AS193" s="14"/>
      <c r="CG193" s="14"/>
      <c r="CH193" s="14"/>
      <c r="CI193" s="14"/>
      <c r="CJ193" s="14"/>
      <c r="CK193" s="14"/>
    </row>
    <row r="194" spans="40:89" x14ac:dyDescent="0.3">
      <c r="AN194" s="14"/>
      <c r="AO194" s="14"/>
      <c r="AP194" s="14"/>
      <c r="AQ194" s="14"/>
      <c r="AR194" s="14"/>
      <c r="AS194" s="14"/>
      <c r="CG194" s="14"/>
      <c r="CH194" s="14"/>
      <c r="CI194" s="14"/>
      <c r="CJ194" s="14"/>
      <c r="CK194" s="14"/>
    </row>
    <row r="195" spans="40:89" x14ac:dyDescent="0.3">
      <c r="AN195" s="14"/>
      <c r="AO195" s="14"/>
      <c r="AP195" s="14"/>
      <c r="AQ195" s="14"/>
      <c r="AR195" s="14"/>
      <c r="AS195" s="14"/>
      <c r="CG195" s="14"/>
      <c r="CH195" s="14"/>
      <c r="CI195" s="14"/>
      <c r="CJ195" s="14"/>
      <c r="CK195" s="14"/>
    </row>
    <row r="196" spans="40:89" x14ac:dyDescent="0.3">
      <c r="AN196" s="14"/>
      <c r="AO196" s="14"/>
      <c r="AP196" s="14"/>
      <c r="AQ196" s="14"/>
      <c r="AR196" s="14"/>
      <c r="AS196" s="14"/>
      <c r="CG196" s="14"/>
      <c r="CH196" s="14"/>
      <c r="CI196" s="14"/>
      <c r="CJ196" s="14"/>
      <c r="CK196" s="14"/>
    </row>
    <row r="197" spans="40:89" x14ac:dyDescent="0.3">
      <c r="AN197" s="14"/>
      <c r="AO197" s="14"/>
      <c r="AP197" s="14"/>
      <c r="AQ197" s="14"/>
      <c r="AR197" s="14"/>
      <c r="AS197" s="14"/>
      <c r="CG197" s="14"/>
      <c r="CH197" s="14"/>
      <c r="CI197" s="14"/>
      <c r="CJ197" s="14"/>
      <c r="CK197" s="14"/>
    </row>
    <row r="198" spans="40:89" x14ac:dyDescent="0.3">
      <c r="AN198" s="14"/>
      <c r="AO198" s="14"/>
      <c r="AP198" s="14"/>
      <c r="AQ198" s="14"/>
      <c r="AR198" s="14"/>
      <c r="AS198" s="14"/>
      <c r="CG198" s="14"/>
      <c r="CH198" s="14"/>
      <c r="CI198" s="14"/>
      <c r="CJ198" s="14"/>
      <c r="CK198" s="14"/>
    </row>
    <row r="199" spans="40:89" x14ac:dyDescent="0.3">
      <c r="AN199" s="14"/>
      <c r="AO199" s="14"/>
      <c r="AP199" s="14"/>
      <c r="AQ199" s="14"/>
      <c r="AR199" s="14"/>
      <c r="AS199" s="14"/>
      <c r="CG199" s="14"/>
      <c r="CH199" s="14"/>
      <c r="CI199" s="14"/>
      <c r="CJ199" s="14"/>
      <c r="CK199" s="14"/>
    </row>
    <row r="200" spans="40:89" x14ac:dyDescent="0.3">
      <c r="AN200" s="14"/>
      <c r="AO200" s="14"/>
      <c r="AP200" s="14"/>
      <c r="AQ200" s="14"/>
      <c r="AR200" s="14"/>
      <c r="AS200" s="14"/>
      <c r="CG200" s="14"/>
      <c r="CH200" s="14"/>
      <c r="CI200" s="14"/>
      <c r="CJ200" s="14"/>
      <c r="CK200" s="14"/>
    </row>
    <row r="201" spans="40:89" x14ac:dyDescent="0.3">
      <c r="AN201" s="14"/>
      <c r="AO201" s="14"/>
      <c r="AP201" s="14"/>
      <c r="AQ201" s="14"/>
      <c r="AR201" s="14"/>
      <c r="AS201" s="14"/>
      <c r="CG201" s="14"/>
      <c r="CH201" s="14"/>
      <c r="CI201" s="14"/>
      <c r="CJ201" s="14"/>
      <c r="CK201" s="14"/>
    </row>
    <row r="202" spans="40:89" x14ac:dyDescent="0.3">
      <c r="AN202" s="14"/>
      <c r="AO202" s="14"/>
      <c r="AP202" s="14"/>
      <c r="AQ202" s="14"/>
      <c r="AR202" s="14"/>
      <c r="AS202" s="14"/>
      <c r="CG202" s="14"/>
      <c r="CH202" s="14"/>
      <c r="CI202" s="14"/>
      <c r="CJ202" s="14"/>
      <c r="CK202" s="14"/>
    </row>
    <row r="203" spans="40:89" x14ac:dyDescent="0.3">
      <c r="AN203" s="14"/>
      <c r="AO203" s="14"/>
      <c r="AP203" s="14"/>
      <c r="AQ203" s="14"/>
      <c r="AR203" s="14"/>
      <c r="AS203" s="14"/>
      <c r="CG203" s="14"/>
      <c r="CH203" s="14"/>
      <c r="CI203" s="14"/>
      <c r="CJ203" s="14"/>
      <c r="CK203" s="14"/>
    </row>
    <row r="204" spans="40:89" x14ac:dyDescent="0.3">
      <c r="AN204" s="14"/>
      <c r="AO204" s="14"/>
      <c r="AP204" s="14"/>
      <c r="AQ204" s="14"/>
      <c r="AR204" s="14"/>
      <c r="AS204" s="14"/>
      <c r="CG204" s="14"/>
      <c r="CH204" s="14"/>
      <c r="CI204" s="14"/>
      <c r="CJ204" s="14"/>
      <c r="CK204" s="14"/>
    </row>
    <row r="205" spans="40:89" x14ac:dyDescent="0.3">
      <c r="AN205" s="14"/>
      <c r="AO205" s="14"/>
      <c r="AP205" s="14"/>
      <c r="AQ205" s="14"/>
      <c r="AR205" s="14"/>
      <c r="AS205" s="14"/>
      <c r="CG205" s="14"/>
      <c r="CH205" s="14"/>
      <c r="CI205" s="14"/>
      <c r="CJ205" s="14"/>
      <c r="CK205" s="14"/>
    </row>
    <row r="206" spans="40:89" x14ac:dyDescent="0.3">
      <c r="AN206" s="14"/>
      <c r="AO206" s="14"/>
      <c r="AP206" s="14"/>
      <c r="AQ206" s="14"/>
      <c r="AR206" s="14"/>
      <c r="AS206" s="14"/>
      <c r="CG206" s="14"/>
      <c r="CH206" s="14"/>
      <c r="CI206" s="14"/>
      <c r="CJ206" s="14"/>
      <c r="CK206" s="14"/>
    </row>
    <row r="207" spans="40:89" x14ac:dyDescent="0.3">
      <c r="AN207" s="14"/>
      <c r="AO207" s="14"/>
      <c r="AP207" s="14"/>
      <c r="AQ207" s="14"/>
      <c r="AR207" s="14"/>
      <c r="AS207" s="14"/>
      <c r="CG207" s="14"/>
      <c r="CH207" s="14"/>
      <c r="CI207" s="14"/>
      <c r="CJ207" s="14"/>
      <c r="CK207" s="14"/>
    </row>
    <row r="208" spans="40:89" x14ac:dyDescent="0.3">
      <c r="AN208" s="14"/>
      <c r="AO208" s="14"/>
      <c r="AP208" s="14"/>
      <c r="AQ208" s="14"/>
      <c r="AR208" s="14"/>
      <c r="AS208" s="14"/>
      <c r="CG208" s="14"/>
      <c r="CH208" s="14"/>
      <c r="CI208" s="14"/>
      <c r="CJ208" s="14"/>
      <c r="CK208" s="14"/>
    </row>
    <row r="209" spans="40:89" x14ac:dyDescent="0.3">
      <c r="AN209" s="14"/>
      <c r="AO209" s="14"/>
      <c r="AP209" s="14"/>
      <c r="AQ209" s="14"/>
      <c r="AR209" s="14"/>
      <c r="AS209" s="14"/>
      <c r="CG209" s="14"/>
      <c r="CH209" s="14"/>
      <c r="CI209" s="14"/>
      <c r="CJ209" s="14"/>
      <c r="CK209" s="14"/>
    </row>
    <row r="210" spans="40:89" x14ac:dyDescent="0.3">
      <c r="AN210" s="14"/>
      <c r="AO210" s="14"/>
      <c r="AP210" s="14"/>
      <c r="AQ210" s="14"/>
      <c r="AR210" s="14"/>
      <c r="AS210" s="14"/>
      <c r="CG210" s="14"/>
      <c r="CH210" s="14"/>
      <c r="CI210" s="14"/>
      <c r="CJ210" s="14"/>
      <c r="CK210" s="14"/>
    </row>
    <row r="211" spans="40:89" x14ac:dyDescent="0.3">
      <c r="AN211" s="14"/>
      <c r="AO211" s="14"/>
      <c r="AP211" s="14"/>
      <c r="AQ211" s="14"/>
      <c r="AR211" s="14"/>
      <c r="AS211" s="14"/>
      <c r="CG211" s="14"/>
      <c r="CH211" s="14"/>
      <c r="CI211" s="14"/>
      <c r="CJ211" s="14"/>
      <c r="CK211" s="14"/>
    </row>
    <row r="212" spans="40:89" x14ac:dyDescent="0.3">
      <c r="AN212" s="14"/>
      <c r="AO212" s="14"/>
      <c r="AP212" s="14"/>
      <c r="AQ212" s="14"/>
      <c r="AR212" s="14"/>
      <c r="AS212" s="14"/>
      <c r="CG212" s="14"/>
      <c r="CH212" s="14"/>
      <c r="CI212" s="14"/>
      <c r="CJ212" s="14"/>
      <c r="CK212" s="14"/>
    </row>
    <row r="213" spans="40:89" x14ac:dyDescent="0.3">
      <c r="AN213" s="14"/>
      <c r="AO213" s="14"/>
      <c r="AP213" s="14"/>
      <c r="AQ213" s="14"/>
      <c r="AR213" s="14"/>
      <c r="AS213" s="14"/>
      <c r="CG213" s="14"/>
      <c r="CH213" s="14"/>
      <c r="CI213" s="14"/>
      <c r="CJ213" s="14"/>
      <c r="CK213" s="14"/>
    </row>
    <row r="214" spans="40:89" x14ac:dyDescent="0.3">
      <c r="AN214" s="14"/>
      <c r="AO214" s="14"/>
      <c r="AP214" s="14"/>
      <c r="AQ214" s="14"/>
      <c r="AR214" s="14"/>
      <c r="AS214" s="14"/>
      <c r="CG214" s="14"/>
      <c r="CH214" s="14"/>
      <c r="CI214" s="14"/>
      <c r="CJ214" s="14"/>
      <c r="CK214" s="14"/>
    </row>
    <row r="215" spans="40:89" x14ac:dyDescent="0.3">
      <c r="AN215" s="14"/>
      <c r="AO215" s="14"/>
      <c r="AP215" s="14"/>
      <c r="AQ215" s="14"/>
      <c r="AR215" s="14"/>
      <c r="AS215" s="14"/>
      <c r="CG215" s="14"/>
      <c r="CH215" s="14"/>
      <c r="CI215" s="14"/>
      <c r="CJ215" s="14"/>
      <c r="CK215" s="14"/>
    </row>
    <row r="216" spans="40:89" x14ac:dyDescent="0.3">
      <c r="AN216" s="14"/>
      <c r="AO216" s="14"/>
      <c r="AP216" s="14"/>
      <c r="AQ216" s="14"/>
      <c r="AR216" s="14"/>
      <c r="AS216" s="14"/>
      <c r="CG216" s="14"/>
      <c r="CH216" s="14"/>
      <c r="CI216" s="14"/>
      <c r="CJ216" s="14"/>
      <c r="CK216" s="14"/>
    </row>
    <row r="217" spans="40:89" x14ac:dyDescent="0.3">
      <c r="AN217" s="14"/>
      <c r="AO217" s="14"/>
      <c r="AP217" s="14"/>
      <c r="AQ217" s="14"/>
      <c r="AR217" s="14"/>
      <c r="AS217" s="14"/>
      <c r="CG217" s="14"/>
      <c r="CH217" s="14"/>
      <c r="CI217" s="14"/>
      <c r="CJ217" s="14"/>
      <c r="CK217" s="14"/>
    </row>
    <row r="218" spans="40:89" x14ac:dyDescent="0.3">
      <c r="AN218" s="14"/>
      <c r="AO218" s="14"/>
      <c r="AP218" s="14"/>
      <c r="AQ218" s="14"/>
      <c r="AR218" s="14"/>
      <c r="AS218" s="14"/>
      <c r="CG218" s="14"/>
      <c r="CH218" s="14"/>
      <c r="CI218" s="14"/>
      <c r="CJ218" s="14"/>
      <c r="CK218" s="14"/>
    </row>
    <row r="219" spans="40:89" x14ac:dyDescent="0.3">
      <c r="AN219" s="14"/>
      <c r="AO219" s="14"/>
      <c r="AP219" s="14"/>
      <c r="AQ219" s="14"/>
      <c r="AR219" s="14"/>
      <c r="AS219" s="14"/>
      <c r="CG219" s="14"/>
      <c r="CH219" s="14"/>
      <c r="CI219" s="14"/>
      <c r="CJ219" s="14"/>
      <c r="CK219" s="14"/>
    </row>
    <row r="220" spans="40:89" x14ac:dyDescent="0.3">
      <c r="AN220" s="14"/>
      <c r="AO220" s="14"/>
      <c r="AP220" s="14"/>
      <c r="AQ220" s="14"/>
      <c r="AR220" s="14"/>
      <c r="AS220" s="14"/>
      <c r="CG220" s="14"/>
      <c r="CH220" s="14"/>
      <c r="CI220" s="14"/>
      <c r="CJ220" s="14"/>
      <c r="CK220" s="14"/>
    </row>
    <row r="221" spans="40:89" x14ac:dyDescent="0.3">
      <c r="AN221" s="14"/>
      <c r="AO221" s="14"/>
      <c r="AP221" s="14"/>
      <c r="AQ221" s="14"/>
      <c r="AR221" s="14"/>
      <c r="AS221" s="14"/>
      <c r="CG221" s="14"/>
      <c r="CH221" s="14"/>
      <c r="CI221" s="14"/>
      <c r="CJ221" s="14"/>
      <c r="CK221" s="14"/>
    </row>
    <row r="222" spans="40:89" x14ac:dyDescent="0.3">
      <c r="AN222" s="14"/>
      <c r="AO222" s="14"/>
      <c r="AP222" s="14"/>
      <c r="AQ222" s="14"/>
      <c r="AR222" s="14"/>
      <c r="AS222" s="14"/>
      <c r="CG222" s="14"/>
      <c r="CH222" s="14"/>
      <c r="CI222" s="14"/>
      <c r="CJ222" s="14"/>
      <c r="CK222" s="14"/>
    </row>
    <row r="223" spans="40:89" x14ac:dyDescent="0.3">
      <c r="AN223" s="14"/>
      <c r="AO223" s="14"/>
      <c r="AP223" s="14"/>
      <c r="AQ223" s="14"/>
      <c r="AR223" s="14"/>
      <c r="AS223" s="14"/>
      <c r="CG223" s="14"/>
      <c r="CH223" s="14"/>
      <c r="CI223" s="14"/>
      <c r="CJ223" s="14"/>
      <c r="CK223" s="14"/>
    </row>
    <row r="224" spans="40:89" x14ac:dyDescent="0.3">
      <c r="AN224" s="14"/>
      <c r="AO224" s="14"/>
      <c r="AP224" s="14"/>
      <c r="AQ224" s="14"/>
      <c r="AR224" s="14"/>
      <c r="AS224" s="14"/>
      <c r="CG224" s="14"/>
      <c r="CH224" s="14"/>
      <c r="CI224" s="14"/>
      <c r="CJ224" s="14"/>
      <c r="CK224" s="14"/>
    </row>
    <row r="225" spans="40:89" x14ac:dyDescent="0.3">
      <c r="AN225" s="14"/>
      <c r="AO225" s="14"/>
      <c r="AP225" s="14"/>
      <c r="AQ225" s="14"/>
      <c r="AR225" s="14"/>
      <c r="AS225" s="14"/>
      <c r="CG225" s="14"/>
      <c r="CH225" s="14"/>
      <c r="CI225" s="14"/>
      <c r="CJ225" s="14"/>
      <c r="CK225" s="14"/>
    </row>
    <row r="226" spans="40:89" x14ac:dyDescent="0.3">
      <c r="AN226" s="14"/>
      <c r="AO226" s="14"/>
      <c r="AP226" s="14"/>
      <c r="AQ226" s="14"/>
      <c r="AR226" s="14"/>
      <c r="AS226" s="14"/>
      <c r="CG226" s="14"/>
      <c r="CH226" s="14"/>
      <c r="CI226" s="14"/>
      <c r="CJ226" s="14"/>
      <c r="CK226" s="14"/>
    </row>
    <row r="227" spans="40:89" x14ac:dyDescent="0.3">
      <c r="AN227" s="14"/>
      <c r="AO227" s="14"/>
      <c r="AP227" s="14"/>
      <c r="AQ227" s="14"/>
      <c r="AR227" s="14"/>
      <c r="AS227" s="14"/>
      <c r="CG227" s="14"/>
      <c r="CH227" s="14"/>
      <c r="CI227" s="14"/>
      <c r="CJ227" s="14"/>
      <c r="CK227" s="14"/>
    </row>
    <row r="228" spans="40:89" x14ac:dyDescent="0.3">
      <c r="AN228" s="14"/>
      <c r="AO228" s="14"/>
      <c r="AP228" s="14"/>
      <c r="AQ228" s="14"/>
      <c r="AR228" s="14"/>
      <c r="AS228" s="14"/>
      <c r="CG228" s="14"/>
      <c r="CH228" s="14"/>
      <c r="CI228" s="14"/>
      <c r="CJ228" s="14"/>
      <c r="CK228" s="14"/>
    </row>
    <row r="229" spans="40:89" x14ac:dyDescent="0.3">
      <c r="AN229" s="14"/>
      <c r="AO229" s="14"/>
      <c r="AP229" s="14"/>
      <c r="AQ229" s="14"/>
      <c r="AR229" s="14"/>
      <c r="AS229" s="14"/>
      <c r="CG229" s="14"/>
      <c r="CH229" s="14"/>
      <c r="CI229" s="14"/>
      <c r="CJ229" s="14"/>
      <c r="CK229" s="14"/>
    </row>
    <row r="230" spans="40:89" x14ac:dyDescent="0.3">
      <c r="AN230" s="14"/>
      <c r="AO230" s="14"/>
      <c r="AP230" s="14"/>
      <c r="AQ230" s="14"/>
      <c r="AR230" s="14"/>
      <c r="AS230" s="14"/>
      <c r="CG230" s="14"/>
      <c r="CH230" s="14"/>
      <c r="CI230" s="14"/>
      <c r="CJ230" s="14"/>
      <c r="CK230" s="14"/>
    </row>
    <row r="231" spans="40:89" x14ac:dyDescent="0.3">
      <c r="AN231" s="14"/>
      <c r="AO231" s="14"/>
      <c r="AP231" s="14"/>
      <c r="AQ231" s="14"/>
      <c r="AR231" s="14"/>
      <c r="AS231" s="14"/>
      <c r="CG231" s="14"/>
      <c r="CH231" s="14"/>
      <c r="CI231" s="14"/>
      <c r="CJ231" s="14"/>
      <c r="CK231" s="14"/>
    </row>
    <row r="232" spans="40:89" x14ac:dyDescent="0.3">
      <c r="AN232" s="14"/>
      <c r="AO232" s="14"/>
      <c r="AP232" s="14"/>
      <c r="AQ232" s="14"/>
      <c r="AR232" s="14"/>
      <c r="AS232" s="14"/>
      <c r="CG232" s="14"/>
      <c r="CH232" s="14"/>
      <c r="CI232" s="14"/>
      <c r="CJ232" s="14"/>
      <c r="CK232" s="14"/>
    </row>
    <row r="233" spans="40:89" x14ac:dyDescent="0.3">
      <c r="AN233" s="14"/>
      <c r="AO233" s="14"/>
      <c r="AP233" s="14"/>
      <c r="AQ233" s="14"/>
      <c r="AR233" s="14"/>
      <c r="AS233" s="14"/>
      <c r="CG233" s="14"/>
      <c r="CH233" s="14"/>
      <c r="CI233" s="14"/>
      <c r="CJ233" s="14"/>
      <c r="CK233" s="14"/>
    </row>
    <row r="234" spans="40:89" x14ac:dyDescent="0.3">
      <c r="AN234" s="14"/>
      <c r="AO234" s="14"/>
      <c r="AP234" s="14"/>
      <c r="AQ234" s="14"/>
      <c r="AR234" s="14"/>
      <c r="AS234" s="14"/>
      <c r="CG234" s="14"/>
      <c r="CH234" s="14"/>
      <c r="CI234" s="14"/>
      <c r="CJ234" s="14"/>
      <c r="CK234" s="14"/>
    </row>
    <row r="235" spans="40:89" x14ac:dyDescent="0.3">
      <c r="AN235" s="14"/>
      <c r="AO235" s="14"/>
      <c r="AP235" s="14"/>
      <c r="AQ235" s="14"/>
      <c r="AR235" s="14"/>
      <c r="AS235" s="14"/>
      <c r="CG235" s="14"/>
      <c r="CH235" s="14"/>
      <c r="CI235" s="14"/>
      <c r="CJ235" s="14"/>
      <c r="CK235" s="14"/>
    </row>
    <row r="236" spans="40:89" x14ac:dyDescent="0.3">
      <c r="AN236" s="14"/>
      <c r="AO236" s="14"/>
      <c r="AP236" s="14"/>
      <c r="AQ236" s="14"/>
      <c r="AR236" s="14"/>
      <c r="AS236" s="14"/>
      <c r="CG236" s="14"/>
      <c r="CH236" s="14"/>
      <c r="CI236" s="14"/>
      <c r="CJ236" s="14"/>
      <c r="CK236" s="14"/>
    </row>
    <row r="237" spans="40:89" x14ac:dyDescent="0.3">
      <c r="AN237" s="14"/>
      <c r="AO237" s="14"/>
      <c r="AP237" s="14"/>
      <c r="AQ237" s="14"/>
      <c r="AR237" s="14"/>
      <c r="AS237" s="14"/>
      <c r="CG237" s="14"/>
      <c r="CH237" s="14"/>
      <c r="CI237" s="14"/>
      <c r="CJ237" s="14"/>
      <c r="CK237" s="14"/>
    </row>
    <row r="238" spans="40:89" x14ac:dyDescent="0.3">
      <c r="AN238" s="14"/>
      <c r="AO238" s="14"/>
      <c r="AP238" s="14"/>
      <c r="AQ238" s="14"/>
      <c r="AR238" s="14"/>
      <c r="AS238" s="14"/>
      <c r="CG238" s="14"/>
      <c r="CH238" s="14"/>
      <c r="CI238" s="14"/>
      <c r="CJ238" s="14"/>
      <c r="CK238" s="14"/>
    </row>
    <row r="239" spans="40:89" x14ac:dyDescent="0.3">
      <c r="AN239" s="14"/>
      <c r="AO239" s="14"/>
      <c r="AP239" s="14"/>
      <c r="AQ239" s="14"/>
      <c r="AR239" s="14"/>
      <c r="AS239" s="14"/>
      <c r="CG239" s="14"/>
      <c r="CH239" s="14"/>
      <c r="CI239" s="14"/>
      <c r="CJ239" s="14"/>
      <c r="CK239" s="14"/>
    </row>
    <row r="240" spans="40:89" x14ac:dyDescent="0.3">
      <c r="AN240" s="14"/>
      <c r="AO240" s="14"/>
      <c r="AP240" s="14"/>
      <c r="AQ240" s="14"/>
      <c r="AR240" s="14"/>
      <c r="AS240" s="14"/>
      <c r="CG240" s="14"/>
      <c r="CH240" s="14"/>
      <c r="CI240" s="14"/>
      <c r="CJ240" s="14"/>
      <c r="CK240" s="14"/>
    </row>
    <row r="241" spans="40:89" x14ac:dyDescent="0.3">
      <c r="AN241" s="14"/>
      <c r="AO241" s="14"/>
      <c r="AP241" s="14"/>
      <c r="AQ241" s="14"/>
      <c r="AR241" s="14"/>
      <c r="AS241" s="14"/>
      <c r="CG241" s="14"/>
      <c r="CH241" s="14"/>
      <c r="CI241" s="14"/>
      <c r="CJ241" s="14"/>
      <c r="CK241" s="14"/>
    </row>
    <row r="242" spans="40:89" x14ac:dyDescent="0.3">
      <c r="AN242" s="14"/>
      <c r="AO242" s="14"/>
      <c r="AP242" s="14"/>
      <c r="AQ242" s="14"/>
      <c r="AR242" s="14"/>
      <c r="AS242" s="14"/>
      <c r="CG242" s="14"/>
      <c r="CH242" s="14"/>
      <c r="CI242" s="14"/>
      <c r="CJ242" s="14"/>
      <c r="CK242" s="14"/>
    </row>
    <row r="243" spans="40:89" x14ac:dyDescent="0.3">
      <c r="AN243" s="14"/>
      <c r="AO243" s="14"/>
      <c r="AP243" s="14"/>
      <c r="AQ243" s="14"/>
      <c r="AR243" s="14"/>
      <c r="AS243" s="14"/>
      <c r="CG243" s="14"/>
      <c r="CH243" s="14"/>
      <c r="CI243" s="14"/>
      <c r="CJ243" s="14"/>
      <c r="CK243" s="14"/>
    </row>
    <row r="244" spans="40:89" x14ac:dyDescent="0.3">
      <c r="AN244" s="14"/>
      <c r="AO244" s="14"/>
      <c r="AP244" s="14"/>
      <c r="AQ244" s="14"/>
      <c r="AR244" s="14"/>
      <c r="AS244" s="14"/>
      <c r="CG244" s="14"/>
      <c r="CH244" s="14"/>
      <c r="CI244" s="14"/>
      <c r="CJ244" s="14"/>
      <c r="CK244" s="14"/>
    </row>
    <row r="245" spans="40:89" x14ac:dyDescent="0.3">
      <c r="AN245" s="14"/>
      <c r="AO245" s="14"/>
      <c r="AP245" s="14"/>
      <c r="AQ245" s="14"/>
      <c r="AR245" s="14"/>
      <c r="AS245" s="14"/>
      <c r="CG245" s="14"/>
      <c r="CH245" s="14"/>
      <c r="CI245" s="14"/>
      <c r="CJ245" s="14"/>
      <c r="CK245" s="14"/>
    </row>
    <row r="246" spans="40:89" x14ac:dyDescent="0.3">
      <c r="AN246" s="14"/>
      <c r="AO246" s="14"/>
      <c r="AP246" s="14"/>
      <c r="AQ246" s="14"/>
      <c r="AR246" s="14"/>
      <c r="AS246" s="14"/>
      <c r="CG246" s="14"/>
      <c r="CH246" s="14"/>
      <c r="CI246" s="14"/>
      <c r="CJ246" s="14"/>
      <c r="CK246" s="14"/>
    </row>
    <row r="247" spans="40:89" x14ac:dyDescent="0.3">
      <c r="AN247" s="14"/>
      <c r="AO247" s="14"/>
      <c r="AP247" s="14"/>
      <c r="AQ247" s="14"/>
      <c r="AR247" s="14"/>
      <c r="AS247" s="14"/>
      <c r="CG247" s="14"/>
      <c r="CH247" s="14"/>
      <c r="CI247" s="14"/>
      <c r="CJ247" s="14"/>
      <c r="CK247" s="14"/>
    </row>
    <row r="248" spans="40:89" x14ac:dyDescent="0.3">
      <c r="AN248" s="14"/>
      <c r="AO248" s="14"/>
      <c r="AP248" s="14"/>
      <c r="AQ248" s="14"/>
      <c r="AR248" s="14"/>
      <c r="AS248" s="14"/>
      <c r="CG248" s="14"/>
      <c r="CH248" s="14"/>
      <c r="CI248" s="14"/>
      <c r="CJ248" s="14"/>
      <c r="CK248" s="14"/>
    </row>
    <row r="249" spans="40:89" x14ac:dyDescent="0.3">
      <c r="AN249" s="14"/>
      <c r="AO249" s="14"/>
      <c r="AP249" s="14"/>
      <c r="AQ249" s="14"/>
      <c r="AR249" s="14"/>
      <c r="AS249" s="14"/>
      <c r="CG249" s="14"/>
      <c r="CH249" s="14"/>
      <c r="CI249" s="14"/>
      <c r="CJ249" s="14"/>
      <c r="CK249" s="14"/>
    </row>
    <row r="250" spans="40:89" x14ac:dyDescent="0.3">
      <c r="AN250" s="14"/>
      <c r="AO250" s="14"/>
      <c r="AP250" s="14"/>
      <c r="AQ250" s="14"/>
      <c r="AR250" s="14"/>
      <c r="AS250" s="14"/>
      <c r="CG250" s="14"/>
      <c r="CH250" s="14"/>
      <c r="CI250" s="14"/>
      <c r="CJ250" s="14"/>
      <c r="CK250" s="14"/>
    </row>
    <row r="251" spans="40:89" x14ac:dyDescent="0.3">
      <c r="AN251" s="14"/>
      <c r="AO251" s="14"/>
      <c r="AP251" s="14"/>
      <c r="AQ251" s="14"/>
      <c r="AR251" s="14"/>
      <c r="AS251" s="14"/>
      <c r="CG251" s="14"/>
      <c r="CH251" s="14"/>
      <c r="CI251" s="14"/>
      <c r="CJ251" s="14"/>
      <c r="CK251" s="14"/>
    </row>
    <row r="252" spans="40:89" x14ac:dyDescent="0.3">
      <c r="AN252" s="14"/>
      <c r="AO252" s="14"/>
      <c r="AP252" s="14"/>
      <c r="AQ252" s="14"/>
      <c r="AR252" s="14"/>
      <c r="AS252" s="14"/>
      <c r="CG252" s="14"/>
      <c r="CH252" s="14"/>
      <c r="CI252" s="14"/>
      <c r="CJ252" s="14"/>
      <c r="CK252" s="14"/>
    </row>
    <row r="253" spans="40:89" x14ac:dyDescent="0.3">
      <c r="AN253" s="14"/>
      <c r="AO253" s="14"/>
      <c r="AP253" s="14"/>
      <c r="AQ253" s="14"/>
      <c r="AR253" s="14"/>
      <c r="AS253" s="14"/>
      <c r="CG253" s="14"/>
      <c r="CH253" s="14"/>
      <c r="CI253" s="14"/>
      <c r="CJ253" s="14"/>
      <c r="CK253" s="14"/>
    </row>
    <row r="254" spans="40:89" x14ac:dyDescent="0.3">
      <c r="AN254" s="14"/>
      <c r="AO254" s="14"/>
      <c r="AP254" s="14"/>
      <c r="AQ254" s="14"/>
      <c r="AR254" s="14"/>
      <c r="AS254" s="14"/>
      <c r="CG254" s="14"/>
      <c r="CH254" s="14"/>
      <c r="CI254" s="14"/>
      <c r="CJ254" s="14"/>
      <c r="CK254" s="14"/>
    </row>
    <row r="255" spans="40:89" x14ac:dyDescent="0.3">
      <c r="AN255" s="14"/>
      <c r="AO255" s="14"/>
      <c r="AP255" s="14"/>
      <c r="AQ255" s="14"/>
      <c r="AR255" s="14"/>
      <c r="AS255" s="14"/>
      <c r="CG255" s="14"/>
      <c r="CH255" s="14"/>
      <c r="CI255" s="14"/>
      <c r="CJ255" s="14"/>
      <c r="CK255" s="14"/>
    </row>
    <row r="256" spans="40:89" x14ac:dyDescent="0.3">
      <c r="AN256" s="14"/>
      <c r="AO256" s="14"/>
      <c r="AP256" s="14"/>
      <c r="AQ256" s="14"/>
      <c r="AR256" s="14"/>
      <c r="AS256" s="14"/>
      <c r="CG256" s="14"/>
      <c r="CH256" s="14"/>
      <c r="CI256" s="14"/>
      <c r="CJ256" s="14"/>
      <c r="CK256" s="14"/>
    </row>
    <row r="257" spans="40:89" x14ac:dyDescent="0.3">
      <c r="AN257" s="14"/>
      <c r="AO257" s="14"/>
      <c r="AP257" s="14"/>
      <c r="AQ257" s="14"/>
      <c r="AR257" s="14"/>
      <c r="AS257" s="14"/>
      <c r="CG257" s="14"/>
      <c r="CH257" s="14"/>
      <c r="CI257" s="14"/>
      <c r="CJ257" s="14"/>
      <c r="CK257" s="14"/>
    </row>
    <row r="258" spans="40:89" x14ac:dyDescent="0.3">
      <c r="AN258" s="14"/>
      <c r="AO258" s="14"/>
      <c r="AP258" s="14"/>
      <c r="AQ258" s="14"/>
      <c r="AR258" s="14"/>
      <c r="AS258" s="14"/>
      <c r="CG258" s="14"/>
      <c r="CH258" s="14"/>
      <c r="CI258" s="14"/>
      <c r="CJ258" s="14"/>
      <c r="CK258" s="14"/>
    </row>
    <row r="259" spans="40:89" x14ac:dyDescent="0.3">
      <c r="AN259" s="14"/>
      <c r="AO259" s="14"/>
      <c r="AP259" s="14"/>
      <c r="AQ259" s="14"/>
      <c r="AR259" s="14"/>
      <c r="AS259" s="14"/>
      <c r="CG259" s="14"/>
      <c r="CH259" s="14"/>
      <c r="CI259" s="14"/>
      <c r="CJ259" s="14"/>
      <c r="CK259" s="14"/>
    </row>
    <row r="260" spans="40:89" x14ac:dyDescent="0.3">
      <c r="AN260" s="14"/>
      <c r="AO260" s="14"/>
      <c r="AP260" s="14"/>
      <c r="AQ260" s="14"/>
      <c r="AR260" s="14"/>
      <c r="AS260" s="14"/>
      <c r="CG260" s="14"/>
      <c r="CH260" s="14"/>
      <c r="CI260" s="14"/>
      <c r="CJ260" s="14"/>
      <c r="CK260" s="14"/>
    </row>
    <row r="261" spans="40:89" x14ac:dyDescent="0.3">
      <c r="AN261" s="14"/>
      <c r="AO261" s="14"/>
      <c r="AP261" s="14"/>
      <c r="AQ261" s="14"/>
      <c r="AR261" s="14"/>
      <c r="AS261" s="14"/>
      <c r="CG261" s="14"/>
      <c r="CH261" s="14"/>
      <c r="CI261" s="14"/>
      <c r="CJ261" s="14"/>
      <c r="CK261" s="14"/>
    </row>
    <row r="262" spans="40:89" x14ac:dyDescent="0.3">
      <c r="AN262" s="14"/>
      <c r="AO262" s="14"/>
      <c r="AP262" s="14"/>
      <c r="AQ262" s="14"/>
      <c r="AR262" s="14"/>
      <c r="AS262" s="14"/>
      <c r="CG262" s="14"/>
      <c r="CH262" s="14"/>
      <c r="CI262" s="14"/>
      <c r="CJ262" s="14"/>
      <c r="CK262" s="14"/>
    </row>
    <row r="263" spans="40:89" x14ac:dyDescent="0.3">
      <c r="AN263" s="14"/>
      <c r="AO263" s="14"/>
      <c r="AP263" s="14"/>
      <c r="AQ263" s="14"/>
      <c r="AR263" s="14"/>
      <c r="AS263" s="14"/>
      <c r="CG263" s="14"/>
      <c r="CH263" s="14"/>
      <c r="CI263" s="14"/>
      <c r="CJ263" s="14"/>
      <c r="CK263" s="14"/>
    </row>
    <row r="264" spans="40:89" x14ac:dyDescent="0.3">
      <c r="AN264" s="14"/>
      <c r="AO264" s="14"/>
      <c r="AP264" s="14"/>
      <c r="AQ264" s="14"/>
      <c r="AR264" s="14"/>
      <c r="AS264" s="14"/>
      <c r="CG264" s="14"/>
      <c r="CH264" s="14"/>
      <c r="CI264" s="14"/>
      <c r="CJ264" s="14"/>
      <c r="CK264" s="14"/>
    </row>
    <row r="265" spans="40:89" x14ac:dyDescent="0.3">
      <c r="AN265" s="14"/>
      <c r="AO265" s="14"/>
      <c r="AP265" s="14"/>
      <c r="AQ265" s="14"/>
      <c r="AR265" s="14"/>
      <c r="AS265" s="14"/>
      <c r="CG265" s="14"/>
      <c r="CH265" s="14"/>
      <c r="CI265" s="14"/>
      <c r="CJ265" s="14"/>
      <c r="CK265" s="14"/>
    </row>
    <row r="266" spans="40:89" x14ac:dyDescent="0.3">
      <c r="AN266" s="14"/>
      <c r="AO266" s="14"/>
      <c r="AP266" s="14"/>
      <c r="AQ266" s="14"/>
      <c r="AR266" s="14"/>
      <c r="AS266" s="14"/>
      <c r="CG266" s="14"/>
      <c r="CH266" s="14"/>
      <c r="CI266" s="14"/>
      <c r="CJ266" s="14"/>
      <c r="CK266" s="14"/>
    </row>
    <row r="267" spans="40:89" x14ac:dyDescent="0.3">
      <c r="AN267" s="14"/>
      <c r="AO267" s="14"/>
      <c r="AP267" s="14"/>
      <c r="AQ267" s="14"/>
      <c r="AR267" s="14"/>
      <c r="AS267" s="14"/>
      <c r="CG267" s="14"/>
      <c r="CH267" s="14"/>
      <c r="CI267" s="14"/>
      <c r="CJ267" s="14"/>
      <c r="CK267" s="14"/>
    </row>
    <row r="268" spans="40:89" x14ac:dyDescent="0.3">
      <c r="AN268" s="14"/>
      <c r="AO268" s="14"/>
      <c r="AP268" s="14"/>
      <c r="AQ268" s="14"/>
      <c r="AR268" s="14"/>
      <c r="AS268" s="14"/>
      <c r="CG268" s="14"/>
      <c r="CH268" s="14"/>
      <c r="CI268" s="14"/>
      <c r="CJ268" s="14"/>
      <c r="CK268" s="14"/>
    </row>
    <row r="269" spans="40:89" x14ac:dyDescent="0.3">
      <c r="AN269" s="14"/>
      <c r="AO269" s="14"/>
      <c r="AP269" s="14"/>
      <c r="AQ269" s="14"/>
      <c r="AR269" s="14"/>
      <c r="AS269" s="14"/>
      <c r="CG269" s="14"/>
      <c r="CH269" s="14"/>
      <c r="CI269" s="14"/>
      <c r="CJ269" s="14"/>
      <c r="CK269" s="14"/>
    </row>
    <row r="270" spans="40:89" x14ac:dyDescent="0.3">
      <c r="AN270" s="14"/>
      <c r="AO270" s="14"/>
      <c r="AP270" s="14"/>
      <c r="AQ270" s="14"/>
      <c r="AR270" s="14"/>
      <c r="AS270" s="14"/>
      <c r="CG270" s="14"/>
      <c r="CH270" s="14"/>
      <c r="CI270" s="14"/>
      <c r="CJ270" s="14"/>
      <c r="CK270" s="14"/>
    </row>
    <row r="271" spans="40:89" x14ac:dyDescent="0.3">
      <c r="AN271" s="14"/>
      <c r="AO271" s="14"/>
      <c r="AP271" s="14"/>
      <c r="AQ271" s="14"/>
      <c r="AR271" s="14"/>
      <c r="AS271" s="14"/>
      <c r="CG271" s="14"/>
      <c r="CH271" s="14"/>
      <c r="CI271" s="14"/>
      <c r="CJ271" s="14"/>
      <c r="CK271" s="14"/>
    </row>
    <row r="272" spans="40:89" x14ac:dyDescent="0.3">
      <c r="AN272" s="14"/>
      <c r="AO272" s="14"/>
      <c r="AP272" s="14"/>
      <c r="AQ272" s="14"/>
      <c r="AR272" s="14"/>
      <c r="AS272" s="14"/>
      <c r="CG272" s="14"/>
      <c r="CH272" s="14"/>
      <c r="CI272" s="14"/>
      <c r="CJ272" s="14"/>
      <c r="CK272" s="14"/>
    </row>
    <row r="273" spans="40:89" x14ac:dyDescent="0.3">
      <c r="AN273" s="14"/>
      <c r="AO273" s="14"/>
      <c r="AP273" s="14"/>
      <c r="AQ273" s="14"/>
      <c r="AR273" s="14"/>
      <c r="AS273" s="14"/>
      <c r="CG273" s="14"/>
      <c r="CH273" s="14"/>
      <c r="CI273" s="14"/>
      <c r="CJ273" s="14"/>
      <c r="CK273" s="14"/>
    </row>
    <row r="274" spans="40:89" x14ac:dyDescent="0.3">
      <c r="AN274" s="14"/>
      <c r="AO274" s="14"/>
      <c r="AP274" s="14"/>
      <c r="AQ274" s="14"/>
      <c r="AR274" s="14"/>
      <c r="AS274" s="14"/>
      <c r="CG274" s="14"/>
      <c r="CH274" s="14"/>
      <c r="CI274" s="14"/>
      <c r="CJ274" s="14"/>
      <c r="CK274" s="14"/>
    </row>
    <row r="275" spans="40:89" x14ac:dyDescent="0.3">
      <c r="AN275" s="14"/>
      <c r="AO275" s="14"/>
      <c r="AP275" s="14"/>
      <c r="AQ275" s="14"/>
      <c r="AR275" s="14"/>
      <c r="AS275" s="14"/>
      <c r="CG275" s="14"/>
      <c r="CH275" s="14"/>
      <c r="CI275" s="14"/>
      <c r="CJ275" s="14"/>
      <c r="CK275" s="14"/>
    </row>
    <row r="276" spans="40:89" x14ac:dyDescent="0.3">
      <c r="AN276" s="14"/>
      <c r="AO276" s="14"/>
      <c r="AP276" s="14"/>
      <c r="AQ276" s="14"/>
      <c r="AR276" s="14"/>
      <c r="AS276" s="14"/>
      <c r="CG276" s="14"/>
      <c r="CH276" s="14"/>
      <c r="CI276" s="14"/>
      <c r="CJ276" s="14"/>
      <c r="CK276" s="14"/>
    </row>
    <row r="277" spans="40:89" x14ac:dyDescent="0.3">
      <c r="AN277" s="14"/>
      <c r="AO277" s="14"/>
      <c r="AP277" s="14"/>
      <c r="AQ277" s="14"/>
      <c r="AR277" s="14"/>
      <c r="AS277" s="14"/>
      <c r="CG277" s="14"/>
      <c r="CH277" s="14"/>
      <c r="CI277" s="14"/>
      <c r="CJ277" s="14"/>
      <c r="CK277" s="14"/>
    </row>
    <row r="278" spans="40:89" x14ac:dyDescent="0.3">
      <c r="AN278" s="14"/>
      <c r="AO278" s="14"/>
      <c r="AP278" s="14"/>
      <c r="AQ278" s="14"/>
      <c r="AR278" s="14"/>
      <c r="AS278" s="14"/>
      <c r="CG278" s="14"/>
      <c r="CH278" s="14"/>
      <c r="CI278" s="14"/>
      <c r="CJ278" s="14"/>
      <c r="CK278" s="14"/>
    </row>
    <row r="279" spans="40:89" x14ac:dyDescent="0.3">
      <c r="AN279" s="14"/>
      <c r="AO279" s="14"/>
      <c r="AP279" s="14"/>
      <c r="AQ279" s="14"/>
      <c r="AR279" s="14"/>
      <c r="AS279" s="14"/>
      <c r="CG279" s="14"/>
      <c r="CH279" s="14"/>
      <c r="CI279" s="14"/>
      <c r="CJ279" s="14"/>
      <c r="CK279" s="14"/>
    </row>
    <row r="280" spans="40:89" x14ac:dyDescent="0.3">
      <c r="AN280" s="14"/>
      <c r="AO280" s="14"/>
      <c r="AP280" s="14"/>
      <c r="AQ280" s="14"/>
      <c r="AR280" s="14"/>
      <c r="AS280" s="14"/>
      <c r="CG280" s="14"/>
      <c r="CH280" s="14"/>
      <c r="CI280" s="14"/>
      <c r="CJ280" s="14"/>
      <c r="CK280" s="14"/>
    </row>
    <row r="281" spans="40:89" x14ac:dyDescent="0.3">
      <c r="AN281" s="14"/>
      <c r="AO281" s="14"/>
      <c r="AP281" s="14"/>
      <c r="AQ281" s="14"/>
      <c r="AR281" s="14"/>
      <c r="AS281" s="14"/>
      <c r="CG281" s="14"/>
      <c r="CH281" s="14"/>
      <c r="CI281" s="14"/>
      <c r="CJ281" s="14"/>
      <c r="CK281" s="14"/>
    </row>
    <row r="282" spans="40:89" x14ac:dyDescent="0.3">
      <c r="AN282" s="14"/>
      <c r="AO282" s="14"/>
      <c r="AP282" s="14"/>
      <c r="AQ282" s="14"/>
      <c r="AR282" s="14"/>
      <c r="AS282" s="14"/>
      <c r="CG282" s="14"/>
      <c r="CH282" s="14"/>
      <c r="CI282" s="14"/>
      <c r="CJ282" s="14"/>
      <c r="CK282" s="14"/>
    </row>
    <row r="283" spans="40:89" x14ac:dyDescent="0.3">
      <c r="AN283" s="14"/>
      <c r="AO283" s="14"/>
      <c r="AP283" s="14"/>
      <c r="AQ283" s="14"/>
      <c r="AR283" s="14"/>
      <c r="AS283" s="14"/>
      <c r="CG283" s="14"/>
      <c r="CH283" s="14"/>
      <c r="CI283" s="14"/>
      <c r="CJ283" s="14"/>
      <c r="CK283" s="14"/>
    </row>
    <row r="284" spans="40:89" x14ac:dyDescent="0.3">
      <c r="AN284" s="14"/>
      <c r="AO284" s="14"/>
      <c r="AP284" s="14"/>
      <c r="AQ284" s="14"/>
      <c r="AR284" s="14"/>
      <c r="AS284" s="14"/>
      <c r="CG284" s="14"/>
      <c r="CH284" s="14"/>
      <c r="CI284" s="14"/>
      <c r="CJ284" s="14"/>
      <c r="CK284" s="14"/>
    </row>
    <row r="285" spans="40:89" x14ac:dyDescent="0.3">
      <c r="AN285" s="14"/>
      <c r="AO285" s="14"/>
      <c r="AP285" s="14"/>
      <c r="AQ285" s="14"/>
      <c r="AR285" s="14"/>
      <c r="AS285" s="14"/>
      <c r="CG285" s="14"/>
      <c r="CH285" s="14"/>
      <c r="CI285" s="14"/>
      <c r="CJ285" s="14"/>
      <c r="CK285" s="14"/>
    </row>
    <row r="286" spans="40:89" x14ac:dyDescent="0.3">
      <c r="AN286" s="14"/>
      <c r="AO286" s="14"/>
      <c r="AP286" s="14"/>
      <c r="AQ286" s="14"/>
      <c r="AR286" s="14"/>
      <c r="AS286" s="14"/>
      <c r="CG286" s="14"/>
      <c r="CH286" s="14"/>
      <c r="CI286" s="14"/>
      <c r="CJ286" s="14"/>
      <c r="CK286" s="14"/>
    </row>
    <row r="287" spans="40:89" x14ac:dyDescent="0.3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</row>
    <row r="288" spans="40:89" x14ac:dyDescent="0.3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</row>
    <row r="289" spans="1:89" x14ac:dyDescent="0.3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</row>
    <row r="290" spans="1:89" x14ac:dyDescent="0.3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</row>
    <row r="291" spans="1:89" x14ac:dyDescent="0.3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</row>
    <row r="292" spans="1:89" x14ac:dyDescent="0.3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</row>
    <row r="293" spans="1:89" x14ac:dyDescent="0.3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</row>
    <row r="294" spans="1:89" x14ac:dyDescent="0.3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</row>
    <row r="295" spans="1:89" x14ac:dyDescent="0.3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</row>
    <row r="296" spans="1:89" x14ac:dyDescent="0.3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</row>
    <row r="297" spans="1:89" x14ac:dyDescent="0.3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</row>
    <row r="298" spans="1:89" x14ac:dyDescent="0.3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</row>
    <row r="299" spans="1:89" x14ac:dyDescent="0.3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</row>
    <row r="300" spans="1:89" x14ac:dyDescent="0.3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</row>
    <row r="301" spans="1:89" x14ac:dyDescent="0.3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</row>
    <row r="302" spans="1:89" x14ac:dyDescent="0.3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</row>
    <row r="303" spans="1:89" x14ac:dyDescent="0.3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</row>
    <row r="304" spans="1:89" s="32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65"/>
      <c r="K304" s="1"/>
      <c r="L304" s="85"/>
      <c r="M304" s="85"/>
      <c r="N304" s="85"/>
      <c r="O304" s="85"/>
      <c r="P304" s="85"/>
      <c r="Q304" s="85"/>
      <c r="R304" s="85"/>
      <c r="S304" s="1"/>
      <c r="T304" s="1"/>
      <c r="U304" s="85"/>
      <c r="V304" s="85"/>
      <c r="W304" s="85"/>
      <c r="X304" s="85"/>
      <c r="Y304" s="85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65"/>
      <c r="BD304" s="1"/>
      <c r="BE304" s="87"/>
      <c r="BF304" s="87"/>
      <c r="BG304" s="87"/>
      <c r="BH304" s="87"/>
      <c r="BI304" s="87"/>
      <c r="BJ304" s="87"/>
      <c r="BK304" s="87"/>
      <c r="BL304" s="1"/>
      <c r="BM304" s="1"/>
      <c r="BN304" s="87"/>
      <c r="BO304" s="87"/>
      <c r="BP304" s="87"/>
      <c r="BQ304" s="87"/>
      <c r="BR304" s="87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</row>
    <row r="305" spans="1:55" x14ac:dyDescent="0.3">
      <c r="J305" s="68"/>
      <c r="BC305" s="68"/>
    </row>
    <row r="306" spans="1:55" x14ac:dyDescent="0.3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</row>
    <row r="322" spans="36:89" x14ac:dyDescent="0.3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</row>
    <row r="404" spans="35:80" x14ac:dyDescent="0.3">
      <c r="AI404" s="64"/>
      <c r="CB404" s="64"/>
    </row>
    <row r="405" spans="35:80" x14ac:dyDescent="0.3">
      <c r="AI405" s="64"/>
      <c r="CB405" s="64"/>
    </row>
  </sheetData>
  <mergeCells count="22">
    <mergeCell ref="BM1:BS1"/>
    <mergeCell ref="BU1:CA1"/>
    <mergeCell ref="BD2:BK2"/>
    <mergeCell ref="BM2:BS2"/>
    <mergeCell ref="BU2:CA2"/>
    <mergeCell ref="T1:Z1"/>
    <mergeCell ref="T2:Z2"/>
    <mergeCell ref="AJ2:AR2"/>
    <mergeCell ref="AB1:AH1"/>
    <mergeCell ref="AB2:AH2"/>
    <mergeCell ref="AK90:AR90"/>
    <mergeCell ref="AK119:AR119"/>
    <mergeCell ref="AK61:AR61"/>
    <mergeCell ref="CD119:CK119"/>
    <mergeCell ref="K2:R2"/>
    <mergeCell ref="AK3:AR3"/>
    <mergeCell ref="AK32:AR32"/>
    <mergeCell ref="CC2:CK2"/>
    <mergeCell ref="CD3:CK3"/>
    <mergeCell ref="CD32:CK32"/>
    <mergeCell ref="CD61:CK61"/>
    <mergeCell ref="CD90:CK90"/>
  </mergeCells>
  <phoneticPr fontId="20" type="noConversion"/>
  <conditionalFormatting sqref="L4:R39 L41:R304">
    <cfRule type="containsText" dxfId="674" priority="325" operator="containsText" text="M1">
      <formula>NOT(ISERROR(SEARCH("M1",L4)))</formula>
    </cfRule>
  </conditionalFormatting>
  <conditionalFormatting sqref="L4:R39 L41:R304">
    <cfRule type="containsText" dxfId="673" priority="326" operator="containsText" text="M2">
      <formula>NOT(ISERROR(SEARCH("M2",L4)))</formula>
    </cfRule>
  </conditionalFormatting>
  <conditionalFormatting sqref="L4:R39 L41:R304">
    <cfRule type="containsText" dxfId="672" priority="327" operator="containsText" text="M3">
      <formula>NOT(ISERROR(SEARCH("M3",L4)))</formula>
    </cfRule>
  </conditionalFormatting>
  <conditionalFormatting sqref="L4:R39 L41:R304">
    <cfRule type="containsText" dxfId="671" priority="328" operator="containsText" text="M4">
      <formula>NOT(ISERROR(SEARCH("M4",L4)))</formula>
    </cfRule>
  </conditionalFormatting>
  <conditionalFormatting sqref="L4:R39 L41:R304">
    <cfRule type="containsText" dxfId="670" priority="329" operator="containsText" text="M5">
      <formula>NOT(ISERROR(SEARCH("M5",L4)))</formula>
    </cfRule>
  </conditionalFormatting>
  <conditionalFormatting sqref="L4:R39 L41:R304">
    <cfRule type="containsText" dxfId="669" priority="330" operator="containsText" text="M6">
      <formula>NOT(ISERROR(SEARCH("M6",L4)))</formula>
    </cfRule>
  </conditionalFormatting>
  <conditionalFormatting sqref="L4:R39 L41:R304">
    <cfRule type="containsText" dxfId="668" priority="331" operator="containsText" text="A">
      <formula>NOT(ISERROR(SEARCH("A",L4)))</formula>
    </cfRule>
  </conditionalFormatting>
  <conditionalFormatting sqref="L4:R39 L41:R304">
    <cfRule type="containsText" dxfId="667" priority="332" operator="containsText" text="K">
      <formula>NOT(ISERROR(SEARCH("K",L4)))</formula>
    </cfRule>
  </conditionalFormatting>
  <conditionalFormatting sqref="L4:R39 L41:R304">
    <cfRule type="containsText" dxfId="666" priority="333" operator="containsText" text="Q">
      <formula>NOT(ISERROR(SEARCH("Q",L4)))</formula>
    </cfRule>
  </conditionalFormatting>
  <conditionalFormatting sqref="L4:R39 L41:R304">
    <cfRule type="containsText" dxfId="665" priority="334" operator="containsText" text="J">
      <formula>NOT(ISERROR(SEARCH("J",L4)))</formula>
    </cfRule>
  </conditionalFormatting>
  <conditionalFormatting sqref="L4:R39 L41:R304">
    <cfRule type="containsText" dxfId="664" priority="335" operator="containsText" text="TE">
      <formula>NOT(ISERROR(SEARCH("TE",L4)))</formula>
    </cfRule>
  </conditionalFormatting>
  <conditionalFormatting sqref="L4:R39 L41:R304">
    <cfRule type="containsText" dxfId="663" priority="336" operator="containsText" text="MY">
      <formula>NOT(ISERROR(SEARCH("MY",L4)))</formula>
    </cfRule>
  </conditionalFormatting>
  <conditionalFormatting sqref="BE125:BK304">
    <cfRule type="containsText" dxfId="662" priority="337" operator="containsText" text="M1">
      <formula>NOT(ISERROR(SEARCH("M1",BE125)))</formula>
    </cfRule>
  </conditionalFormatting>
  <conditionalFormatting sqref="BE125:BK304">
    <cfRule type="containsText" dxfId="661" priority="338" operator="containsText" text="M2">
      <formula>NOT(ISERROR(SEARCH("M2",BE125)))</formula>
    </cfRule>
  </conditionalFormatting>
  <conditionalFormatting sqref="BE125:BK304">
    <cfRule type="containsText" dxfId="660" priority="339" operator="containsText" text="M3">
      <formula>NOT(ISERROR(SEARCH("M3",BE125)))</formula>
    </cfRule>
  </conditionalFormatting>
  <conditionalFormatting sqref="BE125:BK304">
    <cfRule type="containsText" dxfId="659" priority="340" operator="containsText" text="M4">
      <formula>NOT(ISERROR(SEARCH("M4",BE125)))</formula>
    </cfRule>
  </conditionalFormatting>
  <conditionalFormatting sqref="BE125:BK304">
    <cfRule type="containsText" dxfId="658" priority="341" operator="containsText" text="M5">
      <formula>NOT(ISERROR(SEARCH("M5",BE125)))</formula>
    </cfRule>
  </conditionalFormatting>
  <conditionalFormatting sqref="BE125:BK304">
    <cfRule type="containsText" dxfId="657" priority="342" operator="containsText" text="M6">
      <formula>NOT(ISERROR(SEARCH("M6",BE125)))</formula>
    </cfRule>
  </conditionalFormatting>
  <conditionalFormatting sqref="BE125:BK304">
    <cfRule type="containsText" dxfId="656" priority="343" operator="containsText" text="A">
      <formula>NOT(ISERROR(SEARCH("A",BE125)))</formula>
    </cfRule>
  </conditionalFormatting>
  <conditionalFormatting sqref="BE125:BK304">
    <cfRule type="containsText" dxfId="655" priority="344" operator="containsText" text="K">
      <formula>NOT(ISERROR(SEARCH("K",BE125)))</formula>
    </cfRule>
  </conditionalFormatting>
  <conditionalFormatting sqref="BE125:BK304">
    <cfRule type="containsText" dxfId="654" priority="345" operator="containsText" text="Q">
      <formula>NOT(ISERROR(SEARCH("Q",BE125)))</formula>
    </cfRule>
  </conditionalFormatting>
  <conditionalFormatting sqref="BE125:BK304">
    <cfRule type="containsText" dxfId="653" priority="346" operator="containsText" text="J">
      <formula>NOT(ISERROR(SEARCH("J",BE125)))</formula>
    </cfRule>
  </conditionalFormatting>
  <conditionalFormatting sqref="BE125:BK304">
    <cfRule type="containsText" dxfId="652" priority="347" operator="containsText" text="TE">
      <formula>NOT(ISERROR(SEARCH("TE",BE125)))</formula>
    </cfRule>
  </conditionalFormatting>
  <conditionalFormatting sqref="BE125:BK304">
    <cfRule type="containsText" dxfId="651" priority="348" operator="containsText" text="MY">
      <formula>NOT(ISERROR(SEARCH("MY",BE125)))</formula>
    </cfRule>
  </conditionalFormatting>
  <conditionalFormatting sqref="A4:A29">
    <cfRule type="containsText" dxfId="650" priority="349" operator="containsText" text="M1">
      <formula>NOT(ISERROR(SEARCH("M1",A4)))</formula>
    </cfRule>
  </conditionalFormatting>
  <conditionalFormatting sqref="A4:A29">
    <cfRule type="containsText" dxfId="649" priority="350" operator="containsText" text="M2">
      <formula>NOT(ISERROR(SEARCH("M2",A4)))</formula>
    </cfRule>
  </conditionalFormatting>
  <conditionalFormatting sqref="A4:A29">
    <cfRule type="containsText" dxfId="648" priority="351" operator="containsText" text="M3">
      <formula>NOT(ISERROR(SEARCH("M3",A4)))</formula>
    </cfRule>
  </conditionalFormatting>
  <conditionalFormatting sqref="A4:A29">
    <cfRule type="containsText" dxfId="647" priority="352" operator="containsText" text="M4">
      <formula>NOT(ISERROR(SEARCH("M4",A4)))</formula>
    </cfRule>
  </conditionalFormatting>
  <conditionalFormatting sqref="A4:A29">
    <cfRule type="containsText" dxfId="646" priority="353" operator="containsText" text="M5">
      <formula>NOT(ISERROR(SEARCH("M5",A4)))</formula>
    </cfRule>
  </conditionalFormatting>
  <conditionalFormatting sqref="A4:A29">
    <cfRule type="containsText" dxfId="645" priority="354" operator="containsText" text="M6">
      <formula>NOT(ISERROR(SEARCH("M6",A4)))</formula>
    </cfRule>
  </conditionalFormatting>
  <conditionalFormatting sqref="A4:A29">
    <cfRule type="containsText" dxfId="644" priority="355" operator="containsText" text="A">
      <formula>NOT(ISERROR(SEARCH("A",A4)))</formula>
    </cfRule>
  </conditionalFormatting>
  <conditionalFormatting sqref="A4:A29">
    <cfRule type="containsText" dxfId="643" priority="356" operator="containsText" text="K">
      <formula>NOT(ISERROR(SEARCH("K",A4)))</formula>
    </cfRule>
  </conditionalFormatting>
  <conditionalFormatting sqref="A4:A29">
    <cfRule type="containsText" dxfId="642" priority="357" operator="containsText" text="Q">
      <formula>NOT(ISERROR(SEARCH("Q",A4)))</formula>
    </cfRule>
  </conditionalFormatting>
  <conditionalFormatting sqref="A4:A29">
    <cfRule type="containsText" dxfId="641" priority="358" operator="containsText" text="J">
      <formula>NOT(ISERROR(SEARCH("J",A4)))</formula>
    </cfRule>
  </conditionalFormatting>
  <conditionalFormatting sqref="A4:A29">
    <cfRule type="containsText" dxfId="640" priority="359" operator="containsText" text="TE">
      <formula>NOT(ISERROR(SEARCH("TE",A4)))</formula>
    </cfRule>
  </conditionalFormatting>
  <conditionalFormatting sqref="A4:A29">
    <cfRule type="containsText" dxfId="639" priority="360" operator="containsText" text="MY">
      <formula>NOT(ISERROR(SEARCH("MY",A4)))</formula>
    </cfRule>
  </conditionalFormatting>
  <conditionalFormatting sqref="AT4:AT29">
    <cfRule type="containsText" dxfId="638" priority="385" operator="containsText" text="M1">
      <formula>NOT(ISERROR(SEARCH("M1",AT4)))</formula>
    </cfRule>
  </conditionalFormatting>
  <conditionalFormatting sqref="AT4:AT29">
    <cfRule type="containsText" dxfId="637" priority="386" operator="containsText" text="M2">
      <formula>NOT(ISERROR(SEARCH("M2",AT4)))</formula>
    </cfRule>
  </conditionalFormatting>
  <conditionalFormatting sqref="AT4:AT29">
    <cfRule type="containsText" dxfId="636" priority="387" operator="containsText" text="M3">
      <formula>NOT(ISERROR(SEARCH("M3",AT4)))</formula>
    </cfRule>
  </conditionalFormatting>
  <conditionalFormatting sqref="AT4:AT29">
    <cfRule type="containsText" dxfId="635" priority="388" operator="containsText" text="M4">
      <formula>NOT(ISERROR(SEARCH("M4",AT4)))</formula>
    </cfRule>
  </conditionalFormatting>
  <conditionalFormatting sqref="AT4:AT29">
    <cfRule type="containsText" dxfId="634" priority="389" operator="containsText" text="M5">
      <formula>NOT(ISERROR(SEARCH("M5",AT4)))</formula>
    </cfRule>
  </conditionalFormatting>
  <conditionalFormatting sqref="AT4:AT29">
    <cfRule type="containsText" dxfId="633" priority="390" operator="containsText" text="M6">
      <formula>NOT(ISERROR(SEARCH("M6",AT4)))</formula>
    </cfRule>
  </conditionalFormatting>
  <conditionalFormatting sqref="AT4:AT29">
    <cfRule type="containsText" dxfId="632" priority="391" operator="containsText" text="A">
      <formula>NOT(ISERROR(SEARCH("A",AT4)))</formula>
    </cfRule>
  </conditionalFormatting>
  <conditionalFormatting sqref="AT4:AT29">
    <cfRule type="containsText" dxfId="631" priority="392" operator="containsText" text="K">
      <formula>NOT(ISERROR(SEARCH("K",AT4)))</formula>
    </cfRule>
  </conditionalFormatting>
  <conditionalFormatting sqref="AT4:AT29">
    <cfRule type="containsText" dxfId="630" priority="393" operator="containsText" text="Q">
      <formula>NOT(ISERROR(SEARCH("Q",AT4)))</formula>
    </cfRule>
  </conditionalFormatting>
  <conditionalFormatting sqref="AT4:AT29">
    <cfRule type="containsText" dxfId="629" priority="394" operator="containsText" text="J">
      <formula>NOT(ISERROR(SEARCH("J",AT4)))</formula>
    </cfRule>
  </conditionalFormatting>
  <conditionalFormatting sqref="AT4:AT29">
    <cfRule type="containsText" dxfId="628" priority="395" operator="containsText" text="TE">
      <formula>NOT(ISERROR(SEARCH("TE",AT4)))</formula>
    </cfRule>
  </conditionalFormatting>
  <conditionalFormatting sqref="AT4:AT29">
    <cfRule type="containsText" dxfId="627" priority="396" operator="containsText" text="MY">
      <formula>NOT(ISERROR(SEARCH("MY",AT4)))</formula>
    </cfRule>
  </conditionalFormatting>
  <conditionalFormatting sqref="L40">
    <cfRule type="containsText" dxfId="626" priority="313" operator="containsText" text="M1">
      <formula>NOT(ISERROR(SEARCH("M1",L40)))</formula>
    </cfRule>
  </conditionalFormatting>
  <conditionalFormatting sqref="L40">
    <cfRule type="containsText" dxfId="625" priority="314" operator="containsText" text="M2">
      <formula>NOT(ISERROR(SEARCH("M2",L40)))</formula>
    </cfRule>
  </conditionalFormatting>
  <conditionalFormatting sqref="L40">
    <cfRule type="containsText" dxfId="624" priority="315" operator="containsText" text="M3">
      <formula>NOT(ISERROR(SEARCH("M3",L40)))</formula>
    </cfRule>
  </conditionalFormatting>
  <conditionalFormatting sqref="L40">
    <cfRule type="containsText" dxfId="623" priority="316" operator="containsText" text="M4">
      <formula>NOT(ISERROR(SEARCH("M4",L40)))</formula>
    </cfRule>
  </conditionalFormatting>
  <conditionalFormatting sqref="L40">
    <cfRule type="containsText" dxfId="622" priority="317" operator="containsText" text="M5">
      <formula>NOT(ISERROR(SEARCH("M5",L40)))</formula>
    </cfRule>
  </conditionalFormatting>
  <conditionalFormatting sqref="L40">
    <cfRule type="containsText" dxfId="621" priority="318" operator="containsText" text="M6">
      <formula>NOT(ISERROR(SEARCH("M6",L40)))</formula>
    </cfRule>
  </conditionalFormatting>
  <conditionalFormatting sqref="L40">
    <cfRule type="containsText" dxfId="620" priority="319" operator="containsText" text="A">
      <formula>NOT(ISERROR(SEARCH("A",L40)))</formula>
    </cfRule>
  </conditionalFormatting>
  <conditionalFormatting sqref="L40">
    <cfRule type="containsText" dxfId="619" priority="320" operator="containsText" text="K">
      <formula>NOT(ISERROR(SEARCH("K",L40)))</formula>
    </cfRule>
  </conditionalFormatting>
  <conditionalFormatting sqref="L40">
    <cfRule type="containsText" dxfId="618" priority="321" operator="containsText" text="Q">
      <formula>NOT(ISERROR(SEARCH("Q",L40)))</formula>
    </cfRule>
  </conditionalFormatting>
  <conditionalFormatting sqref="L40">
    <cfRule type="containsText" dxfId="617" priority="322" operator="containsText" text="J">
      <formula>NOT(ISERROR(SEARCH("J",L40)))</formula>
    </cfRule>
  </conditionalFormatting>
  <conditionalFormatting sqref="L40">
    <cfRule type="containsText" dxfId="616" priority="323" operator="containsText" text="TE">
      <formula>NOT(ISERROR(SEARCH("TE",L40)))</formula>
    </cfRule>
  </conditionalFormatting>
  <conditionalFormatting sqref="L40">
    <cfRule type="containsText" dxfId="615" priority="324" operator="containsText" text="MY">
      <formula>NOT(ISERROR(SEARCH("MY",L40)))</formula>
    </cfRule>
  </conditionalFormatting>
  <conditionalFormatting sqref="M40">
    <cfRule type="containsText" dxfId="614" priority="301" operator="containsText" text="M1">
      <formula>NOT(ISERROR(SEARCH("M1",M40)))</formula>
    </cfRule>
  </conditionalFormatting>
  <conditionalFormatting sqref="M40">
    <cfRule type="containsText" dxfId="613" priority="302" operator="containsText" text="M2">
      <formula>NOT(ISERROR(SEARCH("M2",M40)))</formula>
    </cfRule>
  </conditionalFormatting>
  <conditionalFormatting sqref="M40">
    <cfRule type="containsText" dxfId="612" priority="303" operator="containsText" text="M3">
      <formula>NOT(ISERROR(SEARCH("M3",M40)))</formula>
    </cfRule>
  </conditionalFormatting>
  <conditionalFormatting sqref="M40">
    <cfRule type="containsText" dxfId="611" priority="304" operator="containsText" text="M4">
      <formula>NOT(ISERROR(SEARCH("M4",M40)))</formula>
    </cfRule>
  </conditionalFormatting>
  <conditionalFormatting sqref="M40">
    <cfRule type="containsText" dxfId="610" priority="305" operator="containsText" text="M5">
      <formula>NOT(ISERROR(SEARCH("M5",M40)))</formula>
    </cfRule>
  </conditionalFormatting>
  <conditionalFormatting sqref="M40">
    <cfRule type="containsText" dxfId="609" priority="306" operator="containsText" text="M6">
      <formula>NOT(ISERROR(SEARCH("M6",M40)))</formula>
    </cfRule>
  </conditionalFormatting>
  <conditionalFormatting sqref="M40">
    <cfRule type="containsText" dxfId="608" priority="307" operator="containsText" text="A">
      <formula>NOT(ISERROR(SEARCH("A",M40)))</formula>
    </cfRule>
  </conditionalFormatting>
  <conditionalFormatting sqref="M40">
    <cfRule type="containsText" dxfId="607" priority="308" operator="containsText" text="K">
      <formula>NOT(ISERROR(SEARCH("K",M40)))</formula>
    </cfRule>
  </conditionalFormatting>
  <conditionalFormatting sqref="M40">
    <cfRule type="containsText" dxfId="606" priority="309" operator="containsText" text="Q">
      <formula>NOT(ISERROR(SEARCH("Q",M40)))</formula>
    </cfRule>
  </conditionalFormatting>
  <conditionalFormatting sqref="M40">
    <cfRule type="containsText" dxfId="605" priority="310" operator="containsText" text="J">
      <formula>NOT(ISERROR(SEARCH("J",M40)))</formula>
    </cfRule>
  </conditionalFormatting>
  <conditionalFormatting sqref="M40">
    <cfRule type="containsText" dxfId="604" priority="311" operator="containsText" text="TE">
      <formula>NOT(ISERROR(SEARCH("TE",M40)))</formula>
    </cfRule>
  </conditionalFormatting>
  <conditionalFormatting sqref="M40">
    <cfRule type="containsText" dxfId="603" priority="312" operator="containsText" text="MY">
      <formula>NOT(ISERROR(SEARCH("MY",M40)))</formula>
    </cfRule>
  </conditionalFormatting>
  <conditionalFormatting sqref="N40">
    <cfRule type="containsText" dxfId="602" priority="289" operator="containsText" text="M1">
      <formula>NOT(ISERROR(SEARCH("M1",N40)))</formula>
    </cfRule>
  </conditionalFormatting>
  <conditionalFormatting sqref="N40">
    <cfRule type="containsText" dxfId="601" priority="290" operator="containsText" text="M2">
      <formula>NOT(ISERROR(SEARCH("M2",N40)))</formula>
    </cfRule>
  </conditionalFormatting>
  <conditionalFormatting sqref="N40">
    <cfRule type="containsText" dxfId="600" priority="291" operator="containsText" text="M3">
      <formula>NOT(ISERROR(SEARCH("M3",N40)))</formula>
    </cfRule>
  </conditionalFormatting>
  <conditionalFormatting sqref="N40">
    <cfRule type="containsText" dxfId="599" priority="292" operator="containsText" text="M4">
      <formula>NOT(ISERROR(SEARCH("M4",N40)))</formula>
    </cfRule>
  </conditionalFormatting>
  <conditionalFormatting sqref="N40">
    <cfRule type="containsText" dxfId="598" priority="293" operator="containsText" text="M5">
      <formula>NOT(ISERROR(SEARCH("M5",N40)))</formula>
    </cfRule>
  </conditionalFormatting>
  <conditionalFormatting sqref="N40">
    <cfRule type="containsText" dxfId="597" priority="294" operator="containsText" text="M6">
      <formula>NOT(ISERROR(SEARCH("M6",N40)))</formula>
    </cfRule>
  </conditionalFormatting>
  <conditionalFormatting sqref="N40">
    <cfRule type="containsText" dxfId="596" priority="295" operator="containsText" text="A">
      <formula>NOT(ISERROR(SEARCH("A",N40)))</formula>
    </cfRule>
  </conditionalFormatting>
  <conditionalFormatting sqref="N40">
    <cfRule type="containsText" dxfId="595" priority="296" operator="containsText" text="K">
      <formula>NOT(ISERROR(SEARCH("K",N40)))</formula>
    </cfRule>
  </conditionalFormatting>
  <conditionalFormatting sqref="N40">
    <cfRule type="containsText" dxfId="594" priority="297" operator="containsText" text="Q">
      <formula>NOT(ISERROR(SEARCH("Q",N40)))</formula>
    </cfRule>
  </conditionalFormatting>
  <conditionalFormatting sqref="N40">
    <cfRule type="containsText" dxfId="593" priority="298" operator="containsText" text="J">
      <formula>NOT(ISERROR(SEARCH("J",N40)))</formula>
    </cfRule>
  </conditionalFormatting>
  <conditionalFormatting sqref="N40">
    <cfRule type="containsText" dxfId="592" priority="299" operator="containsText" text="TE">
      <formula>NOT(ISERROR(SEARCH("TE",N40)))</formula>
    </cfRule>
  </conditionalFormatting>
  <conditionalFormatting sqref="N40">
    <cfRule type="containsText" dxfId="591" priority="300" operator="containsText" text="MY">
      <formula>NOT(ISERROR(SEARCH("MY",N40)))</formula>
    </cfRule>
  </conditionalFormatting>
  <conditionalFormatting sqref="O40">
    <cfRule type="containsText" dxfId="590" priority="277" operator="containsText" text="M1">
      <formula>NOT(ISERROR(SEARCH("M1",O40)))</formula>
    </cfRule>
  </conditionalFormatting>
  <conditionalFormatting sqref="O40">
    <cfRule type="containsText" dxfId="589" priority="278" operator="containsText" text="M2">
      <formula>NOT(ISERROR(SEARCH("M2",O40)))</formula>
    </cfRule>
  </conditionalFormatting>
  <conditionalFormatting sqref="O40">
    <cfRule type="containsText" dxfId="588" priority="279" operator="containsText" text="M3">
      <formula>NOT(ISERROR(SEARCH("M3",O40)))</formula>
    </cfRule>
  </conditionalFormatting>
  <conditionalFormatting sqref="O40">
    <cfRule type="containsText" dxfId="587" priority="280" operator="containsText" text="M4">
      <formula>NOT(ISERROR(SEARCH("M4",O40)))</formula>
    </cfRule>
  </conditionalFormatting>
  <conditionalFormatting sqref="O40">
    <cfRule type="containsText" dxfId="586" priority="281" operator="containsText" text="M5">
      <formula>NOT(ISERROR(SEARCH("M5",O40)))</formula>
    </cfRule>
  </conditionalFormatting>
  <conditionalFormatting sqref="O40">
    <cfRule type="containsText" dxfId="585" priority="282" operator="containsText" text="M6">
      <formula>NOT(ISERROR(SEARCH("M6",O40)))</formula>
    </cfRule>
  </conditionalFormatting>
  <conditionalFormatting sqref="O40">
    <cfRule type="containsText" dxfId="584" priority="283" operator="containsText" text="A">
      <formula>NOT(ISERROR(SEARCH("A",O40)))</formula>
    </cfRule>
  </conditionalFormatting>
  <conditionalFormatting sqref="O40">
    <cfRule type="containsText" dxfId="583" priority="284" operator="containsText" text="K">
      <formula>NOT(ISERROR(SEARCH("K",O40)))</formula>
    </cfRule>
  </conditionalFormatting>
  <conditionalFormatting sqref="O40">
    <cfRule type="containsText" dxfId="582" priority="285" operator="containsText" text="Q">
      <formula>NOT(ISERROR(SEARCH("Q",O40)))</formula>
    </cfRule>
  </conditionalFormatting>
  <conditionalFormatting sqref="O40">
    <cfRule type="containsText" dxfId="581" priority="286" operator="containsText" text="J">
      <formula>NOT(ISERROR(SEARCH("J",O40)))</formula>
    </cfRule>
  </conditionalFormatting>
  <conditionalFormatting sqref="O40">
    <cfRule type="containsText" dxfId="580" priority="287" operator="containsText" text="TE">
      <formula>NOT(ISERROR(SEARCH("TE",O40)))</formula>
    </cfRule>
  </conditionalFormatting>
  <conditionalFormatting sqref="O40">
    <cfRule type="containsText" dxfId="579" priority="288" operator="containsText" text="MY">
      <formula>NOT(ISERROR(SEARCH("MY",O40)))</formula>
    </cfRule>
  </conditionalFormatting>
  <conditionalFormatting sqref="P40">
    <cfRule type="containsText" dxfId="578" priority="265" operator="containsText" text="M1">
      <formula>NOT(ISERROR(SEARCH("M1",P40)))</formula>
    </cfRule>
  </conditionalFormatting>
  <conditionalFormatting sqref="P40">
    <cfRule type="containsText" dxfId="577" priority="266" operator="containsText" text="M2">
      <formula>NOT(ISERROR(SEARCH("M2",P40)))</formula>
    </cfRule>
  </conditionalFormatting>
  <conditionalFormatting sqref="P40">
    <cfRule type="containsText" dxfId="576" priority="267" operator="containsText" text="M3">
      <formula>NOT(ISERROR(SEARCH("M3",P40)))</formula>
    </cfRule>
  </conditionalFormatting>
  <conditionalFormatting sqref="P40">
    <cfRule type="containsText" dxfId="575" priority="268" operator="containsText" text="M4">
      <formula>NOT(ISERROR(SEARCH("M4",P40)))</formula>
    </cfRule>
  </conditionalFormatting>
  <conditionalFormatting sqref="P40">
    <cfRule type="containsText" dxfId="574" priority="269" operator="containsText" text="M5">
      <formula>NOT(ISERROR(SEARCH("M5",P40)))</formula>
    </cfRule>
  </conditionalFormatting>
  <conditionalFormatting sqref="P40">
    <cfRule type="containsText" dxfId="573" priority="270" operator="containsText" text="M6">
      <formula>NOT(ISERROR(SEARCH("M6",P40)))</formula>
    </cfRule>
  </conditionalFormatting>
  <conditionalFormatting sqref="P40">
    <cfRule type="containsText" dxfId="572" priority="271" operator="containsText" text="A">
      <formula>NOT(ISERROR(SEARCH("A",P40)))</formula>
    </cfRule>
  </conditionalFormatting>
  <conditionalFormatting sqref="P40">
    <cfRule type="containsText" dxfId="571" priority="272" operator="containsText" text="K">
      <formula>NOT(ISERROR(SEARCH("K",P40)))</formula>
    </cfRule>
  </conditionalFormatting>
  <conditionalFormatting sqref="P40">
    <cfRule type="containsText" dxfId="570" priority="273" operator="containsText" text="Q">
      <formula>NOT(ISERROR(SEARCH("Q",P40)))</formula>
    </cfRule>
  </conditionalFormatting>
  <conditionalFormatting sqref="P40">
    <cfRule type="containsText" dxfId="569" priority="274" operator="containsText" text="J">
      <formula>NOT(ISERROR(SEARCH("J",P40)))</formula>
    </cfRule>
  </conditionalFormatting>
  <conditionalFormatting sqref="P40">
    <cfRule type="containsText" dxfId="568" priority="275" operator="containsText" text="TE">
      <formula>NOT(ISERROR(SEARCH("TE",P40)))</formula>
    </cfRule>
  </conditionalFormatting>
  <conditionalFormatting sqref="P40">
    <cfRule type="containsText" dxfId="567" priority="276" operator="containsText" text="MY">
      <formula>NOT(ISERROR(SEARCH("MY",P40)))</formula>
    </cfRule>
  </conditionalFormatting>
  <conditionalFormatting sqref="Q40">
    <cfRule type="containsText" dxfId="566" priority="253" operator="containsText" text="M1">
      <formula>NOT(ISERROR(SEARCH("M1",Q40)))</formula>
    </cfRule>
  </conditionalFormatting>
  <conditionalFormatting sqref="Q40">
    <cfRule type="containsText" dxfId="565" priority="254" operator="containsText" text="M2">
      <formula>NOT(ISERROR(SEARCH("M2",Q40)))</formula>
    </cfRule>
  </conditionalFormatting>
  <conditionalFormatting sqref="Q40">
    <cfRule type="containsText" dxfId="564" priority="255" operator="containsText" text="M3">
      <formula>NOT(ISERROR(SEARCH("M3",Q40)))</formula>
    </cfRule>
  </conditionalFormatting>
  <conditionalFormatting sqref="Q40">
    <cfRule type="containsText" dxfId="563" priority="256" operator="containsText" text="M4">
      <formula>NOT(ISERROR(SEARCH("M4",Q40)))</formula>
    </cfRule>
  </conditionalFormatting>
  <conditionalFormatting sqref="Q40">
    <cfRule type="containsText" dxfId="562" priority="257" operator="containsText" text="M5">
      <formula>NOT(ISERROR(SEARCH("M5",Q40)))</formula>
    </cfRule>
  </conditionalFormatting>
  <conditionalFormatting sqref="Q40">
    <cfRule type="containsText" dxfId="561" priority="258" operator="containsText" text="M6">
      <formula>NOT(ISERROR(SEARCH("M6",Q40)))</formula>
    </cfRule>
  </conditionalFormatting>
  <conditionalFormatting sqref="Q40">
    <cfRule type="containsText" dxfId="560" priority="259" operator="containsText" text="A">
      <formula>NOT(ISERROR(SEARCH("A",Q40)))</formula>
    </cfRule>
  </conditionalFormatting>
  <conditionalFormatting sqref="Q40">
    <cfRule type="containsText" dxfId="559" priority="260" operator="containsText" text="K">
      <formula>NOT(ISERROR(SEARCH("K",Q40)))</formula>
    </cfRule>
  </conditionalFormatting>
  <conditionalFormatting sqref="Q40">
    <cfRule type="containsText" dxfId="558" priority="261" operator="containsText" text="Q">
      <formula>NOT(ISERROR(SEARCH("Q",Q40)))</formula>
    </cfRule>
  </conditionalFormatting>
  <conditionalFormatting sqref="Q40">
    <cfRule type="containsText" dxfId="557" priority="262" operator="containsText" text="J">
      <formula>NOT(ISERROR(SEARCH("J",Q40)))</formula>
    </cfRule>
  </conditionalFormatting>
  <conditionalFormatting sqref="Q40">
    <cfRule type="containsText" dxfId="556" priority="263" operator="containsText" text="TE">
      <formula>NOT(ISERROR(SEARCH("TE",Q40)))</formula>
    </cfRule>
  </conditionalFormatting>
  <conditionalFormatting sqref="Q40">
    <cfRule type="containsText" dxfId="555" priority="264" operator="containsText" text="MY">
      <formula>NOT(ISERROR(SEARCH("MY",Q40)))</formula>
    </cfRule>
  </conditionalFormatting>
  <conditionalFormatting sqref="R40">
    <cfRule type="containsText" dxfId="554" priority="241" operator="containsText" text="M1">
      <formula>NOT(ISERROR(SEARCH("M1",R40)))</formula>
    </cfRule>
  </conditionalFormatting>
  <conditionalFormatting sqref="R40">
    <cfRule type="containsText" dxfId="553" priority="242" operator="containsText" text="M2">
      <formula>NOT(ISERROR(SEARCH("M2",R40)))</formula>
    </cfRule>
  </conditionalFormatting>
  <conditionalFormatting sqref="R40">
    <cfRule type="containsText" dxfId="552" priority="243" operator="containsText" text="M3">
      <formula>NOT(ISERROR(SEARCH("M3",R40)))</formula>
    </cfRule>
  </conditionalFormatting>
  <conditionalFormatting sqref="R40">
    <cfRule type="containsText" dxfId="551" priority="244" operator="containsText" text="M4">
      <formula>NOT(ISERROR(SEARCH("M4",R40)))</formula>
    </cfRule>
  </conditionalFormatting>
  <conditionalFormatting sqref="R40">
    <cfRule type="containsText" dxfId="550" priority="245" operator="containsText" text="M5">
      <formula>NOT(ISERROR(SEARCH("M5",R40)))</formula>
    </cfRule>
  </conditionalFormatting>
  <conditionalFormatting sqref="R40">
    <cfRule type="containsText" dxfId="549" priority="246" operator="containsText" text="M6">
      <formula>NOT(ISERROR(SEARCH("M6",R40)))</formula>
    </cfRule>
  </conditionalFormatting>
  <conditionalFormatting sqref="R40">
    <cfRule type="containsText" dxfId="548" priority="247" operator="containsText" text="A">
      <formula>NOT(ISERROR(SEARCH("A",R40)))</formula>
    </cfRule>
  </conditionalFormatting>
  <conditionalFormatting sqref="R40">
    <cfRule type="containsText" dxfId="547" priority="248" operator="containsText" text="K">
      <formula>NOT(ISERROR(SEARCH("K",R40)))</formula>
    </cfRule>
  </conditionalFormatting>
  <conditionalFormatting sqref="R40">
    <cfRule type="containsText" dxfId="546" priority="249" operator="containsText" text="Q">
      <formula>NOT(ISERROR(SEARCH("Q",R40)))</formula>
    </cfRule>
  </conditionalFormatting>
  <conditionalFormatting sqref="R40">
    <cfRule type="containsText" dxfId="545" priority="250" operator="containsText" text="J">
      <formula>NOT(ISERROR(SEARCH("J",R40)))</formula>
    </cfRule>
  </conditionalFormatting>
  <conditionalFormatting sqref="R40">
    <cfRule type="containsText" dxfId="544" priority="251" operator="containsText" text="TE">
      <formula>NOT(ISERROR(SEARCH("TE",R40)))</formula>
    </cfRule>
  </conditionalFormatting>
  <conditionalFormatting sqref="R40">
    <cfRule type="containsText" dxfId="543" priority="252" operator="containsText" text="MY">
      <formula>NOT(ISERROR(SEARCH("MY",R40)))</formula>
    </cfRule>
  </conditionalFormatting>
  <conditionalFormatting sqref="BE40">
    <cfRule type="containsText" dxfId="542" priority="73" operator="containsText" text="M1">
      <formula>NOT(ISERROR(SEARCH("M1",BE40)))</formula>
    </cfRule>
  </conditionalFormatting>
  <conditionalFormatting sqref="BE40">
    <cfRule type="containsText" dxfId="541" priority="74" operator="containsText" text="M2">
      <formula>NOT(ISERROR(SEARCH("M2",BE40)))</formula>
    </cfRule>
  </conditionalFormatting>
  <conditionalFormatting sqref="BE40">
    <cfRule type="containsText" dxfId="540" priority="75" operator="containsText" text="M3">
      <formula>NOT(ISERROR(SEARCH("M3",BE40)))</formula>
    </cfRule>
  </conditionalFormatting>
  <conditionalFormatting sqref="BE40">
    <cfRule type="containsText" dxfId="539" priority="76" operator="containsText" text="M4">
      <formula>NOT(ISERROR(SEARCH("M4",BE40)))</formula>
    </cfRule>
  </conditionalFormatting>
  <conditionalFormatting sqref="BE40">
    <cfRule type="containsText" dxfId="538" priority="77" operator="containsText" text="M5">
      <formula>NOT(ISERROR(SEARCH("M5",BE40)))</formula>
    </cfRule>
  </conditionalFormatting>
  <conditionalFormatting sqref="BE40">
    <cfRule type="containsText" dxfId="537" priority="78" operator="containsText" text="M6">
      <formula>NOT(ISERROR(SEARCH("M6",BE40)))</formula>
    </cfRule>
  </conditionalFormatting>
  <conditionalFormatting sqref="BE40">
    <cfRule type="containsText" dxfId="536" priority="79" operator="containsText" text="A">
      <formula>NOT(ISERROR(SEARCH("A",BE40)))</formula>
    </cfRule>
  </conditionalFormatting>
  <conditionalFormatting sqref="BE40">
    <cfRule type="containsText" dxfId="535" priority="80" operator="containsText" text="K">
      <formula>NOT(ISERROR(SEARCH("K",BE40)))</formula>
    </cfRule>
  </conditionalFormatting>
  <conditionalFormatting sqref="BE40">
    <cfRule type="containsText" dxfId="534" priority="81" operator="containsText" text="Q">
      <formula>NOT(ISERROR(SEARCH("Q",BE40)))</formula>
    </cfRule>
  </conditionalFormatting>
  <conditionalFormatting sqref="BE40">
    <cfRule type="containsText" dxfId="533" priority="82" operator="containsText" text="J">
      <formula>NOT(ISERROR(SEARCH("J",BE40)))</formula>
    </cfRule>
  </conditionalFormatting>
  <conditionalFormatting sqref="BE40">
    <cfRule type="containsText" dxfId="532" priority="83" operator="containsText" text="TE">
      <formula>NOT(ISERROR(SEARCH("TE",BE40)))</formula>
    </cfRule>
  </conditionalFormatting>
  <conditionalFormatting sqref="BE40">
    <cfRule type="containsText" dxfId="531" priority="84" operator="containsText" text="MY">
      <formula>NOT(ISERROR(SEARCH("MY",BE40)))</formula>
    </cfRule>
  </conditionalFormatting>
  <conditionalFormatting sqref="BF40">
    <cfRule type="containsText" dxfId="530" priority="61" operator="containsText" text="M1">
      <formula>NOT(ISERROR(SEARCH("M1",BF40)))</formula>
    </cfRule>
  </conditionalFormatting>
  <conditionalFormatting sqref="BF40">
    <cfRule type="containsText" dxfId="529" priority="62" operator="containsText" text="M2">
      <formula>NOT(ISERROR(SEARCH("M2",BF40)))</formula>
    </cfRule>
  </conditionalFormatting>
  <conditionalFormatting sqref="BF40">
    <cfRule type="containsText" dxfId="528" priority="63" operator="containsText" text="M3">
      <formula>NOT(ISERROR(SEARCH("M3",BF40)))</formula>
    </cfRule>
  </conditionalFormatting>
  <conditionalFormatting sqref="BF40">
    <cfRule type="containsText" dxfId="527" priority="64" operator="containsText" text="M4">
      <formula>NOT(ISERROR(SEARCH("M4",BF40)))</formula>
    </cfRule>
  </conditionalFormatting>
  <conditionalFormatting sqref="BF40">
    <cfRule type="containsText" dxfId="526" priority="65" operator="containsText" text="M5">
      <formula>NOT(ISERROR(SEARCH("M5",BF40)))</formula>
    </cfRule>
  </conditionalFormatting>
  <conditionalFormatting sqref="BF40">
    <cfRule type="containsText" dxfId="525" priority="66" operator="containsText" text="M6">
      <formula>NOT(ISERROR(SEARCH("M6",BF40)))</formula>
    </cfRule>
  </conditionalFormatting>
  <conditionalFormatting sqref="BF40">
    <cfRule type="containsText" dxfId="524" priority="67" operator="containsText" text="A">
      <formula>NOT(ISERROR(SEARCH("A",BF40)))</formula>
    </cfRule>
  </conditionalFormatting>
  <conditionalFormatting sqref="BF40">
    <cfRule type="containsText" dxfId="523" priority="68" operator="containsText" text="K">
      <formula>NOT(ISERROR(SEARCH("K",BF40)))</formula>
    </cfRule>
  </conditionalFormatting>
  <conditionalFormatting sqref="BF40">
    <cfRule type="containsText" dxfId="522" priority="69" operator="containsText" text="Q">
      <formula>NOT(ISERROR(SEARCH("Q",BF40)))</formula>
    </cfRule>
  </conditionalFormatting>
  <conditionalFormatting sqref="BF40">
    <cfRule type="containsText" dxfId="521" priority="70" operator="containsText" text="J">
      <formula>NOT(ISERROR(SEARCH("J",BF40)))</formula>
    </cfRule>
  </conditionalFormatting>
  <conditionalFormatting sqref="BF40">
    <cfRule type="containsText" dxfId="520" priority="71" operator="containsText" text="TE">
      <formula>NOT(ISERROR(SEARCH("TE",BF40)))</formula>
    </cfRule>
  </conditionalFormatting>
  <conditionalFormatting sqref="BF40">
    <cfRule type="containsText" dxfId="519" priority="72" operator="containsText" text="MY">
      <formula>NOT(ISERROR(SEARCH("MY",BF40)))</formula>
    </cfRule>
  </conditionalFormatting>
  <conditionalFormatting sqref="BG40">
    <cfRule type="containsText" dxfId="518" priority="49" operator="containsText" text="M1">
      <formula>NOT(ISERROR(SEARCH("M1",BG40)))</formula>
    </cfRule>
  </conditionalFormatting>
  <conditionalFormatting sqref="BG40">
    <cfRule type="containsText" dxfId="517" priority="50" operator="containsText" text="M2">
      <formula>NOT(ISERROR(SEARCH("M2",BG40)))</formula>
    </cfRule>
  </conditionalFormatting>
  <conditionalFormatting sqref="BG40">
    <cfRule type="containsText" dxfId="516" priority="51" operator="containsText" text="M3">
      <formula>NOT(ISERROR(SEARCH("M3",BG40)))</formula>
    </cfRule>
  </conditionalFormatting>
  <conditionalFormatting sqref="BG40">
    <cfRule type="containsText" dxfId="515" priority="52" operator="containsText" text="M4">
      <formula>NOT(ISERROR(SEARCH("M4",BG40)))</formula>
    </cfRule>
  </conditionalFormatting>
  <conditionalFormatting sqref="BG40">
    <cfRule type="containsText" dxfId="514" priority="53" operator="containsText" text="M5">
      <formula>NOT(ISERROR(SEARCH("M5",BG40)))</formula>
    </cfRule>
  </conditionalFormatting>
  <conditionalFormatting sqref="BG40">
    <cfRule type="containsText" dxfId="513" priority="54" operator="containsText" text="M6">
      <formula>NOT(ISERROR(SEARCH("M6",BG40)))</formula>
    </cfRule>
  </conditionalFormatting>
  <conditionalFormatting sqref="BG40">
    <cfRule type="containsText" dxfId="512" priority="55" operator="containsText" text="A">
      <formula>NOT(ISERROR(SEARCH("A",BG40)))</formula>
    </cfRule>
  </conditionalFormatting>
  <conditionalFormatting sqref="BG40">
    <cfRule type="containsText" dxfId="511" priority="56" operator="containsText" text="K">
      <formula>NOT(ISERROR(SEARCH("K",BG40)))</formula>
    </cfRule>
  </conditionalFormatting>
  <conditionalFormatting sqref="BG40">
    <cfRule type="containsText" dxfId="510" priority="57" operator="containsText" text="Q">
      <formula>NOT(ISERROR(SEARCH("Q",BG40)))</formula>
    </cfRule>
  </conditionalFormatting>
  <conditionalFormatting sqref="BG40">
    <cfRule type="containsText" dxfId="509" priority="58" operator="containsText" text="J">
      <formula>NOT(ISERROR(SEARCH("J",BG40)))</formula>
    </cfRule>
  </conditionalFormatting>
  <conditionalFormatting sqref="BG40">
    <cfRule type="containsText" dxfId="508" priority="59" operator="containsText" text="TE">
      <formula>NOT(ISERROR(SEARCH("TE",BG40)))</formula>
    </cfRule>
  </conditionalFormatting>
  <conditionalFormatting sqref="BG40">
    <cfRule type="containsText" dxfId="507" priority="60" operator="containsText" text="MY">
      <formula>NOT(ISERROR(SEARCH("MY",BG40)))</formula>
    </cfRule>
  </conditionalFormatting>
  <conditionalFormatting sqref="BH40">
    <cfRule type="containsText" dxfId="506" priority="37" operator="containsText" text="M1">
      <formula>NOT(ISERROR(SEARCH("M1",BH40)))</formula>
    </cfRule>
  </conditionalFormatting>
  <conditionalFormatting sqref="BH40">
    <cfRule type="containsText" dxfId="505" priority="38" operator="containsText" text="M2">
      <formula>NOT(ISERROR(SEARCH("M2",BH40)))</formula>
    </cfRule>
  </conditionalFormatting>
  <conditionalFormatting sqref="BH40">
    <cfRule type="containsText" dxfId="504" priority="39" operator="containsText" text="M3">
      <formula>NOT(ISERROR(SEARCH("M3",BH40)))</formula>
    </cfRule>
  </conditionalFormatting>
  <conditionalFormatting sqref="BH40">
    <cfRule type="containsText" dxfId="503" priority="40" operator="containsText" text="M4">
      <formula>NOT(ISERROR(SEARCH("M4",BH40)))</formula>
    </cfRule>
  </conditionalFormatting>
  <conditionalFormatting sqref="BH40">
    <cfRule type="containsText" dxfId="502" priority="41" operator="containsText" text="M5">
      <formula>NOT(ISERROR(SEARCH("M5",BH40)))</formula>
    </cfRule>
  </conditionalFormatting>
  <conditionalFormatting sqref="BH40">
    <cfRule type="containsText" dxfId="501" priority="42" operator="containsText" text="M6">
      <formula>NOT(ISERROR(SEARCH("M6",BH40)))</formula>
    </cfRule>
  </conditionalFormatting>
  <conditionalFormatting sqref="BH40">
    <cfRule type="containsText" dxfId="500" priority="43" operator="containsText" text="A">
      <formula>NOT(ISERROR(SEARCH("A",BH40)))</formula>
    </cfRule>
  </conditionalFormatting>
  <conditionalFormatting sqref="BH40">
    <cfRule type="containsText" dxfId="499" priority="44" operator="containsText" text="K">
      <formula>NOT(ISERROR(SEARCH("K",BH40)))</formula>
    </cfRule>
  </conditionalFormatting>
  <conditionalFormatting sqref="BH40">
    <cfRule type="containsText" dxfId="498" priority="45" operator="containsText" text="Q">
      <formula>NOT(ISERROR(SEARCH("Q",BH40)))</formula>
    </cfRule>
  </conditionalFormatting>
  <conditionalFormatting sqref="BH40">
    <cfRule type="containsText" dxfId="497" priority="46" operator="containsText" text="J">
      <formula>NOT(ISERROR(SEARCH("J",BH40)))</formula>
    </cfRule>
  </conditionalFormatting>
  <conditionalFormatting sqref="BH40">
    <cfRule type="containsText" dxfId="496" priority="47" operator="containsText" text="TE">
      <formula>NOT(ISERROR(SEARCH("TE",BH40)))</formula>
    </cfRule>
  </conditionalFormatting>
  <conditionalFormatting sqref="BH40">
    <cfRule type="containsText" dxfId="495" priority="48" operator="containsText" text="MY">
      <formula>NOT(ISERROR(SEARCH("MY",BH40)))</formula>
    </cfRule>
  </conditionalFormatting>
  <conditionalFormatting sqref="BI40">
    <cfRule type="containsText" dxfId="494" priority="25" operator="containsText" text="M1">
      <formula>NOT(ISERROR(SEARCH("M1",BI40)))</formula>
    </cfRule>
  </conditionalFormatting>
  <conditionalFormatting sqref="BI40">
    <cfRule type="containsText" dxfId="493" priority="26" operator="containsText" text="M2">
      <formula>NOT(ISERROR(SEARCH("M2",BI40)))</formula>
    </cfRule>
  </conditionalFormatting>
  <conditionalFormatting sqref="BI40">
    <cfRule type="containsText" dxfId="492" priority="27" operator="containsText" text="M3">
      <formula>NOT(ISERROR(SEARCH("M3",BI40)))</formula>
    </cfRule>
  </conditionalFormatting>
  <conditionalFormatting sqref="BI40">
    <cfRule type="containsText" dxfId="491" priority="28" operator="containsText" text="M4">
      <formula>NOT(ISERROR(SEARCH("M4",BI40)))</formula>
    </cfRule>
  </conditionalFormatting>
  <conditionalFormatting sqref="BI40">
    <cfRule type="containsText" dxfId="490" priority="29" operator="containsText" text="M5">
      <formula>NOT(ISERROR(SEARCH("M5",BI40)))</formula>
    </cfRule>
  </conditionalFormatting>
  <conditionalFormatting sqref="BI40">
    <cfRule type="containsText" dxfId="489" priority="30" operator="containsText" text="M6">
      <formula>NOT(ISERROR(SEARCH("M6",BI40)))</formula>
    </cfRule>
  </conditionalFormatting>
  <conditionalFormatting sqref="BI40">
    <cfRule type="containsText" dxfId="488" priority="31" operator="containsText" text="A">
      <formula>NOT(ISERROR(SEARCH("A",BI40)))</formula>
    </cfRule>
  </conditionalFormatting>
  <conditionalFormatting sqref="BI40">
    <cfRule type="containsText" dxfId="487" priority="32" operator="containsText" text="K">
      <formula>NOT(ISERROR(SEARCH("K",BI40)))</formula>
    </cfRule>
  </conditionalFormatting>
  <conditionalFormatting sqref="BI40">
    <cfRule type="containsText" dxfId="486" priority="33" operator="containsText" text="Q">
      <formula>NOT(ISERROR(SEARCH("Q",BI40)))</formula>
    </cfRule>
  </conditionalFormatting>
  <conditionalFormatting sqref="BI40">
    <cfRule type="containsText" dxfId="485" priority="34" operator="containsText" text="J">
      <formula>NOT(ISERROR(SEARCH("J",BI40)))</formula>
    </cfRule>
  </conditionalFormatting>
  <conditionalFormatting sqref="BI40">
    <cfRule type="containsText" dxfId="484" priority="35" operator="containsText" text="TE">
      <formula>NOT(ISERROR(SEARCH("TE",BI40)))</formula>
    </cfRule>
  </conditionalFormatting>
  <conditionalFormatting sqref="BI40">
    <cfRule type="containsText" dxfId="483" priority="36" operator="containsText" text="MY">
      <formula>NOT(ISERROR(SEARCH("MY",BI40)))</formula>
    </cfRule>
  </conditionalFormatting>
  <conditionalFormatting sqref="BJ40">
    <cfRule type="containsText" dxfId="482" priority="13" operator="containsText" text="M1">
      <formula>NOT(ISERROR(SEARCH("M1",BJ40)))</formula>
    </cfRule>
  </conditionalFormatting>
  <conditionalFormatting sqref="BJ40">
    <cfRule type="containsText" dxfId="481" priority="14" operator="containsText" text="M2">
      <formula>NOT(ISERROR(SEARCH("M2",BJ40)))</formula>
    </cfRule>
  </conditionalFormatting>
  <conditionalFormatting sqref="BJ40">
    <cfRule type="containsText" dxfId="480" priority="15" operator="containsText" text="M3">
      <formula>NOT(ISERROR(SEARCH("M3",BJ40)))</formula>
    </cfRule>
  </conditionalFormatting>
  <conditionalFormatting sqref="BJ40">
    <cfRule type="containsText" dxfId="479" priority="16" operator="containsText" text="M4">
      <formula>NOT(ISERROR(SEARCH("M4",BJ40)))</formula>
    </cfRule>
  </conditionalFormatting>
  <conditionalFormatting sqref="BJ40">
    <cfRule type="containsText" dxfId="478" priority="17" operator="containsText" text="M5">
      <formula>NOT(ISERROR(SEARCH("M5",BJ40)))</formula>
    </cfRule>
  </conditionalFormatting>
  <conditionalFormatting sqref="BJ40">
    <cfRule type="containsText" dxfId="477" priority="18" operator="containsText" text="M6">
      <formula>NOT(ISERROR(SEARCH("M6",BJ40)))</formula>
    </cfRule>
  </conditionalFormatting>
  <conditionalFormatting sqref="BJ40">
    <cfRule type="containsText" dxfId="476" priority="19" operator="containsText" text="A">
      <formula>NOT(ISERROR(SEARCH("A",BJ40)))</formula>
    </cfRule>
  </conditionalFormatting>
  <conditionalFormatting sqref="BJ40">
    <cfRule type="containsText" dxfId="475" priority="20" operator="containsText" text="K">
      <formula>NOT(ISERROR(SEARCH("K",BJ40)))</formula>
    </cfRule>
  </conditionalFormatting>
  <conditionalFormatting sqref="BJ40">
    <cfRule type="containsText" dxfId="474" priority="21" operator="containsText" text="Q">
      <formula>NOT(ISERROR(SEARCH("Q",BJ40)))</formula>
    </cfRule>
  </conditionalFormatting>
  <conditionalFormatting sqref="BJ40">
    <cfRule type="containsText" dxfId="473" priority="22" operator="containsText" text="J">
      <formula>NOT(ISERROR(SEARCH("J",BJ40)))</formula>
    </cfRule>
  </conditionalFormatting>
  <conditionalFormatting sqref="BJ40">
    <cfRule type="containsText" dxfId="472" priority="23" operator="containsText" text="TE">
      <formula>NOT(ISERROR(SEARCH("TE",BJ40)))</formula>
    </cfRule>
  </conditionalFormatting>
  <conditionalFormatting sqref="BJ40">
    <cfRule type="containsText" dxfId="471" priority="24" operator="containsText" text="MY">
      <formula>NOT(ISERROR(SEARCH("MY",BJ40)))</formula>
    </cfRule>
  </conditionalFormatting>
  <conditionalFormatting sqref="BK40">
    <cfRule type="containsText" dxfId="470" priority="1" operator="containsText" text="M1">
      <formula>NOT(ISERROR(SEARCH("M1",BK40)))</formula>
    </cfRule>
  </conditionalFormatting>
  <conditionalFormatting sqref="BK40">
    <cfRule type="containsText" dxfId="469" priority="2" operator="containsText" text="M2">
      <formula>NOT(ISERROR(SEARCH("M2",BK40)))</formula>
    </cfRule>
  </conditionalFormatting>
  <conditionalFormatting sqref="BK40">
    <cfRule type="containsText" dxfId="468" priority="3" operator="containsText" text="M3">
      <formula>NOT(ISERROR(SEARCH("M3",BK40)))</formula>
    </cfRule>
  </conditionalFormatting>
  <conditionalFormatting sqref="BK40">
    <cfRule type="containsText" dxfId="467" priority="4" operator="containsText" text="M4">
      <formula>NOT(ISERROR(SEARCH("M4",BK40)))</formula>
    </cfRule>
  </conditionalFormatting>
  <conditionalFormatting sqref="BK40">
    <cfRule type="containsText" dxfId="466" priority="5" operator="containsText" text="M5">
      <formula>NOT(ISERROR(SEARCH("M5",BK40)))</formula>
    </cfRule>
  </conditionalFormatting>
  <conditionalFormatting sqref="BK40">
    <cfRule type="containsText" dxfId="465" priority="6" operator="containsText" text="M6">
      <formula>NOT(ISERROR(SEARCH("M6",BK40)))</formula>
    </cfRule>
  </conditionalFormatting>
  <conditionalFormatting sqref="BK40">
    <cfRule type="containsText" dxfId="464" priority="7" operator="containsText" text="A">
      <formula>NOT(ISERROR(SEARCH("A",BK40)))</formula>
    </cfRule>
  </conditionalFormatting>
  <conditionalFormatting sqref="BK40">
    <cfRule type="containsText" dxfId="463" priority="8" operator="containsText" text="K">
      <formula>NOT(ISERROR(SEARCH("K",BK40)))</formula>
    </cfRule>
  </conditionalFormatting>
  <conditionalFormatting sqref="BK40">
    <cfRule type="containsText" dxfId="462" priority="9" operator="containsText" text="Q">
      <formula>NOT(ISERROR(SEARCH("Q",BK40)))</formula>
    </cfRule>
  </conditionalFormatting>
  <conditionalFormatting sqref="BK40">
    <cfRule type="containsText" dxfId="461" priority="10" operator="containsText" text="J">
      <formula>NOT(ISERROR(SEARCH("J",BK40)))</formula>
    </cfRule>
  </conditionalFormatting>
  <conditionalFormatting sqref="BK40">
    <cfRule type="containsText" dxfId="460" priority="11" operator="containsText" text="TE">
      <formula>NOT(ISERROR(SEARCH("TE",BK40)))</formula>
    </cfRule>
  </conditionalFormatting>
  <conditionalFormatting sqref="BK40">
    <cfRule type="containsText" dxfId="459" priority="12" operator="containsText" text="MY">
      <formula>NOT(ISERROR(SEARCH("MY",BK40)))</formula>
    </cfRule>
  </conditionalFormatting>
  <conditionalFormatting sqref="BE4:BK39 BE41:BK124">
    <cfRule type="containsText" dxfId="458" priority="85" operator="containsText" text="M1">
      <formula>NOT(ISERROR(SEARCH("M1",BE4)))</formula>
    </cfRule>
  </conditionalFormatting>
  <conditionalFormatting sqref="BE4:BK39 BE41:BK124">
    <cfRule type="containsText" dxfId="457" priority="86" operator="containsText" text="M2">
      <formula>NOT(ISERROR(SEARCH("M2",BE4)))</formula>
    </cfRule>
  </conditionalFormatting>
  <conditionalFormatting sqref="BE4:BK39 BE41:BK124">
    <cfRule type="containsText" dxfId="456" priority="87" operator="containsText" text="M3">
      <formula>NOT(ISERROR(SEARCH("M3",BE4)))</formula>
    </cfRule>
  </conditionalFormatting>
  <conditionalFormatting sqref="BE4:BK39 BE41:BK124">
    <cfRule type="containsText" dxfId="455" priority="88" operator="containsText" text="M4">
      <formula>NOT(ISERROR(SEARCH("M4",BE4)))</formula>
    </cfRule>
  </conditionalFormatting>
  <conditionalFormatting sqref="BE4:BK39 BE41:BK124">
    <cfRule type="containsText" dxfId="454" priority="89" operator="containsText" text="M5">
      <formula>NOT(ISERROR(SEARCH("M5",BE4)))</formula>
    </cfRule>
  </conditionalFormatting>
  <conditionalFormatting sqref="BE4:BK39 BE41:BK124">
    <cfRule type="containsText" dxfId="453" priority="90" operator="containsText" text="M6">
      <formula>NOT(ISERROR(SEARCH("M6",BE4)))</formula>
    </cfRule>
  </conditionalFormatting>
  <conditionalFormatting sqref="BE4:BK39 BE41:BK124">
    <cfRule type="containsText" dxfId="452" priority="91" operator="containsText" text="A">
      <formula>NOT(ISERROR(SEARCH("A",BE4)))</formula>
    </cfRule>
  </conditionalFormatting>
  <conditionalFormatting sqref="BE4:BK39 BE41:BK124">
    <cfRule type="containsText" dxfId="451" priority="92" operator="containsText" text="K">
      <formula>NOT(ISERROR(SEARCH("K",BE4)))</formula>
    </cfRule>
  </conditionalFormatting>
  <conditionalFormatting sqref="BE4:BK39 BE41:BK124">
    <cfRule type="containsText" dxfId="450" priority="93" operator="containsText" text="Q">
      <formula>NOT(ISERROR(SEARCH("Q",BE4)))</formula>
    </cfRule>
  </conditionalFormatting>
  <conditionalFormatting sqref="BE4:BK39 BE41:BK124">
    <cfRule type="containsText" dxfId="449" priority="94" operator="containsText" text="J">
      <formula>NOT(ISERROR(SEARCH("J",BE4)))</formula>
    </cfRule>
  </conditionalFormatting>
  <conditionalFormatting sqref="BE4:BK39 BE41:BK124">
    <cfRule type="containsText" dxfId="448" priority="95" operator="containsText" text="TE">
      <formula>NOT(ISERROR(SEARCH("TE",BE4)))</formula>
    </cfRule>
  </conditionalFormatting>
  <conditionalFormatting sqref="BE4:BK39 BE41:BK124">
    <cfRule type="containsText" dxfId="447" priority="96" operator="containsText" text="MY">
      <formula>NOT(ISERROR(SEARCH("MY",BE4)))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250D-8639-4645-9B94-751D32EC75D6}">
  <sheetPr codeName="工作表7">
    <tabColor theme="3" tint="0.59999389629810485"/>
  </sheetPr>
  <dimension ref="A1:ED322"/>
  <sheetViews>
    <sheetView topLeftCell="AT1" workbookViewId="0">
      <selection activeCell="S50" sqref="S50"/>
    </sheetView>
  </sheetViews>
  <sheetFormatPr defaultColWidth="9" defaultRowHeight="15.6" x14ac:dyDescent="0.3"/>
  <cols>
    <col min="1" max="1" width="17.88671875" style="1" bestFit="1" customWidth="1"/>
    <col min="2" max="6" width="6.77734375" style="1" bestFit="1" customWidth="1"/>
    <col min="7" max="7" width="4.21875" style="1" bestFit="1" customWidth="1"/>
    <col min="8" max="8" width="5.44140625" style="1" customWidth="1"/>
    <col min="9" max="9" width="4.77734375" style="1" customWidth="1"/>
    <col min="10" max="10" width="8.88671875" style="65" customWidth="1"/>
    <col min="11" max="11" width="9.21875" style="1" bestFit="1" customWidth="1"/>
    <col min="12" max="12" width="6.109375" style="87" bestFit="1" customWidth="1"/>
    <col min="13" max="14" width="7.44140625" style="87" bestFit="1" customWidth="1"/>
    <col min="15" max="15" width="7.44140625" style="87" customWidth="1"/>
    <col min="16" max="16" width="7.44140625" style="87" bestFit="1" customWidth="1"/>
    <col min="17" max="17" width="4.6640625" style="87" bestFit="1" customWidth="1"/>
    <col min="18" max="18" width="4.6640625" style="87" customWidth="1"/>
    <col min="19" max="19" width="8.88671875" style="1" customWidth="1"/>
    <col min="20" max="20" width="4.77734375" style="1" customWidth="1"/>
    <col min="21" max="25" width="4.77734375" style="87" customWidth="1"/>
    <col min="26" max="26" width="4.6640625" style="1" customWidth="1"/>
    <col min="27" max="27" width="8.88671875" style="1" customWidth="1"/>
    <col min="28" max="28" width="6.88671875" style="1" bestFit="1" customWidth="1"/>
    <col min="29" max="34" width="5.44140625" style="1" bestFit="1" customWidth="1"/>
    <col min="35" max="45" width="9" style="1"/>
    <col min="46" max="46" width="17.88671875" style="1" bestFit="1" customWidth="1"/>
    <col min="47" max="51" width="6.77734375" style="1" bestFit="1" customWidth="1"/>
    <col min="52" max="52" width="4.21875" style="1" bestFit="1" customWidth="1"/>
    <col min="53" max="53" width="5.44140625" style="1" customWidth="1"/>
    <col min="54" max="54" width="4.77734375" style="1" customWidth="1"/>
    <col min="55" max="55" width="8.88671875" style="65" customWidth="1"/>
    <col min="56" max="56" width="9.21875" style="1" bestFit="1" customWidth="1"/>
    <col min="57" max="57" width="6.109375" style="87" bestFit="1" customWidth="1"/>
    <col min="58" max="59" width="7.44140625" style="87" bestFit="1" customWidth="1"/>
    <col min="60" max="60" width="7.44140625" style="87" customWidth="1"/>
    <col min="61" max="61" width="7.44140625" style="87" bestFit="1" customWidth="1"/>
    <col min="62" max="62" width="4.6640625" style="87" bestFit="1" customWidth="1"/>
    <col min="63" max="63" width="4.6640625" style="87" customWidth="1"/>
    <col min="64" max="64" width="8.88671875" style="1" customWidth="1"/>
    <col min="65" max="65" width="4.77734375" style="1" customWidth="1"/>
    <col min="66" max="70" width="4.77734375" style="87" customWidth="1"/>
    <col min="71" max="71" width="4.6640625" style="1" customWidth="1"/>
    <col min="72" max="72" width="8.88671875" style="1" customWidth="1"/>
    <col min="73" max="73" width="6.88671875" style="1" bestFit="1" customWidth="1"/>
    <col min="74" max="79" width="5.44140625" style="1" bestFit="1" customWidth="1"/>
    <col min="80" max="90" width="9" style="1"/>
    <col min="91" max="91" width="17.88671875" style="1" bestFit="1" customWidth="1"/>
    <col min="92" max="96" width="6.77734375" style="1" bestFit="1" customWidth="1"/>
    <col min="97" max="97" width="4.21875" style="1" bestFit="1" customWidth="1"/>
    <col min="98" max="98" width="5.44140625" style="1" customWidth="1"/>
    <col min="99" max="99" width="4.77734375" style="1" customWidth="1"/>
    <col min="100" max="100" width="8.88671875" style="65" customWidth="1"/>
    <col min="101" max="101" width="9.21875" style="1" bestFit="1" customWidth="1"/>
    <col min="102" max="102" width="6.109375" style="96" bestFit="1" customWidth="1"/>
    <col min="103" max="104" width="7.44140625" style="96" bestFit="1" customWidth="1"/>
    <col min="105" max="105" width="7.44140625" style="96" customWidth="1"/>
    <col min="106" max="106" width="7.44140625" style="96" bestFit="1" customWidth="1"/>
    <col min="107" max="107" width="4.6640625" style="96" bestFit="1" customWidth="1"/>
    <col min="108" max="108" width="4.6640625" style="96" customWidth="1"/>
    <col min="109" max="109" width="8.88671875" style="1" customWidth="1"/>
    <col min="110" max="110" width="4.77734375" style="1" customWidth="1"/>
    <col min="111" max="115" width="4.77734375" style="96" customWidth="1"/>
    <col min="116" max="116" width="4.6640625" style="1" customWidth="1"/>
    <col min="117" max="117" width="8.88671875" style="1" customWidth="1"/>
    <col min="118" max="118" width="6.88671875" style="1" bestFit="1" customWidth="1"/>
    <col min="119" max="124" width="5.44140625" style="1" bestFit="1" customWidth="1"/>
    <col min="125" max="16384" width="9" style="1"/>
  </cols>
  <sheetData>
    <row r="1" spans="1:134" ht="16.2" x14ac:dyDescent="0.3">
      <c r="K1" s="3"/>
      <c r="T1" s="248" t="s">
        <v>116</v>
      </c>
      <c r="U1" s="248"/>
      <c r="V1" s="248"/>
      <c r="W1" s="248"/>
      <c r="X1" s="248"/>
      <c r="Y1" s="248"/>
      <c r="Z1" s="248"/>
      <c r="AB1" s="250"/>
      <c r="AC1" s="250"/>
      <c r="AD1" s="250"/>
      <c r="AE1" s="250"/>
      <c r="AF1" s="250"/>
      <c r="AG1" s="250"/>
      <c r="AH1" s="250"/>
      <c r="BD1" s="3"/>
      <c r="BM1" s="248" t="s">
        <v>166</v>
      </c>
      <c r="BN1" s="248"/>
      <c r="BO1" s="248"/>
      <c r="BP1" s="248"/>
      <c r="BQ1" s="248"/>
      <c r="BR1" s="248"/>
      <c r="BS1" s="248"/>
      <c r="BU1" s="250"/>
      <c r="BV1" s="250"/>
      <c r="BW1" s="250"/>
      <c r="BX1" s="250"/>
      <c r="BY1" s="250"/>
      <c r="BZ1" s="250"/>
      <c r="CA1" s="250"/>
      <c r="CW1" s="3"/>
      <c r="DF1" s="248" t="s">
        <v>195</v>
      </c>
      <c r="DG1" s="248"/>
      <c r="DH1" s="248"/>
      <c r="DI1" s="248"/>
      <c r="DJ1" s="248"/>
      <c r="DK1" s="248"/>
      <c r="DL1" s="248"/>
      <c r="DN1" s="250"/>
      <c r="DO1" s="250"/>
      <c r="DP1" s="250"/>
      <c r="DQ1" s="250"/>
      <c r="DR1" s="250"/>
      <c r="DS1" s="250"/>
      <c r="DT1" s="250"/>
    </row>
    <row r="2" spans="1:134" s="14" customFormat="1" ht="15.9" customHeight="1" x14ac:dyDescent="0.3">
      <c r="J2" s="66"/>
      <c r="K2" s="246" t="s">
        <v>115</v>
      </c>
      <c r="L2" s="246"/>
      <c r="M2" s="246"/>
      <c r="N2" s="246"/>
      <c r="O2" s="246"/>
      <c r="P2" s="246"/>
      <c r="Q2" s="246"/>
      <c r="R2" s="246"/>
      <c r="T2" s="249" t="s">
        <v>3</v>
      </c>
      <c r="U2" s="249"/>
      <c r="V2" s="249"/>
      <c r="W2" s="249"/>
      <c r="X2" s="249"/>
      <c r="Y2" s="249"/>
      <c r="Z2" s="249"/>
      <c r="AB2" s="251" t="s">
        <v>167</v>
      </c>
      <c r="AC2" s="251"/>
      <c r="AD2" s="251"/>
      <c r="AE2" s="251"/>
      <c r="AF2" s="251"/>
      <c r="AG2" s="251"/>
      <c r="AH2" s="251"/>
      <c r="AJ2" s="247" t="s">
        <v>165</v>
      </c>
      <c r="AK2" s="247"/>
      <c r="AL2" s="247"/>
      <c r="AM2" s="247"/>
      <c r="AN2" s="247"/>
      <c r="AO2" s="247"/>
      <c r="AP2" s="247"/>
      <c r="AQ2" s="247"/>
      <c r="AR2" s="247"/>
      <c r="BC2" s="66"/>
      <c r="BD2" s="246" t="s">
        <v>115</v>
      </c>
      <c r="BE2" s="246"/>
      <c r="BF2" s="246"/>
      <c r="BG2" s="246"/>
      <c r="BH2" s="246"/>
      <c r="BI2" s="246"/>
      <c r="BJ2" s="246"/>
      <c r="BK2" s="246"/>
      <c r="BM2" s="249" t="s">
        <v>3</v>
      </c>
      <c r="BN2" s="249"/>
      <c r="BO2" s="249"/>
      <c r="BP2" s="249"/>
      <c r="BQ2" s="249"/>
      <c r="BR2" s="249"/>
      <c r="BS2" s="249"/>
      <c r="BU2" s="251" t="s">
        <v>167</v>
      </c>
      <c r="BV2" s="251"/>
      <c r="BW2" s="251"/>
      <c r="BX2" s="251"/>
      <c r="BY2" s="251"/>
      <c r="BZ2" s="251"/>
      <c r="CA2" s="251"/>
      <c r="CC2" s="247" t="s">
        <v>165</v>
      </c>
      <c r="CD2" s="247"/>
      <c r="CE2" s="247"/>
      <c r="CF2" s="247"/>
      <c r="CG2" s="247"/>
      <c r="CH2" s="247"/>
      <c r="CI2" s="247"/>
      <c r="CJ2" s="247"/>
      <c r="CK2" s="247"/>
      <c r="CV2" s="66"/>
      <c r="CW2" s="246" t="s">
        <v>115</v>
      </c>
      <c r="CX2" s="246"/>
      <c r="CY2" s="246"/>
      <c r="CZ2" s="246"/>
      <c r="DA2" s="246"/>
      <c r="DB2" s="246"/>
      <c r="DC2" s="246"/>
      <c r="DD2" s="246"/>
      <c r="DF2" s="249" t="s">
        <v>3</v>
      </c>
      <c r="DG2" s="249"/>
      <c r="DH2" s="249"/>
      <c r="DI2" s="249"/>
      <c r="DJ2" s="249"/>
      <c r="DK2" s="249"/>
      <c r="DL2" s="249"/>
      <c r="DN2" s="251" t="s">
        <v>167</v>
      </c>
      <c r="DO2" s="251"/>
      <c r="DP2" s="251"/>
      <c r="DQ2" s="251"/>
      <c r="DR2" s="251"/>
      <c r="DS2" s="251"/>
      <c r="DT2" s="251"/>
      <c r="DV2" s="247" t="s">
        <v>165</v>
      </c>
      <c r="DW2" s="247"/>
      <c r="DX2" s="247"/>
      <c r="DY2" s="247"/>
      <c r="DZ2" s="247"/>
      <c r="EA2" s="247"/>
      <c r="EB2" s="247"/>
      <c r="EC2" s="247"/>
      <c r="ED2" s="247"/>
    </row>
    <row r="3" spans="1:134" ht="15.9" customHeight="1" thickBot="1" x14ac:dyDescent="0.35">
      <c r="A3" s="19" t="s">
        <v>2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30</v>
      </c>
      <c r="H3" s="20" t="s">
        <v>77</v>
      </c>
      <c r="I3" s="19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23</v>
      </c>
      <c r="R3" s="23" t="s">
        <v>76</v>
      </c>
      <c r="S3" s="87"/>
      <c r="T3" s="23" t="s">
        <v>12</v>
      </c>
      <c r="U3" s="23" t="s">
        <v>13</v>
      </c>
      <c r="V3" s="23" t="s">
        <v>14</v>
      </c>
      <c r="W3" s="23" t="s">
        <v>15</v>
      </c>
      <c r="X3" s="23" t="s">
        <v>16</v>
      </c>
      <c r="Y3" s="23" t="s">
        <v>23</v>
      </c>
      <c r="Z3" s="23" t="s">
        <v>76</v>
      </c>
      <c r="AB3" s="78" t="s">
        <v>41</v>
      </c>
      <c r="AC3" s="78" t="s">
        <v>42</v>
      </c>
      <c r="AD3" s="78" t="s">
        <v>43</v>
      </c>
      <c r="AE3" s="78" t="s">
        <v>44</v>
      </c>
      <c r="AF3" s="78" t="s">
        <v>45</v>
      </c>
      <c r="AG3" s="78" t="s">
        <v>23</v>
      </c>
      <c r="AH3" s="78" t="s">
        <v>76</v>
      </c>
      <c r="AJ3" s="82"/>
      <c r="AK3" s="245" t="s">
        <v>92</v>
      </c>
      <c r="AL3" s="245"/>
      <c r="AM3" s="245"/>
      <c r="AN3" s="245"/>
      <c r="AO3" s="245"/>
      <c r="AP3" s="245"/>
      <c r="AQ3" s="245"/>
      <c r="AR3" s="245"/>
      <c r="AT3" s="19" t="s">
        <v>2</v>
      </c>
      <c r="AU3" s="20" t="s">
        <v>5</v>
      </c>
      <c r="AV3" s="20" t="s">
        <v>6</v>
      </c>
      <c r="AW3" s="20" t="s">
        <v>7</v>
      </c>
      <c r="AX3" s="20" t="s">
        <v>8</v>
      </c>
      <c r="AY3" s="20" t="s">
        <v>9</v>
      </c>
      <c r="AZ3" s="20" t="s">
        <v>30</v>
      </c>
      <c r="BA3" s="20" t="s">
        <v>77</v>
      </c>
      <c r="BB3" s="19" t="s">
        <v>10</v>
      </c>
      <c r="BD3" s="23" t="s">
        <v>11</v>
      </c>
      <c r="BE3" s="23" t="s">
        <v>12</v>
      </c>
      <c r="BF3" s="23" t="s">
        <v>13</v>
      </c>
      <c r="BG3" s="23" t="s">
        <v>14</v>
      </c>
      <c r="BH3" s="23" t="s">
        <v>15</v>
      </c>
      <c r="BI3" s="23" t="s">
        <v>16</v>
      </c>
      <c r="BJ3" s="23" t="s">
        <v>23</v>
      </c>
      <c r="BK3" s="23" t="s">
        <v>76</v>
      </c>
      <c r="BL3" s="87"/>
      <c r="BM3" s="23" t="s">
        <v>12</v>
      </c>
      <c r="BN3" s="23" t="s">
        <v>13</v>
      </c>
      <c r="BO3" s="23" t="s">
        <v>14</v>
      </c>
      <c r="BP3" s="23" t="s">
        <v>15</v>
      </c>
      <c r="BQ3" s="23" t="s">
        <v>16</v>
      </c>
      <c r="BR3" s="23" t="s">
        <v>23</v>
      </c>
      <c r="BS3" s="23" t="s">
        <v>76</v>
      </c>
      <c r="BU3" s="78" t="s">
        <v>41</v>
      </c>
      <c r="BV3" s="78" t="s">
        <v>42</v>
      </c>
      <c r="BW3" s="78" t="s">
        <v>43</v>
      </c>
      <c r="BX3" s="78" t="s">
        <v>44</v>
      </c>
      <c r="BY3" s="78" t="s">
        <v>45</v>
      </c>
      <c r="BZ3" s="78" t="s">
        <v>23</v>
      </c>
      <c r="CA3" s="78" t="s">
        <v>76</v>
      </c>
      <c r="CC3" s="82"/>
      <c r="CD3" s="245" t="s">
        <v>92</v>
      </c>
      <c r="CE3" s="245"/>
      <c r="CF3" s="245"/>
      <c r="CG3" s="245"/>
      <c r="CH3" s="245"/>
      <c r="CI3" s="245"/>
      <c r="CJ3" s="245"/>
      <c r="CK3" s="245"/>
      <c r="CM3" s="19" t="s">
        <v>2</v>
      </c>
      <c r="CN3" s="20" t="s">
        <v>5</v>
      </c>
      <c r="CO3" s="20" t="s">
        <v>6</v>
      </c>
      <c r="CP3" s="20" t="s">
        <v>7</v>
      </c>
      <c r="CQ3" s="20" t="s">
        <v>8</v>
      </c>
      <c r="CR3" s="20" t="s">
        <v>9</v>
      </c>
      <c r="CS3" s="20" t="s">
        <v>30</v>
      </c>
      <c r="CT3" s="20" t="s">
        <v>77</v>
      </c>
      <c r="CU3" s="19" t="s">
        <v>10</v>
      </c>
      <c r="CW3" s="23" t="s">
        <v>11</v>
      </c>
      <c r="CX3" s="23" t="s">
        <v>12</v>
      </c>
      <c r="CY3" s="23" t="s">
        <v>13</v>
      </c>
      <c r="CZ3" s="23" t="s">
        <v>14</v>
      </c>
      <c r="DA3" s="23" t="s">
        <v>15</v>
      </c>
      <c r="DB3" s="23" t="s">
        <v>16</v>
      </c>
      <c r="DC3" s="23" t="s">
        <v>23</v>
      </c>
      <c r="DD3" s="23" t="s">
        <v>76</v>
      </c>
      <c r="DE3" s="96"/>
      <c r="DF3" s="23" t="s">
        <v>12</v>
      </c>
      <c r="DG3" s="23" t="s">
        <v>13</v>
      </c>
      <c r="DH3" s="23" t="s">
        <v>14</v>
      </c>
      <c r="DI3" s="23" t="s">
        <v>15</v>
      </c>
      <c r="DJ3" s="23" t="s">
        <v>16</v>
      </c>
      <c r="DK3" s="23" t="s">
        <v>23</v>
      </c>
      <c r="DL3" s="23" t="s">
        <v>76</v>
      </c>
      <c r="DN3" s="78" t="s">
        <v>41</v>
      </c>
      <c r="DO3" s="78" t="s">
        <v>42</v>
      </c>
      <c r="DP3" s="78" t="s">
        <v>43</v>
      </c>
      <c r="DQ3" s="78" t="s">
        <v>44</v>
      </c>
      <c r="DR3" s="78" t="s">
        <v>45</v>
      </c>
      <c r="DS3" s="78" t="s">
        <v>23</v>
      </c>
      <c r="DT3" s="78" t="s">
        <v>76</v>
      </c>
      <c r="DV3" s="82"/>
      <c r="DW3" s="245" t="s">
        <v>92</v>
      </c>
      <c r="DX3" s="245"/>
      <c r="DY3" s="245"/>
      <c r="DZ3" s="245"/>
      <c r="EA3" s="245"/>
      <c r="EB3" s="245"/>
      <c r="EC3" s="245"/>
      <c r="ED3" s="245"/>
    </row>
    <row r="4" spans="1:134" ht="15.9" customHeight="1" thickBot="1" x14ac:dyDescent="0.35">
      <c r="A4" s="7" t="s">
        <v>78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67"/>
      <c r="K4" s="22">
        <v>0</v>
      </c>
      <c r="L4" s="77" t="s">
        <v>152</v>
      </c>
      <c r="M4" s="77" t="s">
        <v>152</v>
      </c>
      <c r="N4" s="77" t="s">
        <v>37</v>
      </c>
      <c r="O4" s="77" t="s">
        <v>75</v>
      </c>
      <c r="P4" s="77" t="s">
        <v>35</v>
      </c>
      <c r="Q4" s="77" t="s">
        <v>25</v>
      </c>
      <c r="R4" s="37" t="s">
        <v>25</v>
      </c>
      <c r="T4" s="76">
        <f>VLOOKUP(L4, $A$4:$I$29, 9, 0)</f>
        <v>7</v>
      </c>
      <c r="U4" s="76">
        <f t="shared" ref="U4:Z4" si="1">VLOOKUP(M4, $A$4:$I$29, 9, 0)</f>
        <v>7</v>
      </c>
      <c r="V4" s="76">
        <f t="shared" si="1"/>
        <v>9</v>
      </c>
      <c r="W4" s="76">
        <f t="shared" si="1"/>
        <v>6</v>
      </c>
      <c r="X4" s="76">
        <f t="shared" si="1"/>
        <v>5</v>
      </c>
      <c r="Y4" s="76">
        <f t="shared" si="1"/>
        <v>8</v>
      </c>
      <c r="Z4" s="76">
        <f t="shared" si="1"/>
        <v>8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3</v>
      </c>
      <c r="AJ4" s="44" t="s">
        <v>52</v>
      </c>
      <c r="AK4" s="45" t="s">
        <v>12</v>
      </c>
      <c r="AL4" s="45" t="s">
        <v>13</v>
      </c>
      <c r="AM4" s="45" t="s">
        <v>14</v>
      </c>
      <c r="AN4" s="45" t="s">
        <v>15</v>
      </c>
      <c r="AO4" s="45" t="s">
        <v>16</v>
      </c>
      <c r="AP4" s="45" t="s">
        <v>56</v>
      </c>
      <c r="AQ4" s="46" t="s">
        <v>76</v>
      </c>
      <c r="AR4" s="47" t="s">
        <v>3</v>
      </c>
      <c r="AT4" s="7" t="s">
        <v>78</v>
      </c>
      <c r="AU4" s="15">
        <f>COUNTIF(BE$4:BE$304,$A4)</f>
        <v>0</v>
      </c>
      <c r="AV4" s="15">
        <f t="shared" ref="AV4:BA4" si="2">COUNTIF(BF$4:BF$304,$A4)</f>
        <v>0</v>
      </c>
      <c r="AW4" s="15">
        <f t="shared" si="2"/>
        <v>0</v>
      </c>
      <c r="AX4" s="15">
        <f t="shared" si="2"/>
        <v>0</v>
      </c>
      <c r="AY4" s="15">
        <f t="shared" si="2"/>
        <v>0</v>
      </c>
      <c r="AZ4" s="15">
        <f t="shared" si="2"/>
        <v>0</v>
      </c>
      <c r="BA4" s="15">
        <f t="shared" si="2"/>
        <v>0</v>
      </c>
      <c r="BB4" s="7">
        <v>0</v>
      </c>
      <c r="BC4" s="67"/>
      <c r="BD4" s="22">
        <v>0</v>
      </c>
      <c r="BE4" s="77" t="s">
        <v>152</v>
      </c>
      <c r="BF4" s="77" t="s">
        <v>152</v>
      </c>
      <c r="BG4" s="77" t="s">
        <v>37</v>
      </c>
      <c r="BH4" s="77" t="s">
        <v>75</v>
      </c>
      <c r="BI4" s="77" t="s">
        <v>35</v>
      </c>
      <c r="BJ4" s="77" t="s">
        <v>25</v>
      </c>
      <c r="BK4" s="37" t="s">
        <v>25</v>
      </c>
      <c r="BM4" s="76">
        <f>VLOOKUP(BE4, $A$4:$I$29, 9, 0)</f>
        <v>7</v>
      </c>
      <c r="BN4" s="76">
        <f t="shared" ref="BN4:BS4" si="3">VLOOKUP(BF4, $A$4:$I$29, 9, 0)</f>
        <v>7</v>
      </c>
      <c r="BO4" s="76">
        <f t="shared" si="3"/>
        <v>9</v>
      </c>
      <c r="BP4" s="76">
        <f t="shared" si="3"/>
        <v>6</v>
      </c>
      <c r="BQ4" s="76">
        <f t="shared" si="3"/>
        <v>5</v>
      </c>
      <c r="BR4" s="76">
        <f t="shared" si="3"/>
        <v>8</v>
      </c>
      <c r="BS4" s="76">
        <f t="shared" si="3"/>
        <v>8</v>
      </c>
      <c r="BU4" s="25">
        <v>1</v>
      </c>
      <c r="BV4" s="25">
        <v>1</v>
      </c>
      <c r="BW4" s="25">
        <v>1</v>
      </c>
      <c r="BX4" s="25">
        <v>1</v>
      </c>
      <c r="BY4" s="25">
        <v>1</v>
      </c>
      <c r="BZ4" s="25">
        <v>1</v>
      </c>
      <c r="CA4" s="7">
        <v>1</v>
      </c>
      <c r="CC4" s="44" t="s">
        <v>52</v>
      </c>
      <c r="CD4" s="45" t="s">
        <v>12</v>
      </c>
      <c r="CE4" s="45" t="s">
        <v>13</v>
      </c>
      <c r="CF4" s="45" t="s">
        <v>14</v>
      </c>
      <c r="CG4" s="45" t="s">
        <v>15</v>
      </c>
      <c r="CH4" s="45" t="s">
        <v>16</v>
      </c>
      <c r="CI4" s="45" t="s">
        <v>56</v>
      </c>
      <c r="CJ4" s="46" t="s">
        <v>76</v>
      </c>
      <c r="CK4" s="47" t="s">
        <v>3</v>
      </c>
      <c r="CM4" s="7" t="s">
        <v>78</v>
      </c>
      <c r="CN4" s="15">
        <f>COUNTIF(CX$4:CX$304,$A4)</f>
        <v>0</v>
      </c>
      <c r="CO4" s="15">
        <f t="shared" ref="CO4:CO28" si="4">COUNTIF(CY$4:CY$304,$A4)</f>
        <v>0</v>
      </c>
      <c r="CP4" s="15">
        <f t="shared" ref="CP4:CP28" si="5">COUNTIF(CZ$4:CZ$304,$A4)</f>
        <v>0</v>
      </c>
      <c r="CQ4" s="15">
        <f t="shared" ref="CQ4:CQ28" si="6">COUNTIF(DA$4:DA$304,$A4)</f>
        <v>0</v>
      </c>
      <c r="CR4" s="15">
        <f t="shared" ref="CR4:CR28" si="7">COUNTIF(DB$4:DB$304,$A4)</f>
        <v>0</v>
      </c>
      <c r="CS4" s="15">
        <f t="shared" ref="CS4:CS28" si="8">COUNTIF(DC$4:DC$304,$A4)</f>
        <v>0</v>
      </c>
      <c r="CT4" s="15">
        <f t="shared" ref="CT4:CT28" si="9">COUNTIF(DD$4:DD$304,$A4)</f>
        <v>0</v>
      </c>
      <c r="CU4" s="7">
        <v>0</v>
      </c>
      <c r="CV4" s="67"/>
      <c r="CW4" s="22">
        <v>0</v>
      </c>
      <c r="CX4" s="77" t="s">
        <v>152</v>
      </c>
      <c r="CY4" s="77" t="s">
        <v>152</v>
      </c>
      <c r="CZ4" s="77" t="s">
        <v>37</v>
      </c>
      <c r="DA4" s="77" t="s">
        <v>75</v>
      </c>
      <c r="DB4" s="77" t="s">
        <v>35</v>
      </c>
      <c r="DC4" s="77" t="s">
        <v>25</v>
      </c>
      <c r="DD4" s="37" t="s">
        <v>25</v>
      </c>
      <c r="DF4" s="76">
        <f>VLOOKUP(CX4, $A$4:$I$29, 9, 0)</f>
        <v>7</v>
      </c>
      <c r="DG4" s="76">
        <f t="shared" ref="DG4:DG67" si="10">VLOOKUP(CY4, $A$4:$I$29, 9, 0)</f>
        <v>7</v>
      </c>
      <c r="DH4" s="76">
        <f t="shared" ref="DH4:DH67" si="11">VLOOKUP(CZ4, $A$4:$I$29, 9, 0)</f>
        <v>9</v>
      </c>
      <c r="DI4" s="76">
        <f t="shared" ref="DI4:DI67" si="12">VLOOKUP(DA4, $A$4:$I$29, 9, 0)</f>
        <v>6</v>
      </c>
      <c r="DJ4" s="76">
        <f t="shared" ref="DJ4:DJ67" si="13">VLOOKUP(DB4, $A$4:$I$29, 9, 0)</f>
        <v>5</v>
      </c>
      <c r="DK4" s="76">
        <f t="shared" ref="DK4:DK67" si="14">VLOOKUP(DC4, $A$4:$I$29, 9, 0)</f>
        <v>8</v>
      </c>
      <c r="DL4" s="76">
        <f t="shared" ref="DL4:DL67" si="15">VLOOKUP(DD4, $A$4:$I$29, 9, 0)</f>
        <v>8</v>
      </c>
      <c r="DN4" s="25">
        <v>1</v>
      </c>
      <c r="DO4" s="25">
        <v>1</v>
      </c>
      <c r="DP4" s="25">
        <v>1</v>
      </c>
      <c r="DQ4" s="25">
        <v>1</v>
      </c>
      <c r="DR4" s="25">
        <v>1</v>
      </c>
      <c r="DS4" s="25">
        <v>1</v>
      </c>
      <c r="DT4" s="7">
        <v>1</v>
      </c>
      <c r="DV4" s="44" t="s">
        <v>52</v>
      </c>
      <c r="DW4" s="45" t="s">
        <v>12</v>
      </c>
      <c r="DX4" s="45" t="s">
        <v>13</v>
      </c>
      <c r="DY4" s="45" t="s">
        <v>14</v>
      </c>
      <c r="DZ4" s="45" t="s">
        <v>15</v>
      </c>
      <c r="EA4" s="45" t="s">
        <v>16</v>
      </c>
      <c r="EB4" s="45" t="s">
        <v>56</v>
      </c>
      <c r="EC4" s="46" t="s">
        <v>76</v>
      </c>
      <c r="ED4" s="47" t="s">
        <v>3</v>
      </c>
    </row>
    <row r="5" spans="1:134" ht="15.9" customHeight="1" x14ac:dyDescent="0.3">
      <c r="A5" s="7" t="s">
        <v>19</v>
      </c>
      <c r="B5" s="15">
        <f t="shared" ref="B5:B29" si="16">COUNTIF(L$4:L$304,$A5)</f>
        <v>0</v>
      </c>
      <c r="C5" s="15">
        <f t="shared" ref="C5:C29" si="17">COUNTIF(M$4:M$304,$A5)</f>
        <v>0</v>
      </c>
      <c r="D5" s="15">
        <f t="shared" ref="D5:D29" si="18">COUNTIF(N$4:N$304,$A5)</f>
        <v>0</v>
      </c>
      <c r="E5" s="15">
        <f t="shared" ref="E5:E29" si="19">COUNTIF(O$4:O$304,$A5)</f>
        <v>0</v>
      </c>
      <c r="F5" s="15">
        <f t="shared" ref="F5:F29" si="20">COUNTIF(P$4:P$304,$A5)</f>
        <v>0</v>
      </c>
      <c r="G5" s="15">
        <f t="shared" ref="G5:G29" si="21">COUNTIF(Q$4:Q$304,$A5)</f>
        <v>0</v>
      </c>
      <c r="H5" s="15">
        <f t="shared" ref="H5:H29" si="22">COUNTIF(R$4:R$304,$A5)</f>
        <v>0</v>
      </c>
      <c r="I5" s="7">
        <v>1</v>
      </c>
      <c r="J5" s="67"/>
      <c r="K5" s="21">
        <v>1</v>
      </c>
      <c r="L5" s="77" t="s">
        <v>37</v>
      </c>
      <c r="M5" s="77" t="s">
        <v>39</v>
      </c>
      <c r="N5" s="77" t="s">
        <v>37</v>
      </c>
      <c r="O5" s="77" t="s">
        <v>25</v>
      </c>
      <c r="P5" s="77" t="s">
        <v>193</v>
      </c>
      <c r="Q5" s="77" t="s">
        <v>37</v>
      </c>
      <c r="R5" s="37" t="s">
        <v>25</v>
      </c>
      <c r="T5" s="76">
        <f t="shared" ref="T5:T68" si="23">VLOOKUP(L5, $A$4:$I$29, 9, 0)</f>
        <v>9</v>
      </c>
      <c r="U5" s="76">
        <f t="shared" ref="U5:U68" si="24">VLOOKUP(M5, $A$4:$I$29, 9, 0)</f>
        <v>11</v>
      </c>
      <c r="V5" s="76">
        <f t="shared" ref="V5:V68" si="25">VLOOKUP(N5, $A$4:$I$29, 9, 0)</f>
        <v>9</v>
      </c>
      <c r="W5" s="76">
        <f t="shared" ref="W5:W68" si="26">VLOOKUP(O5, $A$4:$I$29, 9, 0)</f>
        <v>8</v>
      </c>
      <c r="X5" s="76">
        <f t="shared" ref="X5:X68" si="27">VLOOKUP(P5, $A$4:$I$29, 9, 0)</f>
        <v>16</v>
      </c>
      <c r="Y5" s="76">
        <f t="shared" ref="Y5:Y68" si="28">VLOOKUP(Q5, $A$4:$I$29, 9, 0)</f>
        <v>9</v>
      </c>
      <c r="Z5" s="76">
        <f t="shared" ref="Z5:Z68" si="29">VLOOKUP(R5, $A$4:$I$29, 9, 0)</f>
        <v>8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48" t="s">
        <v>78</v>
      </c>
      <c r="AK5" s="49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1">
        <v>0</v>
      </c>
      <c r="AR5" s="52">
        <v>0</v>
      </c>
      <c r="AT5" s="7" t="s">
        <v>19</v>
      </c>
      <c r="AU5" s="15">
        <f t="shared" ref="AU5:AU29" si="30">COUNTIF(BE$4:BE$304,$A5)</f>
        <v>0</v>
      </c>
      <c r="AV5" s="15">
        <f t="shared" ref="AV5:AV29" si="31">COUNTIF(BF$4:BF$304,$A5)</f>
        <v>0</v>
      </c>
      <c r="AW5" s="15">
        <f t="shared" ref="AW5:AW29" si="32">COUNTIF(BG$4:BG$304,$A5)</f>
        <v>0</v>
      </c>
      <c r="AX5" s="15">
        <f t="shared" ref="AX5:AX29" si="33">COUNTIF(BH$4:BH$304,$A5)</f>
        <v>0</v>
      </c>
      <c r="AY5" s="15">
        <f t="shared" ref="AY5:AY29" si="34">COUNTIF(BI$4:BI$304,$A5)</f>
        <v>0</v>
      </c>
      <c r="AZ5" s="15">
        <f t="shared" ref="AZ5:AZ29" si="35">COUNTIF(BJ$4:BJ$304,$A5)</f>
        <v>0</v>
      </c>
      <c r="BA5" s="15">
        <f t="shared" ref="BA5:BA29" si="36">COUNTIF(BK$4:BK$304,$A5)</f>
        <v>0</v>
      </c>
      <c r="BB5" s="7">
        <v>1</v>
      </c>
      <c r="BC5" s="67"/>
      <c r="BD5" s="21">
        <v>1</v>
      </c>
      <c r="BE5" s="77" t="s">
        <v>37</v>
      </c>
      <c r="BF5" s="77" t="s">
        <v>39</v>
      </c>
      <c r="BG5" s="77" t="s">
        <v>37</v>
      </c>
      <c r="BH5" s="77" t="s">
        <v>25</v>
      </c>
      <c r="BI5" s="77" t="s">
        <v>193</v>
      </c>
      <c r="BJ5" s="77" t="s">
        <v>37</v>
      </c>
      <c r="BK5" s="37" t="s">
        <v>25</v>
      </c>
      <c r="BM5" s="76">
        <f t="shared" ref="BM5:BM68" si="37">VLOOKUP(BE5, $A$4:$I$29, 9, 0)</f>
        <v>9</v>
      </c>
      <c r="BN5" s="76">
        <f t="shared" ref="BN5:BN68" si="38">VLOOKUP(BF5, $A$4:$I$29, 9, 0)</f>
        <v>11</v>
      </c>
      <c r="BO5" s="76">
        <f t="shared" ref="BO5:BO68" si="39">VLOOKUP(BG5, $A$4:$I$29, 9, 0)</f>
        <v>9</v>
      </c>
      <c r="BP5" s="76">
        <f t="shared" ref="BP5:BP68" si="40">VLOOKUP(BH5, $A$4:$I$29, 9, 0)</f>
        <v>8</v>
      </c>
      <c r="BQ5" s="76">
        <f t="shared" ref="BQ5:BQ68" si="41">VLOOKUP(BI5, $A$4:$I$29, 9, 0)</f>
        <v>16</v>
      </c>
      <c r="BR5" s="76">
        <f t="shared" ref="BR5:BR68" si="42">VLOOKUP(BJ5, $A$4:$I$29, 9, 0)</f>
        <v>9</v>
      </c>
      <c r="BS5" s="76">
        <f t="shared" ref="BS5:BS68" si="43">VLOOKUP(BK5, $A$4:$I$29, 9, 0)</f>
        <v>8</v>
      </c>
      <c r="BU5" s="25">
        <v>1</v>
      </c>
      <c r="BV5" s="25">
        <v>1</v>
      </c>
      <c r="BW5" s="25">
        <v>1</v>
      </c>
      <c r="BX5" s="25">
        <v>1</v>
      </c>
      <c r="BY5" s="25">
        <v>1</v>
      </c>
      <c r="BZ5" s="25">
        <v>1</v>
      </c>
      <c r="CA5" s="7">
        <v>1</v>
      </c>
      <c r="CC5" s="48" t="s">
        <v>78</v>
      </c>
      <c r="CD5" s="49">
        <v>0</v>
      </c>
      <c r="CE5" s="50">
        <v>0</v>
      </c>
      <c r="CF5" s="50">
        <v>0</v>
      </c>
      <c r="CG5" s="50">
        <v>0</v>
      </c>
      <c r="CH5" s="50">
        <v>0</v>
      </c>
      <c r="CI5" s="50">
        <v>0</v>
      </c>
      <c r="CJ5" s="51">
        <v>0</v>
      </c>
      <c r="CK5" s="52">
        <v>0</v>
      </c>
      <c r="CM5" s="7" t="s">
        <v>19</v>
      </c>
      <c r="CN5" s="15">
        <f t="shared" ref="CN5:CN28" si="44">COUNTIF(CX$4:CX$304,$A5)</f>
        <v>0</v>
      </c>
      <c r="CO5" s="15">
        <f t="shared" si="4"/>
        <v>0</v>
      </c>
      <c r="CP5" s="15">
        <f t="shared" si="5"/>
        <v>0</v>
      </c>
      <c r="CQ5" s="15">
        <f t="shared" si="6"/>
        <v>0</v>
      </c>
      <c r="CR5" s="15">
        <f t="shared" si="7"/>
        <v>0</v>
      </c>
      <c r="CS5" s="15">
        <f t="shared" si="8"/>
        <v>0</v>
      </c>
      <c r="CT5" s="15">
        <f t="shared" si="9"/>
        <v>0</v>
      </c>
      <c r="CU5" s="7">
        <v>1</v>
      </c>
      <c r="CV5" s="67"/>
      <c r="CW5" s="21">
        <v>1</v>
      </c>
      <c r="CX5" s="77" t="s">
        <v>37</v>
      </c>
      <c r="CY5" s="77" t="s">
        <v>39</v>
      </c>
      <c r="CZ5" s="77" t="s">
        <v>37</v>
      </c>
      <c r="DA5" s="77" t="s">
        <v>25</v>
      </c>
      <c r="DB5" s="77" t="s">
        <v>193</v>
      </c>
      <c r="DC5" s="77" t="s">
        <v>37</v>
      </c>
      <c r="DD5" s="37" t="s">
        <v>25</v>
      </c>
      <c r="DF5" s="76">
        <f t="shared" ref="DF5:DF68" si="45">VLOOKUP(CX5, $A$4:$I$29, 9, 0)</f>
        <v>9</v>
      </c>
      <c r="DG5" s="76">
        <f t="shared" si="10"/>
        <v>11</v>
      </c>
      <c r="DH5" s="76">
        <f t="shared" si="11"/>
        <v>9</v>
      </c>
      <c r="DI5" s="76">
        <f t="shared" si="12"/>
        <v>8</v>
      </c>
      <c r="DJ5" s="76">
        <f t="shared" si="13"/>
        <v>16</v>
      </c>
      <c r="DK5" s="76">
        <f t="shared" si="14"/>
        <v>9</v>
      </c>
      <c r="DL5" s="76">
        <f t="shared" si="15"/>
        <v>8</v>
      </c>
      <c r="DN5" s="25">
        <v>1</v>
      </c>
      <c r="DO5" s="25">
        <v>1</v>
      </c>
      <c r="DP5" s="25">
        <v>1</v>
      </c>
      <c r="DQ5" s="25">
        <v>1</v>
      </c>
      <c r="DR5" s="25">
        <v>1</v>
      </c>
      <c r="DS5" s="25">
        <v>1</v>
      </c>
      <c r="DT5" s="7">
        <v>1</v>
      </c>
      <c r="DV5" s="48" t="s">
        <v>78</v>
      </c>
      <c r="DW5" s="49">
        <v>0</v>
      </c>
      <c r="DX5" s="50">
        <v>0</v>
      </c>
      <c r="DY5" s="50">
        <v>0</v>
      </c>
      <c r="DZ5" s="50">
        <v>0</v>
      </c>
      <c r="EA5" s="50">
        <v>0</v>
      </c>
      <c r="EB5" s="50">
        <v>0</v>
      </c>
      <c r="EC5" s="51">
        <v>0</v>
      </c>
      <c r="ED5" s="52">
        <v>0</v>
      </c>
    </row>
    <row r="6" spans="1:134" ht="15.9" customHeight="1" x14ac:dyDescent="0.3">
      <c r="A6" s="7" t="s">
        <v>20</v>
      </c>
      <c r="B6" s="15">
        <f t="shared" si="16"/>
        <v>2</v>
      </c>
      <c r="C6" s="15">
        <f t="shared" si="17"/>
        <v>2</v>
      </c>
      <c r="D6" s="15">
        <f t="shared" si="18"/>
        <v>2</v>
      </c>
      <c r="E6" s="15">
        <f t="shared" si="19"/>
        <v>4</v>
      </c>
      <c r="F6" s="15">
        <f t="shared" si="20"/>
        <v>2</v>
      </c>
      <c r="G6" s="15">
        <f t="shared" si="21"/>
        <v>4</v>
      </c>
      <c r="H6" s="15">
        <f t="shared" si="22"/>
        <v>6</v>
      </c>
      <c r="I6" s="7">
        <v>2</v>
      </c>
      <c r="K6" s="22">
        <v>2</v>
      </c>
      <c r="L6" s="77" t="s">
        <v>39</v>
      </c>
      <c r="M6" s="77" t="s">
        <v>40</v>
      </c>
      <c r="N6" s="77" t="s">
        <v>33</v>
      </c>
      <c r="O6" s="77" t="s">
        <v>25</v>
      </c>
      <c r="P6" s="77" t="s">
        <v>75</v>
      </c>
      <c r="Q6" s="77" t="s">
        <v>75</v>
      </c>
      <c r="R6" s="37" t="s">
        <v>25</v>
      </c>
      <c r="T6" s="76">
        <f t="shared" si="23"/>
        <v>11</v>
      </c>
      <c r="U6" s="76">
        <f t="shared" si="24"/>
        <v>12</v>
      </c>
      <c r="V6" s="76">
        <f t="shared" si="25"/>
        <v>3</v>
      </c>
      <c r="W6" s="76">
        <f t="shared" si="26"/>
        <v>8</v>
      </c>
      <c r="X6" s="76">
        <f t="shared" si="27"/>
        <v>6</v>
      </c>
      <c r="Y6" s="76">
        <f t="shared" si="28"/>
        <v>6</v>
      </c>
      <c r="Z6" s="76">
        <f t="shared" si="29"/>
        <v>8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79" t="s">
        <v>19</v>
      </c>
      <c r="AK6" s="69">
        <v>5</v>
      </c>
      <c r="AL6" s="70">
        <v>3</v>
      </c>
      <c r="AM6" s="70">
        <v>3</v>
      </c>
      <c r="AN6" s="70">
        <v>5</v>
      </c>
      <c r="AO6" s="70">
        <v>5</v>
      </c>
      <c r="AP6" s="70">
        <v>5</v>
      </c>
      <c r="AQ6" s="71">
        <v>0</v>
      </c>
      <c r="AR6" s="57">
        <v>1</v>
      </c>
      <c r="AT6" s="7" t="s">
        <v>20</v>
      </c>
      <c r="AU6" s="15">
        <f t="shared" si="30"/>
        <v>0</v>
      </c>
      <c r="AV6" s="15">
        <f t="shared" si="31"/>
        <v>0</v>
      </c>
      <c r="AW6" s="15">
        <f t="shared" si="32"/>
        <v>0</v>
      </c>
      <c r="AX6" s="15">
        <f t="shared" si="33"/>
        <v>0</v>
      </c>
      <c r="AY6" s="15">
        <f t="shared" si="34"/>
        <v>0</v>
      </c>
      <c r="AZ6" s="15">
        <f t="shared" si="35"/>
        <v>0</v>
      </c>
      <c r="BA6" s="15">
        <f t="shared" si="36"/>
        <v>0</v>
      </c>
      <c r="BB6" s="7">
        <v>2</v>
      </c>
      <c r="BD6" s="22">
        <v>2</v>
      </c>
      <c r="BE6" s="77" t="s">
        <v>39</v>
      </c>
      <c r="BF6" s="77" t="s">
        <v>40</v>
      </c>
      <c r="BG6" s="77" t="s">
        <v>33</v>
      </c>
      <c r="BH6" s="77" t="s">
        <v>25</v>
      </c>
      <c r="BI6" s="77" t="s">
        <v>75</v>
      </c>
      <c r="BJ6" s="77" t="s">
        <v>75</v>
      </c>
      <c r="BK6" s="37" t="s">
        <v>25</v>
      </c>
      <c r="BM6" s="76">
        <f t="shared" si="37"/>
        <v>11</v>
      </c>
      <c r="BN6" s="76">
        <f t="shared" si="38"/>
        <v>12</v>
      </c>
      <c r="BO6" s="76">
        <f t="shared" si="39"/>
        <v>3</v>
      </c>
      <c r="BP6" s="76">
        <f t="shared" si="40"/>
        <v>8</v>
      </c>
      <c r="BQ6" s="76">
        <f t="shared" si="41"/>
        <v>6</v>
      </c>
      <c r="BR6" s="76">
        <f t="shared" si="42"/>
        <v>6</v>
      </c>
      <c r="BS6" s="76">
        <f t="shared" si="43"/>
        <v>8</v>
      </c>
      <c r="BU6" s="25">
        <v>1</v>
      </c>
      <c r="BV6" s="25">
        <v>1</v>
      </c>
      <c r="BW6" s="25">
        <v>1</v>
      </c>
      <c r="BX6" s="25">
        <v>1</v>
      </c>
      <c r="BY6" s="25">
        <v>1</v>
      </c>
      <c r="BZ6" s="25">
        <v>1</v>
      </c>
      <c r="CA6" s="7">
        <v>1</v>
      </c>
      <c r="CC6" s="79" t="s">
        <v>19</v>
      </c>
      <c r="CD6" s="69">
        <v>5</v>
      </c>
      <c r="CE6" s="70">
        <v>3</v>
      </c>
      <c r="CF6" s="70">
        <v>3</v>
      </c>
      <c r="CG6" s="70">
        <v>5</v>
      </c>
      <c r="CH6" s="70">
        <v>5</v>
      </c>
      <c r="CI6" s="70">
        <v>5</v>
      </c>
      <c r="CJ6" s="71">
        <v>0</v>
      </c>
      <c r="CK6" s="57">
        <v>1</v>
      </c>
      <c r="CM6" s="7" t="s">
        <v>20</v>
      </c>
      <c r="CN6" s="15">
        <f t="shared" si="44"/>
        <v>1</v>
      </c>
      <c r="CO6" s="15">
        <f t="shared" si="4"/>
        <v>0</v>
      </c>
      <c r="CP6" s="15">
        <f t="shared" si="5"/>
        <v>1</v>
      </c>
      <c r="CQ6" s="15">
        <f t="shared" si="6"/>
        <v>1</v>
      </c>
      <c r="CR6" s="15">
        <f t="shared" si="7"/>
        <v>0</v>
      </c>
      <c r="CS6" s="15">
        <f t="shared" si="8"/>
        <v>1</v>
      </c>
      <c r="CT6" s="15">
        <f t="shared" si="9"/>
        <v>1</v>
      </c>
      <c r="CU6" s="7">
        <v>2</v>
      </c>
      <c r="CW6" s="22">
        <v>2</v>
      </c>
      <c r="CX6" s="77" t="s">
        <v>39</v>
      </c>
      <c r="CY6" s="77" t="s">
        <v>40</v>
      </c>
      <c r="CZ6" s="77" t="s">
        <v>33</v>
      </c>
      <c r="DA6" s="77" t="s">
        <v>25</v>
      </c>
      <c r="DB6" s="77" t="s">
        <v>75</v>
      </c>
      <c r="DC6" s="77" t="s">
        <v>75</v>
      </c>
      <c r="DD6" s="37" t="s">
        <v>25</v>
      </c>
      <c r="DF6" s="76">
        <f t="shared" si="45"/>
        <v>11</v>
      </c>
      <c r="DG6" s="76">
        <f t="shared" si="10"/>
        <v>12</v>
      </c>
      <c r="DH6" s="76">
        <f t="shared" si="11"/>
        <v>3</v>
      </c>
      <c r="DI6" s="76">
        <f t="shared" si="12"/>
        <v>8</v>
      </c>
      <c r="DJ6" s="76">
        <f t="shared" si="13"/>
        <v>6</v>
      </c>
      <c r="DK6" s="76">
        <f t="shared" si="14"/>
        <v>6</v>
      </c>
      <c r="DL6" s="76">
        <f t="shared" si="15"/>
        <v>8</v>
      </c>
      <c r="DN6" s="25">
        <v>1</v>
      </c>
      <c r="DO6" s="25">
        <v>1</v>
      </c>
      <c r="DP6" s="25">
        <v>1</v>
      </c>
      <c r="DQ6" s="25">
        <v>1</v>
      </c>
      <c r="DR6" s="25">
        <v>1</v>
      </c>
      <c r="DS6" s="25">
        <v>1</v>
      </c>
      <c r="DT6" s="7">
        <v>1</v>
      </c>
      <c r="DV6" s="79" t="s">
        <v>19</v>
      </c>
      <c r="DW6" s="69">
        <v>5</v>
      </c>
      <c r="DX6" s="70">
        <v>3</v>
      </c>
      <c r="DY6" s="70">
        <v>3</v>
      </c>
      <c r="DZ6" s="70">
        <v>5</v>
      </c>
      <c r="EA6" s="70">
        <v>5</v>
      </c>
      <c r="EB6" s="70">
        <v>5</v>
      </c>
      <c r="EC6" s="71">
        <v>0</v>
      </c>
      <c r="ED6" s="57">
        <v>1</v>
      </c>
    </row>
    <row r="7" spans="1:134" ht="15.9" customHeight="1" x14ac:dyDescent="0.3">
      <c r="A7" s="26" t="s">
        <v>21</v>
      </c>
      <c r="B7" s="15">
        <f t="shared" si="16"/>
        <v>3</v>
      </c>
      <c r="C7" s="15">
        <f t="shared" si="17"/>
        <v>10</v>
      </c>
      <c r="D7" s="15">
        <f t="shared" si="18"/>
        <v>7</v>
      </c>
      <c r="E7" s="15">
        <f t="shared" si="19"/>
        <v>3</v>
      </c>
      <c r="F7" s="15">
        <f t="shared" si="20"/>
        <v>8</v>
      </c>
      <c r="G7" s="15">
        <f t="shared" si="21"/>
        <v>0</v>
      </c>
      <c r="H7" s="15">
        <f t="shared" si="22"/>
        <v>12</v>
      </c>
      <c r="I7" s="7">
        <v>3</v>
      </c>
      <c r="K7" s="21">
        <v>3</v>
      </c>
      <c r="L7" s="77" t="s">
        <v>40</v>
      </c>
      <c r="M7" s="77" t="s">
        <v>96</v>
      </c>
      <c r="N7" s="77" t="s">
        <v>152</v>
      </c>
      <c r="O7" s="77" t="s">
        <v>25</v>
      </c>
      <c r="P7" s="77" t="s">
        <v>75</v>
      </c>
      <c r="Q7" s="77" t="s">
        <v>40</v>
      </c>
      <c r="R7" s="37" t="s">
        <v>25</v>
      </c>
      <c r="T7" s="76">
        <f t="shared" si="23"/>
        <v>12</v>
      </c>
      <c r="U7" s="76">
        <f t="shared" si="24"/>
        <v>13</v>
      </c>
      <c r="V7" s="76">
        <f t="shared" si="25"/>
        <v>7</v>
      </c>
      <c r="W7" s="76">
        <f t="shared" si="26"/>
        <v>8</v>
      </c>
      <c r="X7" s="76">
        <f t="shared" si="27"/>
        <v>6</v>
      </c>
      <c r="Y7" s="76">
        <f t="shared" si="28"/>
        <v>12</v>
      </c>
      <c r="Z7" s="76">
        <f t="shared" si="29"/>
        <v>8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79" t="s">
        <v>20</v>
      </c>
      <c r="AK7" s="69">
        <v>40</v>
      </c>
      <c r="AL7" s="70">
        <v>40</v>
      </c>
      <c r="AM7" s="70">
        <v>20</v>
      </c>
      <c r="AN7" s="70">
        <v>40</v>
      </c>
      <c r="AO7" s="70">
        <v>40</v>
      </c>
      <c r="AP7" s="70">
        <v>1</v>
      </c>
      <c r="AQ7" s="71">
        <v>1</v>
      </c>
      <c r="AR7" s="57">
        <v>2</v>
      </c>
      <c r="AT7" s="26" t="s">
        <v>21</v>
      </c>
      <c r="AU7" s="15">
        <f t="shared" si="30"/>
        <v>1</v>
      </c>
      <c r="AV7" s="15">
        <f t="shared" si="31"/>
        <v>12</v>
      </c>
      <c r="AW7" s="15">
        <f t="shared" si="32"/>
        <v>7</v>
      </c>
      <c r="AX7" s="15">
        <f t="shared" si="33"/>
        <v>3</v>
      </c>
      <c r="AY7" s="15">
        <f t="shared" si="34"/>
        <v>9</v>
      </c>
      <c r="AZ7" s="15">
        <f t="shared" si="35"/>
        <v>0</v>
      </c>
      <c r="BA7" s="15">
        <f t="shared" si="36"/>
        <v>12</v>
      </c>
      <c r="BB7" s="7">
        <v>3</v>
      </c>
      <c r="BD7" s="21">
        <v>3</v>
      </c>
      <c r="BE7" s="77" t="s">
        <v>40</v>
      </c>
      <c r="BF7" s="77" t="s">
        <v>38</v>
      </c>
      <c r="BG7" s="77" t="s">
        <v>25</v>
      </c>
      <c r="BH7" s="77" t="s">
        <v>25</v>
      </c>
      <c r="BI7" s="77" t="s">
        <v>75</v>
      </c>
      <c r="BJ7" s="77" t="s">
        <v>40</v>
      </c>
      <c r="BK7" s="37" t="s">
        <v>25</v>
      </c>
      <c r="BM7" s="76">
        <f t="shared" si="37"/>
        <v>12</v>
      </c>
      <c r="BN7" s="76">
        <f t="shared" si="38"/>
        <v>10</v>
      </c>
      <c r="BO7" s="76">
        <f t="shared" si="39"/>
        <v>8</v>
      </c>
      <c r="BP7" s="76">
        <f t="shared" si="40"/>
        <v>8</v>
      </c>
      <c r="BQ7" s="76">
        <f t="shared" si="41"/>
        <v>6</v>
      </c>
      <c r="BR7" s="76">
        <f t="shared" si="42"/>
        <v>12</v>
      </c>
      <c r="BS7" s="76">
        <f t="shared" si="43"/>
        <v>8</v>
      </c>
      <c r="BU7" s="25">
        <v>1</v>
      </c>
      <c r="BV7" s="25">
        <v>1</v>
      </c>
      <c r="BW7" s="25">
        <v>1</v>
      </c>
      <c r="BX7" s="25">
        <v>1</v>
      </c>
      <c r="BY7" s="25">
        <v>1</v>
      </c>
      <c r="BZ7" s="25">
        <v>1</v>
      </c>
      <c r="CA7" s="7">
        <v>1</v>
      </c>
      <c r="CC7" s="79" t="s">
        <v>20</v>
      </c>
      <c r="CD7" s="69">
        <v>40</v>
      </c>
      <c r="CE7" s="70">
        <v>40</v>
      </c>
      <c r="CF7" s="70">
        <v>20</v>
      </c>
      <c r="CG7" s="70">
        <v>40</v>
      </c>
      <c r="CH7" s="70">
        <v>40</v>
      </c>
      <c r="CI7" s="70">
        <v>1</v>
      </c>
      <c r="CJ7" s="71">
        <v>1</v>
      </c>
      <c r="CK7" s="57">
        <v>2</v>
      </c>
      <c r="CM7" s="26" t="s">
        <v>21</v>
      </c>
      <c r="CN7" s="15">
        <f t="shared" si="44"/>
        <v>1</v>
      </c>
      <c r="CO7" s="15">
        <f t="shared" si="4"/>
        <v>12</v>
      </c>
      <c r="CP7" s="15">
        <f t="shared" si="5"/>
        <v>7</v>
      </c>
      <c r="CQ7" s="15">
        <f t="shared" si="6"/>
        <v>3</v>
      </c>
      <c r="CR7" s="15">
        <f t="shared" si="7"/>
        <v>9</v>
      </c>
      <c r="CS7" s="15">
        <f t="shared" si="8"/>
        <v>0</v>
      </c>
      <c r="CT7" s="15">
        <f t="shared" si="9"/>
        <v>12</v>
      </c>
      <c r="CU7" s="7">
        <v>3</v>
      </c>
      <c r="CW7" s="21">
        <v>3</v>
      </c>
      <c r="CX7" s="77" t="s">
        <v>40</v>
      </c>
      <c r="CY7" s="77" t="s">
        <v>38</v>
      </c>
      <c r="CZ7" s="77" t="s">
        <v>25</v>
      </c>
      <c r="DA7" s="77" t="s">
        <v>25</v>
      </c>
      <c r="DB7" s="77" t="s">
        <v>75</v>
      </c>
      <c r="DC7" s="77" t="s">
        <v>40</v>
      </c>
      <c r="DD7" s="37" t="s">
        <v>25</v>
      </c>
      <c r="DF7" s="76">
        <f t="shared" si="45"/>
        <v>12</v>
      </c>
      <c r="DG7" s="76">
        <f t="shared" si="10"/>
        <v>10</v>
      </c>
      <c r="DH7" s="76">
        <f t="shared" si="11"/>
        <v>8</v>
      </c>
      <c r="DI7" s="76">
        <f t="shared" si="12"/>
        <v>8</v>
      </c>
      <c r="DJ7" s="76">
        <f t="shared" si="13"/>
        <v>6</v>
      </c>
      <c r="DK7" s="76">
        <f t="shared" si="14"/>
        <v>12</v>
      </c>
      <c r="DL7" s="76">
        <f t="shared" si="15"/>
        <v>8</v>
      </c>
      <c r="DN7" s="25">
        <v>1</v>
      </c>
      <c r="DO7" s="25">
        <v>1</v>
      </c>
      <c r="DP7" s="25">
        <v>1</v>
      </c>
      <c r="DQ7" s="25">
        <v>1</v>
      </c>
      <c r="DR7" s="25">
        <v>1</v>
      </c>
      <c r="DS7" s="25">
        <v>1</v>
      </c>
      <c r="DT7" s="7">
        <v>1</v>
      </c>
      <c r="DV7" s="79" t="s">
        <v>20</v>
      </c>
      <c r="DW7" s="69">
        <v>40</v>
      </c>
      <c r="DX7" s="70">
        <v>40</v>
      </c>
      <c r="DY7" s="70">
        <v>20</v>
      </c>
      <c r="DZ7" s="70">
        <v>40</v>
      </c>
      <c r="EA7" s="70">
        <v>40</v>
      </c>
      <c r="EB7" s="70">
        <v>1</v>
      </c>
      <c r="EC7" s="71">
        <v>1</v>
      </c>
      <c r="ED7" s="57">
        <v>2</v>
      </c>
    </row>
    <row r="8" spans="1:134" ht="15.9" customHeight="1" x14ac:dyDescent="0.3">
      <c r="A8" s="27" t="s">
        <v>17</v>
      </c>
      <c r="B8" s="15">
        <f t="shared" si="16"/>
        <v>3</v>
      </c>
      <c r="C8" s="15">
        <f t="shared" si="17"/>
        <v>3</v>
      </c>
      <c r="D8" s="15">
        <f t="shared" si="18"/>
        <v>3</v>
      </c>
      <c r="E8" s="15">
        <f t="shared" si="19"/>
        <v>8</v>
      </c>
      <c r="F8" s="15">
        <f t="shared" si="20"/>
        <v>3</v>
      </c>
      <c r="G8" s="15">
        <f t="shared" si="21"/>
        <v>3</v>
      </c>
      <c r="H8" s="15">
        <f t="shared" si="22"/>
        <v>14</v>
      </c>
      <c r="I8" s="7">
        <v>4</v>
      </c>
      <c r="K8" s="22">
        <v>4</v>
      </c>
      <c r="L8" s="77" t="s">
        <v>37</v>
      </c>
      <c r="M8" s="77" t="s">
        <v>40</v>
      </c>
      <c r="N8" s="77" t="s">
        <v>190</v>
      </c>
      <c r="O8" s="77" t="s">
        <v>38</v>
      </c>
      <c r="P8" s="77" t="s">
        <v>37</v>
      </c>
      <c r="Q8" s="77" t="s">
        <v>40</v>
      </c>
      <c r="R8" s="37" t="s">
        <v>33</v>
      </c>
      <c r="T8" s="76">
        <f t="shared" si="23"/>
        <v>9</v>
      </c>
      <c r="U8" s="76">
        <f t="shared" si="24"/>
        <v>12</v>
      </c>
      <c r="V8" s="76">
        <f t="shared" si="25"/>
        <v>15</v>
      </c>
      <c r="W8" s="76">
        <f t="shared" si="26"/>
        <v>10</v>
      </c>
      <c r="X8" s="76">
        <f t="shared" si="27"/>
        <v>9</v>
      </c>
      <c r="Y8" s="76">
        <f t="shared" si="28"/>
        <v>12</v>
      </c>
      <c r="Z8" s="76">
        <f t="shared" si="29"/>
        <v>3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3</v>
      </c>
      <c r="AJ8" s="79" t="s">
        <v>21</v>
      </c>
      <c r="AK8" s="69">
        <v>10</v>
      </c>
      <c r="AL8" s="70">
        <v>32</v>
      </c>
      <c r="AM8" s="70">
        <v>40</v>
      </c>
      <c r="AN8" s="70">
        <v>40</v>
      </c>
      <c r="AO8" s="70">
        <v>1</v>
      </c>
      <c r="AP8" s="70">
        <v>1</v>
      </c>
      <c r="AQ8" s="71">
        <v>1</v>
      </c>
      <c r="AR8" s="57">
        <v>3</v>
      </c>
      <c r="AT8" s="27" t="s">
        <v>17</v>
      </c>
      <c r="AU8" s="15">
        <f t="shared" si="30"/>
        <v>3</v>
      </c>
      <c r="AV8" s="15">
        <f t="shared" si="31"/>
        <v>1</v>
      </c>
      <c r="AW8" s="15">
        <f t="shared" si="32"/>
        <v>3</v>
      </c>
      <c r="AX8" s="15">
        <f t="shared" si="33"/>
        <v>8</v>
      </c>
      <c r="AY8" s="15">
        <f t="shared" si="34"/>
        <v>3</v>
      </c>
      <c r="AZ8" s="15">
        <f t="shared" si="35"/>
        <v>3</v>
      </c>
      <c r="BA8" s="15">
        <f t="shared" si="36"/>
        <v>14</v>
      </c>
      <c r="BB8" s="7">
        <v>4</v>
      </c>
      <c r="BD8" s="22">
        <v>4</v>
      </c>
      <c r="BE8" s="77" t="s">
        <v>37</v>
      </c>
      <c r="BF8" s="77" t="s">
        <v>40</v>
      </c>
      <c r="BG8" s="77" t="s">
        <v>190</v>
      </c>
      <c r="BH8" s="77" t="s">
        <v>38</v>
      </c>
      <c r="BI8" s="77" t="s">
        <v>37</v>
      </c>
      <c r="BJ8" s="77" t="s">
        <v>40</v>
      </c>
      <c r="BK8" s="37" t="s">
        <v>33</v>
      </c>
      <c r="BM8" s="76">
        <f t="shared" si="37"/>
        <v>9</v>
      </c>
      <c r="BN8" s="76">
        <f t="shared" si="38"/>
        <v>12</v>
      </c>
      <c r="BO8" s="76">
        <f t="shared" si="39"/>
        <v>15</v>
      </c>
      <c r="BP8" s="76">
        <f t="shared" si="40"/>
        <v>10</v>
      </c>
      <c r="BQ8" s="76">
        <f t="shared" si="41"/>
        <v>9</v>
      </c>
      <c r="BR8" s="76">
        <f t="shared" si="42"/>
        <v>12</v>
      </c>
      <c r="BS8" s="76">
        <f t="shared" si="43"/>
        <v>3</v>
      </c>
      <c r="BU8" s="25">
        <v>1</v>
      </c>
      <c r="BV8" s="25">
        <v>1</v>
      </c>
      <c r="BW8" s="25">
        <v>1</v>
      </c>
      <c r="BX8" s="25">
        <v>1</v>
      </c>
      <c r="BY8" s="25">
        <v>1</v>
      </c>
      <c r="BZ8" s="25">
        <v>1</v>
      </c>
      <c r="CA8" s="7">
        <v>1</v>
      </c>
      <c r="CC8" s="79" t="s">
        <v>21</v>
      </c>
      <c r="CD8" s="69">
        <v>10</v>
      </c>
      <c r="CE8" s="70">
        <v>32</v>
      </c>
      <c r="CF8" s="70">
        <v>40</v>
      </c>
      <c r="CG8" s="70">
        <v>40</v>
      </c>
      <c r="CH8" s="70">
        <v>1</v>
      </c>
      <c r="CI8" s="70">
        <v>1</v>
      </c>
      <c r="CJ8" s="71">
        <v>1</v>
      </c>
      <c r="CK8" s="57">
        <v>3</v>
      </c>
      <c r="CM8" s="27" t="s">
        <v>17</v>
      </c>
      <c r="CN8" s="15">
        <f t="shared" si="44"/>
        <v>3</v>
      </c>
      <c r="CO8" s="15">
        <f t="shared" si="4"/>
        <v>1</v>
      </c>
      <c r="CP8" s="15">
        <f t="shared" si="5"/>
        <v>3</v>
      </c>
      <c r="CQ8" s="15">
        <f t="shared" si="6"/>
        <v>8</v>
      </c>
      <c r="CR8" s="15">
        <f t="shared" si="7"/>
        <v>3</v>
      </c>
      <c r="CS8" s="15">
        <f t="shared" si="8"/>
        <v>3</v>
      </c>
      <c r="CT8" s="15">
        <f t="shared" si="9"/>
        <v>14</v>
      </c>
      <c r="CU8" s="7">
        <v>4</v>
      </c>
      <c r="CW8" s="22">
        <v>4</v>
      </c>
      <c r="CX8" s="77" t="s">
        <v>37</v>
      </c>
      <c r="CY8" s="77" t="s">
        <v>40</v>
      </c>
      <c r="CZ8" s="77" t="s">
        <v>190</v>
      </c>
      <c r="DA8" s="77" t="s">
        <v>38</v>
      </c>
      <c r="DB8" s="77" t="s">
        <v>37</v>
      </c>
      <c r="DC8" s="77" t="s">
        <v>40</v>
      </c>
      <c r="DD8" s="37" t="s">
        <v>33</v>
      </c>
      <c r="DF8" s="76">
        <f t="shared" si="45"/>
        <v>9</v>
      </c>
      <c r="DG8" s="76">
        <f t="shared" si="10"/>
        <v>12</v>
      </c>
      <c r="DH8" s="76">
        <f t="shared" si="11"/>
        <v>15</v>
      </c>
      <c r="DI8" s="76">
        <f t="shared" si="12"/>
        <v>10</v>
      </c>
      <c r="DJ8" s="76">
        <f t="shared" si="13"/>
        <v>9</v>
      </c>
      <c r="DK8" s="76">
        <f t="shared" si="14"/>
        <v>12</v>
      </c>
      <c r="DL8" s="76">
        <f t="shared" si="15"/>
        <v>3</v>
      </c>
      <c r="DN8" s="25">
        <v>1</v>
      </c>
      <c r="DO8" s="25">
        <v>1</v>
      </c>
      <c r="DP8" s="25">
        <v>1</v>
      </c>
      <c r="DQ8" s="25">
        <v>1</v>
      </c>
      <c r="DR8" s="25">
        <v>1</v>
      </c>
      <c r="DS8" s="25">
        <v>1</v>
      </c>
      <c r="DT8" s="7">
        <v>1</v>
      </c>
      <c r="DV8" s="79" t="s">
        <v>21</v>
      </c>
      <c r="DW8" s="69">
        <v>10</v>
      </c>
      <c r="DX8" s="70">
        <v>32</v>
      </c>
      <c r="DY8" s="70">
        <v>40</v>
      </c>
      <c r="DZ8" s="70">
        <v>40</v>
      </c>
      <c r="EA8" s="70">
        <v>1</v>
      </c>
      <c r="EB8" s="70">
        <v>1</v>
      </c>
      <c r="EC8" s="71">
        <v>1</v>
      </c>
      <c r="ED8" s="57">
        <v>3</v>
      </c>
    </row>
    <row r="9" spans="1:134" ht="15.9" customHeight="1" x14ac:dyDescent="0.3">
      <c r="A9" s="28" t="s">
        <v>18</v>
      </c>
      <c r="B9" s="15">
        <f t="shared" si="16"/>
        <v>8</v>
      </c>
      <c r="C9" s="15">
        <f t="shared" si="17"/>
        <v>6</v>
      </c>
      <c r="D9" s="15">
        <f t="shared" si="18"/>
        <v>14</v>
      </c>
      <c r="E9" s="15">
        <f t="shared" si="19"/>
        <v>3</v>
      </c>
      <c r="F9" s="15">
        <f t="shared" si="20"/>
        <v>15</v>
      </c>
      <c r="G9" s="15">
        <f t="shared" si="21"/>
        <v>5</v>
      </c>
      <c r="H9" s="15">
        <f t="shared" si="22"/>
        <v>10</v>
      </c>
      <c r="I9" s="7">
        <v>5</v>
      </c>
      <c r="K9" s="21">
        <v>5</v>
      </c>
      <c r="L9" s="77" t="s">
        <v>39</v>
      </c>
      <c r="M9" s="77" t="s">
        <v>33</v>
      </c>
      <c r="N9" s="77" t="s">
        <v>34</v>
      </c>
      <c r="O9" s="77" t="s">
        <v>38</v>
      </c>
      <c r="P9" s="77" t="s">
        <v>37</v>
      </c>
      <c r="Q9" s="77" t="s">
        <v>75</v>
      </c>
      <c r="R9" s="37" t="s">
        <v>33</v>
      </c>
      <c r="T9" s="76">
        <f t="shared" si="23"/>
        <v>11</v>
      </c>
      <c r="U9" s="76">
        <f t="shared" si="24"/>
        <v>3</v>
      </c>
      <c r="V9" s="76">
        <f t="shared" si="25"/>
        <v>4</v>
      </c>
      <c r="W9" s="76">
        <f t="shared" si="26"/>
        <v>10</v>
      </c>
      <c r="X9" s="76">
        <f t="shared" si="27"/>
        <v>9</v>
      </c>
      <c r="Y9" s="76">
        <f t="shared" si="28"/>
        <v>6</v>
      </c>
      <c r="Z9" s="76">
        <f t="shared" si="29"/>
        <v>3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79" t="s">
        <v>17</v>
      </c>
      <c r="AK9" s="69">
        <v>40</v>
      </c>
      <c r="AL9" s="70">
        <v>13</v>
      </c>
      <c r="AM9" s="70">
        <v>15</v>
      </c>
      <c r="AN9" s="70">
        <v>1</v>
      </c>
      <c r="AO9" s="70">
        <v>1</v>
      </c>
      <c r="AP9" s="70">
        <v>40</v>
      </c>
      <c r="AQ9" s="71">
        <v>1</v>
      </c>
      <c r="AR9" s="57">
        <v>4</v>
      </c>
      <c r="AT9" s="28" t="s">
        <v>18</v>
      </c>
      <c r="AU9" s="15">
        <f t="shared" si="30"/>
        <v>8</v>
      </c>
      <c r="AV9" s="15">
        <f t="shared" si="31"/>
        <v>1</v>
      </c>
      <c r="AW9" s="15">
        <f t="shared" si="32"/>
        <v>16</v>
      </c>
      <c r="AX9" s="15">
        <f t="shared" si="33"/>
        <v>3</v>
      </c>
      <c r="AY9" s="15">
        <f t="shared" si="34"/>
        <v>15</v>
      </c>
      <c r="AZ9" s="15">
        <f t="shared" si="35"/>
        <v>5</v>
      </c>
      <c r="BA9" s="15">
        <f t="shared" si="36"/>
        <v>10</v>
      </c>
      <c r="BB9" s="7">
        <v>5</v>
      </c>
      <c r="BD9" s="21">
        <v>5</v>
      </c>
      <c r="BE9" s="77" t="s">
        <v>39</v>
      </c>
      <c r="BF9" s="77" t="s">
        <v>33</v>
      </c>
      <c r="BG9" s="77" t="s">
        <v>34</v>
      </c>
      <c r="BH9" s="77" t="s">
        <v>38</v>
      </c>
      <c r="BI9" s="77" t="s">
        <v>37</v>
      </c>
      <c r="BJ9" s="77" t="s">
        <v>75</v>
      </c>
      <c r="BK9" s="37" t="s">
        <v>33</v>
      </c>
      <c r="BM9" s="76">
        <f t="shared" si="37"/>
        <v>11</v>
      </c>
      <c r="BN9" s="76">
        <f t="shared" si="38"/>
        <v>3</v>
      </c>
      <c r="BO9" s="76">
        <f t="shared" si="39"/>
        <v>4</v>
      </c>
      <c r="BP9" s="76">
        <f t="shared" si="40"/>
        <v>10</v>
      </c>
      <c r="BQ9" s="76">
        <f t="shared" si="41"/>
        <v>9</v>
      </c>
      <c r="BR9" s="76">
        <f t="shared" si="42"/>
        <v>6</v>
      </c>
      <c r="BS9" s="76">
        <f t="shared" si="43"/>
        <v>3</v>
      </c>
      <c r="BU9" s="25">
        <v>1</v>
      </c>
      <c r="BV9" s="25">
        <v>1</v>
      </c>
      <c r="BW9" s="25">
        <v>1</v>
      </c>
      <c r="BX9" s="25">
        <v>1</v>
      </c>
      <c r="BY9" s="25">
        <v>1</v>
      </c>
      <c r="BZ9" s="25">
        <v>1</v>
      </c>
      <c r="CA9" s="7">
        <v>1</v>
      </c>
      <c r="CC9" s="79" t="s">
        <v>17</v>
      </c>
      <c r="CD9" s="69">
        <v>40</v>
      </c>
      <c r="CE9" s="70">
        <v>13</v>
      </c>
      <c r="CF9" s="70">
        <v>15</v>
      </c>
      <c r="CG9" s="70">
        <v>1</v>
      </c>
      <c r="CH9" s="70">
        <v>1</v>
      </c>
      <c r="CI9" s="70">
        <v>40</v>
      </c>
      <c r="CJ9" s="71">
        <v>1</v>
      </c>
      <c r="CK9" s="57">
        <v>4</v>
      </c>
      <c r="CM9" s="28" t="s">
        <v>18</v>
      </c>
      <c r="CN9" s="15">
        <f t="shared" si="44"/>
        <v>8</v>
      </c>
      <c r="CO9" s="15">
        <f t="shared" si="4"/>
        <v>1</v>
      </c>
      <c r="CP9" s="15">
        <f t="shared" si="5"/>
        <v>16</v>
      </c>
      <c r="CQ9" s="15">
        <f t="shared" si="6"/>
        <v>3</v>
      </c>
      <c r="CR9" s="15">
        <f t="shared" si="7"/>
        <v>15</v>
      </c>
      <c r="CS9" s="15">
        <f t="shared" si="8"/>
        <v>5</v>
      </c>
      <c r="CT9" s="15">
        <f t="shared" si="9"/>
        <v>10</v>
      </c>
      <c r="CU9" s="7">
        <v>5</v>
      </c>
      <c r="CW9" s="21">
        <v>5</v>
      </c>
      <c r="CX9" s="77" t="s">
        <v>39</v>
      </c>
      <c r="CY9" s="77" t="s">
        <v>33</v>
      </c>
      <c r="CZ9" s="77" t="s">
        <v>34</v>
      </c>
      <c r="DA9" s="77" t="s">
        <v>38</v>
      </c>
      <c r="DB9" s="77" t="s">
        <v>37</v>
      </c>
      <c r="DC9" s="77" t="s">
        <v>75</v>
      </c>
      <c r="DD9" s="37" t="s">
        <v>33</v>
      </c>
      <c r="DF9" s="76">
        <f t="shared" si="45"/>
        <v>11</v>
      </c>
      <c r="DG9" s="76">
        <f t="shared" si="10"/>
        <v>3</v>
      </c>
      <c r="DH9" s="76">
        <f t="shared" si="11"/>
        <v>4</v>
      </c>
      <c r="DI9" s="76">
        <f t="shared" si="12"/>
        <v>10</v>
      </c>
      <c r="DJ9" s="76">
        <f t="shared" si="13"/>
        <v>9</v>
      </c>
      <c r="DK9" s="76">
        <f t="shared" si="14"/>
        <v>6</v>
      </c>
      <c r="DL9" s="76">
        <f t="shared" si="15"/>
        <v>3</v>
      </c>
      <c r="DN9" s="25">
        <v>1</v>
      </c>
      <c r="DO9" s="25">
        <v>1</v>
      </c>
      <c r="DP9" s="25">
        <v>1</v>
      </c>
      <c r="DQ9" s="25">
        <v>1</v>
      </c>
      <c r="DR9" s="25">
        <v>1</v>
      </c>
      <c r="DS9" s="25">
        <v>1</v>
      </c>
      <c r="DT9" s="7">
        <v>1</v>
      </c>
      <c r="DV9" s="79" t="s">
        <v>17</v>
      </c>
      <c r="DW9" s="69">
        <v>40</v>
      </c>
      <c r="DX9" s="70">
        <v>13</v>
      </c>
      <c r="DY9" s="70">
        <v>15</v>
      </c>
      <c r="DZ9" s="70">
        <v>1</v>
      </c>
      <c r="EA9" s="70">
        <v>1</v>
      </c>
      <c r="EB9" s="70">
        <v>40</v>
      </c>
      <c r="EC9" s="71">
        <v>1</v>
      </c>
      <c r="ED9" s="57">
        <v>4</v>
      </c>
    </row>
    <row r="10" spans="1:134" ht="15.9" customHeight="1" x14ac:dyDescent="0.3">
      <c r="A10" s="29" t="s">
        <v>74</v>
      </c>
      <c r="B10" s="15">
        <f t="shared" si="16"/>
        <v>8</v>
      </c>
      <c r="C10" s="15">
        <f t="shared" si="17"/>
        <v>12</v>
      </c>
      <c r="D10" s="15">
        <f t="shared" si="18"/>
        <v>5</v>
      </c>
      <c r="E10" s="15">
        <f t="shared" si="19"/>
        <v>24</v>
      </c>
      <c r="F10" s="15">
        <f t="shared" si="20"/>
        <v>6</v>
      </c>
      <c r="G10" s="15">
        <f t="shared" si="21"/>
        <v>27</v>
      </c>
      <c r="H10" s="15">
        <f t="shared" si="22"/>
        <v>14</v>
      </c>
      <c r="I10" s="7">
        <v>6</v>
      </c>
      <c r="K10" s="22">
        <v>6</v>
      </c>
      <c r="L10" s="77" t="s">
        <v>37</v>
      </c>
      <c r="M10" s="77" t="s">
        <v>33</v>
      </c>
      <c r="N10" s="77" t="s">
        <v>25</v>
      </c>
      <c r="O10" s="77" t="s">
        <v>38</v>
      </c>
      <c r="P10" s="77" t="s">
        <v>152</v>
      </c>
      <c r="Q10" s="77" t="s">
        <v>75</v>
      </c>
      <c r="R10" s="37" t="s">
        <v>33</v>
      </c>
      <c r="T10" s="76">
        <f t="shared" si="23"/>
        <v>9</v>
      </c>
      <c r="U10" s="76">
        <f t="shared" si="24"/>
        <v>3</v>
      </c>
      <c r="V10" s="76">
        <f t="shared" si="25"/>
        <v>8</v>
      </c>
      <c r="W10" s="76">
        <f t="shared" si="26"/>
        <v>10</v>
      </c>
      <c r="X10" s="76">
        <f t="shared" si="27"/>
        <v>7</v>
      </c>
      <c r="Y10" s="76">
        <f t="shared" si="28"/>
        <v>6</v>
      </c>
      <c r="Z10" s="76">
        <f t="shared" si="29"/>
        <v>3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79" t="s">
        <v>18</v>
      </c>
      <c r="AK10" s="69">
        <v>10</v>
      </c>
      <c r="AL10" s="70">
        <v>40</v>
      </c>
      <c r="AM10" s="70">
        <v>40</v>
      </c>
      <c r="AN10" s="70">
        <v>40</v>
      </c>
      <c r="AO10" s="70">
        <v>8</v>
      </c>
      <c r="AP10" s="70">
        <v>40</v>
      </c>
      <c r="AQ10" s="71">
        <v>1</v>
      </c>
      <c r="AR10" s="57">
        <v>5</v>
      </c>
      <c r="AT10" s="29" t="s">
        <v>74</v>
      </c>
      <c r="AU10" s="15">
        <f t="shared" si="30"/>
        <v>8</v>
      </c>
      <c r="AV10" s="15">
        <f t="shared" si="31"/>
        <v>17</v>
      </c>
      <c r="AW10" s="15">
        <f t="shared" si="32"/>
        <v>1</v>
      </c>
      <c r="AX10" s="15">
        <f t="shared" si="33"/>
        <v>26</v>
      </c>
      <c r="AY10" s="15">
        <f t="shared" si="34"/>
        <v>6</v>
      </c>
      <c r="AZ10" s="15">
        <f t="shared" si="35"/>
        <v>27</v>
      </c>
      <c r="BA10" s="15">
        <f t="shared" si="36"/>
        <v>14</v>
      </c>
      <c r="BB10" s="7">
        <v>6</v>
      </c>
      <c r="BD10" s="22">
        <v>6</v>
      </c>
      <c r="BE10" s="77" t="s">
        <v>37</v>
      </c>
      <c r="BF10" s="77" t="s">
        <v>33</v>
      </c>
      <c r="BG10" s="77" t="s">
        <v>25</v>
      </c>
      <c r="BH10" s="77" t="s">
        <v>38</v>
      </c>
      <c r="BI10" s="77" t="s">
        <v>152</v>
      </c>
      <c r="BJ10" s="77" t="s">
        <v>75</v>
      </c>
      <c r="BK10" s="37" t="s">
        <v>33</v>
      </c>
      <c r="BM10" s="76">
        <f t="shared" si="37"/>
        <v>9</v>
      </c>
      <c r="BN10" s="76">
        <f t="shared" si="38"/>
        <v>3</v>
      </c>
      <c r="BO10" s="76">
        <f t="shared" si="39"/>
        <v>8</v>
      </c>
      <c r="BP10" s="76">
        <f t="shared" si="40"/>
        <v>10</v>
      </c>
      <c r="BQ10" s="76">
        <f t="shared" si="41"/>
        <v>7</v>
      </c>
      <c r="BR10" s="76">
        <f t="shared" si="42"/>
        <v>6</v>
      </c>
      <c r="BS10" s="76">
        <f t="shared" si="43"/>
        <v>3</v>
      </c>
      <c r="BU10" s="25">
        <v>1</v>
      </c>
      <c r="BV10" s="25">
        <v>1</v>
      </c>
      <c r="BW10" s="25">
        <v>1</v>
      </c>
      <c r="BX10" s="25">
        <v>1</v>
      </c>
      <c r="BY10" s="25">
        <v>1</v>
      </c>
      <c r="BZ10" s="25">
        <v>1</v>
      </c>
      <c r="CA10" s="7">
        <v>1</v>
      </c>
      <c r="CC10" s="79" t="s">
        <v>18</v>
      </c>
      <c r="CD10" s="69">
        <v>10</v>
      </c>
      <c r="CE10" s="70">
        <v>40</v>
      </c>
      <c r="CF10" s="70">
        <v>40</v>
      </c>
      <c r="CG10" s="70">
        <v>40</v>
      </c>
      <c r="CH10" s="70">
        <v>8</v>
      </c>
      <c r="CI10" s="70">
        <v>40</v>
      </c>
      <c r="CJ10" s="71">
        <v>1</v>
      </c>
      <c r="CK10" s="57">
        <v>5</v>
      </c>
      <c r="CM10" s="29" t="s">
        <v>74</v>
      </c>
      <c r="CN10" s="15">
        <f t="shared" si="44"/>
        <v>8</v>
      </c>
      <c r="CO10" s="15">
        <f t="shared" si="4"/>
        <v>17</v>
      </c>
      <c r="CP10" s="15">
        <f t="shared" si="5"/>
        <v>1</v>
      </c>
      <c r="CQ10" s="15">
        <f t="shared" si="6"/>
        <v>26</v>
      </c>
      <c r="CR10" s="15">
        <f t="shared" si="7"/>
        <v>6</v>
      </c>
      <c r="CS10" s="15">
        <f t="shared" si="8"/>
        <v>27</v>
      </c>
      <c r="CT10" s="15">
        <f t="shared" si="9"/>
        <v>13</v>
      </c>
      <c r="CU10" s="7">
        <v>6</v>
      </c>
      <c r="CW10" s="22">
        <v>6</v>
      </c>
      <c r="CX10" s="77" t="s">
        <v>37</v>
      </c>
      <c r="CY10" s="77" t="s">
        <v>33</v>
      </c>
      <c r="CZ10" s="77" t="s">
        <v>25</v>
      </c>
      <c r="DA10" s="77" t="s">
        <v>38</v>
      </c>
      <c r="DB10" s="77" t="s">
        <v>152</v>
      </c>
      <c r="DC10" s="77" t="s">
        <v>75</v>
      </c>
      <c r="DD10" s="37" t="s">
        <v>33</v>
      </c>
      <c r="DF10" s="76">
        <f t="shared" si="45"/>
        <v>9</v>
      </c>
      <c r="DG10" s="76">
        <f t="shared" si="10"/>
        <v>3</v>
      </c>
      <c r="DH10" s="76">
        <f t="shared" si="11"/>
        <v>8</v>
      </c>
      <c r="DI10" s="76">
        <f t="shared" si="12"/>
        <v>10</v>
      </c>
      <c r="DJ10" s="76">
        <f t="shared" si="13"/>
        <v>7</v>
      </c>
      <c r="DK10" s="76">
        <f t="shared" si="14"/>
        <v>6</v>
      </c>
      <c r="DL10" s="76">
        <f t="shared" si="15"/>
        <v>3</v>
      </c>
      <c r="DN10" s="25">
        <v>1</v>
      </c>
      <c r="DO10" s="25">
        <v>1</v>
      </c>
      <c r="DP10" s="25">
        <v>1</v>
      </c>
      <c r="DQ10" s="25">
        <v>1</v>
      </c>
      <c r="DR10" s="25">
        <v>1</v>
      </c>
      <c r="DS10" s="25">
        <v>1</v>
      </c>
      <c r="DT10" s="7">
        <v>1</v>
      </c>
      <c r="DV10" s="79" t="s">
        <v>18</v>
      </c>
      <c r="DW10" s="69">
        <v>10</v>
      </c>
      <c r="DX10" s="70">
        <v>40</v>
      </c>
      <c r="DY10" s="70">
        <v>40</v>
      </c>
      <c r="DZ10" s="70">
        <v>40</v>
      </c>
      <c r="EA10" s="70">
        <v>8</v>
      </c>
      <c r="EB10" s="70">
        <v>40</v>
      </c>
      <c r="EC10" s="71">
        <v>1</v>
      </c>
      <c r="ED10" s="57">
        <v>5</v>
      </c>
    </row>
    <row r="11" spans="1:134" ht="15.9" customHeight="1" x14ac:dyDescent="0.3">
      <c r="A11" s="29" t="s">
        <v>151</v>
      </c>
      <c r="B11" s="15">
        <f t="shared" si="16"/>
        <v>13</v>
      </c>
      <c r="C11" s="15">
        <f t="shared" si="17"/>
        <v>10</v>
      </c>
      <c r="D11" s="15">
        <f t="shared" si="18"/>
        <v>10</v>
      </c>
      <c r="E11" s="15">
        <f t="shared" si="19"/>
        <v>3</v>
      </c>
      <c r="F11" s="15">
        <f t="shared" si="20"/>
        <v>27</v>
      </c>
      <c r="G11" s="15">
        <f t="shared" si="21"/>
        <v>3</v>
      </c>
      <c r="H11" s="15">
        <f t="shared" si="22"/>
        <v>5</v>
      </c>
      <c r="I11" s="7">
        <v>7</v>
      </c>
      <c r="K11" s="21">
        <v>7</v>
      </c>
      <c r="L11" s="77" t="s">
        <v>40</v>
      </c>
      <c r="M11" s="77" t="s">
        <v>152</v>
      </c>
      <c r="N11" s="77" t="s">
        <v>37</v>
      </c>
      <c r="O11" s="77" t="s">
        <v>40</v>
      </c>
      <c r="P11" s="77" t="s">
        <v>39</v>
      </c>
      <c r="Q11" s="77" t="s">
        <v>75</v>
      </c>
      <c r="R11" s="37" t="s">
        <v>33</v>
      </c>
      <c r="T11" s="76">
        <f t="shared" si="23"/>
        <v>12</v>
      </c>
      <c r="U11" s="76">
        <f t="shared" si="24"/>
        <v>7</v>
      </c>
      <c r="V11" s="76">
        <f t="shared" si="25"/>
        <v>9</v>
      </c>
      <c r="W11" s="76">
        <f t="shared" si="26"/>
        <v>12</v>
      </c>
      <c r="X11" s="76">
        <f t="shared" si="27"/>
        <v>11</v>
      </c>
      <c r="Y11" s="76">
        <f t="shared" si="28"/>
        <v>6</v>
      </c>
      <c r="Z11" s="76">
        <f t="shared" si="29"/>
        <v>3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79" t="s">
        <v>74</v>
      </c>
      <c r="AK11" s="69">
        <v>40</v>
      </c>
      <c r="AL11" s="70">
        <v>8</v>
      </c>
      <c r="AM11" s="70">
        <v>20</v>
      </c>
      <c r="AN11" s="70">
        <v>1</v>
      </c>
      <c r="AO11" s="70">
        <v>40</v>
      </c>
      <c r="AP11" s="70">
        <v>1</v>
      </c>
      <c r="AQ11" s="71">
        <v>1</v>
      </c>
      <c r="AR11" s="57">
        <v>6</v>
      </c>
      <c r="AT11" s="29" t="s">
        <v>151</v>
      </c>
      <c r="AU11" s="15">
        <f t="shared" si="30"/>
        <v>13</v>
      </c>
      <c r="AV11" s="15">
        <f t="shared" si="31"/>
        <v>10</v>
      </c>
      <c r="AW11" s="15">
        <f t="shared" si="32"/>
        <v>1</v>
      </c>
      <c r="AX11" s="15">
        <f t="shared" si="33"/>
        <v>3</v>
      </c>
      <c r="AY11" s="15">
        <f t="shared" si="34"/>
        <v>28</v>
      </c>
      <c r="AZ11" s="15">
        <f t="shared" si="35"/>
        <v>3</v>
      </c>
      <c r="BA11" s="15">
        <f t="shared" si="36"/>
        <v>7</v>
      </c>
      <c r="BB11" s="7">
        <v>7</v>
      </c>
      <c r="BD11" s="21">
        <v>7</v>
      </c>
      <c r="BE11" s="77" t="s">
        <v>40</v>
      </c>
      <c r="BF11" s="77" t="s">
        <v>152</v>
      </c>
      <c r="BG11" s="77" t="s">
        <v>37</v>
      </c>
      <c r="BH11" s="77" t="s">
        <v>40</v>
      </c>
      <c r="BI11" s="77" t="s">
        <v>39</v>
      </c>
      <c r="BJ11" s="77" t="s">
        <v>75</v>
      </c>
      <c r="BK11" s="37" t="s">
        <v>33</v>
      </c>
      <c r="BM11" s="76">
        <f t="shared" si="37"/>
        <v>12</v>
      </c>
      <c r="BN11" s="76">
        <f t="shared" si="38"/>
        <v>7</v>
      </c>
      <c r="BO11" s="76">
        <f t="shared" si="39"/>
        <v>9</v>
      </c>
      <c r="BP11" s="76">
        <f t="shared" si="40"/>
        <v>12</v>
      </c>
      <c r="BQ11" s="76">
        <f t="shared" si="41"/>
        <v>11</v>
      </c>
      <c r="BR11" s="76">
        <f t="shared" si="42"/>
        <v>6</v>
      </c>
      <c r="BS11" s="76">
        <f t="shared" si="43"/>
        <v>3</v>
      </c>
      <c r="BU11" s="25">
        <v>1</v>
      </c>
      <c r="BV11" s="25">
        <v>1</v>
      </c>
      <c r="BW11" s="25">
        <v>1</v>
      </c>
      <c r="BX11" s="25">
        <v>1</v>
      </c>
      <c r="BY11" s="25">
        <v>1</v>
      </c>
      <c r="BZ11" s="25">
        <v>1</v>
      </c>
      <c r="CA11" s="7">
        <v>1</v>
      </c>
      <c r="CC11" s="79" t="s">
        <v>74</v>
      </c>
      <c r="CD11" s="69">
        <v>40</v>
      </c>
      <c r="CE11" s="70">
        <v>8</v>
      </c>
      <c r="CF11" s="70">
        <v>20</v>
      </c>
      <c r="CG11" s="70">
        <v>1</v>
      </c>
      <c r="CH11" s="70">
        <v>40</v>
      </c>
      <c r="CI11" s="70">
        <v>1</v>
      </c>
      <c r="CJ11" s="71">
        <v>1</v>
      </c>
      <c r="CK11" s="57">
        <v>6</v>
      </c>
      <c r="CM11" s="29" t="s">
        <v>151</v>
      </c>
      <c r="CN11" s="15">
        <f t="shared" si="44"/>
        <v>13</v>
      </c>
      <c r="CO11" s="15">
        <f t="shared" si="4"/>
        <v>10</v>
      </c>
      <c r="CP11" s="15">
        <f t="shared" si="5"/>
        <v>1</v>
      </c>
      <c r="CQ11" s="15">
        <f t="shared" si="6"/>
        <v>3</v>
      </c>
      <c r="CR11" s="15">
        <f t="shared" si="7"/>
        <v>28</v>
      </c>
      <c r="CS11" s="15">
        <f t="shared" si="8"/>
        <v>2</v>
      </c>
      <c r="CT11" s="15">
        <f t="shared" si="9"/>
        <v>8</v>
      </c>
      <c r="CU11" s="7">
        <v>7</v>
      </c>
      <c r="CW11" s="21">
        <v>7</v>
      </c>
      <c r="CX11" s="77" t="s">
        <v>40</v>
      </c>
      <c r="CY11" s="77" t="s">
        <v>152</v>
      </c>
      <c r="CZ11" s="77" t="s">
        <v>37</v>
      </c>
      <c r="DA11" s="77" t="s">
        <v>40</v>
      </c>
      <c r="DB11" s="77" t="s">
        <v>39</v>
      </c>
      <c r="DC11" s="77" t="s">
        <v>75</v>
      </c>
      <c r="DD11" s="37" t="s">
        <v>33</v>
      </c>
      <c r="DF11" s="76">
        <f t="shared" si="45"/>
        <v>12</v>
      </c>
      <c r="DG11" s="76">
        <f t="shared" si="10"/>
        <v>7</v>
      </c>
      <c r="DH11" s="76">
        <f t="shared" si="11"/>
        <v>9</v>
      </c>
      <c r="DI11" s="76">
        <f t="shared" si="12"/>
        <v>12</v>
      </c>
      <c r="DJ11" s="76">
        <f t="shared" si="13"/>
        <v>11</v>
      </c>
      <c r="DK11" s="76">
        <f t="shared" si="14"/>
        <v>6</v>
      </c>
      <c r="DL11" s="76">
        <f t="shared" si="15"/>
        <v>3</v>
      </c>
      <c r="DN11" s="25">
        <v>1</v>
      </c>
      <c r="DO11" s="25">
        <v>1</v>
      </c>
      <c r="DP11" s="25">
        <v>1</v>
      </c>
      <c r="DQ11" s="25">
        <v>1</v>
      </c>
      <c r="DR11" s="25">
        <v>1</v>
      </c>
      <c r="DS11" s="25">
        <v>1</v>
      </c>
      <c r="DT11" s="7">
        <v>1</v>
      </c>
      <c r="DV11" s="79" t="s">
        <v>74</v>
      </c>
      <c r="DW11" s="69">
        <v>40</v>
      </c>
      <c r="DX11" s="70">
        <v>8</v>
      </c>
      <c r="DY11" s="70">
        <v>20</v>
      </c>
      <c r="DZ11" s="70">
        <v>1</v>
      </c>
      <c r="EA11" s="70">
        <v>40</v>
      </c>
      <c r="EB11" s="70">
        <v>1</v>
      </c>
      <c r="EC11" s="71">
        <v>1</v>
      </c>
      <c r="ED11" s="57">
        <v>6</v>
      </c>
    </row>
    <row r="12" spans="1:134" ht="15.9" customHeight="1" x14ac:dyDescent="0.3">
      <c r="A12" s="26" t="s">
        <v>24</v>
      </c>
      <c r="B12" s="15">
        <f t="shared" si="16"/>
        <v>8</v>
      </c>
      <c r="C12" s="15">
        <f t="shared" si="17"/>
        <v>12</v>
      </c>
      <c r="D12" s="15">
        <f t="shared" si="18"/>
        <v>11</v>
      </c>
      <c r="E12" s="15">
        <f t="shared" si="19"/>
        <v>10</v>
      </c>
      <c r="F12" s="15">
        <f t="shared" si="20"/>
        <v>2</v>
      </c>
      <c r="G12" s="15">
        <f t="shared" si="21"/>
        <v>27</v>
      </c>
      <c r="H12" s="15">
        <f t="shared" si="22"/>
        <v>8</v>
      </c>
      <c r="I12" s="7">
        <v>8</v>
      </c>
      <c r="K12" s="22">
        <v>8</v>
      </c>
      <c r="L12" s="77" t="s">
        <v>75</v>
      </c>
      <c r="M12" s="77" t="s">
        <v>152</v>
      </c>
      <c r="N12" s="77" t="s">
        <v>37</v>
      </c>
      <c r="O12" s="77" t="s">
        <v>75</v>
      </c>
      <c r="P12" s="77" t="s">
        <v>39</v>
      </c>
      <c r="Q12" s="77" t="s">
        <v>152</v>
      </c>
      <c r="R12" s="37" t="s">
        <v>34</v>
      </c>
      <c r="T12" s="76">
        <f t="shared" si="23"/>
        <v>6</v>
      </c>
      <c r="U12" s="76">
        <f t="shared" si="24"/>
        <v>7</v>
      </c>
      <c r="V12" s="76">
        <f t="shared" si="25"/>
        <v>9</v>
      </c>
      <c r="W12" s="76">
        <f t="shared" si="26"/>
        <v>6</v>
      </c>
      <c r="X12" s="76">
        <f t="shared" si="27"/>
        <v>11</v>
      </c>
      <c r="Y12" s="76">
        <f t="shared" si="28"/>
        <v>7</v>
      </c>
      <c r="Z12" s="76">
        <f t="shared" si="29"/>
        <v>4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3</v>
      </c>
      <c r="AJ12" s="79" t="s">
        <v>151</v>
      </c>
      <c r="AK12" s="69">
        <v>10</v>
      </c>
      <c r="AL12" s="70">
        <v>40</v>
      </c>
      <c r="AM12" s="70">
        <v>40</v>
      </c>
      <c r="AN12" s="70">
        <v>40</v>
      </c>
      <c r="AO12" s="70">
        <v>8</v>
      </c>
      <c r="AP12" s="70">
        <v>40</v>
      </c>
      <c r="AQ12" s="71">
        <v>1</v>
      </c>
      <c r="AR12" s="57">
        <v>7</v>
      </c>
      <c r="AT12" s="26" t="s">
        <v>24</v>
      </c>
      <c r="AU12" s="15">
        <f t="shared" si="30"/>
        <v>2</v>
      </c>
      <c r="AV12" s="15">
        <f t="shared" si="31"/>
        <v>12</v>
      </c>
      <c r="AW12" s="15">
        <f t="shared" si="32"/>
        <v>21</v>
      </c>
      <c r="AX12" s="15">
        <f t="shared" si="33"/>
        <v>10</v>
      </c>
      <c r="AY12" s="15">
        <f t="shared" si="34"/>
        <v>3</v>
      </c>
      <c r="AZ12" s="15">
        <f t="shared" si="35"/>
        <v>29</v>
      </c>
      <c r="BA12" s="15">
        <f t="shared" si="36"/>
        <v>11</v>
      </c>
      <c r="BB12" s="7">
        <v>8</v>
      </c>
      <c r="BD12" s="22">
        <v>8</v>
      </c>
      <c r="BE12" s="77" t="s">
        <v>75</v>
      </c>
      <c r="BF12" s="77" t="s">
        <v>152</v>
      </c>
      <c r="BG12" s="77" t="s">
        <v>37</v>
      </c>
      <c r="BH12" s="77" t="s">
        <v>75</v>
      </c>
      <c r="BI12" s="77" t="s">
        <v>39</v>
      </c>
      <c r="BJ12" s="77" t="s">
        <v>152</v>
      </c>
      <c r="BK12" s="37" t="s">
        <v>34</v>
      </c>
      <c r="BM12" s="76">
        <f t="shared" si="37"/>
        <v>6</v>
      </c>
      <c r="BN12" s="76">
        <f t="shared" si="38"/>
        <v>7</v>
      </c>
      <c r="BO12" s="76">
        <f t="shared" si="39"/>
        <v>9</v>
      </c>
      <c r="BP12" s="76">
        <f t="shared" si="40"/>
        <v>6</v>
      </c>
      <c r="BQ12" s="76">
        <f t="shared" si="41"/>
        <v>11</v>
      </c>
      <c r="BR12" s="76">
        <f t="shared" si="42"/>
        <v>7</v>
      </c>
      <c r="BS12" s="76">
        <f t="shared" si="43"/>
        <v>4</v>
      </c>
      <c r="BU12" s="25">
        <v>1</v>
      </c>
      <c r="BV12" s="25">
        <v>1</v>
      </c>
      <c r="BW12" s="25">
        <v>1</v>
      </c>
      <c r="BX12" s="25">
        <v>1</v>
      </c>
      <c r="BY12" s="25">
        <v>1</v>
      </c>
      <c r="BZ12" s="25">
        <v>1</v>
      </c>
      <c r="CA12" s="7">
        <v>1</v>
      </c>
      <c r="CC12" s="79" t="s">
        <v>151</v>
      </c>
      <c r="CD12" s="69">
        <v>10</v>
      </c>
      <c r="CE12" s="70">
        <v>40</v>
      </c>
      <c r="CF12" s="70">
        <v>40</v>
      </c>
      <c r="CG12" s="70">
        <v>40</v>
      </c>
      <c r="CH12" s="70">
        <v>8</v>
      </c>
      <c r="CI12" s="70">
        <v>40</v>
      </c>
      <c r="CJ12" s="71">
        <v>1</v>
      </c>
      <c r="CK12" s="57">
        <v>7</v>
      </c>
      <c r="CM12" s="26" t="s">
        <v>24</v>
      </c>
      <c r="CN12" s="15">
        <f t="shared" si="44"/>
        <v>2</v>
      </c>
      <c r="CO12" s="15">
        <f t="shared" si="4"/>
        <v>12</v>
      </c>
      <c r="CP12" s="15">
        <f t="shared" si="5"/>
        <v>21</v>
      </c>
      <c r="CQ12" s="15">
        <f t="shared" si="6"/>
        <v>9</v>
      </c>
      <c r="CR12" s="15">
        <f t="shared" si="7"/>
        <v>3</v>
      </c>
      <c r="CS12" s="15">
        <f t="shared" si="8"/>
        <v>29</v>
      </c>
      <c r="CT12" s="15">
        <f t="shared" si="9"/>
        <v>11</v>
      </c>
      <c r="CU12" s="7">
        <v>8</v>
      </c>
      <c r="CW12" s="22">
        <v>8</v>
      </c>
      <c r="CX12" s="77" t="s">
        <v>75</v>
      </c>
      <c r="CY12" s="77" t="s">
        <v>152</v>
      </c>
      <c r="CZ12" s="77" t="s">
        <v>32</v>
      </c>
      <c r="DA12" s="77" t="s">
        <v>75</v>
      </c>
      <c r="DB12" s="77" t="s">
        <v>39</v>
      </c>
      <c r="DC12" s="77" t="s">
        <v>152</v>
      </c>
      <c r="DD12" s="37" t="s">
        <v>34</v>
      </c>
      <c r="DF12" s="76">
        <f t="shared" si="45"/>
        <v>6</v>
      </c>
      <c r="DG12" s="76">
        <f t="shared" si="10"/>
        <v>7</v>
      </c>
      <c r="DH12" s="76">
        <f t="shared" si="11"/>
        <v>2</v>
      </c>
      <c r="DI12" s="76">
        <f t="shared" si="12"/>
        <v>6</v>
      </c>
      <c r="DJ12" s="76">
        <f t="shared" si="13"/>
        <v>11</v>
      </c>
      <c r="DK12" s="76">
        <f t="shared" si="14"/>
        <v>7</v>
      </c>
      <c r="DL12" s="76">
        <f t="shared" si="15"/>
        <v>4</v>
      </c>
      <c r="DN12" s="25">
        <v>1</v>
      </c>
      <c r="DO12" s="25">
        <v>1</v>
      </c>
      <c r="DP12" s="25">
        <v>1</v>
      </c>
      <c r="DQ12" s="25">
        <v>1</v>
      </c>
      <c r="DR12" s="25">
        <v>1</v>
      </c>
      <c r="DS12" s="25">
        <v>1</v>
      </c>
      <c r="DT12" s="7">
        <v>1</v>
      </c>
      <c r="DV12" s="79" t="s">
        <v>151</v>
      </c>
      <c r="DW12" s="69">
        <v>10</v>
      </c>
      <c r="DX12" s="70">
        <v>40</v>
      </c>
      <c r="DY12" s="70">
        <v>40</v>
      </c>
      <c r="DZ12" s="70">
        <v>40</v>
      </c>
      <c r="EA12" s="70">
        <v>8</v>
      </c>
      <c r="EB12" s="70">
        <v>40</v>
      </c>
      <c r="EC12" s="71">
        <v>1</v>
      </c>
      <c r="ED12" s="57">
        <v>7</v>
      </c>
    </row>
    <row r="13" spans="1:134" ht="15.9" customHeight="1" x14ac:dyDescent="0.3">
      <c r="A13" s="27" t="s">
        <v>26</v>
      </c>
      <c r="B13" s="15">
        <f t="shared" si="16"/>
        <v>17</v>
      </c>
      <c r="C13" s="15">
        <f t="shared" si="17"/>
        <v>2</v>
      </c>
      <c r="D13" s="15">
        <f t="shared" si="18"/>
        <v>18</v>
      </c>
      <c r="E13" s="15">
        <f t="shared" si="19"/>
        <v>3</v>
      </c>
      <c r="F13" s="15">
        <f t="shared" si="20"/>
        <v>16</v>
      </c>
      <c r="G13" s="15">
        <f t="shared" si="21"/>
        <v>6</v>
      </c>
      <c r="H13" s="15">
        <f t="shared" si="22"/>
        <v>7</v>
      </c>
      <c r="I13" s="7">
        <v>9</v>
      </c>
      <c r="K13" s="21">
        <v>9</v>
      </c>
      <c r="L13" s="77" t="s">
        <v>25</v>
      </c>
      <c r="M13" s="77" t="s">
        <v>161</v>
      </c>
      <c r="N13" s="77" t="s">
        <v>34</v>
      </c>
      <c r="O13" s="77" t="s">
        <v>38</v>
      </c>
      <c r="P13" s="77" t="s">
        <v>152</v>
      </c>
      <c r="Q13" s="77" t="s">
        <v>75</v>
      </c>
      <c r="R13" s="37" t="s">
        <v>34</v>
      </c>
      <c r="T13" s="76">
        <f t="shared" si="23"/>
        <v>8</v>
      </c>
      <c r="U13" s="76">
        <f t="shared" si="24"/>
        <v>17</v>
      </c>
      <c r="V13" s="76">
        <f t="shared" si="25"/>
        <v>4</v>
      </c>
      <c r="W13" s="76">
        <f t="shared" si="26"/>
        <v>10</v>
      </c>
      <c r="X13" s="76">
        <f t="shared" si="27"/>
        <v>7</v>
      </c>
      <c r="Y13" s="76">
        <f t="shared" si="28"/>
        <v>6</v>
      </c>
      <c r="Z13" s="76">
        <f t="shared" si="29"/>
        <v>4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79" t="s">
        <v>24</v>
      </c>
      <c r="AK13" s="69">
        <v>10</v>
      </c>
      <c r="AL13" s="70">
        <v>10</v>
      </c>
      <c r="AM13" s="70">
        <v>40</v>
      </c>
      <c r="AN13" s="70">
        <v>1</v>
      </c>
      <c r="AO13" s="70">
        <v>40</v>
      </c>
      <c r="AP13" s="70">
        <v>1</v>
      </c>
      <c r="AQ13" s="71">
        <v>1</v>
      </c>
      <c r="AR13" s="57">
        <v>8</v>
      </c>
      <c r="AT13" s="27" t="s">
        <v>26</v>
      </c>
      <c r="AU13" s="15">
        <f t="shared" si="30"/>
        <v>19</v>
      </c>
      <c r="AV13" s="15">
        <f t="shared" si="31"/>
        <v>2</v>
      </c>
      <c r="AW13" s="15">
        <f t="shared" si="32"/>
        <v>19</v>
      </c>
      <c r="AX13" s="15">
        <f t="shared" si="33"/>
        <v>4</v>
      </c>
      <c r="AY13" s="15">
        <f t="shared" si="34"/>
        <v>16</v>
      </c>
      <c r="AZ13" s="15">
        <f t="shared" si="35"/>
        <v>7</v>
      </c>
      <c r="BA13" s="15">
        <f t="shared" si="36"/>
        <v>7</v>
      </c>
      <c r="BB13" s="7">
        <v>9</v>
      </c>
      <c r="BD13" s="21">
        <v>9</v>
      </c>
      <c r="BE13" s="77" t="s">
        <v>39</v>
      </c>
      <c r="BF13" s="77" t="s">
        <v>161</v>
      </c>
      <c r="BG13" s="77" t="s">
        <v>34</v>
      </c>
      <c r="BH13" s="77" t="s">
        <v>38</v>
      </c>
      <c r="BI13" s="77" t="s">
        <v>152</v>
      </c>
      <c r="BJ13" s="77" t="s">
        <v>75</v>
      </c>
      <c r="BK13" s="37" t="s">
        <v>34</v>
      </c>
      <c r="BM13" s="76">
        <f t="shared" si="37"/>
        <v>11</v>
      </c>
      <c r="BN13" s="76">
        <f t="shared" si="38"/>
        <v>17</v>
      </c>
      <c r="BO13" s="76">
        <f t="shared" si="39"/>
        <v>4</v>
      </c>
      <c r="BP13" s="76">
        <f t="shared" si="40"/>
        <v>10</v>
      </c>
      <c r="BQ13" s="76">
        <f t="shared" si="41"/>
        <v>7</v>
      </c>
      <c r="BR13" s="76">
        <f t="shared" si="42"/>
        <v>6</v>
      </c>
      <c r="BS13" s="76">
        <f t="shared" si="43"/>
        <v>4</v>
      </c>
      <c r="BU13" s="25">
        <v>1</v>
      </c>
      <c r="BV13" s="25">
        <v>1</v>
      </c>
      <c r="BW13" s="25">
        <v>1</v>
      </c>
      <c r="BX13" s="25">
        <v>1</v>
      </c>
      <c r="BY13" s="25">
        <v>1</v>
      </c>
      <c r="BZ13" s="25">
        <v>1</v>
      </c>
      <c r="CA13" s="7">
        <v>1</v>
      </c>
      <c r="CC13" s="79" t="s">
        <v>24</v>
      </c>
      <c r="CD13" s="69">
        <v>10</v>
      </c>
      <c r="CE13" s="70">
        <v>10</v>
      </c>
      <c r="CF13" s="70">
        <v>40</v>
      </c>
      <c r="CG13" s="70">
        <v>1</v>
      </c>
      <c r="CH13" s="70">
        <v>40</v>
      </c>
      <c r="CI13" s="70">
        <v>1</v>
      </c>
      <c r="CJ13" s="71">
        <v>1</v>
      </c>
      <c r="CK13" s="57">
        <v>8</v>
      </c>
      <c r="CM13" s="27" t="s">
        <v>26</v>
      </c>
      <c r="CN13" s="15">
        <f t="shared" si="44"/>
        <v>19</v>
      </c>
      <c r="CO13" s="15">
        <f t="shared" si="4"/>
        <v>2</v>
      </c>
      <c r="CP13" s="15">
        <f t="shared" si="5"/>
        <v>18</v>
      </c>
      <c r="CQ13" s="15">
        <f t="shared" si="6"/>
        <v>4</v>
      </c>
      <c r="CR13" s="15">
        <f t="shared" si="7"/>
        <v>16</v>
      </c>
      <c r="CS13" s="15">
        <f t="shared" si="8"/>
        <v>7</v>
      </c>
      <c r="CT13" s="15">
        <f t="shared" si="9"/>
        <v>7</v>
      </c>
      <c r="CU13" s="7">
        <v>9</v>
      </c>
      <c r="CW13" s="21">
        <v>9</v>
      </c>
      <c r="CX13" s="77" t="s">
        <v>39</v>
      </c>
      <c r="CY13" s="77" t="s">
        <v>161</v>
      </c>
      <c r="CZ13" s="77" t="s">
        <v>34</v>
      </c>
      <c r="DA13" s="77" t="s">
        <v>38</v>
      </c>
      <c r="DB13" s="77" t="s">
        <v>152</v>
      </c>
      <c r="DC13" s="77" t="s">
        <v>75</v>
      </c>
      <c r="DD13" s="37" t="s">
        <v>34</v>
      </c>
      <c r="DF13" s="76">
        <f t="shared" si="45"/>
        <v>11</v>
      </c>
      <c r="DG13" s="76">
        <f t="shared" si="10"/>
        <v>17</v>
      </c>
      <c r="DH13" s="76">
        <f t="shared" si="11"/>
        <v>4</v>
      </c>
      <c r="DI13" s="76">
        <f t="shared" si="12"/>
        <v>10</v>
      </c>
      <c r="DJ13" s="76">
        <f t="shared" si="13"/>
        <v>7</v>
      </c>
      <c r="DK13" s="76">
        <f t="shared" si="14"/>
        <v>6</v>
      </c>
      <c r="DL13" s="76">
        <f t="shared" si="15"/>
        <v>4</v>
      </c>
      <c r="DN13" s="25">
        <v>1</v>
      </c>
      <c r="DO13" s="25">
        <v>1</v>
      </c>
      <c r="DP13" s="25">
        <v>1</v>
      </c>
      <c r="DQ13" s="25">
        <v>1</v>
      </c>
      <c r="DR13" s="25">
        <v>1</v>
      </c>
      <c r="DS13" s="25">
        <v>1</v>
      </c>
      <c r="DT13" s="7">
        <v>1</v>
      </c>
      <c r="DV13" s="79" t="s">
        <v>24</v>
      </c>
      <c r="DW13" s="69">
        <v>10</v>
      </c>
      <c r="DX13" s="70">
        <v>10</v>
      </c>
      <c r="DY13" s="70">
        <v>40</v>
      </c>
      <c r="DZ13" s="70">
        <v>1</v>
      </c>
      <c r="EA13" s="70">
        <v>40</v>
      </c>
      <c r="EB13" s="70">
        <v>1</v>
      </c>
      <c r="EC13" s="71">
        <v>1</v>
      </c>
      <c r="ED13" s="57">
        <v>8</v>
      </c>
    </row>
    <row r="14" spans="1:134" ht="15.9" customHeight="1" x14ac:dyDescent="0.3">
      <c r="A14" s="28" t="s">
        <v>27</v>
      </c>
      <c r="B14" s="15">
        <f t="shared" si="16"/>
        <v>14</v>
      </c>
      <c r="C14" s="15">
        <f t="shared" si="17"/>
        <v>23</v>
      </c>
      <c r="D14" s="15">
        <f t="shared" si="18"/>
        <v>2</v>
      </c>
      <c r="E14" s="15">
        <f t="shared" si="19"/>
        <v>24</v>
      </c>
      <c r="F14" s="15">
        <f t="shared" si="20"/>
        <v>7</v>
      </c>
      <c r="G14" s="15">
        <f t="shared" si="21"/>
        <v>22</v>
      </c>
      <c r="H14" s="15">
        <f t="shared" si="22"/>
        <v>11</v>
      </c>
      <c r="I14" s="7">
        <v>10</v>
      </c>
      <c r="K14" s="22">
        <v>10</v>
      </c>
      <c r="L14" s="77" t="s">
        <v>25</v>
      </c>
      <c r="M14" s="77" t="s">
        <v>75</v>
      </c>
      <c r="N14" s="77" t="s">
        <v>39</v>
      </c>
      <c r="O14" s="77" t="s">
        <v>161</v>
      </c>
      <c r="P14" s="77" t="s">
        <v>152</v>
      </c>
      <c r="Q14" s="77" t="s">
        <v>75</v>
      </c>
      <c r="R14" s="37" t="s">
        <v>34</v>
      </c>
      <c r="T14" s="76">
        <f t="shared" si="23"/>
        <v>8</v>
      </c>
      <c r="U14" s="76">
        <f t="shared" si="24"/>
        <v>6</v>
      </c>
      <c r="V14" s="76">
        <f t="shared" si="25"/>
        <v>11</v>
      </c>
      <c r="W14" s="76">
        <f t="shared" si="26"/>
        <v>17</v>
      </c>
      <c r="X14" s="76">
        <f t="shared" si="27"/>
        <v>7</v>
      </c>
      <c r="Y14" s="76">
        <f t="shared" si="28"/>
        <v>6</v>
      </c>
      <c r="Z14" s="76">
        <f t="shared" si="29"/>
        <v>4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79" t="s">
        <v>26</v>
      </c>
      <c r="AK14" s="69">
        <v>40</v>
      </c>
      <c r="AL14" s="70">
        <v>8</v>
      </c>
      <c r="AM14" s="70">
        <v>25</v>
      </c>
      <c r="AN14" s="70">
        <v>10</v>
      </c>
      <c r="AO14" s="70">
        <v>1</v>
      </c>
      <c r="AP14" s="70">
        <v>40</v>
      </c>
      <c r="AQ14" s="71">
        <v>1</v>
      </c>
      <c r="AR14" s="57">
        <v>9</v>
      </c>
      <c r="AT14" s="28" t="s">
        <v>27</v>
      </c>
      <c r="AU14" s="15">
        <f t="shared" si="30"/>
        <v>14</v>
      </c>
      <c r="AV14" s="15">
        <f t="shared" si="31"/>
        <v>27</v>
      </c>
      <c r="AW14" s="15">
        <f t="shared" si="32"/>
        <v>2</v>
      </c>
      <c r="AX14" s="15">
        <f t="shared" si="33"/>
        <v>25</v>
      </c>
      <c r="AY14" s="15">
        <f t="shared" si="34"/>
        <v>7</v>
      </c>
      <c r="AZ14" s="15">
        <f t="shared" si="35"/>
        <v>24</v>
      </c>
      <c r="BA14" s="15">
        <f t="shared" si="36"/>
        <v>12</v>
      </c>
      <c r="BB14" s="7">
        <v>10</v>
      </c>
      <c r="BD14" s="22">
        <v>10</v>
      </c>
      <c r="BE14" s="77" t="s">
        <v>39</v>
      </c>
      <c r="BF14" s="77" t="s">
        <v>75</v>
      </c>
      <c r="BG14" s="77" t="s">
        <v>39</v>
      </c>
      <c r="BH14" s="77" t="s">
        <v>161</v>
      </c>
      <c r="BI14" s="77" t="s">
        <v>152</v>
      </c>
      <c r="BJ14" s="77" t="s">
        <v>75</v>
      </c>
      <c r="BK14" s="37" t="s">
        <v>34</v>
      </c>
      <c r="BM14" s="76">
        <f t="shared" si="37"/>
        <v>11</v>
      </c>
      <c r="BN14" s="76">
        <f t="shared" si="38"/>
        <v>6</v>
      </c>
      <c r="BO14" s="76">
        <f t="shared" si="39"/>
        <v>11</v>
      </c>
      <c r="BP14" s="76">
        <f t="shared" si="40"/>
        <v>17</v>
      </c>
      <c r="BQ14" s="76">
        <f t="shared" si="41"/>
        <v>7</v>
      </c>
      <c r="BR14" s="76">
        <f t="shared" si="42"/>
        <v>6</v>
      </c>
      <c r="BS14" s="76">
        <f t="shared" si="43"/>
        <v>4</v>
      </c>
      <c r="BU14" s="25">
        <v>1</v>
      </c>
      <c r="BV14" s="25">
        <v>1</v>
      </c>
      <c r="BW14" s="25">
        <v>1</v>
      </c>
      <c r="BX14" s="25">
        <v>1</v>
      </c>
      <c r="BY14" s="25">
        <v>1</v>
      </c>
      <c r="BZ14" s="25">
        <v>1</v>
      </c>
      <c r="CA14" s="7">
        <v>1</v>
      </c>
      <c r="CC14" s="79" t="s">
        <v>26</v>
      </c>
      <c r="CD14" s="69">
        <v>40</v>
      </c>
      <c r="CE14" s="70">
        <v>8</v>
      </c>
      <c r="CF14" s="70">
        <v>25</v>
      </c>
      <c r="CG14" s="70">
        <v>10</v>
      </c>
      <c r="CH14" s="70">
        <v>1</v>
      </c>
      <c r="CI14" s="70">
        <v>40</v>
      </c>
      <c r="CJ14" s="71">
        <v>1</v>
      </c>
      <c r="CK14" s="57">
        <v>9</v>
      </c>
      <c r="CM14" s="28" t="s">
        <v>27</v>
      </c>
      <c r="CN14" s="15">
        <f t="shared" si="44"/>
        <v>14</v>
      </c>
      <c r="CO14" s="15">
        <f t="shared" si="4"/>
        <v>27</v>
      </c>
      <c r="CP14" s="15">
        <f t="shared" si="5"/>
        <v>2</v>
      </c>
      <c r="CQ14" s="15">
        <f t="shared" si="6"/>
        <v>25</v>
      </c>
      <c r="CR14" s="15">
        <f t="shared" si="7"/>
        <v>7</v>
      </c>
      <c r="CS14" s="15">
        <f t="shared" si="8"/>
        <v>24</v>
      </c>
      <c r="CT14" s="15">
        <f t="shared" si="9"/>
        <v>12</v>
      </c>
      <c r="CU14" s="7">
        <v>10</v>
      </c>
      <c r="CW14" s="22">
        <v>10</v>
      </c>
      <c r="CX14" s="77" t="s">
        <v>39</v>
      </c>
      <c r="CY14" s="77" t="s">
        <v>75</v>
      </c>
      <c r="CZ14" s="77" t="s">
        <v>39</v>
      </c>
      <c r="DA14" s="77" t="s">
        <v>161</v>
      </c>
      <c r="DB14" s="77" t="s">
        <v>152</v>
      </c>
      <c r="DC14" s="77" t="s">
        <v>75</v>
      </c>
      <c r="DD14" s="37" t="s">
        <v>34</v>
      </c>
      <c r="DF14" s="76">
        <f t="shared" si="45"/>
        <v>11</v>
      </c>
      <c r="DG14" s="76">
        <f t="shared" si="10"/>
        <v>6</v>
      </c>
      <c r="DH14" s="76">
        <f t="shared" si="11"/>
        <v>11</v>
      </c>
      <c r="DI14" s="76">
        <f t="shared" si="12"/>
        <v>17</v>
      </c>
      <c r="DJ14" s="76">
        <f t="shared" si="13"/>
        <v>7</v>
      </c>
      <c r="DK14" s="76">
        <f t="shared" si="14"/>
        <v>6</v>
      </c>
      <c r="DL14" s="76">
        <f t="shared" si="15"/>
        <v>4</v>
      </c>
      <c r="DN14" s="25">
        <v>1</v>
      </c>
      <c r="DO14" s="25">
        <v>1</v>
      </c>
      <c r="DP14" s="25">
        <v>1</v>
      </c>
      <c r="DQ14" s="25">
        <v>1</v>
      </c>
      <c r="DR14" s="25">
        <v>1</v>
      </c>
      <c r="DS14" s="25">
        <v>1</v>
      </c>
      <c r="DT14" s="7">
        <v>1</v>
      </c>
      <c r="DV14" s="79" t="s">
        <v>26</v>
      </c>
      <c r="DW14" s="69">
        <v>40</v>
      </c>
      <c r="DX14" s="70">
        <v>8</v>
      </c>
      <c r="DY14" s="70">
        <v>25</v>
      </c>
      <c r="DZ14" s="70">
        <v>10</v>
      </c>
      <c r="EA14" s="70">
        <v>1</v>
      </c>
      <c r="EB14" s="70">
        <v>40</v>
      </c>
      <c r="EC14" s="71">
        <v>1</v>
      </c>
      <c r="ED14" s="57">
        <v>9</v>
      </c>
    </row>
    <row r="15" spans="1:134" ht="15.9" customHeight="1" x14ac:dyDescent="0.3">
      <c r="A15" s="29" t="s">
        <v>28</v>
      </c>
      <c r="B15" s="15">
        <f t="shared" si="16"/>
        <v>17</v>
      </c>
      <c r="C15" s="15">
        <f t="shared" si="17"/>
        <v>5</v>
      </c>
      <c r="D15" s="15">
        <f t="shared" si="18"/>
        <v>29</v>
      </c>
      <c r="E15" s="15">
        <f t="shared" si="19"/>
        <v>6</v>
      </c>
      <c r="F15" s="15">
        <f t="shared" si="20"/>
        <v>19</v>
      </c>
      <c r="G15" s="15">
        <f t="shared" si="21"/>
        <v>2</v>
      </c>
      <c r="H15" s="15">
        <f t="shared" si="22"/>
        <v>15</v>
      </c>
      <c r="I15" s="7">
        <v>11</v>
      </c>
      <c r="K15" s="21">
        <v>11</v>
      </c>
      <c r="L15" s="77" t="s">
        <v>40</v>
      </c>
      <c r="M15" s="77" t="s">
        <v>75</v>
      </c>
      <c r="N15" s="77" t="s">
        <v>39</v>
      </c>
      <c r="O15" s="77" t="s">
        <v>181</v>
      </c>
      <c r="P15" s="77" t="s">
        <v>37</v>
      </c>
      <c r="Q15" s="77" t="s">
        <v>152</v>
      </c>
      <c r="R15" s="37" t="s">
        <v>34</v>
      </c>
      <c r="T15" s="76">
        <f t="shared" si="23"/>
        <v>12</v>
      </c>
      <c r="U15" s="76">
        <f t="shared" si="24"/>
        <v>6</v>
      </c>
      <c r="V15" s="76">
        <f t="shared" si="25"/>
        <v>11</v>
      </c>
      <c r="W15" s="76">
        <f t="shared" si="26"/>
        <v>19</v>
      </c>
      <c r="X15" s="76">
        <f t="shared" si="27"/>
        <v>9</v>
      </c>
      <c r="Y15" s="76">
        <f t="shared" si="28"/>
        <v>7</v>
      </c>
      <c r="Z15" s="76">
        <f t="shared" si="29"/>
        <v>4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79" t="s">
        <v>27</v>
      </c>
      <c r="AK15" s="69">
        <v>10</v>
      </c>
      <c r="AL15" s="70">
        <v>40</v>
      </c>
      <c r="AM15" s="70">
        <v>40</v>
      </c>
      <c r="AN15" s="70">
        <v>10</v>
      </c>
      <c r="AO15" s="70">
        <v>40</v>
      </c>
      <c r="AP15" s="70">
        <v>1</v>
      </c>
      <c r="AQ15" s="71">
        <v>1</v>
      </c>
      <c r="AR15" s="57">
        <v>10</v>
      </c>
      <c r="AT15" s="29" t="s">
        <v>28</v>
      </c>
      <c r="AU15" s="15">
        <f t="shared" si="30"/>
        <v>23</v>
      </c>
      <c r="AV15" s="15">
        <f t="shared" si="31"/>
        <v>5</v>
      </c>
      <c r="AW15" s="15">
        <f t="shared" si="32"/>
        <v>35</v>
      </c>
      <c r="AX15" s="15">
        <f t="shared" si="33"/>
        <v>6</v>
      </c>
      <c r="AY15" s="15">
        <f t="shared" si="34"/>
        <v>20</v>
      </c>
      <c r="AZ15" s="15">
        <f t="shared" si="35"/>
        <v>2</v>
      </c>
      <c r="BA15" s="15">
        <f t="shared" si="36"/>
        <v>15</v>
      </c>
      <c r="BB15" s="7">
        <v>11</v>
      </c>
      <c r="BD15" s="21">
        <v>11</v>
      </c>
      <c r="BE15" s="77" t="s">
        <v>40</v>
      </c>
      <c r="BF15" s="77" t="s">
        <v>75</v>
      </c>
      <c r="BG15" s="77" t="s">
        <v>39</v>
      </c>
      <c r="BH15" s="77" t="s">
        <v>181</v>
      </c>
      <c r="BI15" s="77" t="s">
        <v>37</v>
      </c>
      <c r="BJ15" s="77" t="s">
        <v>152</v>
      </c>
      <c r="BK15" s="37" t="s">
        <v>34</v>
      </c>
      <c r="BM15" s="76">
        <f t="shared" si="37"/>
        <v>12</v>
      </c>
      <c r="BN15" s="76">
        <f t="shared" si="38"/>
        <v>6</v>
      </c>
      <c r="BO15" s="76">
        <f t="shared" si="39"/>
        <v>11</v>
      </c>
      <c r="BP15" s="76">
        <f t="shared" si="40"/>
        <v>19</v>
      </c>
      <c r="BQ15" s="76">
        <f t="shared" si="41"/>
        <v>9</v>
      </c>
      <c r="BR15" s="76">
        <f t="shared" si="42"/>
        <v>7</v>
      </c>
      <c r="BS15" s="76">
        <f t="shared" si="43"/>
        <v>4</v>
      </c>
      <c r="BU15" s="25">
        <v>1</v>
      </c>
      <c r="BV15" s="25">
        <v>1</v>
      </c>
      <c r="BW15" s="25">
        <v>1</v>
      </c>
      <c r="BX15" s="25">
        <v>1</v>
      </c>
      <c r="BY15" s="25">
        <v>1</v>
      </c>
      <c r="BZ15" s="25">
        <v>1</v>
      </c>
      <c r="CA15" s="7">
        <v>1</v>
      </c>
      <c r="CC15" s="79" t="s">
        <v>27</v>
      </c>
      <c r="CD15" s="69">
        <v>10</v>
      </c>
      <c r="CE15" s="70">
        <v>40</v>
      </c>
      <c r="CF15" s="70">
        <v>40</v>
      </c>
      <c r="CG15" s="70">
        <v>10</v>
      </c>
      <c r="CH15" s="70">
        <v>40</v>
      </c>
      <c r="CI15" s="70">
        <v>1</v>
      </c>
      <c r="CJ15" s="71">
        <v>1</v>
      </c>
      <c r="CK15" s="57">
        <v>10</v>
      </c>
      <c r="CM15" s="29" t="s">
        <v>28</v>
      </c>
      <c r="CN15" s="15">
        <f t="shared" si="44"/>
        <v>23</v>
      </c>
      <c r="CO15" s="15">
        <f t="shared" si="4"/>
        <v>5</v>
      </c>
      <c r="CP15" s="15">
        <f t="shared" si="5"/>
        <v>35</v>
      </c>
      <c r="CQ15" s="15">
        <f t="shared" si="6"/>
        <v>6</v>
      </c>
      <c r="CR15" s="15">
        <f t="shared" si="7"/>
        <v>20</v>
      </c>
      <c r="CS15" s="15">
        <f t="shared" si="8"/>
        <v>2</v>
      </c>
      <c r="CT15" s="15">
        <f t="shared" si="9"/>
        <v>15</v>
      </c>
      <c r="CU15" s="7">
        <v>11</v>
      </c>
      <c r="CW15" s="21">
        <v>11</v>
      </c>
      <c r="CX15" s="77" t="s">
        <v>32</v>
      </c>
      <c r="CY15" s="77" t="s">
        <v>75</v>
      </c>
      <c r="CZ15" s="77" t="s">
        <v>39</v>
      </c>
      <c r="DA15" s="77" t="s">
        <v>181</v>
      </c>
      <c r="DB15" s="77" t="s">
        <v>37</v>
      </c>
      <c r="DC15" s="77" t="s">
        <v>32</v>
      </c>
      <c r="DD15" s="37" t="s">
        <v>34</v>
      </c>
      <c r="DF15" s="76">
        <f t="shared" si="45"/>
        <v>2</v>
      </c>
      <c r="DG15" s="76">
        <f t="shared" si="10"/>
        <v>6</v>
      </c>
      <c r="DH15" s="76">
        <f t="shared" si="11"/>
        <v>11</v>
      </c>
      <c r="DI15" s="76">
        <f t="shared" si="12"/>
        <v>19</v>
      </c>
      <c r="DJ15" s="76">
        <f t="shared" si="13"/>
        <v>9</v>
      </c>
      <c r="DK15" s="76">
        <f t="shared" si="14"/>
        <v>2</v>
      </c>
      <c r="DL15" s="76">
        <f t="shared" si="15"/>
        <v>4</v>
      </c>
      <c r="DN15" s="25">
        <v>1</v>
      </c>
      <c r="DO15" s="25">
        <v>1</v>
      </c>
      <c r="DP15" s="25">
        <v>1</v>
      </c>
      <c r="DQ15" s="25">
        <v>1</v>
      </c>
      <c r="DR15" s="25">
        <v>1</v>
      </c>
      <c r="DS15" s="25">
        <v>1</v>
      </c>
      <c r="DT15" s="7">
        <v>1</v>
      </c>
      <c r="DV15" s="79" t="s">
        <v>27</v>
      </c>
      <c r="DW15" s="69">
        <v>10</v>
      </c>
      <c r="DX15" s="70">
        <v>40</v>
      </c>
      <c r="DY15" s="70">
        <v>40</v>
      </c>
      <c r="DZ15" s="70">
        <v>10</v>
      </c>
      <c r="EA15" s="70">
        <v>40</v>
      </c>
      <c r="EB15" s="70">
        <v>1</v>
      </c>
      <c r="EC15" s="71">
        <v>1</v>
      </c>
      <c r="ED15" s="57">
        <v>10</v>
      </c>
    </row>
    <row r="16" spans="1:134" ht="15.9" customHeight="1" x14ac:dyDescent="0.3">
      <c r="A16" s="30" t="s">
        <v>29</v>
      </c>
      <c r="B16" s="15">
        <f t="shared" si="16"/>
        <v>26</v>
      </c>
      <c r="C16" s="15">
        <f t="shared" si="17"/>
        <v>15</v>
      </c>
      <c r="D16" s="15">
        <f t="shared" si="18"/>
        <v>5</v>
      </c>
      <c r="E16" s="15">
        <f t="shared" si="19"/>
        <v>17</v>
      </c>
      <c r="F16" s="15">
        <f t="shared" si="20"/>
        <v>5</v>
      </c>
      <c r="G16" s="15">
        <f t="shared" si="21"/>
        <v>20</v>
      </c>
      <c r="H16" s="15">
        <f t="shared" si="22"/>
        <v>16</v>
      </c>
      <c r="I16" s="7">
        <v>12</v>
      </c>
      <c r="K16" s="22">
        <v>12</v>
      </c>
      <c r="L16" s="77" t="s">
        <v>40</v>
      </c>
      <c r="M16" s="77" t="s">
        <v>38</v>
      </c>
      <c r="N16" s="77" t="s">
        <v>97</v>
      </c>
      <c r="O16" s="77" t="s">
        <v>25</v>
      </c>
      <c r="P16" s="77" t="s">
        <v>37</v>
      </c>
      <c r="Q16" s="77" t="s">
        <v>152</v>
      </c>
      <c r="R16" s="37" t="s">
        <v>35</v>
      </c>
      <c r="T16" s="76">
        <f t="shared" si="23"/>
        <v>12</v>
      </c>
      <c r="U16" s="76">
        <f t="shared" si="24"/>
        <v>10</v>
      </c>
      <c r="V16" s="76">
        <f t="shared" si="25"/>
        <v>14</v>
      </c>
      <c r="W16" s="76">
        <f t="shared" si="26"/>
        <v>8</v>
      </c>
      <c r="X16" s="76">
        <f t="shared" si="27"/>
        <v>9</v>
      </c>
      <c r="Y16" s="76">
        <f t="shared" si="28"/>
        <v>7</v>
      </c>
      <c r="Z16" s="76">
        <f t="shared" si="29"/>
        <v>5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3</v>
      </c>
      <c r="AJ16" s="79" t="s">
        <v>28</v>
      </c>
      <c r="AK16" s="69">
        <v>40</v>
      </c>
      <c r="AL16" s="70">
        <v>40</v>
      </c>
      <c r="AM16" s="70">
        <v>40</v>
      </c>
      <c r="AN16" s="70">
        <v>1</v>
      </c>
      <c r="AO16" s="70">
        <v>1</v>
      </c>
      <c r="AP16" s="70">
        <v>1</v>
      </c>
      <c r="AQ16" s="71">
        <v>1</v>
      </c>
      <c r="AR16" s="57">
        <v>11</v>
      </c>
      <c r="AT16" s="30" t="s">
        <v>29</v>
      </c>
      <c r="AU16" s="15">
        <f t="shared" si="30"/>
        <v>30</v>
      </c>
      <c r="AV16" s="15">
        <f t="shared" si="31"/>
        <v>16</v>
      </c>
      <c r="AW16" s="15">
        <f t="shared" si="32"/>
        <v>5</v>
      </c>
      <c r="AX16" s="15">
        <f t="shared" si="33"/>
        <v>19</v>
      </c>
      <c r="AY16" s="15">
        <f t="shared" si="34"/>
        <v>5</v>
      </c>
      <c r="AZ16" s="15">
        <f t="shared" si="35"/>
        <v>21</v>
      </c>
      <c r="BA16" s="15">
        <f t="shared" si="36"/>
        <v>19</v>
      </c>
      <c r="BB16" s="7">
        <v>12</v>
      </c>
      <c r="BD16" s="22">
        <v>12</v>
      </c>
      <c r="BE16" s="77" t="s">
        <v>40</v>
      </c>
      <c r="BF16" s="77" t="s">
        <v>38</v>
      </c>
      <c r="BG16" s="77" t="s">
        <v>97</v>
      </c>
      <c r="BH16" s="77" t="s">
        <v>25</v>
      </c>
      <c r="BI16" s="77" t="s">
        <v>37</v>
      </c>
      <c r="BJ16" s="77" t="s">
        <v>152</v>
      </c>
      <c r="BK16" s="37" t="s">
        <v>35</v>
      </c>
      <c r="BM16" s="76">
        <f t="shared" si="37"/>
        <v>12</v>
      </c>
      <c r="BN16" s="76">
        <f t="shared" si="38"/>
        <v>10</v>
      </c>
      <c r="BO16" s="76">
        <f t="shared" si="39"/>
        <v>14</v>
      </c>
      <c r="BP16" s="76">
        <f t="shared" si="40"/>
        <v>8</v>
      </c>
      <c r="BQ16" s="76">
        <f t="shared" si="41"/>
        <v>9</v>
      </c>
      <c r="BR16" s="76">
        <f t="shared" si="42"/>
        <v>7</v>
      </c>
      <c r="BS16" s="76">
        <f t="shared" si="43"/>
        <v>5</v>
      </c>
      <c r="BU16" s="25">
        <v>1</v>
      </c>
      <c r="BV16" s="25">
        <v>1</v>
      </c>
      <c r="BW16" s="25">
        <v>1</v>
      </c>
      <c r="BX16" s="25">
        <v>1</v>
      </c>
      <c r="BY16" s="25">
        <v>1</v>
      </c>
      <c r="BZ16" s="25">
        <v>1</v>
      </c>
      <c r="CA16" s="7">
        <v>1</v>
      </c>
      <c r="CC16" s="79" t="s">
        <v>28</v>
      </c>
      <c r="CD16" s="69">
        <v>40</v>
      </c>
      <c r="CE16" s="70">
        <v>40</v>
      </c>
      <c r="CF16" s="70">
        <v>40</v>
      </c>
      <c r="CG16" s="70">
        <v>1</v>
      </c>
      <c r="CH16" s="70">
        <v>1</v>
      </c>
      <c r="CI16" s="70">
        <v>1</v>
      </c>
      <c r="CJ16" s="71">
        <v>1</v>
      </c>
      <c r="CK16" s="57">
        <v>11</v>
      </c>
      <c r="CM16" s="30" t="s">
        <v>29</v>
      </c>
      <c r="CN16" s="15">
        <f t="shared" si="44"/>
        <v>29</v>
      </c>
      <c r="CO16" s="15">
        <f t="shared" si="4"/>
        <v>16</v>
      </c>
      <c r="CP16" s="15">
        <f t="shared" si="5"/>
        <v>5</v>
      </c>
      <c r="CQ16" s="15">
        <f t="shared" si="6"/>
        <v>19</v>
      </c>
      <c r="CR16" s="15">
        <f t="shared" si="7"/>
        <v>5</v>
      </c>
      <c r="CS16" s="15">
        <f t="shared" si="8"/>
        <v>21</v>
      </c>
      <c r="CT16" s="15">
        <f t="shared" si="9"/>
        <v>18</v>
      </c>
      <c r="CU16" s="7">
        <v>12</v>
      </c>
      <c r="CW16" s="22">
        <v>12</v>
      </c>
      <c r="CX16" s="77" t="s">
        <v>40</v>
      </c>
      <c r="CY16" s="77" t="s">
        <v>38</v>
      </c>
      <c r="CZ16" s="77" t="s">
        <v>97</v>
      </c>
      <c r="DA16" s="77" t="s">
        <v>32</v>
      </c>
      <c r="DB16" s="77" t="s">
        <v>37</v>
      </c>
      <c r="DC16" s="77" t="s">
        <v>152</v>
      </c>
      <c r="DD16" s="37" t="s">
        <v>35</v>
      </c>
      <c r="DF16" s="76">
        <f t="shared" si="45"/>
        <v>12</v>
      </c>
      <c r="DG16" s="76">
        <f t="shared" si="10"/>
        <v>10</v>
      </c>
      <c r="DH16" s="76">
        <f t="shared" si="11"/>
        <v>14</v>
      </c>
      <c r="DI16" s="76">
        <f t="shared" si="12"/>
        <v>2</v>
      </c>
      <c r="DJ16" s="76">
        <f t="shared" si="13"/>
        <v>9</v>
      </c>
      <c r="DK16" s="76">
        <f t="shared" si="14"/>
        <v>7</v>
      </c>
      <c r="DL16" s="76">
        <f t="shared" si="15"/>
        <v>5</v>
      </c>
      <c r="DN16" s="25">
        <v>1</v>
      </c>
      <c r="DO16" s="25">
        <v>1</v>
      </c>
      <c r="DP16" s="25">
        <v>1</v>
      </c>
      <c r="DQ16" s="25">
        <v>1</v>
      </c>
      <c r="DR16" s="25">
        <v>1</v>
      </c>
      <c r="DS16" s="25">
        <v>1</v>
      </c>
      <c r="DT16" s="7">
        <v>1</v>
      </c>
      <c r="DV16" s="79" t="s">
        <v>28</v>
      </c>
      <c r="DW16" s="69">
        <v>40</v>
      </c>
      <c r="DX16" s="70">
        <v>40</v>
      </c>
      <c r="DY16" s="70">
        <v>40</v>
      </c>
      <c r="DZ16" s="70">
        <v>1</v>
      </c>
      <c r="EA16" s="70">
        <v>1</v>
      </c>
      <c r="EB16" s="70">
        <v>1</v>
      </c>
      <c r="EC16" s="71">
        <v>1</v>
      </c>
      <c r="ED16" s="57">
        <v>11</v>
      </c>
    </row>
    <row r="17" spans="1:134" ht="15.9" customHeight="1" x14ac:dyDescent="0.3">
      <c r="A17" s="30" t="s">
        <v>79</v>
      </c>
      <c r="B17" s="15">
        <f t="shared" si="16"/>
        <v>0</v>
      </c>
      <c r="C17" s="15">
        <f t="shared" si="17"/>
        <v>1</v>
      </c>
      <c r="D17" s="15">
        <f t="shared" si="18"/>
        <v>0</v>
      </c>
      <c r="E17" s="15">
        <f t="shared" si="19"/>
        <v>0</v>
      </c>
      <c r="F17" s="15">
        <f t="shared" si="20"/>
        <v>0</v>
      </c>
      <c r="G17" s="15">
        <f t="shared" si="21"/>
        <v>0</v>
      </c>
      <c r="H17" s="15">
        <f t="shared" si="22"/>
        <v>0</v>
      </c>
      <c r="I17" s="7">
        <v>13</v>
      </c>
      <c r="K17" s="21">
        <v>13</v>
      </c>
      <c r="L17" s="77" t="s">
        <v>37</v>
      </c>
      <c r="M17" s="77" t="s">
        <v>38</v>
      </c>
      <c r="N17" s="77" t="s">
        <v>191</v>
      </c>
      <c r="O17" s="77" t="s">
        <v>25</v>
      </c>
      <c r="P17" s="77" t="s">
        <v>152</v>
      </c>
      <c r="Q17" s="77" t="s">
        <v>75</v>
      </c>
      <c r="R17" s="37" t="s">
        <v>35</v>
      </c>
      <c r="T17" s="76">
        <f t="shared" si="23"/>
        <v>9</v>
      </c>
      <c r="U17" s="76">
        <f t="shared" si="24"/>
        <v>10</v>
      </c>
      <c r="V17" s="76">
        <f t="shared" si="25"/>
        <v>21</v>
      </c>
      <c r="W17" s="76">
        <f t="shared" si="26"/>
        <v>8</v>
      </c>
      <c r="X17" s="76">
        <f t="shared" si="27"/>
        <v>7</v>
      </c>
      <c r="Y17" s="76">
        <f t="shared" si="28"/>
        <v>6</v>
      </c>
      <c r="Z17" s="76">
        <f t="shared" si="29"/>
        <v>5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79" t="s">
        <v>29</v>
      </c>
      <c r="AK17" s="69">
        <v>5</v>
      </c>
      <c r="AL17" s="70">
        <v>40</v>
      </c>
      <c r="AM17" s="70">
        <v>20</v>
      </c>
      <c r="AN17" s="70">
        <v>1</v>
      </c>
      <c r="AO17" s="70">
        <v>1</v>
      </c>
      <c r="AP17" s="70">
        <v>1</v>
      </c>
      <c r="AQ17" s="71">
        <v>1</v>
      </c>
      <c r="AR17" s="57">
        <v>12</v>
      </c>
      <c r="AT17" s="30" t="s">
        <v>79</v>
      </c>
      <c r="AU17" s="15">
        <f t="shared" si="30"/>
        <v>0</v>
      </c>
      <c r="AV17" s="15">
        <f t="shared" si="31"/>
        <v>0</v>
      </c>
      <c r="AW17" s="15">
        <f t="shared" si="32"/>
        <v>0</v>
      </c>
      <c r="AX17" s="15">
        <f t="shared" si="33"/>
        <v>0</v>
      </c>
      <c r="AY17" s="15">
        <f t="shared" si="34"/>
        <v>0</v>
      </c>
      <c r="AZ17" s="15">
        <f t="shared" si="35"/>
        <v>0</v>
      </c>
      <c r="BA17" s="15">
        <f t="shared" si="36"/>
        <v>0</v>
      </c>
      <c r="BB17" s="7">
        <v>13</v>
      </c>
      <c r="BD17" s="21">
        <v>13</v>
      </c>
      <c r="BE17" s="77" t="s">
        <v>37</v>
      </c>
      <c r="BF17" s="77" t="s">
        <v>38</v>
      </c>
      <c r="BG17" s="77" t="s">
        <v>191</v>
      </c>
      <c r="BH17" s="77" t="s">
        <v>25</v>
      </c>
      <c r="BI17" s="77" t="s">
        <v>152</v>
      </c>
      <c r="BJ17" s="77" t="s">
        <v>75</v>
      </c>
      <c r="BK17" s="37" t="s">
        <v>35</v>
      </c>
      <c r="BM17" s="76">
        <f t="shared" si="37"/>
        <v>9</v>
      </c>
      <c r="BN17" s="76">
        <f t="shared" si="38"/>
        <v>10</v>
      </c>
      <c r="BO17" s="76">
        <f t="shared" si="39"/>
        <v>21</v>
      </c>
      <c r="BP17" s="76">
        <f t="shared" si="40"/>
        <v>8</v>
      </c>
      <c r="BQ17" s="76">
        <f t="shared" si="41"/>
        <v>7</v>
      </c>
      <c r="BR17" s="76">
        <f t="shared" si="42"/>
        <v>6</v>
      </c>
      <c r="BS17" s="76">
        <f t="shared" si="43"/>
        <v>5</v>
      </c>
      <c r="BU17" s="25">
        <v>1</v>
      </c>
      <c r="BV17" s="25">
        <v>1</v>
      </c>
      <c r="BW17" s="25">
        <v>1</v>
      </c>
      <c r="BX17" s="25">
        <v>1</v>
      </c>
      <c r="BY17" s="25">
        <v>1</v>
      </c>
      <c r="BZ17" s="25">
        <v>1</v>
      </c>
      <c r="CA17" s="7">
        <v>1</v>
      </c>
      <c r="CC17" s="79" t="s">
        <v>29</v>
      </c>
      <c r="CD17" s="69">
        <v>5</v>
      </c>
      <c r="CE17" s="70">
        <v>40</v>
      </c>
      <c r="CF17" s="70">
        <v>20</v>
      </c>
      <c r="CG17" s="70">
        <v>1</v>
      </c>
      <c r="CH17" s="70">
        <v>1</v>
      </c>
      <c r="CI17" s="70">
        <v>1</v>
      </c>
      <c r="CJ17" s="71">
        <v>1</v>
      </c>
      <c r="CK17" s="57">
        <v>12</v>
      </c>
      <c r="CM17" s="30" t="s">
        <v>79</v>
      </c>
      <c r="CN17" s="15">
        <f t="shared" si="44"/>
        <v>0</v>
      </c>
      <c r="CO17" s="15">
        <f t="shared" si="4"/>
        <v>0</v>
      </c>
      <c r="CP17" s="15">
        <f t="shared" si="5"/>
        <v>0</v>
      </c>
      <c r="CQ17" s="15">
        <f t="shared" si="6"/>
        <v>0</v>
      </c>
      <c r="CR17" s="15">
        <f t="shared" si="7"/>
        <v>0</v>
      </c>
      <c r="CS17" s="15">
        <f t="shared" si="8"/>
        <v>0</v>
      </c>
      <c r="CT17" s="15">
        <f t="shared" si="9"/>
        <v>0</v>
      </c>
      <c r="CU17" s="7">
        <v>13</v>
      </c>
      <c r="CW17" s="21">
        <v>13</v>
      </c>
      <c r="CX17" s="77" t="s">
        <v>37</v>
      </c>
      <c r="CY17" s="77" t="s">
        <v>38</v>
      </c>
      <c r="CZ17" s="77" t="s">
        <v>191</v>
      </c>
      <c r="DA17" s="77" t="s">
        <v>25</v>
      </c>
      <c r="DB17" s="77" t="s">
        <v>152</v>
      </c>
      <c r="DC17" s="77" t="s">
        <v>75</v>
      </c>
      <c r="DD17" s="37" t="s">
        <v>35</v>
      </c>
      <c r="DF17" s="76">
        <f t="shared" si="45"/>
        <v>9</v>
      </c>
      <c r="DG17" s="76">
        <f t="shared" si="10"/>
        <v>10</v>
      </c>
      <c r="DH17" s="76">
        <f t="shared" si="11"/>
        <v>21</v>
      </c>
      <c r="DI17" s="76">
        <f t="shared" si="12"/>
        <v>8</v>
      </c>
      <c r="DJ17" s="76">
        <f t="shared" si="13"/>
        <v>7</v>
      </c>
      <c r="DK17" s="76">
        <f t="shared" si="14"/>
        <v>6</v>
      </c>
      <c r="DL17" s="76">
        <f t="shared" si="15"/>
        <v>5</v>
      </c>
      <c r="DN17" s="25">
        <v>1</v>
      </c>
      <c r="DO17" s="25">
        <v>1</v>
      </c>
      <c r="DP17" s="25">
        <v>1</v>
      </c>
      <c r="DQ17" s="25">
        <v>1</v>
      </c>
      <c r="DR17" s="25">
        <v>1</v>
      </c>
      <c r="DS17" s="25">
        <v>1</v>
      </c>
      <c r="DT17" s="7">
        <v>1</v>
      </c>
      <c r="DV17" s="79" t="s">
        <v>29</v>
      </c>
      <c r="DW17" s="69">
        <v>5</v>
      </c>
      <c r="DX17" s="70">
        <v>40</v>
      </c>
      <c r="DY17" s="70">
        <v>20</v>
      </c>
      <c r="DZ17" s="70">
        <v>1</v>
      </c>
      <c r="EA17" s="70">
        <v>1</v>
      </c>
      <c r="EB17" s="70">
        <v>1</v>
      </c>
      <c r="EC17" s="71">
        <v>1</v>
      </c>
      <c r="ED17" s="57">
        <v>12</v>
      </c>
    </row>
    <row r="18" spans="1:134" s="81" customFormat="1" ht="15.9" customHeight="1" x14ac:dyDescent="0.3">
      <c r="A18" s="30" t="s">
        <v>80</v>
      </c>
      <c r="B18" s="15">
        <f t="shared" si="16"/>
        <v>0</v>
      </c>
      <c r="C18" s="15">
        <f t="shared" si="17"/>
        <v>1</v>
      </c>
      <c r="D18" s="15">
        <f t="shared" si="18"/>
        <v>1</v>
      </c>
      <c r="E18" s="15">
        <f t="shared" si="19"/>
        <v>1</v>
      </c>
      <c r="F18" s="15">
        <f t="shared" si="20"/>
        <v>1</v>
      </c>
      <c r="G18" s="15">
        <f t="shared" si="21"/>
        <v>0</v>
      </c>
      <c r="H18" s="15">
        <f t="shared" si="22"/>
        <v>0</v>
      </c>
      <c r="I18" s="7">
        <v>14</v>
      </c>
      <c r="J18" s="65"/>
      <c r="K18" s="22">
        <v>14</v>
      </c>
      <c r="L18" s="77" t="s">
        <v>152</v>
      </c>
      <c r="M18" s="77" t="s">
        <v>163</v>
      </c>
      <c r="N18" s="77" t="s">
        <v>38</v>
      </c>
      <c r="O18" s="77" t="s">
        <v>152</v>
      </c>
      <c r="P18" s="77" t="s">
        <v>152</v>
      </c>
      <c r="Q18" s="77" t="s">
        <v>38</v>
      </c>
      <c r="R18" s="37" t="s">
        <v>35</v>
      </c>
      <c r="S18" s="87"/>
      <c r="T18" s="76">
        <f t="shared" si="23"/>
        <v>7</v>
      </c>
      <c r="U18" s="76">
        <f t="shared" si="24"/>
        <v>18</v>
      </c>
      <c r="V18" s="76">
        <f t="shared" si="25"/>
        <v>10</v>
      </c>
      <c r="W18" s="76">
        <f t="shared" si="26"/>
        <v>7</v>
      </c>
      <c r="X18" s="76">
        <f t="shared" si="27"/>
        <v>7</v>
      </c>
      <c r="Y18" s="76">
        <f t="shared" si="28"/>
        <v>10</v>
      </c>
      <c r="Z18" s="76">
        <f t="shared" si="29"/>
        <v>5</v>
      </c>
      <c r="AA18" s="87"/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79" t="s">
        <v>79</v>
      </c>
      <c r="AK18" s="69">
        <v>0</v>
      </c>
      <c r="AL18" s="70">
        <v>12</v>
      </c>
      <c r="AM18" s="70">
        <v>3</v>
      </c>
      <c r="AN18" s="70">
        <v>5</v>
      </c>
      <c r="AO18" s="70">
        <v>3</v>
      </c>
      <c r="AP18" s="70">
        <v>0</v>
      </c>
      <c r="AQ18" s="71">
        <v>0</v>
      </c>
      <c r="AR18" s="57">
        <v>13</v>
      </c>
      <c r="AT18" s="30" t="s">
        <v>80</v>
      </c>
      <c r="AU18" s="15">
        <f t="shared" si="30"/>
        <v>0</v>
      </c>
      <c r="AV18" s="15">
        <f t="shared" si="31"/>
        <v>2</v>
      </c>
      <c r="AW18" s="15">
        <f t="shared" si="32"/>
        <v>1</v>
      </c>
      <c r="AX18" s="15">
        <f t="shared" si="33"/>
        <v>1</v>
      </c>
      <c r="AY18" s="15">
        <f t="shared" si="34"/>
        <v>1</v>
      </c>
      <c r="AZ18" s="15">
        <f t="shared" si="35"/>
        <v>0</v>
      </c>
      <c r="BA18" s="15">
        <f t="shared" si="36"/>
        <v>0</v>
      </c>
      <c r="BB18" s="7">
        <v>14</v>
      </c>
      <c r="BC18" s="65"/>
      <c r="BD18" s="22">
        <v>14</v>
      </c>
      <c r="BE18" s="77" t="s">
        <v>152</v>
      </c>
      <c r="BF18" s="77" t="s">
        <v>163</v>
      </c>
      <c r="BG18" s="77" t="s">
        <v>38</v>
      </c>
      <c r="BH18" s="77" t="s">
        <v>152</v>
      </c>
      <c r="BI18" s="77" t="s">
        <v>152</v>
      </c>
      <c r="BJ18" s="77" t="s">
        <v>38</v>
      </c>
      <c r="BK18" s="37" t="s">
        <v>35</v>
      </c>
      <c r="BL18" s="87"/>
      <c r="BM18" s="76">
        <f t="shared" si="37"/>
        <v>7</v>
      </c>
      <c r="BN18" s="76">
        <f t="shared" si="38"/>
        <v>18</v>
      </c>
      <c r="BO18" s="76">
        <f t="shared" si="39"/>
        <v>10</v>
      </c>
      <c r="BP18" s="76">
        <f t="shared" si="40"/>
        <v>7</v>
      </c>
      <c r="BQ18" s="76">
        <f t="shared" si="41"/>
        <v>7</v>
      </c>
      <c r="BR18" s="76">
        <f t="shared" si="42"/>
        <v>10</v>
      </c>
      <c r="BS18" s="76">
        <f t="shared" si="43"/>
        <v>5</v>
      </c>
      <c r="BT18" s="87"/>
      <c r="BU18" s="25">
        <v>1</v>
      </c>
      <c r="BV18" s="25">
        <v>1</v>
      </c>
      <c r="BW18" s="25">
        <v>1</v>
      </c>
      <c r="BX18" s="25">
        <v>1</v>
      </c>
      <c r="BY18" s="25">
        <v>1</v>
      </c>
      <c r="BZ18" s="25">
        <v>1</v>
      </c>
      <c r="CA18" s="7">
        <v>1</v>
      </c>
      <c r="CB18" s="87"/>
      <c r="CC18" s="79" t="s">
        <v>79</v>
      </c>
      <c r="CD18" s="69">
        <v>0</v>
      </c>
      <c r="CE18" s="70">
        <v>12</v>
      </c>
      <c r="CF18" s="70">
        <v>3</v>
      </c>
      <c r="CG18" s="70">
        <v>5</v>
      </c>
      <c r="CH18" s="70">
        <v>3</v>
      </c>
      <c r="CI18" s="70">
        <v>0</v>
      </c>
      <c r="CJ18" s="71">
        <v>0</v>
      </c>
      <c r="CK18" s="57">
        <v>13</v>
      </c>
      <c r="CM18" s="30" t="s">
        <v>80</v>
      </c>
      <c r="CN18" s="15">
        <f t="shared" si="44"/>
        <v>0</v>
      </c>
      <c r="CO18" s="15">
        <f t="shared" si="4"/>
        <v>2</v>
      </c>
      <c r="CP18" s="15">
        <f t="shared" si="5"/>
        <v>1</v>
      </c>
      <c r="CQ18" s="15">
        <f t="shared" si="6"/>
        <v>1</v>
      </c>
      <c r="CR18" s="15">
        <f t="shared" si="7"/>
        <v>1</v>
      </c>
      <c r="CS18" s="15">
        <f t="shared" si="8"/>
        <v>0</v>
      </c>
      <c r="CT18" s="15">
        <f t="shared" si="9"/>
        <v>0</v>
      </c>
      <c r="CU18" s="7">
        <v>14</v>
      </c>
      <c r="CV18" s="65"/>
      <c r="CW18" s="22">
        <v>14</v>
      </c>
      <c r="CX18" s="77" t="s">
        <v>152</v>
      </c>
      <c r="CY18" s="77" t="s">
        <v>163</v>
      </c>
      <c r="CZ18" s="77" t="s">
        <v>38</v>
      </c>
      <c r="DA18" s="77" t="s">
        <v>152</v>
      </c>
      <c r="DB18" s="77" t="s">
        <v>152</v>
      </c>
      <c r="DC18" s="77" t="s">
        <v>38</v>
      </c>
      <c r="DD18" s="37" t="s">
        <v>35</v>
      </c>
      <c r="DE18" s="96"/>
      <c r="DF18" s="76">
        <f t="shared" si="45"/>
        <v>7</v>
      </c>
      <c r="DG18" s="76">
        <f t="shared" si="10"/>
        <v>18</v>
      </c>
      <c r="DH18" s="76">
        <f t="shared" si="11"/>
        <v>10</v>
      </c>
      <c r="DI18" s="76">
        <f t="shared" si="12"/>
        <v>7</v>
      </c>
      <c r="DJ18" s="76">
        <f t="shared" si="13"/>
        <v>7</v>
      </c>
      <c r="DK18" s="76">
        <f t="shared" si="14"/>
        <v>10</v>
      </c>
      <c r="DL18" s="76">
        <f t="shared" si="15"/>
        <v>5</v>
      </c>
      <c r="DM18" s="96"/>
      <c r="DN18" s="25">
        <v>1</v>
      </c>
      <c r="DO18" s="25">
        <v>1</v>
      </c>
      <c r="DP18" s="25">
        <v>1</v>
      </c>
      <c r="DQ18" s="25">
        <v>1</v>
      </c>
      <c r="DR18" s="25">
        <v>1</v>
      </c>
      <c r="DS18" s="25">
        <v>1</v>
      </c>
      <c r="DT18" s="7">
        <v>1</v>
      </c>
      <c r="DU18" s="96"/>
      <c r="DV18" s="79" t="s">
        <v>79</v>
      </c>
      <c r="DW18" s="69">
        <v>0</v>
      </c>
      <c r="DX18" s="70">
        <v>12</v>
      </c>
      <c r="DY18" s="70">
        <v>3</v>
      </c>
      <c r="DZ18" s="70">
        <v>5</v>
      </c>
      <c r="EA18" s="70">
        <v>3</v>
      </c>
      <c r="EB18" s="70">
        <v>0</v>
      </c>
      <c r="EC18" s="71">
        <v>0</v>
      </c>
      <c r="ED18" s="57">
        <v>13</v>
      </c>
    </row>
    <row r="19" spans="1:134" ht="15.9" customHeight="1" x14ac:dyDescent="0.3">
      <c r="A19" s="30" t="s">
        <v>81</v>
      </c>
      <c r="B19" s="15">
        <f t="shared" si="16"/>
        <v>0</v>
      </c>
      <c r="C19" s="15">
        <f t="shared" si="17"/>
        <v>1</v>
      </c>
      <c r="D19" s="15">
        <f t="shared" si="18"/>
        <v>1</v>
      </c>
      <c r="E19" s="15">
        <f t="shared" si="19"/>
        <v>1</v>
      </c>
      <c r="F19" s="15">
        <f t="shared" si="20"/>
        <v>1</v>
      </c>
      <c r="G19" s="15">
        <f t="shared" si="21"/>
        <v>0</v>
      </c>
      <c r="H19" s="15">
        <f t="shared" si="22"/>
        <v>0</v>
      </c>
      <c r="I19" s="7">
        <v>15</v>
      </c>
      <c r="J19" s="86"/>
      <c r="K19" s="21">
        <v>15</v>
      </c>
      <c r="L19" s="77" t="s">
        <v>25</v>
      </c>
      <c r="M19" s="77" t="s">
        <v>152</v>
      </c>
      <c r="N19" s="77" t="s">
        <v>35</v>
      </c>
      <c r="O19" s="77" t="s">
        <v>163</v>
      </c>
      <c r="P19" s="77" t="s">
        <v>181</v>
      </c>
      <c r="Q19" s="77" t="s">
        <v>75</v>
      </c>
      <c r="R19" s="37" t="s">
        <v>35</v>
      </c>
      <c r="T19" s="76">
        <f t="shared" si="23"/>
        <v>8</v>
      </c>
      <c r="U19" s="76">
        <f t="shared" si="24"/>
        <v>7</v>
      </c>
      <c r="V19" s="76">
        <f t="shared" si="25"/>
        <v>5</v>
      </c>
      <c r="W19" s="76">
        <f t="shared" si="26"/>
        <v>18</v>
      </c>
      <c r="X19" s="76">
        <f t="shared" si="27"/>
        <v>19</v>
      </c>
      <c r="Y19" s="76">
        <f t="shared" si="28"/>
        <v>6</v>
      </c>
      <c r="Z19" s="76">
        <f t="shared" si="29"/>
        <v>5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79" t="s">
        <v>80</v>
      </c>
      <c r="AK19" s="69">
        <v>0</v>
      </c>
      <c r="AL19" s="70">
        <v>8</v>
      </c>
      <c r="AM19" s="70">
        <v>15</v>
      </c>
      <c r="AN19" s="70">
        <v>2</v>
      </c>
      <c r="AO19" s="70">
        <v>2</v>
      </c>
      <c r="AP19" s="70">
        <v>0</v>
      </c>
      <c r="AQ19" s="71">
        <v>0</v>
      </c>
      <c r="AR19" s="57">
        <v>14</v>
      </c>
      <c r="AT19" s="30" t="s">
        <v>81</v>
      </c>
      <c r="AU19" s="15">
        <f t="shared" si="30"/>
        <v>0</v>
      </c>
      <c r="AV19" s="15">
        <f t="shared" si="31"/>
        <v>0</v>
      </c>
      <c r="AW19" s="15">
        <f t="shared" si="32"/>
        <v>1</v>
      </c>
      <c r="AX19" s="15">
        <f t="shared" si="33"/>
        <v>1</v>
      </c>
      <c r="AY19" s="15">
        <f t="shared" si="34"/>
        <v>1</v>
      </c>
      <c r="AZ19" s="15">
        <f t="shared" si="35"/>
        <v>0</v>
      </c>
      <c r="BA19" s="15">
        <f t="shared" si="36"/>
        <v>0</v>
      </c>
      <c r="BB19" s="7">
        <v>15</v>
      </c>
      <c r="BC19" s="86"/>
      <c r="BD19" s="21">
        <v>15</v>
      </c>
      <c r="BE19" s="77" t="s">
        <v>39</v>
      </c>
      <c r="BF19" s="77" t="s">
        <v>152</v>
      </c>
      <c r="BG19" s="77" t="s">
        <v>35</v>
      </c>
      <c r="BH19" s="77" t="s">
        <v>163</v>
      </c>
      <c r="BI19" s="77" t="s">
        <v>181</v>
      </c>
      <c r="BJ19" s="77" t="s">
        <v>75</v>
      </c>
      <c r="BK19" s="37" t="s">
        <v>35</v>
      </c>
      <c r="BM19" s="76">
        <f t="shared" si="37"/>
        <v>11</v>
      </c>
      <c r="BN19" s="76">
        <f t="shared" si="38"/>
        <v>7</v>
      </c>
      <c r="BO19" s="76">
        <f t="shared" si="39"/>
        <v>5</v>
      </c>
      <c r="BP19" s="76">
        <f t="shared" si="40"/>
        <v>18</v>
      </c>
      <c r="BQ19" s="76">
        <f t="shared" si="41"/>
        <v>19</v>
      </c>
      <c r="BR19" s="76">
        <f t="shared" si="42"/>
        <v>6</v>
      </c>
      <c r="BS19" s="76">
        <f t="shared" si="43"/>
        <v>5</v>
      </c>
      <c r="BU19" s="25">
        <v>1</v>
      </c>
      <c r="BV19" s="25">
        <v>1</v>
      </c>
      <c r="BW19" s="25">
        <v>1</v>
      </c>
      <c r="BX19" s="25">
        <v>1</v>
      </c>
      <c r="BY19" s="25">
        <v>1</v>
      </c>
      <c r="BZ19" s="25">
        <v>1</v>
      </c>
      <c r="CA19" s="7">
        <v>1</v>
      </c>
      <c r="CC19" s="79" t="s">
        <v>80</v>
      </c>
      <c r="CD19" s="69">
        <v>0</v>
      </c>
      <c r="CE19" s="70">
        <v>8</v>
      </c>
      <c r="CF19" s="70">
        <v>15</v>
      </c>
      <c r="CG19" s="70">
        <v>2</v>
      </c>
      <c r="CH19" s="70">
        <v>2</v>
      </c>
      <c r="CI19" s="70">
        <v>0</v>
      </c>
      <c r="CJ19" s="71">
        <v>0</v>
      </c>
      <c r="CK19" s="57">
        <v>14</v>
      </c>
      <c r="CM19" s="30" t="s">
        <v>81</v>
      </c>
      <c r="CN19" s="15">
        <f t="shared" si="44"/>
        <v>0</v>
      </c>
      <c r="CO19" s="15">
        <f t="shared" si="4"/>
        <v>0</v>
      </c>
      <c r="CP19" s="15">
        <f t="shared" si="5"/>
        <v>1</v>
      </c>
      <c r="CQ19" s="15">
        <f t="shared" si="6"/>
        <v>1</v>
      </c>
      <c r="CR19" s="15">
        <f t="shared" si="7"/>
        <v>1</v>
      </c>
      <c r="CS19" s="15">
        <f t="shared" si="8"/>
        <v>0</v>
      </c>
      <c r="CT19" s="15">
        <f t="shared" si="9"/>
        <v>0</v>
      </c>
      <c r="CU19" s="7">
        <v>15</v>
      </c>
      <c r="CV19" s="86"/>
      <c r="CW19" s="21">
        <v>15</v>
      </c>
      <c r="CX19" s="77" t="s">
        <v>39</v>
      </c>
      <c r="CY19" s="77" t="s">
        <v>152</v>
      </c>
      <c r="CZ19" s="77" t="s">
        <v>35</v>
      </c>
      <c r="DA19" s="77" t="s">
        <v>163</v>
      </c>
      <c r="DB19" s="77" t="s">
        <v>181</v>
      </c>
      <c r="DC19" s="77" t="s">
        <v>75</v>
      </c>
      <c r="DD19" s="37" t="s">
        <v>35</v>
      </c>
      <c r="DF19" s="76">
        <f t="shared" si="45"/>
        <v>11</v>
      </c>
      <c r="DG19" s="76">
        <f t="shared" si="10"/>
        <v>7</v>
      </c>
      <c r="DH19" s="76">
        <f t="shared" si="11"/>
        <v>5</v>
      </c>
      <c r="DI19" s="76">
        <f t="shared" si="12"/>
        <v>18</v>
      </c>
      <c r="DJ19" s="76">
        <f t="shared" si="13"/>
        <v>19</v>
      </c>
      <c r="DK19" s="76">
        <f t="shared" si="14"/>
        <v>6</v>
      </c>
      <c r="DL19" s="76">
        <f t="shared" si="15"/>
        <v>5</v>
      </c>
      <c r="DN19" s="25">
        <v>1</v>
      </c>
      <c r="DO19" s="25">
        <v>1</v>
      </c>
      <c r="DP19" s="25">
        <v>1</v>
      </c>
      <c r="DQ19" s="25">
        <v>1</v>
      </c>
      <c r="DR19" s="25">
        <v>1</v>
      </c>
      <c r="DS19" s="25">
        <v>1</v>
      </c>
      <c r="DT19" s="7">
        <v>1</v>
      </c>
      <c r="DV19" s="79" t="s">
        <v>80</v>
      </c>
      <c r="DW19" s="69">
        <v>0</v>
      </c>
      <c r="DX19" s="70">
        <v>8</v>
      </c>
      <c r="DY19" s="70">
        <v>15</v>
      </c>
      <c r="DZ19" s="70">
        <v>2</v>
      </c>
      <c r="EA19" s="70">
        <v>2</v>
      </c>
      <c r="EB19" s="70">
        <v>0</v>
      </c>
      <c r="EC19" s="71">
        <v>0</v>
      </c>
      <c r="ED19" s="57">
        <v>14</v>
      </c>
    </row>
    <row r="20" spans="1:134" ht="15.9" customHeight="1" x14ac:dyDescent="0.3">
      <c r="A20" s="30" t="s">
        <v>82</v>
      </c>
      <c r="B20" s="15">
        <f t="shared" si="16"/>
        <v>0</v>
      </c>
      <c r="C20" s="15">
        <f t="shared" si="17"/>
        <v>1</v>
      </c>
      <c r="D20" s="15">
        <f t="shared" si="18"/>
        <v>1</v>
      </c>
      <c r="E20" s="15">
        <f t="shared" si="19"/>
        <v>1</v>
      </c>
      <c r="F20" s="15">
        <f t="shared" si="20"/>
        <v>1</v>
      </c>
      <c r="G20" s="15">
        <f t="shared" si="21"/>
        <v>0</v>
      </c>
      <c r="H20" s="15">
        <f t="shared" si="22"/>
        <v>0</v>
      </c>
      <c r="I20" s="7">
        <v>16</v>
      </c>
      <c r="K20" s="22">
        <v>16</v>
      </c>
      <c r="L20" s="77" t="s">
        <v>40</v>
      </c>
      <c r="M20" s="77" t="s">
        <v>75</v>
      </c>
      <c r="N20" s="77" t="s">
        <v>35</v>
      </c>
      <c r="O20" s="77" t="s">
        <v>38</v>
      </c>
      <c r="P20" s="77" t="s">
        <v>38</v>
      </c>
      <c r="Q20" s="77" t="s">
        <v>75</v>
      </c>
      <c r="R20" s="37" t="s">
        <v>25</v>
      </c>
      <c r="T20" s="76">
        <f t="shared" si="23"/>
        <v>12</v>
      </c>
      <c r="U20" s="76">
        <f t="shared" si="24"/>
        <v>6</v>
      </c>
      <c r="V20" s="76">
        <f t="shared" si="25"/>
        <v>5</v>
      </c>
      <c r="W20" s="76">
        <f t="shared" si="26"/>
        <v>10</v>
      </c>
      <c r="X20" s="76">
        <f t="shared" si="27"/>
        <v>10</v>
      </c>
      <c r="Y20" s="76">
        <f t="shared" si="28"/>
        <v>6</v>
      </c>
      <c r="Z20" s="76">
        <f t="shared" si="29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3</v>
      </c>
      <c r="AJ20" s="79" t="s">
        <v>81</v>
      </c>
      <c r="AK20" s="69">
        <v>0</v>
      </c>
      <c r="AL20" s="70">
        <v>2</v>
      </c>
      <c r="AM20" s="70">
        <v>7</v>
      </c>
      <c r="AN20" s="70">
        <v>1</v>
      </c>
      <c r="AO20" s="70">
        <v>2</v>
      </c>
      <c r="AP20" s="70">
        <v>0</v>
      </c>
      <c r="AQ20" s="71">
        <v>0</v>
      </c>
      <c r="AR20" s="57">
        <v>15</v>
      </c>
      <c r="AT20" s="30" t="s">
        <v>82</v>
      </c>
      <c r="AU20" s="15">
        <f t="shared" si="30"/>
        <v>0</v>
      </c>
      <c r="AV20" s="15">
        <f t="shared" si="31"/>
        <v>1</v>
      </c>
      <c r="AW20" s="15">
        <f t="shared" si="32"/>
        <v>2</v>
      </c>
      <c r="AX20" s="15">
        <f t="shared" si="33"/>
        <v>1</v>
      </c>
      <c r="AY20" s="15">
        <f t="shared" si="34"/>
        <v>1</v>
      </c>
      <c r="AZ20" s="15">
        <f t="shared" si="35"/>
        <v>0</v>
      </c>
      <c r="BA20" s="15">
        <f t="shared" si="36"/>
        <v>0</v>
      </c>
      <c r="BB20" s="7">
        <v>16</v>
      </c>
      <c r="BD20" s="22">
        <v>16</v>
      </c>
      <c r="BE20" s="77" t="s">
        <v>40</v>
      </c>
      <c r="BF20" s="77" t="s">
        <v>75</v>
      </c>
      <c r="BG20" s="77" t="s">
        <v>35</v>
      </c>
      <c r="BH20" s="77" t="s">
        <v>38</v>
      </c>
      <c r="BI20" s="77" t="s">
        <v>38</v>
      </c>
      <c r="BJ20" s="77" t="s">
        <v>75</v>
      </c>
      <c r="BK20" s="37" t="s">
        <v>25</v>
      </c>
      <c r="BM20" s="76">
        <f t="shared" si="37"/>
        <v>12</v>
      </c>
      <c r="BN20" s="76">
        <f t="shared" si="38"/>
        <v>6</v>
      </c>
      <c r="BO20" s="76">
        <f t="shared" si="39"/>
        <v>5</v>
      </c>
      <c r="BP20" s="76">
        <f t="shared" si="40"/>
        <v>10</v>
      </c>
      <c r="BQ20" s="76">
        <f t="shared" si="41"/>
        <v>10</v>
      </c>
      <c r="BR20" s="76">
        <f t="shared" si="42"/>
        <v>6</v>
      </c>
      <c r="BS20" s="76">
        <f t="shared" si="43"/>
        <v>8</v>
      </c>
      <c r="BU20" s="25">
        <v>1</v>
      </c>
      <c r="BV20" s="25">
        <v>1</v>
      </c>
      <c r="BW20" s="25">
        <v>1</v>
      </c>
      <c r="BX20" s="25">
        <v>1</v>
      </c>
      <c r="BY20" s="25">
        <v>1</v>
      </c>
      <c r="BZ20" s="25">
        <v>1</v>
      </c>
      <c r="CA20" s="7">
        <v>1</v>
      </c>
      <c r="CC20" s="79" t="s">
        <v>81</v>
      </c>
      <c r="CD20" s="69">
        <v>0</v>
      </c>
      <c r="CE20" s="70">
        <v>2</v>
      </c>
      <c r="CF20" s="70">
        <v>7</v>
      </c>
      <c r="CG20" s="70">
        <v>1</v>
      </c>
      <c r="CH20" s="70">
        <v>2</v>
      </c>
      <c r="CI20" s="70">
        <v>0</v>
      </c>
      <c r="CJ20" s="71">
        <v>0</v>
      </c>
      <c r="CK20" s="57">
        <v>15</v>
      </c>
      <c r="CM20" s="30" t="s">
        <v>82</v>
      </c>
      <c r="CN20" s="15">
        <f t="shared" si="44"/>
        <v>0</v>
      </c>
      <c r="CO20" s="15">
        <f t="shared" si="4"/>
        <v>1</v>
      </c>
      <c r="CP20" s="15">
        <f t="shared" si="5"/>
        <v>2</v>
      </c>
      <c r="CQ20" s="15">
        <f t="shared" si="6"/>
        <v>1</v>
      </c>
      <c r="CR20" s="15">
        <f t="shared" si="7"/>
        <v>1</v>
      </c>
      <c r="CS20" s="15">
        <f t="shared" si="8"/>
        <v>0</v>
      </c>
      <c r="CT20" s="15">
        <f t="shared" si="9"/>
        <v>0</v>
      </c>
      <c r="CU20" s="7">
        <v>16</v>
      </c>
      <c r="CW20" s="22">
        <v>16</v>
      </c>
      <c r="CX20" s="77" t="s">
        <v>40</v>
      </c>
      <c r="CY20" s="77" t="s">
        <v>75</v>
      </c>
      <c r="CZ20" s="77" t="s">
        <v>35</v>
      </c>
      <c r="DA20" s="77" t="s">
        <v>38</v>
      </c>
      <c r="DB20" s="77" t="s">
        <v>38</v>
      </c>
      <c r="DC20" s="77" t="s">
        <v>75</v>
      </c>
      <c r="DD20" s="37" t="s">
        <v>25</v>
      </c>
      <c r="DF20" s="76">
        <f t="shared" si="45"/>
        <v>12</v>
      </c>
      <c r="DG20" s="76">
        <f t="shared" si="10"/>
        <v>6</v>
      </c>
      <c r="DH20" s="76">
        <f t="shared" si="11"/>
        <v>5</v>
      </c>
      <c r="DI20" s="76">
        <f t="shared" si="12"/>
        <v>10</v>
      </c>
      <c r="DJ20" s="76">
        <f t="shared" si="13"/>
        <v>10</v>
      </c>
      <c r="DK20" s="76">
        <f t="shared" si="14"/>
        <v>6</v>
      </c>
      <c r="DL20" s="76">
        <f t="shared" si="15"/>
        <v>8</v>
      </c>
      <c r="DN20" s="25">
        <v>1</v>
      </c>
      <c r="DO20" s="25">
        <v>1</v>
      </c>
      <c r="DP20" s="25">
        <v>1</v>
      </c>
      <c r="DQ20" s="25">
        <v>1</v>
      </c>
      <c r="DR20" s="25">
        <v>1</v>
      </c>
      <c r="DS20" s="25">
        <v>1</v>
      </c>
      <c r="DT20" s="7">
        <v>1</v>
      </c>
      <c r="DV20" s="79" t="s">
        <v>81</v>
      </c>
      <c r="DW20" s="69">
        <v>0</v>
      </c>
      <c r="DX20" s="70">
        <v>2</v>
      </c>
      <c r="DY20" s="70">
        <v>7</v>
      </c>
      <c r="DZ20" s="70">
        <v>1</v>
      </c>
      <c r="EA20" s="70">
        <v>2</v>
      </c>
      <c r="EB20" s="70">
        <v>0</v>
      </c>
      <c r="EC20" s="71">
        <v>0</v>
      </c>
      <c r="ED20" s="57">
        <v>15</v>
      </c>
    </row>
    <row r="21" spans="1:134" ht="15.9" customHeight="1" x14ac:dyDescent="0.3">
      <c r="A21" s="30" t="s">
        <v>83</v>
      </c>
      <c r="B21" s="15">
        <f t="shared" si="16"/>
        <v>0</v>
      </c>
      <c r="C21" s="15">
        <f t="shared" si="17"/>
        <v>3</v>
      </c>
      <c r="D21" s="15">
        <f t="shared" si="18"/>
        <v>3</v>
      </c>
      <c r="E21" s="15">
        <f t="shared" si="19"/>
        <v>4</v>
      </c>
      <c r="F21" s="15">
        <f t="shared" si="20"/>
        <v>1</v>
      </c>
      <c r="G21" s="15">
        <f t="shared" si="21"/>
        <v>0</v>
      </c>
      <c r="H21" s="15">
        <f t="shared" si="22"/>
        <v>0</v>
      </c>
      <c r="I21" s="7">
        <v>17</v>
      </c>
      <c r="K21" s="21">
        <v>17</v>
      </c>
      <c r="L21" s="77" t="s">
        <v>75</v>
      </c>
      <c r="M21" s="77" t="s">
        <v>75</v>
      </c>
      <c r="N21" s="77" t="s">
        <v>161</v>
      </c>
      <c r="O21" s="77" t="s">
        <v>97</v>
      </c>
      <c r="P21" s="77" t="s">
        <v>152</v>
      </c>
      <c r="Q21" s="77" t="s">
        <v>75</v>
      </c>
      <c r="R21" s="37" t="s">
        <v>25</v>
      </c>
      <c r="T21" s="76">
        <f t="shared" si="23"/>
        <v>6</v>
      </c>
      <c r="U21" s="76">
        <f t="shared" si="24"/>
        <v>6</v>
      </c>
      <c r="V21" s="76">
        <f t="shared" si="25"/>
        <v>17</v>
      </c>
      <c r="W21" s="76">
        <f t="shared" si="26"/>
        <v>14</v>
      </c>
      <c r="X21" s="76">
        <f t="shared" si="27"/>
        <v>7</v>
      </c>
      <c r="Y21" s="76">
        <f t="shared" si="28"/>
        <v>6</v>
      </c>
      <c r="Z21" s="76">
        <f t="shared" si="29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79" t="s">
        <v>82</v>
      </c>
      <c r="AK21" s="69">
        <v>0</v>
      </c>
      <c r="AL21" s="70">
        <v>5</v>
      </c>
      <c r="AM21" s="70">
        <v>5</v>
      </c>
      <c r="AN21" s="70">
        <v>5</v>
      </c>
      <c r="AO21" s="70">
        <v>2</v>
      </c>
      <c r="AP21" s="70">
        <v>0</v>
      </c>
      <c r="AQ21" s="71">
        <v>0</v>
      </c>
      <c r="AR21" s="57">
        <v>16</v>
      </c>
      <c r="AT21" s="30" t="s">
        <v>83</v>
      </c>
      <c r="AU21" s="15">
        <f t="shared" si="30"/>
        <v>0</v>
      </c>
      <c r="AV21" s="15">
        <f t="shared" si="31"/>
        <v>3</v>
      </c>
      <c r="AW21" s="15">
        <f t="shared" si="32"/>
        <v>0</v>
      </c>
      <c r="AX21" s="15">
        <f t="shared" si="33"/>
        <v>4</v>
      </c>
      <c r="AY21" s="15">
        <f t="shared" si="34"/>
        <v>1</v>
      </c>
      <c r="AZ21" s="15">
        <f t="shared" si="35"/>
        <v>0</v>
      </c>
      <c r="BA21" s="15">
        <f t="shared" si="36"/>
        <v>0</v>
      </c>
      <c r="BB21" s="7">
        <v>17</v>
      </c>
      <c r="BD21" s="21">
        <v>17</v>
      </c>
      <c r="BE21" s="77" t="s">
        <v>75</v>
      </c>
      <c r="BF21" s="77" t="s">
        <v>75</v>
      </c>
      <c r="BG21" s="77" t="s">
        <v>193</v>
      </c>
      <c r="BH21" s="77" t="s">
        <v>97</v>
      </c>
      <c r="BI21" s="77" t="s">
        <v>152</v>
      </c>
      <c r="BJ21" s="77" t="s">
        <v>75</v>
      </c>
      <c r="BK21" s="37" t="s">
        <v>25</v>
      </c>
      <c r="BM21" s="76">
        <f t="shared" si="37"/>
        <v>6</v>
      </c>
      <c r="BN21" s="76">
        <f t="shared" si="38"/>
        <v>6</v>
      </c>
      <c r="BO21" s="76">
        <f t="shared" si="39"/>
        <v>16</v>
      </c>
      <c r="BP21" s="76">
        <f t="shared" si="40"/>
        <v>14</v>
      </c>
      <c r="BQ21" s="76">
        <f t="shared" si="41"/>
        <v>7</v>
      </c>
      <c r="BR21" s="76">
        <f t="shared" si="42"/>
        <v>6</v>
      </c>
      <c r="BS21" s="76">
        <f t="shared" si="43"/>
        <v>8</v>
      </c>
      <c r="BU21" s="25">
        <v>1</v>
      </c>
      <c r="BV21" s="25">
        <v>1</v>
      </c>
      <c r="BW21" s="25">
        <v>1</v>
      </c>
      <c r="BX21" s="25">
        <v>1</v>
      </c>
      <c r="BY21" s="25">
        <v>1</v>
      </c>
      <c r="BZ21" s="25">
        <v>1</v>
      </c>
      <c r="CA21" s="7">
        <v>1</v>
      </c>
      <c r="CC21" s="79" t="s">
        <v>82</v>
      </c>
      <c r="CD21" s="69">
        <v>0</v>
      </c>
      <c r="CE21" s="70">
        <v>5</v>
      </c>
      <c r="CF21" s="70">
        <v>5</v>
      </c>
      <c r="CG21" s="70">
        <v>5</v>
      </c>
      <c r="CH21" s="70">
        <v>2</v>
      </c>
      <c r="CI21" s="70">
        <v>0</v>
      </c>
      <c r="CJ21" s="71">
        <v>0</v>
      </c>
      <c r="CK21" s="57">
        <v>16</v>
      </c>
      <c r="CM21" s="30" t="s">
        <v>83</v>
      </c>
      <c r="CN21" s="15">
        <f t="shared" si="44"/>
        <v>0</v>
      </c>
      <c r="CO21" s="15">
        <f t="shared" si="4"/>
        <v>3</v>
      </c>
      <c r="CP21" s="15">
        <f t="shared" si="5"/>
        <v>0</v>
      </c>
      <c r="CQ21" s="15">
        <f t="shared" si="6"/>
        <v>4</v>
      </c>
      <c r="CR21" s="15">
        <f t="shared" si="7"/>
        <v>1</v>
      </c>
      <c r="CS21" s="15">
        <f t="shared" si="8"/>
        <v>0</v>
      </c>
      <c r="CT21" s="15">
        <f t="shared" si="9"/>
        <v>0</v>
      </c>
      <c r="CU21" s="7">
        <v>17</v>
      </c>
      <c r="CW21" s="21">
        <v>17</v>
      </c>
      <c r="CX21" s="77" t="s">
        <v>75</v>
      </c>
      <c r="CY21" s="77" t="s">
        <v>75</v>
      </c>
      <c r="CZ21" s="77" t="s">
        <v>193</v>
      </c>
      <c r="DA21" s="77" t="s">
        <v>97</v>
      </c>
      <c r="DB21" s="77" t="s">
        <v>152</v>
      </c>
      <c r="DC21" s="77" t="s">
        <v>75</v>
      </c>
      <c r="DD21" s="37" t="s">
        <v>25</v>
      </c>
      <c r="DF21" s="76">
        <f t="shared" si="45"/>
        <v>6</v>
      </c>
      <c r="DG21" s="76">
        <f t="shared" si="10"/>
        <v>6</v>
      </c>
      <c r="DH21" s="76">
        <f t="shared" si="11"/>
        <v>16</v>
      </c>
      <c r="DI21" s="76">
        <f t="shared" si="12"/>
        <v>14</v>
      </c>
      <c r="DJ21" s="76">
        <f t="shared" si="13"/>
        <v>7</v>
      </c>
      <c r="DK21" s="76">
        <f t="shared" si="14"/>
        <v>6</v>
      </c>
      <c r="DL21" s="76">
        <f t="shared" si="15"/>
        <v>8</v>
      </c>
      <c r="DN21" s="25">
        <v>1</v>
      </c>
      <c r="DO21" s="25">
        <v>1</v>
      </c>
      <c r="DP21" s="25">
        <v>1</v>
      </c>
      <c r="DQ21" s="25">
        <v>1</v>
      </c>
      <c r="DR21" s="25">
        <v>1</v>
      </c>
      <c r="DS21" s="25">
        <v>1</v>
      </c>
      <c r="DT21" s="7">
        <v>1</v>
      </c>
      <c r="DV21" s="79" t="s">
        <v>82</v>
      </c>
      <c r="DW21" s="69">
        <v>0</v>
      </c>
      <c r="DX21" s="70">
        <v>5</v>
      </c>
      <c r="DY21" s="70">
        <v>5</v>
      </c>
      <c r="DZ21" s="70">
        <v>5</v>
      </c>
      <c r="EA21" s="70">
        <v>2</v>
      </c>
      <c r="EB21" s="70">
        <v>0</v>
      </c>
      <c r="EC21" s="71">
        <v>0</v>
      </c>
      <c r="ED21" s="57">
        <v>16</v>
      </c>
    </row>
    <row r="22" spans="1:134" ht="15.9" customHeight="1" x14ac:dyDescent="0.3">
      <c r="A22" s="30" t="s">
        <v>162</v>
      </c>
      <c r="B22" s="15">
        <f t="shared" si="16"/>
        <v>0</v>
      </c>
      <c r="C22" s="15">
        <f t="shared" si="17"/>
        <v>3</v>
      </c>
      <c r="D22" s="15">
        <f t="shared" si="18"/>
        <v>2</v>
      </c>
      <c r="E22" s="15">
        <f t="shared" si="19"/>
        <v>2</v>
      </c>
      <c r="F22" s="15">
        <f t="shared" si="20"/>
        <v>2</v>
      </c>
      <c r="G22" s="15">
        <f t="shared" si="21"/>
        <v>0</v>
      </c>
      <c r="H22" s="15">
        <f t="shared" si="22"/>
        <v>0</v>
      </c>
      <c r="I22" s="7">
        <v>18</v>
      </c>
      <c r="K22" s="22">
        <v>18</v>
      </c>
      <c r="L22" s="77" t="s">
        <v>40</v>
      </c>
      <c r="M22" s="77" t="s">
        <v>188</v>
      </c>
      <c r="N22" s="77" t="s">
        <v>37</v>
      </c>
      <c r="O22" s="77" t="s">
        <v>34</v>
      </c>
      <c r="P22" s="77" t="s">
        <v>37</v>
      </c>
      <c r="Q22" s="77" t="s">
        <v>35</v>
      </c>
      <c r="R22" s="77" t="s">
        <v>25</v>
      </c>
      <c r="T22" s="76">
        <f t="shared" si="23"/>
        <v>12</v>
      </c>
      <c r="U22" s="76">
        <f t="shared" si="24"/>
        <v>23</v>
      </c>
      <c r="V22" s="76">
        <f t="shared" si="25"/>
        <v>9</v>
      </c>
      <c r="W22" s="76">
        <f t="shared" si="26"/>
        <v>4</v>
      </c>
      <c r="X22" s="76">
        <f t="shared" si="27"/>
        <v>9</v>
      </c>
      <c r="Y22" s="76">
        <f t="shared" si="28"/>
        <v>5</v>
      </c>
      <c r="Z22" s="76">
        <f t="shared" si="29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79" t="s">
        <v>83</v>
      </c>
      <c r="AK22" s="69">
        <v>0</v>
      </c>
      <c r="AL22" s="70">
        <v>2</v>
      </c>
      <c r="AM22" s="70">
        <v>2</v>
      </c>
      <c r="AN22" s="70">
        <v>1</v>
      </c>
      <c r="AO22" s="70">
        <v>3</v>
      </c>
      <c r="AP22" s="70">
        <v>0</v>
      </c>
      <c r="AQ22" s="71">
        <v>0</v>
      </c>
      <c r="AR22" s="57">
        <v>17</v>
      </c>
      <c r="AT22" s="30" t="s">
        <v>162</v>
      </c>
      <c r="AU22" s="15">
        <f t="shared" si="30"/>
        <v>0</v>
      </c>
      <c r="AV22" s="15">
        <f t="shared" si="31"/>
        <v>3</v>
      </c>
      <c r="AW22" s="15">
        <f t="shared" si="32"/>
        <v>1</v>
      </c>
      <c r="AX22" s="15">
        <f t="shared" si="33"/>
        <v>2</v>
      </c>
      <c r="AY22" s="15">
        <f t="shared" si="34"/>
        <v>2</v>
      </c>
      <c r="AZ22" s="15">
        <f t="shared" si="35"/>
        <v>0</v>
      </c>
      <c r="BA22" s="15">
        <f t="shared" si="36"/>
        <v>0</v>
      </c>
      <c r="BB22" s="7">
        <v>18</v>
      </c>
      <c r="BD22" s="22">
        <v>18</v>
      </c>
      <c r="BE22" s="77" t="s">
        <v>40</v>
      </c>
      <c r="BF22" s="77" t="s">
        <v>188</v>
      </c>
      <c r="BG22" s="77" t="s">
        <v>37</v>
      </c>
      <c r="BH22" s="77" t="s">
        <v>34</v>
      </c>
      <c r="BI22" s="77" t="s">
        <v>37</v>
      </c>
      <c r="BJ22" s="77" t="s">
        <v>35</v>
      </c>
      <c r="BK22" s="77" t="s">
        <v>25</v>
      </c>
      <c r="BM22" s="76">
        <f t="shared" si="37"/>
        <v>12</v>
      </c>
      <c r="BN22" s="76">
        <f t="shared" si="38"/>
        <v>23</v>
      </c>
      <c r="BO22" s="76">
        <f t="shared" si="39"/>
        <v>9</v>
      </c>
      <c r="BP22" s="76">
        <f t="shared" si="40"/>
        <v>4</v>
      </c>
      <c r="BQ22" s="76">
        <f t="shared" si="41"/>
        <v>9</v>
      </c>
      <c r="BR22" s="76">
        <f t="shared" si="42"/>
        <v>5</v>
      </c>
      <c r="BS22" s="76">
        <f t="shared" si="43"/>
        <v>8</v>
      </c>
      <c r="BU22" s="25">
        <v>1</v>
      </c>
      <c r="BV22" s="25">
        <v>1</v>
      </c>
      <c r="BW22" s="25">
        <v>1</v>
      </c>
      <c r="BX22" s="25">
        <v>1</v>
      </c>
      <c r="BY22" s="25">
        <v>1</v>
      </c>
      <c r="BZ22" s="25">
        <v>1</v>
      </c>
      <c r="CA22" s="7">
        <v>1</v>
      </c>
      <c r="CC22" s="79" t="s">
        <v>83</v>
      </c>
      <c r="CD22" s="69">
        <v>0</v>
      </c>
      <c r="CE22" s="70">
        <v>2</v>
      </c>
      <c r="CF22" s="70">
        <v>2</v>
      </c>
      <c r="CG22" s="70">
        <v>1</v>
      </c>
      <c r="CH22" s="70">
        <v>3</v>
      </c>
      <c r="CI22" s="70">
        <v>0</v>
      </c>
      <c r="CJ22" s="71">
        <v>0</v>
      </c>
      <c r="CK22" s="57">
        <v>17</v>
      </c>
      <c r="CM22" s="30" t="s">
        <v>162</v>
      </c>
      <c r="CN22" s="15">
        <f t="shared" si="44"/>
        <v>0</v>
      </c>
      <c r="CO22" s="15">
        <f t="shared" si="4"/>
        <v>3</v>
      </c>
      <c r="CP22" s="15">
        <f t="shared" si="5"/>
        <v>1</v>
      </c>
      <c r="CQ22" s="15">
        <f t="shared" si="6"/>
        <v>2</v>
      </c>
      <c r="CR22" s="15">
        <f t="shared" si="7"/>
        <v>2</v>
      </c>
      <c r="CS22" s="15">
        <f t="shared" si="8"/>
        <v>0</v>
      </c>
      <c r="CT22" s="15">
        <f t="shared" si="9"/>
        <v>0</v>
      </c>
      <c r="CU22" s="7">
        <v>18</v>
      </c>
      <c r="CW22" s="22">
        <v>18</v>
      </c>
      <c r="CX22" s="77" t="s">
        <v>40</v>
      </c>
      <c r="CY22" s="77" t="s">
        <v>188</v>
      </c>
      <c r="CZ22" s="77" t="s">
        <v>37</v>
      </c>
      <c r="DA22" s="77" t="s">
        <v>34</v>
      </c>
      <c r="DB22" s="77" t="s">
        <v>37</v>
      </c>
      <c r="DC22" s="77" t="s">
        <v>35</v>
      </c>
      <c r="DD22" s="77" t="s">
        <v>25</v>
      </c>
      <c r="DF22" s="76">
        <f t="shared" si="45"/>
        <v>12</v>
      </c>
      <c r="DG22" s="76">
        <f t="shared" si="10"/>
        <v>23</v>
      </c>
      <c r="DH22" s="76">
        <f t="shared" si="11"/>
        <v>9</v>
      </c>
      <c r="DI22" s="76">
        <f t="shared" si="12"/>
        <v>4</v>
      </c>
      <c r="DJ22" s="76">
        <f t="shared" si="13"/>
        <v>9</v>
      </c>
      <c r="DK22" s="76">
        <f t="shared" si="14"/>
        <v>5</v>
      </c>
      <c r="DL22" s="76">
        <f t="shared" si="15"/>
        <v>8</v>
      </c>
      <c r="DN22" s="25">
        <v>1</v>
      </c>
      <c r="DO22" s="25">
        <v>1</v>
      </c>
      <c r="DP22" s="25">
        <v>1</v>
      </c>
      <c r="DQ22" s="25">
        <v>1</v>
      </c>
      <c r="DR22" s="25">
        <v>1</v>
      </c>
      <c r="DS22" s="25">
        <v>1</v>
      </c>
      <c r="DT22" s="7">
        <v>1</v>
      </c>
      <c r="DV22" s="79" t="s">
        <v>83</v>
      </c>
      <c r="DW22" s="69">
        <v>0</v>
      </c>
      <c r="DX22" s="70">
        <v>2</v>
      </c>
      <c r="DY22" s="70">
        <v>2</v>
      </c>
      <c r="DZ22" s="70">
        <v>1</v>
      </c>
      <c r="EA22" s="70">
        <v>3</v>
      </c>
      <c r="EB22" s="70">
        <v>0</v>
      </c>
      <c r="EC22" s="71">
        <v>0</v>
      </c>
      <c r="ED22" s="57">
        <v>17</v>
      </c>
    </row>
    <row r="23" spans="1:134" ht="15.9" customHeight="1" x14ac:dyDescent="0.3">
      <c r="A23" s="30" t="s">
        <v>84</v>
      </c>
      <c r="B23" s="15">
        <f t="shared" si="16"/>
        <v>0</v>
      </c>
      <c r="C23" s="15">
        <f t="shared" si="17"/>
        <v>1</v>
      </c>
      <c r="D23" s="15">
        <f t="shared" si="18"/>
        <v>1</v>
      </c>
      <c r="E23" s="15">
        <f t="shared" si="19"/>
        <v>1</v>
      </c>
      <c r="F23" s="15">
        <f t="shared" si="20"/>
        <v>1</v>
      </c>
      <c r="G23" s="15">
        <f t="shared" si="21"/>
        <v>0</v>
      </c>
      <c r="H23" s="15">
        <f t="shared" si="22"/>
        <v>0</v>
      </c>
      <c r="I23" s="7">
        <v>19</v>
      </c>
      <c r="K23" s="21">
        <v>19</v>
      </c>
      <c r="L23" s="77" t="s">
        <v>152</v>
      </c>
      <c r="M23" s="77" t="s">
        <v>32</v>
      </c>
      <c r="N23" s="77" t="s">
        <v>25</v>
      </c>
      <c r="O23" s="77" t="s">
        <v>34</v>
      </c>
      <c r="P23" s="77" t="s">
        <v>38</v>
      </c>
      <c r="Q23" s="77" t="s">
        <v>40</v>
      </c>
      <c r="R23" s="37" t="s">
        <v>25</v>
      </c>
      <c r="T23" s="76">
        <f t="shared" si="23"/>
        <v>7</v>
      </c>
      <c r="U23" s="76">
        <f t="shared" si="24"/>
        <v>2</v>
      </c>
      <c r="V23" s="76">
        <f t="shared" si="25"/>
        <v>8</v>
      </c>
      <c r="W23" s="76">
        <f t="shared" si="26"/>
        <v>4</v>
      </c>
      <c r="X23" s="76">
        <f t="shared" si="27"/>
        <v>10</v>
      </c>
      <c r="Y23" s="76">
        <f t="shared" si="28"/>
        <v>12</v>
      </c>
      <c r="Z23" s="76">
        <f t="shared" si="29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79" t="s">
        <v>162</v>
      </c>
      <c r="AK23" s="69">
        <v>0</v>
      </c>
      <c r="AL23" s="70">
        <v>2</v>
      </c>
      <c r="AM23" s="70">
        <v>2</v>
      </c>
      <c r="AN23" s="70">
        <v>1</v>
      </c>
      <c r="AO23" s="70">
        <v>3</v>
      </c>
      <c r="AP23" s="70">
        <v>0</v>
      </c>
      <c r="AQ23" s="71">
        <v>0</v>
      </c>
      <c r="AR23" s="57">
        <v>18</v>
      </c>
      <c r="AT23" s="30" t="s">
        <v>84</v>
      </c>
      <c r="AU23" s="15">
        <f t="shared" si="30"/>
        <v>0</v>
      </c>
      <c r="AV23" s="15">
        <f t="shared" si="31"/>
        <v>1</v>
      </c>
      <c r="AW23" s="15">
        <f t="shared" si="32"/>
        <v>2</v>
      </c>
      <c r="AX23" s="15">
        <f t="shared" si="33"/>
        <v>1</v>
      </c>
      <c r="AY23" s="15">
        <f t="shared" si="34"/>
        <v>1</v>
      </c>
      <c r="AZ23" s="15">
        <f t="shared" si="35"/>
        <v>0</v>
      </c>
      <c r="BA23" s="15">
        <f t="shared" si="36"/>
        <v>0</v>
      </c>
      <c r="BB23" s="7">
        <v>19</v>
      </c>
      <c r="BD23" s="21">
        <v>19</v>
      </c>
      <c r="BE23" s="77" t="s">
        <v>152</v>
      </c>
      <c r="BF23" s="77" t="s">
        <v>38</v>
      </c>
      <c r="BG23" s="77" t="s">
        <v>25</v>
      </c>
      <c r="BH23" s="77" t="s">
        <v>34</v>
      </c>
      <c r="BI23" s="77" t="s">
        <v>38</v>
      </c>
      <c r="BJ23" s="77" t="s">
        <v>40</v>
      </c>
      <c r="BK23" s="37" t="s">
        <v>25</v>
      </c>
      <c r="BM23" s="76">
        <f t="shared" si="37"/>
        <v>7</v>
      </c>
      <c r="BN23" s="76">
        <f t="shared" si="38"/>
        <v>10</v>
      </c>
      <c r="BO23" s="76">
        <f t="shared" si="39"/>
        <v>8</v>
      </c>
      <c r="BP23" s="76">
        <f t="shared" si="40"/>
        <v>4</v>
      </c>
      <c r="BQ23" s="76">
        <f t="shared" si="41"/>
        <v>10</v>
      </c>
      <c r="BR23" s="76">
        <f t="shared" si="42"/>
        <v>12</v>
      </c>
      <c r="BS23" s="76">
        <f t="shared" si="43"/>
        <v>8</v>
      </c>
      <c r="BU23" s="25">
        <v>1</v>
      </c>
      <c r="BV23" s="25">
        <v>1</v>
      </c>
      <c r="BW23" s="25">
        <v>1</v>
      </c>
      <c r="BX23" s="25">
        <v>1</v>
      </c>
      <c r="BY23" s="25">
        <v>1</v>
      </c>
      <c r="BZ23" s="25">
        <v>1</v>
      </c>
      <c r="CA23" s="7">
        <v>1</v>
      </c>
      <c r="CC23" s="79" t="s">
        <v>162</v>
      </c>
      <c r="CD23" s="69">
        <v>0</v>
      </c>
      <c r="CE23" s="70">
        <v>2</v>
      </c>
      <c r="CF23" s="70">
        <v>2</v>
      </c>
      <c r="CG23" s="70">
        <v>1</v>
      </c>
      <c r="CH23" s="70">
        <v>3</v>
      </c>
      <c r="CI23" s="70">
        <v>0</v>
      </c>
      <c r="CJ23" s="71">
        <v>0</v>
      </c>
      <c r="CK23" s="57">
        <v>18</v>
      </c>
      <c r="CM23" s="30" t="s">
        <v>84</v>
      </c>
      <c r="CN23" s="15">
        <f t="shared" si="44"/>
        <v>0</v>
      </c>
      <c r="CO23" s="15">
        <f t="shared" si="4"/>
        <v>1</v>
      </c>
      <c r="CP23" s="15">
        <f t="shared" si="5"/>
        <v>2</v>
      </c>
      <c r="CQ23" s="15">
        <f t="shared" si="6"/>
        <v>1</v>
      </c>
      <c r="CR23" s="15">
        <f t="shared" si="7"/>
        <v>1</v>
      </c>
      <c r="CS23" s="15">
        <f t="shared" si="8"/>
        <v>0</v>
      </c>
      <c r="CT23" s="15">
        <f t="shared" si="9"/>
        <v>0</v>
      </c>
      <c r="CU23" s="7">
        <v>19</v>
      </c>
      <c r="CW23" s="21">
        <v>19</v>
      </c>
      <c r="CX23" s="77" t="s">
        <v>152</v>
      </c>
      <c r="CY23" s="77" t="s">
        <v>38</v>
      </c>
      <c r="CZ23" s="77" t="s">
        <v>25</v>
      </c>
      <c r="DA23" s="77" t="s">
        <v>34</v>
      </c>
      <c r="DB23" s="77" t="s">
        <v>38</v>
      </c>
      <c r="DC23" s="77" t="s">
        <v>40</v>
      </c>
      <c r="DD23" s="37" t="s">
        <v>25</v>
      </c>
      <c r="DF23" s="76">
        <f t="shared" si="45"/>
        <v>7</v>
      </c>
      <c r="DG23" s="76">
        <f t="shared" si="10"/>
        <v>10</v>
      </c>
      <c r="DH23" s="76">
        <f t="shared" si="11"/>
        <v>8</v>
      </c>
      <c r="DI23" s="76">
        <f t="shared" si="12"/>
        <v>4</v>
      </c>
      <c r="DJ23" s="76">
        <f t="shared" si="13"/>
        <v>10</v>
      </c>
      <c r="DK23" s="76">
        <f t="shared" si="14"/>
        <v>12</v>
      </c>
      <c r="DL23" s="76">
        <f t="shared" si="15"/>
        <v>8</v>
      </c>
      <c r="DN23" s="25">
        <v>1</v>
      </c>
      <c r="DO23" s="25">
        <v>1</v>
      </c>
      <c r="DP23" s="25">
        <v>1</v>
      </c>
      <c r="DQ23" s="25">
        <v>1</v>
      </c>
      <c r="DR23" s="25">
        <v>1</v>
      </c>
      <c r="DS23" s="25">
        <v>1</v>
      </c>
      <c r="DT23" s="7">
        <v>1</v>
      </c>
      <c r="DV23" s="79" t="s">
        <v>162</v>
      </c>
      <c r="DW23" s="69">
        <v>0</v>
      </c>
      <c r="DX23" s="70">
        <v>2</v>
      </c>
      <c r="DY23" s="70">
        <v>2</v>
      </c>
      <c r="DZ23" s="70">
        <v>1</v>
      </c>
      <c r="EA23" s="70">
        <v>3</v>
      </c>
      <c r="EB23" s="70">
        <v>0</v>
      </c>
      <c r="EC23" s="71">
        <v>0</v>
      </c>
      <c r="ED23" s="57">
        <v>18</v>
      </c>
    </row>
    <row r="24" spans="1:134" ht="15.9" customHeight="1" x14ac:dyDescent="0.3">
      <c r="A24" s="30" t="s">
        <v>85</v>
      </c>
      <c r="B24" s="15">
        <f t="shared" si="16"/>
        <v>0</v>
      </c>
      <c r="C24" s="15">
        <f t="shared" si="17"/>
        <v>1</v>
      </c>
      <c r="D24" s="15">
        <f t="shared" si="18"/>
        <v>1</v>
      </c>
      <c r="E24" s="15">
        <f t="shared" si="19"/>
        <v>1</v>
      </c>
      <c r="F24" s="15">
        <f t="shared" si="20"/>
        <v>1</v>
      </c>
      <c r="G24" s="15">
        <f t="shared" si="21"/>
        <v>0</v>
      </c>
      <c r="H24" s="15">
        <f t="shared" si="22"/>
        <v>0</v>
      </c>
      <c r="I24" s="7">
        <v>20</v>
      </c>
      <c r="K24" s="22">
        <v>20</v>
      </c>
      <c r="L24" s="77" t="s">
        <v>33</v>
      </c>
      <c r="M24" s="77" t="s">
        <v>38</v>
      </c>
      <c r="N24" s="77" t="s">
        <v>181</v>
      </c>
      <c r="O24" s="77" t="s">
        <v>38</v>
      </c>
      <c r="P24" s="77" t="s">
        <v>37</v>
      </c>
      <c r="Q24" s="77" t="s">
        <v>40</v>
      </c>
      <c r="R24" s="37" t="s">
        <v>38</v>
      </c>
      <c r="T24" s="76">
        <f t="shared" si="23"/>
        <v>3</v>
      </c>
      <c r="U24" s="76">
        <f t="shared" si="24"/>
        <v>10</v>
      </c>
      <c r="V24" s="76">
        <f t="shared" si="25"/>
        <v>19</v>
      </c>
      <c r="W24" s="76">
        <f t="shared" si="26"/>
        <v>10</v>
      </c>
      <c r="X24" s="76">
        <f t="shared" si="27"/>
        <v>9</v>
      </c>
      <c r="Y24" s="76">
        <f t="shared" si="28"/>
        <v>12</v>
      </c>
      <c r="Z24" s="76">
        <f t="shared" si="29"/>
        <v>10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3</v>
      </c>
      <c r="AJ24" s="79" t="s">
        <v>84</v>
      </c>
      <c r="AK24" s="69">
        <v>0</v>
      </c>
      <c r="AL24" s="70">
        <v>5</v>
      </c>
      <c r="AM24" s="70">
        <v>6</v>
      </c>
      <c r="AN24" s="70">
        <v>1</v>
      </c>
      <c r="AO24" s="70">
        <v>3</v>
      </c>
      <c r="AP24" s="70">
        <v>0</v>
      </c>
      <c r="AQ24" s="71">
        <v>0</v>
      </c>
      <c r="AR24" s="57">
        <v>19</v>
      </c>
      <c r="AT24" s="30" t="s">
        <v>85</v>
      </c>
      <c r="AU24" s="15">
        <f t="shared" si="30"/>
        <v>0</v>
      </c>
      <c r="AV24" s="15">
        <f t="shared" si="31"/>
        <v>1</v>
      </c>
      <c r="AW24" s="15">
        <f t="shared" si="32"/>
        <v>1</v>
      </c>
      <c r="AX24" s="15">
        <f t="shared" si="33"/>
        <v>1</v>
      </c>
      <c r="AY24" s="15">
        <f t="shared" si="34"/>
        <v>1</v>
      </c>
      <c r="AZ24" s="15">
        <f t="shared" si="35"/>
        <v>0</v>
      </c>
      <c r="BA24" s="15">
        <f t="shared" si="36"/>
        <v>0</v>
      </c>
      <c r="BB24" s="7">
        <v>20</v>
      </c>
      <c r="BD24" s="22">
        <v>20</v>
      </c>
      <c r="BE24" s="77" t="s">
        <v>33</v>
      </c>
      <c r="BF24" s="77" t="s">
        <v>38</v>
      </c>
      <c r="BG24" s="77" t="s">
        <v>181</v>
      </c>
      <c r="BH24" s="77" t="s">
        <v>38</v>
      </c>
      <c r="BI24" s="77" t="s">
        <v>37</v>
      </c>
      <c r="BJ24" s="77" t="s">
        <v>40</v>
      </c>
      <c r="BK24" s="37" t="s">
        <v>38</v>
      </c>
      <c r="BM24" s="76">
        <f t="shared" si="37"/>
        <v>3</v>
      </c>
      <c r="BN24" s="76">
        <f t="shared" si="38"/>
        <v>10</v>
      </c>
      <c r="BO24" s="76">
        <f t="shared" si="39"/>
        <v>19</v>
      </c>
      <c r="BP24" s="76">
        <f t="shared" si="40"/>
        <v>10</v>
      </c>
      <c r="BQ24" s="76">
        <f t="shared" si="41"/>
        <v>9</v>
      </c>
      <c r="BR24" s="76">
        <f t="shared" si="42"/>
        <v>12</v>
      </c>
      <c r="BS24" s="76">
        <f t="shared" si="43"/>
        <v>10</v>
      </c>
      <c r="BU24" s="25">
        <v>1</v>
      </c>
      <c r="BV24" s="25">
        <v>1</v>
      </c>
      <c r="BW24" s="25">
        <v>1</v>
      </c>
      <c r="BX24" s="25">
        <v>1</v>
      </c>
      <c r="BY24" s="25">
        <v>1</v>
      </c>
      <c r="BZ24" s="25">
        <v>1</v>
      </c>
      <c r="CA24" s="7">
        <v>1</v>
      </c>
      <c r="CC24" s="79" t="s">
        <v>84</v>
      </c>
      <c r="CD24" s="69">
        <v>0</v>
      </c>
      <c r="CE24" s="70">
        <v>5</v>
      </c>
      <c r="CF24" s="70">
        <v>6</v>
      </c>
      <c r="CG24" s="70">
        <v>1</v>
      </c>
      <c r="CH24" s="70">
        <v>3</v>
      </c>
      <c r="CI24" s="70">
        <v>0</v>
      </c>
      <c r="CJ24" s="71">
        <v>0</v>
      </c>
      <c r="CK24" s="57">
        <v>19</v>
      </c>
      <c r="CM24" s="30" t="s">
        <v>85</v>
      </c>
      <c r="CN24" s="15">
        <f t="shared" si="44"/>
        <v>0</v>
      </c>
      <c r="CO24" s="15">
        <f t="shared" si="4"/>
        <v>1</v>
      </c>
      <c r="CP24" s="15">
        <f t="shared" si="5"/>
        <v>1</v>
      </c>
      <c r="CQ24" s="15">
        <f t="shared" si="6"/>
        <v>1</v>
      </c>
      <c r="CR24" s="15">
        <f t="shared" si="7"/>
        <v>1</v>
      </c>
      <c r="CS24" s="15">
        <f t="shared" si="8"/>
        <v>0</v>
      </c>
      <c r="CT24" s="15">
        <f t="shared" si="9"/>
        <v>0</v>
      </c>
      <c r="CU24" s="7">
        <v>20</v>
      </c>
      <c r="CW24" s="22">
        <v>20</v>
      </c>
      <c r="CX24" s="77" t="s">
        <v>33</v>
      </c>
      <c r="CY24" s="77" t="s">
        <v>38</v>
      </c>
      <c r="CZ24" s="77" t="s">
        <v>181</v>
      </c>
      <c r="DA24" s="77" t="s">
        <v>38</v>
      </c>
      <c r="DB24" s="77" t="s">
        <v>37</v>
      </c>
      <c r="DC24" s="77" t="s">
        <v>40</v>
      </c>
      <c r="DD24" s="37" t="s">
        <v>38</v>
      </c>
      <c r="DF24" s="76">
        <f t="shared" si="45"/>
        <v>3</v>
      </c>
      <c r="DG24" s="76">
        <f t="shared" si="10"/>
        <v>10</v>
      </c>
      <c r="DH24" s="76">
        <f t="shared" si="11"/>
        <v>19</v>
      </c>
      <c r="DI24" s="76">
        <f t="shared" si="12"/>
        <v>10</v>
      </c>
      <c r="DJ24" s="76">
        <f t="shared" si="13"/>
        <v>9</v>
      </c>
      <c r="DK24" s="76">
        <f t="shared" si="14"/>
        <v>12</v>
      </c>
      <c r="DL24" s="76">
        <f t="shared" si="15"/>
        <v>10</v>
      </c>
      <c r="DN24" s="25">
        <v>1</v>
      </c>
      <c r="DO24" s="25">
        <v>1</v>
      </c>
      <c r="DP24" s="25">
        <v>1</v>
      </c>
      <c r="DQ24" s="25">
        <v>1</v>
      </c>
      <c r="DR24" s="25">
        <v>1</v>
      </c>
      <c r="DS24" s="25">
        <v>1</v>
      </c>
      <c r="DT24" s="7">
        <v>1</v>
      </c>
      <c r="DV24" s="79" t="s">
        <v>84</v>
      </c>
      <c r="DW24" s="69">
        <v>0</v>
      </c>
      <c r="DX24" s="70">
        <v>5</v>
      </c>
      <c r="DY24" s="70">
        <v>6</v>
      </c>
      <c r="DZ24" s="70">
        <v>1</v>
      </c>
      <c r="EA24" s="70">
        <v>3</v>
      </c>
      <c r="EB24" s="70">
        <v>0</v>
      </c>
      <c r="EC24" s="71">
        <v>0</v>
      </c>
      <c r="ED24" s="57">
        <v>19</v>
      </c>
    </row>
    <row r="25" spans="1:134" ht="16.5" customHeight="1" x14ac:dyDescent="0.3">
      <c r="A25" s="30" t="s">
        <v>86</v>
      </c>
      <c r="B25" s="15">
        <f t="shared" si="16"/>
        <v>0</v>
      </c>
      <c r="C25" s="15">
        <f t="shared" si="17"/>
        <v>1</v>
      </c>
      <c r="D25" s="15">
        <f t="shared" si="18"/>
        <v>1</v>
      </c>
      <c r="E25" s="15">
        <f t="shared" si="19"/>
        <v>1</v>
      </c>
      <c r="F25" s="15">
        <f t="shared" si="20"/>
        <v>0</v>
      </c>
      <c r="G25" s="15">
        <f t="shared" si="21"/>
        <v>0</v>
      </c>
      <c r="H25" s="15">
        <f t="shared" si="22"/>
        <v>0</v>
      </c>
      <c r="I25" s="7">
        <v>21</v>
      </c>
      <c r="K25" s="21">
        <v>21</v>
      </c>
      <c r="L25" s="77" t="s">
        <v>38</v>
      </c>
      <c r="M25" s="77" t="s">
        <v>38</v>
      </c>
      <c r="N25" s="77" t="s">
        <v>35</v>
      </c>
      <c r="O25" s="77" t="s">
        <v>32</v>
      </c>
      <c r="P25" s="77" t="s">
        <v>152</v>
      </c>
      <c r="Q25" s="77" t="s">
        <v>40</v>
      </c>
      <c r="R25" s="37" t="s">
        <v>38</v>
      </c>
      <c r="T25" s="76">
        <f t="shared" si="23"/>
        <v>10</v>
      </c>
      <c r="U25" s="76">
        <f t="shared" si="24"/>
        <v>10</v>
      </c>
      <c r="V25" s="76">
        <f t="shared" si="25"/>
        <v>5</v>
      </c>
      <c r="W25" s="76">
        <f t="shared" si="26"/>
        <v>2</v>
      </c>
      <c r="X25" s="76">
        <f t="shared" si="27"/>
        <v>7</v>
      </c>
      <c r="Y25" s="76">
        <f t="shared" si="28"/>
        <v>12</v>
      </c>
      <c r="Z25" s="76">
        <f t="shared" si="29"/>
        <v>10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79" t="s">
        <v>85</v>
      </c>
      <c r="AK25" s="69">
        <v>0</v>
      </c>
      <c r="AL25" s="70">
        <v>2</v>
      </c>
      <c r="AM25" s="70">
        <v>6</v>
      </c>
      <c r="AN25" s="70">
        <v>2</v>
      </c>
      <c r="AO25" s="70">
        <v>2</v>
      </c>
      <c r="AP25" s="70">
        <v>0</v>
      </c>
      <c r="AQ25" s="71">
        <v>0</v>
      </c>
      <c r="AR25" s="57">
        <v>20</v>
      </c>
      <c r="AT25" s="30" t="s">
        <v>86</v>
      </c>
      <c r="AU25" s="15">
        <f t="shared" si="30"/>
        <v>0</v>
      </c>
      <c r="AV25" s="15">
        <f t="shared" si="31"/>
        <v>1</v>
      </c>
      <c r="AW25" s="15">
        <f t="shared" si="32"/>
        <v>1</v>
      </c>
      <c r="AX25" s="15">
        <f t="shared" si="33"/>
        <v>1</v>
      </c>
      <c r="AY25" s="15">
        <f t="shared" si="34"/>
        <v>0</v>
      </c>
      <c r="AZ25" s="15">
        <f t="shared" si="35"/>
        <v>0</v>
      </c>
      <c r="BA25" s="15">
        <f t="shared" si="36"/>
        <v>0</v>
      </c>
      <c r="BB25" s="7">
        <v>21</v>
      </c>
      <c r="BD25" s="21">
        <v>21</v>
      </c>
      <c r="BE25" s="77" t="s">
        <v>38</v>
      </c>
      <c r="BF25" s="77" t="s">
        <v>38</v>
      </c>
      <c r="BG25" s="77" t="s">
        <v>35</v>
      </c>
      <c r="BH25" s="77" t="s">
        <v>40</v>
      </c>
      <c r="BI25" s="77" t="s">
        <v>152</v>
      </c>
      <c r="BJ25" s="77" t="s">
        <v>40</v>
      </c>
      <c r="BK25" s="37" t="s">
        <v>38</v>
      </c>
      <c r="BM25" s="76">
        <f t="shared" si="37"/>
        <v>10</v>
      </c>
      <c r="BN25" s="76">
        <f t="shared" si="38"/>
        <v>10</v>
      </c>
      <c r="BO25" s="76">
        <f t="shared" si="39"/>
        <v>5</v>
      </c>
      <c r="BP25" s="76">
        <f t="shared" si="40"/>
        <v>12</v>
      </c>
      <c r="BQ25" s="76">
        <f t="shared" si="41"/>
        <v>7</v>
      </c>
      <c r="BR25" s="76">
        <f t="shared" si="42"/>
        <v>12</v>
      </c>
      <c r="BS25" s="76">
        <f t="shared" si="43"/>
        <v>10</v>
      </c>
      <c r="BU25" s="25">
        <v>1</v>
      </c>
      <c r="BV25" s="25">
        <v>1</v>
      </c>
      <c r="BW25" s="25">
        <v>1</v>
      </c>
      <c r="BX25" s="25">
        <v>1</v>
      </c>
      <c r="BY25" s="25">
        <v>1</v>
      </c>
      <c r="BZ25" s="25">
        <v>1</v>
      </c>
      <c r="CA25" s="7">
        <v>1</v>
      </c>
      <c r="CC25" s="79" t="s">
        <v>85</v>
      </c>
      <c r="CD25" s="69">
        <v>0</v>
      </c>
      <c r="CE25" s="70">
        <v>2</v>
      </c>
      <c r="CF25" s="70">
        <v>6</v>
      </c>
      <c r="CG25" s="70">
        <v>2</v>
      </c>
      <c r="CH25" s="70">
        <v>2</v>
      </c>
      <c r="CI25" s="70">
        <v>0</v>
      </c>
      <c r="CJ25" s="71">
        <v>0</v>
      </c>
      <c r="CK25" s="57">
        <v>20</v>
      </c>
      <c r="CM25" s="30" t="s">
        <v>86</v>
      </c>
      <c r="CN25" s="15">
        <f t="shared" si="44"/>
        <v>0</v>
      </c>
      <c r="CO25" s="15">
        <f t="shared" si="4"/>
        <v>1</v>
      </c>
      <c r="CP25" s="15">
        <f t="shared" si="5"/>
        <v>1</v>
      </c>
      <c r="CQ25" s="15">
        <f t="shared" si="6"/>
        <v>1</v>
      </c>
      <c r="CR25" s="15">
        <f t="shared" si="7"/>
        <v>0</v>
      </c>
      <c r="CS25" s="15">
        <f t="shared" si="8"/>
        <v>0</v>
      </c>
      <c r="CT25" s="15">
        <f t="shared" si="9"/>
        <v>0</v>
      </c>
      <c r="CU25" s="7">
        <v>21</v>
      </c>
      <c r="CW25" s="21">
        <v>21</v>
      </c>
      <c r="CX25" s="77" t="s">
        <v>38</v>
      </c>
      <c r="CY25" s="77" t="s">
        <v>38</v>
      </c>
      <c r="CZ25" s="77" t="s">
        <v>35</v>
      </c>
      <c r="DA25" s="77" t="s">
        <v>40</v>
      </c>
      <c r="DB25" s="77" t="s">
        <v>152</v>
      </c>
      <c r="DC25" s="77" t="s">
        <v>40</v>
      </c>
      <c r="DD25" s="37" t="s">
        <v>38</v>
      </c>
      <c r="DF25" s="76">
        <f t="shared" si="45"/>
        <v>10</v>
      </c>
      <c r="DG25" s="76">
        <f t="shared" si="10"/>
        <v>10</v>
      </c>
      <c r="DH25" s="76">
        <f t="shared" si="11"/>
        <v>5</v>
      </c>
      <c r="DI25" s="76">
        <f t="shared" si="12"/>
        <v>12</v>
      </c>
      <c r="DJ25" s="76">
        <f t="shared" si="13"/>
        <v>7</v>
      </c>
      <c r="DK25" s="76">
        <f t="shared" si="14"/>
        <v>12</v>
      </c>
      <c r="DL25" s="76">
        <f t="shared" si="15"/>
        <v>10</v>
      </c>
      <c r="DN25" s="25">
        <v>1</v>
      </c>
      <c r="DO25" s="25">
        <v>1</v>
      </c>
      <c r="DP25" s="25">
        <v>1</v>
      </c>
      <c r="DQ25" s="25">
        <v>1</v>
      </c>
      <c r="DR25" s="25">
        <v>1</v>
      </c>
      <c r="DS25" s="25">
        <v>1</v>
      </c>
      <c r="DT25" s="7">
        <v>1</v>
      </c>
      <c r="DV25" s="79" t="s">
        <v>85</v>
      </c>
      <c r="DW25" s="69">
        <v>0</v>
      </c>
      <c r="DX25" s="70">
        <v>2</v>
      </c>
      <c r="DY25" s="70">
        <v>6</v>
      </c>
      <c r="DZ25" s="70">
        <v>2</v>
      </c>
      <c r="EA25" s="70">
        <v>2</v>
      </c>
      <c r="EB25" s="70">
        <v>0</v>
      </c>
      <c r="EC25" s="71">
        <v>0</v>
      </c>
      <c r="ED25" s="57">
        <v>20</v>
      </c>
    </row>
    <row r="26" spans="1:134" ht="16.5" customHeight="1" x14ac:dyDescent="0.3">
      <c r="A26" s="30" t="s">
        <v>87</v>
      </c>
      <c r="B26" s="15">
        <f t="shared" si="16"/>
        <v>0</v>
      </c>
      <c r="C26" s="15">
        <f t="shared" si="17"/>
        <v>1</v>
      </c>
      <c r="D26" s="15">
        <f t="shared" si="18"/>
        <v>1</v>
      </c>
      <c r="E26" s="15">
        <f t="shared" si="19"/>
        <v>1</v>
      </c>
      <c r="F26" s="15">
        <f t="shared" si="20"/>
        <v>1</v>
      </c>
      <c r="G26" s="15">
        <f t="shared" si="21"/>
        <v>0</v>
      </c>
      <c r="H26" s="15">
        <f t="shared" si="22"/>
        <v>0</v>
      </c>
      <c r="I26" s="7">
        <v>22</v>
      </c>
      <c r="K26" s="22">
        <v>22</v>
      </c>
      <c r="L26" s="77" t="s">
        <v>38</v>
      </c>
      <c r="M26" s="77" t="s">
        <v>40</v>
      </c>
      <c r="N26" s="77" t="s">
        <v>161</v>
      </c>
      <c r="O26" s="77" t="s">
        <v>32</v>
      </c>
      <c r="P26" s="77" t="s">
        <v>40</v>
      </c>
      <c r="Q26" s="77" t="s">
        <v>35</v>
      </c>
      <c r="R26" s="37" t="s">
        <v>38</v>
      </c>
      <c r="T26" s="76">
        <f t="shared" si="23"/>
        <v>10</v>
      </c>
      <c r="U26" s="76">
        <f t="shared" si="24"/>
        <v>12</v>
      </c>
      <c r="V26" s="76">
        <f t="shared" si="25"/>
        <v>17</v>
      </c>
      <c r="W26" s="76">
        <f t="shared" si="26"/>
        <v>2</v>
      </c>
      <c r="X26" s="76">
        <f t="shared" si="27"/>
        <v>12</v>
      </c>
      <c r="Y26" s="76">
        <f t="shared" si="28"/>
        <v>5</v>
      </c>
      <c r="Z26" s="76">
        <f t="shared" si="29"/>
        <v>10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79" t="s">
        <v>86</v>
      </c>
      <c r="AK26" s="69">
        <v>0</v>
      </c>
      <c r="AL26" s="70">
        <v>10</v>
      </c>
      <c r="AM26" s="70">
        <v>6</v>
      </c>
      <c r="AN26" s="70">
        <v>1</v>
      </c>
      <c r="AO26" s="70">
        <v>4</v>
      </c>
      <c r="AP26" s="70">
        <v>0</v>
      </c>
      <c r="AQ26" s="71">
        <v>0</v>
      </c>
      <c r="AR26" s="57">
        <v>21</v>
      </c>
      <c r="AT26" s="30" t="s">
        <v>87</v>
      </c>
      <c r="AU26" s="15">
        <f t="shared" si="30"/>
        <v>0</v>
      </c>
      <c r="AV26" s="15">
        <f t="shared" si="31"/>
        <v>1</v>
      </c>
      <c r="AW26" s="15">
        <f t="shared" si="32"/>
        <v>1</v>
      </c>
      <c r="AX26" s="15">
        <f t="shared" si="33"/>
        <v>1</v>
      </c>
      <c r="AY26" s="15">
        <f t="shared" si="34"/>
        <v>1</v>
      </c>
      <c r="AZ26" s="15">
        <f t="shared" si="35"/>
        <v>0</v>
      </c>
      <c r="BA26" s="15">
        <f t="shared" si="36"/>
        <v>0</v>
      </c>
      <c r="BB26" s="7">
        <v>22</v>
      </c>
      <c r="BD26" s="22">
        <v>22</v>
      </c>
      <c r="BE26" s="77" t="s">
        <v>38</v>
      </c>
      <c r="BF26" s="77" t="s">
        <v>40</v>
      </c>
      <c r="BG26" s="77" t="s">
        <v>35</v>
      </c>
      <c r="BH26" s="77" t="s">
        <v>40</v>
      </c>
      <c r="BI26" s="77" t="s">
        <v>40</v>
      </c>
      <c r="BJ26" s="77" t="s">
        <v>35</v>
      </c>
      <c r="BK26" s="37" t="s">
        <v>38</v>
      </c>
      <c r="BM26" s="76">
        <f t="shared" si="37"/>
        <v>10</v>
      </c>
      <c r="BN26" s="76">
        <f t="shared" si="38"/>
        <v>12</v>
      </c>
      <c r="BO26" s="76">
        <f t="shared" si="39"/>
        <v>5</v>
      </c>
      <c r="BP26" s="76">
        <f t="shared" si="40"/>
        <v>12</v>
      </c>
      <c r="BQ26" s="76">
        <f t="shared" si="41"/>
        <v>12</v>
      </c>
      <c r="BR26" s="76">
        <f t="shared" si="42"/>
        <v>5</v>
      </c>
      <c r="BS26" s="76">
        <f t="shared" si="43"/>
        <v>10</v>
      </c>
      <c r="BU26" s="25">
        <v>1</v>
      </c>
      <c r="BV26" s="25">
        <v>1</v>
      </c>
      <c r="BW26" s="25">
        <v>1</v>
      </c>
      <c r="BX26" s="25">
        <v>1</v>
      </c>
      <c r="BY26" s="25">
        <v>1</v>
      </c>
      <c r="BZ26" s="25">
        <v>1</v>
      </c>
      <c r="CA26" s="7">
        <v>1</v>
      </c>
      <c r="CC26" s="79" t="s">
        <v>86</v>
      </c>
      <c r="CD26" s="69">
        <v>0</v>
      </c>
      <c r="CE26" s="70">
        <v>10</v>
      </c>
      <c r="CF26" s="70">
        <v>6</v>
      </c>
      <c r="CG26" s="70">
        <v>1</v>
      </c>
      <c r="CH26" s="70">
        <v>4</v>
      </c>
      <c r="CI26" s="70">
        <v>0</v>
      </c>
      <c r="CJ26" s="71">
        <v>0</v>
      </c>
      <c r="CK26" s="57">
        <v>21</v>
      </c>
      <c r="CM26" s="30" t="s">
        <v>87</v>
      </c>
      <c r="CN26" s="15">
        <f t="shared" si="44"/>
        <v>0</v>
      </c>
      <c r="CO26" s="15">
        <f t="shared" si="4"/>
        <v>1</v>
      </c>
      <c r="CP26" s="15">
        <f t="shared" si="5"/>
        <v>1</v>
      </c>
      <c r="CQ26" s="15">
        <f t="shared" si="6"/>
        <v>1</v>
      </c>
      <c r="CR26" s="15">
        <f t="shared" si="7"/>
        <v>1</v>
      </c>
      <c r="CS26" s="15">
        <f t="shared" si="8"/>
        <v>0</v>
      </c>
      <c r="CT26" s="15">
        <f t="shared" si="9"/>
        <v>0</v>
      </c>
      <c r="CU26" s="7">
        <v>22</v>
      </c>
      <c r="CW26" s="22">
        <v>22</v>
      </c>
      <c r="CX26" s="77" t="s">
        <v>38</v>
      </c>
      <c r="CY26" s="77" t="s">
        <v>40</v>
      </c>
      <c r="CZ26" s="77" t="s">
        <v>35</v>
      </c>
      <c r="DA26" s="77" t="s">
        <v>40</v>
      </c>
      <c r="DB26" s="77" t="s">
        <v>40</v>
      </c>
      <c r="DC26" s="77" t="s">
        <v>35</v>
      </c>
      <c r="DD26" s="37" t="s">
        <v>38</v>
      </c>
      <c r="DF26" s="76">
        <f t="shared" si="45"/>
        <v>10</v>
      </c>
      <c r="DG26" s="76">
        <f t="shared" si="10"/>
        <v>12</v>
      </c>
      <c r="DH26" s="76">
        <f t="shared" si="11"/>
        <v>5</v>
      </c>
      <c r="DI26" s="76">
        <f t="shared" si="12"/>
        <v>12</v>
      </c>
      <c r="DJ26" s="76">
        <f t="shared" si="13"/>
        <v>12</v>
      </c>
      <c r="DK26" s="76">
        <f t="shared" si="14"/>
        <v>5</v>
      </c>
      <c r="DL26" s="76">
        <f t="shared" si="15"/>
        <v>10</v>
      </c>
      <c r="DN26" s="25">
        <v>1</v>
      </c>
      <c r="DO26" s="25">
        <v>1</v>
      </c>
      <c r="DP26" s="25">
        <v>1</v>
      </c>
      <c r="DQ26" s="25">
        <v>1</v>
      </c>
      <c r="DR26" s="25">
        <v>1</v>
      </c>
      <c r="DS26" s="25">
        <v>1</v>
      </c>
      <c r="DT26" s="7">
        <v>1</v>
      </c>
      <c r="DV26" s="79" t="s">
        <v>86</v>
      </c>
      <c r="DW26" s="69">
        <v>0</v>
      </c>
      <c r="DX26" s="70">
        <v>10</v>
      </c>
      <c r="DY26" s="70">
        <v>6</v>
      </c>
      <c r="DZ26" s="70">
        <v>1</v>
      </c>
      <c r="EA26" s="70">
        <v>4</v>
      </c>
      <c r="EB26" s="70">
        <v>0</v>
      </c>
      <c r="EC26" s="71">
        <v>0</v>
      </c>
      <c r="ED26" s="57">
        <v>21</v>
      </c>
    </row>
    <row r="27" spans="1:134" ht="16.5" customHeight="1" x14ac:dyDescent="0.3">
      <c r="A27" s="30" t="s">
        <v>88</v>
      </c>
      <c r="B27" s="15">
        <f t="shared" si="16"/>
        <v>0</v>
      </c>
      <c r="C27" s="15">
        <f t="shared" si="17"/>
        <v>1</v>
      </c>
      <c r="D27" s="15">
        <f t="shared" si="18"/>
        <v>1</v>
      </c>
      <c r="E27" s="15">
        <f t="shared" si="19"/>
        <v>1</v>
      </c>
      <c r="F27" s="15">
        <f t="shared" si="20"/>
        <v>0</v>
      </c>
      <c r="G27" s="15">
        <f t="shared" si="21"/>
        <v>0</v>
      </c>
      <c r="H27" s="15">
        <f t="shared" si="22"/>
        <v>0</v>
      </c>
      <c r="I27" s="7">
        <v>23</v>
      </c>
      <c r="K27" s="21">
        <v>23</v>
      </c>
      <c r="L27" s="77" t="s">
        <v>35</v>
      </c>
      <c r="M27" s="77" t="s">
        <v>40</v>
      </c>
      <c r="N27" s="77" t="s">
        <v>161</v>
      </c>
      <c r="O27" s="77" t="s">
        <v>40</v>
      </c>
      <c r="P27" s="77" t="s">
        <v>35</v>
      </c>
      <c r="Q27" s="77" t="s">
        <v>35</v>
      </c>
      <c r="R27" s="37" t="s">
        <v>38</v>
      </c>
      <c r="T27" s="76">
        <f t="shared" si="23"/>
        <v>5</v>
      </c>
      <c r="U27" s="76">
        <f t="shared" si="24"/>
        <v>12</v>
      </c>
      <c r="V27" s="76">
        <f t="shared" si="25"/>
        <v>17</v>
      </c>
      <c r="W27" s="76">
        <f t="shared" si="26"/>
        <v>12</v>
      </c>
      <c r="X27" s="76">
        <f t="shared" si="27"/>
        <v>5</v>
      </c>
      <c r="Y27" s="76">
        <f t="shared" si="28"/>
        <v>5</v>
      </c>
      <c r="Z27" s="76">
        <f t="shared" si="29"/>
        <v>10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79" t="s">
        <v>87</v>
      </c>
      <c r="AK27" s="69">
        <v>0</v>
      </c>
      <c r="AL27" s="70">
        <v>5</v>
      </c>
      <c r="AM27" s="70">
        <v>6</v>
      </c>
      <c r="AN27" s="70">
        <v>1</v>
      </c>
      <c r="AO27" s="70">
        <v>2</v>
      </c>
      <c r="AP27" s="70">
        <v>0</v>
      </c>
      <c r="AQ27" s="71">
        <v>0</v>
      </c>
      <c r="AR27" s="57">
        <v>22</v>
      </c>
      <c r="AT27" s="30" t="s">
        <v>88</v>
      </c>
      <c r="AU27" s="15">
        <f t="shared" si="30"/>
        <v>0</v>
      </c>
      <c r="AV27" s="15">
        <f t="shared" si="31"/>
        <v>1</v>
      </c>
      <c r="AW27" s="15">
        <f t="shared" si="32"/>
        <v>1</v>
      </c>
      <c r="AX27" s="15">
        <f t="shared" si="33"/>
        <v>1</v>
      </c>
      <c r="AY27" s="15">
        <f t="shared" si="34"/>
        <v>0</v>
      </c>
      <c r="AZ27" s="15">
        <f t="shared" si="35"/>
        <v>0</v>
      </c>
      <c r="BA27" s="15">
        <f t="shared" si="36"/>
        <v>0</v>
      </c>
      <c r="BB27" s="7">
        <v>23</v>
      </c>
      <c r="BD27" s="21">
        <v>23</v>
      </c>
      <c r="BE27" s="77" t="s">
        <v>35</v>
      </c>
      <c r="BF27" s="77" t="s">
        <v>40</v>
      </c>
      <c r="BG27" s="77" t="s">
        <v>35</v>
      </c>
      <c r="BH27" s="77" t="s">
        <v>40</v>
      </c>
      <c r="BI27" s="77" t="s">
        <v>35</v>
      </c>
      <c r="BJ27" s="77" t="s">
        <v>35</v>
      </c>
      <c r="BK27" s="37" t="s">
        <v>38</v>
      </c>
      <c r="BM27" s="76">
        <f t="shared" si="37"/>
        <v>5</v>
      </c>
      <c r="BN27" s="76">
        <f t="shared" si="38"/>
        <v>12</v>
      </c>
      <c r="BO27" s="76">
        <f t="shared" si="39"/>
        <v>5</v>
      </c>
      <c r="BP27" s="76">
        <f t="shared" si="40"/>
        <v>12</v>
      </c>
      <c r="BQ27" s="76">
        <f t="shared" si="41"/>
        <v>5</v>
      </c>
      <c r="BR27" s="76">
        <f t="shared" si="42"/>
        <v>5</v>
      </c>
      <c r="BS27" s="76">
        <f t="shared" si="43"/>
        <v>10</v>
      </c>
      <c r="BU27" s="25">
        <v>1</v>
      </c>
      <c r="BV27" s="25">
        <v>1</v>
      </c>
      <c r="BW27" s="25">
        <v>1</v>
      </c>
      <c r="BX27" s="25">
        <v>1</v>
      </c>
      <c r="BY27" s="25">
        <v>1</v>
      </c>
      <c r="BZ27" s="25">
        <v>1</v>
      </c>
      <c r="CA27" s="7">
        <v>1</v>
      </c>
      <c r="CC27" s="79" t="s">
        <v>87</v>
      </c>
      <c r="CD27" s="69">
        <v>0</v>
      </c>
      <c r="CE27" s="70">
        <v>5</v>
      </c>
      <c r="CF27" s="70">
        <v>6</v>
      </c>
      <c r="CG27" s="70">
        <v>1</v>
      </c>
      <c r="CH27" s="70">
        <v>2</v>
      </c>
      <c r="CI27" s="70">
        <v>0</v>
      </c>
      <c r="CJ27" s="71">
        <v>0</v>
      </c>
      <c r="CK27" s="57">
        <v>22</v>
      </c>
      <c r="CM27" s="30" t="s">
        <v>88</v>
      </c>
      <c r="CN27" s="15">
        <f t="shared" si="44"/>
        <v>0</v>
      </c>
      <c r="CO27" s="15">
        <f t="shared" si="4"/>
        <v>1</v>
      </c>
      <c r="CP27" s="15">
        <f t="shared" si="5"/>
        <v>1</v>
      </c>
      <c r="CQ27" s="15">
        <f t="shared" si="6"/>
        <v>1</v>
      </c>
      <c r="CR27" s="15">
        <f t="shared" si="7"/>
        <v>0</v>
      </c>
      <c r="CS27" s="15">
        <f t="shared" si="8"/>
        <v>0</v>
      </c>
      <c r="CT27" s="15">
        <f t="shared" si="9"/>
        <v>0</v>
      </c>
      <c r="CU27" s="7">
        <v>23</v>
      </c>
      <c r="CW27" s="21">
        <v>23</v>
      </c>
      <c r="CX27" s="77" t="s">
        <v>35</v>
      </c>
      <c r="CY27" s="77" t="s">
        <v>40</v>
      </c>
      <c r="CZ27" s="77" t="s">
        <v>35</v>
      </c>
      <c r="DA27" s="77" t="s">
        <v>40</v>
      </c>
      <c r="DB27" s="77" t="s">
        <v>35</v>
      </c>
      <c r="DC27" s="77" t="s">
        <v>35</v>
      </c>
      <c r="DD27" s="37" t="s">
        <v>38</v>
      </c>
      <c r="DF27" s="76">
        <f t="shared" si="45"/>
        <v>5</v>
      </c>
      <c r="DG27" s="76">
        <f t="shared" si="10"/>
        <v>12</v>
      </c>
      <c r="DH27" s="76">
        <f t="shared" si="11"/>
        <v>5</v>
      </c>
      <c r="DI27" s="76">
        <f t="shared" si="12"/>
        <v>12</v>
      </c>
      <c r="DJ27" s="76">
        <f t="shared" si="13"/>
        <v>5</v>
      </c>
      <c r="DK27" s="76">
        <f t="shared" si="14"/>
        <v>5</v>
      </c>
      <c r="DL27" s="76">
        <f t="shared" si="15"/>
        <v>10</v>
      </c>
      <c r="DN27" s="25">
        <v>1</v>
      </c>
      <c r="DO27" s="25">
        <v>1</v>
      </c>
      <c r="DP27" s="25">
        <v>1</v>
      </c>
      <c r="DQ27" s="25">
        <v>1</v>
      </c>
      <c r="DR27" s="25">
        <v>1</v>
      </c>
      <c r="DS27" s="25">
        <v>1</v>
      </c>
      <c r="DT27" s="7">
        <v>1</v>
      </c>
      <c r="DV27" s="79" t="s">
        <v>87</v>
      </c>
      <c r="DW27" s="69">
        <v>0</v>
      </c>
      <c r="DX27" s="70">
        <v>5</v>
      </c>
      <c r="DY27" s="70">
        <v>6</v>
      </c>
      <c r="DZ27" s="70">
        <v>1</v>
      </c>
      <c r="EA27" s="70">
        <v>2</v>
      </c>
      <c r="EB27" s="70">
        <v>0</v>
      </c>
      <c r="EC27" s="71">
        <v>0</v>
      </c>
      <c r="ED27" s="57">
        <v>22</v>
      </c>
    </row>
    <row r="28" spans="1:134" ht="16.5" customHeight="1" thickBot="1" x14ac:dyDescent="0.35">
      <c r="A28" s="30" t="s">
        <v>89</v>
      </c>
      <c r="B28" s="15">
        <f t="shared" si="16"/>
        <v>2</v>
      </c>
      <c r="C28" s="15">
        <f t="shared" si="17"/>
        <v>5</v>
      </c>
      <c r="D28" s="15">
        <f t="shared" si="18"/>
        <v>2</v>
      </c>
      <c r="E28" s="15">
        <f t="shared" si="19"/>
        <v>2</v>
      </c>
      <c r="F28" s="15">
        <f t="shared" si="20"/>
        <v>2</v>
      </c>
      <c r="G28" s="15">
        <f t="shared" si="21"/>
        <v>2</v>
      </c>
      <c r="H28" s="15">
        <f t="shared" si="22"/>
        <v>3</v>
      </c>
      <c r="I28" s="7">
        <v>24</v>
      </c>
      <c r="K28" s="22">
        <v>24</v>
      </c>
      <c r="L28" s="77" t="s">
        <v>35</v>
      </c>
      <c r="M28" s="77" t="s">
        <v>40</v>
      </c>
      <c r="N28" s="77" t="s">
        <v>32</v>
      </c>
      <c r="O28" s="77" t="s">
        <v>75</v>
      </c>
      <c r="P28" s="77" t="s">
        <v>34</v>
      </c>
      <c r="Q28" s="77" t="s">
        <v>25</v>
      </c>
      <c r="R28" s="37" t="s">
        <v>40</v>
      </c>
      <c r="T28" s="76">
        <f t="shared" si="23"/>
        <v>5</v>
      </c>
      <c r="U28" s="76">
        <f t="shared" si="24"/>
        <v>12</v>
      </c>
      <c r="V28" s="76">
        <f t="shared" si="25"/>
        <v>2</v>
      </c>
      <c r="W28" s="76">
        <f t="shared" si="26"/>
        <v>6</v>
      </c>
      <c r="X28" s="76">
        <f t="shared" si="27"/>
        <v>4</v>
      </c>
      <c r="Y28" s="76">
        <f t="shared" si="28"/>
        <v>8</v>
      </c>
      <c r="Z28" s="76">
        <f t="shared" si="29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3</v>
      </c>
      <c r="AJ28" s="80" t="s">
        <v>88</v>
      </c>
      <c r="AK28" s="72">
        <v>0</v>
      </c>
      <c r="AL28" s="73">
        <v>2</v>
      </c>
      <c r="AM28" s="73">
        <v>6</v>
      </c>
      <c r="AN28" s="73">
        <v>1</v>
      </c>
      <c r="AO28" s="73">
        <v>2</v>
      </c>
      <c r="AP28" s="73">
        <v>0</v>
      </c>
      <c r="AQ28" s="74">
        <v>0</v>
      </c>
      <c r="AR28" s="126">
        <v>23</v>
      </c>
      <c r="AT28" s="30" t="s">
        <v>89</v>
      </c>
      <c r="AU28" s="15">
        <f t="shared" si="30"/>
        <v>0</v>
      </c>
      <c r="AV28" s="15">
        <f t="shared" si="31"/>
        <v>3</v>
      </c>
      <c r="AW28" s="15">
        <f t="shared" si="32"/>
        <v>0</v>
      </c>
      <c r="AX28" s="15">
        <f t="shared" si="33"/>
        <v>0</v>
      </c>
      <c r="AY28" s="15">
        <f t="shared" si="34"/>
        <v>0</v>
      </c>
      <c r="AZ28" s="15">
        <f t="shared" si="35"/>
        <v>0</v>
      </c>
      <c r="BA28" s="15">
        <f t="shared" si="36"/>
        <v>0</v>
      </c>
      <c r="BB28" s="7">
        <v>24</v>
      </c>
      <c r="BD28" s="22">
        <v>24</v>
      </c>
      <c r="BE28" s="77" t="s">
        <v>35</v>
      </c>
      <c r="BF28" s="77" t="s">
        <v>40</v>
      </c>
      <c r="BG28" s="77" t="s">
        <v>39</v>
      </c>
      <c r="BH28" s="77" t="s">
        <v>75</v>
      </c>
      <c r="BI28" s="77" t="s">
        <v>34</v>
      </c>
      <c r="BJ28" s="77" t="s">
        <v>25</v>
      </c>
      <c r="BK28" s="37" t="s">
        <v>40</v>
      </c>
      <c r="BM28" s="76">
        <f t="shared" si="37"/>
        <v>5</v>
      </c>
      <c r="BN28" s="76">
        <f t="shared" si="38"/>
        <v>12</v>
      </c>
      <c r="BO28" s="76">
        <f t="shared" si="39"/>
        <v>11</v>
      </c>
      <c r="BP28" s="76">
        <f t="shared" si="40"/>
        <v>6</v>
      </c>
      <c r="BQ28" s="76">
        <f t="shared" si="41"/>
        <v>4</v>
      </c>
      <c r="BR28" s="76">
        <f t="shared" si="42"/>
        <v>8</v>
      </c>
      <c r="BS28" s="76">
        <f t="shared" si="43"/>
        <v>12</v>
      </c>
      <c r="BU28" s="25">
        <v>1</v>
      </c>
      <c r="BV28" s="25">
        <v>1</v>
      </c>
      <c r="BW28" s="25">
        <v>1</v>
      </c>
      <c r="BX28" s="25">
        <v>1</v>
      </c>
      <c r="BY28" s="25">
        <v>1</v>
      </c>
      <c r="BZ28" s="25">
        <v>1</v>
      </c>
      <c r="CA28" s="7">
        <v>1</v>
      </c>
      <c r="CC28" s="80" t="s">
        <v>88</v>
      </c>
      <c r="CD28" s="72">
        <v>0</v>
      </c>
      <c r="CE28" s="73">
        <v>2</v>
      </c>
      <c r="CF28" s="73">
        <v>6</v>
      </c>
      <c r="CG28" s="73">
        <v>1</v>
      </c>
      <c r="CH28" s="73">
        <v>2</v>
      </c>
      <c r="CI28" s="73">
        <v>0</v>
      </c>
      <c r="CJ28" s="74">
        <v>0</v>
      </c>
      <c r="CK28" s="126">
        <v>23</v>
      </c>
      <c r="CM28" s="30" t="s">
        <v>89</v>
      </c>
      <c r="CN28" s="15">
        <f t="shared" si="44"/>
        <v>0</v>
      </c>
      <c r="CO28" s="15">
        <f t="shared" si="4"/>
        <v>3</v>
      </c>
      <c r="CP28" s="15">
        <f t="shared" si="5"/>
        <v>0</v>
      </c>
      <c r="CQ28" s="15">
        <f t="shared" si="6"/>
        <v>0</v>
      </c>
      <c r="CR28" s="15">
        <f t="shared" si="7"/>
        <v>0</v>
      </c>
      <c r="CS28" s="15">
        <f t="shared" si="8"/>
        <v>0</v>
      </c>
      <c r="CT28" s="15">
        <f t="shared" si="9"/>
        <v>0</v>
      </c>
      <c r="CU28" s="7">
        <v>24</v>
      </c>
      <c r="CW28" s="22">
        <v>24</v>
      </c>
      <c r="CX28" s="77" t="s">
        <v>35</v>
      </c>
      <c r="CY28" s="77" t="s">
        <v>40</v>
      </c>
      <c r="CZ28" s="77" t="s">
        <v>39</v>
      </c>
      <c r="DA28" s="77" t="s">
        <v>75</v>
      </c>
      <c r="DB28" s="77" t="s">
        <v>34</v>
      </c>
      <c r="DC28" s="77" t="s">
        <v>25</v>
      </c>
      <c r="DD28" s="37" t="s">
        <v>32</v>
      </c>
      <c r="DF28" s="76">
        <f t="shared" si="45"/>
        <v>5</v>
      </c>
      <c r="DG28" s="76">
        <f t="shared" si="10"/>
        <v>12</v>
      </c>
      <c r="DH28" s="76">
        <f t="shared" si="11"/>
        <v>11</v>
      </c>
      <c r="DI28" s="76">
        <f t="shared" si="12"/>
        <v>6</v>
      </c>
      <c r="DJ28" s="76">
        <f t="shared" si="13"/>
        <v>4</v>
      </c>
      <c r="DK28" s="76">
        <f t="shared" si="14"/>
        <v>8</v>
      </c>
      <c r="DL28" s="76">
        <f t="shared" si="15"/>
        <v>2</v>
      </c>
      <c r="DN28" s="25">
        <v>1</v>
      </c>
      <c r="DO28" s="25">
        <v>1</v>
      </c>
      <c r="DP28" s="25">
        <v>1</v>
      </c>
      <c r="DQ28" s="25">
        <v>1</v>
      </c>
      <c r="DR28" s="25">
        <v>1</v>
      </c>
      <c r="DS28" s="25">
        <v>1</v>
      </c>
      <c r="DT28" s="7">
        <v>1</v>
      </c>
      <c r="DV28" s="80" t="s">
        <v>88</v>
      </c>
      <c r="DW28" s="72">
        <v>0</v>
      </c>
      <c r="DX28" s="73">
        <v>2</v>
      </c>
      <c r="DY28" s="73">
        <v>6</v>
      </c>
      <c r="DZ28" s="73">
        <v>1</v>
      </c>
      <c r="EA28" s="73">
        <v>2</v>
      </c>
      <c r="EB28" s="73">
        <v>0</v>
      </c>
      <c r="EC28" s="74">
        <v>0</v>
      </c>
      <c r="ED28" s="126">
        <v>23</v>
      </c>
    </row>
    <row r="29" spans="1:134" ht="16.5" customHeight="1" x14ac:dyDescent="0.3">
      <c r="A29" s="30" t="s">
        <v>90</v>
      </c>
      <c r="B29" s="15">
        <f t="shared" si="16"/>
        <v>0</v>
      </c>
      <c r="C29" s="15">
        <f t="shared" si="17"/>
        <v>1</v>
      </c>
      <c r="D29" s="15">
        <f t="shared" si="18"/>
        <v>0</v>
      </c>
      <c r="E29" s="15">
        <f t="shared" si="19"/>
        <v>0</v>
      </c>
      <c r="F29" s="15">
        <f t="shared" si="20"/>
        <v>0</v>
      </c>
      <c r="G29" s="15">
        <f t="shared" si="21"/>
        <v>0</v>
      </c>
      <c r="H29" s="15">
        <f t="shared" si="22"/>
        <v>0</v>
      </c>
      <c r="I29" s="7">
        <v>25</v>
      </c>
      <c r="K29" s="21">
        <v>25</v>
      </c>
      <c r="L29" s="77" t="s">
        <v>152</v>
      </c>
      <c r="M29" s="77" t="s">
        <v>152</v>
      </c>
      <c r="N29" s="77" t="s">
        <v>39</v>
      </c>
      <c r="O29" s="77" t="s">
        <v>75</v>
      </c>
      <c r="P29" s="77" t="s">
        <v>40</v>
      </c>
      <c r="Q29" s="77" t="s">
        <v>75</v>
      </c>
      <c r="R29" s="37" t="s">
        <v>40</v>
      </c>
      <c r="T29" s="76">
        <f t="shared" si="23"/>
        <v>7</v>
      </c>
      <c r="U29" s="76">
        <f t="shared" si="24"/>
        <v>7</v>
      </c>
      <c r="V29" s="76">
        <f t="shared" si="25"/>
        <v>11</v>
      </c>
      <c r="W29" s="76">
        <f t="shared" si="26"/>
        <v>6</v>
      </c>
      <c r="X29" s="76">
        <f t="shared" si="27"/>
        <v>12</v>
      </c>
      <c r="Y29" s="76">
        <f t="shared" si="28"/>
        <v>6</v>
      </c>
      <c r="Z29" s="76">
        <f t="shared" si="29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32" t="s">
        <v>176</v>
      </c>
      <c r="AK29" s="133">
        <v>0</v>
      </c>
      <c r="AL29" s="134">
        <v>10</v>
      </c>
      <c r="AM29" s="134">
        <v>10</v>
      </c>
      <c r="AN29" s="134">
        <v>10</v>
      </c>
      <c r="AO29" s="134">
        <v>10</v>
      </c>
      <c r="AP29" s="134">
        <v>0</v>
      </c>
      <c r="AQ29" s="135">
        <v>0</v>
      </c>
      <c r="AR29" s="131">
        <v>24</v>
      </c>
      <c r="AT29" s="30" t="s">
        <v>90</v>
      </c>
      <c r="AU29" s="15">
        <f t="shared" si="30"/>
        <v>0</v>
      </c>
      <c r="AV29" s="15">
        <f t="shared" si="31"/>
        <v>1</v>
      </c>
      <c r="AW29" s="15">
        <f t="shared" si="32"/>
        <v>0</v>
      </c>
      <c r="AX29" s="15">
        <f t="shared" si="33"/>
        <v>0</v>
      </c>
      <c r="AY29" s="15">
        <f t="shared" si="34"/>
        <v>0</v>
      </c>
      <c r="AZ29" s="15">
        <f t="shared" si="35"/>
        <v>0</v>
      </c>
      <c r="BA29" s="15">
        <f t="shared" si="36"/>
        <v>0</v>
      </c>
      <c r="BB29" s="7">
        <v>25</v>
      </c>
      <c r="BD29" s="21">
        <v>25</v>
      </c>
      <c r="BE29" s="77" t="s">
        <v>152</v>
      </c>
      <c r="BF29" s="77" t="s">
        <v>152</v>
      </c>
      <c r="BG29" s="77" t="s">
        <v>39</v>
      </c>
      <c r="BH29" s="77" t="s">
        <v>75</v>
      </c>
      <c r="BI29" s="77" t="s">
        <v>40</v>
      </c>
      <c r="BJ29" s="77" t="s">
        <v>75</v>
      </c>
      <c r="BK29" s="37" t="s">
        <v>40</v>
      </c>
      <c r="BM29" s="76">
        <f t="shared" si="37"/>
        <v>7</v>
      </c>
      <c r="BN29" s="76">
        <f t="shared" si="38"/>
        <v>7</v>
      </c>
      <c r="BO29" s="76">
        <f t="shared" si="39"/>
        <v>11</v>
      </c>
      <c r="BP29" s="76">
        <f t="shared" si="40"/>
        <v>6</v>
      </c>
      <c r="BQ29" s="76">
        <f t="shared" si="41"/>
        <v>12</v>
      </c>
      <c r="BR29" s="76">
        <f t="shared" si="42"/>
        <v>6</v>
      </c>
      <c r="BS29" s="76">
        <f t="shared" si="43"/>
        <v>12</v>
      </c>
      <c r="BU29" s="25">
        <v>1</v>
      </c>
      <c r="BV29" s="25">
        <v>1</v>
      </c>
      <c r="BW29" s="25">
        <v>1</v>
      </c>
      <c r="BX29" s="25">
        <v>1</v>
      </c>
      <c r="BY29" s="25">
        <v>1</v>
      </c>
      <c r="BZ29" s="25">
        <v>1</v>
      </c>
      <c r="CA29" s="7">
        <v>1</v>
      </c>
      <c r="CC29" s="132" t="s">
        <v>176</v>
      </c>
      <c r="CD29" s="133">
        <v>0</v>
      </c>
      <c r="CE29" s="134">
        <v>10</v>
      </c>
      <c r="CF29" s="134">
        <v>10</v>
      </c>
      <c r="CG29" s="134">
        <v>10</v>
      </c>
      <c r="CH29" s="134">
        <v>10</v>
      </c>
      <c r="CI29" s="134">
        <v>0</v>
      </c>
      <c r="CJ29" s="135">
        <v>0</v>
      </c>
      <c r="CK29" s="131">
        <v>24</v>
      </c>
      <c r="CM29" s="30" t="s">
        <v>90</v>
      </c>
      <c r="CN29" s="15">
        <f t="shared" ref="CN29:CT29" si="46">COUNTIF(CX$4:CX$304,$A29)</f>
        <v>0</v>
      </c>
      <c r="CO29" s="15">
        <f t="shared" si="46"/>
        <v>1</v>
      </c>
      <c r="CP29" s="15">
        <f t="shared" si="46"/>
        <v>0</v>
      </c>
      <c r="CQ29" s="15">
        <f t="shared" si="46"/>
        <v>0</v>
      </c>
      <c r="CR29" s="15">
        <f t="shared" si="46"/>
        <v>0</v>
      </c>
      <c r="CS29" s="15">
        <f t="shared" si="46"/>
        <v>0</v>
      </c>
      <c r="CT29" s="15">
        <f t="shared" si="46"/>
        <v>0</v>
      </c>
      <c r="CU29" s="7">
        <v>25</v>
      </c>
      <c r="CW29" s="21">
        <v>25</v>
      </c>
      <c r="CX29" s="77" t="s">
        <v>152</v>
      </c>
      <c r="CY29" s="77" t="s">
        <v>152</v>
      </c>
      <c r="CZ29" s="77" t="s">
        <v>39</v>
      </c>
      <c r="DA29" s="77" t="s">
        <v>75</v>
      </c>
      <c r="DB29" s="77" t="s">
        <v>40</v>
      </c>
      <c r="DC29" s="77" t="s">
        <v>75</v>
      </c>
      <c r="DD29" s="37" t="s">
        <v>40</v>
      </c>
      <c r="DF29" s="76">
        <f t="shared" si="45"/>
        <v>7</v>
      </c>
      <c r="DG29" s="76">
        <f t="shared" si="10"/>
        <v>7</v>
      </c>
      <c r="DH29" s="76">
        <f t="shared" si="11"/>
        <v>11</v>
      </c>
      <c r="DI29" s="76">
        <f t="shared" si="12"/>
        <v>6</v>
      </c>
      <c r="DJ29" s="76">
        <f t="shared" si="13"/>
        <v>12</v>
      </c>
      <c r="DK29" s="76">
        <f t="shared" si="14"/>
        <v>6</v>
      </c>
      <c r="DL29" s="76">
        <f t="shared" si="15"/>
        <v>12</v>
      </c>
      <c r="DN29" s="25">
        <v>1</v>
      </c>
      <c r="DO29" s="25">
        <v>1</v>
      </c>
      <c r="DP29" s="25">
        <v>1</v>
      </c>
      <c r="DQ29" s="25">
        <v>1</v>
      </c>
      <c r="DR29" s="25">
        <v>1</v>
      </c>
      <c r="DS29" s="25">
        <v>1</v>
      </c>
      <c r="DT29" s="7">
        <v>1</v>
      </c>
      <c r="DV29" s="132" t="s">
        <v>176</v>
      </c>
      <c r="DW29" s="133">
        <v>0</v>
      </c>
      <c r="DX29" s="134">
        <v>10</v>
      </c>
      <c r="DY29" s="134">
        <v>10</v>
      </c>
      <c r="DZ29" s="134">
        <v>10</v>
      </c>
      <c r="EA29" s="134">
        <v>10</v>
      </c>
      <c r="EB29" s="134">
        <v>0</v>
      </c>
      <c r="EC29" s="135">
        <v>0</v>
      </c>
      <c r="ED29" s="131">
        <v>24</v>
      </c>
    </row>
    <row r="30" spans="1:134" ht="16.5" customHeight="1" thickBot="1" x14ac:dyDescent="0.35">
      <c r="A30" s="87"/>
      <c r="I30" s="18"/>
      <c r="K30" s="22">
        <v>26</v>
      </c>
      <c r="L30" s="77" t="s">
        <v>39</v>
      </c>
      <c r="M30" s="77" t="s">
        <v>152</v>
      </c>
      <c r="N30" s="77" t="s">
        <v>152</v>
      </c>
      <c r="O30" s="77" t="s">
        <v>38</v>
      </c>
      <c r="P30" s="77" t="s">
        <v>38</v>
      </c>
      <c r="Q30" s="77" t="s">
        <v>38</v>
      </c>
      <c r="R30" s="37" t="s">
        <v>40</v>
      </c>
      <c r="T30" s="76">
        <f t="shared" si="23"/>
        <v>11</v>
      </c>
      <c r="U30" s="76">
        <f t="shared" si="24"/>
        <v>7</v>
      </c>
      <c r="V30" s="76">
        <f t="shared" si="25"/>
        <v>7</v>
      </c>
      <c r="W30" s="76">
        <f t="shared" si="26"/>
        <v>10</v>
      </c>
      <c r="X30" s="76">
        <f t="shared" si="27"/>
        <v>10</v>
      </c>
      <c r="Y30" s="76">
        <f t="shared" si="28"/>
        <v>10</v>
      </c>
      <c r="Z30" s="76">
        <f t="shared" si="29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80" t="s">
        <v>187</v>
      </c>
      <c r="AK30" s="72">
        <v>0</v>
      </c>
      <c r="AL30" s="73">
        <v>1</v>
      </c>
      <c r="AM30" s="73">
        <v>1</v>
      </c>
      <c r="AN30" s="73">
        <v>1</v>
      </c>
      <c r="AO30" s="73">
        <v>1</v>
      </c>
      <c r="AP30" s="73">
        <v>0</v>
      </c>
      <c r="AQ30" s="74">
        <v>0</v>
      </c>
      <c r="AR30" s="63">
        <v>25</v>
      </c>
      <c r="AT30" s="87"/>
      <c r="BB30" s="18"/>
      <c r="BD30" s="22">
        <v>26</v>
      </c>
      <c r="BE30" s="77" t="s">
        <v>39</v>
      </c>
      <c r="BF30" s="77" t="s">
        <v>152</v>
      </c>
      <c r="BG30" s="77" t="s">
        <v>152</v>
      </c>
      <c r="BH30" s="77" t="s">
        <v>38</v>
      </c>
      <c r="BI30" s="77" t="s">
        <v>38</v>
      </c>
      <c r="BJ30" s="77" t="s">
        <v>38</v>
      </c>
      <c r="BK30" s="37" t="s">
        <v>40</v>
      </c>
      <c r="BM30" s="76">
        <f t="shared" si="37"/>
        <v>11</v>
      </c>
      <c r="BN30" s="76">
        <f t="shared" si="38"/>
        <v>7</v>
      </c>
      <c r="BO30" s="76">
        <f t="shared" si="39"/>
        <v>7</v>
      </c>
      <c r="BP30" s="76">
        <f t="shared" si="40"/>
        <v>10</v>
      </c>
      <c r="BQ30" s="76">
        <f t="shared" si="41"/>
        <v>10</v>
      </c>
      <c r="BR30" s="76">
        <f t="shared" si="42"/>
        <v>10</v>
      </c>
      <c r="BS30" s="76">
        <f t="shared" si="43"/>
        <v>12</v>
      </c>
      <c r="BU30" s="25">
        <v>1</v>
      </c>
      <c r="BV30" s="25">
        <v>1</v>
      </c>
      <c r="BW30" s="25">
        <v>1</v>
      </c>
      <c r="BX30" s="25">
        <v>1</v>
      </c>
      <c r="BY30" s="25">
        <v>1</v>
      </c>
      <c r="BZ30" s="25">
        <v>1</v>
      </c>
      <c r="CA30" s="7">
        <v>1</v>
      </c>
      <c r="CC30" s="80" t="s">
        <v>187</v>
      </c>
      <c r="CD30" s="72">
        <v>0</v>
      </c>
      <c r="CE30" s="73">
        <v>1</v>
      </c>
      <c r="CF30" s="73">
        <v>1</v>
      </c>
      <c r="CG30" s="73">
        <v>1</v>
      </c>
      <c r="CH30" s="73">
        <v>1</v>
      </c>
      <c r="CI30" s="73">
        <v>0</v>
      </c>
      <c r="CJ30" s="74">
        <v>0</v>
      </c>
      <c r="CK30" s="63">
        <v>25</v>
      </c>
      <c r="CM30" s="96"/>
      <c r="CU30" s="18"/>
      <c r="CW30" s="22">
        <v>26</v>
      </c>
      <c r="CX30" s="77" t="s">
        <v>39</v>
      </c>
      <c r="CY30" s="77" t="s">
        <v>152</v>
      </c>
      <c r="CZ30" s="77" t="s">
        <v>152</v>
      </c>
      <c r="DA30" s="77" t="s">
        <v>38</v>
      </c>
      <c r="DB30" s="77" t="s">
        <v>38</v>
      </c>
      <c r="DC30" s="77" t="s">
        <v>38</v>
      </c>
      <c r="DD30" s="37" t="s">
        <v>40</v>
      </c>
      <c r="DF30" s="76">
        <f t="shared" si="45"/>
        <v>11</v>
      </c>
      <c r="DG30" s="76">
        <f t="shared" si="10"/>
        <v>7</v>
      </c>
      <c r="DH30" s="76">
        <f t="shared" si="11"/>
        <v>7</v>
      </c>
      <c r="DI30" s="76">
        <f t="shared" si="12"/>
        <v>10</v>
      </c>
      <c r="DJ30" s="76">
        <f t="shared" si="13"/>
        <v>10</v>
      </c>
      <c r="DK30" s="76">
        <f t="shared" si="14"/>
        <v>10</v>
      </c>
      <c r="DL30" s="76">
        <f t="shared" si="15"/>
        <v>12</v>
      </c>
      <c r="DN30" s="25">
        <v>1</v>
      </c>
      <c r="DO30" s="25">
        <v>1</v>
      </c>
      <c r="DP30" s="25">
        <v>1</v>
      </c>
      <c r="DQ30" s="25">
        <v>1</v>
      </c>
      <c r="DR30" s="25">
        <v>1</v>
      </c>
      <c r="DS30" s="25">
        <v>1</v>
      </c>
      <c r="DT30" s="7">
        <v>1</v>
      </c>
      <c r="DV30" s="80" t="s">
        <v>187</v>
      </c>
      <c r="DW30" s="72">
        <v>0</v>
      </c>
      <c r="DX30" s="73">
        <v>1</v>
      </c>
      <c r="DY30" s="73">
        <v>1</v>
      </c>
      <c r="DZ30" s="73">
        <v>1</v>
      </c>
      <c r="EA30" s="73">
        <v>1</v>
      </c>
      <c r="EB30" s="73">
        <v>0</v>
      </c>
      <c r="EC30" s="74">
        <v>0</v>
      </c>
      <c r="ED30" s="63">
        <v>25</v>
      </c>
    </row>
    <row r="31" spans="1:134" ht="16.5" customHeight="1" x14ac:dyDescent="0.3">
      <c r="A31" s="95"/>
      <c r="B31" s="95"/>
      <c r="C31" s="95"/>
      <c r="D31" s="95"/>
      <c r="E31" s="95"/>
      <c r="F31" s="75"/>
      <c r="I31" s="18"/>
      <c r="K31" s="21">
        <v>27</v>
      </c>
      <c r="L31" s="77" t="s">
        <v>39</v>
      </c>
      <c r="M31" s="77" t="s">
        <v>25</v>
      </c>
      <c r="N31" s="77" t="s">
        <v>34</v>
      </c>
      <c r="O31" s="77" t="s">
        <v>32</v>
      </c>
      <c r="P31" s="77" t="s">
        <v>38</v>
      </c>
      <c r="Q31" s="77" t="s">
        <v>75</v>
      </c>
      <c r="R31" s="37" t="s">
        <v>40</v>
      </c>
      <c r="T31" s="76">
        <f t="shared" si="23"/>
        <v>11</v>
      </c>
      <c r="U31" s="76">
        <f t="shared" si="24"/>
        <v>8</v>
      </c>
      <c r="V31" s="76">
        <f t="shared" si="25"/>
        <v>4</v>
      </c>
      <c r="W31" s="76">
        <f t="shared" si="26"/>
        <v>2</v>
      </c>
      <c r="X31" s="76">
        <f t="shared" si="27"/>
        <v>10</v>
      </c>
      <c r="Y31" s="76">
        <f t="shared" si="28"/>
        <v>6</v>
      </c>
      <c r="Z31" s="76">
        <f t="shared" si="29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82"/>
      <c r="AK31" s="82"/>
      <c r="AL31" s="82"/>
      <c r="AM31" s="82"/>
      <c r="AN31" s="82"/>
      <c r="AO31" s="82"/>
      <c r="AP31" s="82"/>
      <c r="AQ31" s="82"/>
      <c r="AR31" s="82"/>
      <c r="AT31" s="95"/>
      <c r="AU31" s="95"/>
      <c r="AV31" s="95"/>
      <c r="AW31" s="95"/>
      <c r="AX31" s="95"/>
      <c r="AY31" s="75"/>
      <c r="AZ31" s="75"/>
      <c r="BB31" s="18"/>
      <c r="BD31" s="21">
        <v>27</v>
      </c>
      <c r="BE31" s="77" t="s">
        <v>39</v>
      </c>
      <c r="BF31" s="77" t="s">
        <v>25</v>
      </c>
      <c r="BG31" s="77" t="s">
        <v>34</v>
      </c>
      <c r="BH31" s="77" t="s">
        <v>38</v>
      </c>
      <c r="BI31" s="77" t="s">
        <v>38</v>
      </c>
      <c r="BJ31" s="77" t="s">
        <v>75</v>
      </c>
      <c r="BK31" s="37" t="s">
        <v>40</v>
      </c>
      <c r="BM31" s="76">
        <f t="shared" si="37"/>
        <v>11</v>
      </c>
      <c r="BN31" s="76">
        <f t="shared" si="38"/>
        <v>8</v>
      </c>
      <c r="BO31" s="76">
        <f t="shared" si="39"/>
        <v>4</v>
      </c>
      <c r="BP31" s="76">
        <f t="shared" si="40"/>
        <v>10</v>
      </c>
      <c r="BQ31" s="76">
        <f t="shared" si="41"/>
        <v>10</v>
      </c>
      <c r="BR31" s="76">
        <f t="shared" si="42"/>
        <v>6</v>
      </c>
      <c r="BS31" s="76">
        <f t="shared" si="43"/>
        <v>12</v>
      </c>
      <c r="BU31" s="25">
        <v>1</v>
      </c>
      <c r="BV31" s="25">
        <v>1</v>
      </c>
      <c r="BW31" s="25">
        <v>1</v>
      </c>
      <c r="BX31" s="25">
        <v>1</v>
      </c>
      <c r="BY31" s="25">
        <v>1</v>
      </c>
      <c r="BZ31" s="25">
        <v>1</v>
      </c>
      <c r="CA31" s="7">
        <v>1</v>
      </c>
      <c r="CC31" s="82"/>
      <c r="CD31" s="82"/>
      <c r="CE31" s="82"/>
      <c r="CF31" s="82"/>
      <c r="CG31" s="82"/>
      <c r="CH31" s="82"/>
      <c r="CI31" s="82"/>
      <c r="CJ31" s="82"/>
      <c r="CK31" s="82"/>
      <c r="CM31" s="95"/>
      <c r="CN31" s="95"/>
      <c r="CO31" s="95"/>
      <c r="CP31" s="95"/>
      <c r="CQ31" s="95"/>
      <c r="CR31" s="75"/>
      <c r="CS31" s="75"/>
      <c r="CU31" s="18"/>
      <c r="CW31" s="21">
        <v>27</v>
      </c>
      <c r="CX31" s="77" t="s">
        <v>39</v>
      </c>
      <c r="CY31" s="77" t="s">
        <v>25</v>
      </c>
      <c r="CZ31" s="77" t="s">
        <v>34</v>
      </c>
      <c r="DA31" s="77" t="s">
        <v>38</v>
      </c>
      <c r="DB31" s="77" t="s">
        <v>38</v>
      </c>
      <c r="DC31" s="77" t="s">
        <v>75</v>
      </c>
      <c r="DD31" s="37" t="s">
        <v>40</v>
      </c>
      <c r="DF31" s="76">
        <f t="shared" si="45"/>
        <v>11</v>
      </c>
      <c r="DG31" s="76">
        <f t="shared" si="10"/>
        <v>8</v>
      </c>
      <c r="DH31" s="76">
        <f t="shared" si="11"/>
        <v>4</v>
      </c>
      <c r="DI31" s="76">
        <f t="shared" si="12"/>
        <v>10</v>
      </c>
      <c r="DJ31" s="76">
        <f t="shared" si="13"/>
        <v>10</v>
      </c>
      <c r="DK31" s="76">
        <f t="shared" si="14"/>
        <v>6</v>
      </c>
      <c r="DL31" s="76">
        <f t="shared" si="15"/>
        <v>12</v>
      </c>
      <c r="DN31" s="25">
        <v>1</v>
      </c>
      <c r="DO31" s="25">
        <v>1</v>
      </c>
      <c r="DP31" s="25">
        <v>1</v>
      </c>
      <c r="DQ31" s="25">
        <v>1</v>
      </c>
      <c r="DR31" s="25">
        <v>1</v>
      </c>
      <c r="DS31" s="25">
        <v>1</v>
      </c>
      <c r="DT31" s="7">
        <v>1</v>
      </c>
      <c r="DV31" s="82"/>
      <c r="DW31" s="82"/>
      <c r="DX31" s="82"/>
      <c r="DY31" s="82"/>
      <c r="DZ31" s="82"/>
      <c r="EA31" s="82"/>
      <c r="EB31" s="82"/>
      <c r="EC31" s="82"/>
      <c r="ED31" s="82"/>
    </row>
    <row r="32" spans="1:134" ht="16.5" customHeight="1" thickBot="1" x14ac:dyDescent="0.35">
      <c r="A32" s="7" t="s">
        <v>114</v>
      </c>
      <c r="B32" s="20" t="s">
        <v>12</v>
      </c>
      <c r="C32" s="20" t="s">
        <v>6</v>
      </c>
      <c r="D32" s="20" t="s">
        <v>7</v>
      </c>
      <c r="E32" s="20" t="s">
        <v>8</v>
      </c>
      <c r="F32" s="20" t="s">
        <v>9</v>
      </c>
      <c r="G32" s="20" t="s">
        <v>56</v>
      </c>
      <c r="I32" s="18"/>
      <c r="K32" s="22">
        <v>28</v>
      </c>
      <c r="L32" s="77" t="s">
        <v>38</v>
      </c>
      <c r="M32" s="77" t="s">
        <v>25</v>
      </c>
      <c r="N32" s="77" t="s">
        <v>193</v>
      </c>
      <c r="O32" s="77" t="s">
        <v>190</v>
      </c>
      <c r="P32" s="77" t="s">
        <v>152</v>
      </c>
      <c r="Q32" s="77" t="s">
        <v>25</v>
      </c>
      <c r="R32" s="37" t="s">
        <v>39</v>
      </c>
      <c r="T32" s="76">
        <f t="shared" si="23"/>
        <v>10</v>
      </c>
      <c r="U32" s="76">
        <f t="shared" si="24"/>
        <v>8</v>
      </c>
      <c r="V32" s="76">
        <f t="shared" si="25"/>
        <v>16</v>
      </c>
      <c r="W32" s="76">
        <f t="shared" si="26"/>
        <v>15</v>
      </c>
      <c r="X32" s="76">
        <f t="shared" si="27"/>
        <v>7</v>
      </c>
      <c r="Y32" s="76">
        <f t="shared" si="28"/>
        <v>8</v>
      </c>
      <c r="Z32" s="76">
        <f t="shared" si="29"/>
        <v>11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3</v>
      </c>
      <c r="AJ32" s="82"/>
      <c r="AK32" s="245" t="s">
        <v>93</v>
      </c>
      <c r="AL32" s="245"/>
      <c r="AM32" s="245"/>
      <c r="AN32" s="245"/>
      <c r="AO32" s="245"/>
      <c r="AP32" s="245"/>
      <c r="AQ32" s="245"/>
      <c r="AR32" s="245"/>
      <c r="AT32" s="7" t="s">
        <v>114</v>
      </c>
      <c r="AU32" s="20" t="s">
        <v>12</v>
      </c>
      <c r="AV32" s="20" t="s">
        <v>6</v>
      </c>
      <c r="AW32" s="20" t="s">
        <v>7</v>
      </c>
      <c r="AX32" s="20" t="s">
        <v>8</v>
      </c>
      <c r="AY32" s="20" t="s">
        <v>9</v>
      </c>
      <c r="AZ32" s="20" t="s">
        <v>56</v>
      </c>
      <c r="BB32" s="18"/>
      <c r="BD32" s="22">
        <v>28</v>
      </c>
      <c r="BE32" s="77" t="s">
        <v>38</v>
      </c>
      <c r="BF32" s="77" t="s">
        <v>25</v>
      </c>
      <c r="BG32" s="77" t="s">
        <v>193</v>
      </c>
      <c r="BH32" s="77" t="s">
        <v>190</v>
      </c>
      <c r="BI32" s="77" t="s">
        <v>152</v>
      </c>
      <c r="BJ32" s="77" t="s">
        <v>25</v>
      </c>
      <c r="BK32" s="37" t="s">
        <v>39</v>
      </c>
      <c r="BM32" s="76">
        <f t="shared" si="37"/>
        <v>10</v>
      </c>
      <c r="BN32" s="76">
        <f t="shared" si="38"/>
        <v>8</v>
      </c>
      <c r="BO32" s="76">
        <f t="shared" si="39"/>
        <v>16</v>
      </c>
      <c r="BP32" s="76">
        <f t="shared" si="40"/>
        <v>15</v>
      </c>
      <c r="BQ32" s="76">
        <f t="shared" si="41"/>
        <v>7</v>
      </c>
      <c r="BR32" s="76">
        <f t="shared" si="42"/>
        <v>8</v>
      </c>
      <c r="BS32" s="76">
        <f t="shared" si="43"/>
        <v>11</v>
      </c>
      <c r="BU32" s="25">
        <v>1</v>
      </c>
      <c r="BV32" s="25">
        <v>1</v>
      </c>
      <c r="BW32" s="25">
        <v>1</v>
      </c>
      <c r="BX32" s="25">
        <v>1</v>
      </c>
      <c r="BY32" s="25">
        <v>1</v>
      </c>
      <c r="BZ32" s="25">
        <v>1</v>
      </c>
      <c r="CA32" s="7">
        <v>1</v>
      </c>
      <c r="CC32" s="82"/>
      <c r="CD32" s="245" t="s">
        <v>93</v>
      </c>
      <c r="CE32" s="245"/>
      <c r="CF32" s="245"/>
      <c r="CG32" s="245"/>
      <c r="CH32" s="245"/>
      <c r="CI32" s="245"/>
      <c r="CJ32" s="245"/>
      <c r="CK32" s="245"/>
      <c r="CM32" s="7" t="s">
        <v>114</v>
      </c>
      <c r="CN32" s="20" t="s">
        <v>12</v>
      </c>
      <c r="CO32" s="20" t="s">
        <v>6</v>
      </c>
      <c r="CP32" s="20" t="s">
        <v>7</v>
      </c>
      <c r="CQ32" s="20" t="s">
        <v>8</v>
      </c>
      <c r="CR32" s="20" t="s">
        <v>9</v>
      </c>
      <c r="CS32" s="20" t="s">
        <v>56</v>
      </c>
      <c r="CU32" s="18"/>
      <c r="CW32" s="22">
        <v>28</v>
      </c>
      <c r="CX32" s="77" t="s">
        <v>38</v>
      </c>
      <c r="CY32" s="77" t="s">
        <v>25</v>
      </c>
      <c r="CZ32" s="77" t="s">
        <v>193</v>
      </c>
      <c r="DA32" s="77" t="s">
        <v>190</v>
      </c>
      <c r="DB32" s="77" t="s">
        <v>152</v>
      </c>
      <c r="DC32" s="77" t="s">
        <v>25</v>
      </c>
      <c r="DD32" s="37" t="s">
        <v>39</v>
      </c>
      <c r="DF32" s="76">
        <f t="shared" si="45"/>
        <v>10</v>
      </c>
      <c r="DG32" s="76">
        <f t="shared" si="10"/>
        <v>8</v>
      </c>
      <c r="DH32" s="76">
        <f t="shared" si="11"/>
        <v>16</v>
      </c>
      <c r="DI32" s="76">
        <f t="shared" si="12"/>
        <v>15</v>
      </c>
      <c r="DJ32" s="76">
        <f t="shared" si="13"/>
        <v>7</v>
      </c>
      <c r="DK32" s="76">
        <f t="shared" si="14"/>
        <v>8</v>
      </c>
      <c r="DL32" s="76">
        <f t="shared" si="15"/>
        <v>11</v>
      </c>
      <c r="DN32" s="25">
        <v>1</v>
      </c>
      <c r="DO32" s="25">
        <v>1</v>
      </c>
      <c r="DP32" s="25">
        <v>1</v>
      </c>
      <c r="DQ32" s="25">
        <v>1</v>
      </c>
      <c r="DR32" s="25">
        <v>1</v>
      </c>
      <c r="DS32" s="25">
        <v>1</v>
      </c>
      <c r="DT32" s="7">
        <v>1</v>
      </c>
      <c r="DV32" s="82"/>
      <c r="DW32" s="245" t="s">
        <v>93</v>
      </c>
      <c r="DX32" s="245"/>
      <c r="DY32" s="245"/>
      <c r="DZ32" s="245"/>
      <c r="EA32" s="245"/>
      <c r="EB32" s="245"/>
      <c r="EC32" s="245"/>
      <c r="ED32" s="245"/>
    </row>
    <row r="33" spans="1:134" ht="16.5" customHeight="1" thickBot="1" x14ac:dyDescent="0.35">
      <c r="A33" s="7" t="s">
        <v>99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I33" s="18"/>
      <c r="K33" s="21">
        <v>29</v>
      </c>
      <c r="L33" s="77" t="s">
        <v>38</v>
      </c>
      <c r="M33" s="77" t="s">
        <v>25</v>
      </c>
      <c r="N33" s="77" t="s">
        <v>35</v>
      </c>
      <c r="O33" s="77" t="s">
        <v>38</v>
      </c>
      <c r="P33" s="77" t="s">
        <v>152</v>
      </c>
      <c r="Q33" s="77" t="s">
        <v>38</v>
      </c>
      <c r="R33" s="37" t="s">
        <v>39</v>
      </c>
      <c r="T33" s="76">
        <f t="shared" si="23"/>
        <v>10</v>
      </c>
      <c r="U33" s="76">
        <f t="shared" si="24"/>
        <v>8</v>
      </c>
      <c r="V33" s="76">
        <f t="shared" si="25"/>
        <v>5</v>
      </c>
      <c r="W33" s="76">
        <f t="shared" si="26"/>
        <v>10</v>
      </c>
      <c r="X33" s="76">
        <f t="shared" si="27"/>
        <v>7</v>
      </c>
      <c r="Y33" s="76">
        <f t="shared" si="28"/>
        <v>10</v>
      </c>
      <c r="Z33" s="76">
        <f t="shared" si="29"/>
        <v>11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44" t="s">
        <v>52</v>
      </c>
      <c r="AK33" s="45" t="s">
        <v>12</v>
      </c>
      <c r="AL33" s="45" t="s">
        <v>13</v>
      </c>
      <c r="AM33" s="45" t="s">
        <v>14</v>
      </c>
      <c r="AN33" s="45" t="s">
        <v>15</v>
      </c>
      <c r="AO33" s="45" t="s">
        <v>16</v>
      </c>
      <c r="AP33" s="45" t="s">
        <v>56</v>
      </c>
      <c r="AQ33" s="46" t="s">
        <v>76</v>
      </c>
      <c r="AR33" s="47" t="s">
        <v>3</v>
      </c>
      <c r="AT33" s="7" t="s">
        <v>99</v>
      </c>
      <c r="AU33" s="13">
        <v>0</v>
      </c>
      <c r="AV33" s="13">
        <v>105</v>
      </c>
      <c r="AW33" s="13">
        <v>45</v>
      </c>
      <c r="AX33" s="13">
        <v>175</v>
      </c>
      <c r="AY33" s="13">
        <v>135</v>
      </c>
      <c r="AZ33" s="13">
        <v>0</v>
      </c>
      <c r="BB33" s="18"/>
      <c r="BD33" s="21">
        <v>29</v>
      </c>
      <c r="BE33" s="77" t="s">
        <v>38</v>
      </c>
      <c r="BF33" s="77" t="s">
        <v>25</v>
      </c>
      <c r="BG33" s="77" t="s">
        <v>35</v>
      </c>
      <c r="BH33" s="77" t="s">
        <v>38</v>
      </c>
      <c r="BI33" s="77" t="s">
        <v>152</v>
      </c>
      <c r="BJ33" s="77" t="s">
        <v>38</v>
      </c>
      <c r="BK33" s="37" t="s">
        <v>39</v>
      </c>
      <c r="BM33" s="76">
        <f t="shared" si="37"/>
        <v>10</v>
      </c>
      <c r="BN33" s="76">
        <f t="shared" si="38"/>
        <v>8</v>
      </c>
      <c r="BO33" s="76">
        <f t="shared" si="39"/>
        <v>5</v>
      </c>
      <c r="BP33" s="76">
        <f t="shared" si="40"/>
        <v>10</v>
      </c>
      <c r="BQ33" s="76">
        <f t="shared" si="41"/>
        <v>7</v>
      </c>
      <c r="BR33" s="76">
        <f t="shared" si="42"/>
        <v>10</v>
      </c>
      <c r="BS33" s="76">
        <f t="shared" si="43"/>
        <v>11</v>
      </c>
      <c r="BU33" s="25">
        <v>1</v>
      </c>
      <c r="BV33" s="25">
        <v>1</v>
      </c>
      <c r="BW33" s="25">
        <v>1</v>
      </c>
      <c r="BX33" s="25">
        <v>1</v>
      </c>
      <c r="BY33" s="25">
        <v>1</v>
      </c>
      <c r="BZ33" s="25">
        <v>1</v>
      </c>
      <c r="CA33" s="7">
        <v>1</v>
      </c>
      <c r="CC33" s="44" t="s">
        <v>52</v>
      </c>
      <c r="CD33" s="45" t="s">
        <v>12</v>
      </c>
      <c r="CE33" s="45" t="s">
        <v>13</v>
      </c>
      <c r="CF33" s="45" t="s">
        <v>14</v>
      </c>
      <c r="CG33" s="45" t="s">
        <v>15</v>
      </c>
      <c r="CH33" s="45" t="s">
        <v>16</v>
      </c>
      <c r="CI33" s="45" t="s">
        <v>56</v>
      </c>
      <c r="CJ33" s="46" t="s">
        <v>76</v>
      </c>
      <c r="CK33" s="47" t="s">
        <v>3</v>
      </c>
      <c r="CM33" s="7" t="s">
        <v>99</v>
      </c>
      <c r="CN33" s="13">
        <v>0</v>
      </c>
      <c r="CO33" s="13">
        <v>105</v>
      </c>
      <c r="CP33" s="13">
        <v>45</v>
      </c>
      <c r="CQ33" s="13">
        <v>175</v>
      </c>
      <c r="CR33" s="13">
        <v>135</v>
      </c>
      <c r="CS33" s="13">
        <v>0</v>
      </c>
      <c r="CU33" s="18"/>
      <c r="CW33" s="21">
        <v>29</v>
      </c>
      <c r="CX33" s="77" t="s">
        <v>38</v>
      </c>
      <c r="CY33" s="77" t="s">
        <v>25</v>
      </c>
      <c r="CZ33" s="77" t="s">
        <v>35</v>
      </c>
      <c r="DA33" s="77" t="s">
        <v>38</v>
      </c>
      <c r="DB33" s="77" t="s">
        <v>152</v>
      </c>
      <c r="DC33" s="77" t="s">
        <v>38</v>
      </c>
      <c r="DD33" s="37" t="s">
        <v>39</v>
      </c>
      <c r="DF33" s="76">
        <f t="shared" si="45"/>
        <v>10</v>
      </c>
      <c r="DG33" s="76">
        <f t="shared" si="10"/>
        <v>8</v>
      </c>
      <c r="DH33" s="76">
        <f t="shared" si="11"/>
        <v>5</v>
      </c>
      <c r="DI33" s="76">
        <f t="shared" si="12"/>
        <v>10</v>
      </c>
      <c r="DJ33" s="76">
        <f t="shared" si="13"/>
        <v>7</v>
      </c>
      <c r="DK33" s="76">
        <f t="shared" si="14"/>
        <v>10</v>
      </c>
      <c r="DL33" s="76">
        <f t="shared" si="15"/>
        <v>11</v>
      </c>
      <c r="DN33" s="25">
        <v>1</v>
      </c>
      <c r="DO33" s="25">
        <v>1</v>
      </c>
      <c r="DP33" s="25">
        <v>1</v>
      </c>
      <c r="DQ33" s="25">
        <v>1</v>
      </c>
      <c r="DR33" s="25">
        <v>1</v>
      </c>
      <c r="DS33" s="25">
        <v>1</v>
      </c>
      <c r="DT33" s="7">
        <v>1</v>
      </c>
      <c r="DV33" s="44" t="s">
        <v>52</v>
      </c>
      <c r="DW33" s="45" t="s">
        <v>12</v>
      </c>
      <c r="DX33" s="45" t="s">
        <v>13</v>
      </c>
      <c r="DY33" s="45" t="s">
        <v>14</v>
      </c>
      <c r="DZ33" s="45" t="s">
        <v>15</v>
      </c>
      <c r="EA33" s="45" t="s">
        <v>16</v>
      </c>
      <c r="EB33" s="45" t="s">
        <v>56</v>
      </c>
      <c r="EC33" s="46" t="s">
        <v>76</v>
      </c>
      <c r="ED33" s="47" t="s">
        <v>3</v>
      </c>
    </row>
    <row r="34" spans="1:134" ht="16.5" customHeight="1" x14ac:dyDescent="0.3">
      <c r="A34" s="7" t="s">
        <v>102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K34" s="22">
        <v>30</v>
      </c>
      <c r="L34" s="77" t="s">
        <v>35</v>
      </c>
      <c r="M34" s="77" t="s">
        <v>39</v>
      </c>
      <c r="N34" s="77" t="s">
        <v>32</v>
      </c>
      <c r="O34" s="77" t="s">
        <v>37</v>
      </c>
      <c r="P34" s="77" t="s">
        <v>37</v>
      </c>
      <c r="Q34" s="77" t="s">
        <v>38</v>
      </c>
      <c r="R34" s="77" t="s">
        <v>39</v>
      </c>
      <c r="T34" s="76">
        <f t="shared" si="23"/>
        <v>5</v>
      </c>
      <c r="U34" s="76">
        <f t="shared" si="24"/>
        <v>11</v>
      </c>
      <c r="V34" s="76">
        <f t="shared" si="25"/>
        <v>2</v>
      </c>
      <c r="W34" s="76">
        <f t="shared" si="26"/>
        <v>9</v>
      </c>
      <c r="X34" s="76">
        <f t="shared" si="27"/>
        <v>9</v>
      </c>
      <c r="Y34" s="76">
        <f t="shared" si="28"/>
        <v>10</v>
      </c>
      <c r="Z34" s="76">
        <f t="shared" si="29"/>
        <v>11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48" t="s">
        <v>78</v>
      </c>
      <c r="AK34" s="49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1">
        <v>0</v>
      </c>
      <c r="AR34" s="52">
        <v>0</v>
      </c>
      <c r="AT34" s="7" t="s">
        <v>102</v>
      </c>
      <c r="AU34" s="13">
        <v>0</v>
      </c>
      <c r="AV34" s="13">
        <v>105</v>
      </c>
      <c r="AW34" s="13">
        <v>45</v>
      </c>
      <c r="AX34" s="13">
        <v>175</v>
      </c>
      <c r="AY34" s="13">
        <v>135</v>
      </c>
      <c r="AZ34" s="13">
        <v>0</v>
      </c>
      <c r="BD34" s="22">
        <v>30</v>
      </c>
      <c r="BE34" s="77" t="s">
        <v>35</v>
      </c>
      <c r="BF34" s="77" t="s">
        <v>39</v>
      </c>
      <c r="BG34" s="77" t="s">
        <v>39</v>
      </c>
      <c r="BH34" s="77" t="s">
        <v>37</v>
      </c>
      <c r="BI34" s="77" t="s">
        <v>37</v>
      </c>
      <c r="BJ34" s="77" t="s">
        <v>38</v>
      </c>
      <c r="BK34" s="77" t="s">
        <v>39</v>
      </c>
      <c r="BM34" s="76">
        <f t="shared" si="37"/>
        <v>5</v>
      </c>
      <c r="BN34" s="76">
        <f t="shared" si="38"/>
        <v>11</v>
      </c>
      <c r="BO34" s="76">
        <f t="shared" si="39"/>
        <v>11</v>
      </c>
      <c r="BP34" s="76">
        <f t="shared" si="40"/>
        <v>9</v>
      </c>
      <c r="BQ34" s="76">
        <f t="shared" si="41"/>
        <v>9</v>
      </c>
      <c r="BR34" s="76">
        <f t="shared" si="42"/>
        <v>10</v>
      </c>
      <c r="BS34" s="76">
        <f t="shared" si="43"/>
        <v>11</v>
      </c>
      <c r="BU34" s="25">
        <v>1</v>
      </c>
      <c r="BV34" s="25">
        <v>1</v>
      </c>
      <c r="BW34" s="25">
        <v>1</v>
      </c>
      <c r="BX34" s="25">
        <v>1</v>
      </c>
      <c r="BY34" s="25">
        <v>1</v>
      </c>
      <c r="BZ34" s="25">
        <v>1</v>
      </c>
      <c r="CA34" s="7">
        <v>1</v>
      </c>
      <c r="CC34" s="48" t="s">
        <v>78</v>
      </c>
      <c r="CD34" s="49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1">
        <v>0</v>
      </c>
      <c r="CK34" s="52">
        <v>0</v>
      </c>
      <c r="CM34" s="7" t="s">
        <v>102</v>
      </c>
      <c r="CN34" s="13">
        <v>0</v>
      </c>
      <c r="CO34" s="13">
        <v>105</v>
      </c>
      <c r="CP34" s="13">
        <v>45</v>
      </c>
      <c r="CQ34" s="13">
        <v>175</v>
      </c>
      <c r="CR34" s="13">
        <v>135</v>
      </c>
      <c r="CS34" s="13">
        <v>0</v>
      </c>
      <c r="CW34" s="22">
        <v>30</v>
      </c>
      <c r="CX34" s="77" t="s">
        <v>35</v>
      </c>
      <c r="CY34" s="77" t="s">
        <v>39</v>
      </c>
      <c r="CZ34" s="77" t="s">
        <v>39</v>
      </c>
      <c r="DA34" s="77" t="s">
        <v>37</v>
      </c>
      <c r="DB34" s="77" t="s">
        <v>37</v>
      </c>
      <c r="DC34" s="77" t="s">
        <v>38</v>
      </c>
      <c r="DD34" s="77" t="s">
        <v>39</v>
      </c>
      <c r="DF34" s="76">
        <f t="shared" si="45"/>
        <v>5</v>
      </c>
      <c r="DG34" s="76">
        <f t="shared" si="10"/>
        <v>11</v>
      </c>
      <c r="DH34" s="76">
        <f t="shared" si="11"/>
        <v>11</v>
      </c>
      <c r="DI34" s="76">
        <f t="shared" si="12"/>
        <v>9</v>
      </c>
      <c r="DJ34" s="76">
        <f t="shared" si="13"/>
        <v>9</v>
      </c>
      <c r="DK34" s="76">
        <f t="shared" si="14"/>
        <v>10</v>
      </c>
      <c r="DL34" s="76">
        <f t="shared" si="15"/>
        <v>11</v>
      </c>
      <c r="DN34" s="25">
        <v>1</v>
      </c>
      <c r="DO34" s="25">
        <v>1</v>
      </c>
      <c r="DP34" s="25">
        <v>1</v>
      </c>
      <c r="DQ34" s="25">
        <v>1</v>
      </c>
      <c r="DR34" s="25">
        <v>1</v>
      </c>
      <c r="DS34" s="25">
        <v>1</v>
      </c>
      <c r="DT34" s="7">
        <v>1</v>
      </c>
      <c r="DV34" s="48" t="s">
        <v>78</v>
      </c>
      <c r="DW34" s="49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1">
        <v>0</v>
      </c>
      <c r="ED34" s="52">
        <v>0</v>
      </c>
    </row>
    <row r="35" spans="1:134" ht="16.5" customHeight="1" x14ac:dyDescent="0.3">
      <c r="A35" s="7" t="s">
        <v>100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K35" s="21">
        <v>31</v>
      </c>
      <c r="L35" s="77" t="s">
        <v>152</v>
      </c>
      <c r="M35" s="77" t="s">
        <v>38</v>
      </c>
      <c r="N35" s="77" t="s">
        <v>39</v>
      </c>
      <c r="O35" s="77" t="s">
        <v>189</v>
      </c>
      <c r="P35" s="77" t="s">
        <v>40</v>
      </c>
      <c r="Q35" s="77" t="s">
        <v>40</v>
      </c>
      <c r="R35" s="37" t="s">
        <v>39</v>
      </c>
      <c r="T35" s="76">
        <f t="shared" si="23"/>
        <v>7</v>
      </c>
      <c r="U35" s="76">
        <f t="shared" si="24"/>
        <v>10</v>
      </c>
      <c r="V35" s="76">
        <f t="shared" si="25"/>
        <v>11</v>
      </c>
      <c r="W35" s="76">
        <f t="shared" si="26"/>
        <v>20</v>
      </c>
      <c r="X35" s="76">
        <f t="shared" si="27"/>
        <v>12</v>
      </c>
      <c r="Y35" s="76">
        <f t="shared" si="28"/>
        <v>12</v>
      </c>
      <c r="Z35" s="76">
        <f t="shared" si="29"/>
        <v>11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53" t="s">
        <v>19</v>
      </c>
      <c r="AK35" s="54">
        <v>5</v>
      </c>
      <c r="AL35" s="55">
        <v>5</v>
      </c>
      <c r="AM35" s="55">
        <v>5</v>
      </c>
      <c r="AN35" s="55">
        <v>5</v>
      </c>
      <c r="AO35" s="55">
        <v>5</v>
      </c>
      <c r="AP35" s="55">
        <v>5</v>
      </c>
      <c r="AQ35" s="56">
        <v>0</v>
      </c>
      <c r="AR35" s="57">
        <v>1</v>
      </c>
      <c r="AT35" s="7" t="s">
        <v>100</v>
      </c>
      <c r="AU35" s="13">
        <v>0</v>
      </c>
      <c r="AV35" s="13">
        <v>675</v>
      </c>
      <c r="AW35" s="13">
        <v>195</v>
      </c>
      <c r="AX35" s="13">
        <v>475</v>
      </c>
      <c r="AY35" s="13">
        <v>1075</v>
      </c>
      <c r="AZ35" s="13">
        <v>0</v>
      </c>
      <c r="BD35" s="21">
        <v>31</v>
      </c>
      <c r="BE35" s="77" t="s">
        <v>152</v>
      </c>
      <c r="BF35" s="77" t="s">
        <v>38</v>
      </c>
      <c r="BG35" s="77" t="s">
        <v>39</v>
      </c>
      <c r="BH35" s="77" t="s">
        <v>189</v>
      </c>
      <c r="BI35" s="77" t="s">
        <v>40</v>
      </c>
      <c r="BJ35" s="77" t="s">
        <v>40</v>
      </c>
      <c r="BK35" s="37" t="s">
        <v>39</v>
      </c>
      <c r="BM35" s="76">
        <f t="shared" si="37"/>
        <v>7</v>
      </c>
      <c r="BN35" s="76">
        <f t="shared" si="38"/>
        <v>10</v>
      </c>
      <c r="BO35" s="76">
        <f t="shared" si="39"/>
        <v>11</v>
      </c>
      <c r="BP35" s="76">
        <f t="shared" si="40"/>
        <v>20</v>
      </c>
      <c r="BQ35" s="76">
        <f t="shared" si="41"/>
        <v>12</v>
      </c>
      <c r="BR35" s="76">
        <f t="shared" si="42"/>
        <v>12</v>
      </c>
      <c r="BS35" s="76">
        <f t="shared" si="43"/>
        <v>11</v>
      </c>
      <c r="BU35" s="25">
        <v>1</v>
      </c>
      <c r="BV35" s="25">
        <v>1</v>
      </c>
      <c r="BW35" s="25">
        <v>1</v>
      </c>
      <c r="BX35" s="25">
        <v>1</v>
      </c>
      <c r="BY35" s="25">
        <v>1</v>
      </c>
      <c r="BZ35" s="25">
        <v>1</v>
      </c>
      <c r="CA35" s="7">
        <v>1</v>
      </c>
      <c r="CC35" s="53" t="s">
        <v>19</v>
      </c>
      <c r="CD35" s="54">
        <v>5</v>
      </c>
      <c r="CE35" s="55">
        <v>5</v>
      </c>
      <c r="CF35" s="55">
        <v>5</v>
      </c>
      <c r="CG35" s="55">
        <v>5</v>
      </c>
      <c r="CH35" s="55">
        <v>5</v>
      </c>
      <c r="CI35" s="55">
        <v>5</v>
      </c>
      <c r="CJ35" s="56">
        <v>0</v>
      </c>
      <c r="CK35" s="57">
        <v>1</v>
      </c>
      <c r="CM35" s="7" t="s">
        <v>100</v>
      </c>
      <c r="CN35" s="13">
        <v>0</v>
      </c>
      <c r="CO35" s="13">
        <v>675</v>
      </c>
      <c r="CP35" s="13">
        <v>195</v>
      </c>
      <c r="CQ35" s="13">
        <v>475</v>
      </c>
      <c r="CR35" s="13">
        <v>1075</v>
      </c>
      <c r="CS35" s="13">
        <v>0</v>
      </c>
      <c r="CW35" s="21">
        <v>31</v>
      </c>
      <c r="CX35" s="77" t="s">
        <v>152</v>
      </c>
      <c r="CY35" s="77" t="s">
        <v>38</v>
      </c>
      <c r="CZ35" s="77" t="s">
        <v>39</v>
      </c>
      <c r="DA35" s="77" t="s">
        <v>189</v>
      </c>
      <c r="DB35" s="77" t="s">
        <v>40</v>
      </c>
      <c r="DC35" s="77" t="s">
        <v>40</v>
      </c>
      <c r="DD35" s="37" t="s">
        <v>39</v>
      </c>
      <c r="DF35" s="76">
        <f t="shared" si="45"/>
        <v>7</v>
      </c>
      <c r="DG35" s="76">
        <f t="shared" si="10"/>
        <v>10</v>
      </c>
      <c r="DH35" s="76">
        <f t="shared" si="11"/>
        <v>11</v>
      </c>
      <c r="DI35" s="76">
        <f t="shared" si="12"/>
        <v>20</v>
      </c>
      <c r="DJ35" s="76">
        <f t="shared" si="13"/>
        <v>12</v>
      </c>
      <c r="DK35" s="76">
        <f t="shared" si="14"/>
        <v>12</v>
      </c>
      <c r="DL35" s="76">
        <f t="shared" si="15"/>
        <v>11</v>
      </c>
      <c r="DN35" s="25">
        <v>1</v>
      </c>
      <c r="DO35" s="25">
        <v>1</v>
      </c>
      <c r="DP35" s="25">
        <v>1</v>
      </c>
      <c r="DQ35" s="25">
        <v>1</v>
      </c>
      <c r="DR35" s="25">
        <v>1</v>
      </c>
      <c r="DS35" s="25">
        <v>1</v>
      </c>
      <c r="DT35" s="7">
        <v>1</v>
      </c>
      <c r="DV35" s="53" t="s">
        <v>19</v>
      </c>
      <c r="DW35" s="54">
        <v>5</v>
      </c>
      <c r="DX35" s="55">
        <v>5</v>
      </c>
      <c r="DY35" s="55">
        <v>5</v>
      </c>
      <c r="DZ35" s="55">
        <v>5</v>
      </c>
      <c r="EA35" s="55">
        <v>5</v>
      </c>
      <c r="EB35" s="55">
        <v>5</v>
      </c>
      <c r="EC35" s="56">
        <v>0</v>
      </c>
      <c r="ED35" s="57">
        <v>1</v>
      </c>
    </row>
    <row r="36" spans="1:134" ht="16.5" customHeight="1" x14ac:dyDescent="0.3">
      <c r="A36" s="7" t="s">
        <v>103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K36" s="22">
        <v>32</v>
      </c>
      <c r="L36" s="77" t="s">
        <v>152</v>
      </c>
      <c r="M36" s="77" t="s">
        <v>38</v>
      </c>
      <c r="N36" s="77" t="s">
        <v>152</v>
      </c>
      <c r="O36" s="77" t="s">
        <v>25</v>
      </c>
      <c r="P36" s="77" t="s">
        <v>40</v>
      </c>
      <c r="Q36" s="77" t="s">
        <v>39</v>
      </c>
      <c r="R36" s="37" t="s">
        <v>75</v>
      </c>
      <c r="T36" s="76">
        <f t="shared" si="23"/>
        <v>7</v>
      </c>
      <c r="U36" s="76">
        <f t="shared" si="24"/>
        <v>10</v>
      </c>
      <c r="V36" s="76">
        <f t="shared" si="25"/>
        <v>7</v>
      </c>
      <c r="W36" s="76">
        <f t="shared" si="26"/>
        <v>8</v>
      </c>
      <c r="X36" s="76">
        <f t="shared" si="27"/>
        <v>12</v>
      </c>
      <c r="Y36" s="76">
        <f t="shared" si="28"/>
        <v>11</v>
      </c>
      <c r="Z36" s="76">
        <f t="shared" si="29"/>
        <v>6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3</v>
      </c>
      <c r="AJ36" s="53" t="s">
        <v>20</v>
      </c>
      <c r="AK36" s="54">
        <v>15</v>
      </c>
      <c r="AL36" s="55">
        <v>42</v>
      </c>
      <c r="AM36" s="55">
        <v>20</v>
      </c>
      <c r="AN36" s="55">
        <v>10</v>
      </c>
      <c r="AO36" s="55">
        <v>40</v>
      </c>
      <c r="AP36" s="55">
        <v>5</v>
      </c>
      <c r="AQ36" s="56">
        <v>1</v>
      </c>
      <c r="AR36" s="57">
        <v>2</v>
      </c>
      <c r="AT36" s="7" t="s">
        <v>103</v>
      </c>
      <c r="AU36" s="13">
        <v>0</v>
      </c>
      <c r="AV36" s="13">
        <v>675</v>
      </c>
      <c r="AW36" s="13">
        <v>195</v>
      </c>
      <c r="AX36" s="13">
        <v>475</v>
      </c>
      <c r="AY36" s="13">
        <v>1075</v>
      </c>
      <c r="AZ36" s="13">
        <v>0</v>
      </c>
      <c r="BD36" s="22">
        <v>32</v>
      </c>
      <c r="BE36" s="77" t="s">
        <v>152</v>
      </c>
      <c r="BF36" s="77" t="s">
        <v>38</v>
      </c>
      <c r="BG36" s="77" t="s">
        <v>25</v>
      </c>
      <c r="BH36" s="77" t="s">
        <v>25</v>
      </c>
      <c r="BI36" s="77" t="s">
        <v>40</v>
      </c>
      <c r="BJ36" s="77" t="s">
        <v>39</v>
      </c>
      <c r="BK36" s="37" t="s">
        <v>75</v>
      </c>
      <c r="BM36" s="76">
        <f t="shared" si="37"/>
        <v>7</v>
      </c>
      <c r="BN36" s="76">
        <f t="shared" si="38"/>
        <v>10</v>
      </c>
      <c r="BO36" s="76">
        <f t="shared" si="39"/>
        <v>8</v>
      </c>
      <c r="BP36" s="76">
        <f t="shared" si="40"/>
        <v>8</v>
      </c>
      <c r="BQ36" s="76">
        <f t="shared" si="41"/>
        <v>12</v>
      </c>
      <c r="BR36" s="76">
        <f t="shared" si="42"/>
        <v>11</v>
      </c>
      <c r="BS36" s="76">
        <f t="shared" si="43"/>
        <v>6</v>
      </c>
      <c r="BU36" s="25">
        <v>1</v>
      </c>
      <c r="BV36" s="25">
        <v>1</v>
      </c>
      <c r="BW36" s="25">
        <v>1</v>
      </c>
      <c r="BX36" s="25">
        <v>1</v>
      </c>
      <c r="BY36" s="25">
        <v>1</v>
      </c>
      <c r="BZ36" s="25">
        <v>1</v>
      </c>
      <c r="CA36" s="7">
        <v>1</v>
      </c>
      <c r="CC36" s="53" t="s">
        <v>20</v>
      </c>
      <c r="CD36" s="54">
        <v>15</v>
      </c>
      <c r="CE36" s="55">
        <v>42</v>
      </c>
      <c r="CF36" s="55">
        <v>20</v>
      </c>
      <c r="CG36" s="55">
        <v>10</v>
      </c>
      <c r="CH36" s="55">
        <v>40</v>
      </c>
      <c r="CI36" s="55">
        <v>5</v>
      </c>
      <c r="CJ36" s="56">
        <v>1</v>
      </c>
      <c r="CK36" s="57">
        <v>2</v>
      </c>
      <c r="CM36" s="7" t="s">
        <v>103</v>
      </c>
      <c r="CN36" s="13">
        <v>0</v>
      </c>
      <c r="CO36" s="13">
        <v>675</v>
      </c>
      <c r="CP36" s="13">
        <v>195</v>
      </c>
      <c r="CQ36" s="13">
        <v>475</v>
      </c>
      <c r="CR36" s="13">
        <v>1075</v>
      </c>
      <c r="CS36" s="13">
        <v>0</v>
      </c>
      <c r="CW36" s="22">
        <v>32</v>
      </c>
      <c r="CX36" s="77" t="s">
        <v>152</v>
      </c>
      <c r="CY36" s="77" t="s">
        <v>38</v>
      </c>
      <c r="CZ36" s="77" t="s">
        <v>25</v>
      </c>
      <c r="DA36" s="77" t="s">
        <v>25</v>
      </c>
      <c r="DB36" s="77" t="s">
        <v>40</v>
      </c>
      <c r="DC36" s="77" t="s">
        <v>39</v>
      </c>
      <c r="DD36" s="37" t="s">
        <v>152</v>
      </c>
      <c r="DF36" s="76">
        <f t="shared" si="45"/>
        <v>7</v>
      </c>
      <c r="DG36" s="76">
        <f t="shared" si="10"/>
        <v>10</v>
      </c>
      <c r="DH36" s="76">
        <f t="shared" si="11"/>
        <v>8</v>
      </c>
      <c r="DI36" s="76">
        <f t="shared" si="12"/>
        <v>8</v>
      </c>
      <c r="DJ36" s="76">
        <f t="shared" si="13"/>
        <v>12</v>
      </c>
      <c r="DK36" s="76">
        <f t="shared" si="14"/>
        <v>11</v>
      </c>
      <c r="DL36" s="76">
        <f t="shared" si="15"/>
        <v>7</v>
      </c>
      <c r="DN36" s="25">
        <v>1</v>
      </c>
      <c r="DO36" s="25">
        <v>1</v>
      </c>
      <c r="DP36" s="25">
        <v>1</v>
      </c>
      <c r="DQ36" s="25">
        <v>1</v>
      </c>
      <c r="DR36" s="25">
        <v>1</v>
      </c>
      <c r="DS36" s="25">
        <v>1</v>
      </c>
      <c r="DT36" s="7">
        <v>1</v>
      </c>
      <c r="DV36" s="53" t="s">
        <v>20</v>
      </c>
      <c r="DW36" s="54">
        <v>15</v>
      </c>
      <c r="DX36" s="55">
        <v>42</v>
      </c>
      <c r="DY36" s="55">
        <v>20</v>
      </c>
      <c r="DZ36" s="55">
        <v>10</v>
      </c>
      <c r="EA36" s="55">
        <v>40</v>
      </c>
      <c r="EB36" s="55">
        <v>5</v>
      </c>
      <c r="EC36" s="56">
        <v>1</v>
      </c>
      <c r="ED36" s="57">
        <v>2</v>
      </c>
    </row>
    <row r="37" spans="1:134" ht="16.5" customHeight="1" x14ac:dyDescent="0.3">
      <c r="A37" s="7" t="s">
        <v>101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K37" s="21">
        <v>33</v>
      </c>
      <c r="L37" s="77" t="s">
        <v>39</v>
      </c>
      <c r="M37" s="77" t="s">
        <v>38</v>
      </c>
      <c r="N37" s="77" t="s">
        <v>39</v>
      </c>
      <c r="O37" s="77" t="s">
        <v>38</v>
      </c>
      <c r="P37" s="77" t="s">
        <v>37</v>
      </c>
      <c r="Q37" s="77" t="s">
        <v>25</v>
      </c>
      <c r="R37" s="37" t="s">
        <v>75</v>
      </c>
      <c r="T37" s="76">
        <f t="shared" si="23"/>
        <v>11</v>
      </c>
      <c r="U37" s="76">
        <f t="shared" si="24"/>
        <v>10</v>
      </c>
      <c r="V37" s="76">
        <f t="shared" si="25"/>
        <v>11</v>
      </c>
      <c r="W37" s="76">
        <f t="shared" si="26"/>
        <v>10</v>
      </c>
      <c r="X37" s="76">
        <f t="shared" si="27"/>
        <v>9</v>
      </c>
      <c r="Y37" s="76">
        <f t="shared" si="28"/>
        <v>8</v>
      </c>
      <c r="Z37" s="76">
        <f t="shared" si="29"/>
        <v>6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53" t="s">
        <v>21</v>
      </c>
      <c r="AK37" s="54">
        <v>40</v>
      </c>
      <c r="AL37" s="55">
        <v>15</v>
      </c>
      <c r="AM37" s="55">
        <v>40</v>
      </c>
      <c r="AN37" s="55">
        <v>42</v>
      </c>
      <c r="AO37" s="55">
        <v>40</v>
      </c>
      <c r="AP37" s="55">
        <v>5</v>
      </c>
      <c r="AQ37" s="56">
        <v>1</v>
      </c>
      <c r="AR37" s="57">
        <v>3</v>
      </c>
      <c r="AT37" s="7" t="s">
        <v>101</v>
      </c>
      <c r="AU37" s="13">
        <v>0</v>
      </c>
      <c r="AV37" s="13">
        <v>463</v>
      </c>
      <c r="AW37" s="13">
        <v>303</v>
      </c>
      <c r="AX37" s="13">
        <v>330</v>
      </c>
      <c r="AY37" s="13">
        <v>727</v>
      </c>
      <c r="AZ37" s="13">
        <v>0</v>
      </c>
      <c r="BD37" s="21">
        <v>33</v>
      </c>
      <c r="BE37" s="77" t="s">
        <v>39</v>
      </c>
      <c r="BF37" s="77" t="s">
        <v>38</v>
      </c>
      <c r="BG37" s="77" t="s">
        <v>39</v>
      </c>
      <c r="BH37" s="77" t="s">
        <v>38</v>
      </c>
      <c r="BI37" s="77" t="s">
        <v>37</v>
      </c>
      <c r="BJ37" s="77" t="s">
        <v>25</v>
      </c>
      <c r="BK37" s="37" t="s">
        <v>75</v>
      </c>
      <c r="BM37" s="76">
        <f t="shared" si="37"/>
        <v>11</v>
      </c>
      <c r="BN37" s="76">
        <f t="shared" si="38"/>
        <v>10</v>
      </c>
      <c r="BO37" s="76">
        <f t="shared" si="39"/>
        <v>11</v>
      </c>
      <c r="BP37" s="76">
        <f t="shared" si="40"/>
        <v>10</v>
      </c>
      <c r="BQ37" s="76">
        <f t="shared" si="41"/>
        <v>9</v>
      </c>
      <c r="BR37" s="76">
        <f t="shared" si="42"/>
        <v>8</v>
      </c>
      <c r="BS37" s="76">
        <f t="shared" si="43"/>
        <v>6</v>
      </c>
      <c r="BU37" s="25">
        <v>1</v>
      </c>
      <c r="BV37" s="25">
        <v>1</v>
      </c>
      <c r="BW37" s="25">
        <v>1</v>
      </c>
      <c r="BX37" s="25">
        <v>1</v>
      </c>
      <c r="BY37" s="25">
        <v>1</v>
      </c>
      <c r="BZ37" s="25">
        <v>1</v>
      </c>
      <c r="CA37" s="7">
        <v>1</v>
      </c>
      <c r="CC37" s="53" t="s">
        <v>21</v>
      </c>
      <c r="CD37" s="54">
        <v>40</v>
      </c>
      <c r="CE37" s="55">
        <v>15</v>
      </c>
      <c r="CF37" s="55">
        <v>40</v>
      </c>
      <c r="CG37" s="55">
        <v>42</v>
      </c>
      <c r="CH37" s="55">
        <v>40</v>
      </c>
      <c r="CI37" s="55">
        <v>5</v>
      </c>
      <c r="CJ37" s="56">
        <v>1</v>
      </c>
      <c r="CK37" s="57">
        <v>3</v>
      </c>
      <c r="CM37" s="7" t="s">
        <v>101</v>
      </c>
      <c r="CN37" s="13">
        <v>0</v>
      </c>
      <c r="CO37" s="13">
        <v>463</v>
      </c>
      <c r="CP37" s="13">
        <v>303</v>
      </c>
      <c r="CQ37" s="13">
        <v>330</v>
      </c>
      <c r="CR37" s="13">
        <v>727</v>
      </c>
      <c r="CS37" s="13">
        <v>0</v>
      </c>
      <c r="CW37" s="21">
        <v>33</v>
      </c>
      <c r="CX37" s="77" t="s">
        <v>39</v>
      </c>
      <c r="CY37" s="77" t="s">
        <v>38</v>
      </c>
      <c r="CZ37" s="77" t="s">
        <v>39</v>
      </c>
      <c r="DA37" s="77" t="s">
        <v>38</v>
      </c>
      <c r="DB37" s="77" t="s">
        <v>37</v>
      </c>
      <c r="DC37" s="77" t="s">
        <v>25</v>
      </c>
      <c r="DD37" s="37" t="s">
        <v>75</v>
      </c>
      <c r="DF37" s="76">
        <f t="shared" si="45"/>
        <v>11</v>
      </c>
      <c r="DG37" s="76">
        <f t="shared" si="10"/>
        <v>10</v>
      </c>
      <c r="DH37" s="76">
        <f t="shared" si="11"/>
        <v>11</v>
      </c>
      <c r="DI37" s="76">
        <f t="shared" si="12"/>
        <v>10</v>
      </c>
      <c r="DJ37" s="76">
        <f t="shared" si="13"/>
        <v>9</v>
      </c>
      <c r="DK37" s="76">
        <f t="shared" si="14"/>
        <v>8</v>
      </c>
      <c r="DL37" s="76">
        <f t="shared" si="15"/>
        <v>6</v>
      </c>
      <c r="DN37" s="25">
        <v>1</v>
      </c>
      <c r="DO37" s="25">
        <v>1</v>
      </c>
      <c r="DP37" s="25">
        <v>1</v>
      </c>
      <c r="DQ37" s="25">
        <v>1</v>
      </c>
      <c r="DR37" s="25">
        <v>1</v>
      </c>
      <c r="DS37" s="25">
        <v>1</v>
      </c>
      <c r="DT37" s="7">
        <v>1</v>
      </c>
      <c r="DV37" s="53" t="s">
        <v>21</v>
      </c>
      <c r="DW37" s="54">
        <v>40</v>
      </c>
      <c r="DX37" s="55">
        <v>15</v>
      </c>
      <c r="DY37" s="55">
        <v>40</v>
      </c>
      <c r="DZ37" s="55">
        <v>42</v>
      </c>
      <c r="EA37" s="55">
        <v>40</v>
      </c>
      <c r="EB37" s="55">
        <v>5</v>
      </c>
      <c r="EC37" s="56">
        <v>1</v>
      </c>
      <c r="ED37" s="57">
        <v>3</v>
      </c>
    </row>
    <row r="38" spans="1:134" ht="16.5" customHeight="1" x14ac:dyDescent="0.3">
      <c r="A38" s="7" t="s">
        <v>104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K38" s="22">
        <v>34</v>
      </c>
      <c r="L38" s="77" t="s">
        <v>37</v>
      </c>
      <c r="M38" s="77" t="s">
        <v>35</v>
      </c>
      <c r="N38" s="77" t="s">
        <v>35</v>
      </c>
      <c r="O38" s="77" t="s">
        <v>40</v>
      </c>
      <c r="P38" s="77" t="s">
        <v>37</v>
      </c>
      <c r="Q38" s="77" t="s">
        <v>25</v>
      </c>
      <c r="R38" s="37" t="s">
        <v>75</v>
      </c>
      <c r="T38" s="76">
        <f t="shared" si="23"/>
        <v>9</v>
      </c>
      <c r="U38" s="76">
        <f t="shared" si="24"/>
        <v>5</v>
      </c>
      <c r="V38" s="76">
        <f t="shared" si="25"/>
        <v>5</v>
      </c>
      <c r="W38" s="76">
        <f t="shared" si="26"/>
        <v>12</v>
      </c>
      <c r="X38" s="76">
        <f t="shared" si="27"/>
        <v>9</v>
      </c>
      <c r="Y38" s="76">
        <f t="shared" si="28"/>
        <v>8</v>
      </c>
      <c r="Z38" s="76">
        <f t="shared" si="29"/>
        <v>6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53" t="s">
        <v>17</v>
      </c>
      <c r="AK38" s="54">
        <v>15</v>
      </c>
      <c r="AL38" s="55">
        <v>40</v>
      </c>
      <c r="AM38" s="55">
        <v>20</v>
      </c>
      <c r="AN38" s="55">
        <v>10</v>
      </c>
      <c r="AO38" s="55">
        <v>5</v>
      </c>
      <c r="AP38" s="55">
        <v>40</v>
      </c>
      <c r="AQ38" s="56">
        <v>1</v>
      </c>
      <c r="AR38" s="57">
        <v>4</v>
      </c>
      <c r="AT38" s="7" t="s">
        <v>104</v>
      </c>
      <c r="AU38" s="13">
        <v>0</v>
      </c>
      <c r="AV38" s="13">
        <v>463</v>
      </c>
      <c r="AW38" s="13">
        <v>303</v>
      </c>
      <c r="AX38" s="13">
        <v>330</v>
      </c>
      <c r="AY38" s="13">
        <v>727</v>
      </c>
      <c r="AZ38" s="13">
        <v>0</v>
      </c>
      <c r="BD38" s="22">
        <v>34</v>
      </c>
      <c r="BE38" s="77" t="s">
        <v>37</v>
      </c>
      <c r="BF38" s="77" t="s">
        <v>75</v>
      </c>
      <c r="BG38" s="77" t="s">
        <v>35</v>
      </c>
      <c r="BH38" s="77" t="s">
        <v>40</v>
      </c>
      <c r="BI38" s="77" t="s">
        <v>37</v>
      </c>
      <c r="BJ38" s="77" t="s">
        <v>25</v>
      </c>
      <c r="BK38" s="37" t="s">
        <v>75</v>
      </c>
      <c r="BM38" s="76">
        <f t="shared" si="37"/>
        <v>9</v>
      </c>
      <c r="BN38" s="76">
        <f t="shared" si="38"/>
        <v>6</v>
      </c>
      <c r="BO38" s="76">
        <f t="shared" si="39"/>
        <v>5</v>
      </c>
      <c r="BP38" s="76">
        <f t="shared" si="40"/>
        <v>12</v>
      </c>
      <c r="BQ38" s="76">
        <f t="shared" si="41"/>
        <v>9</v>
      </c>
      <c r="BR38" s="76">
        <f t="shared" si="42"/>
        <v>8</v>
      </c>
      <c r="BS38" s="76">
        <f t="shared" si="43"/>
        <v>6</v>
      </c>
      <c r="BU38" s="25">
        <v>1</v>
      </c>
      <c r="BV38" s="25">
        <v>1</v>
      </c>
      <c r="BW38" s="25">
        <v>1</v>
      </c>
      <c r="BX38" s="25">
        <v>1</v>
      </c>
      <c r="BY38" s="25">
        <v>1</v>
      </c>
      <c r="BZ38" s="25">
        <v>1</v>
      </c>
      <c r="CA38" s="7">
        <v>1</v>
      </c>
      <c r="CC38" s="53" t="s">
        <v>17</v>
      </c>
      <c r="CD38" s="54">
        <v>15</v>
      </c>
      <c r="CE38" s="55">
        <v>40</v>
      </c>
      <c r="CF38" s="55">
        <v>20</v>
      </c>
      <c r="CG38" s="55">
        <v>10</v>
      </c>
      <c r="CH38" s="55">
        <v>5</v>
      </c>
      <c r="CI38" s="55">
        <v>40</v>
      </c>
      <c r="CJ38" s="56">
        <v>1</v>
      </c>
      <c r="CK38" s="57">
        <v>4</v>
      </c>
      <c r="CM38" s="7" t="s">
        <v>104</v>
      </c>
      <c r="CN38" s="13">
        <v>0</v>
      </c>
      <c r="CO38" s="13">
        <v>463</v>
      </c>
      <c r="CP38" s="13">
        <v>303</v>
      </c>
      <c r="CQ38" s="13">
        <v>330</v>
      </c>
      <c r="CR38" s="13">
        <v>727</v>
      </c>
      <c r="CS38" s="13">
        <v>0</v>
      </c>
      <c r="CW38" s="22">
        <v>34</v>
      </c>
      <c r="CX38" s="77" t="s">
        <v>37</v>
      </c>
      <c r="CY38" s="77" t="s">
        <v>75</v>
      </c>
      <c r="CZ38" s="77" t="s">
        <v>35</v>
      </c>
      <c r="DA38" s="77" t="s">
        <v>40</v>
      </c>
      <c r="DB38" s="77" t="s">
        <v>37</v>
      </c>
      <c r="DC38" s="77" t="s">
        <v>25</v>
      </c>
      <c r="DD38" s="37" t="s">
        <v>75</v>
      </c>
      <c r="DF38" s="76">
        <f t="shared" si="45"/>
        <v>9</v>
      </c>
      <c r="DG38" s="76">
        <f t="shared" si="10"/>
        <v>6</v>
      </c>
      <c r="DH38" s="76">
        <f t="shared" si="11"/>
        <v>5</v>
      </c>
      <c r="DI38" s="76">
        <f t="shared" si="12"/>
        <v>12</v>
      </c>
      <c r="DJ38" s="76">
        <f t="shared" si="13"/>
        <v>9</v>
      </c>
      <c r="DK38" s="76">
        <f t="shared" si="14"/>
        <v>8</v>
      </c>
      <c r="DL38" s="76">
        <f t="shared" si="15"/>
        <v>6</v>
      </c>
      <c r="DN38" s="25">
        <v>1</v>
      </c>
      <c r="DO38" s="25">
        <v>1</v>
      </c>
      <c r="DP38" s="25">
        <v>1</v>
      </c>
      <c r="DQ38" s="25">
        <v>1</v>
      </c>
      <c r="DR38" s="25">
        <v>1</v>
      </c>
      <c r="DS38" s="25">
        <v>1</v>
      </c>
      <c r="DT38" s="7">
        <v>1</v>
      </c>
      <c r="DV38" s="53" t="s">
        <v>17</v>
      </c>
      <c r="DW38" s="54">
        <v>15</v>
      </c>
      <c r="DX38" s="55">
        <v>40</v>
      </c>
      <c r="DY38" s="55">
        <v>20</v>
      </c>
      <c r="DZ38" s="55">
        <v>10</v>
      </c>
      <c r="EA38" s="55">
        <v>5</v>
      </c>
      <c r="EB38" s="55">
        <v>40</v>
      </c>
      <c r="EC38" s="56">
        <v>1</v>
      </c>
      <c r="ED38" s="57">
        <v>4</v>
      </c>
    </row>
    <row r="39" spans="1:134" ht="16.5" customHeight="1" x14ac:dyDescent="0.3">
      <c r="A39" s="7" t="s">
        <v>105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K39" s="21">
        <v>35</v>
      </c>
      <c r="L39" s="77" t="s">
        <v>75</v>
      </c>
      <c r="M39" s="77" t="s">
        <v>189</v>
      </c>
      <c r="N39" s="77" t="s">
        <v>35</v>
      </c>
      <c r="O39" s="77" t="s">
        <v>75</v>
      </c>
      <c r="P39" s="77" t="s">
        <v>152</v>
      </c>
      <c r="Q39" s="77" t="s">
        <v>25</v>
      </c>
      <c r="R39" s="37" t="s">
        <v>75</v>
      </c>
      <c r="T39" s="76">
        <f t="shared" si="23"/>
        <v>6</v>
      </c>
      <c r="U39" s="76">
        <f t="shared" si="24"/>
        <v>20</v>
      </c>
      <c r="V39" s="76">
        <f t="shared" si="25"/>
        <v>5</v>
      </c>
      <c r="W39" s="76">
        <f t="shared" si="26"/>
        <v>6</v>
      </c>
      <c r="X39" s="76">
        <f t="shared" si="27"/>
        <v>7</v>
      </c>
      <c r="Y39" s="76">
        <f t="shared" si="28"/>
        <v>8</v>
      </c>
      <c r="Z39" s="76">
        <f t="shared" si="29"/>
        <v>6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53" t="s">
        <v>18</v>
      </c>
      <c r="AK39" s="54">
        <v>40</v>
      </c>
      <c r="AL39" s="55">
        <v>15</v>
      </c>
      <c r="AM39" s="55">
        <v>40</v>
      </c>
      <c r="AN39" s="55">
        <v>10</v>
      </c>
      <c r="AO39" s="55">
        <v>5</v>
      </c>
      <c r="AP39" s="55">
        <v>40</v>
      </c>
      <c r="AQ39" s="56">
        <v>1</v>
      </c>
      <c r="AR39" s="57">
        <v>5</v>
      </c>
      <c r="AT39" s="7" t="s">
        <v>105</v>
      </c>
      <c r="AU39" s="13">
        <v>0</v>
      </c>
      <c r="AV39" s="13">
        <v>463</v>
      </c>
      <c r="AW39" s="13">
        <v>303</v>
      </c>
      <c r="AX39" s="13">
        <v>330</v>
      </c>
      <c r="AY39" s="13">
        <v>727</v>
      </c>
      <c r="AZ39" s="13">
        <v>0</v>
      </c>
      <c r="BD39" s="21">
        <v>35</v>
      </c>
      <c r="BE39" s="77" t="s">
        <v>75</v>
      </c>
      <c r="BF39" s="77" t="s">
        <v>189</v>
      </c>
      <c r="BG39" s="77" t="s">
        <v>35</v>
      </c>
      <c r="BH39" s="77" t="s">
        <v>75</v>
      </c>
      <c r="BI39" s="77" t="s">
        <v>152</v>
      </c>
      <c r="BJ39" s="77" t="s">
        <v>25</v>
      </c>
      <c r="BK39" s="37" t="s">
        <v>75</v>
      </c>
      <c r="BM39" s="76">
        <f t="shared" si="37"/>
        <v>6</v>
      </c>
      <c r="BN39" s="76">
        <f t="shared" si="38"/>
        <v>20</v>
      </c>
      <c r="BO39" s="76">
        <f t="shared" si="39"/>
        <v>5</v>
      </c>
      <c r="BP39" s="76">
        <f t="shared" si="40"/>
        <v>6</v>
      </c>
      <c r="BQ39" s="76">
        <f t="shared" si="41"/>
        <v>7</v>
      </c>
      <c r="BR39" s="76">
        <f t="shared" si="42"/>
        <v>8</v>
      </c>
      <c r="BS39" s="76">
        <f t="shared" si="43"/>
        <v>6</v>
      </c>
      <c r="BU39" s="25">
        <v>1</v>
      </c>
      <c r="BV39" s="25">
        <v>1</v>
      </c>
      <c r="BW39" s="25">
        <v>1</v>
      </c>
      <c r="BX39" s="25">
        <v>1</v>
      </c>
      <c r="BY39" s="25">
        <v>1</v>
      </c>
      <c r="BZ39" s="25">
        <v>1</v>
      </c>
      <c r="CA39" s="7">
        <v>1</v>
      </c>
      <c r="CC39" s="53" t="s">
        <v>18</v>
      </c>
      <c r="CD39" s="54">
        <v>40</v>
      </c>
      <c r="CE39" s="55">
        <v>15</v>
      </c>
      <c r="CF39" s="55">
        <v>40</v>
      </c>
      <c r="CG39" s="55">
        <v>10</v>
      </c>
      <c r="CH39" s="55">
        <v>5</v>
      </c>
      <c r="CI39" s="55">
        <v>40</v>
      </c>
      <c r="CJ39" s="56">
        <v>1</v>
      </c>
      <c r="CK39" s="57">
        <v>5</v>
      </c>
      <c r="CM39" s="7" t="s">
        <v>105</v>
      </c>
      <c r="CN39" s="13">
        <v>0</v>
      </c>
      <c r="CO39" s="13">
        <v>463</v>
      </c>
      <c r="CP39" s="13">
        <v>303</v>
      </c>
      <c r="CQ39" s="13">
        <v>330</v>
      </c>
      <c r="CR39" s="13">
        <v>727</v>
      </c>
      <c r="CS39" s="13">
        <v>0</v>
      </c>
      <c r="CW39" s="21">
        <v>35</v>
      </c>
      <c r="CX39" s="77" t="s">
        <v>75</v>
      </c>
      <c r="CY39" s="77" t="s">
        <v>189</v>
      </c>
      <c r="CZ39" s="77" t="s">
        <v>35</v>
      </c>
      <c r="DA39" s="77" t="s">
        <v>75</v>
      </c>
      <c r="DB39" s="77" t="s">
        <v>152</v>
      </c>
      <c r="DC39" s="77" t="s">
        <v>25</v>
      </c>
      <c r="DD39" s="37" t="s">
        <v>75</v>
      </c>
      <c r="DF39" s="76">
        <f t="shared" si="45"/>
        <v>6</v>
      </c>
      <c r="DG39" s="76">
        <f t="shared" si="10"/>
        <v>20</v>
      </c>
      <c r="DH39" s="76">
        <f t="shared" si="11"/>
        <v>5</v>
      </c>
      <c r="DI39" s="76">
        <f t="shared" si="12"/>
        <v>6</v>
      </c>
      <c r="DJ39" s="76">
        <f t="shared" si="13"/>
        <v>7</v>
      </c>
      <c r="DK39" s="76">
        <f t="shared" si="14"/>
        <v>8</v>
      </c>
      <c r="DL39" s="76">
        <f t="shared" si="15"/>
        <v>6</v>
      </c>
      <c r="DN39" s="25">
        <v>1</v>
      </c>
      <c r="DO39" s="25">
        <v>1</v>
      </c>
      <c r="DP39" s="25">
        <v>1</v>
      </c>
      <c r="DQ39" s="25">
        <v>1</v>
      </c>
      <c r="DR39" s="25">
        <v>1</v>
      </c>
      <c r="DS39" s="25">
        <v>1</v>
      </c>
      <c r="DT39" s="7">
        <v>1</v>
      </c>
      <c r="DV39" s="53" t="s">
        <v>18</v>
      </c>
      <c r="DW39" s="54">
        <v>40</v>
      </c>
      <c r="DX39" s="55">
        <v>15</v>
      </c>
      <c r="DY39" s="55">
        <v>40</v>
      </c>
      <c r="DZ39" s="55">
        <v>10</v>
      </c>
      <c r="EA39" s="55">
        <v>5</v>
      </c>
      <c r="EB39" s="55">
        <v>40</v>
      </c>
      <c r="EC39" s="56">
        <v>1</v>
      </c>
      <c r="ED39" s="57">
        <v>5</v>
      </c>
    </row>
    <row r="40" spans="1:134" ht="16.5" customHeight="1" x14ac:dyDescent="0.3">
      <c r="A40" s="7" t="s">
        <v>106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K40" s="22">
        <v>36</v>
      </c>
      <c r="L40" s="30" t="s">
        <v>40</v>
      </c>
      <c r="M40" s="30" t="s">
        <v>40</v>
      </c>
      <c r="N40" s="30" t="s">
        <v>75</v>
      </c>
      <c r="O40" s="30" t="s">
        <v>75</v>
      </c>
      <c r="P40" s="30" t="s">
        <v>35</v>
      </c>
      <c r="Q40" s="30" t="s">
        <v>37</v>
      </c>
      <c r="R40" s="30" t="s">
        <v>152</v>
      </c>
      <c r="T40" s="76">
        <f t="shared" si="23"/>
        <v>12</v>
      </c>
      <c r="U40" s="76">
        <f t="shared" si="24"/>
        <v>12</v>
      </c>
      <c r="V40" s="76">
        <f t="shared" si="25"/>
        <v>6</v>
      </c>
      <c r="W40" s="76">
        <f t="shared" si="26"/>
        <v>6</v>
      </c>
      <c r="X40" s="76">
        <f t="shared" si="27"/>
        <v>5</v>
      </c>
      <c r="Y40" s="76">
        <f t="shared" si="28"/>
        <v>9</v>
      </c>
      <c r="Z40" s="76">
        <f t="shared" si="29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3</v>
      </c>
      <c r="AJ40" s="53" t="s">
        <v>74</v>
      </c>
      <c r="AK40" s="54">
        <v>15</v>
      </c>
      <c r="AL40" s="55">
        <v>40</v>
      </c>
      <c r="AM40" s="55">
        <v>20</v>
      </c>
      <c r="AN40" s="55">
        <v>10</v>
      </c>
      <c r="AO40" s="55">
        <v>40</v>
      </c>
      <c r="AP40" s="55">
        <v>5</v>
      </c>
      <c r="AQ40" s="56">
        <v>1</v>
      </c>
      <c r="AR40" s="57">
        <v>6</v>
      </c>
      <c r="AT40" s="7" t="s">
        <v>106</v>
      </c>
      <c r="AU40" s="13">
        <v>0</v>
      </c>
      <c r="AV40" s="13">
        <v>910</v>
      </c>
      <c r="AW40" s="13">
        <v>610</v>
      </c>
      <c r="AX40" s="13">
        <v>1373</v>
      </c>
      <c r="AY40" s="13">
        <v>973</v>
      </c>
      <c r="AZ40" s="13">
        <v>0</v>
      </c>
      <c r="BD40" s="22">
        <v>36</v>
      </c>
      <c r="BE40" s="30" t="s">
        <v>40</v>
      </c>
      <c r="BF40" s="30" t="s">
        <v>40</v>
      </c>
      <c r="BG40" s="30" t="s">
        <v>39</v>
      </c>
      <c r="BH40" s="30" t="s">
        <v>75</v>
      </c>
      <c r="BI40" s="30" t="s">
        <v>35</v>
      </c>
      <c r="BJ40" s="30" t="s">
        <v>37</v>
      </c>
      <c r="BK40" s="30" t="s">
        <v>152</v>
      </c>
      <c r="BM40" s="76">
        <f t="shared" si="37"/>
        <v>12</v>
      </c>
      <c r="BN40" s="76">
        <f t="shared" si="38"/>
        <v>12</v>
      </c>
      <c r="BO40" s="76">
        <f t="shared" si="39"/>
        <v>11</v>
      </c>
      <c r="BP40" s="76">
        <f t="shared" si="40"/>
        <v>6</v>
      </c>
      <c r="BQ40" s="76">
        <f t="shared" si="41"/>
        <v>5</v>
      </c>
      <c r="BR40" s="76">
        <f t="shared" si="42"/>
        <v>9</v>
      </c>
      <c r="BS40" s="76">
        <f t="shared" si="43"/>
        <v>7</v>
      </c>
      <c r="BU40" s="25">
        <v>1</v>
      </c>
      <c r="BV40" s="25">
        <v>1</v>
      </c>
      <c r="BW40" s="25">
        <v>1</v>
      </c>
      <c r="BX40" s="25">
        <v>1</v>
      </c>
      <c r="BY40" s="25">
        <v>1</v>
      </c>
      <c r="BZ40" s="25">
        <v>1</v>
      </c>
      <c r="CA40" s="7">
        <v>1</v>
      </c>
      <c r="CC40" s="53" t="s">
        <v>74</v>
      </c>
      <c r="CD40" s="54">
        <v>15</v>
      </c>
      <c r="CE40" s="55">
        <v>40</v>
      </c>
      <c r="CF40" s="55">
        <v>20</v>
      </c>
      <c r="CG40" s="55">
        <v>10</v>
      </c>
      <c r="CH40" s="55">
        <v>40</v>
      </c>
      <c r="CI40" s="55">
        <v>5</v>
      </c>
      <c r="CJ40" s="56">
        <v>1</v>
      </c>
      <c r="CK40" s="57">
        <v>6</v>
      </c>
      <c r="CM40" s="7" t="s">
        <v>106</v>
      </c>
      <c r="CN40" s="13">
        <v>0</v>
      </c>
      <c r="CO40" s="13">
        <v>910</v>
      </c>
      <c r="CP40" s="13">
        <v>610</v>
      </c>
      <c r="CQ40" s="13">
        <v>1373</v>
      </c>
      <c r="CR40" s="13">
        <v>973</v>
      </c>
      <c r="CS40" s="13">
        <v>0</v>
      </c>
      <c r="CW40" s="22">
        <v>36</v>
      </c>
      <c r="CX40" s="30" t="s">
        <v>40</v>
      </c>
      <c r="CY40" s="30" t="s">
        <v>40</v>
      </c>
      <c r="CZ40" s="30" t="s">
        <v>39</v>
      </c>
      <c r="DA40" s="30" t="s">
        <v>75</v>
      </c>
      <c r="DB40" s="30" t="s">
        <v>35</v>
      </c>
      <c r="DC40" s="30" t="s">
        <v>37</v>
      </c>
      <c r="DD40" s="30" t="s">
        <v>152</v>
      </c>
      <c r="DF40" s="76">
        <f t="shared" si="45"/>
        <v>12</v>
      </c>
      <c r="DG40" s="76">
        <f t="shared" si="10"/>
        <v>12</v>
      </c>
      <c r="DH40" s="76">
        <f t="shared" si="11"/>
        <v>11</v>
      </c>
      <c r="DI40" s="76">
        <f t="shared" si="12"/>
        <v>6</v>
      </c>
      <c r="DJ40" s="76">
        <f t="shared" si="13"/>
        <v>5</v>
      </c>
      <c r="DK40" s="76">
        <f t="shared" si="14"/>
        <v>9</v>
      </c>
      <c r="DL40" s="76">
        <f t="shared" si="15"/>
        <v>7</v>
      </c>
      <c r="DN40" s="25">
        <v>1</v>
      </c>
      <c r="DO40" s="25">
        <v>1</v>
      </c>
      <c r="DP40" s="25">
        <v>1</v>
      </c>
      <c r="DQ40" s="25">
        <v>1</v>
      </c>
      <c r="DR40" s="25">
        <v>1</v>
      </c>
      <c r="DS40" s="25">
        <v>1</v>
      </c>
      <c r="DT40" s="7">
        <v>1</v>
      </c>
      <c r="DV40" s="53" t="s">
        <v>74</v>
      </c>
      <c r="DW40" s="54">
        <v>15</v>
      </c>
      <c r="DX40" s="55">
        <v>40</v>
      </c>
      <c r="DY40" s="55">
        <v>20</v>
      </c>
      <c r="DZ40" s="55">
        <v>10</v>
      </c>
      <c r="EA40" s="55">
        <v>40</v>
      </c>
      <c r="EB40" s="55">
        <v>5</v>
      </c>
      <c r="EC40" s="56">
        <v>1</v>
      </c>
      <c r="ED40" s="57">
        <v>6</v>
      </c>
    </row>
    <row r="41" spans="1:134" ht="16.5" customHeight="1" x14ac:dyDescent="0.3">
      <c r="A41" s="7" t="s">
        <v>107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K41" s="21">
        <v>37</v>
      </c>
      <c r="L41" s="77" t="s">
        <v>152</v>
      </c>
      <c r="M41" s="77" t="s">
        <v>40</v>
      </c>
      <c r="N41" s="77" t="s">
        <v>75</v>
      </c>
      <c r="O41" s="77" t="s">
        <v>75</v>
      </c>
      <c r="P41" s="77" t="s">
        <v>39</v>
      </c>
      <c r="Q41" s="77" t="s">
        <v>37</v>
      </c>
      <c r="R41" s="37" t="s">
        <v>152</v>
      </c>
      <c r="T41" s="76">
        <f t="shared" si="23"/>
        <v>7</v>
      </c>
      <c r="U41" s="76">
        <f t="shared" si="24"/>
        <v>12</v>
      </c>
      <c r="V41" s="76">
        <f t="shared" si="25"/>
        <v>6</v>
      </c>
      <c r="W41" s="76">
        <f t="shared" si="26"/>
        <v>6</v>
      </c>
      <c r="X41" s="76">
        <f t="shared" si="27"/>
        <v>11</v>
      </c>
      <c r="Y41" s="76">
        <f t="shared" si="28"/>
        <v>9</v>
      </c>
      <c r="Z41" s="76">
        <f t="shared" si="29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53" t="s">
        <v>151</v>
      </c>
      <c r="AK41" s="54">
        <v>40</v>
      </c>
      <c r="AL41" s="55">
        <v>15</v>
      </c>
      <c r="AM41" s="55">
        <v>40</v>
      </c>
      <c r="AN41" s="55">
        <v>10</v>
      </c>
      <c r="AO41" s="55">
        <v>5</v>
      </c>
      <c r="AP41" s="55">
        <v>40</v>
      </c>
      <c r="AQ41" s="56">
        <v>1</v>
      </c>
      <c r="AR41" s="57">
        <v>7</v>
      </c>
      <c r="AT41" s="7" t="s">
        <v>107</v>
      </c>
      <c r="AU41" s="13">
        <v>0</v>
      </c>
      <c r="AV41" s="13">
        <v>910</v>
      </c>
      <c r="AW41" s="13">
        <v>610</v>
      </c>
      <c r="AX41" s="13">
        <v>1373</v>
      </c>
      <c r="AY41" s="13">
        <v>973</v>
      </c>
      <c r="AZ41" s="13">
        <v>0</v>
      </c>
      <c r="BD41" s="21">
        <v>37</v>
      </c>
      <c r="BE41" s="77" t="s">
        <v>152</v>
      </c>
      <c r="BF41" s="77" t="s">
        <v>40</v>
      </c>
      <c r="BG41" s="77" t="s">
        <v>39</v>
      </c>
      <c r="BH41" s="77" t="s">
        <v>75</v>
      </c>
      <c r="BI41" s="77" t="s">
        <v>39</v>
      </c>
      <c r="BJ41" s="77" t="s">
        <v>37</v>
      </c>
      <c r="BK41" s="37" t="s">
        <v>152</v>
      </c>
      <c r="BM41" s="76">
        <f t="shared" si="37"/>
        <v>7</v>
      </c>
      <c r="BN41" s="76">
        <f t="shared" si="38"/>
        <v>12</v>
      </c>
      <c r="BO41" s="76">
        <f t="shared" si="39"/>
        <v>11</v>
      </c>
      <c r="BP41" s="76">
        <f t="shared" si="40"/>
        <v>6</v>
      </c>
      <c r="BQ41" s="76">
        <f t="shared" si="41"/>
        <v>11</v>
      </c>
      <c r="BR41" s="76">
        <f t="shared" si="42"/>
        <v>9</v>
      </c>
      <c r="BS41" s="76">
        <f t="shared" si="43"/>
        <v>7</v>
      </c>
      <c r="BU41" s="25">
        <v>1</v>
      </c>
      <c r="BV41" s="25">
        <v>1</v>
      </c>
      <c r="BW41" s="25">
        <v>1</v>
      </c>
      <c r="BX41" s="25">
        <v>1</v>
      </c>
      <c r="BY41" s="25">
        <v>1</v>
      </c>
      <c r="BZ41" s="25">
        <v>1</v>
      </c>
      <c r="CA41" s="7">
        <v>1</v>
      </c>
      <c r="CC41" s="53" t="s">
        <v>151</v>
      </c>
      <c r="CD41" s="54">
        <v>40</v>
      </c>
      <c r="CE41" s="55">
        <v>15</v>
      </c>
      <c r="CF41" s="55">
        <v>40</v>
      </c>
      <c r="CG41" s="55">
        <v>10</v>
      </c>
      <c r="CH41" s="55">
        <v>5</v>
      </c>
      <c r="CI41" s="55">
        <v>40</v>
      </c>
      <c r="CJ41" s="56">
        <v>1</v>
      </c>
      <c r="CK41" s="57">
        <v>7</v>
      </c>
      <c r="CM41" s="7" t="s">
        <v>107</v>
      </c>
      <c r="CN41" s="13">
        <v>0</v>
      </c>
      <c r="CO41" s="13">
        <v>910</v>
      </c>
      <c r="CP41" s="13">
        <v>610</v>
      </c>
      <c r="CQ41" s="13">
        <v>1373</v>
      </c>
      <c r="CR41" s="13">
        <v>973</v>
      </c>
      <c r="CS41" s="13">
        <v>0</v>
      </c>
      <c r="CW41" s="21">
        <v>37</v>
      </c>
      <c r="CX41" s="77" t="s">
        <v>152</v>
      </c>
      <c r="CY41" s="77" t="s">
        <v>40</v>
      </c>
      <c r="CZ41" s="77" t="s">
        <v>39</v>
      </c>
      <c r="DA41" s="77" t="s">
        <v>75</v>
      </c>
      <c r="DB41" s="77" t="s">
        <v>39</v>
      </c>
      <c r="DC41" s="77" t="s">
        <v>37</v>
      </c>
      <c r="DD41" s="37" t="s">
        <v>152</v>
      </c>
      <c r="DF41" s="76">
        <f t="shared" si="45"/>
        <v>7</v>
      </c>
      <c r="DG41" s="76">
        <f t="shared" si="10"/>
        <v>12</v>
      </c>
      <c r="DH41" s="76">
        <f t="shared" si="11"/>
        <v>11</v>
      </c>
      <c r="DI41" s="76">
        <f t="shared" si="12"/>
        <v>6</v>
      </c>
      <c r="DJ41" s="76">
        <f t="shared" si="13"/>
        <v>11</v>
      </c>
      <c r="DK41" s="76">
        <f t="shared" si="14"/>
        <v>9</v>
      </c>
      <c r="DL41" s="76">
        <f t="shared" si="15"/>
        <v>7</v>
      </c>
      <c r="DN41" s="25">
        <v>1</v>
      </c>
      <c r="DO41" s="25">
        <v>1</v>
      </c>
      <c r="DP41" s="25">
        <v>1</v>
      </c>
      <c r="DQ41" s="25">
        <v>1</v>
      </c>
      <c r="DR41" s="25">
        <v>1</v>
      </c>
      <c r="DS41" s="25">
        <v>1</v>
      </c>
      <c r="DT41" s="7">
        <v>1</v>
      </c>
      <c r="DV41" s="53" t="s">
        <v>151</v>
      </c>
      <c r="DW41" s="54">
        <v>40</v>
      </c>
      <c r="DX41" s="55">
        <v>15</v>
      </c>
      <c r="DY41" s="55">
        <v>40</v>
      </c>
      <c r="DZ41" s="55">
        <v>10</v>
      </c>
      <c r="EA41" s="55">
        <v>5</v>
      </c>
      <c r="EB41" s="55">
        <v>40</v>
      </c>
      <c r="EC41" s="56">
        <v>1</v>
      </c>
      <c r="ED41" s="57">
        <v>7</v>
      </c>
    </row>
    <row r="42" spans="1:134" ht="16.5" customHeight="1" x14ac:dyDescent="0.3">
      <c r="A42" s="7" t="s">
        <v>108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K42" s="22">
        <v>38</v>
      </c>
      <c r="L42" s="77" t="s">
        <v>152</v>
      </c>
      <c r="M42" s="77" t="s">
        <v>40</v>
      </c>
      <c r="N42" s="77" t="s">
        <v>35</v>
      </c>
      <c r="O42" s="77" t="s">
        <v>38</v>
      </c>
      <c r="P42" s="77" t="s">
        <v>32</v>
      </c>
      <c r="Q42" s="77" t="s">
        <v>25</v>
      </c>
      <c r="R42" s="37" t="s">
        <v>152</v>
      </c>
      <c r="T42" s="76">
        <f t="shared" si="23"/>
        <v>7</v>
      </c>
      <c r="U42" s="76">
        <f t="shared" si="24"/>
        <v>12</v>
      </c>
      <c r="V42" s="76">
        <f t="shared" si="25"/>
        <v>5</v>
      </c>
      <c r="W42" s="76">
        <f t="shared" si="26"/>
        <v>10</v>
      </c>
      <c r="X42" s="76">
        <f t="shared" si="27"/>
        <v>2</v>
      </c>
      <c r="Y42" s="76">
        <f t="shared" si="28"/>
        <v>8</v>
      </c>
      <c r="Z42" s="76">
        <f t="shared" si="29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53" t="s">
        <v>24</v>
      </c>
      <c r="AK42" s="54">
        <v>40</v>
      </c>
      <c r="AL42" s="55">
        <v>15</v>
      </c>
      <c r="AM42" s="55">
        <v>40</v>
      </c>
      <c r="AN42" s="55">
        <v>10</v>
      </c>
      <c r="AO42" s="55">
        <v>10</v>
      </c>
      <c r="AP42" s="55">
        <v>5</v>
      </c>
      <c r="AQ42" s="56">
        <v>1</v>
      </c>
      <c r="AR42" s="57">
        <v>7</v>
      </c>
      <c r="AT42" s="7" t="s">
        <v>108</v>
      </c>
      <c r="AU42" s="13">
        <v>0</v>
      </c>
      <c r="AV42" s="13">
        <v>910</v>
      </c>
      <c r="AW42" s="13">
        <v>610</v>
      </c>
      <c r="AX42" s="13">
        <v>1373</v>
      </c>
      <c r="AY42" s="13">
        <v>973</v>
      </c>
      <c r="AZ42" s="13">
        <v>0</v>
      </c>
      <c r="BD42" s="22">
        <v>38</v>
      </c>
      <c r="BE42" s="77" t="s">
        <v>152</v>
      </c>
      <c r="BF42" s="77" t="s">
        <v>40</v>
      </c>
      <c r="BG42" s="77" t="s">
        <v>35</v>
      </c>
      <c r="BH42" s="77" t="s">
        <v>38</v>
      </c>
      <c r="BI42" s="77" t="s">
        <v>39</v>
      </c>
      <c r="BJ42" s="77" t="s">
        <v>25</v>
      </c>
      <c r="BK42" s="37" t="s">
        <v>152</v>
      </c>
      <c r="BM42" s="76">
        <f t="shared" si="37"/>
        <v>7</v>
      </c>
      <c r="BN42" s="76">
        <f t="shared" si="38"/>
        <v>12</v>
      </c>
      <c r="BO42" s="76">
        <f t="shared" si="39"/>
        <v>5</v>
      </c>
      <c r="BP42" s="76">
        <f t="shared" si="40"/>
        <v>10</v>
      </c>
      <c r="BQ42" s="76">
        <f t="shared" si="41"/>
        <v>11</v>
      </c>
      <c r="BR42" s="76">
        <f t="shared" si="42"/>
        <v>8</v>
      </c>
      <c r="BS42" s="76">
        <f t="shared" si="43"/>
        <v>7</v>
      </c>
      <c r="BU42" s="25">
        <v>1</v>
      </c>
      <c r="BV42" s="25">
        <v>1</v>
      </c>
      <c r="BW42" s="25">
        <v>1</v>
      </c>
      <c r="BX42" s="25">
        <v>1</v>
      </c>
      <c r="BY42" s="25">
        <v>1</v>
      </c>
      <c r="BZ42" s="25">
        <v>1</v>
      </c>
      <c r="CA42" s="7">
        <v>1</v>
      </c>
      <c r="CC42" s="53" t="s">
        <v>24</v>
      </c>
      <c r="CD42" s="54">
        <v>40</v>
      </c>
      <c r="CE42" s="55">
        <v>15</v>
      </c>
      <c r="CF42" s="55">
        <v>40</v>
      </c>
      <c r="CG42" s="55">
        <v>10</v>
      </c>
      <c r="CH42" s="55">
        <v>10</v>
      </c>
      <c r="CI42" s="55">
        <v>5</v>
      </c>
      <c r="CJ42" s="56">
        <v>1</v>
      </c>
      <c r="CK42" s="57">
        <v>7</v>
      </c>
      <c r="CM42" s="7" t="s">
        <v>108</v>
      </c>
      <c r="CN42" s="13">
        <v>0</v>
      </c>
      <c r="CO42" s="13">
        <v>910</v>
      </c>
      <c r="CP42" s="13">
        <v>610</v>
      </c>
      <c r="CQ42" s="13">
        <v>1373</v>
      </c>
      <c r="CR42" s="13">
        <v>973</v>
      </c>
      <c r="CS42" s="13">
        <v>0</v>
      </c>
      <c r="CW42" s="22">
        <v>38</v>
      </c>
      <c r="CX42" s="77" t="s">
        <v>152</v>
      </c>
      <c r="CY42" s="77" t="s">
        <v>40</v>
      </c>
      <c r="CZ42" s="77" t="s">
        <v>35</v>
      </c>
      <c r="DA42" s="77" t="s">
        <v>38</v>
      </c>
      <c r="DB42" s="77" t="s">
        <v>39</v>
      </c>
      <c r="DC42" s="77" t="s">
        <v>25</v>
      </c>
      <c r="DD42" s="37" t="s">
        <v>152</v>
      </c>
      <c r="DF42" s="76">
        <f t="shared" si="45"/>
        <v>7</v>
      </c>
      <c r="DG42" s="76">
        <f t="shared" si="10"/>
        <v>12</v>
      </c>
      <c r="DH42" s="76">
        <f t="shared" si="11"/>
        <v>5</v>
      </c>
      <c r="DI42" s="76">
        <f t="shared" si="12"/>
        <v>10</v>
      </c>
      <c r="DJ42" s="76">
        <f t="shared" si="13"/>
        <v>11</v>
      </c>
      <c r="DK42" s="76">
        <f t="shared" si="14"/>
        <v>8</v>
      </c>
      <c r="DL42" s="76">
        <f t="shared" si="15"/>
        <v>7</v>
      </c>
      <c r="DN42" s="25">
        <v>1</v>
      </c>
      <c r="DO42" s="25">
        <v>1</v>
      </c>
      <c r="DP42" s="25">
        <v>1</v>
      </c>
      <c r="DQ42" s="25">
        <v>1</v>
      </c>
      <c r="DR42" s="25">
        <v>1</v>
      </c>
      <c r="DS42" s="25">
        <v>1</v>
      </c>
      <c r="DT42" s="7">
        <v>1</v>
      </c>
      <c r="DV42" s="53" t="s">
        <v>24</v>
      </c>
      <c r="DW42" s="54">
        <v>40</v>
      </c>
      <c r="DX42" s="55">
        <v>15</v>
      </c>
      <c r="DY42" s="55">
        <v>40</v>
      </c>
      <c r="DZ42" s="55">
        <v>10</v>
      </c>
      <c r="EA42" s="55">
        <v>10</v>
      </c>
      <c r="EB42" s="55">
        <v>5</v>
      </c>
      <c r="EC42" s="56">
        <v>1</v>
      </c>
      <c r="ED42" s="57">
        <v>7</v>
      </c>
    </row>
    <row r="43" spans="1:134" ht="16.5" customHeight="1" x14ac:dyDescent="0.3">
      <c r="A43" s="7" t="s">
        <v>109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K43" s="21">
        <v>39</v>
      </c>
      <c r="L43" s="77" t="s">
        <v>39</v>
      </c>
      <c r="M43" s="77" t="s">
        <v>181</v>
      </c>
      <c r="N43" s="77" t="s">
        <v>40</v>
      </c>
      <c r="O43" s="77" t="s">
        <v>75</v>
      </c>
      <c r="P43" s="77" t="s">
        <v>35</v>
      </c>
      <c r="Q43" s="77" t="s">
        <v>25</v>
      </c>
      <c r="R43" s="37" t="s">
        <v>152</v>
      </c>
      <c r="T43" s="76">
        <f t="shared" si="23"/>
        <v>11</v>
      </c>
      <c r="U43" s="76">
        <f t="shared" si="24"/>
        <v>19</v>
      </c>
      <c r="V43" s="76">
        <f t="shared" si="25"/>
        <v>12</v>
      </c>
      <c r="W43" s="76">
        <f t="shared" si="26"/>
        <v>6</v>
      </c>
      <c r="X43" s="76">
        <f t="shared" si="27"/>
        <v>5</v>
      </c>
      <c r="Y43" s="76">
        <f t="shared" si="28"/>
        <v>8</v>
      </c>
      <c r="Z43" s="76">
        <f t="shared" si="29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53" t="s">
        <v>26</v>
      </c>
      <c r="AK43" s="54">
        <v>15</v>
      </c>
      <c r="AL43" s="55">
        <v>40</v>
      </c>
      <c r="AM43" s="55">
        <v>20</v>
      </c>
      <c r="AN43" s="55">
        <v>40</v>
      </c>
      <c r="AO43" s="55">
        <v>40</v>
      </c>
      <c r="AP43" s="55">
        <v>40</v>
      </c>
      <c r="AQ43" s="56">
        <v>1</v>
      </c>
      <c r="AR43" s="57">
        <v>8</v>
      </c>
      <c r="AT43" s="7" t="s">
        <v>109</v>
      </c>
      <c r="AU43" s="13">
        <v>0</v>
      </c>
      <c r="AV43" s="13">
        <v>747</v>
      </c>
      <c r="AW43" s="13">
        <v>1092</v>
      </c>
      <c r="AX43" s="13">
        <v>780</v>
      </c>
      <c r="AY43" s="13">
        <v>520</v>
      </c>
      <c r="AZ43" s="13">
        <v>0</v>
      </c>
      <c r="BD43" s="21">
        <v>39</v>
      </c>
      <c r="BE43" s="77" t="s">
        <v>39</v>
      </c>
      <c r="BF43" s="77" t="s">
        <v>181</v>
      </c>
      <c r="BG43" s="77" t="s">
        <v>40</v>
      </c>
      <c r="BH43" s="77" t="s">
        <v>75</v>
      </c>
      <c r="BI43" s="77" t="s">
        <v>35</v>
      </c>
      <c r="BJ43" s="77" t="s">
        <v>25</v>
      </c>
      <c r="BK43" s="37" t="s">
        <v>152</v>
      </c>
      <c r="BM43" s="76">
        <f t="shared" si="37"/>
        <v>11</v>
      </c>
      <c r="BN43" s="76">
        <f t="shared" si="38"/>
        <v>19</v>
      </c>
      <c r="BO43" s="76">
        <f t="shared" si="39"/>
        <v>12</v>
      </c>
      <c r="BP43" s="76">
        <f t="shared" si="40"/>
        <v>6</v>
      </c>
      <c r="BQ43" s="76">
        <f t="shared" si="41"/>
        <v>5</v>
      </c>
      <c r="BR43" s="76">
        <f t="shared" si="42"/>
        <v>8</v>
      </c>
      <c r="BS43" s="76">
        <f t="shared" si="43"/>
        <v>7</v>
      </c>
      <c r="BU43" s="25">
        <v>1</v>
      </c>
      <c r="BV43" s="25">
        <v>1</v>
      </c>
      <c r="BW43" s="25">
        <v>1</v>
      </c>
      <c r="BX43" s="25">
        <v>1</v>
      </c>
      <c r="BY43" s="25">
        <v>1</v>
      </c>
      <c r="BZ43" s="25">
        <v>1</v>
      </c>
      <c r="CA43" s="7">
        <v>1</v>
      </c>
      <c r="CC43" s="53" t="s">
        <v>26</v>
      </c>
      <c r="CD43" s="54">
        <v>15</v>
      </c>
      <c r="CE43" s="55">
        <v>40</v>
      </c>
      <c r="CF43" s="55">
        <v>20</v>
      </c>
      <c r="CG43" s="55">
        <v>40</v>
      </c>
      <c r="CH43" s="55">
        <v>40</v>
      </c>
      <c r="CI43" s="55">
        <v>40</v>
      </c>
      <c r="CJ43" s="56">
        <v>1</v>
      </c>
      <c r="CK43" s="57">
        <v>8</v>
      </c>
      <c r="CM43" s="7" t="s">
        <v>109</v>
      </c>
      <c r="CN43" s="13">
        <v>0</v>
      </c>
      <c r="CO43" s="13">
        <v>747</v>
      </c>
      <c r="CP43" s="13">
        <v>1092</v>
      </c>
      <c r="CQ43" s="13">
        <v>780</v>
      </c>
      <c r="CR43" s="13">
        <v>520</v>
      </c>
      <c r="CS43" s="13">
        <v>0</v>
      </c>
      <c r="CW43" s="21">
        <v>39</v>
      </c>
      <c r="CX43" s="77" t="s">
        <v>39</v>
      </c>
      <c r="CY43" s="77" t="s">
        <v>181</v>
      </c>
      <c r="CZ43" s="77" t="s">
        <v>40</v>
      </c>
      <c r="DA43" s="77" t="s">
        <v>75</v>
      </c>
      <c r="DB43" s="77" t="s">
        <v>35</v>
      </c>
      <c r="DC43" s="77" t="s">
        <v>25</v>
      </c>
      <c r="DD43" s="37" t="s">
        <v>152</v>
      </c>
      <c r="DF43" s="76">
        <f t="shared" si="45"/>
        <v>11</v>
      </c>
      <c r="DG43" s="76">
        <f t="shared" si="10"/>
        <v>19</v>
      </c>
      <c r="DH43" s="76">
        <f t="shared" si="11"/>
        <v>12</v>
      </c>
      <c r="DI43" s="76">
        <f t="shared" si="12"/>
        <v>6</v>
      </c>
      <c r="DJ43" s="76">
        <f t="shared" si="13"/>
        <v>5</v>
      </c>
      <c r="DK43" s="76">
        <f t="shared" si="14"/>
        <v>8</v>
      </c>
      <c r="DL43" s="76">
        <f t="shared" si="15"/>
        <v>7</v>
      </c>
      <c r="DN43" s="25">
        <v>1</v>
      </c>
      <c r="DO43" s="25">
        <v>1</v>
      </c>
      <c r="DP43" s="25">
        <v>1</v>
      </c>
      <c r="DQ43" s="25">
        <v>1</v>
      </c>
      <c r="DR43" s="25">
        <v>1</v>
      </c>
      <c r="DS43" s="25">
        <v>1</v>
      </c>
      <c r="DT43" s="7">
        <v>1</v>
      </c>
      <c r="DV43" s="53" t="s">
        <v>26</v>
      </c>
      <c r="DW43" s="54">
        <v>15</v>
      </c>
      <c r="DX43" s="55">
        <v>40</v>
      </c>
      <c r="DY43" s="55">
        <v>20</v>
      </c>
      <c r="DZ43" s="55">
        <v>40</v>
      </c>
      <c r="EA43" s="55">
        <v>40</v>
      </c>
      <c r="EB43" s="55">
        <v>40</v>
      </c>
      <c r="EC43" s="56">
        <v>1</v>
      </c>
      <c r="ED43" s="57">
        <v>8</v>
      </c>
    </row>
    <row r="44" spans="1:134" ht="16.5" customHeight="1" x14ac:dyDescent="0.3">
      <c r="A44" s="7" t="s">
        <v>110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K44" s="22">
        <v>40</v>
      </c>
      <c r="L44" s="77" t="s">
        <v>40</v>
      </c>
      <c r="M44" s="77" t="s">
        <v>25</v>
      </c>
      <c r="N44" s="77" t="s">
        <v>39</v>
      </c>
      <c r="O44" s="77" t="s">
        <v>40</v>
      </c>
      <c r="P44" s="77" t="s">
        <v>35</v>
      </c>
      <c r="Q44" s="77" t="s">
        <v>38</v>
      </c>
      <c r="R44" s="37" t="s">
        <v>75</v>
      </c>
      <c r="T44" s="76">
        <f t="shared" si="23"/>
        <v>12</v>
      </c>
      <c r="U44" s="76">
        <f t="shared" si="24"/>
        <v>8</v>
      </c>
      <c r="V44" s="76">
        <f t="shared" si="25"/>
        <v>11</v>
      </c>
      <c r="W44" s="76">
        <f t="shared" si="26"/>
        <v>12</v>
      </c>
      <c r="X44" s="76">
        <f t="shared" si="27"/>
        <v>5</v>
      </c>
      <c r="Y44" s="76">
        <f t="shared" si="28"/>
        <v>10</v>
      </c>
      <c r="Z44" s="76">
        <f t="shared" si="29"/>
        <v>6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3</v>
      </c>
      <c r="AJ44" s="53" t="s">
        <v>27</v>
      </c>
      <c r="AK44" s="54">
        <v>40</v>
      </c>
      <c r="AL44" s="55">
        <v>15</v>
      </c>
      <c r="AM44" s="55">
        <v>40</v>
      </c>
      <c r="AN44" s="55">
        <v>10</v>
      </c>
      <c r="AO44" s="55">
        <v>5</v>
      </c>
      <c r="AP44" s="55">
        <v>5</v>
      </c>
      <c r="AQ44" s="56">
        <v>1</v>
      </c>
      <c r="AR44" s="57">
        <v>9</v>
      </c>
      <c r="AT44" s="7" t="s">
        <v>110</v>
      </c>
      <c r="AU44" s="13">
        <v>0</v>
      </c>
      <c r="AV44" s="13">
        <v>747</v>
      </c>
      <c r="AW44" s="13">
        <v>1092</v>
      </c>
      <c r="AX44" s="13">
        <v>780</v>
      </c>
      <c r="AY44" s="13">
        <v>520</v>
      </c>
      <c r="AZ44" s="13">
        <v>0</v>
      </c>
      <c r="BD44" s="22">
        <v>40</v>
      </c>
      <c r="BE44" s="77" t="s">
        <v>40</v>
      </c>
      <c r="BF44" s="77" t="s">
        <v>25</v>
      </c>
      <c r="BG44" s="77" t="s">
        <v>39</v>
      </c>
      <c r="BH44" s="77" t="s">
        <v>40</v>
      </c>
      <c r="BI44" s="77" t="s">
        <v>35</v>
      </c>
      <c r="BJ44" s="77" t="s">
        <v>38</v>
      </c>
      <c r="BK44" s="37" t="s">
        <v>75</v>
      </c>
      <c r="BM44" s="76">
        <f t="shared" si="37"/>
        <v>12</v>
      </c>
      <c r="BN44" s="76">
        <f t="shared" si="38"/>
        <v>8</v>
      </c>
      <c r="BO44" s="76">
        <f t="shared" si="39"/>
        <v>11</v>
      </c>
      <c r="BP44" s="76">
        <f t="shared" si="40"/>
        <v>12</v>
      </c>
      <c r="BQ44" s="76">
        <f t="shared" si="41"/>
        <v>5</v>
      </c>
      <c r="BR44" s="76">
        <f t="shared" si="42"/>
        <v>10</v>
      </c>
      <c r="BS44" s="76">
        <f t="shared" si="43"/>
        <v>6</v>
      </c>
      <c r="BU44" s="25">
        <v>1</v>
      </c>
      <c r="BV44" s="25">
        <v>1</v>
      </c>
      <c r="BW44" s="25">
        <v>1</v>
      </c>
      <c r="BX44" s="25">
        <v>1</v>
      </c>
      <c r="BY44" s="25">
        <v>1</v>
      </c>
      <c r="BZ44" s="25">
        <v>1</v>
      </c>
      <c r="CA44" s="7">
        <v>1</v>
      </c>
      <c r="CC44" s="53" t="s">
        <v>27</v>
      </c>
      <c r="CD44" s="54">
        <v>40</v>
      </c>
      <c r="CE44" s="55">
        <v>15</v>
      </c>
      <c r="CF44" s="55">
        <v>40</v>
      </c>
      <c r="CG44" s="55">
        <v>10</v>
      </c>
      <c r="CH44" s="55">
        <v>5</v>
      </c>
      <c r="CI44" s="55">
        <v>5</v>
      </c>
      <c r="CJ44" s="56">
        <v>1</v>
      </c>
      <c r="CK44" s="57">
        <v>9</v>
      </c>
      <c r="CM44" s="7" t="s">
        <v>110</v>
      </c>
      <c r="CN44" s="13">
        <v>0</v>
      </c>
      <c r="CO44" s="13">
        <v>747</v>
      </c>
      <c r="CP44" s="13">
        <v>1092</v>
      </c>
      <c r="CQ44" s="13">
        <v>780</v>
      </c>
      <c r="CR44" s="13">
        <v>520</v>
      </c>
      <c r="CS44" s="13">
        <v>0</v>
      </c>
      <c r="CW44" s="22">
        <v>40</v>
      </c>
      <c r="CX44" s="77" t="s">
        <v>40</v>
      </c>
      <c r="CY44" s="77" t="s">
        <v>25</v>
      </c>
      <c r="CZ44" s="77" t="s">
        <v>39</v>
      </c>
      <c r="DA44" s="77" t="s">
        <v>40</v>
      </c>
      <c r="DB44" s="77" t="s">
        <v>35</v>
      </c>
      <c r="DC44" s="77" t="s">
        <v>38</v>
      </c>
      <c r="DD44" s="37" t="s">
        <v>75</v>
      </c>
      <c r="DF44" s="76">
        <f t="shared" si="45"/>
        <v>12</v>
      </c>
      <c r="DG44" s="76">
        <f t="shared" si="10"/>
        <v>8</v>
      </c>
      <c r="DH44" s="76">
        <f t="shared" si="11"/>
        <v>11</v>
      </c>
      <c r="DI44" s="76">
        <f t="shared" si="12"/>
        <v>12</v>
      </c>
      <c r="DJ44" s="76">
        <f t="shared" si="13"/>
        <v>5</v>
      </c>
      <c r="DK44" s="76">
        <f t="shared" si="14"/>
        <v>10</v>
      </c>
      <c r="DL44" s="76">
        <f t="shared" si="15"/>
        <v>6</v>
      </c>
      <c r="DN44" s="25">
        <v>1</v>
      </c>
      <c r="DO44" s="25">
        <v>1</v>
      </c>
      <c r="DP44" s="25">
        <v>1</v>
      </c>
      <c r="DQ44" s="25">
        <v>1</v>
      </c>
      <c r="DR44" s="25">
        <v>1</v>
      </c>
      <c r="DS44" s="25">
        <v>1</v>
      </c>
      <c r="DT44" s="7">
        <v>1</v>
      </c>
      <c r="DV44" s="53" t="s">
        <v>27</v>
      </c>
      <c r="DW44" s="54">
        <v>40</v>
      </c>
      <c r="DX44" s="55">
        <v>15</v>
      </c>
      <c r="DY44" s="55">
        <v>40</v>
      </c>
      <c r="DZ44" s="55">
        <v>10</v>
      </c>
      <c r="EA44" s="55">
        <v>5</v>
      </c>
      <c r="EB44" s="55">
        <v>5</v>
      </c>
      <c r="EC44" s="56">
        <v>1</v>
      </c>
      <c r="ED44" s="57">
        <v>9</v>
      </c>
    </row>
    <row r="45" spans="1:134" ht="16.5" customHeight="1" x14ac:dyDescent="0.3">
      <c r="A45" s="7" t="s">
        <v>111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K45" s="21">
        <v>41</v>
      </c>
      <c r="L45" s="77" t="s">
        <v>35</v>
      </c>
      <c r="M45" s="77" t="s">
        <v>25</v>
      </c>
      <c r="N45" s="77" t="s">
        <v>39</v>
      </c>
      <c r="O45" s="77" t="s">
        <v>40</v>
      </c>
      <c r="P45" s="77" t="s">
        <v>75</v>
      </c>
      <c r="Q45" s="77" t="s">
        <v>38</v>
      </c>
      <c r="R45" s="37" t="s">
        <v>75</v>
      </c>
      <c r="T45" s="76">
        <f t="shared" si="23"/>
        <v>5</v>
      </c>
      <c r="U45" s="76">
        <f t="shared" si="24"/>
        <v>8</v>
      </c>
      <c r="V45" s="76">
        <f t="shared" si="25"/>
        <v>11</v>
      </c>
      <c r="W45" s="76">
        <f t="shared" si="26"/>
        <v>12</v>
      </c>
      <c r="X45" s="76">
        <f t="shared" si="27"/>
        <v>6</v>
      </c>
      <c r="Y45" s="76">
        <f t="shared" si="28"/>
        <v>10</v>
      </c>
      <c r="Z45" s="76">
        <f t="shared" si="29"/>
        <v>6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53" t="s">
        <v>28</v>
      </c>
      <c r="AK45" s="54">
        <v>15</v>
      </c>
      <c r="AL45" s="55">
        <v>40</v>
      </c>
      <c r="AM45" s="55">
        <v>35</v>
      </c>
      <c r="AN45" s="55">
        <v>10</v>
      </c>
      <c r="AO45" s="55">
        <v>5</v>
      </c>
      <c r="AP45" s="55">
        <v>5</v>
      </c>
      <c r="AQ45" s="56">
        <v>1</v>
      </c>
      <c r="AR45" s="57">
        <v>10</v>
      </c>
      <c r="AT45" s="7" t="s">
        <v>111</v>
      </c>
      <c r="AU45" s="13">
        <v>0</v>
      </c>
      <c r="AV45" s="13">
        <v>747</v>
      </c>
      <c r="AW45" s="13">
        <v>1092</v>
      </c>
      <c r="AX45" s="13">
        <v>780</v>
      </c>
      <c r="AY45" s="13">
        <v>520</v>
      </c>
      <c r="AZ45" s="13">
        <v>0</v>
      </c>
      <c r="BD45" s="21">
        <v>41</v>
      </c>
      <c r="BE45" s="77" t="s">
        <v>35</v>
      </c>
      <c r="BF45" s="77" t="s">
        <v>25</v>
      </c>
      <c r="BG45" s="77" t="s">
        <v>39</v>
      </c>
      <c r="BH45" s="77" t="s">
        <v>40</v>
      </c>
      <c r="BI45" s="77" t="s">
        <v>75</v>
      </c>
      <c r="BJ45" s="77" t="s">
        <v>38</v>
      </c>
      <c r="BK45" s="37" t="s">
        <v>75</v>
      </c>
      <c r="BM45" s="76">
        <f t="shared" si="37"/>
        <v>5</v>
      </c>
      <c r="BN45" s="76">
        <f t="shared" si="38"/>
        <v>8</v>
      </c>
      <c r="BO45" s="76">
        <f t="shared" si="39"/>
        <v>11</v>
      </c>
      <c r="BP45" s="76">
        <f t="shared" si="40"/>
        <v>12</v>
      </c>
      <c r="BQ45" s="76">
        <f t="shared" si="41"/>
        <v>6</v>
      </c>
      <c r="BR45" s="76">
        <f t="shared" si="42"/>
        <v>10</v>
      </c>
      <c r="BS45" s="76">
        <f t="shared" si="43"/>
        <v>6</v>
      </c>
      <c r="BU45" s="25">
        <v>1</v>
      </c>
      <c r="BV45" s="25">
        <v>1</v>
      </c>
      <c r="BW45" s="25">
        <v>1</v>
      </c>
      <c r="BX45" s="25">
        <v>1</v>
      </c>
      <c r="BY45" s="25">
        <v>1</v>
      </c>
      <c r="BZ45" s="25">
        <v>1</v>
      </c>
      <c r="CA45" s="7">
        <v>1</v>
      </c>
      <c r="CC45" s="53" t="s">
        <v>28</v>
      </c>
      <c r="CD45" s="54">
        <v>15</v>
      </c>
      <c r="CE45" s="55">
        <v>40</v>
      </c>
      <c r="CF45" s="55">
        <v>35</v>
      </c>
      <c r="CG45" s="55">
        <v>10</v>
      </c>
      <c r="CH45" s="55">
        <v>5</v>
      </c>
      <c r="CI45" s="55">
        <v>5</v>
      </c>
      <c r="CJ45" s="56">
        <v>1</v>
      </c>
      <c r="CK45" s="57">
        <v>10</v>
      </c>
      <c r="CM45" s="7" t="s">
        <v>111</v>
      </c>
      <c r="CN45" s="13">
        <v>0</v>
      </c>
      <c r="CO45" s="13">
        <v>747</v>
      </c>
      <c r="CP45" s="13">
        <v>1092</v>
      </c>
      <c r="CQ45" s="13">
        <v>780</v>
      </c>
      <c r="CR45" s="13">
        <v>520</v>
      </c>
      <c r="CS45" s="13">
        <v>0</v>
      </c>
      <c r="CW45" s="21">
        <v>41</v>
      </c>
      <c r="CX45" s="77" t="s">
        <v>35</v>
      </c>
      <c r="CY45" s="77" t="s">
        <v>25</v>
      </c>
      <c r="CZ45" s="77" t="s">
        <v>39</v>
      </c>
      <c r="DA45" s="77" t="s">
        <v>40</v>
      </c>
      <c r="DB45" s="77" t="s">
        <v>75</v>
      </c>
      <c r="DC45" s="77" t="s">
        <v>38</v>
      </c>
      <c r="DD45" s="37" t="s">
        <v>75</v>
      </c>
      <c r="DF45" s="76">
        <f t="shared" si="45"/>
        <v>5</v>
      </c>
      <c r="DG45" s="76">
        <f t="shared" si="10"/>
        <v>8</v>
      </c>
      <c r="DH45" s="76">
        <f t="shared" si="11"/>
        <v>11</v>
      </c>
      <c r="DI45" s="76">
        <f t="shared" si="12"/>
        <v>12</v>
      </c>
      <c r="DJ45" s="76">
        <f t="shared" si="13"/>
        <v>6</v>
      </c>
      <c r="DK45" s="76">
        <f t="shared" si="14"/>
        <v>10</v>
      </c>
      <c r="DL45" s="76">
        <f t="shared" si="15"/>
        <v>6</v>
      </c>
      <c r="DN45" s="25">
        <v>1</v>
      </c>
      <c r="DO45" s="25">
        <v>1</v>
      </c>
      <c r="DP45" s="25">
        <v>1</v>
      </c>
      <c r="DQ45" s="25">
        <v>1</v>
      </c>
      <c r="DR45" s="25">
        <v>1</v>
      </c>
      <c r="DS45" s="25">
        <v>1</v>
      </c>
      <c r="DT45" s="7">
        <v>1</v>
      </c>
      <c r="DV45" s="53" t="s">
        <v>28</v>
      </c>
      <c r="DW45" s="54">
        <v>15</v>
      </c>
      <c r="DX45" s="55">
        <v>40</v>
      </c>
      <c r="DY45" s="55">
        <v>35</v>
      </c>
      <c r="DZ45" s="55">
        <v>10</v>
      </c>
      <c r="EA45" s="55">
        <v>5</v>
      </c>
      <c r="EB45" s="55">
        <v>5</v>
      </c>
      <c r="EC45" s="56">
        <v>1</v>
      </c>
      <c r="ED45" s="57">
        <v>10</v>
      </c>
    </row>
    <row r="46" spans="1:134" ht="16.5" customHeight="1" x14ac:dyDescent="0.3">
      <c r="A46" s="7" t="s">
        <v>112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K46" s="22">
        <v>42</v>
      </c>
      <c r="L46" s="77" t="s">
        <v>38</v>
      </c>
      <c r="M46" s="77" t="s">
        <v>33</v>
      </c>
      <c r="N46" s="77" t="s">
        <v>163</v>
      </c>
      <c r="O46" s="77" t="s">
        <v>40</v>
      </c>
      <c r="P46" s="77" t="s">
        <v>33</v>
      </c>
      <c r="Q46" s="77" t="s">
        <v>25</v>
      </c>
      <c r="R46" s="37" t="s">
        <v>75</v>
      </c>
      <c r="T46" s="76">
        <f t="shared" si="23"/>
        <v>10</v>
      </c>
      <c r="U46" s="76">
        <f t="shared" si="24"/>
        <v>3</v>
      </c>
      <c r="V46" s="76">
        <f t="shared" si="25"/>
        <v>18</v>
      </c>
      <c r="W46" s="76">
        <f t="shared" si="26"/>
        <v>12</v>
      </c>
      <c r="X46" s="76">
        <f t="shared" si="27"/>
        <v>3</v>
      </c>
      <c r="Y46" s="76">
        <f t="shared" si="28"/>
        <v>8</v>
      </c>
      <c r="Z46" s="76">
        <f t="shared" si="29"/>
        <v>6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53" t="s">
        <v>29</v>
      </c>
      <c r="AK46" s="54">
        <v>40</v>
      </c>
      <c r="AL46" s="55">
        <v>15</v>
      </c>
      <c r="AM46" s="55">
        <v>15</v>
      </c>
      <c r="AN46" s="55">
        <v>10</v>
      </c>
      <c r="AO46" s="55">
        <v>5</v>
      </c>
      <c r="AP46" s="55">
        <v>5</v>
      </c>
      <c r="AQ46" s="56">
        <v>1</v>
      </c>
      <c r="AR46" s="58">
        <v>11</v>
      </c>
      <c r="AT46" s="7" t="s">
        <v>112</v>
      </c>
      <c r="AU46" s="13">
        <v>0</v>
      </c>
      <c r="AV46" s="13">
        <v>747</v>
      </c>
      <c r="AW46" s="13">
        <v>1092</v>
      </c>
      <c r="AX46" s="13">
        <v>780</v>
      </c>
      <c r="AY46" s="13">
        <v>520</v>
      </c>
      <c r="AZ46" s="13">
        <v>0</v>
      </c>
      <c r="BD46" s="22">
        <v>42</v>
      </c>
      <c r="BE46" s="77" t="s">
        <v>38</v>
      </c>
      <c r="BF46" s="77" t="s">
        <v>33</v>
      </c>
      <c r="BG46" s="77" t="s">
        <v>163</v>
      </c>
      <c r="BH46" s="77" t="s">
        <v>40</v>
      </c>
      <c r="BI46" s="77" t="s">
        <v>33</v>
      </c>
      <c r="BJ46" s="77" t="s">
        <v>25</v>
      </c>
      <c r="BK46" s="37" t="s">
        <v>75</v>
      </c>
      <c r="BM46" s="76">
        <f t="shared" si="37"/>
        <v>10</v>
      </c>
      <c r="BN46" s="76">
        <f t="shared" si="38"/>
        <v>3</v>
      </c>
      <c r="BO46" s="76">
        <f t="shared" si="39"/>
        <v>18</v>
      </c>
      <c r="BP46" s="76">
        <f t="shared" si="40"/>
        <v>12</v>
      </c>
      <c r="BQ46" s="76">
        <f t="shared" si="41"/>
        <v>3</v>
      </c>
      <c r="BR46" s="76">
        <f t="shared" si="42"/>
        <v>8</v>
      </c>
      <c r="BS46" s="76">
        <f t="shared" si="43"/>
        <v>6</v>
      </c>
      <c r="BU46" s="25">
        <v>1</v>
      </c>
      <c r="BV46" s="25">
        <v>1</v>
      </c>
      <c r="BW46" s="25">
        <v>1</v>
      </c>
      <c r="BX46" s="25">
        <v>1</v>
      </c>
      <c r="BY46" s="25">
        <v>1</v>
      </c>
      <c r="BZ46" s="25">
        <v>1</v>
      </c>
      <c r="CA46" s="7">
        <v>1</v>
      </c>
      <c r="CC46" s="53" t="s">
        <v>29</v>
      </c>
      <c r="CD46" s="54">
        <v>40</v>
      </c>
      <c r="CE46" s="55">
        <v>15</v>
      </c>
      <c r="CF46" s="55">
        <v>15</v>
      </c>
      <c r="CG46" s="55">
        <v>10</v>
      </c>
      <c r="CH46" s="55">
        <v>5</v>
      </c>
      <c r="CI46" s="55">
        <v>5</v>
      </c>
      <c r="CJ46" s="56">
        <v>1</v>
      </c>
      <c r="CK46" s="58">
        <v>11</v>
      </c>
      <c r="CM46" s="7" t="s">
        <v>112</v>
      </c>
      <c r="CN46" s="13">
        <v>0</v>
      </c>
      <c r="CO46" s="13">
        <v>747</v>
      </c>
      <c r="CP46" s="13">
        <v>1092</v>
      </c>
      <c r="CQ46" s="13">
        <v>780</v>
      </c>
      <c r="CR46" s="13">
        <v>520</v>
      </c>
      <c r="CS46" s="13">
        <v>0</v>
      </c>
      <c r="CW46" s="22">
        <v>42</v>
      </c>
      <c r="CX46" s="77" t="s">
        <v>38</v>
      </c>
      <c r="CY46" s="77" t="s">
        <v>33</v>
      </c>
      <c r="CZ46" s="77" t="s">
        <v>163</v>
      </c>
      <c r="DA46" s="77" t="s">
        <v>40</v>
      </c>
      <c r="DB46" s="77" t="s">
        <v>33</v>
      </c>
      <c r="DC46" s="77" t="s">
        <v>25</v>
      </c>
      <c r="DD46" s="37" t="s">
        <v>75</v>
      </c>
      <c r="DF46" s="76">
        <f t="shared" si="45"/>
        <v>10</v>
      </c>
      <c r="DG46" s="76">
        <f t="shared" si="10"/>
        <v>3</v>
      </c>
      <c r="DH46" s="76">
        <f t="shared" si="11"/>
        <v>18</v>
      </c>
      <c r="DI46" s="76">
        <f t="shared" si="12"/>
        <v>12</v>
      </c>
      <c r="DJ46" s="76">
        <f t="shared" si="13"/>
        <v>3</v>
      </c>
      <c r="DK46" s="76">
        <f t="shared" si="14"/>
        <v>8</v>
      </c>
      <c r="DL46" s="76">
        <f t="shared" si="15"/>
        <v>6</v>
      </c>
      <c r="DN46" s="25">
        <v>1</v>
      </c>
      <c r="DO46" s="25">
        <v>1</v>
      </c>
      <c r="DP46" s="25">
        <v>1</v>
      </c>
      <c r="DQ46" s="25">
        <v>1</v>
      </c>
      <c r="DR46" s="25">
        <v>1</v>
      </c>
      <c r="DS46" s="25">
        <v>1</v>
      </c>
      <c r="DT46" s="7">
        <v>1</v>
      </c>
      <c r="DV46" s="53" t="s">
        <v>29</v>
      </c>
      <c r="DW46" s="54">
        <v>40</v>
      </c>
      <c r="DX46" s="55">
        <v>15</v>
      </c>
      <c r="DY46" s="55">
        <v>15</v>
      </c>
      <c r="DZ46" s="55">
        <v>10</v>
      </c>
      <c r="EA46" s="55">
        <v>5</v>
      </c>
      <c r="EB46" s="55">
        <v>5</v>
      </c>
      <c r="EC46" s="56">
        <v>1</v>
      </c>
      <c r="ED46" s="58">
        <v>11</v>
      </c>
    </row>
    <row r="47" spans="1:134" ht="16.5" customHeight="1" x14ac:dyDescent="0.3">
      <c r="A47" s="7" t="s">
        <v>113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K47" s="21">
        <v>43</v>
      </c>
      <c r="L47" s="77" t="s">
        <v>40</v>
      </c>
      <c r="M47" s="77" t="s">
        <v>33</v>
      </c>
      <c r="N47" s="77" t="s">
        <v>152</v>
      </c>
      <c r="O47" s="77" t="s">
        <v>38</v>
      </c>
      <c r="P47" s="77" t="s">
        <v>152</v>
      </c>
      <c r="Q47" s="77" t="s">
        <v>25</v>
      </c>
      <c r="R47" s="37" t="s">
        <v>33</v>
      </c>
      <c r="T47" s="76">
        <f t="shared" si="23"/>
        <v>12</v>
      </c>
      <c r="U47" s="76">
        <f t="shared" si="24"/>
        <v>3</v>
      </c>
      <c r="V47" s="76">
        <f t="shared" si="25"/>
        <v>7</v>
      </c>
      <c r="W47" s="76">
        <f t="shared" si="26"/>
        <v>10</v>
      </c>
      <c r="X47" s="76">
        <f t="shared" si="27"/>
        <v>7</v>
      </c>
      <c r="Y47" s="76">
        <f t="shared" si="28"/>
        <v>8</v>
      </c>
      <c r="Z47" s="76">
        <f t="shared" si="29"/>
        <v>3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3</v>
      </c>
      <c r="AJ47" s="53" t="s">
        <v>79</v>
      </c>
      <c r="AK47" s="54">
        <v>0</v>
      </c>
      <c r="AL47" s="55">
        <v>2</v>
      </c>
      <c r="AM47" s="55">
        <v>5</v>
      </c>
      <c r="AN47" s="55">
        <v>2</v>
      </c>
      <c r="AO47" s="55">
        <v>4</v>
      </c>
      <c r="AP47" s="55">
        <v>0</v>
      </c>
      <c r="AQ47" s="56">
        <v>0</v>
      </c>
      <c r="AR47" s="57">
        <v>12</v>
      </c>
      <c r="AT47" s="7" t="s">
        <v>113</v>
      </c>
      <c r="AU47" s="13">
        <v>1</v>
      </c>
      <c r="AV47" s="13">
        <v>1340</v>
      </c>
      <c r="AW47" s="13">
        <v>2410</v>
      </c>
      <c r="AX47" s="13">
        <v>470</v>
      </c>
      <c r="AY47" s="13">
        <v>400</v>
      </c>
      <c r="AZ47" s="13">
        <v>1</v>
      </c>
      <c r="BD47" s="21">
        <v>43</v>
      </c>
      <c r="BE47" s="77" t="s">
        <v>40</v>
      </c>
      <c r="BF47" s="77" t="s">
        <v>33</v>
      </c>
      <c r="BG47" s="77" t="s">
        <v>25</v>
      </c>
      <c r="BH47" s="77" t="s">
        <v>38</v>
      </c>
      <c r="BI47" s="77" t="s">
        <v>152</v>
      </c>
      <c r="BJ47" s="77" t="s">
        <v>25</v>
      </c>
      <c r="BK47" s="37" t="s">
        <v>33</v>
      </c>
      <c r="BM47" s="76">
        <f t="shared" si="37"/>
        <v>12</v>
      </c>
      <c r="BN47" s="76">
        <f t="shared" si="38"/>
        <v>3</v>
      </c>
      <c r="BO47" s="76">
        <f t="shared" si="39"/>
        <v>8</v>
      </c>
      <c r="BP47" s="76">
        <f t="shared" si="40"/>
        <v>10</v>
      </c>
      <c r="BQ47" s="76">
        <f t="shared" si="41"/>
        <v>7</v>
      </c>
      <c r="BR47" s="76">
        <f t="shared" si="42"/>
        <v>8</v>
      </c>
      <c r="BS47" s="76">
        <f t="shared" si="43"/>
        <v>3</v>
      </c>
      <c r="BU47" s="25">
        <v>1</v>
      </c>
      <c r="BV47" s="25">
        <v>1</v>
      </c>
      <c r="BW47" s="25">
        <v>1</v>
      </c>
      <c r="BX47" s="25">
        <v>1</v>
      </c>
      <c r="BY47" s="25">
        <v>1</v>
      </c>
      <c r="BZ47" s="25">
        <v>1</v>
      </c>
      <c r="CA47" s="7">
        <v>1</v>
      </c>
      <c r="CC47" s="53" t="s">
        <v>79</v>
      </c>
      <c r="CD47" s="54">
        <v>0</v>
      </c>
      <c r="CE47" s="55">
        <v>2</v>
      </c>
      <c r="CF47" s="55">
        <v>5</v>
      </c>
      <c r="CG47" s="55">
        <v>2</v>
      </c>
      <c r="CH47" s="55">
        <v>4</v>
      </c>
      <c r="CI47" s="55">
        <v>0</v>
      </c>
      <c r="CJ47" s="56">
        <v>0</v>
      </c>
      <c r="CK47" s="57">
        <v>12</v>
      </c>
      <c r="CM47" s="7" t="s">
        <v>113</v>
      </c>
      <c r="CN47" s="13">
        <v>1</v>
      </c>
      <c r="CO47" s="13">
        <v>1340</v>
      </c>
      <c r="CP47" s="13">
        <v>2410</v>
      </c>
      <c r="CQ47" s="13">
        <v>470</v>
      </c>
      <c r="CR47" s="13">
        <v>400</v>
      </c>
      <c r="CS47" s="13">
        <v>1</v>
      </c>
      <c r="CW47" s="21">
        <v>43</v>
      </c>
      <c r="CX47" s="77" t="s">
        <v>40</v>
      </c>
      <c r="CY47" s="77" t="s">
        <v>33</v>
      </c>
      <c r="CZ47" s="77" t="s">
        <v>25</v>
      </c>
      <c r="DA47" s="77" t="s">
        <v>38</v>
      </c>
      <c r="DB47" s="77" t="s">
        <v>152</v>
      </c>
      <c r="DC47" s="77" t="s">
        <v>25</v>
      </c>
      <c r="DD47" s="37" t="s">
        <v>33</v>
      </c>
      <c r="DF47" s="76">
        <f t="shared" si="45"/>
        <v>12</v>
      </c>
      <c r="DG47" s="76">
        <f t="shared" si="10"/>
        <v>3</v>
      </c>
      <c r="DH47" s="76">
        <f t="shared" si="11"/>
        <v>8</v>
      </c>
      <c r="DI47" s="76">
        <f t="shared" si="12"/>
        <v>10</v>
      </c>
      <c r="DJ47" s="76">
        <f t="shared" si="13"/>
        <v>7</v>
      </c>
      <c r="DK47" s="76">
        <f t="shared" si="14"/>
        <v>8</v>
      </c>
      <c r="DL47" s="76">
        <f t="shared" si="15"/>
        <v>3</v>
      </c>
      <c r="DN47" s="25">
        <v>1</v>
      </c>
      <c r="DO47" s="25">
        <v>1</v>
      </c>
      <c r="DP47" s="25">
        <v>1</v>
      </c>
      <c r="DQ47" s="25">
        <v>1</v>
      </c>
      <c r="DR47" s="25">
        <v>1</v>
      </c>
      <c r="DS47" s="25">
        <v>1</v>
      </c>
      <c r="DT47" s="7">
        <v>1</v>
      </c>
      <c r="DV47" s="53" t="s">
        <v>79</v>
      </c>
      <c r="DW47" s="54">
        <v>0</v>
      </c>
      <c r="DX47" s="55">
        <v>2</v>
      </c>
      <c r="DY47" s="55">
        <v>5</v>
      </c>
      <c r="DZ47" s="55">
        <v>2</v>
      </c>
      <c r="EA47" s="55">
        <v>4</v>
      </c>
      <c r="EB47" s="55">
        <v>0</v>
      </c>
      <c r="EC47" s="56">
        <v>0</v>
      </c>
      <c r="ED47" s="57">
        <v>12</v>
      </c>
    </row>
    <row r="48" spans="1:134" ht="16.5" customHeight="1" thickBot="1" x14ac:dyDescent="0.35">
      <c r="A48" s="75"/>
      <c r="B48" s="75"/>
      <c r="C48" s="75"/>
      <c r="D48" s="75"/>
      <c r="E48" s="75"/>
      <c r="F48" s="75"/>
      <c r="G48" s="75"/>
      <c r="K48" s="22">
        <v>44</v>
      </c>
      <c r="L48" s="77" t="s">
        <v>37</v>
      </c>
      <c r="M48" s="77" t="s">
        <v>193</v>
      </c>
      <c r="N48" s="77" t="s">
        <v>37</v>
      </c>
      <c r="O48" s="77" t="s">
        <v>38</v>
      </c>
      <c r="P48" s="77" t="s">
        <v>152</v>
      </c>
      <c r="Q48" s="77" t="s">
        <v>37</v>
      </c>
      <c r="R48" s="37" t="s">
        <v>33</v>
      </c>
      <c r="T48" s="76">
        <f t="shared" si="23"/>
        <v>9</v>
      </c>
      <c r="U48" s="76">
        <f t="shared" si="24"/>
        <v>16</v>
      </c>
      <c r="V48" s="76">
        <f t="shared" si="25"/>
        <v>9</v>
      </c>
      <c r="W48" s="76">
        <f t="shared" si="26"/>
        <v>10</v>
      </c>
      <c r="X48" s="76">
        <f t="shared" si="27"/>
        <v>7</v>
      </c>
      <c r="Y48" s="76">
        <f t="shared" si="28"/>
        <v>9</v>
      </c>
      <c r="Z48" s="76">
        <f t="shared" si="29"/>
        <v>3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53" t="s">
        <v>80</v>
      </c>
      <c r="AK48" s="54">
        <v>0</v>
      </c>
      <c r="AL48" s="55">
        <v>2</v>
      </c>
      <c r="AM48" s="55">
        <v>2</v>
      </c>
      <c r="AN48" s="55">
        <v>2</v>
      </c>
      <c r="AO48" s="55">
        <v>2</v>
      </c>
      <c r="AP48" s="55">
        <v>0</v>
      </c>
      <c r="AQ48" s="56">
        <v>0</v>
      </c>
      <c r="AR48" s="57">
        <v>13</v>
      </c>
      <c r="AT48" s="75"/>
      <c r="AU48" s="75"/>
      <c r="AV48" s="75"/>
      <c r="AW48" s="75"/>
      <c r="AX48" s="75"/>
      <c r="AY48" s="75"/>
      <c r="BD48" s="22">
        <v>44</v>
      </c>
      <c r="BE48" s="77" t="s">
        <v>37</v>
      </c>
      <c r="BF48" s="77" t="s">
        <v>193</v>
      </c>
      <c r="BG48" s="77" t="s">
        <v>37</v>
      </c>
      <c r="BH48" s="77" t="s">
        <v>38</v>
      </c>
      <c r="BI48" s="77" t="s">
        <v>152</v>
      </c>
      <c r="BJ48" s="77" t="s">
        <v>37</v>
      </c>
      <c r="BK48" s="37" t="s">
        <v>33</v>
      </c>
      <c r="BM48" s="76">
        <f t="shared" si="37"/>
        <v>9</v>
      </c>
      <c r="BN48" s="76">
        <f t="shared" si="38"/>
        <v>16</v>
      </c>
      <c r="BO48" s="76">
        <f t="shared" si="39"/>
        <v>9</v>
      </c>
      <c r="BP48" s="76">
        <f t="shared" si="40"/>
        <v>10</v>
      </c>
      <c r="BQ48" s="76">
        <f t="shared" si="41"/>
        <v>7</v>
      </c>
      <c r="BR48" s="76">
        <f t="shared" si="42"/>
        <v>9</v>
      </c>
      <c r="BS48" s="76">
        <f t="shared" si="43"/>
        <v>3</v>
      </c>
      <c r="BU48" s="25">
        <v>1</v>
      </c>
      <c r="BV48" s="25">
        <v>1</v>
      </c>
      <c r="BW48" s="25">
        <v>1</v>
      </c>
      <c r="BX48" s="25">
        <v>1</v>
      </c>
      <c r="BY48" s="25">
        <v>1</v>
      </c>
      <c r="BZ48" s="25">
        <v>1</v>
      </c>
      <c r="CA48" s="7">
        <v>1</v>
      </c>
      <c r="CC48" s="53" t="s">
        <v>80</v>
      </c>
      <c r="CD48" s="54">
        <v>0</v>
      </c>
      <c r="CE48" s="55">
        <v>2</v>
      </c>
      <c r="CF48" s="55">
        <v>2</v>
      </c>
      <c r="CG48" s="55">
        <v>2</v>
      </c>
      <c r="CH48" s="55">
        <v>2</v>
      </c>
      <c r="CI48" s="55">
        <v>0</v>
      </c>
      <c r="CJ48" s="56">
        <v>0</v>
      </c>
      <c r="CK48" s="57">
        <v>13</v>
      </c>
      <c r="CM48" s="75"/>
      <c r="CN48" s="75"/>
      <c r="CO48" s="75"/>
      <c r="CP48" s="75"/>
      <c r="CQ48" s="75"/>
      <c r="CR48" s="75"/>
      <c r="CW48" s="22">
        <v>44</v>
      </c>
      <c r="CX48" s="77" t="s">
        <v>37</v>
      </c>
      <c r="CY48" s="77" t="s">
        <v>193</v>
      </c>
      <c r="CZ48" s="77" t="s">
        <v>37</v>
      </c>
      <c r="DA48" s="77" t="s">
        <v>38</v>
      </c>
      <c r="DB48" s="77" t="s">
        <v>152</v>
      </c>
      <c r="DC48" s="77" t="s">
        <v>37</v>
      </c>
      <c r="DD48" s="37" t="s">
        <v>33</v>
      </c>
      <c r="DF48" s="76">
        <f t="shared" si="45"/>
        <v>9</v>
      </c>
      <c r="DG48" s="76">
        <f t="shared" si="10"/>
        <v>16</v>
      </c>
      <c r="DH48" s="76">
        <f t="shared" si="11"/>
        <v>9</v>
      </c>
      <c r="DI48" s="76">
        <f t="shared" si="12"/>
        <v>10</v>
      </c>
      <c r="DJ48" s="76">
        <f t="shared" si="13"/>
        <v>7</v>
      </c>
      <c r="DK48" s="76">
        <f t="shared" si="14"/>
        <v>9</v>
      </c>
      <c r="DL48" s="76">
        <f t="shared" si="15"/>
        <v>3</v>
      </c>
      <c r="DN48" s="25">
        <v>1</v>
      </c>
      <c r="DO48" s="25">
        <v>1</v>
      </c>
      <c r="DP48" s="25">
        <v>1</v>
      </c>
      <c r="DQ48" s="25">
        <v>1</v>
      </c>
      <c r="DR48" s="25">
        <v>1</v>
      </c>
      <c r="DS48" s="25">
        <v>1</v>
      </c>
      <c r="DT48" s="7">
        <v>1</v>
      </c>
      <c r="DV48" s="53" t="s">
        <v>80</v>
      </c>
      <c r="DW48" s="54">
        <v>0</v>
      </c>
      <c r="DX48" s="55">
        <v>2</v>
      </c>
      <c r="DY48" s="55">
        <v>2</v>
      </c>
      <c r="DZ48" s="55">
        <v>2</v>
      </c>
      <c r="EA48" s="55">
        <v>2</v>
      </c>
      <c r="EB48" s="55">
        <v>0</v>
      </c>
      <c r="EC48" s="56">
        <v>0</v>
      </c>
      <c r="ED48" s="57">
        <v>13</v>
      </c>
    </row>
    <row r="49" spans="1:134" ht="16.5" customHeight="1" thickBot="1" x14ac:dyDescent="0.35">
      <c r="A49" s="97" t="s">
        <v>168</v>
      </c>
      <c r="B49" s="102" t="s">
        <v>169</v>
      </c>
      <c r="K49" s="21">
        <v>45</v>
      </c>
      <c r="L49" s="77" t="s">
        <v>37</v>
      </c>
      <c r="M49" s="77" t="s">
        <v>38</v>
      </c>
      <c r="N49" s="77" t="s">
        <v>189</v>
      </c>
      <c r="O49" s="77" t="s">
        <v>33</v>
      </c>
      <c r="P49" s="77" t="s">
        <v>39</v>
      </c>
      <c r="Q49" s="77" t="s">
        <v>37</v>
      </c>
      <c r="R49" s="37" t="s">
        <v>35</v>
      </c>
      <c r="T49" s="76">
        <f t="shared" si="23"/>
        <v>9</v>
      </c>
      <c r="U49" s="76">
        <f t="shared" si="24"/>
        <v>10</v>
      </c>
      <c r="V49" s="76">
        <f t="shared" si="25"/>
        <v>20</v>
      </c>
      <c r="W49" s="76">
        <f t="shared" si="26"/>
        <v>3</v>
      </c>
      <c r="X49" s="76">
        <f t="shared" si="27"/>
        <v>11</v>
      </c>
      <c r="Y49" s="76">
        <f t="shared" si="28"/>
        <v>9</v>
      </c>
      <c r="Z49" s="76">
        <f t="shared" si="29"/>
        <v>5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3</v>
      </c>
      <c r="AJ49" s="53" t="s">
        <v>81</v>
      </c>
      <c r="AK49" s="54">
        <v>0</v>
      </c>
      <c r="AL49" s="55">
        <v>4</v>
      </c>
      <c r="AM49" s="55">
        <v>5</v>
      </c>
      <c r="AN49" s="55">
        <v>2</v>
      </c>
      <c r="AO49" s="55">
        <v>2</v>
      </c>
      <c r="AP49" s="55">
        <v>0</v>
      </c>
      <c r="AQ49" s="56">
        <v>0</v>
      </c>
      <c r="AR49" s="57">
        <v>14</v>
      </c>
      <c r="AT49" s="97" t="s">
        <v>168</v>
      </c>
      <c r="AU49" s="102" t="s">
        <v>169</v>
      </c>
      <c r="BD49" s="21">
        <v>45</v>
      </c>
      <c r="BE49" s="77" t="s">
        <v>37</v>
      </c>
      <c r="BF49" s="77" t="s">
        <v>38</v>
      </c>
      <c r="BG49" s="77" t="s">
        <v>189</v>
      </c>
      <c r="BH49" s="77" t="s">
        <v>33</v>
      </c>
      <c r="BI49" s="77" t="s">
        <v>39</v>
      </c>
      <c r="BJ49" s="77" t="s">
        <v>37</v>
      </c>
      <c r="BK49" s="37" t="s">
        <v>35</v>
      </c>
      <c r="BM49" s="76">
        <f t="shared" si="37"/>
        <v>9</v>
      </c>
      <c r="BN49" s="76">
        <f t="shared" si="38"/>
        <v>10</v>
      </c>
      <c r="BO49" s="76">
        <f t="shared" si="39"/>
        <v>20</v>
      </c>
      <c r="BP49" s="76">
        <f t="shared" si="40"/>
        <v>3</v>
      </c>
      <c r="BQ49" s="76">
        <f t="shared" si="41"/>
        <v>11</v>
      </c>
      <c r="BR49" s="76">
        <f t="shared" si="42"/>
        <v>9</v>
      </c>
      <c r="BS49" s="76">
        <f t="shared" si="43"/>
        <v>5</v>
      </c>
      <c r="BU49" s="25">
        <v>1</v>
      </c>
      <c r="BV49" s="25">
        <v>1</v>
      </c>
      <c r="BW49" s="25">
        <v>1</v>
      </c>
      <c r="BX49" s="25">
        <v>1</v>
      </c>
      <c r="BY49" s="25">
        <v>1</v>
      </c>
      <c r="BZ49" s="25">
        <v>1</v>
      </c>
      <c r="CA49" s="7">
        <v>1</v>
      </c>
      <c r="CC49" s="53" t="s">
        <v>81</v>
      </c>
      <c r="CD49" s="54">
        <v>0</v>
      </c>
      <c r="CE49" s="55">
        <v>4</v>
      </c>
      <c r="CF49" s="55">
        <v>5</v>
      </c>
      <c r="CG49" s="55">
        <v>2</v>
      </c>
      <c r="CH49" s="55">
        <v>2</v>
      </c>
      <c r="CI49" s="55">
        <v>0</v>
      </c>
      <c r="CJ49" s="56">
        <v>0</v>
      </c>
      <c r="CK49" s="57">
        <v>14</v>
      </c>
      <c r="CM49" s="97" t="s">
        <v>168</v>
      </c>
      <c r="CN49" s="102" t="s">
        <v>169</v>
      </c>
      <c r="CW49" s="21">
        <v>45</v>
      </c>
      <c r="CX49" s="77" t="s">
        <v>37</v>
      </c>
      <c r="CY49" s="77" t="s">
        <v>38</v>
      </c>
      <c r="CZ49" s="77" t="s">
        <v>189</v>
      </c>
      <c r="DA49" s="77" t="s">
        <v>33</v>
      </c>
      <c r="DB49" s="77" t="s">
        <v>39</v>
      </c>
      <c r="DC49" s="77" t="s">
        <v>37</v>
      </c>
      <c r="DD49" s="37" t="s">
        <v>35</v>
      </c>
      <c r="DF49" s="76">
        <f t="shared" si="45"/>
        <v>9</v>
      </c>
      <c r="DG49" s="76">
        <f t="shared" si="10"/>
        <v>10</v>
      </c>
      <c r="DH49" s="76">
        <f t="shared" si="11"/>
        <v>20</v>
      </c>
      <c r="DI49" s="76">
        <f t="shared" si="12"/>
        <v>3</v>
      </c>
      <c r="DJ49" s="76">
        <f t="shared" si="13"/>
        <v>11</v>
      </c>
      <c r="DK49" s="76">
        <f t="shared" si="14"/>
        <v>9</v>
      </c>
      <c r="DL49" s="76">
        <f t="shared" si="15"/>
        <v>5</v>
      </c>
      <c r="DN49" s="25">
        <v>1</v>
      </c>
      <c r="DO49" s="25">
        <v>1</v>
      </c>
      <c r="DP49" s="25">
        <v>1</v>
      </c>
      <c r="DQ49" s="25">
        <v>1</v>
      </c>
      <c r="DR49" s="25">
        <v>1</v>
      </c>
      <c r="DS49" s="25">
        <v>1</v>
      </c>
      <c r="DT49" s="7">
        <v>1</v>
      </c>
      <c r="DV49" s="53" t="s">
        <v>81</v>
      </c>
      <c r="DW49" s="54">
        <v>0</v>
      </c>
      <c r="DX49" s="55">
        <v>4</v>
      </c>
      <c r="DY49" s="55">
        <v>5</v>
      </c>
      <c r="DZ49" s="55">
        <v>2</v>
      </c>
      <c r="EA49" s="55">
        <v>2</v>
      </c>
      <c r="EB49" s="55">
        <v>0</v>
      </c>
      <c r="EC49" s="56">
        <v>0</v>
      </c>
      <c r="ED49" s="57">
        <v>14</v>
      </c>
    </row>
    <row r="50" spans="1:134" ht="16.5" customHeight="1" x14ac:dyDescent="0.3">
      <c r="A50" s="99" t="s">
        <v>78</v>
      </c>
      <c r="B50" s="100">
        <v>0</v>
      </c>
      <c r="K50" s="22">
        <v>46</v>
      </c>
      <c r="L50" s="77" t="s">
        <v>39</v>
      </c>
      <c r="M50" s="77" t="s">
        <v>25</v>
      </c>
      <c r="N50" s="77" t="s">
        <v>33</v>
      </c>
      <c r="O50" s="77" t="s">
        <v>33</v>
      </c>
      <c r="P50" s="77" t="s">
        <v>39</v>
      </c>
      <c r="Q50" s="77" t="s">
        <v>75</v>
      </c>
      <c r="R50" s="37" t="s">
        <v>35</v>
      </c>
      <c r="T50" s="76">
        <f t="shared" si="23"/>
        <v>11</v>
      </c>
      <c r="U50" s="76">
        <f t="shared" si="24"/>
        <v>8</v>
      </c>
      <c r="V50" s="76">
        <f t="shared" si="25"/>
        <v>3</v>
      </c>
      <c r="W50" s="76">
        <f t="shared" si="26"/>
        <v>3</v>
      </c>
      <c r="X50" s="76">
        <f t="shared" si="27"/>
        <v>11</v>
      </c>
      <c r="Y50" s="76">
        <f t="shared" si="28"/>
        <v>6</v>
      </c>
      <c r="Z50" s="76">
        <f t="shared" si="29"/>
        <v>5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53" t="s">
        <v>82</v>
      </c>
      <c r="AK50" s="54">
        <v>0</v>
      </c>
      <c r="AL50" s="55">
        <v>2</v>
      </c>
      <c r="AM50" s="55">
        <v>2</v>
      </c>
      <c r="AN50" s="55">
        <v>2</v>
      </c>
      <c r="AO50" s="55">
        <v>2</v>
      </c>
      <c r="AP50" s="55">
        <v>0</v>
      </c>
      <c r="AQ50" s="56">
        <v>0</v>
      </c>
      <c r="AR50" s="57">
        <v>15</v>
      </c>
      <c r="AT50" s="99" t="s">
        <v>78</v>
      </c>
      <c r="AU50" s="100">
        <v>0</v>
      </c>
      <c r="BD50" s="22">
        <v>46</v>
      </c>
      <c r="BE50" s="77" t="s">
        <v>39</v>
      </c>
      <c r="BF50" s="77" t="s">
        <v>25</v>
      </c>
      <c r="BG50" s="77" t="s">
        <v>33</v>
      </c>
      <c r="BH50" s="77" t="s">
        <v>33</v>
      </c>
      <c r="BI50" s="77" t="s">
        <v>39</v>
      </c>
      <c r="BJ50" s="77" t="s">
        <v>75</v>
      </c>
      <c r="BK50" s="37" t="s">
        <v>35</v>
      </c>
      <c r="BM50" s="76">
        <f t="shared" si="37"/>
        <v>11</v>
      </c>
      <c r="BN50" s="76">
        <f t="shared" si="38"/>
        <v>8</v>
      </c>
      <c r="BO50" s="76">
        <f t="shared" si="39"/>
        <v>3</v>
      </c>
      <c r="BP50" s="76">
        <f t="shared" si="40"/>
        <v>3</v>
      </c>
      <c r="BQ50" s="76">
        <f t="shared" si="41"/>
        <v>11</v>
      </c>
      <c r="BR50" s="76">
        <f t="shared" si="42"/>
        <v>6</v>
      </c>
      <c r="BS50" s="76">
        <f t="shared" si="43"/>
        <v>5</v>
      </c>
      <c r="BU50" s="25">
        <v>1</v>
      </c>
      <c r="BV50" s="25">
        <v>1</v>
      </c>
      <c r="BW50" s="25">
        <v>1</v>
      </c>
      <c r="BX50" s="25">
        <v>1</v>
      </c>
      <c r="BY50" s="25">
        <v>1</v>
      </c>
      <c r="BZ50" s="25">
        <v>1</v>
      </c>
      <c r="CA50" s="7">
        <v>1</v>
      </c>
      <c r="CC50" s="53" t="s">
        <v>82</v>
      </c>
      <c r="CD50" s="54">
        <v>0</v>
      </c>
      <c r="CE50" s="55">
        <v>2</v>
      </c>
      <c r="CF50" s="55">
        <v>2</v>
      </c>
      <c r="CG50" s="55">
        <v>2</v>
      </c>
      <c r="CH50" s="55">
        <v>2</v>
      </c>
      <c r="CI50" s="55">
        <v>0</v>
      </c>
      <c r="CJ50" s="56">
        <v>0</v>
      </c>
      <c r="CK50" s="57">
        <v>15</v>
      </c>
      <c r="CM50" s="99" t="s">
        <v>78</v>
      </c>
      <c r="CN50" s="100">
        <v>0</v>
      </c>
      <c r="CW50" s="22">
        <v>46</v>
      </c>
      <c r="CX50" s="77" t="s">
        <v>39</v>
      </c>
      <c r="CY50" s="77" t="s">
        <v>25</v>
      </c>
      <c r="CZ50" s="77" t="s">
        <v>33</v>
      </c>
      <c r="DA50" s="77" t="s">
        <v>33</v>
      </c>
      <c r="DB50" s="77" t="s">
        <v>39</v>
      </c>
      <c r="DC50" s="77" t="s">
        <v>75</v>
      </c>
      <c r="DD50" s="37" t="s">
        <v>35</v>
      </c>
      <c r="DF50" s="76">
        <f t="shared" si="45"/>
        <v>11</v>
      </c>
      <c r="DG50" s="76">
        <f t="shared" si="10"/>
        <v>8</v>
      </c>
      <c r="DH50" s="76">
        <f t="shared" si="11"/>
        <v>3</v>
      </c>
      <c r="DI50" s="76">
        <f t="shared" si="12"/>
        <v>3</v>
      </c>
      <c r="DJ50" s="76">
        <f t="shared" si="13"/>
        <v>11</v>
      </c>
      <c r="DK50" s="76">
        <f t="shared" si="14"/>
        <v>6</v>
      </c>
      <c r="DL50" s="76">
        <f t="shared" si="15"/>
        <v>5</v>
      </c>
      <c r="DN50" s="25">
        <v>1</v>
      </c>
      <c r="DO50" s="25">
        <v>1</v>
      </c>
      <c r="DP50" s="25">
        <v>1</v>
      </c>
      <c r="DQ50" s="25">
        <v>1</v>
      </c>
      <c r="DR50" s="25">
        <v>1</v>
      </c>
      <c r="DS50" s="25">
        <v>1</v>
      </c>
      <c r="DT50" s="7">
        <v>1</v>
      </c>
      <c r="DV50" s="53" t="s">
        <v>82</v>
      </c>
      <c r="DW50" s="54">
        <v>0</v>
      </c>
      <c r="DX50" s="55">
        <v>2</v>
      </c>
      <c r="DY50" s="55">
        <v>2</v>
      </c>
      <c r="DZ50" s="55">
        <v>2</v>
      </c>
      <c r="EA50" s="55">
        <v>2</v>
      </c>
      <c r="EB50" s="55">
        <v>0</v>
      </c>
      <c r="EC50" s="56">
        <v>0</v>
      </c>
      <c r="ED50" s="57">
        <v>15</v>
      </c>
    </row>
    <row r="51" spans="1:134" ht="16.5" customHeight="1" x14ac:dyDescent="0.3">
      <c r="A51" s="98" t="s">
        <v>19</v>
      </c>
      <c r="B51" s="101">
        <v>0</v>
      </c>
      <c r="K51" s="21">
        <v>47</v>
      </c>
      <c r="L51" s="77" t="s">
        <v>38</v>
      </c>
      <c r="M51" s="77" t="s">
        <v>38</v>
      </c>
      <c r="N51" s="77" t="s">
        <v>152</v>
      </c>
      <c r="O51" s="77" t="s">
        <v>33</v>
      </c>
      <c r="P51" s="77" t="s">
        <v>152</v>
      </c>
      <c r="Q51" s="77" t="s">
        <v>75</v>
      </c>
      <c r="R51" s="37" t="s">
        <v>35</v>
      </c>
      <c r="T51" s="76">
        <f t="shared" si="23"/>
        <v>10</v>
      </c>
      <c r="U51" s="76">
        <f t="shared" si="24"/>
        <v>10</v>
      </c>
      <c r="V51" s="76">
        <f t="shared" si="25"/>
        <v>7</v>
      </c>
      <c r="W51" s="76">
        <f t="shared" si="26"/>
        <v>3</v>
      </c>
      <c r="X51" s="76">
        <f t="shared" si="27"/>
        <v>7</v>
      </c>
      <c r="Y51" s="76">
        <f t="shared" si="28"/>
        <v>6</v>
      </c>
      <c r="Z51" s="76">
        <f t="shared" si="29"/>
        <v>5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53" t="s">
        <v>83</v>
      </c>
      <c r="AK51" s="54">
        <v>0</v>
      </c>
      <c r="AL51" s="55">
        <v>4</v>
      </c>
      <c r="AM51" s="55">
        <v>5</v>
      </c>
      <c r="AN51" s="55">
        <v>2</v>
      </c>
      <c r="AO51" s="55">
        <v>4</v>
      </c>
      <c r="AP51" s="55">
        <v>0</v>
      </c>
      <c r="AQ51" s="56">
        <v>0</v>
      </c>
      <c r="AR51" s="57">
        <v>16</v>
      </c>
      <c r="AT51" s="98" t="s">
        <v>19</v>
      </c>
      <c r="AU51" s="101">
        <v>0</v>
      </c>
      <c r="BD51" s="21">
        <v>47</v>
      </c>
      <c r="BE51" s="77" t="s">
        <v>38</v>
      </c>
      <c r="BF51" s="77" t="s">
        <v>38</v>
      </c>
      <c r="BG51" s="77" t="s">
        <v>25</v>
      </c>
      <c r="BH51" s="77" t="s">
        <v>33</v>
      </c>
      <c r="BI51" s="77" t="s">
        <v>152</v>
      </c>
      <c r="BJ51" s="77" t="s">
        <v>75</v>
      </c>
      <c r="BK51" s="37" t="s">
        <v>35</v>
      </c>
      <c r="BM51" s="76">
        <f t="shared" si="37"/>
        <v>10</v>
      </c>
      <c r="BN51" s="76">
        <f t="shared" si="38"/>
        <v>10</v>
      </c>
      <c r="BO51" s="76">
        <f t="shared" si="39"/>
        <v>8</v>
      </c>
      <c r="BP51" s="76">
        <f t="shared" si="40"/>
        <v>3</v>
      </c>
      <c r="BQ51" s="76">
        <f t="shared" si="41"/>
        <v>7</v>
      </c>
      <c r="BR51" s="76">
        <f t="shared" si="42"/>
        <v>6</v>
      </c>
      <c r="BS51" s="76">
        <f t="shared" si="43"/>
        <v>5</v>
      </c>
      <c r="BU51" s="25">
        <v>1</v>
      </c>
      <c r="BV51" s="25">
        <v>1</v>
      </c>
      <c r="BW51" s="25">
        <v>1</v>
      </c>
      <c r="BX51" s="25">
        <v>1</v>
      </c>
      <c r="BY51" s="25">
        <v>1</v>
      </c>
      <c r="BZ51" s="25">
        <v>1</v>
      </c>
      <c r="CA51" s="7">
        <v>1</v>
      </c>
      <c r="CC51" s="53" t="s">
        <v>83</v>
      </c>
      <c r="CD51" s="54">
        <v>0</v>
      </c>
      <c r="CE51" s="55">
        <v>4</v>
      </c>
      <c r="CF51" s="55">
        <v>5</v>
      </c>
      <c r="CG51" s="55">
        <v>2</v>
      </c>
      <c r="CH51" s="55">
        <v>4</v>
      </c>
      <c r="CI51" s="55">
        <v>0</v>
      </c>
      <c r="CJ51" s="56">
        <v>0</v>
      </c>
      <c r="CK51" s="57">
        <v>16</v>
      </c>
      <c r="CM51" s="98" t="s">
        <v>19</v>
      </c>
      <c r="CN51" s="101">
        <v>0</v>
      </c>
      <c r="CW51" s="21">
        <v>47</v>
      </c>
      <c r="CX51" s="77" t="s">
        <v>38</v>
      </c>
      <c r="CY51" s="77" t="s">
        <v>38</v>
      </c>
      <c r="CZ51" s="77" t="s">
        <v>25</v>
      </c>
      <c r="DA51" s="77" t="s">
        <v>33</v>
      </c>
      <c r="DB51" s="77" t="s">
        <v>152</v>
      </c>
      <c r="DC51" s="77" t="s">
        <v>75</v>
      </c>
      <c r="DD51" s="37" t="s">
        <v>35</v>
      </c>
      <c r="DF51" s="76">
        <f t="shared" si="45"/>
        <v>10</v>
      </c>
      <c r="DG51" s="76">
        <f t="shared" si="10"/>
        <v>10</v>
      </c>
      <c r="DH51" s="76">
        <f t="shared" si="11"/>
        <v>8</v>
      </c>
      <c r="DI51" s="76">
        <f t="shared" si="12"/>
        <v>3</v>
      </c>
      <c r="DJ51" s="76">
        <f t="shared" si="13"/>
        <v>7</v>
      </c>
      <c r="DK51" s="76">
        <f t="shared" si="14"/>
        <v>6</v>
      </c>
      <c r="DL51" s="76">
        <f t="shared" si="15"/>
        <v>5</v>
      </c>
      <c r="DN51" s="25">
        <v>1</v>
      </c>
      <c r="DO51" s="25">
        <v>1</v>
      </c>
      <c r="DP51" s="25">
        <v>1</v>
      </c>
      <c r="DQ51" s="25">
        <v>1</v>
      </c>
      <c r="DR51" s="25">
        <v>1</v>
      </c>
      <c r="DS51" s="25">
        <v>1</v>
      </c>
      <c r="DT51" s="7">
        <v>1</v>
      </c>
      <c r="DV51" s="53" t="s">
        <v>83</v>
      </c>
      <c r="DW51" s="54">
        <v>0</v>
      </c>
      <c r="DX51" s="55">
        <v>4</v>
      </c>
      <c r="DY51" s="55">
        <v>5</v>
      </c>
      <c r="DZ51" s="55">
        <v>2</v>
      </c>
      <c r="EA51" s="55">
        <v>4</v>
      </c>
      <c r="EB51" s="55">
        <v>0</v>
      </c>
      <c r="EC51" s="56">
        <v>0</v>
      </c>
      <c r="ED51" s="57">
        <v>16</v>
      </c>
    </row>
    <row r="52" spans="1:134" ht="16.5" customHeight="1" x14ac:dyDescent="0.3">
      <c r="A52" s="98" t="s">
        <v>20</v>
      </c>
      <c r="B52" s="101">
        <v>2</v>
      </c>
      <c r="K52" s="22">
        <v>48</v>
      </c>
      <c r="L52" s="77" t="s">
        <v>40</v>
      </c>
      <c r="M52" s="77" t="s">
        <v>38</v>
      </c>
      <c r="N52" s="77" t="s">
        <v>25</v>
      </c>
      <c r="O52" s="77" t="s">
        <v>75</v>
      </c>
      <c r="P52" s="77" t="s">
        <v>152</v>
      </c>
      <c r="Q52" s="77" t="s">
        <v>38</v>
      </c>
      <c r="R52" s="37" t="s">
        <v>34</v>
      </c>
      <c r="T52" s="76">
        <f t="shared" si="23"/>
        <v>12</v>
      </c>
      <c r="U52" s="76">
        <f t="shared" si="24"/>
        <v>10</v>
      </c>
      <c r="V52" s="76">
        <f t="shared" si="25"/>
        <v>8</v>
      </c>
      <c r="W52" s="76">
        <f t="shared" si="26"/>
        <v>6</v>
      </c>
      <c r="X52" s="76">
        <f t="shared" si="27"/>
        <v>7</v>
      </c>
      <c r="Y52" s="76">
        <f t="shared" si="28"/>
        <v>10</v>
      </c>
      <c r="Z52" s="76">
        <f t="shared" si="29"/>
        <v>4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3</v>
      </c>
      <c r="AJ52" s="53" t="s">
        <v>162</v>
      </c>
      <c r="AK52" s="54">
        <v>0</v>
      </c>
      <c r="AL52" s="55">
        <v>4</v>
      </c>
      <c r="AM52" s="55">
        <v>5</v>
      </c>
      <c r="AN52" s="55">
        <v>2</v>
      </c>
      <c r="AO52" s="55">
        <v>4</v>
      </c>
      <c r="AP52" s="55">
        <v>0</v>
      </c>
      <c r="AQ52" s="56">
        <v>0</v>
      </c>
      <c r="AR52" s="57">
        <v>17</v>
      </c>
      <c r="AT52" s="98" t="s">
        <v>20</v>
      </c>
      <c r="AU52" s="101">
        <v>2</v>
      </c>
      <c r="BD52" s="22">
        <v>48</v>
      </c>
      <c r="BE52" s="77" t="s">
        <v>40</v>
      </c>
      <c r="BF52" s="77" t="s">
        <v>38</v>
      </c>
      <c r="BG52" s="77" t="s">
        <v>25</v>
      </c>
      <c r="BH52" s="77" t="s">
        <v>75</v>
      </c>
      <c r="BI52" s="77" t="s">
        <v>152</v>
      </c>
      <c r="BJ52" s="77" t="s">
        <v>38</v>
      </c>
      <c r="BK52" s="37" t="s">
        <v>34</v>
      </c>
      <c r="BM52" s="76">
        <f t="shared" si="37"/>
        <v>12</v>
      </c>
      <c r="BN52" s="76">
        <f t="shared" si="38"/>
        <v>10</v>
      </c>
      <c r="BO52" s="76">
        <f t="shared" si="39"/>
        <v>8</v>
      </c>
      <c r="BP52" s="76">
        <f t="shared" si="40"/>
        <v>6</v>
      </c>
      <c r="BQ52" s="76">
        <f t="shared" si="41"/>
        <v>7</v>
      </c>
      <c r="BR52" s="76">
        <f t="shared" si="42"/>
        <v>10</v>
      </c>
      <c r="BS52" s="76">
        <f t="shared" si="43"/>
        <v>4</v>
      </c>
      <c r="BU52" s="25">
        <v>1</v>
      </c>
      <c r="BV52" s="25">
        <v>1</v>
      </c>
      <c r="BW52" s="25">
        <v>1</v>
      </c>
      <c r="BX52" s="25">
        <v>1</v>
      </c>
      <c r="BY52" s="25">
        <v>1</v>
      </c>
      <c r="BZ52" s="25">
        <v>1</v>
      </c>
      <c r="CA52" s="7">
        <v>1</v>
      </c>
      <c r="CC52" s="53" t="s">
        <v>162</v>
      </c>
      <c r="CD52" s="54">
        <v>0</v>
      </c>
      <c r="CE52" s="55">
        <v>4</v>
      </c>
      <c r="CF52" s="55">
        <v>5</v>
      </c>
      <c r="CG52" s="55">
        <v>2</v>
      </c>
      <c r="CH52" s="55">
        <v>4</v>
      </c>
      <c r="CI52" s="55">
        <v>0</v>
      </c>
      <c r="CJ52" s="56">
        <v>0</v>
      </c>
      <c r="CK52" s="57">
        <v>17</v>
      </c>
      <c r="CM52" s="98" t="s">
        <v>20</v>
      </c>
      <c r="CN52" s="101">
        <v>2</v>
      </c>
      <c r="CW52" s="22">
        <v>48</v>
      </c>
      <c r="CX52" s="77" t="s">
        <v>40</v>
      </c>
      <c r="CY52" s="77" t="s">
        <v>38</v>
      </c>
      <c r="CZ52" s="77" t="s">
        <v>25</v>
      </c>
      <c r="DA52" s="77" t="s">
        <v>75</v>
      </c>
      <c r="DB52" s="77" t="s">
        <v>152</v>
      </c>
      <c r="DC52" s="77" t="s">
        <v>38</v>
      </c>
      <c r="DD52" s="37" t="s">
        <v>34</v>
      </c>
      <c r="DF52" s="76">
        <f t="shared" si="45"/>
        <v>12</v>
      </c>
      <c r="DG52" s="76">
        <f t="shared" si="10"/>
        <v>10</v>
      </c>
      <c r="DH52" s="76">
        <f t="shared" si="11"/>
        <v>8</v>
      </c>
      <c r="DI52" s="76">
        <f t="shared" si="12"/>
        <v>6</v>
      </c>
      <c r="DJ52" s="76">
        <f t="shared" si="13"/>
        <v>7</v>
      </c>
      <c r="DK52" s="76">
        <f t="shared" si="14"/>
        <v>10</v>
      </c>
      <c r="DL52" s="76">
        <f t="shared" si="15"/>
        <v>4</v>
      </c>
      <c r="DN52" s="25">
        <v>1</v>
      </c>
      <c r="DO52" s="25">
        <v>1</v>
      </c>
      <c r="DP52" s="25">
        <v>1</v>
      </c>
      <c r="DQ52" s="25">
        <v>1</v>
      </c>
      <c r="DR52" s="25">
        <v>1</v>
      </c>
      <c r="DS52" s="25">
        <v>1</v>
      </c>
      <c r="DT52" s="7">
        <v>1</v>
      </c>
      <c r="DV52" s="53" t="s">
        <v>162</v>
      </c>
      <c r="DW52" s="54">
        <v>0</v>
      </c>
      <c r="DX52" s="55">
        <v>4</v>
      </c>
      <c r="DY52" s="55">
        <v>5</v>
      </c>
      <c r="DZ52" s="55">
        <v>2</v>
      </c>
      <c r="EA52" s="55">
        <v>4</v>
      </c>
      <c r="EB52" s="55">
        <v>0</v>
      </c>
      <c r="EC52" s="56">
        <v>0</v>
      </c>
      <c r="ED52" s="57">
        <v>17</v>
      </c>
    </row>
    <row r="53" spans="1:134" ht="16.5" customHeight="1" x14ac:dyDescent="0.3">
      <c r="A53" s="98" t="s">
        <v>21</v>
      </c>
      <c r="B53" s="101">
        <v>3</v>
      </c>
      <c r="K53" s="21">
        <v>49</v>
      </c>
      <c r="L53" s="77" t="s">
        <v>25</v>
      </c>
      <c r="M53" s="77" t="s">
        <v>75</v>
      </c>
      <c r="N53" s="77" t="s">
        <v>39</v>
      </c>
      <c r="O53" s="77" t="s">
        <v>75</v>
      </c>
      <c r="P53" s="77" t="s">
        <v>38</v>
      </c>
      <c r="Q53" s="77" t="s">
        <v>38</v>
      </c>
      <c r="R53" s="37" t="s">
        <v>34</v>
      </c>
      <c r="T53" s="76">
        <f t="shared" si="23"/>
        <v>8</v>
      </c>
      <c r="U53" s="76">
        <f t="shared" si="24"/>
        <v>6</v>
      </c>
      <c r="V53" s="76">
        <f t="shared" si="25"/>
        <v>11</v>
      </c>
      <c r="W53" s="76">
        <f t="shared" si="26"/>
        <v>6</v>
      </c>
      <c r="X53" s="76">
        <f t="shared" si="27"/>
        <v>10</v>
      </c>
      <c r="Y53" s="76">
        <f t="shared" si="28"/>
        <v>10</v>
      </c>
      <c r="Z53" s="76">
        <f t="shared" si="29"/>
        <v>4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53" t="s">
        <v>84</v>
      </c>
      <c r="AK53" s="54">
        <v>0</v>
      </c>
      <c r="AL53" s="55">
        <v>4</v>
      </c>
      <c r="AM53" s="55">
        <v>2</v>
      </c>
      <c r="AN53" s="55">
        <v>2</v>
      </c>
      <c r="AO53" s="55">
        <v>4</v>
      </c>
      <c r="AP53" s="55">
        <v>0</v>
      </c>
      <c r="AQ53" s="56">
        <v>0</v>
      </c>
      <c r="AR53" s="57">
        <v>17</v>
      </c>
      <c r="AT53" s="98" t="s">
        <v>21</v>
      </c>
      <c r="AU53" s="101">
        <v>3</v>
      </c>
      <c r="BD53" s="21">
        <v>49</v>
      </c>
      <c r="BE53" s="77" t="s">
        <v>39</v>
      </c>
      <c r="BF53" s="77" t="s">
        <v>75</v>
      </c>
      <c r="BG53" s="77" t="s">
        <v>39</v>
      </c>
      <c r="BH53" s="77" t="s">
        <v>75</v>
      </c>
      <c r="BI53" s="77" t="s">
        <v>38</v>
      </c>
      <c r="BJ53" s="77" t="s">
        <v>38</v>
      </c>
      <c r="BK53" s="37" t="s">
        <v>34</v>
      </c>
      <c r="BM53" s="76">
        <f t="shared" si="37"/>
        <v>11</v>
      </c>
      <c r="BN53" s="76">
        <f t="shared" si="38"/>
        <v>6</v>
      </c>
      <c r="BO53" s="76">
        <f t="shared" si="39"/>
        <v>11</v>
      </c>
      <c r="BP53" s="76">
        <f t="shared" si="40"/>
        <v>6</v>
      </c>
      <c r="BQ53" s="76">
        <f t="shared" si="41"/>
        <v>10</v>
      </c>
      <c r="BR53" s="76">
        <f t="shared" si="42"/>
        <v>10</v>
      </c>
      <c r="BS53" s="76">
        <f t="shared" si="43"/>
        <v>4</v>
      </c>
      <c r="BU53" s="25">
        <v>1</v>
      </c>
      <c r="BV53" s="25">
        <v>1</v>
      </c>
      <c r="BW53" s="25">
        <v>1</v>
      </c>
      <c r="BX53" s="25">
        <v>1</v>
      </c>
      <c r="BY53" s="25">
        <v>1</v>
      </c>
      <c r="BZ53" s="25">
        <v>1</v>
      </c>
      <c r="CA53" s="7">
        <v>1</v>
      </c>
      <c r="CC53" s="53" t="s">
        <v>84</v>
      </c>
      <c r="CD53" s="54">
        <v>0</v>
      </c>
      <c r="CE53" s="55">
        <v>4</v>
      </c>
      <c r="CF53" s="55">
        <v>2</v>
      </c>
      <c r="CG53" s="55">
        <v>2</v>
      </c>
      <c r="CH53" s="55">
        <v>4</v>
      </c>
      <c r="CI53" s="55">
        <v>0</v>
      </c>
      <c r="CJ53" s="56">
        <v>0</v>
      </c>
      <c r="CK53" s="57">
        <v>17</v>
      </c>
      <c r="CM53" s="98" t="s">
        <v>21</v>
      </c>
      <c r="CN53" s="101">
        <v>3</v>
      </c>
      <c r="CW53" s="21">
        <v>49</v>
      </c>
      <c r="CX53" s="77" t="s">
        <v>39</v>
      </c>
      <c r="CY53" s="77" t="s">
        <v>75</v>
      </c>
      <c r="CZ53" s="77" t="s">
        <v>39</v>
      </c>
      <c r="DA53" s="77" t="s">
        <v>75</v>
      </c>
      <c r="DB53" s="77" t="s">
        <v>38</v>
      </c>
      <c r="DC53" s="77" t="s">
        <v>38</v>
      </c>
      <c r="DD53" s="37" t="s">
        <v>34</v>
      </c>
      <c r="DF53" s="76">
        <f t="shared" si="45"/>
        <v>11</v>
      </c>
      <c r="DG53" s="76">
        <f t="shared" si="10"/>
        <v>6</v>
      </c>
      <c r="DH53" s="76">
        <f t="shared" si="11"/>
        <v>11</v>
      </c>
      <c r="DI53" s="76">
        <f t="shared" si="12"/>
        <v>6</v>
      </c>
      <c r="DJ53" s="76">
        <f t="shared" si="13"/>
        <v>10</v>
      </c>
      <c r="DK53" s="76">
        <f t="shared" si="14"/>
        <v>10</v>
      </c>
      <c r="DL53" s="76">
        <f t="shared" si="15"/>
        <v>4</v>
      </c>
      <c r="DN53" s="25">
        <v>1</v>
      </c>
      <c r="DO53" s="25">
        <v>1</v>
      </c>
      <c r="DP53" s="25">
        <v>1</v>
      </c>
      <c r="DQ53" s="25">
        <v>1</v>
      </c>
      <c r="DR53" s="25">
        <v>1</v>
      </c>
      <c r="DS53" s="25">
        <v>1</v>
      </c>
      <c r="DT53" s="7">
        <v>1</v>
      </c>
      <c r="DV53" s="53" t="s">
        <v>84</v>
      </c>
      <c r="DW53" s="54">
        <v>0</v>
      </c>
      <c r="DX53" s="55">
        <v>4</v>
      </c>
      <c r="DY53" s="55">
        <v>2</v>
      </c>
      <c r="DZ53" s="55">
        <v>2</v>
      </c>
      <c r="EA53" s="55">
        <v>4</v>
      </c>
      <c r="EB53" s="55">
        <v>0</v>
      </c>
      <c r="EC53" s="56">
        <v>0</v>
      </c>
      <c r="ED53" s="57">
        <v>17</v>
      </c>
    </row>
    <row r="54" spans="1:134" ht="16.5" customHeight="1" x14ac:dyDescent="0.3">
      <c r="A54" s="98" t="s">
        <v>17</v>
      </c>
      <c r="B54" s="101">
        <v>5</v>
      </c>
      <c r="K54" s="22">
        <v>50</v>
      </c>
      <c r="L54" s="77" t="s">
        <v>152</v>
      </c>
      <c r="M54" s="77" t="s">
        <v>75</v>
      </c>
      <c r="N54" s="77" t="s">
        <v>39</v>
      </c>
      <c r="O54" s="77" t="s">
        <v>34</v>
      </c>
      <c r="P54" s="77" t="s">
        <v>33</v>
      </c>
      <c r="Q54" s="77" t="s">
        <v>40</v>
      </c>
      <c r="R54" s="37" t="s">
        <v>34</v>
      </c>
      <c r="T54" s="76">
        <f t="shared" si="23"/>
        <v>7</v>
      </c>
      <c r="U54" s="76">
        <f t="shared" si="24"/>
        <v>6</v>
      </c>
      <c r="V54" s="76">
        <f t="shared" si="25"/>
        <v>11</v>
      </c>
      <c r="W54" s="76">
        <f t="shared" si="26"/>
        <v>4</v>
      </c>
      <c r="X54" s="76">
        <f t="shared" si="27"/>
        <v>3</v>
      </c>
      <c r="Y54" s="76">
        <f t="shared" si="28"/>
        <v>12</v>
      </c>
      <c r="Z54" s="76">
        <f t="shared" si="29"/>
        <v>4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53" t="s">
        <v>85</v>
      </c>
      <c r="AK54" s="54">
        <v>0</v>
      </c>
      <c r="AL54" s="55">
        <v>4</v>
      </c>
      <c r="AM54" s="55">
        <v>2</v>
      </c>
      <c r="AN54" s="55">
        <v>4</v>
      </c>
      <c r="AO54" s="55">
        <v>2</v>
      </c>
      <c r="AP54" s="55">
        <v>0</v>
      </c>
      <c r="AQ54" s="56">
        <v>0</v>
      </c>
      <c r="AR54" s="57">
        <v>18</v>
      </c>
      <c r="AT54" s="98" t="s">
        <v>17</v>
      </c>
      <c r="AU54" s="101">
        <v>5</v>
      </c>
      <c r="BD54" s="22">
        <v>50</v>
      </c>
      <c r="BE54" s="77" t="s">
        <v>152</v>
      </c>
      <c r="BF54" s="77" t="s">
        <v>75</v>
      </c>
      <c r="BG54" s="77" t="s">
        <v>39</v>
      </c>
      <c r="BH54" s="77" t="s">
        <v>34</v>
      </c>
      <c r="BI54" s="77" t="s">
        <v>33</v>
      </c>
      <c r="BJ54" s="77" t="s">
        <v>40</v>
      </c>
      <c r="BK54" s="37" t="s">
        <v>34</v>
      </c>
      <c r="BM54" s="76">
        <f t="shared" si="37"/>
        <v>7</v>
      </c>
      <c r="BN54" s="76">
        <f t="shared" si="38"/>
        <v>6</v>
      </c>
      <c r="BO54" s="76">
        <f t="shared" si="39"/>
        <v>11</v>
      </c>
      <c r="BP54" s="76">
        <f t="shared" si="40"/>
        <v>4</v>
      </c>
      <c r="BQ54" s="76">
        <f t="shared" si="41"/>
        <v>3</v>
      </c>
      <c r="BR54" s="76">
        <f t="shared" si="42"/>
        <v>12</v>
      </c>
      <c r="BS54" s="76">
        <f t="shared" si="43"/>
        <v>4</v>
      </c>
      <c r="BU54" s="25">
        <v>1</v>
      </c>
      <c r="BV54" s="25">
        <v>1</v>
      </c>
      <c r="BW54" s="25">
        <v>1</v>
      </c>
      <c r="BX54" s="25">
        <v>1</v>
      </c>
      <c r="BY54" s="25">
        <v>1</v>
      </c>
      <c r="BZ54" s="25">
        <v>1</v>
      </c>
      <c r="CA54" s="7">
        <v>1</v>
      </c>
      <c r="CC54" s="53" t="s">
        <v>85</v>
      </c>
      <c r="CD54" s="54">
        <v>0</v>
      </c>
      <c r="CE54" s="55">
        <v>4</v>
      </c>
      <c r="CF54" s="55">
        <v>2</v>
      </c>
      <c r="CG54" s="55">
        <v>4</v>
      </c>
      <c r="CH54" s="55">
        <v>2</v>
      </c>
      <c r="CI54" s="55">
        <v>0</v>
      </c>
      <c r="CJ54" s="56">
        <v>0</v>
      </c>
      <c r="CK54" s="57">
        <v>18</v>
      </c>
      <c r="CM54" s="98" t="s">
        <v>17</v>
      </c>
      <c r="CN54" s="101">
        <v>5</v>
      </c>
      <c r="CW54" s="22">
        <v>50</v>
      </c>
      <c r="CX54" s="77" t="s">
        <v>152</v>
      </c>
      <c r="CY54" s="77" t="s">
        <v>75</v>
      </c>
      <c r="CZ54" s="77" t="s">
        <v>39</v>
      </c>
      <c r="DA54" s="77" t="s">
        <v>34</v>
      </c>
      <c r="DB54" s="77" t="s">
        <v>33</v>
      </c>
      <c r="DC54" s="77" t="s">
        <v>40</v>
      </c>
      <c r="DD54" s="37" t="s">
        <v>34</v>
      </c>
      <c r="DF54" s="76">
        <f t="shared" si="45"/>
        <v>7</v>
      </c>
      <c r="DG54" s="76">
        <f t="shared" si="10"/>
        <v>6</v>
      </c>
      <c r="DH54" s="76">
        <f t="shared" si="11"/>
        <v>11</v>
      </c>
      <c r="DI54" s="76">
        <f t="shared" si="12"/>
        <v>4</v>
      </c>
      <c r="DJ54" s="76">
        <f t="shared" si="13"/>
        <v>3</v>
      </c>
      <c r="DK54" s="76">
        <f t="shared" si="14"/>
        <v>12</v>
      </c>
      <c r="DL54" s="76">
        <f t="shared" si="15"/>
        <v>4</v>
      </c>
      <c r="DN54" s="25">
        <v>1</v>
      </c>
      <c r="DO54" s="25">
        <v>1</v>
      </c>
      <c r="DP54" s="25">
        <v>1</v>
      </c>
      <c r="DQ54" s="25">
        <v>1</v>
      </c>
      <c r="DR54" s="25">
        <v>1</v>
      </c>
      <c r="DS54" s="25">
        <v>1</v>
      </c>
      <c r="DT54" s="7">
        <v>1</v>
      </c>
      <c r="DV54" s="53" t="s">
        <v>85</v>
      </c>
      <c r="DW54" s="54">
        <v>0</v>
      </c>
      <c r="DX54" s="55">
        <v>4</v>
      </c>
      <c r="DY54" s="55">
        <v>2</v>
      </c>
      <c r="DZ54" s="55">
        <v>4</v>
      </c>
      <c r="EA54" s="55">
        <v>2</v>
      </c>
      <c r="EB54" s="55">
        <v>0</v>
      </c>
      <c r="EC54" s="56">
        <v>0</v>
      </c>
      <c r="ED54" s="57">
        <v>18</v>
      </c>
    </row>
    <row r="55" spans="1:134" ht="16.5" customHeight="1" x14ac:dyDescent="0.3">
      <c r="A55" s="98" t="s">
        <v>18</v>
      </c>
      <c r="B55" s="101">
        <v>8</v>
      </c>
      <c r="K55" s="21">
        <v>51</v>
      </c>
      <c r="L55" s="77" t="s">
        <v>37</v>
      </c>
      <c r="M55" s="77" t="s">
        <v>161</v>
      </c>
      <c r="N55" s="77" t="s">
        <v>75</v>
      </c>
      <c r="O55" s="77" t="s">
        <v>34</v>
      </c>
      <c r="P55" s="77" t="s">
        <v>33</v>
      </c>
      <c r="Q55" s="77" t="s">
        <v>40</v>
      </c>
      <c r="R55" s="37" t="s">
        <v>75</v>
      </c>
      <c r="T55" s="76">
        <f t="shared" si="23"/>
        <v>9</v>
      </c>
      <c r="U55" s="76">
        <f t="shared" si="24"/>
        <v>17</v>
      </c>
      <c r="V55" s="76">
        <f t="shared" si="25"/>
        <v>6</v>
      </c>
      <c r="W55" s="76">
        <f t="shared" si="26"/>
        <v>4</v>
      </c>
      <c r="X55" s="76">
        <f t="shared" si="27"/>
        <v>3</v>
      </c>
      <c r="Y55" s="76">
        <f t="shared" si="28"/>
        <v>12</v>
      </c>
      <c r="Z55" s="76">
        <f t="shared" si="29"/>
        <v>6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3</v>
      </c>
      <c r="AJ55" s="53" t="s">
        <v>86</v>
      </c>
      <c r="AK55" s="54">
        <v>0</v>
      </c>
      <c r="AL55" s="55">
        <v>4</v>
      </c>
      <c r="AM55" s="55">
        <v>5</v>
      </c>
      <c r="AN55" s="55">
        <v>2</v>
      </c>
      <c r="AO55" s="55">
        <v>2</v>
      </c>
      <c r="AP55" s="55">
        <v>0</v>
      </c>
      <c r="AQ55" s="56">
        <v>0</v>
      </c>
      <c r="AR55" s="57">
        <v>19</v>
      </c>
      <c r="AT55" s="98" t="s">
        <v>18</v>
      </c>
      <c r="AU55" s="101">
        <v>8</v>
      </c>
      <c r="BD55" s="21">
        <v>51</v>
      </c>
      <c r="BE55" s="77" t="s">
        <v>37</v>
      </c>
      <c r="BF55" s="77" t="s">
        <v>161</v>
      </c>
      <c r="BG55" s="77" t="s">
        <v>75</v>
      </c>
      <c r="BH55" s="77" t="s">
        <v>34</v>
      </c>
      <c r="BI55" s="77" t="s">
        <v>33</v>
      </c>
      <c r="BJ55" s="77" t="s">
        <v>40</v>
      </c>
      <c r="BK55" s="37" t="s">
        <v>75</v>
      </c>
      <c r="BM55" s="76">
        <f t="shared" si="37"/>
        <v>9</v>
      </c>
      <c r="BN55" s="76">
        <f t="shared" si="38"/>
        <v>17</v>
      </c>
      <c r="BO55" s="76">
        <f t="shared" si="39"/>
        <v>6</v>
      </c>
      <c r="BP55" s="76">
        <f t="shared" si="40"/>
        <v>4</v>
      </c>
      <c r="BQ55" s="76">
        <f t="shared" si="41"/>
        <v>3</v>
      </c>
      <c r="BR55" s="76">
        <f t="shared" si="42"/>
        <v>12</v>
      </c>
      <c r="BS55" s="76">
        <f t="shared" si="43"/>
        <v>6</v>
      </c>
      <c r="BU55" s="25">
        <v>1</v>
      </c>
      <c r="BV55" s="25">
        <v>1</v>
      </c>
      <c r="BW55" s="25">
        <v>1</v>
      </c>
      <c r="BX55" s="25">
        <v>1</v>
      </c>
      <c r="BY55" s="25">
        <v>1</v>
      </c>
      <c r="BZ55" s="25">
        <v>1</v>
      </c>
      <c r="CA55" s="7">
        <v>1</v>
      </c>
      <c r="CC55" s="53" t="s">
        <v>86</v>
      </c>
      <c r="CD55" s="54">
        <v>0</v>
      </c>
      <c r="CE55" s="55">
        <v>4</v>
      </c>
      <c r="CF55" s="55">
        <v>5</v>
      </c>
      <c r="CG55" s="55">
        <v>2</v>
      </c>
      <c r="CH55" s="55">
        <v>2</v>
      </c>
      <c r="CI55" s="55">
        <v>0</v>
      </c>
      <c r="CJ55" s="56">
        <v>0</v>
      </c>
      <c r="CK55" s="57">
        <v>19</v>
      </c>
      <c r="CM55" s="98" t="s">
        <v>18</v>
      </c>
      <c r="CN55" s="101">
        <v>8</v>
      </c>
      <c r="CW55" s="21">
        <v>51</v>
      </c>
      <c r="CX55" s="77" t="s">
        <v>37</v>
      </c>
      <c r="CY55" s="77" t="s">
        <v>161</v>
      </c>
      <c r="CZ55" s="77" t="s">
        <v>75</v>
      </c>
      <c r="DA55" s="77" t="s">
        <v>34</v>
      </c>
      <c r="DB55" s="77" t="s">
        <v>33</v>
      </c>
      <c r="DC55" s="77" t="s">
        <v>40</v>
      </c>
      <c r="DD55" s="37" t="s">
        <v>75</v>
      </c>
      <c r="DF55" s="76">
        <f t="shared" si="45"/>
        <v>9</v>
      </c>
      <c r="DG55" s="76">
        <f t="shared" si="10"/>
        <v>17</v>
      </c>
      <c r="DH55" s="76">
        <f t="shared" si="11"/>
        <v>6</v>
      </c>
      <c r="DI55" s="76">
        <f t="shared" si="12"/>
        <v>4</v>
      </c>
      <c r="DJ55" s="76">
        <f t="shared" si="13"/>
        <v>3</v>
      </c>
      <c r="DK55" s="76">
        <f t="shared" si="14"/>
        <v>12</v>
      </c>
      <c r="DL55" s="76">
        <f t="shared" si="15"/>
        <v>6</v>
      </c>
      <c r="DN55" s="25">
        <v>1</v>
      </c>
      <c r="DO55" s="25">
        <v>1</v>
      </c>
      <c r="DP55" s="25">
        <v>1</v>
      </c>
      <c r="DQ55" s="25">
        <v>1</v>
      </c>
      <c r="DR55" s="25">
        <v>1</v>
      </c>
      <c r="DS55" s="25">
        <v>1</v>
      </c>
      <c r="DT55" s="7">
        <v>1</v>
      </c>
      <c r="DV55" s="53" t="s">
        <v>86</v>
      </c>
      <c r="DW55" s="54">
        <v>0</v>
      </c>
      <c r="DX55" s="55">
        <v>4</v>
      </c>
      <c r="DY55" s="55">
        <v>5</v>
      </c>
      <c r="DZ55" s="55">
        <v>2</v>
      </c>
      <c r="EA55" s="55">
        <v>2</v>
      </c>
      <c r="EB55" s="55">
        <v>0</v>
      </c>
      <c r="EC55" s="56">
        <v>0</v>
      </c>
      <c r="ED55" s="57">
        <v>19</v>
      </c>
    </row>
    <row r="56" spans="1:134" ht="16.5" customHeight="1" x14ac:dyDescent="0.3">
      <c r="A56" s="98" t="s">
        <v>74</v>
      </c>
      <c r="B56" s="101">
        <v>12</v>
      </c>
      <c r="K56" s="22">
        <v>52</v>
      </c>
      <c r="L56" s="77" t="s">
        <v>39</v>
      </c>
      <c r="M56" s="77" t="s">
        <v>38</v>
      </c>
      <c r="N56" s="77" t="s">
        <v>37</v>
      </c>
      <c r="O56" s="77" t="s">
        <v>39</v>
      </c>
      <c r="P56" s="77" t="s">
        <v>39</v>
      </c>
      <c r="Q56" s="77" t="s">
        <v>25</v>
      </c>
      <c r="R56" s="37" t="s">
        <v>75</v>
      </c>
      <c r="T56" s="76">
        <f t="shared" si="23"/>
        <v>11</v>
      </c>
      <c r="U56" s="76">
        <f t="shared" si="24"/>
        <v>10</v>
      </c>
      <c r="V56" s="76">
        <f t="shared" si="25"/>
        <v>9</v>
      </c>
      <c r="W56" s="76">
        <f t="shared" si="26"/>
        <v>11</v>
      </c>
      <c r="X56" s="76">
        <f t="shared" si="27"/>
        <v>11</v>
      </c>
      <c r="Y56" s="76">
        <f t="shared" si="28"/>
        <v>8</v>
      </c>
      <c r="Z56" s="76">
        <f t="shared" si="29"/>
        <v>6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53" t="s">
        <v>87</v>
      </c>
      <c r="AK56" s="54">
        <v>0</v>
      </c>
      <c r="AL56" s="55">
        <v>2</v>
      </c>
      <c r="AM56" s="55">
        <v>7</v>
      </c>
      <c r="AN56" s="55">
        <v>2</v>
      </c>
      <c r="AO56" s="55">
        <v>2</v>
      </c>
      <c r="AP56" s="55">
        <v>0</v>
      </c>
      <c r="AQ56" s="56">
        <v>0</v>
      </c>
      <c r="AR56" s="57">
        <v>20</v>
      </c>
      <c r="AT56" s="98" t="s">
        <v>74</v>
      </c>
      <c r="AU56" s="101">
        <v>12</v>
      </c>
      <c r="BD56" s="22">
        <v>52</v>
      </c>
      <c r="BE56" s="77" t="s">
        <v>39</v>
      </c>
      <c r="BF56" s="77" t="s">
        <v>38</v>
      </c>
      <c r="BG56" s="77" t="s">
        <v>37</v>
      </c>
      <c r="BH56" s="77" t="s">
        <v>39</v>
      </c>
      <c r="BI56" s="77" t="s">
        <v>39</v>
      </c>
      <c r="BJ56" s="77" t="s">
        <v>25</v>
      </c>
      <c r="BK56" s="37" t="s">
        <v>75</v>
      </c>
      <c r="BM56" s="76">
        <f t="shared" si="37"/>
        <v>11</v>
      </c>
      <c r="BN56" s="76">
        <f t="shared" si="38"/>
        <v>10</v>
      </c>
      <c r="BO56" s="76">
        <f t="shared" si="39"/>
        <v>9</v>
      </c>
      <c r="BP56" s="76">
        <f t="shared" si="40"/>
        <v>11</v>
      </c>
      <c r="BQ56" s="76">
        <f t="shared" si="41"/>
        <v>11</v>
      </c>
      <c r="BR56" s="76">
        <f t="shared" si="42"/>
        <v>8</v>
      </c>
      <c r="BS56" s="76">
        <f t="shared" si="43"/>
        <v>6</v>
      </c>
      <c r="BU56" s="25">
        <v>1</v>
      </c>
      <c r="BV56" s="25">
        <v>1</v>
      </c>
      <c r="BW56" s="25">
        <v>1</v>
      </c>
      <c r="BX56" s="25">
        <v>1</v>
      </c>
      <c r="BY56" s="25">
        <v>1</v>
      </c>
      <c r="BZ56" s="25">
        <v>1</v>
      </c>
      <c r="CA56" s="7">
        <v>1</v>
      </c>
      <c r="CC56" s="53" t="s">
        <v>87</v>
      </c>
      <c r="CD56" s="54">
        <v>0</v>
      </c>
      <c r="CE56" s="55">
        <v>2</v>
      </c>
      <c r="CF56" s="55">
        <v>7</v>
      </c>
      <c r="CG56" s="55">
        <v>2</v>
      </c>
      <c r="CH56" s="55">
        <v>2</v>
      </c>
      <c r="CI56" s="55">
        <v>0</v>
      </c>
      <c r="CJ56" s="56">
        <v>0</v>
      </c>
      <c r="CK56" s="57">
        <v>20</v>
      </c>
      <c r="CM56" s="98" t="s">
        <v>74</v>
      </c>
      <c r="CN56" s="101">
        <v>12</v>
      </c>
      <c r="CW56" s="22">
        <v>52</v>
      </c>
      <c r="CX56" s="77" t="s">
        <v>39</v>
      </c>
      <c r="CY56" s="77" t="s">
        <v>38</v>
      </c>
      <c r="CZ56" s="77" t="s">
        <v>37</v>
      </c>
      <c r="DA56" s="77" t="s">
        <v>39</v>
      </c>
      <c r="DB56" s="77" t="s">
        <v>39</v>
      </c>
      <c r="DC56" s="77" t="s">
        <v>25</v>
      </c>
      <c r="DD56" s="37" t="s">
        <v>75</v>
      </c>
      <c r="DF56" s="76">
        <f t="shared" si="45"/>
        <v>11</v>
      </c>
      <c r="DG56" s="76">
        <f t="shared" si="10"/>
        <v>10</v>
      </c>
      <c r="DH56" s="76">
        <f t="shared" si="11"/>
        <v>9</v>
      </c>
      <c r="DI56" s="76">
        <f t="shared" si="12"/>
        <v>11</v>
      </c>
      <c r="DJ56" s="76">
        <f t="shared" si="13"/>
        <v>11</v>
      </c>
      <c r="DK56" s="76">
        <f t="shared" si="14"/>
        <v>8</v>
      </c>
      <c r="DL56" s="76">
        <f t="shared" si="15"/>
        <v>6</v>
      </c>
      <c r="DN56" s="25">
        <v>1</v>
      </c>
      <c r="DO56" s="25">
        <v>1</v>
      </c>
      <c r="DP56" s="25">
        <v>1</v>
      </c>
      <c r="DQ56" s="25">
        <v>1</v>
      </c>
      <c r="DR56" s="25">
        <v>1</v>
      </c>
      <c r="DS56" s="25">
        <v>1</v>
      </c>
      <c r="DT56" s="7">
        <v>1</v>
      </c>
      <c r="DV56" s="53" t="s">
        <v>87</v>
      </c>
      <c r="DW56" s="54">
        <v>0</v>
      </c>
      <c r="DX56" s="55">
        <v>2</v>
      </c>
      <c r="DY56" s="55">
        <v>7</v>
      </c>
      <c r="DZ56" s="55">
        <v>2</v>
      </c>
      <c r="EA56" s="55">
        <v>2</v>
      </c>
      <c r="EB56" s="55">
        <v>0</v>
      </c>
      <c r="EC56" s="56">
        <v>0</v>
      </c>
      <c r="ED56" s="57">
        <v>20</v>
      </c>
    </row>
    <row r="57" spans="1:134" ht="16.5" customHeight="1" thickBot="1" x14ac:dyDescent="0.35">
      <c r="A57" s="98" t="s">
        <v>170</v>
      </c>
      <c r="B57" s="101">
        <v>10</v>
      </c>
      <c r="K57" s="21">
        <v>53</v>
      </c>
      <c r="L57" s="77" t="s">
        <v>39</v>
      </c>
      <c r="M57" s="77" t="s">
        <v>38</v>
      </c>
      <c r="N57" s="77" t="s">
        <v>37</v>
      </c>
      <c r="O57" s="77" t="s">
        <v>39</v>
      </c>
      <c r="P57" s="77" t="s">
        <v>25</v>
      </c>
      <c r="Q57" s="77" t="s">
        <v>38</v>
      </c>
      <c r="R57" s="37" t="s">
        <v>75</v>
      </c>
      <c r="T57" s="76">
        <f t="shared" si="23"/>
        <v>11</v>
      </c>
      <c r="U57" s="76">
        <f t="shared" si="24"/>
        <v>10</v>
      </c>
      <c r="V57" s="76">
        <f t="shared" si="25"/>
        <v>9</v>
      </c>
      <c r="W57" s="76">
        <f t="shared" si="26"/>
        <v>11</v>
      </c>
      <c r="X57" s="76">
        <f t="shared" si="27"/>
        <v>8</v>
      </c>
      <c r="Y57" s="76">
        <f t="shared" si="28"/>
        <v>10</v>
      </c>
      <c r="Z57" s="76">
        <f t="shared" si="29"/>
        <v>6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59" t="s">
        <v>88</v>
      </c>
      <c r="AK57" s="60">
        <v>0</v>
      </c>
      <c r="AL57" s="61">
        <v>4</v>
      </c>
      <c r="AM57" s="61">
        <v>7</v>
      </c>
      <c r="AN57" s="61">
        <v>2</v>
      </c>
      <c r="AO57" s="61">
        <v>2</v>
      </c>
      <c r="AP57" s="61">
        <v>0</v>
      </c>
      <c r="AQ57" s="62">
        <v>0</v>
      </c>
      <c r="AR57" s="63">
        <v>21</v>
      </c>
      <c r="AT57" s="98" t="s">
        <v>170</v>
      </c>
      <c r="AU57" s="101">
        <v>10</v>
      </c>
      <c r="BD57" s="21">
        <v>53</v>
      </c>
      <c r="BE57" s="77" t="s">
        <v>39</v>
      </c>
      <c r="BF57" s="77" t="s">
        <v>38</v>
      </c>
      <c r="BG57" s="77" t="s">
        <v>37</v>
      </c>
      <c r="BH57" s="77" t="s">
        <v>39</v>
      </c>
      <c r="BI57" s="77" t="s">
        <v>25</v>
      </c>
      <c r="BJ57" s="77" t="s">
        <v>38</v>
      </c>
      <c r="BK57" s="37" t="s">
        <v>75</v>
      </c>
      <c r="BM57" s="76">
        <f t="shared" si="37"/>
        <v>11</v>
      </c>
      <c r="BN57" s="76">
        <f t="shared" si="38"/>
        <v>10</v>
      </c>
      <c r="BO57" s="76">
        <f t="shared" si="39"/>
        <v>9</v>
      </c>
      <c r="BP57" s="76">
        <f t="shared" si="40"/>
        <v>11</v>
      </c>
      <c r="BQ57" s="76">
        <f t="shared" si="41"/>
        <v>8</v>
      </c>
      <c r="BR57" s="76">
        <f t="shared" si="42"/>
        <v>10</v>
      </c>
      <c r="BS57" s="76">
        <f t="shared" si="43"/>
        <v>6</v>
      </c>
      <c r="BU57" s="25">
        <v>1</v>
      </c>
      <c r="BV57" s="25">
        <v>1</v>
      </c>
      <c r="BW57" s="25">
        <v>1</v>
      </c>
      <c r="BX57" s="25">
        <v>1</v>
      </c>
      <c r="BY57" s="25">
        <v>1</v>
      </c>
      <c r="BZ57" s="25">
        <v>1</v>
      </c>
      <c r="CA57" s="7">
        <v>1</v>
      </c>
      <c r="CC57" s="59" t="s">
        <v>88</v>
      </c>
      <c r="CD57" s="60">
        <v>0</v>
      </c>
      <c r="CE57" s="61">
        <v>4</v>
      </c>
      <c r="CF57" s="61">
        <v>7</v>
      </c>
      <c r="CG57" s="61">
        <v>2</v>
      </c>
      <c r="CH57" s="61">
        <v>2</v>
      </c>
      <c r="CI57" s="61">
        <v>0</v>
      </c>
      <c r="CJ57" s="62">
        <v>0</v>
      </c>
      <c r="CK57" s="63">
        <v>21</v>
      </c>
      <c r="CM57" s="98" t="s">
        <v>170</v>
      </c>
      <c r="CN57" s="101">
        <v>10</v>
      </c>
      <c r="CW57" s="21">
        <v>53</v>
      </c>
      <c r="CX57" s="77" t="s">
        <v>39</v>
      </c>
      <c r="CY57" s="77" t="s">
        <v>38</v>
      </c>
      <c r="CZ57" s="77" t="s">
        <v>37</v>
      </c>
      <c r="DA57" s="77" t="s">
        <v>39</v>
      </c>
      <c r="DB57" s="77" t="s">
        <v>25</v>
      </c>
      <c r="DC57" s="77" t="s">
        <v>38</v>
      </c>
      <c r="DD57" s="37" t="s">
        <v>75</v>
      </c>
      <c r="DF57" s="76">
        <f t="shared" si="45"/>
        <v>11</v>
      </c>
      <c r="DG57" s="76">
        <f t="shared" si="10"/>
        <v>10</v>
      </c>
      <c r="DH57" s="76">
        <f t="shared" si="11"/>
        <v>9</v>
      </c>
      <c r="DI57" s="76">
        <f t="shared" si="12"/>
        <v>11</v>
      </c>
      <c r="DJ57" s="76">
        <f t="shared" si="13"/>
        <v>8</v>
      </c>
      <c r="DK57" s="76">
        <f t="shared" si="14"/>
        <v>10</v>
      </c>
      <c r="DL57" s="76">
        <f t="shared" si="15"/>
        <v>6</v>
      </c>
      <c r="DN57" s="25">
        <v>1</v>
      </c>
      <c r="DO57" s="25">
        <v>1</v>
      </c>
      <c r="DP57" s="25">
        <v>1</v>
      </c>
      <c r="DQ57" s="25">
        <v>1</v>
      </c>
      <c r="DR57" s="25">
        <v>1</v>
      </c>
      <c r="DS57" s="25">
        <v>1</v>
      </c>
      <c r="DT57" s="7">
        <v>1</v>
      </c>
      <c r="DV57" s="59" t="s">
        <v>88</v>
      </c>
      <c r="DW57" s="60">
        <v>0</v>
      </c>
      <c r="DX57" s="61">
        <v>4</v>
      </c>
      <c r="DY57" s="61">
        <v>7</v>
      </c>
      <c r="DZ57" s="61">
        <v>2</v>
      </c>
      <c r="EA57" s="61">
        <v>2</v>
      </c>
      <c r="EB57" s="61">
        <v>0</v>
      </c>
      <c r="EC57" s="62">
        <v>0</v>
      </c>
      <c r="ED57" s="63">
        <v>21</v>
      </c>
    </row>
    <row r="58" spans="1:134" ht="16.5" customHeight="1" x14ac:dyDescent="0.3">
      <c r="A58" s="98" t="s">
        <v>171</v>
      </c>
      <c r="B58" s="101">
        <v>10</v>
      </c>
      <c r="K58" s="22">
        <v>54</v>
      </c>
      <c r="L58" s="77" t="s">
        <v>35</v>
      </c>
      <c r="M58" s="77" t="s">
        <v>40</v>
      </c>
      <c r="N58" s="77" t="s">
        <v>35</v>
      </c>
      <c r="O58" s="77" t="s">
        <v>75</v>
      </c>
      <c r="P58" s="77" t="s">
        <v>32</v>
      </c>
      <c r="Q58" s="77" t="s">
        <v>38</v>
      </c>
      <c r="R58" s="37" t="s">
        <v>32</v>
      </c>
      <c r="T58" s="76">
        <f t="shared" si="23"/>
        <v>5</v>
      </c>
      <c r="U58" s="76">
        <f t="shared" si="24"/>
        <v>12</v>
      </c>
      <c r="V58" s="76">
        <f t="shared" si="25"/>
        <v>5</v>
      </c>
      <c r="W58" s="76">
        <f t="shared" si="26"/>
        <v>6</v>
      </c>
      <c r="X58" s="76">
        <f t="shared" si="27"/>
        <v>2</v>
      </c>
      <c r="Y58" s="76">
        <f t="shared" si="28"/>
        <v>10</v>
      </c>
      <c r="Z58" s="76">
        <f t="shared" si="29"/>
        <v>2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3</v>
      </c>
      <c r="AJ58" s="132" t="s">
        <v>176</v>
      </c>
      <c r="AK58" s="133">
        <v>0</v>
      </c>
      <c r="AL58" s="134">
        <v>10</v>
      </c>
      <c r="AM58" s="134">
        <v>10</v>
      </c>
      <c r="AN58" s="134">
        <v>10</v>
      </c>
      <c r="AO58" s="134">
        <v>10</v>
      </c>
      <c r="AP58" s="134">
        <v>0</v>
      </c>
      <c r="AQ58" s="135">
        <v>0</v>
      </c>
      <c r="AR58" s="131">
        <v>24</v>
      </c>
      <c r="AT58" s="98" t="s">
        <v>171</v>
      </c>
      <c r="AU58" s="101">
        <v>10</v>
      </c>
      <c r="BD58" s="22">
        <v>54</v>
      </c>
      <c r="BE58" s="77" t="s">
        <v>35</v>
      </c>
      <c r="BF58" s="77" t="s">
        <v>40</v>
      </c>
      <c r="BG58" s="77" t="s">
        <v>35</v>
      </c>
      <c r="BH58" s="77" t="s">
        <v>75</v>
      </c>
      <c r="BI58" s="77" t="s">
        <v>25</v>
      </c>
      <c r="BJ58" s="77" t="s">
        <v>38</v>
      </c>
      <c r="BK58" s="37" t="s">
        <v>152</v>
      </c>
      <c r="BM58" s="76">
        <f t="shared" si="37"/>
        <v>5</v>
      </c>
      <c r="BN58" s="76">
        <f t="shared" si="38"/>
        <v>12</v>
      </c>
      <c r="BO58" s="76">
        <f t="shared" si="39"/>
        <v>5</v>
      </c>
      <c r="BP58" s="76">
        <f t="shared" si="40"/>
        <v>6</v>
      </c>
      <c r="BQ58" s="76">
        <f t="shared" si="41"/>
        <v>8</v>
      </c>
      <c r="BR58" s="76">
        <f t="shared" si="42"/>
        <v>10</v>
      </c>
      <c r="BS58" s="76">
        <f t="shared" si="43"/>
        <v>7</v>
      </c>
      <c r="BU58" s="25">
        <v>1</v>
      </c>
      <c r="BV58" s="25">
        <v>1</v>
      </c>
      <c r="BW58" s="25">
        <v>1</v>
      </c>
      <c r="BX58" s="25">
        <v>1</v>
      </c>
      <c r="BY58" s="25">
        <v>1</v>
      </c>
      <c r="BZ58" s="25">
        <v>1</v>
      </c>
      <c r="CA58" s="7">
        <v>1</v>
      </c>
      <c r="CC58" s="132" t="s">
        <v>176</v>
      </c>
      <c r="CD58" s="133">
        <v>0</v>
      </c>
      <c r="CE58" s="134">
        <v>10</v>
      </c>
      <c r="CF58" s="134">
        <v>10</v>
      </c>
      <c r="CG58" s="134">
        <v>10</v>
      </c>
      <c r="CH58" s="134">
        <v>10</v>
      </c>
      <c r="CI58" s="134">
        <v>0</v>
      </c>
      <c r="CJ58" s="135">
        <v>0</v>
      </c>
      <c r="CK58" s="131">
        <v>24</v>
      </c>
      <c r="CM58" s="98" t="s">
        <v>171</v>
      </c>
      <c r="CN58" s="101">
        <v>10</v>
      </c>
      <c r="CW58" s="22">
        <v>54</v>
      </c>
      <c r="CX58" s="77" t="s">
        <v>35</v>
      </c>
      <c r="CY58" s="77" t="s">
        <v>40</v>
      </c>
      <c r="CZ58" s="77" t="s">
        <v>35</v>
      </c>
      <c r="DA58" s="77" t="s">
        <v>75</v>
      </c>
      <c r="DB58" s="77" t="s">
        <v>25</v>
      </c>
      <c r="DC58" s="77" t="s">
        <v>38</v>
      </c>
      <c r="DD58" s="37" t="s">
        <v>152</v>
      </c>
      <c r="DF58" s="76">
        <f t="shared" si="45"/>
        <v>5</v>
      </c>
      <c r="DG58" s="76">
        <f t="shared" si="10"/>
        <v>12</v>
      </c>
      <c r="DH58" s="76">
        <f t="shared" si="11"/>
        <v>5</v>
      </c>
      <c r="DI58" s="76">
        <f t="shared" si="12"/>
        <v>6</v>
      </c>
      <c r="DJ58" s="76">
        <f t="shared" si="13"/>
        <v>8</v>
      </c>
      <c r="DK58" s="76">
        <f t="shared" si="14"/>
        <v>10</v>
      </c>
      <c r="DL58" s="76">
        <f t="shared" si="15"/>
        <v>7</v>
      </c>
      <c r="DN58" s="25">
        <v>1</v>
      </c>
      <c r="DO58" s="25">
        <v>1</v>
      </c>
      <c r="DP58" s="25">
        <v>1</v>
      </c>
      <c r="DQ58" s="25">
        <v>1</v>
      </c>
      <c r="DR58" s="25">
        <v>1</v>
      </c>
      <c r="DS58" s="25">
        <v>1</v>
      </c>
      <c r="DT58" s="7">
        <v>1</v>
      </c>
      <c r="DV58" s="132" t="s">
        <v>176</v>
      </c>
      <c r="DW58" s="133">
        <v>0</v>
      </c>
      <c r="DX58" s="134">
        <v>10</v>
      </c>
      <c r="DY58" s="134">
        <v>10</v>
      </c>
      <c r="DZ58" s="134">
        <v>10</v>
      </c>
      <c r="EA58" s="134">
        <v>10</v>
      </c>
      <c r="EB58" s="134">
        <v>0</v>
      </c>
      <c r="EC58" s="135">
        <v>0</v>
      </c>
      <c r="ED58" s="131">
        <v>24</v>
      </c>
    </row>
    <row r="59" spans="1:134" ht="16.5" customHeight="1" thickBot="1" x14ac:dyDescent="0.35">
      <c r="A59" s="103" t="s">
        <v>37</v>
      </c>
      <c r="B59" s="124">
        <v>10</v>
      </c>
      <c r="K59" s="21">
        <v>55</v>
      </c>
      <c r="L59" s="77" t="s">
        <v>35</v>
      </c>
      <c r="M59" s="77" t="s">
        <v>39</v>
      </c>
      <c r="N59" s="77" t="s">
        <v>39</v>
      </c>
      <c r="O59" s="77" t="s">
        <v>75</v>
      </c>
      <c r="P59" s="77" t="s">
        <v>33</v>
      </c>
      <c r="Q59" s="77" t="s">
        <v>75</v>
      </c>
      <c r="R59" s="37" t="s">
        <v>32</v>
      </c>
      <c r="T59" s="76">
        <f t="shared" si="23"/>
        <v>5</v>
      </c>
      <c r="U59" s="76">
        <f t="shared" si="24"/>
        <v>11</v>
      </c>
      <c r="V59" s="76">
        <f t="shared" si="25"/>
        <v>11</v>
      </c>
      <c r="W59" s="76">
        <f t="shared" si="26"/>
        <v>6</v>
      </c>
      <c r="X59" s="76">
        <f t="shared" si="27"/>
        <v>3</v>
      </c>
      <c r="Y59" s="76">
        <f t="shared" si="28"/>
        <v>6</v>
      </c>
      <c r="Z59" s="76">
        <f t="shared" si="29"/>
        <v>2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80" t="s">
        <v>187</v>
      </c>
      <c r="AK59" s="72">
        <v>0</v>
      </c>
      <c r="AL59" s="73">
        <v>1</v>
      </c>
      <c r="AM59" s="73">
        <v>1</v>
      </c>
      <c r="AN59" s="73">
        <v>1</v>
      </c>
      <c r="AO59" s="73">
        <v>1</v>
      </c>
      <c r="AP59" s="73">
        <v>0</v>
      </c>
      <c r="AQ59" s="74">
        <v>0</v>
      </c>
      <c r="AR59" s="63">
        <v>25</v>
      </c>
      <c r="AT59" s="103" t="s">
        <v>37</v>
      </c>
      <c r="AU59" s="124">
        <v>10</v>
      </c>
      <c r="BD59" s="21">
        <v>55</v>
      </c>
      <c r="BE59" s="77" t="s">
        <v>35</v>
      </c>
      <c r="BF59" s="77" t="s">
        <v>39</v>
      </c>
      <c r="BG59" s="77" t="s">
        <v>39</v>
      </c>
      <c r="BH59" s="77" t="s">
        <v>75</v>
      </c>
      <c r="BI59" s="77" t="s">
        <v>33</v>
      </c>
      <c r="BJ59" s="77" t="s">
        <v>75</v>
      </c>
      <c r="BK59" s="37" t="s">
        <v>152</v>
      </c>
      <c r="BM59" s="76">
        <f t="shared" si="37"/>
        <v>5</v>
      </c>
      <c r="BN59" s="76">
        <f t="shared" si="38"/>
        <v>11</v>
      </c>
      <c r="BO59" s="76">
        <f t="shared" si="39"/>
        <v>11</v>
      </c>
      <c r="BP59" s="76">
        <f t="shared" si="40"/>
        <v>6</v>
      </c>
      <c r="BQ59" s="76">
        <f t="shared" si="41"/>
        <v>3</v>
      </c>
      <c r="BR59" s="76">
        <f t="shared" si="42"/>
        <v>6</v>
      </c>
      <c r="BS59" s="76">
        <f t="shared" si="43"/>
        <v>7</v>
      </c>
      <c r="BU59" s="25">
        <v>1</v>
      </c>
      <c r="BV59" s="25">
        <v>1</v>
      </c>
      <c r="BW59" s="25">
        <v>1</v>
      </c>
      <c r="BX59" s="25">
        <v>1</v>
      </c>
      <c r="BY59" s="25">
        <v>1</v>
      </c>
      <c r="BZ59" s="25">
        <v>1</v>
      </c>
      <c r="CA59" s="7">
        <v>1</v>
      </c>
      <c r="CC59" s="80" t="s">
        <v>187</v>
      </c>
      <c r="CD59" s="72">
        <v>0</v>
      </c>
      <c r="CE59" s="73">
        <v>1</v>
      </c>
      <c r="CF59" s="73">
        <v>1</v>
      </c>
      <c r="CG59" s="73">
        <v>1</v>
      </c>
      <c r="CH59" s="73">
        <v>1</v>
      </c>
      <c r="CI59" s="73">
        <v>0</v>
      </c>
      <c r="CJ59" s="74">
        <v>0</v>
      </c>
      <c r="CK59" s="63">
        <v>25</v>
      </c>
      <c r="CM59" s="103" t="s">
        <v>37</v>
      </c>
      <c r="CN59" s="124">
        <v>10</v>
      </c>
      <c r="CW59" s="21">
        <v>55</v>
      </c>
      <c r="CX59" s="77" t="s">
        <v>35</v>
      </c>
      <c r="CY59" s="77" t="s">
        <v>39</v>
      </c>
      <c r="CZ59" s="77" t="s">
        <v>39</v>
      </c>
      <c r="DA59" s="77" t="s">
        <v>75</v>
      </c>
      <c r="DB59" s="77" t="s">
        <v>33</v>
      </c>
      <c r="DC59" s="77" t="s">
        <v>75</v>
      </c>
      <c r="DD59" s="37" t="s">
        <v>152</v>
      </c>
      <c r="DF59" s="76">
        <f t="shared" si="45"/>
        <v>5</v>
      </c>
      <c r="DG59" s="76">
        <f t="shared" si="10"/>
        <v>11</v>
      </c>
      <c r="DH59" s="76">
        <f t="shared" si="11"/>
        <v>11</v>
      </c>
      <c r="DI59" s="76">
        <f t="shared" si="12"/>
        <v>6</v>
      </c>
      <c r="DJ59" s="76">
        <f t="shared" si="13"/>
        <v>3</v>
      </c>
      <c r="DK59" s="76">
        <f t="shared" si="14"/>
        <v>6</v>
      </c>
      <c r="DL59" s="76">
        <f t="shared" si="15"/>
        <v>7</v>
      </c>
      <c r="DN59" s="25">
        <v>1</v>
      </c>
      <c r="DO59" s="25">
        <v>1</v>
      </c>
      <c r="DP59" s="25">
        <v>1</v>
      </c>
      <c r="DQ59" s="25">
        <v>1</v>
      </c>
      <c r="DR59" s="25">
        <v>1</v>
      </c>
      <c r="DS59" s="25">
        <v>1</v>
      </c>
      <c r="DT59" s="7">
        <v>1</v>
      </c>
      <c r="DV59" s="80" t="s">
        <v>187</v>
      </c>
      <c r="DW59" s="72">
        <v>0</v>
      </c>
      <c r="DX59" s="73">
        <v>1</v>
      </c>
      <c r="DY59" s="73">
        <v>1</v>
      </c>
      <c r="DZ59" s="73">
        <v>1</v>
      </c>
      <c r="EA59" s="73">
        <v>1</v>
      </c>
      <c r="EB59" s="73">
        <v>0</v>
      </c>
      <c r="EC59" s="74">
        <v>0</v>
      </c>
      <c r="ED59" s="63">
        <v>25</v>
      </c>
    </row>
    <row r="60" spans="1:134" ht="16.5" customHeight="1" x14ac:dyDescent="0.3">
      <c r="A60" s="103" t="s">
        <v>38</v>
      </c>
      <c r="B60" s="124">
        <v>10</v>
      </c>
      <c r="K60" s="22">
        <v>56</v>
      </c>
      <c r="L60" s="77" t="s">
        <v>40</v>
      </c>
      <c r="M60" s="77" t="s">
        <v>39</v>
      </c>
      <c r="N60" s="77" t="s">
        <v>39</v>
      </c>
      <c r="O60" s="77" t="s">
        <v>161</v>
      </c>
      <c r="P60" s="77" t="s">
        <v>33</v>
      </c>
      <c r="Q60" s="77" t="s">
        <v>25</v>
      </c>
      <c r="R60" s="37" t="s">
        <v>152</v>
      </c>
      <c r="T60" s="76">
        <f t="shared" si="23"/>
        <v>12</v>
      </c>
      <c r="U60" s="76">
        <f t="shared" si="24"/>
        <v>11</v>
      </c>
      <c r="V60" s="76">
        <f t="shared" si="25"/>
        <v>11</v>
      </c>
      <c r="W60" s="76">
        <f t="shared" si="26"/>
        <v>17</v>
      </c>
      <c r="X60" s="76">
        <f t="shared" si="27"/>
        <v>3</v>
      </c>
      <c r="Y60" s="76">
        <f t="shared" si="28"/>
        <v>8</v>
      </c>
      <c r="Z60" s="76">
        <f t="shared" si="29"/>
        <v>7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82"/>
      <c r="AK60" s="82"/>
      <c r="AL60" s="82"/>
      <c r="AM60" s="82"/>
      <c r="AN60" s="82"/>
      <c r="AO60" s="82"/>
      <c r="AP60" s="82"/>
      <c r="AQ60" s="82"/>
      <c r="AR60" s="82"/>
      <c r="AT60" s="103" t="s">
        <v>38</v>
      </c>
      <c r="AU60" s="124">
        <v>10</v>
      </c>
      <c r="BD60" s="22">
        <v>56</v>
      </c>
      <c r="BE60" s="77" t="s">
        <v>40</v>
      </c>
      <c r="BF60" s="77" t="s">
        <v>39</v>
      </c>
      <c r="BG60" s="77" t="s">
        <v>39</v>
      </c>
      <c r="BH60" s="77" t="s">
        <v>161</v>
      </c>
      <c r="BI60" s="77" t="s">
        <v>33</v>
      </c>
      <c r="BJ60" s="77" t="s">
        <v>25</v>
      </c>
      <c r="BK60" s="37" t="s">
        <v>152</v>
      </c>
      <c r="BM60" s="76">
        <f t="shared" si="37"/>
        <v>12</v>
      </c>
      <c r="BN60" s="76">
        <f t="shared" si="38"/>
        <v>11</v>
      </c>
      <c r="BO60" s="76">
        <f t="shared" si="39"/>
        <v>11</v>
      </c>
      <c r="BP60" s="76">
        <f t="shared" si="40"/>
        <v>17</v>
      </c>
      <c r="BQ60" s="76">
        <f t="shared" si="41"/>
        <v>3</v>
      </c>
      <c r="BR60" s="76">
        <f t="shared" si="42"/>
        <v>8</v>
      </c>
      <c r="BS60" s="76">
        <f t="shared" si="43"/>
        <v>7</v>
      </c>
      <c r="BU60" s="25">
        <v>1</v>
      </c>
      <c r="BV60" s="25">
        <v>1</v>
      </c>
      <c r="BW60" s="25">
        <v>1</v>
      </c>
      <c r="BX60" s="25">
        <v>1</v>
      </c>
      <c r="BY60" s="25">
        <v>1</v>
      </c>
      <c r="BZ60" s="25">
        <v>1</v>
      </c>
      <c r="CA60" s="7">
        <v>1</v>
      </c>
      <c r="CC60" s="82"/>
      <c r="CD60" s="82"/>
      <c r="CE60" s="82"/>
      <c r="CF60" s="82"/>
      <c r="CG60" s="82"/>
      <c r="CH60" s="82"/>
      <c r="CI60" s="82"/>
      <c r="CJ60" s="82"/>
      <c r="CK60" s="82"/>
      <c r="CM60" s="103" t="s">
        <v>38</v>
      </c>
      <c r="CN60" s="124">
        <v>10</v>
      </c>
      <c r="CW60" s="22">
        <v>56</v>
      </c>
      <c r="CX60" s="77" t="s">
        <v>40</v>
      </c>
      <c r="CY60" s="77" t="s">
        <v>39</v>
      </c>
      <c r="CZ60" s="77" t="s">
        <v>39</v>
      </c>
      <c r="DA60" s="77" t="s">
        <v>161</v>
      </c>
      <c r="DB60" s="77" t="s">
        <v>33</v>
      </c>
      <c r="DC60" s="77" t="s">
        <v>25</v>
      </c>
      <c r="DD60" s="37" t="s">
        <v>152</v>
      </c>
      <c r="DF60" s="76">
        <f t="shared" si="45"/>
        <v>12</v>
      </c>
      <c r="DG60" s="76">
        <f t="shared" si="10"/>
        <v>11</v>
      </c>
      <c r="DH60" s="76">
        <f t="shared" si="11"/>
        <v>11</v>
      </c>
      <c r="DI60" s="76">
        <f t="shared" si="12"/>
        <v>17</v>
      </c>
      <c r="DJ60" s="76">
        <f t="shared" si="13"/>
        <v>3</v>
      </c>
      <c r="DK60" s="76">
        <f t="shared" si="14"/>
        <v>8</v>
      </c>
      <c r="DL60" s="76">
        <f t="shared" si="15"/>
        <v>7</v>
      </c>
      <c r="DN60" s="25">
        <v>1</v>
      </c>
      <c r="DO60" s="25">
        <v>1</v>
      </c>
      <c r="DP60" s="25">
        <v>1</v>
      </c>
      <c r="DQ60" s="25">
        <v>1</v>
      </c>
      <c r="DR60" s="25">
        <v>1</v>
      </c>
      <c r="DS60" s="25">
        <v>1</v>
      </c>
      <c r="DT60" s="7">
        <v>1</v>
      </c>
      <c r="DV60" s="82"/>
      <c r="DW60" s="82"/>
      <c r="DX60" s="82"/>
      <c r="DY60" s="82"/>
      <c r="DZ60" s="82"/>
      <c r="EA60" s="82"/>
      <c r="EB60" s="82"/>
      <c r="EC60" s="82"/>
      <c r="ED60" s="82"/>
    </row>
    <row r="61" spans="1:134" ht="16.8" thickBot="1" x14ac:dyDescent="0.35">
      <c r="A61" s="103" t="s">
        <v>39</v>
      </c>
      <c r="B61" s="124">
        <v>10</v>
      </c>
      <c r="K61" s="21">
        <v>57</v>
      </c>
      <c r="L61" s="77" t="s">
        <v>40</v>
      </c>
      <c r="M61" s="77" t="s">
        <v>32</v>
      </c>
      <c r="N61" s="77" t="s">
        <v>40</v>
      </c>
      <c r="O61" s="77" t="s">
        <v>35</v>
      </c>
      <c r="P61" s="77" t="s">
        <v>39</v>
      </c>
      <c r="Q61" s="77" t="s">
        <v>32</v>
      </c>
      <c r="R61" s="37" t="s">
        <v>37</v>
      </c>
      <c r="T61" s="76">
        <f t="shared" si="23"/>
        <v>12</v>
      </c>
      <c r="U61" s="76">
        <f t="shared" si="24"/>
        <v>2</v>
      </c>
      <c r="V61" s="76">
        <f t="shared" si="25"/>
        <v>12</v>
      </c>
      <c r="W61" s="76">
        <f t="shared" si="26"/>
        <v>5</v>
      </c>
      <c r="X61" s="76">
        <f t="shared" si="27"/>
        <v>11</v>
      </c>
      <c r="Y61" s="76">
        <f t="shared" si="28"/>
        <v>2</v>
      </c>
      <c r="Z61" s="76">
        <f t="shared" si="29"/>
        <v>9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82"/>
      <c r="AK61" s="245" t="s">
        <v>94</v>
      </c>
      <c r="AL61" s="245"/>
      <c r="AM61" s="245"/>
      <c r="AN61" s="245"/>
      <c r="AO61" s="245"/>
      <c r="AP61" s="245"/>
      <c r="AQ61" s="245"/>
      <c r="AR61" s="245"/>
      <c r="AT61" s="103" t="s">
        <v>39</v>
      </c>
      <c r="AU61" s="124">
        <v>10</v>
      </c>
      <c r="BD61" s="21">
        <v>57</v>
      </c>
      <c r="BE61" s="77" t="s">
        <v>40</v>
      </c>
      <c r="BF61" s="77" t="s">
        <v>38</v>
      </c>
      <c r="BG61" s="77" t="s">
        <v>40</v>
      </c>
      <c r="BH61" s="77" t="s">
        <v>35</v>
      </c>
      <c r="BI61" s="77" t="s">
        <v>39</v>
      </c>
      <c r="BJ61" s="77" t="s">
        <v>37</v>
      </c>
      <c r="BK61" s="37" t="s">
        <v>37</v>
      </c>
      <c r="BM61" s="76">
        <f t="shared" si="37"/>
        <v>12</v>
      </c>
      <c r="BN61" s="76">
        <f t="shared" si="38"/>
        <v>10</v>
      </c>
      <c r="BO61" s="76">
        <f t="shared" si="39"/>
        <v>12</v>
      </c>
      <c r="BP61" s="76">
        <f t="shared" si="40"/>
        <v>5</v>
      </c>
      <c r="BQ61" s="76">
        <f t="shared" si="41"/>
        <v>11</v>
      </c>
      <c r="BR61" s="76">
        <f t="shared" si="42"/>
        <v>9</v>
      </c>
      <c r="BS61" s="76">
        <f t="shared" si="43"/>
        <v>9</v>
      </c>
      <c r="BU61" s="25">
        <v>1</v>
      </c>
      <c r="BV61" s="25">
        <v>1</v>
      </c>
      <c r="BW61" s="25">
        <v>1</v>
      </c>
      <c r="BX61" s="25">
        <v>1</v>
      </c>
      <c r="BY61" s="25">
        <v>1</v>
      </c>
      <c r="BZ61" s="25">
        <v>1</v>
      </c>
      <c r="CA61" s="7">
        <v>1</v>
      </c>
      <c r="CC61" s="82"/>
      <c r="CD61" s="245" t="s">
        <v>94</v>
      </c>
      <c r="CE61" s="245"/>
      <c r="CF61" s="245"/>
      <c r="CG61" s="245"/>
      <c r="CH61" s="245"/>
      <c r="CI61" s="245"/>
      <c r="CJ61" s="245"/>
      <c r="CK61" s="245"/>
      <c r="CM61" s="103" t="s">
        <v>39</v>
      </c>
      <c r="CN61" s="124">
        <v>10</v>
      </c>
      <c r="CW61" s="21">
        <v>57</v>
      </c>
      <c r="CX61" s="77" t="s">
        <v>40</v>
      </c>
      <c r="CY61" s="77" t="s">
        <v>38</v>
      </c>
      <c r="CZ61" s="77" t="s">
        <v>40</v>
      </c>
      <c r="DA61" s="77" t="s">
        <v>35</v>
      </c>
      <c r="DB61" s="77" t="s">
        <v>39</v>
      </c>
      <c r="DC61" s="77" t="s">
        <v>37</v>
      </c>
      <c r="DD61" s="37" t="s">
        <v>37</v>
      </c>
      <c r="DF61" s="76">
        <f t="shared" si="45"/>
        <v>12</v>
      </c>
      <c r="DG61" s="76">
        <f t="shared" si="10"/>
        <v>10</v>
      </c>
      <c r="DH61" s="76">
        <f t="shared" si="11"/>
        <v>12</v>
      </c>
      <c r="DI61" s="76">
        <f t="shared" si="12"/>
        <v>5</v>
      </c>
      <c r="DJ61" s="76">
        <f t="shared" si="13"/>
        <v>11</v>
      </c>
      <c r="DK61" s="76">
        <f t="shared" si="14"/>
        <v>9</v>
      </c>
      <c r="DL61" s="76">
        <f t="shared" si="15"/>
        <v>9</v>
      </c>
      <c r="DN61" s="25">
        <v>1</v>
      </c>
      <c r="DO61" s="25">
        <v>1</v>
      </c>
      <c r="DP61" s="25">
        <v>1</v>
      </c>
      <c r="DQ61" s="25">
        <v>1</v>
      </c>
      <c r="DR61" s="25">
        <v>1</v>
      </c>
      <c r="DS61" s="25">
        <v>1</v>
      </c>
      <c r="DT61" s="7">
        <v>1</v>
      </c>
      <c r="DV61" s="82"/>
      <c r="DW61" s="245" t="s">
        <v>94</v>
      </c>
      <c r="DX61" s="245"/>
      <c r="DY61" s="245"/>
      <c r="DZ61" s="245"/>
      <c r="EA61" s="245"/>
      <c r="EB61" s="245"/>
      <c r="EC61" s="245"/>
      <c r="ED61" s="245"/>
    </row>
    <row r="62" spans="1:134" ht="16.8" thickBot="1" x14ac:dyDescent="0.35">
      <c r="A62" s="104" t="s">
        <v>40</v>
      </c>
      <c r="B62" s="125">
        <v>10</v>
      </c>
      <c r="K62" s="22">
        <v>58</v>
      </c>
      <c r="L62" s="77" t="s">
        <v>152</v>
      </c>
      <c r="M62" s="77" t="s">
        <v>190</v>
      </c>
      <c r="N62" s="77" t="s">
        <v>152</v>
      </c>
      <c r="O62" s="77" t="s">
        <v>25</v>
      </c>
      <c r="P62" s="77" t="s">
        <v>39</v>
      </c>
      <c r="Q62" s="77" t="s">
        <v>25</v>
      </c>
      <c r="R62" s="37" t="s">
        <v>37</v>
      </c>
      <c r="T62" s="76">
        <f t="shared" si="23"/>
        <v>7</v>
      </c>
      <c r="U62" s="76">
        <f t="shared" si="24"/>
        <v>15</v>
      </c>
      <c r="V62" s="76">
        <f t="shared" si="25"/>
        <v>7</v>
      </c>
      <c r="W62" s="76">
        <f t="shared" si="26"/>
        <v>8</v>
      </c>
      <c r="X62" s="76">
        <f t="shared" si="27"/>
        <v>11</v>
      </c>
      <c r="Y62" s="76">
        <f t="shared" si="28"/>
        <v>8</v>
      </c>
      <c r="Z62" s="76">
        <f t="shared" si="29"/>
        <v>9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44" t="s">
        <v>52</v>
      </c>
      <c r="AK62" s="45" t="s">
        <v>12</v>
      </c>
      <c r="AL62" s="45" t="s">
        <v>13</v>
      </c>
      <c r="AM62" s="45" t="s">
        <v>14</v>
      </c>
      <c r="AN62" s="45" t="s">
        <v>15</v>
      </c>
      <c r="AO62" s="45" t="s">
        <v>16</v>
      </c>
      <c r="AP62" s="45" t="s">
        <v>56</v>
      </c>
      <c r="AQ62" s="46" t="s">
        <v>76</v>
      </c>
      <c r="AR62" s="47" t="s">
        <v>3</v>
      </c>
      <c r="AT62" s="104" t="s">
        <v>40</v>
      </c>
      <c r="AU62" s="125">
        <v>10</v>
      </c>
      <c r="BD62" s="22">
        <v>58</v>
      </c>
      <c r="BE62" s="77" t="s">
        <v>152</v>
      </c>
      <c r="BF62" s="77" t="s">
        <v>97</v>
      </c>
      <c r="BG62" s="77" t="s">
        <v>25</v>
      </c>
      <c r="BH62" s="77" t="s">
        <v>25</v>
      </c>
      <c r="BI62" s="77" t="s">
        <v>39</v>
      </c>
      <c r="BJ62" s="77" t="s">
        <v>25</v>
      </c>
      <c r="BK62" s="37" t="s">
        <v>37</v>
      </c>
      <c r="BM62" s="76">
        <f t="shared" si="37"/>
        <v>7</v>
      </c>
      <c r="BN62" s="76">
        <f t="shared" si="38"/>
        <v>14</v>
      </c>
      <c r="BO62" s="76">
        <f t="shared" si="39"/>
        <v>8</v>
      </c>
      <c r="BP62" s="76">
        <f t="shared" si="40"/>
        <v>8</v>
      </c>
      <c r="BQ62" s="76">
        <f t="shared" si="41"/>
        <v>11</v>
      </c>
      <c r="BR62" s="76">
        <f t="shared" si="42"/>
        <v>8</v>
      </c>
      <c r="BS62" s="76">
        <f t="shared" si="43"/>
        <v>9</v>
      </c>
      <c r="BU62" s="25">
        <v>1</v>
      </c>
      <c r="BV62" s="25">
        <v>1</v>
      </c>
      <c r="BW62" s="25">
        <v>1</v>
      </c>
      <c r="BX62" s="25">
        <v>1</v>
      </c>
      <c r="BY62" s="25">
        <v>1</v>
      </c>
      <c r="BZ62" s="25">
        <v>1</v>
      </c>
      <c r="CA62" s="7">
        <v>1</v>
      </c>
      <c r="CC62" s="44" t="s">
        <v>52</v>
      </c>
      <c r="CD62" s="45" t="s">
        <v>12</v>
      </c>
      <c r="CE62" s="45" t="s">
        <v>13</v>
      </c>
      <c r="CF62" s="45" t="s">
        <v>14</v>
      </c>
      <c r="CG62" s="45" t="s">
        <v>15</v>
      </c>
      <c r="CH62" s="45" t="s">
        <v>16</v>
      </c>
      <c r="CI62" s="45" t="s">
        <v>56</v>
      </c>
      <c r="CJ62" s="46" t="s">
        <v>76</v>
      </c>
      <c r="CK62" s="47" t="s">
        <v>3</v>
      </c>
      <c r="CM62" s="104" t="s">
        <v>40</v>
      </c>
      <c r="CN62" s="125">
        <v>10</v>
      </c>
      <c r="CW62" s="22">
        <v>58</v>
      </c>
      <c r="CX62" s="77" t="s">
        <v>152</v>
      </c>
      <c r="CY62" s="77" t="s">
        <v>97</v>
      </c>
      <c r="CZ62" s="77" t="s">
        <v>25</v>
      </c>
      <c r="DA62" s="77" t="s">
        <v>25</v>
      </c>
      <c r="DB62" s="77" t="s">
        <v>39</v>
      </c>
      <c r="DC62" s="77" t="s">
        <v>25</v>
      </c>
      <c r="DD62" s="37" t="s">
        <v>37</v>
      </c>
      <c r="DF62" s="76">
        <f t="shared" si="45"/>
        <v>7</v>
      </c>
      <c r="DG62" s="76">
        <f t="shared" si="10"/>
        <v>14</v>
      </c>
      <c r="DH62" s="76">
        <f t="shared" si="11"/>
        <v>8</v>
      </c>
      <c r="DI62" s="76">
        <f t="shared" si="12"/>
        <v>8</v>
      </c>
      <c r="DJ62" s="76">
        <f t="shared" si="13"/>
        <v>11</v>
      </c>
      <c r="DK62" s="76">
        <f t="shared" si="14"/>
        <v>8</v>
      </c>
      <c r="DL62" s="76">
        <f t="shared" si="15"/>
        <v>9</v>
      </c>
      <c r="DN62" s="25">
        <v>1</v>
      </c>
      <c r="DO62" s="25">
        <v>1</v>
      </c>
      <c r="DP62" s="25">
        <v>1</v>
      </c>
      <c r="DQ62" s="25">
        <v>1</v>
      </c>
      <c r="DR62" s="25">
        <v>1</v>
      </c>
      <c r="DS62" s="25">
        <v>1</v>
      </c>
      <c r="DT62" s="7">
        <v>1</v>
      </c>
      <c r="DV62" s="44" t="s">
        <v>52</v>
      </c>
      <c r="DW62" s="45" t="s">
        <v>12</v>
      </c>
      <c r="DX62" s="45" t="s">
        <v>13</v>
      </c>
      <c r="DY62" s="45" t="s">
        <v>14</v>
      </c>
      <c r="DZ62" s="45" t="s">
        <v>15</v>
      </c>
      <c r="EA62" s="45" t="s">
        <v>16</v>
      </c>
      <c r="EB62" s="45" t="s">
        <v>56</v>
      </c>
      <c r="EC62" s="46" t="s">
        <v>76</v>
      </c>
      <c r="ED62" s="47" t="s">
        <v>3</v>
      </c>
    </row>
    <row r="63" spans="1:134" ht="16.5" customHeight="1" thickBot="1" x14ac:dyDescent="0.35">
      <c r="K63" s="21">
        <v>59</v>
      </c>
      <c r="L63" s="77" t="s">
        <v>37</v>
      </c>
      <c r="M63" s="77" t="s">
        <v>75</v>
      </c>
      <c r="N63" s="77" t="s">
        <v>40</v>
      </c>
      <c r="O63" s="77" t="s">
        <v>34</v>
      </c>
      <c r="P63" s="77" t="s">
        <v>152</v>
      </c>
      <c r="Q63" s="77" t="s">
        <v>75</v>
      </c>
      <c r="R63" s="77" t="s">
        <v>34</v>
      </c>
      <c r="T63" s="76">
        <f t="shared" si="23"/>
        <v>9</v>
      </c>
      <c r="U63" s="76">
        <f t="shared" si="24"/>
        <v>6</v>
      </c>
      <c r="V63" s="76">
        <f t="shared" si="25"/>
        <v>12</v>
      </c>
      <c r="W63" s="76">
        <f t="shared" si="26"/>
        <v>4</v>
      </c>
      <c r="X63" s="76">
        <f t="shared" si="27"/>
        <v>7</v>
      </c>
      <c r="Y63" s="76">
        <f t="shared" si="28"/>
        <v>6</v>
      </c>
      <c r="Z63" s="76">
        <f t="shared" si="29"/>
        <v>4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3</v>
      </c>
      <c r="AJ63" s="48" t="s">
        <v>78</v>
      </c>
      <c r="AK63" s="49">
        <v>0</v>
      </c>
      <c r="AL63" s="50">
        <v>0</v>
      </c>
      <c r="AM63" s="50">
        <v>0</v>
      </c>
      <c r="AN63" s="50">
        <v>0</v>
      </c>
      <c r="AO63" s="50">
        <v>0</v>
      </c>
      <c r="AP63" s="50">
        <v>0</v>
      </c>
      <c r="AQ63" s="51">
        <v>0</v>
      </c>
      <c r="AR63" s="52">
        <v>0</v>
      </c>
      <c r="BD63" s="21">
        <v>59</v>
      </c>
      <c r="BE63" s="77" t="s">
        <v>37</v>
      </c>
      <c r="BF63" s="77" t="s">
        <v>75</v>
      </c>
      <c r="BG63" s="77" t="s">
        <v>40</v>
      </c>
      <c r="BH63" s="77" t="s">
        <v>34</v>
      </c>
      <c r="BI63" s="77" t="s">
        <v>152</v>
      </c>
      <c r="BJ63" s="77" t="s">
        <v>75</v>
      </c>
      <c r="BK63" s="77" t="s">
        <v>34</v>
      </c>
      <c r="BM63" s="76">
        <f t="shared" si="37"/>
        <v>9</v>
      </c>
      <c r="BN63" s="76">
        <f t="shared" si="38"/>
        <v>6</v>
      </c>
      <c r="BO63" s="76">
        <f t="shared" si="39"/>
        <v>12</v>
      </c>
      <c r="BP63" s="76">
        <f t="shared" si="40"/>
        <v>4</v>
      </c>
      <c r="BQ63" s="76">
        <f t="shared" si="41"/>
        <v>7</v>
      </c>
      <c r="BR63" s="76">
        <f t="shared" si="42"/>
        <v>6</v>
      </c>
      <c r="BS63" s="76">
        <f t="shared" si="43"/>
        <v>4</v>
      </c>
      <c r="BU63" s="25">
        <v>1</v>
      </c>
      <c r="BV63" s="25">
        <v>1</v>
      </c>
      <c r="BW63" s="25">
        <v>1</v>
      </c>
      <c r="BX63" s="25">
        <v>1</v>
      </c>
      <c r="BY63" s="25">
        <v>1</v>
      </c>
      <c r="BZ63" s="25">
        <v>1</v>
      </c>
      <c r="CA63" s="7">
        <v>1</v>
      </c>
      <c r="CC63" s="48" t="s">
        <v>78</v>
      </c>
      <c r="CD63" s="49">
        <v>0</v>
      </c>
      <c r="CE63" s="50">
        <v>0</v>
      </c>
      <c r="CF63" s="50">
        <v>0</v>
      </c>
      <c r="CG63" s="50">
        <v>0</v>
      </c>
      <c r="CH63" s="50">
        <v>0</v>
      </c>
      <c r="CI63" s="50">
        <v>0</v>
      </c>
      <c r="CJ63" s="51">
        <v>0</v>
      </c>
      <c r="CK63" s="52">
        <v>0</v>
      </c>
      <c r="CW63" s="21">
        <v>59</v>
      </c>
      <c r="CX63" s="77" t="s">
        <v>37</v>
      </c>
      <c r="CY63" s="77" t="s">
        <v>75</v>
      </c>
      <c r="CZ63" s="77" t="s">
        <v>40</v>
      </c>
      <c r="DA63" s="77" t="s">
        <v>34</v>
      </c>
      <c r="DB63" s="77" t="s">
        <v>152</v>
      </c>
      <c r="DC63" s="77" t="s">
        <v>75</v>
      </c>
      <c r="DD63" s="77" t="s">
        <v>34</v>
      </c>
      <c r="DF63" s="76">
        <f t="shared" si="45"/>
        <v>9</v>
      </c>
      <c r="DG63" s="76">
        <f t="shared" si="10"/>
        <v>6</v>
      </c>
      <c r="DH63" s="76">
        <f t="shared" si="11"/>
        <v>12</v>
      </c>
      <c r="DI63" s="76">
        <f t="shared" si="12"/>
        <v>4</v>
      </c>
      <c r="DJ63" s="76">
        <f t="shared" si="13"/>
        <v>7</v>
      </c>
      <c r="DK63" s="76">
        <f t="shared" si="14"/>
        <v>6</v>
      </c>
      <c r="DL63" s="76">
        <f t="shared" si="15"/>
        <v>4</v>
      </c>
      <c r="DN63" s="25">
        <v>1</v>
      </c>
      <c r="DO63" s="25">
        <v>1</v>
      </c>
      <c r="DP63" s="25">
        <v>1</v>
      </c>
      <c r="DQ63" s="25">
        <v>1</v>
      </c>
      <c r="DR63" s="25">
        <v>1</v>
      </c>
      <c r="DS63" s="25">
        <v>1</v>
      </c>
      <c r="DT63" s="7">
        <v>1</v>
      </c>
      <c r="DV63" s="48" t="s">
        <v>78</v>
      </c>
      <c r="DW63" s="49">
        <v>0</v>
      </c>
      <c r="DX63" s="50">
        <v>0</v>
      </c>
      <c r="DY63" s="50">
        <v>0</v>
      </c>
      <c r="DZ63" s="50">
        <v>0</v>
      </c>
      <c r="EA63" s="50">
        <v>0</v>
      </c>
      <c r="EB63" s="50">
        <v>0</v>
      </c>
      <c r="EC63" s="51">
        <v>0</v>
      </c>
      <c r="ED63" s="52">
        <v>0</v>
      </c>
    </row>
    <row r="64" spans="1:134" ht="16.5" customHeight="1" thickBot="1" x14ac:dyDescent="0.35">
      <c r="A64" s="115" t="s">
        <v>177</v>
      </c>
      <c r="B64" s="116" t="s">
        <v>51</v>
      </c>
      <c r="K64" s="22">
        <v>60</v>
      </c>
      <c r="L64" s="77" t="s">
        <v>37</v>
      </c>
      <c r="M64" s="77" t="s">
        <v>161</v>
      </c>
      <c r="N64" s="77" t="s">
        <v>188</v>
      </c>
      <c r="O64" s="77" t="s">
        <v>34</v>
      </c>
      <c r="P64" s="77" t="s">
        <v>39</v>
      </c>
      <c r="Q64" s="77" t="s">
        <v>25</v>
      </c>
      <c r="R64" s="37" t="s">
        <v>34</v>
      </c>
      <c r="T64" s="76">
        <f t="shared" si="23"/>
        <v>9</v>
      </c>
      <c r="U64" s="76">
        <f t="shared" si="24"/>
        <v>17</v>
      </c>
      <c r="V64" s="76">
        <f t="shared" si="25"/>
        <v>23</v>
      </c>
      <c r="W64" s="76">
        <f t="shared" si="26"/>
        <v>4</v>
      </c>
      <c r="X64" s="76">
        <f t="shared" si="27"/>
        <v>11</v>
      </c>
      <c r="Y64" s="76">
        <f t="shared" si="28"/>
        <v>8</v>
      </c>
      <c r="Z64" s="76">
        <f t="shared" si="29"/>
        <v>4</v>
      </c>
      <c r="AB64" s="25">
        <v>1</v>
      </c>
      <c r="AC64" s="25">
        <v>1</v>
      </c>
      <c r="AD64" s="25">
        <v>1</v>
      </c>
      <c r="AE64" s="25">
        <v>1</v>
      </c>
      <c r="AF64" s="25">
        <v>1</v>
      </c>
      <c r="AG64" s="25">
        <v>1</v>
      </c>
      <c r="AH64" s="7">
        <v>1</v>
      </c>
      <c r="AJ64" s="53" t="s">
        <v>19</v>
      </c>
      <c r="AK64" s="69">
        <v>5</v>
      </c>
      <c r="AL64" s="70">
        <v>5</v>
      </c>
      <c r="AM64" s="70">
        <v>5</v>
      </c>
      <c r="AN64" s="70">
        <v>5</v>
      </c>
      <c r="AO64" s="55">
        <v>5</v>
      </c>
      <c r="AP64" s="55">
        <v>5</v>
      </c>
      <c r="AQ64" s="56">
        <v>0</v>
      </c>
      <c r="AR64" s="57">
        <v>1</v>
      </c>
      <c r="AT64" s="115" t="s">
        <v>177</v>
      </c>
      <c r="AU64" s="116" t="s">
        <v>51</v>
      </c>
      <c r="BD64" s="22">
        <v>60</v>
      </c>
      <c r="BE64" s="77" t="s">
        <v>37</v>
      </c>
      <c r="BF64" s="77" t="s">
        <v>161</v>
      </c>
      <c r="BG64" s="77" t="s">
        <v>188</v>
      </c>
      <c r="BH64" s="77" t="s">
        <v>34</v>
      </c>
      <c r="BI64" s="77" t="s">
        <v>39</v>
      </c>
      <c r="BJ64" s="77" t="s">
        <v>25</v>
      </c>
      <c r="BK64" s="37" t="s">
        <v>34</v>
      </c>
      <c r="BM64" s="76">
        <f t="shared" si="37"/>
        <v>9</v>
      </c>
      <c r="BN64" s="76">
        <f t="shared" si="38"/>
        <v>17</v>
      </c>
      <c r="BO64" s="76">
        <f t="shared" si="39"/>
        <v>23</v>
      </c>
      <c r="BP64" s="76">
        <f t="shared" si="40"/>
        <v>4</v>
      </c>
      <c r="BQ64" s="76">
        <f t="shared" si="41"/>
        <v>11</v>
      </c>
      <c r="BR64" s="76">
        <f t="shared" si="42"/>
        <v>8</v>
      </c>
      <c r="BS64" s="76">
        <f t="shared" si="43"/>
        <v>4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7">
        <v>1</v>
      </c>
      <c r="CC64" s="53" t="s">
        <v>19</v>
      </c>
      <c r="CD64" s="69">
        <v>5</v>
      </c>
      <c r="CE64" s="70">
        <v>5</v>
      </c>
      <c r="CF64" s="70">
        <v>5</v>
      </c>
      <c r="CG64" s="70">
        <v>5</v>
      </c>
      <c r="CH64" s="55">
        <v>5</v>
      </c>
      <c r="CI64" s="55">
        <v>5</v>
      </c>
      <c r="CJ64" s="56">
        <v>0</v>
      </c>
      <c r="CK64" s="57">
        <v>1</v>
      </c>
      <c r="CM64" s="115" t="s">
        <v>177</v>
      </c>
      <c r="CN64" s="116" t="s">
        <v>51</v>
      </c>
      <c r="CW64" s="22">
        <v>60</v>
      </c>
      <c r="CX64" s="77" t="s">
        <v>37</v>
      </c>
      <c r="CY64" s="77" t="s">
        <v>161</v>
      </c>
      <c r="CZ64" s="77" t="s">
        <v>188</v>
      </c>
      <c r="DA64" s="77" t="s">
        <v>34</v>
      </c>
      <c r="DB64" s="77" t="s">
        <v>39</v>
      </c>
      <c r="DC64" s="77" t="s">
        <v>25</v>
      </c>
      <c r="DD64" s="37" t="s">
        <v>34</v>
      </c>
      <c r="DF64" s="76">
        <f t="shared" si="45"/>
        <v>9</v>
      </c>
      <c r="DG64" s="76">
        <f t="shared" si="10"/>
        <v>17</v>
      </c>
      <c r="DH64" s="76">
        <f t="shared" si="11"/>
        <v>23</v>
      </c>
      <c r="DI64" s="76">
        <f t="shared" si="12"/>
        <v>4</v>
      </c>
      <c r="DJ64" s="76">
        <f t="shared" si="13"/>
        <v>11</v>
      </c>
      <c r="DK64" s="76">
        <f t="shared" si="14"/>
        <v>8</v>
      </c>
      <c r="DL64" s="76">
        <f t="shared" si="15"/>
        <v>4</v>
      </c>
      <c r="DN64" s="25">
        <v>1</v>
      </c>
      <c r="DO64" s="25">
        <v>1</v>
      </c>
      <c r="DP64" s="25">
        <v>1</v>
      </c>
      <c r="DQ64" s="25">
        <v>1</v>
      </c>
      <c r="DR64" s="25">
        <v>1</v>
      </c>
      <c r="DS64" s="25">
        <v>1</v>
      </c>
      <c r="DT64" s="7">
        <v>1</v>
      </c>
      <c r="DV64" s="53" t="s">
        <v>19</v>
      </c>
      <c r="DW64" s="69">
        <v>5</v>
      </c>
      <c r="DX64" s="70">
        <v>5</v>
      </c>
      <c r="DY64" s="70">
        <v>5</v>
      </c>
      <c r="DZ64" s="70">
        <v>5</v>
      </c>
      <c r="EA64" s="55">
        <v>5</v>
      </c>
      <c r="EB64" s="55">
        <v>5</v>
      </c>
      <c r="EC64" s="56">
        <v>0</v>
      </c>
      <c r="ED64" s="57">
        <v>1</v>
      </c>
    </row>
    <row r="65" spans="1:134" ht="16.5" customHeight="1" x14ac:dyDescent="0.3">
      <c r="A65" s="117">
        <v>0</v>
      </c>
      <c r="B65" s="107">
        <v>1000</v>
      </c>
      <c r="K65" s="21">
        <v>61</v>
      </c>
      <c r="L65" s="77" t="s">
        <v>39</v>
      </c>
      <c r="M65" s="77" t="s">
        <v>25</v>
      </c>
      <c r="N65" s="77" t="s">
        <v>37</v>
      </c>
      <c r="O65" s="77" t="s">
        <v>34</v>
      </c>
      <c r="P65" s="77" t="s">
        <v>39</v>
      </c>
      <c r="Q65" s="77" t="s">
        <v>25</v>
      </c>
      <c r="R65" s="37" t="s">
        <v>34</v>
      </c>
      <c r="T65" s="76">
        <f t="shared" si="23"/>
        <v>11</v>
      </c>
      <c r="U65" s="76">
        <f t="shared" si="24"/>
        <v>8</v>
      </c>
      <c r="V65" s="76">
        <f t="shared" si="25"/>
        <v>9</v>
      </c>
      <c r="W65" s="76">
        <f t="shared" si="26"/>
        <v>4</v>
      </c>
      <c r="X65" s="76">
        <f t="shared" si="27"/>
        <v>11</v>
      </c>
      <c r="Y65" s="76">
        <f t="shared" si="28"/>
        <v>8</v>
      </c>
      <c r="Z65" s="76">
        <f t="shared" si="29"/>
        <v>4</v>
      </c>
      <c r="AB65" s="25">
        <v>1</v>
      </c>
      <c r="AC65" s="25">
        <v>1</v>
      </c>
      <c r="AD65" s="25">
        <v>1</v>
      </c>
      <c r="AE65" s="25">
        <v>1</v>
      </c>
      <c r="AF65" s="25">
        <v>1</v>
      </c>
      <c r="AG65" s="25">
        <v>1</v>
      </c>
      <c r="AH65" s="7">
        <v>1</v>
      </c>
      <c r="AJ65" s="53" t="s">
        <v>20</v>
      </c>
      <c r="AK65" s="69">
        <v>40</v>
      </c>
      <c r="AL65" s="70">
        <v>1</v>
      </c>
      <c r="AM65" s="70">
        <v>10</v>
      </c>
      <c r="AN65" s="70">
        <v>1</v>
      </c>
      <c r="AO65" s="55">
        <v>40</v>
      </c>
      <c r="AP65" s="55">
        <v>1</v>
      </c>
      <c r="AQ65" s="56">
        <v>0</v>
      </c>
      <c r="AR65" s="57">
        <v>2</v>
      </c>
      <c r="AT65" s="117">
        <v>0</v>
      </c>
      <c r="AU65" s="107">
        <v>0</v>
      </c>
      <c r="BD65" s="21">
        <v>61</v>
      </c>
      <c r="BE65" s="77" t="s">
        <v>39</v>
      </c>
      <c r="BF65" s="77" t="s">
        <v>25</v>
      </c>
      <c r="BG65" s="77" t="s">
        <v>37</v>
      </c>
      <c r="BH65" s="77" t="s">
        <v>34</v>
      </c>
      <c r="BI65" s="77" t="s">
        <v>39</v>
      </c>
      <c r="BJ65" s="77" t="s">
        <v>25</v>
      </c>
      <c r="BK65" s="37" t="s">
        <v>34</v>
      </c>
      <c r="BM65" s="76">
        <f t="shared" si="37"/>
        <v>11</v>
      </c>
      <c r="BN65" s="76">
        <f t="shared" si="38"/>
        <v>8</v>
      </c>
      <c r="BO65" s="76">
        <f t="shared" si="39"/>
        <v>9</v>
      </c>
      <c r="BP65" s="76">
        <f t="shared" si="40"/>
        <v>4</v>
      </c>
      <c r="BQ65" s="76">
        <f t="shared" si="41"/>
        <v>11</v>
      </c>
      <c r="BR65" s="76">
        <f t="shared" si="42"/>
        <v>8</v>
      </c>
      <c r="BS65" s="76">
        <f t="shared" si="43"/>
        <v>4</v>
      </c>
      <c r="BU65" s="25">
        <v>1</v>
      </c>
      <c r="BV65" s="25">
        <v>1</v>
      </c>
      <c r="BW65" s="25">
        <v>1</v>
      </c>
      <c r="BX65" s="25">
        <v>1</v>
      </c>
      <c r="BY65" s="25">
        <v>1</v>
      </c>
      <c r="BZ65" s="25">
        <v>1</v>
      </c>
      <c r="CA65" s="7">
        <v>1</v>
      </c>
      <c r="CC65" s="53" t="s">
        <v>20</v>
      </c>
      <c r="CD65" s="69">
        <v>40</v>
      </c>
      <c r="CE65" s="70">
        <v>1</v>
      </c>
      <c r="CF65" s="70">
        <v>10</v>
      </c>
      <c r="CG65" s="70">
        <v>1</v>
      </c>
      <c r="CH65" s="55">
        <v>40</v>
      </c>
      <c r="CI65" s="55">
        <v>1</v>
      </c>
      <c r="CJ65" s="56">
        <v>0</v>
      </c>
      <c r="CK65" s="57">
        <v>2</v>
      </c>
      <c r="CM65" s="117">
        <v>0</v>
      </c>
      <c r="CN65" s="107">
        <v>500</v>
      </c>
      <c r="CW65" s="21">
        <v>61</v>
      </c>
      <c r="CX65" s="77" t="s">
        <v>39</v>
      </c>
      <c r="CY65" s="77" t="s">
        <v>25</v>
      </c>
      <c r="CZ65" s="77" t="s">
        <v>37</v>
      </c>
      <c r="DA65" s="77" t="s">
        <v>34</v>
      </c>
      <c r="DB65" s="77" t="s">
        <v>39</v>
      </c>
      <c r="DC65" s="77" t="s">
        <v>25</v>
      </c>
      <c r="DD65" s="37" t="s">
        <v>34</v>
      </c>
      <c r="DF65" s="76">
        <f t="shared" si="45"/>
        <v>11</v>
      </c>
      <c r="DG65" s="76">
        <f t="shared" si="10"/>
        <v>8</v>
      </c>
      <c r="DH65" s="76">
        <f t="shared" si="11"/>
        <v>9</v>
      </c>
      <c r="DI65" s="76">
        <f t="shared" si="12"/>
        <v>4</v>
      </c>
      <c r="DJ65" s="76">
        <f t="shared" si="13"/>
        <v>11</v>
      </c>
      <c r="DK65" s="76">
        <f t="shared" si="14"/>
        <v>8</v>
      </c>
      <c r="DL65" s="76">
        <f t="shared" si="15"/>
        <v>4</v>
      </c>
      <c r="DN65" s="25">
        <v>1</v>
      </c>
      <c r="DO65" s="25">
        <v>1</v>
      </c>
      <c r="DP65" s="25">
        <v>1</v>
      </c>
      <c r="DQ65" s="25">
        <v>1</v>
      </c>
      <c r="DR65" s="25">
        <v>1</v>
      </c>
      <c r="DS65" s="25">
        <v>1</v>
      </c>
      <c r="DT65" s="7">
        <v>1</v>
      </c>
      <c r="DV65" s="53" t="s">
        <v>20</v>
      </c>
      <c r="DW65" s="69">
        <v>40</v>
      </c>
      <c r="DX65" s="70">
        <v>1</v>
      </c>
      <c r="DY65" s="70">
        <v>10</v>
      </c>
      <c r="DZ65" s="70">
        <v>1</v>
      </c>
      <c r="EA65" s="55">
        <v>40</v>
      </c>
      <c r="EB65" s="55">
        <v>1</v>
      </c>
      <c r="EC65" s="56">
        <v>0</v>
      </c>
      <c r="ED65" s="57">
        <v>2</v>
      </c>
    </row>
    <row r="66" spans="1:134" ht="16.5" customHeight="1" x14ac:dyDescent="0.3">
      <c r="A66" s="118">
        <v>1</v>
      </c>
      <c r="B66" s="108">
        <v>120</v>
      </c>
      <c r="K66" s="22">
        <v>62</v>
      </c>
      <c r="L66" s="77" t="s">
        <v>37</v>
      </c>
      <c r="M66" s="77" t="s">
        <v>25</v>
      </c>
      <c r="N66" s="77" t="s">
        <v>37</v>
      </c>
      <c r="O66" s="77" t="s">
        <v>38</v>
      </c>
      <c r="P66" s="77" t="s">
        <v>37</v>
      </c>
      <c r="Q66" s="77" t="s">
        <v>37</v>
      </c>
      <c r="R66" s="37" t="s">
        <v>37</v>
      </c>
      <c r="T66" s="76">
        <f t="shared" si="23"/>
        <v>9</v>
      </c>
      <c r="U66" s="76">
        <f t="shared" si="24"/>
        <v>8</v>
      </c>
      <c r="V66" s="76">
        <f t="shared" si="25"/>
        <v>9</v>
      </c>
      <c r="W66" s="76">
        <f t="shared" si="26"/>
        <v>10</v>
      </c>
      <c r="X66" s="76">
        <f t="shared" si="27"/>
        <v>9</v>
      </c>
      <c r="Y66" s="76">
        <f t="shared" si="28"/>
        <v>9</v>
      </c>
      <c r="Z66" s="76">
        <f t="shared" si="29"/>
        <v>9</v>
      </c>
      <c r="AB66" s="25">
        <v>1</v>
      </c>
      <c r="AC66" s="25">
        <v>1</v>
      </c>
      <c r="AD66" s="25">
        <v>1</v>
      </c>
      <c r="AE66" s="25">
        <v>1</v>
      </c>
      <c r="AF66" s="25">
        <v>1</v>
      </c>
      <c r="AG66" s="25">
        <v>1</v>
      </c>
      <c r="AH66" s="7">
        <v>1</v>
      </c>
      <c r="AJ66" s="53" t="s">
        <v>21</v>
      </c>
      <c r="AK66" s="69">
        <v>1</v>
      </c>
      <c r="AL66" s="70">
        <v>40</v>
      </c>
      <c r="AM66" s="70">
        <v>1</v>
      </c>
      <c r="AN66" s="70">
        <v>40</v>
      </c>
      <c r="AO66" s="55">
        <v>1</v>
      </c>
      <c r="AP66" s="55">
        <v>1</v>
      </c>
      <c r="AQ66" s="56">
        <v>1</v>
      </c>
      <c r="AR66" s="57">
        <v>3</v>
      </c>
      <c r="AT66" s="118">
        <v>1</v>
      </c>
      <c r="AU66" s="108">
        <v>0</v>
      </c>
      <c r="BD66" s="22">
        <v>62</v>
      </c>
      <c r="BE66" s="77" t="s">
        <v>37</v>
      </c>
      <c r="BF66" s="77" t="s">
        <v>25</v>
      </c>
      <c r="BG66" s="77" t="s">
        <v>37</v>
      </c>
      <c r="BH66" s="77" t="s">
        <v>38</v>
      </c>
      <c r="BI66" s="77" t="s">
        <v>37</v>
      </c>
      <c r="BJ66" s="77" t="s">
        <v>37</v>
      </c>
      <c r="BK66" s="37" t="s">
        <v>37</v>
      </c>
      <c r="BM66" s="76">
        <f t="shared" si="37"/>
        <v>9</v>
      </c>
      <c r="BN66" s="76">
        <f t="shared" si="38"/>
        <v>8</v>
      </c>
      <c r="BO66" s="76">
        <f t="shared" si="39"/>
        <v>9</v>
      </c>
      <c r="BP66" s="76">
        <f t="shared" si="40"/>
        <v>10</v>
      </c>
      <c r="BQ66" s="76">
        <f t="shared" si="41"/>
        <v>9</v>
      </c>
      <c r="BR66" s="76">
        <f t="shared" si="42"/>
        <v>9</v>
      </c>
      <c r="BS66" s="76">
        <f t="shared" si="43"/>
        <v>9</v>
      </c>
      <c r="BU66" s="25">
        <v>1</v>
      </c>
      <c r="BV66" s="25">
        <v>1</v>
      </c>
      <c r="BW66" s="25">
        <v>1</v>
      </c>
      <c r="BX66" s="25">
        <v>1</v>
      </c>
      <c r="BY66" s="25">
        <v>1</v>
      </c>
      <c r="BZ66" s="25">
        <v>1</v>
      </c>
      <c r="CA66" s="7">
        <v>1</v>
      </c>
      <c r="CC66" s="53" t="s">
        <v>21</v>
      </c>
      <c r="CD66" s="69">
        <v>1</v>
      </c>
      <c r="CE66" s="70">
        <v>40</v>
      </c>
      <c r="CF66" s="70">
        <v>1</v>
      </c>
      <c r="CG66" s="70">
        <v>40</v>
      </c>
      <c r="CH66" s="55">
        <v>1</v>
      </c>
      <c r="CI66" s="55">
        <v>1</v>
      </c>
      <c r="CJ66" s="56">
        <v>1</v>
      </c>
      <c r="CK66" s="57">
        <v>3</v>
      </c>
      <c r="CM66" s="118">
        <v>1</v>
      </c>
      <c r="CN66" s="108">
        <v>200</v>
      </c>
      <c r="CW66" s="22">
        <v>62</v>
      </c>
      <c r="CX66" s="77" t="s">
        <v>37</v>
      </c>
      <c r="CY66" s="77" t="s">
        <v>25</v>
      </c>
      <c r="CZ66" s="77" t="s">
        <v>37</v>
      </c>
      <c r="DA66" s="77" t="s">
        <v>38</v>
      </c>
      <c r="DB66" s="77" t="s">
        <v>37</v>
      </c>
      <c r="DC66" s="77" t="s">
        <v>37</v>
      </c>
      <c r="DD66" s="37" t="s">
        <v>37</v>
      </c>
      <c r="DF66" s="76">
        <f t="shared" si="45"/>
        <v>9</v>
      </c>
      <c r="DG66" s="76">
        <f t="shared" si="10"/>
        <v>8</v>
      </c>
      <c r="DH66" s="76">
        <f t="shared" si="11"/>
        <v>9</v>
      </c>
      <c r="DI66" s="76">
        <f t="shared" si="12"/>
        <v>10</v>
      </c>
      <c r="DJ66" s="76">
        <f t="shared" si="13"/>
        <v>9</v>
      </c>
      <c r="DK66" s="76">
        <f t="shared" si="14"/>
        <v>9</v>
      </c>
      <c r="DL66" s="76">
        <f t="shared" si="15"/>
        <v>9</v>
      </c>
      <c r="DN66" s="25">
        <v>1</v>
      </c>
      <c r="DO66" s="25">
        <v>1</v>
      </c>
      <c r="DP66" s="25">
        <v>1</v>
      </c>
      <c r="DQ66" s="25">
        <v>1</v>
      </c>
      <c r="DR66" s="25">
        <v>1</v>
      </c>
      <c r="DS66" s="25">
        <v>1</v>
      </c>
      <c r="DT66" s="7">
        <v>1</v>
      </c>
      <c r="DV66" s="53" t="s">
        <v>21</v>
      </c>
      <c r="DW66" s="69">
        <v>1</v>
      </c>
      <c r="DX66" s="70">
        <v>40</v>
      </c>
      <c r="DY66" s="70">
        <v>1</v>
      </c>
      <c r="DZ66" s="70">
        <v>40</v>
      </c>
      <c r="EA66" s="55">
        <v>1</v>
      </c>
      <c r="EB66" s="55">
        <v>1</v>
      </c>
      <c r="EC66" s="56">
        <v>1</v>
      </c>
      <c r="ED66" s="57">
        <v>3</v>
      </c>
    </row>
    <row r="67" spans="1:134" ht="16.5" customHeight="1" x14ac:dyDescent="0.3">
      <c r="A67" s="118">
        <v>2</v>
      </c>
      <c r="B67" s="108">
        <v>20</v>
      </c>
      <c r="K67" s="21">
        <v>63</v>
      </c>
      <c r="L67" s="77" t="s">
        <v>40</v>
      </c>
      <c r="M67" s="77" t="s">
        <v>75</v>
      </c>
      <c r="N67" s="77" t="s">
        <v>37</v>
      </c>
      <c r="O67" s="77" t="s">
        <v>38</v>
      </c>
      <c r="P67" s="77" t="s">
        <v>35</v>
      </c>
      <c r="Q67" s="77" t="s">
        <v>40</v>
      </c>
      <c r="R67" s="37" t="s">
        <v>37</v>
      </c>
      <c r="T67" s="76">
        <f t="shared" si="23"/>
        <v>12</v>
      </c>
      <c r="U67" s="76">
        <f t="shared" si="24"/>
        <v>6</v>
      </c>
      <c r="V67" s="76">
        <f t="shared" si="25"/>
        <v>9</v>
      </c>
      <c r="W67" s="76">
        <f t="shared" si="26"/>
        <v>10</v>
      </c>
      <c r="X67" s="76">
        <f t="shared" si="27"/>
        <v>5</v>
      </c>
      <c r="Y67" s="76">
        <f t="shared" si="28"/>
        <v>12</v>
      </c>
      <c r="Z67" s="76">
        <f t="shared" si="29"/>
        <v>9</v>
      </c>
      <c r="AB67" s="25">
        <v>1</v>
      </c>
      <c r="AC67" s="25">
        <v>1</v>
      </c>
      <c r="AD67" s="25">
        <v>1</v>
      </c>
      <c r="AE67" s="25">
        <v>1</v>
      </c>
      <c r="AF67" s="25">
        <v>1</v>
      </c>
      <c r="AG67" s="25">
        <v>1</v>
      </c>
      <c r="AH67" s="7">
        <v>1</v>
      </c>
      <c r="AJ67" s="53" t="s">
        <v>17</v>
      </c>
      <c r="AK67" s="69">
        <v>40</v>
      </c>
      <c r="AL67" s="70">
        <v>40</v>
      </c>
      <c r="AM67" s="70">
        <v>40</v>
      </c>
      <c r="AN67" s="70">
        <v>1</v>
      </c>
      <c r="AO67" s="55">
        <v>1</v>
      </c>
      <c r="AP67" s="55">
        <v>40</v>
      </c>
      <c r="AQ67" s="56">
        <v>1</v>
      </c>
      <c r="AR67" s="57">
        <v>4</v>
      </c>
      <c r="AT67" s="118">
        <v>2</v>
      </c>
      <c r="AU67" s="108">
        <v>100</v>
      </c>
      <c r="BD67" s="21">
        <v>63</v>
      </c>
      <c r="BE67" s="77" t="s">
        <v>40</v>
      </c>
      <c r="BF67" s="77" t="s">
        <v>75</v>
      </c>
      <c r="BG67" s="77" t="s">
        <v>37</v>
      </c>
      <c r="BH67" s="77" t="s">
        <v>38</v>
      </c>
      <c r="BI67" s="77" t="s">
        <v>35</v>
      </c>
      <c r="BJ67" s="77" t="s">
        <v>40</v>
      </c>
      <c r="BK67" s="37" t="s">
        <v>37</v>
      </c>
      <c r="BM67" s="76">
        <f t="shared" si="37"/>
        <v>12</v>
      </c>
      <c r="BN67" s="76">
        <f t="shared" si="38"/>
        <v>6</v>
      </c>
      <c r="BO67" s="76">
        <f t="shared" si="39"/>
        <v>9</v>
      </c>
      <c r="BP67" s="76">
        <f t="shared" si="40"/>
        <v>10</v>
      </c>
      <c r="BQ67" s="76">
        <f t="shared" si="41"/>
        <v>5</v>
      </c>
      <c r="BR67" s="76">
        <f t="shared" si="42"/>
        <v>12</v>
      </c>
      <c r="BS67" s="76">
        <f t="shared" si="43"/>
        <v>9</v>
      </c>
      <c r="BU67" s="25">
        <v>1</v>
      </c>
      <c r="BV67" s="25">
        <v>1</v>
      </c>
      <c r="BW67" s="25">
        <v>1</v>
      </c>
      <c r="BX67" s="25">
        <v>1</v>
      </c>
      <c r="BY67" s="25">
        <v>1</v>
      </c>
      <c r="BZ67" s="25">
        <v>1</v>
      </c>
      <c r="CA67" s="7">
        <v>1</v>
      </c>
      <c r="CC67" s="53" t="s">
        <v>17</v>
      </c>
      <c r="CD67" s="69">
        <v>40</v>
      </c>
      <c r="CE67" s="70">
        <v>40</v>
      </c>
      <c r="CF67" s="70">
        <v>40</v>
      </c>
      <c r="CG67" s="70">
        <v>1</v>
      </c>
      <c r="CH67" s="55">
        <v>1</v>
      </c>
      <c r="CI67" s="55">
        <v>40</v>
      </c>
      <c r="CJ67" s="56">
        <v>1</v>
      </c>
      <c r="CK67" s="57">
        <v>4</v>
      </c>
      <c r="CM67" s="118">
        <v>2</v>
      </c>
      <c r="CN67" s="108">
        <v>0</v>
      </c>
      <c r="CW67" s="21">
        <v>63</v>
      </c>
      <c r="CX67" s="77" t="s">
        <v>40</v>
      </c>
      <c r="CY67" s="77" t="s">
        <v>75</v>
      </c>
      <c r="CZ67" s="77" t="s">
        <v>37</v>
      </c>
      <c r="DA67" s="77" t="s">
        <v>38</v>
      </c>
      <c r="DB67" s="77" t="s">
        <v>35</v>
      </c>
      <c r="DC67" s="77" t="s">
        <v>40</v>
      </c>
      <c r="DD67" s="37" t="s">
        <v>37</v>
      </c>
      <c r="DF67" s="76">
        <f t="shared" si="45"/>
        <v>12</v>
      </c>
      <c r="DG67" s="76">
        <f t="shared" si="10"/>
        <v>6</v>
      </c>
      <c r="DH67" s="76">
        <f t="shared" si="11"/>
        <v>9</v>
      </c>
      <c r="DI67" s="76">
        <f t="shared" si="12"/>
        <v>10</v>
      </c>
      <c r="DJ67" s="76">
        <f t="shared" si="13"/>
        <v>5</v>
      </c>
      <c r="DK67" s="76">
        <f t="shared" si="14"/>
        <v>12</v>
      </c>
      <c r="DL67" s="76">
        <f t="shared" si="15"/>
        <v>9</v>
      </c>
      <c r="DN67" s="25">
        <v>1</v>
      </c>
      <c r="DO67" s="25">
        <v>1</v>
      </c>
      <c r="DP67" s="25">
        <v>1</v>
      </c>
      <c r="DQ67" s="25">
        <v>1</v>
      </c>
      <c r="DR67" s="25">
        <v>1</v>
      </c>
      <c r="DS67" s="25">
        <v>1</v>
      </c>
      <c r="DT67" s="7">
        <v>1</v>
      </c>
      <c r="DV67" s="53" t="s">
        <v>17</v>
      </c>
      <c r="DW67" s="69">
        <v>40</v>
      </c>
      <c r="DX67" s="70">
        <v>40</v>
      </c>
      <c r="DY67" s="70">
        <v>40</v>
      </c>
      <c r="DZ67" s="70">
        <v>1</v>
      </c>
      <c r="EA67" s="55">
        <v>1</v>
      </c>
      <c r="EB67" s="55">
        <v>40</v>
      </c>
      <c r="EC67" s="56">
        <v>1</v>
      </c>
      <c r="ED67" s="57">
        <v>4</v>
      </c>
    </row>
    <row r="68" spans="1:134" ht="16.5" customHeight="1" x14ac:dyDescent="0.3">
      <c r="A68" s="118">
        <v>3</v>
      </c>
      <c r="B68" s="108">
        <v>10</v>
      </c>
      <c r="K68" s="22">
        <v>64</v>
      </c>
      <c r="L68" s="77" t="s">
        <v>34</v>
      </c>
      <c r="M68" s="77" t="s">
        <v>38</v>
      </c>
      <c r="N68" s="77" t="s">
        <v>35</v>
      </c>
      <c r="O68" s="77" t="s">
        <v>40</v>
      </c>
      <c r="P68" s="77" t="s">
        <v>152</v>
      </c>
      <c r="Q68" s="77" t="s">
        <v>40</v>
      </c>
      <c r="R68" s="37" t="s">
        <v>39</v>
      </c>
      <c r="T68" s="76">
        <f t="shared" si="23"/>
        <v>4</v>
      </c>
      <c r="U68" s="76">
        <f t="shared" si="24"/>
        <v>10</v>
      </c>
      <c r="V68" s="76">
        <f t="shared" si="25"/>
        <v>5</v>
      </c>
      <c r="W68" s="76">
        <f t="shared" si="26"/>
        <v>12</v>
      </c>
      <c r="X68" s="76">
        <f t="shared" si="27"/>
        <v>7</v>
      </c>
      <c r="Y68" s="76">
        <f t="shared" si="28"/>
        <v>12</v>
      </c>
      <c r="Z68" s="76">
        <f t="shared" si="29"/>
        <v>11</v>
      </c>
      <c r="AB68" s="25">
        <v>1</v>
      </c>
      <c r="AC68" s="25">
        <v>1</v>
      </c>
      <c r="AD68" s="25">
        <v>1</v>
      </c>
      <c r="AE68" s="25">
        <v>1</v>
      </c>
      <c r="AF68" s="25">
        <v>1</v>
      </c>
      <c r="AG68" s="25">
        <v>1</v>
      </c>
      <c r="AH68" s="7">
        <v>3</v>
      </c>
      <c r="AJ68" s="53" t="s">
        <v>18</v>
      </c>
      <c r="AK68" s="69">
        <v>1</v>
      </c>
      <c r="AL68" s="70">
        <v>40</v>
      </c>
      <c r="AM68" s="70">
        <v>1</v>
      </c>
      <c r="AN68" s="70">
        <v>1</v>
      </c>
      <c r="AO68" s="55">
        <v>1</v>
      </c>
      <c r="AP68" s="55">
        <v>40</v>
      </c>
      <c r="AQ68" s="56">
        <v>1</v>
      </c>
      <c r="AR68" s="57">
        <v>5</v>
      </c>
      <c r="AT68" s="118">
        <v>3</v>
      </c>
      <c r="AU68" s="108">
        <v>100</v>
      </c>
      <c r="BD68" s="22">
        <v>64</v>
      </c>
      <c r="BE68" s="77" t="s">
        <v>34</v>
      </c>
      <c r="BF68" s="77" t="s">
        <v>38</v>
      </c>
      <c r="BG68" s="77" t="s">
        <v>35</v>
      </c>
      <c r="BH68" s="77" t="s">
        <v>40</v>
      </c>
      <c r="BI68" s="77" t="s">
        <v>152</v>
      </c>
      <c r="BJ68" s="77" t="s">
        <v>40</v>
      </c>
      <c r="BK68" s="37" t="s">
        <v>39</v>
      </c>
      <c r="BM68" s="76">
        <f t="shared" si="37"/>
        <v>4</v>
      </c>
      <c r="BN68" s="76">
        <f t="shared" si="38"/>
        <v>10</v>
      </c>
      <c r="BO68" s="76">
        <f t="shared" si="39"/>
        <v>5</v>
      </c>
      <c r="BP68" s="76">
        <f t="shared" si="40"/>
        <v>12</v>
      </c>
      <c r="BQ68" s="76">
        <f t="shared" si="41"/>
        <v>7</v>
      </c>
      <c r="BR68" s="76">
        <f t="shared" si="42"/>
        <v>12</v>
      </c>
      <c r="BS68" s="76">
        <f t="shared" si="43"/>
        <v>11</v>
      </c>
      <c r="BU68" s="25">
        <v>1</v>
      </c>
      <c r="BV68" s="25">
        <v>1</v>
      </c>
      <c r="BW68" s="25">
        <v>1</v>
      </c>
      <c r="BX68" s="25">
        <v>1</v>
      </c>
      <c r="BY68" s="25">
        <v>1</v>
      </c>
      <c r="BZ68" s="25">
        <v>1</v>
      </c>
      <c r="CA68" s="7">
        <v>1</v>
      </c>
      <c r="CC68" s="53" t="s">
        <v>18</v>
      </c>
      <c r="CD68" s="69">
        <v>1</v>
      </c>
      <c r="CE68" s="70">
        <v>40</v>
      </c>
      <c r="CF68" s="70">
        <v>1</v>
      </c>
      <c r="CG68" s="70">
        <v>1</v>
      </c>
      <c r="CH68" s="55">
        <v>1</v>
      </c>
      <c r="CI68" s="55">
        <v>40</v>
      </c>
      <c r="CJ68" s="56">
        <v>1</v>
      </c>
      <c r="CK68" s="57">
        <v>5</v>
      </c>
      <c r="CM68" s="118">
        <v>3</v>
      </c>
      <c r="CN68" s="108">
        <v>0</v>
      </c>
      <c r="CW68" s="22">
        <v>64</v>
      </c>
      <c r="CX68" s="77" t="s">
        <v>34</v>
      </c>
      <c r="CY68" s="77" t="s">
        <v>38</v>
      </c>
      <c r="CZ68" s="77" t="s">
        <v>35</v>
      </c>
      <c r="DA68" s="77" t="s">
        <v>40</v>
      </c>
      <c r="DB68" s="77" t="s">
        <v>152</v>
      </c>
      <c r="DC68" s="77" t="s">
        <v>40</v>
      </c>
      <c r="DD68" s="37" t="s">
        <v>39</v>
      </c>
      <c r="DF68" s="76">
        <f t="shared" si="45"/>
        <v>4</v>
      </c>
      <c r="DG68" s="76">
        <f t="shared" ref="DG68:DG124" si="47">VLOOKUP(CY68, $A$4:$I$29, 9, 0)</f>
        <v>10</v>
      </c>
      <c r="DH68" s="76">
        <f t="shared" ref="DH68:DH124" si="48">VLOOKUP(CZ68, $A$4:$I$29, 9, 0)</f>
        <v>5</v>
      </c>
      <c r="DI68" s="76">
        <f t="shared" ref="DI68:DI124" si="49">VLOOKUP(DA68, $A$4:$I$29, 9, 0)</f>
        <v>12</v>
      </c>
      <c r="DJ68" s="76">
        <f t="shared" ref="DJ68:DJ124" si="50">VLOOKUP(DB68, $A$4:$I$29, 9, 0)</f>
        <v>7</v>
      </c>
      <c r="DK68" s="76">
        <f t="shared" ref="DK68:DK124" si="51">VLOOKUP(DC68, $A$4:$I$29, 9, 0)</f>
        <v>12</v>
      </c>
      <c r="DL68" s="76">
        <f t="shared" ref="DL68:DL124" si="52">VLOOKUP(DD68, $A$4:$I$29, 9, 0)</f>
        <v>11</v>
      </c>
      <c r="DN68" s="25">
        <v>1</v>
      </c>
      <c r="DO68" s="25">
        <v>1</v>
      </c>
      <c r="DP68" s="25">
        <v>1</v>
      </c>
      <c r="DQ68" s="25">
        <v>1</v>
      </c>
      <c r="DR68" s="25">
        <v>1</v>
      </c>
      <c r="DS68" s="25">
        <v>1</v>
      </c>
      <c r="DT68" s="7">
        <v>1</v>
      </c>
      <c r="DV68" s="53" t="s">
        <v>18</v>
      </c>
      <c r="DW68" s="69">
        <v>1</v>
      </c>
      <c r="DX68" s="70">
        <v>40</v>
      </c>
      <c r="DY68" s="70">
        <v>1</v>
      </c>
      <c r="DZ68" s="70">
        <v>1</v>
      </c>
      <c r="EA68" s="55">
        <v>1</v>
      </c>
      <c r="EB68" s="55">
        <v>40</v>
      </c>
      <c r="EC68" s="56">
        <v>1</v>
      </c>
      <c r="ED68" s="57">
        <v>5</v>
      </c>
    </row>
    <row r="69" spans="1:134" ht="16.5" customHeight="1" x14ac:dyDescent="0.3">
      <c r="A69" s="118">
        <v>4</v>
      </c>
      <c r="B69" s="108">
        <v>1</v>
      </c>
      <c r="K69" s="21">
        <v>65</v>
      </c>
      <c r="L69" s="77" t="s">
        <v>38</v>
      </c>
      <c r="M69" s="77" t="s">
        <v>38</v>
      </c>
      <c r="N69" s="77" t="s">
        <v>25</v>
      </c>
      <c r="O69" s="77" t="s">
        <v>40</v>
      </c>
      <c r="P69" s="77" t="s">
        <v>152</v>
      </c>
      <c r="Q69" s="77" t="s">
        <v>38</v>
      </c>
      <c r="R69" s="37" t="s">
        <v>39</v>
      </c>
      <c r="T69" s="76">
        <f t="shared" ref="T69:T124" si="53">VLOOKUP(L69, $A$4:$I$29, 9, 0)</f>
        <v>10</v>
      </c>
      <c r="U69" s="76">
        <f t="shared" ref="U69:U124" si="54">VLOOKUP(M69, $A$4:$I$29, 9, 0)</f>
        <v>10</v>
      </c>
      <c r="V69" s="76">
        <f t="shared" ref="V69:V124" si="55">VLOOKUP(N69, $A$4:$I$29, 9, 0)</f>
        <v>8</v>
      </c>
      <c r="W69" s="76">
        <f t="shared" ref="W69:W124" si="56">VLOOKUP(O69, $A$4:$I$29, 9, 0)</f>
        <v>12</v>
      </c>
      <c r="X69" s="76">
        <f t="shared" ref="X69:X124" si="57">VLOOKUP(P69, $A$4:$I$29, 9, 0)</f>
        <v>7</v>
      </c>
      <c r="Y69" s="76">
        <f t="shared" ref="Y69:Y124" si="58">VLOOKUP(Q69, $A$4:$I$29, 9, 0)</f>
        <v>10</v>
      </c>
      <c r="Z69" s="76">
        <f t="shared" ref="Z69:Z124" si="59">VLOOKUP(R69, $A$4:$I$29, 9, 0)</f>
        <v>11</v>
      </c>
      <c r="AB69" s="25">
        <v>1</v>
      </c>
      <c r="AC69" s="25">
        <v>1</v>
      </c>
      <c r="AD69" s="25">
        <v>1</v>
      </c>
      <c r="AE69" s="25">
        <v>1</v>
      </c>
      <c r="AF69" s="25">
        <v>1</v>
      </c>
      <c r="AG69" s="25">
        <v>1</v>
      </c>
      <c r="AH69" s="7">
        <v>1</v>
      </c>
      <c r="AJ69" s="53" t="s">
        <v>74</v>
      </c>
      <c r="AK69" s="69">
        <v>1</v>
      </c>
      <c r="AL69" s="70">
        <v>1</v>
      </c>
      <c r="AM69" s="70">
        <v>40</v>
      </c>
      <c r="AN69" s="70">
        <v>1</v>
      </c>
      <c r="AO69" s="55">
        <v>40</v>
      </c>
      <c r="AP69" s="55">
        <v>1</v>
      </c>
      <c r="AQ69" s="56">
        <v>1</v>
      </c>
      <c r="AR69" s="57">
        <v>6</v>
      </c>
      <c r="AT69" s="118">
        <v>4</v>
      </c>
      <c r="AU69" s="108">
        <v>15</v>
      </c>
      <c r="BD69" s="21">
        <v>65</v>
      </c>
      <c r="BE69" s="77" t="s">
        <v>38</v>
      </c>
      <c r="BF69" s="77" t="s">
        <v>38</v>
      </c>
      <c r="BG69" s="77" t="s">
        <v>25</v>
      </c>
      <c r="BH69" s="77" t="s">
        <v>40</v>
      </c>
      <c r="BI69" s="77" t="s">
        <v>152</v>
      </c>
      <c r="BJ69" s="77" t="s">
        <v>38</v>
      </c>
      <c r="BK69" s="37" t="s">
        <v>39</v>
      </c>
      <c r="BM69" s="76">
        <f t="shared" ref="BM69:BM124" si="60">VLOOKUP(BE69, $A$4:$I$29, 9, 0)</f>
        <v>10</v>
      </c>
      <c r="BN69" s="76">
        <f t="shared" ref="BN69:BN124" si="61">VLOOKUP(BF69, $A$4:$I$29, 9, 0)</f>
        <v>10</v>
      </c>
      <c r="BO69" s="76">
        <f t="shared" ref="BO69:BO124" si="62">VLOOKUP(BG69, $A$4:$I$29, 9, 0)</f>
        <v>8</v>
      </c>
      <c r="BP69" s="76">
        <f t="shared" ref="BP69:BP124" si="63">VLOOKUP(BH69, $A$4:$I$29, 9, 0)</f>
        <v>12</v>
      </c>
      <c r="BQ69" s="76">
        <f t="shared" ref="BQ69:BQ124" si="64">VLOOKUP(BI69, $A$4:$I$29, 9, 0)</f>
        <v>7</v>
      </c>
      <c r="BR69" s="76">
        <f t="shared" ref="BR69:BR124" si="65">VLOOKUP(BJ69, $A$4:$I$29, 9, 0)</f>
        <v>10</v>
      </c>
      <c r="BS69" s="76">
        <f t="shared" ref="BS69:BS124" si="66">VLOOKUP(BK69, $A$4:$I$29, 9, 0)</f>
        <v>11</v>
      </c>
      <c r="BU69" s="25">
        <v>1</v>
      </c>
      <c r="BV69" s="25">
        <v>1</v>
      </c>
      <c r="BW69" s="25">
        <v>1</v>
      </c>
      <c r="BX69" s="25">
        <v>1</v>
      </c>
      <c r="BY69" s="25">
        <v>1</v>
      </c>
      <c r="BZ69" s="25">
        <v>1</v>
      </c>
      <c r="CA69" s="7">
        <v>1</v>
      </c>
      <c r="CC69" s="53" t="s">
        <v>74</v>
      </c>
      <c r="CD69" s="69">
        <v>1</v>
      </c>
      <c r="CE69" s="70">
        <v>1</v>
      </c>
      <c r="CF69" s="70">
        <v>40</v>
      </c>
      <c r="CG69" s="70">
        <v>1</v>
      </c>
      <c r="CH69" s="55">
        <v>40</v>
      </c>
      <c r="CI69" s="55">
        <v>1</v>
      </c>
      <c r="CJ69" s="56">
        <v>1</v>
      </c>
      <c r="CK69" s="57">
        <v>6</v>
      </c>
      <c r="CM69" s="118">
        <v>4</v>
      </c>
      <c r="CN69" s="108">
        <v>0</v>
      </c>
      <c r="CW69" s="21">
        <v>65</v>
      </c>
      <c r="CX69" s="77" t="s">
        <v>38</v>
      </c>
      <c r="CY69" s="77" t="s">
        <v>38</v>
      </c>
      <c r="CZ69" s="77" t="s">
        <v>25</v>
      </c>
      <c r="DA69" s="77" t="s">
        <v>40</v>
      </c>
      <c r="DB69" s="77" t="s">
        <v>152</v>
      </c>
      <c r="DC69" s="77" t="s">
        <v>38</v>
      </c>
      <c r="DD69" s="37" t="s">
        <v>39</v>
      </c>
      <c r="DF69" s="76">
        <f t="shared" ref="DF69:DF124" si="67">VLOOKUP(CX69, $A$4:$I$29, 9, 0)</f>
        <v>10</v>
      </c>
      <c r="DG69" s="76">
        <f t="shared" si="47"/>
        <v>10</v>
      </c>
      <c r="DH69" s="76">
        <f t="shared" si="48"/>
        <v>8</v>
      </c>
      <c r="DI69" s="76">
        <f t="shared" si="49"/>
        <v>12</v>
      </c>
      <c r="DJ69" s="76">
        <f t="shared" si="50"/>
        <v>7</v>
      </c>
      <c r="DK69" s="76">
        <f t="shared" si="51"/>
        <v>10</v>
      </c>
      <c r="DL69" s="76">
        <f t="shared" si="52"/>
        <v>11</v>
      </c>
      <c r="DN69" s="25">
        <v>1</v>
      </c>
      <c r="DO69" s="25">
        <v>1</v>
      </c>
      <c r="DP69" s="25">
        <v>1</v>
      </c>
      <c r="DQ69" s="25">
        <v>1</v>
      </c>
      <c r="DR69" s="25">
        <v>1</v>
      </c>
      <c r="DS69" s="25">
        <v>1</v>
      </c>
      <c r="DT69" s="7">
        <v>1</v>
      </c>
      <c r="DV69" s="53" t="s">
        <v>74</v>
      </c>
      <c r="DW69" s="69">
        <v>1</v>
      </c>
      <c r="DX69" s="70">
        <v>1</v>
      </c>
      <c r="DY69" s="70">
        <v>40</v>
      </c>
      <c r="DZ69" s="70">
        <v>1</v>
      </c>
      <c r="EA69" s="55">
        <v>40</v>
      </c>
      <c r="EB69" s="55">
        <v>1</v>
      </c>
      <c r="EC69" s="56">
        <v>1</v>
      </c>
      <c r="ED69" s="57">
        <v>6</v>
      </c>
    </row>
    <row r="70" spans="1:134" ht="16.5" customHeight="1" x14ac:dyDescent="0.3">
      <c r="A70" s="119">
        <v>5</v>
      </c>
      <c r="B70" s="121">
        <v>0</v>
      </c>
      <c r="K70" s="22">
        <v>66</v>
      </c>
      <c r="L70" s="77" t="s">
        <v>38</v>
      </c>
      <c r="M70" s="77" t="s">
        <v>40</v>
      </c>
      <c r="N70" s="77" t="s">
        <v>25</v>
      </c>
      <c r="O70" s="77" t="s">
        <v>40</v>
      </c>
      <c r="P70" s="77" t="s">
        <v>35</v>
      </c>
      <c r="Q70" s="77" t="s">
        <v>25</v>
      </c>
      <c r="R70" s="37" t="s">
        <v>39</v>
      </c>
      <c r="T70" s="76">
        <f t="shared" si="53"/>
        <v>10</v>
      </c>
      <c r="U70" s="76">
        <f t="shared" si="54"/>
        <v>12</v>
      </c>
      <c r="V70" s="76">
        <f t="shared" si="55"/>
        <v>8</v>
      </c>
      <c r="W70" s="76">
        <f t="shared" si="56"/>
        <v>12</v>
      </c>
      <c r="X70" s="76">
        <f t="shared" si="57"/>
        <v>5</v>
      </c>
      <c r="Y70" s="76">
        <f t="shared" si="58"/>
        <v>8</v>
      </c>
      <c r="Z70" s="76">
        <f t="shared" si="59"/>
        <v>11</v>
      </c>
      <c r="AB70" s="25">
        <v>1</v>
      </c>
      <c r="AC70" s="25">
        <v>1</v>
      </c>
      <c r="AD70" s="25">
        <v>1</v>
      </c>
      <c r="AE70" s="25">
        <v>1</v>
      </c>
      <c r="AF70" s="25">
        <v>1</v>
      </c>
      <c r="AG70" s="25">
        <v>1</v>
      </c>
      <c r="AH70" s="7">
        <v>1</v>
      </c>
      <c r="AJ70" s="53" t="s">
        <v>151</v>
      </c>
      <c r="AK70" s="69">
        <v>1</v>
      </c>
      <c r="AL70" s="70">
        <v>40</v>
      </c>
      <c r="AM70" s="70">
        <v>1</v>
      </c>
      <c r="AN70" s="70">
        <v>40</v>
      </c>
      <c r="AO70" s="55">
        <v>1</v>
      </c>
      <c r="AP70" s="55">
        <v>1</v>
      </c>
      <c r="AQ70" s="56">
        <v>1</v>
      </c>
      <c r="AR70" s="57">
        <v>7</v>
      </c>
      <c r="AT70" s="119">
        <v>5</v>
      </c>
      <c r="AU70" s="121">
        <v>0</v>
      </c>
      <c r="BD70" s="22">
        <v>66</v>
      </c>
      <c r="BE70" s="77" t="s">
        <v>38</v>
      </c>
      <c r="BF70" s="77" t="s">
        <v>40</v>
      </c>
      <c r="BG70" s="77" t="s">
        <v>25</v>
      </c>
      <c r="BH70" s="77" t="s">
        <v>40</v>
      </c>
      <c r="BI70" s="77" t="s">
        <v>35</v>
      </c>
      <c r="BJ70" s="77" t="s">
        <v>25</v>
      </c>
      <c r="BK70" s="37" t="s">
        <v>39</v>
      </c>
      <c r="BM70" s="76">
        <f t="shared" si="60"/>
        <v>10</v>
      </c>
      <c r="BN70" s="76">
        <f t="shared" si="61"/>
        <v>12</v>
      </c>
      <c r="BO70" s="76">
        <f t="shared" si="62"/>
        <v>8</v>
      </c>
      <c r="BP70" s="76">
        <f t="shared" si="63"/>
        <v>12</v>
      </c>
      <c r="BQ70" s="76">
        <f t="shared" si="64"/>
        <v>5</v>
      </c>
      <c r="BR70" s="76">
        <f t="shared" si="65"/>
        <v>8</v>
      </c>
      <c r="BS70" s="76">
        <f t="shared" si="66"/>
        <v>11</v>
      </c>
      <c r="BU70" s="25">
        <v>1</v>
      </c>
      <c r="BV70" s="25">
        <v>1</v>
      </c>
      <c r="BW70" s="25">
        <v>1</v>
      </c>
      <c r="BX70" s="25">
        <v>1</v>
      </c>
      <c r="BY70" s="25">
        <v>1</v>
      </c>
      <c r="BZ70" s="25">
        <v>1</v>
      </c>
      <c r="CA70" s="7">
        <v>1</v>
      </c>
      <c r="CC70" s="53" t="s">
        <v>151</v>
      </c>
      <c r="CD70" s="69">
        <v>1</v>
      </c>
      <c r="CE70" s="70">
        <v>40</v>
      </c>
      <c r="CF70" s="70">
        <v>1</v>
      </c>
      <c r="CG70" s="70">
        <v>40</v>
      </c>
      <c r="CH70" s="55">
        <v>1</v>
      </c>
      <c r="CI70" s="55">
        <v>1</v>
      </c>
      <c r="CJ70" s="56">
        <v>1</v>
      </c>
      <c r="CK70" s="57">
        <v>7</v>
      </c>
      <c r="CM70" s="119">
        <v>5</v>
      </c>
      <c r="CN70" s="121">
        <v>0</v>
      </c>
      <c r="CW70" s="22">
        <v>66</v>
      </c>
      <c r="CX70" s="77" t="s">
        <v>38</v>
      </c>
      <c r="CY70" s="77" t="s">
        <v>40</v>
      </c>
      <c r="CZ70" s="77" t="s">
        <v>25</v>
      </c>
      <c r="DA70" s="77" t="s">
        <v>40</v>
      </c>
      <c r="DB70" s="77" t="s">
        <v>35</v>
      </c>
      <c r="DC70" s="77" t="s">
        <v>25</v>
      </c>
      <c r="DD70" s="37" t="s">
        <v>39</v>
      </c>
      <c r="DF70" s="76">
        <f t="shared" si="67"/>
        <v>10</v>
      </c>
      <c r="DG70" s="76">
        <f t="shared" si="47"/>
        <v>12</v>
      </c>
      <c r="DH70" s="76">
        <f t="shared" si="48"/>
        <v>8</v>
      </c>
      <c r="DI70" s="76">
        <f t="shared" si="49"/>
        <v>12</v>
      </c>
      <c r="DJ70" s="76">
        <f t="shared" si="50"/>
        <v>5</v>
      </c>
      <c r="DK70" s="76">
        <f t="shared" si="51"/>
        <v>8</v>
      </c>
      <c r="DL70" s="76">
        <f t="shared" si="52"/>
        <v>11</v>
      </c>
      <c r="DN70" s="25">
        <v>1</v>
      </c>
      <c r="DO70" s="25">
        <v>1</v>
      </c>
      <c r="DP70" s="25">
        <v>1</v>
      </c>
      <c r="DQ70" s="25">
        <v>1</v>
      </c>
      <c r="DR70" s="25">
        <v>1</v>
      </c>
      <c r="DS70" s="25">
        <v>1</v>
      </c>
      <c r="DT70" s="7">
        <v>1</v>
      </c>
      <c r="DV70" s="53" t="s">
        <v>151</v>
      </c>
      <c r="DW70" s="69">
        <v>1</v>
      </c>
      <c r="DX70" s="70">
        <v>40</v>
      </c>
      <c r="DY70" s="70">
        <v>1</v>
      </c>
      <c r="DZ70" s="70">
        <v>40</v>
      </c>
      <c r="EA70" s="55">
        <v>1</v>
      </c>
      <c r="EB70" s="55">
        <v>1</v>
      </c>
      <c r="EC70" s="56">
        <v>1</v>
      </c>
      <c r="ED70" s="57">
        <v>7</v>
      </c>
    </row>
    <row r="71" spans="1:134" ht="16.5" customHeight="1" x14ac:dyDescent="0.3">
      <c r="A71" s="119">
        <v>6</v>
      </c>
      <c r="B71" s="121">
        <v>0</v>
      </c>
      <c r="K71" s="21">
        <v>67</v>
      </c>
      <c r="L71" s="77" t="s">
        <v>35</v>
      </c>
      <c r="M71" s="77" t="s">
        <v>38</v>
      </c>
      <c r="N71" s="77" t="s">
        <v>25</v>
      </c>
      <c r="O71" s="77" t="s">
        <v>37</v>
      </c>
      <c r="P71" s="77" t="s">
        <v>35</v>
      </c>
      <c r="Q71" s="77" t="s">
        <v>75</v>
      </c>
      <c r="R71" s="37" t="s">
        <v>40</v>
      </c>
      <c r="T71" s="76">
        <f t="shared" si="53"/>
        <v>5</v>
      </c>
      <c r="U71" s="76">
        <f t="shared" si="54"/>
        <v>10</v>
      </c>
      <c r="V71" s="76">
        <f t="shared" si="55"/>
        <v>8</v>
      </c>
      <c r="W71" s="76">
        <f t="shared" si="56"/>
        <v>9</v>
      </c>
      <c r="X71" s="76">
        <f t="shared" si="57"/>
        <v>5</v>
      </c>
      <c r="Y71" s="76">
        <f t="shared" si="58"/>
        <v>6</v>
      </c>
      <c r="Z71" s="76">
        <f t="shared" si="59"/>
        <v>12</v>
      </c>
      <c r="AB71" s="25">
        <v>1</v>
      </c>
      <c r="AC71" s="25">
        <v>1</v>
      </c>
      <c r="AD71" s="25">
        <v>1</v>
      </c>
      <c r="AE71" s="25">
        <v>1</v>
      </c>
      <c r="AF71" s="25">
        <v>1</v>
      </c>
      <c r="AG71" s="25">
        <v>1</v>
      </c>
      <c r="AH71" s="7">
        <v>1</v>
      </c>
      <c r="AJ71" s="53" t="s">
        <v>24</v>
      </c>
      <c r="AK71" s="69">
        <v>1</v>
      </c>
      <c r="AL71" s="70">
        <v>1</v>
      </c>
      <c r="AM71" s="70">
        <v>1</v>
      </c>
      <c r="AN71" s="70">
        <v>1</v>
      </c>
      <c r="AO71" s="55">
        <v>35</v>
      </c>
      <c r="AP71" s="55">
        <v>1</v>
      </c>
      <c r="AQ71" s="56">
        <v>1</v>
      </c>
      <c r="AR71" s="57">
        <v>8</v>
      </c>
      <c r="AT71" s="119">
        <v>6</v>
      </c>
      <c r="AU71" s="121">
        <v>0</v>
      </c>
      <c r="BD71" s="21">
        <v>67</v>
      </c>
      <c r="BE71" s="77" t="s">
        <v>35</v>
      </c>
      <c r="BF71" s="77" t="s">
        <v>38</v>
      </c>
      <c r="BG71" s="77" t="s">
        <v>25</v>
      </c>
      <c r="BH71" s="77" t="s">
        <v>37</v>
      </c>
      <c r="BI71" s="77" t="s">
        <v>35</v>
      </c>
      <c r="BJ71" s="77" t="s">
        <v>75</v>
      </c>
      <c r="BK71" s="37" t="s">
        <v>40</v>
      </c>
      <c r="BM71" s="76">
        <f t="shared" si="60"/>
        <v>5</v>
      </c>
      <c r="BN71" s="76">
        <f t="shared" si="61"/>
        <v>10</v>
      </c>
      <c r="BO71" s="76">
        <f t="shared" si="62"/>
        <v>8</v>
      </c>
      <c r="BP71" s="76">
        <f t="shared" si="63"/>
        <v>9</v>
      </c>
      <c r="BQ71" s="76">
        <f t="shared" si="64"/>
        <v>5</v>
      </c>
      <c r="BR71" s="76">
        <f t="shared" si="65"/>
        <v>6</v>
      </c>
      <c r="BS71" s="76">
        <f t="shared" si="66"/>
        <v>12</v>
      </c>
      <c r="BU71" s="25">
        <v>1</v>
      </c>
      <c r="BV71" s="25">
        <v>1</v>
      </c>
      <c r="BW71" s="25">
        <v>1</v>
      </c>
      <c r="BX71" s="25">
        <v>1</v>
      </c>
      <c r="BY71" s="25">
        <v>1</v>
      </c>
      <c r="BZ71" s="25">
        <v>1</v>
      </c>
      <c r="CA71" s="7">
        <v>1</v>
      </c>
      <c r="CC71" s="53" t="s">
        <v>24</v>
      </c>
      <c r="CD71" s="69">
        <v>1</v>
      </c>
      <c r="CE71" s="70">
        <v>1</v>
      </c>
      <c r="CF71" s="70">
        <v>1</v>
      </c>
      <c r="CG71" s="70">
        <v>1</v>
      </c>
      <c r="CH71" s="55">
        <v>35</v>
      </c>
      <c r="CI71" s="55">
        <v>1</v>
      </c>
      <c r="CJ71" s="56">
        <v>1</v>
      </c>
      <c r="CK71" s="57">
        <v>8</v>
      </c>
      <c r="CM71" s="119">
        <v>6</v>
      </c>
      <c r="CN71" s="121">
        <v>0</v>
      </c>
      <c r="CW71" s="21">
        <v>67</v>
      </c>
      <c r="CX71" s="77" t="s">
        <v>35</v>
      </c>
      <c r="CY71" s="77" t="s">
        <v>38</v>
      </c>
      <c r="CZ71" s="77" t="s">
        <v>25</v>
      </c>
      <c r="DA71" s="77" t="s">
        <v>37</v>
      </c>
      <c r="DB71" s="77" t="s">
        <v>35</v>
      </c>
      <c r="DC71" s="77" t="s">
        <v>75</v>
      </c>
      <c r="DD71" s="37" t="s">
        <v>40</v>
      </c>
      <c r="DF71" s="76">
        <f t="shared" si="67"/>
        <v>5</v>
      </c>
      <c r="DG71" s="76">
        <f t="shared" si="47"/>
        <v>10</v>
      </c>
      <c r="DH71" s="76">
        <f t="shared" si="48"/>
        <v>8</v>
      </c>
      <c r="DI71" s="76">
        <f t="shared" si="49"/>
        <v>9</v>
      </c>
      <c r="DJ71" s="76">
        <f t="shared" si="50"/>
        <v>5</v>
      </c>
      <c r="DK71" s="76">
        <f t="shared" si="51"/>
        <v>6</v>
      </c>
      <c r="DL71" s="76">
        <f t="shared" si="52"/>
        <v>12</v>
      </c>
      <c r="DN71" s="25">
        <v>1</v>
      </c>
      <c r="DO71" s="25">
        <v>1</v>
      </c>
      <c r="DP71" s="25">
        <v>1</v>
      </c>
      <c r="DQ71" s="25">
        <v>1</v>
      </c>
      <c r="DR71" s="25">
        <v>1</v>
      </c>
      <c r="DS71" s="25">
        <v>1</v>
      </c>
      <c r="DT71" s="7">
        <v>1</v>
      </c>
      <c r="DV71" s="53" t="s">
        <v>24</v>
      </c>
      <c r="DW71" s="69">
        <v>1</v>
      </c>
      <c r="DX71" s="70">
        <v>1</v>
      </c>
      <c r="DY71" s="70">
        <v>1</v>
      </c>
      <c r="DZ71" s="70">
        <v>1</v>
      </c>
      <c r="EA71" s="55">
        <v>35</v>
      </c>
      <c r="EB71" s="55">
        <v>1</v>
      </c>
      <c r="EC71" s="56">
        <v>1</v>
      </c>
      <c r="ED71" s="57">
        <v>8</v>
      </c>
    </row>
    <row r="72" spans="1:134" ht="16.5" customHeight="1" thickBot="1" x14ac:dyDescent="0.35">
      <c r="A72" s="120">
        <v>7</v>
      </c>
      <c r="B72" s="122">
        <v>0</v>
      </c>
      <c r="K72" s="22">
        <v>68</v>
      </c>
      <c r="L72" s="77" t="s">
        <v>35</v>
      </c>
      <c r="M72" s="77" t="s">
        <v>38</v>
      </c>
      <c r="N72" s="77" t="s">
        <v>75</v>
      </c>
      <c r="O72" s="77" t="s">
        <v>161</v>
      </c>
      <c r="P72" s="77" t="s">
        <v>161</v>
      </c>
      <c r="Q72" s="77" t="s">
        <v>75</v>
      </c>
      <c r="R72" s="37" t="s">
        <v>33</v>
      </c>
      <c r="T72" s="76">
        <f t="shared" si="53"/>
        <v>5</v>
      </c>
      <c r="U72" s="76">
        <f t="shared" si="54"/>
        <v>10</v>
      </c>
      <c r="V72" s="76">
        <f t="shared" si="55"/>
        <v>6</v>
      </c>
      <c r="W72" s="76">
        <f t="shared" si="56"/>
        <v>17</v>
      </c>
      <c r="X72" s="76">
        <f t="shared" si="57"/>
        <v>17</v>
      </c>
      <c r="Y72" s="76">
        <f t="shared" si="58"/>
        <v>6</v>
      </c>
      <c r="Z72" s="76">
        <f t="shared" si="59"/>
        <v>3</v>
      </c>
      <c r="AB72" s="25">
        <v>1</v>
      </c>
      <c r="AC72" s="25">
        <v>1</v>
      </c>
      <c r="AD72" s="25">
        <v>1</v>
      </c>
      <c r="AE72" s="25">
        <v>1</v>
      </c>
      <c r="AF72" s="25">
        <v>1</v>
      </c>
      <c r="AG72" s="25">
        <v>1</v>
      </c>
      <c r="AH72" s="7">
        <v>1</v>
      </c>
      <c r="AJ72" s="53" t="s">
        <v>26</v>
      </c>
      <c r="AK72" s="69">
        <v>1</v>
      </c>
      <c r="AL72" s="70">
        <v>40</v>
      </c>
      <c r="AM72" s="70">
        <v>1</v>
      </c>
      <c r="AN72" s="70">
        <v>40</v>
      </c>
      <c r="AO72" s="55">
        <v>1</v>
      </c>
      <c r="AP72" s="55">
        <v>40</v>
      </c>
      <c r="AQ72" s="56">
        <v>1</v>
      </c>
      <c r="AR72" s="57">
        <v>9</v>
      </c>
      <c r="AT72" s="120">
        <v>7</v>
      </c>
      <c r="AU72" s="122">
        <v>0</v>
      </c>
      <c r="BD72" s="22">
        <v>68</v>
      </c>
      <c r="BE72" s="77" t="s">
        <v>35</v>
      </c>
      <c r="BF72" s="77" t="s">
        <v>38</v>
      </c>
      <c r="BG72" s="77" t="s">
        <v>39</v>
      </c>
      <c r="BH72" s="77" t="s">
        <v>161</v>
      </c>
      <c r="BI72" s="77" t="s">
        <v>161</v>
      </c>
      <c r="BJ72" s="77" t="s">
        <v>75</v>
      </c>
      <c r="BK72" s="37" t="s">
        <v>33</v>
      </c>
      <c r="BM72" s="76">
        <f t="shared" si="60"/>
        <v>5</v>
      </c>
      <c r="BN72" s="76">
        <f t="shared" si="61"/>
        <v>10</v>
      </c>
      <c r="BO72" s="76">
        <f t="shared" si="62"/>
        <v>11</v>
      </c>
      <c r="BP72" s="76">
        <f t="shared" si="63"/>
        <v>17</v>
      </c>
      <c r="BQ72" s="76">
        <f t="shared" si="64"/>
        <v>17</v>
      </c>
      <c r="BR72" s="76">
        <f t="shared" si="65"/>
        <v>6</v>
      </c>
      <c r="BS72" s="76">
        <f t="shared" si="66"/>
        <v>3</v>
      </c>
      <c r="BU72" s="25">
        <v>1</v>
      </c>
      <c r="BV72" s="25">
        <v>1</v>
      </c>
      <c r="BW72" s="25">
        <v>1</v>
      </c>
      <c r="BX72" s="25">
        <v>1</v>
      </c>
      <c r="BY72" s="25">
        <v>1</v>
      </c>
      <c r="BZ72" s="25">
        <v>1</v>
      </c>
      <c r="CA72" s="7">
        <v>1</v>
      </c>
      <c r="CC72" s="53" t="s">
        <v>26</v>
      </c>
      <c r="CD72" s="69">
        <v>1</v>
      </c>
      <c r="CE72" s="70">
        <v>40</v>
      </c>
      <c r="CF72" s="70">
        <v>1</v>
      </c>
      <c r="CG72" s="70">
        <v>40</v>
      </c>
      <c r="CH72" s="55">
        <v>1</v>
      </c>
      <c r="CI72" s="55">
        <v>40</v>
      </c>
      <c r="CJ72" s="56">
        <v>1</v>
      </c>
      <c r="CK72" s="57">
        <v>9</v>
      </c>
      <c r="CM72" s="120">
        <v>7</v>
      </c>
      <c r="CN72" s="122">
        <v>0</v>
      </c>
      <c r="CW72" s="22">
        <v>68</v>
      </c>
      <c r="CX72" s="77" t="s">
        <v>35</v>
      </c>
      <c r="CY72" s="77" t="s">
        <v>38</v>
      </c>
      <c r="CZ72" s="77" t="s">
        <v>39</v>
      </c>
      <c r="DA72" s="77" t="s">
        <v>161</v>
      </c>
      <c r="DB72" s="77" t="s">
        <v>161</v>
      </c>
      <c r="DC72" s="77" t="s">
        <v>75</v>
      </c>
      <c r="DD72" s="37" t="s">
        <v>33</v>
      </c>
      <c r="DF72" s="76">
        <f t="shared" si="67"/>
        <v>5</v>
      </c>
      <c r="DG72" s="76">
        <f t="shared" si="47"/>
        <v>10</v>
      </c>
      <c r="DH72" s="76">
        <f t="shared" si="48"/>
        <v>11</v>
      </c>
      <c r="DI72" s="76">
        <f t="shared" si="49"/>
        <v>17</v>
      </c>
      <c r="DJ72" s="76">
        <f t="shared" si="50"/>
        <v>17</v>
      </c>
      <c r="DK72" s="76">
        <f t="shared" si="51"/>
        <v>6</v>
      </c>
      <c r="DL72" s="76">
        <f t="shared" si="52"/>
        <v>3</v>
      </c>
      <c r="DN72" s="25">
        <v>1</v>
      </c>
      <c r="DO72" s="25">
        <v>1</v>
      </c>
      <c r="DP72" s="25">
        <v>1</v>
      </c>
      <c r="DQ72" s="25">
        <v>1</v>
      </c>
      <c r="DR72" s="25">
        <v>1</v>
      </c>
      <c r="DS72" s="25">
        <v>1</v>
      </c>
      <c r="DT72" s="7">
        <v>1</v>
      </c>
      <c r="DV72" s="53" t="s">
        <v>26</v>
      </c>
      <c r="DW72" s="69">
        <v>1</v>
      </c>
      <c r="DX72" s="70">
        <v>40</v>
      </c>
      <c r="DY72" s="70">
        <v>1</v>
      </c>
      <c r="DZ72" s="70">
        <v>40</v>
      </c>
      <c r="EA72" s="55">
        <v>1</v>
      </c>
      <c r="EB72" s="55">
        <v>40</v>
      </c>
      <c r="EC72" s="56">
        <v>1</v>
      </c>
      <c r="ED72" s="57">
        <v>9</v>
      </c>
    </row>
    <row r="73" spans="1:134" ht="16.5" customHeight="1" x14ac:dyDescent="0.3">
      <c r="K73" s="21">
        <v>69</v>
      </c>
      <c r="L73" s="77" t="s">
        <v>37</v>
      </c>
      <c r="M73" s="77" t="s">
        <v>38</v>
      </c>
      <c r="N73" s="77" t="s">
        <v>39</v>
      </c>
      <c r="O73" s="77" t="s">
        <v>75</v>
      </c>
      <c r="P73" s="77" t="s">
        <v>75</v>
      </c>
      <c r="Q73" s="77" t="s">
        <v>40</v>
      </c>
      <c r="R73" s="37" t="s">
        <v>33</v>
      </c>
      <c r="T73" s="76">
        <f t="shared" si="53"/>
        <v>9</v>
      </c>
      <c r="U73" s="76">
        <f t="shared" si="54"/>
        <v>10</v>
      </c>
      <c r="V73" s="76">
        <f t="shared" si="55"/>
        <v>11</v>
      </c>
      <c r="W73" s="76">
        <f t="shared" si="56"/>
        <v>6</v>
      </c>
      <c r="X73" s="76">
        <f t="shared" si="57"/>
        <v>6</v>
      </c>
      <c r="Y73" s="76">
        <f t="shared" si="58"/>
        <v>12</v>
      </c>
      <c r="Z73" s="76">
        <f t="shared" si="59"/>
        <v>3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H73" s="7">
        <v>1</v>
      </c>
      <c r="AJ73" s="53" t="s">
        <v>27</v>
      </c>
      <c r="AK73" s="69">
        <v>60</v>
      </c>
      <c r="AL73" s="70">
        <v>40</v>
      </c>
      <c r="AM73" s="70">
        <v>35</v>
      </c>
      <c r="AN73" s="70">
        <v>1</v>
      </c>
      <c r="AO73" s="55">
        <v>1</v>
      </c>
      <c r="AP73" s="55">
        <v>1</v>
      </c>
      <c r="AQ73" s="56">
        <v>1</v>
      </c>
      <c r="AR73" s="57">
        <v>10</v>
      </c>
      <c r="BD73" s="21">
        <v>69</v>
      </c>
      <c r="BE73" s="77" t="s">
        <v>37</v>
      </c>
      <c r="BF73" s="77" t="s">
        <v>38</v>
      </c>
      <c r="BG73" s="77" t="s">
        <v>39</v>
      </c>
      <c r="BH73" s="77" t="s">
        <v>75</v>
      </c>
      <c r="BI73" s="77" t="s">
        <v>75</v>
      </c>
      <c r="BJ73" s="77" t="s">
        <v>40</v>
      </c>
      <c r="BK73" s="37" t="s">
        <v>33</v>
      </c>
      <c r="BM73" s="76">
        <f t="shared" si="60"/>
        <v>9</v>
      </c>
      <c r="BN73" s="76">
        <f t="shared" si="61"/>
        <v>10</v>
      </c>
      <c r="BO73" s="76">
        <f t="shared" si="62"/>
        <v>11</v>
      </c>
      <c r="BP73" s="76">
        <f t="shared" si="63"/>
        <v>6</v>
      </c>
      <c r="BQ73" s="76">
        <f t="shared" si="64"/>
        <v>6</v>
      </c>
      <c r="BR73" s="76">
        <f t="shared" si="65"/>
        <v>12</v>
      </c>
      <c r="BS73" s="76">
        <f t="shared" si="66"/>
        <v>3</v>
      </c>
      <c r="BU73" s="25">
        <v>1</v>
      </c>
      <c r="BV73" s="25">
        <v>1</v>
      </c>
      <c r="BW73" s="25">
        <v>1</v>
      </c>
      <c r="BX73" s="25">
        <v>1</v>
      </c>
      <c r="BY73" s="25">
        <v>1</v>
      </c>
      <c r="BZ73" s="25">
        <v>1</v>
      </c>
      <c r="CA73" s="7">
        <v>1</v>
      </c>
      <c r="CC73" s="53" t="s">
        <v>27</v>
      </c>
      <c r="CD73" s="69">
        <v>60</v>
      </c>
      <c r="CE73" s="70">
        <v>40</v>
      </c>
      <c r="CF73" s="70">
        <v>35</v>
      </c>
      <c r="CG73" s="70">
        <v>1</v>
      </c>
      <c r="CH73" s="55">
        <v>1</v>
      </c>
      <c r="CI73" s="55">
        <v>1</v>
      </c>
      <c r="CJ73" s="56">
        <v>1</v>
      </c>
      <c r="CK73" s="57">
        <v>10</v>
      </c>
      <c r="CW73" s="21">
        <v>69</v>
      </c>
      <c r="CX73" s="77" t="s">
        <v>37</v>
      </c>
      <c r="CY73" s="77" t="s">
        <v>38</v>
      </c>
      <c r="CZ73" s="77" t="s">
        <v>39</v>
      </c>
      <c r="DA73" s="77" t="s">
        <v>75</v>
      </c>
      <c r="DB73" s="77" t="s">
        <v>75</v>
      </c>
      <c r="DC73" s="77" t="s">
        <v>40</v>
      </c>
      <c r="DD73" s="37" t="s">
        <v>33</v>
      </c>
      <c r="DF73" s="76">
        <f t="shared" si="67"/>
        <v>9</v>
      </c>
      <c r="DG73" s="76">
        <f t="shared" si="47"/>
        <v>10</v>
      </c>
      <c r="DH73" s="76">
        <f t="shared" si="48"/>
        <v>11</v>
      </c>
      <c r="DI73" s="76">
        <f t="shared" si="49"/>
        <v>6</v>
      </c>
      <c r="DJ73" s="76">
        <f t="shared" si="50"/>
        <v>6</v>
      </c>
      <c r="DK73" s="76">
        <f t="shared" si="51"/>
        <v>12</v>
      </c>
      <c r="DL73" s="76">
        <f t="shared" si="52"/>
        <v>3</v>
      </c>
      <c r="DN73" s="25">
        <v>1</v>
      </c>
      <c r="DO73" s="25">
        <v>1</v>
      </c>
      <c r="DP73" s="25">
        <v>1</v>
      </c>
      <c r="DQ73" s="25">
        <v>1</v>
      </c>
      <c r="DR73" s="25">
        <v>1</v>
      </c>
      <c r="DS73" s="25">
        <v>1</v>
      </c>
      <c r="DT73" s="7">
        <v>1</v>
      </c>
      <c r="DV73" s="53" t="s">
        <v>27</v>
      </c>
      <c r="DW73" s="69">
        <v>60</v>
      </c>
      <c r="DX73" s="70">
        <v>40</v>
      </c>
      <c r="DY73" s="70">
        <v>35</v>
      </c>
      <c r="DZ73" s="70">
        <v>1</v>
      </c>
      <c r="EA73" s="55">
        <v>1</v>
      </c>
      <c r="EB73" s="55">
        <v>1</v>
      </c>
      <c r="EC73" s="56">
        <v>1</v>
      </c>
      <c r="ED73" s="57">
        <v>10</v>
      </c>
    </row>
    <row r="74" spans="1:134" ht="16.5" customHeight="1" x14ac:dyDescent="0.3">
      <c r="K74" s="22">
        <v>70</v>
      </c>
      <c r="L74" s="77" t="s">
        <v>40</v>
      </c>
      <c r="M74" s="77" t="s">
        <v>192</v>
      </c>
      <c r="N74" s="77" t="s">
        <v>39</v>
      </c>
      <c r="O74" s="77" t="s">
        <v>75</v>
      </c>
      <c r="P74" s="77" t="s">
        <v>35</v>
      </c>
      <c r="Q74" s="77" t="s">
        <v>39</v>
      </c>
      <c r="R74" s="37" t="s">
        <v>34</v>
      </c>
      <c r="T74" s="76">
        <f t="shared" si="53"/>
        <v>12</v>
      </c>
      <c r="U74" s="76">
        <f t="shared" si="54"/>
        <v>22</v>
      </c>
      <c r="V74" s="76">
        <f t="shared" si="55"/>
        <v>11</v>
      </c>
      <c r="W74" s="76">
        <f t="shared" si="56"/>
        <v>6</v>
      </c>
      <c r="X74" s="76">
        <f t="shared" si="57"/>
        <v>5</v>
      </c>
      <c r="Y74" s="76">
        <f t="shared" si="58"/>
        <v>11</v>
      </c>
      <c r="Z74" s="76">
        <f t="shared" si="59"/>
        <v>4</v>
      </c>
      <c r="AB74" s="25">
        <v>1</v>
      </c>
      <c r="AC74" s="25">
        <v>1</v>
      </c>
      <c r="AD74" s="25">
        <v>1</v>
      </c>
      <c r="AE74" s="25">
        <v>1</v>
      </c>
      <c r="AF74" s="25">
        <v>1</v>
      </c>
      <c r="AG74" s="25">
        <v>1</v>
      </c>
      <c r="AH74" s="7">
        <v>3</v>
      </c>
      <c r="AJ74" s="53" t="s">
        <v>28</v>
      </c>
      <c r="AK74" s="69">
        <v>1</v>
      </c>
      <c r="AL74" s="70">
        <v>40</v>
      </c>
      <c r="AM74" s="70">
        <v>1</v>
      </c>
      <c r="AN74" s="70">
        <v>1</v>
      </c>
      <c r="AO74" s="55">
        <v>1</v>
      </c>
      <c r="AP74" s="55">
        <v>1</v>
      </c>
      <c r="AQ74" s="56">
        <v>1</v>
      </c>
      <c r="AR74" s="57">
        <v>11</v>
      </c>
      <c r="BD74" s="22">
        <v>70</v>
      </c>
      <c r="BE74" s="77" t="s">
        <v>40</v>
      </c>
      <c r="BF74" s="77" t="s">
        <v>192</v>
      </c>
      <c r="BG74" s="77" t="s">
        <v>39</v>
      </c>
      <c r="BH74" s="77" t="s">
        <v>75</v>
      </c>
      <c r="BI74" s="77" t="s">
        <v>35</v>
      </c>
      <c r="BJ74" s="77" t="s">
        <v>39</v>
      </c>
      <c r="BK74" s="37" t="s">
        <v>34</v>
      </c>
      <c r="BM74" s="76">
        <f t="shared" si="60"/>
        <v>12</v>
      </c>
      <c r="BN74" s="76">
        <f t="shared" si="61"/>
        <v>22</v>
      </c>
      <c r="BO74" s="76">
        <f t="shared" si="62"/>
        <v>11</v>
      </c>
      <c r="BP74" s="76">
        <f t="shared" si="63"/>
        <v>6</v>
      </c>
      <c r="BQ74" s="76">
        <f t="shared" si="64"/>
        <v>5</v>
      </c>
      <c r="BR74" s="76">
        <f t="shared" si="65"/>
        <v>11</v>
      </c>
      <c r="BS74" s="76">
        <f t="shared" si="66"/>
        <v>4</v>
      </c>
      <c r="BU74" s="25">
        <v>1</v>
      </c>
      <c r="BV74" s="25">
        <v>1</v>
      </c>
      <c r="BW74" s="25">
        <v>1</v>
      </c>
      <c r="BX74" s="25">
        <v>1</v>
      </c>
      <c r="BY74" s="25">
        <v>1</v>
      </c>
      <c r="BZ74" s="25">
        <v>1</v>
      </c>
      <c r="CA74" s="7">
        <v>1</v>
      </c>
      <c r="CC74" s="53" t="s">
        <v>28</v>
      </c>
      <c r="CD74" s="69">
        <v>1</v>
      </c>
      <c r="CE74" s="70">
        <v>40</v>
      </c>
      <c r="CF74" s="70">
        <v>1</v>
      </c>
      <c r="CG74" s="70">
        <v>1</v>
      </c>
      <c r="CH74" s="55">
        <v>1</v>
      </c>
      <c r="CI74" s="55">
        <v>1</v>
      </c>
      <c r="CJ74" s="56">
        <v>1</v>
      </c>
      <c r="CK74" s="57">
        <v>11</v>
      </c>
      <c r="CW74" s="22">
        <v>70</v>
      </c>
      <c r="CX74" s="77" t="s">
        <v>40</v>
      </c>
      <c r="CY74" s="77" t="s">
        <v>192</v>
      </c>
      <c r="CZ74" s="77" t="s">
        <v>39</v>
      </c>
      <c r="DA74" s="77" t="s">
        <v>75</v>
      </c>
      <c r="DB74" s="77" t="s">
        <v>35</v>
      </c>
      <c r="DC74" s="77" t="s">
        <v>39</v>
      </c>
      <c r="DD74" s="37" t="s">
        <v>34</v>
      </c>
      <c r="DF74" s="76">
        <f t="shared" si="67"/>
        <v>12</v>
      </c>
      <c r="DG74" s="76">
        <f t="shared" si="47"/>
        <v>22</v>
      </c>
      <c r="DH74" s="76">
        <f t="shared" si="48"/>
        <v>11</v>
      </c>
      <c r="DI74" s="76">
        <f t="shared" si="49"/>
        <v>6</v>
      </c>
      <c r="DJ74" s="76">
        <f t="shared" si="50"/>
        <v>5</v>
      </c>
      <c r="DK74" s="76">
        <f t="shared" si="51"/>
        <v>11</v>
      </c>
      <c r="DL74" s="76">
        <f t="shared" si="52"/>
        <v>4</v>
      </c>
      <c r="DN74" s="25">
        <v>1</v>
      </c>
      <c r="DO74" s="25">
        <v>1</v>
      </c>
      <c r="DP74" s="25">
        <v>1</v>
      </c>
      <c r="DQ74" s="25">
        <v>1</v>
      </c>
      <c r="DR74" s="25">
        <v>1</v>
      </c>
      <c r="DS74" s="25">
        <v>1</v>
      </c>
      <c r="DT74" s="7">
        <v>1</v>
      </c>
      <c r="DV74" s="53" t="s">
        <v>28</v>
      </c>
      <c r="DW74" s="69">
        <v>1</v>
      </c>
      <c r="DX74" s="70">
        <v>40</v>
      </c>
      <c r="DY74" s="70">
        <v>1</v>
      </c>
      <c r="DZ74" s="70">
        <v>1</v>
      </c>
      <c r="EA74" s="55">
        <v>1</v>
      </c>
      <c r="EB74" s="55">
        <v>1</v>
      </c>
      <c r="EC74" s="56">
        <v>1</v>
      </c>
      <c r="ED74" s="57">
        <v>11</v>
      </c>
    </row>
    <row r="75" spans="1:134" ht="16.5" customHeight="1" x14ac:dyDescent="0.3">
      <c r="K75" s="21">
        <v>71</v>
      </c>
      <c r="L75" s="77" t="s">
        <v>40</v>
      </c>
      <c r="M75" s="77" t="s">
        <v>39</v>
      </c>
      <c r="N75" s="77" t="s">
        <v>37</v>
      </c>
      <c r="O75" s="77" t="s">
        <v>25</v>
      </c>
      <c r="P75" s="77" t="s">
        <v>25</v>
      </c>
      <c r="Q75" s="77" t="s">
        <v>25</v>
      </c>
      <c r="R75" s="37" t="s">
        <v>34</v>
      </c>
      <c r="T75" s="76">
        <f t="shared" si="53"/>
        <v>12</v>
      </c>
      <c r="U75" s="76">
        <f t="shared" si="54"/>
        <v>11</v>
      </c>
      <c r="V75" s="76">
        <f t="shared" si="55"/>
        <v>9</v>
      </c>
      <c r="W75" s="76">
        <f t="shared" si="56"/>
        <v>8</v>
      </c>
      <c r="X75" s="76">
        <f t="shared" si="57"/>
        <v>8</v>
      </c>
      <c r="Y75" s="76">
        <f t="shared" si="58"/>
        <v>8</v>
      </c>
      <c r="Z75" s="76">
        <f t="shared" si="59"/>
        <v>4</v>
      </c>
      <c r="AB75" s="25">
        <v>1</v>
      </c>
      <c r="AC75" s="25">
        <v>1</v>
      </c>
      <c r="AD75" s="25">
        <v>1</v>
      </c>
      <c r="AE75" s="25">
        <v>1</v>
      </c>
      <c r="AF75" s="25">
        <v>1</v>
      </c>
      <c r="AG75" s="25">
        <v>1</v>
      </c>
      <c r="AH75" s="7">
        <v>1</v>
      </c>
      <c r="AJ75" s="53" t="s">
        <v>29</v>
      </c>
      <c r="AK75" s="69">
        <v>40</v>
      </c>
      <c r="AL75" s="70">
        <v>1</v>
      </c>
      <c r="AM75" s="70">
        <v>1</v>
      </c>
      <c r="AN75" s="70">
        <v>1</v>
      </c>
      <c r="AO75" s="55">
        <v>1</v>
      </c>
      <c r="AP75" s="55">
        <v>1</v>
      </c>
      <c r="AQ75" s="56">
        <v>1</v>
      </c>
      <c r="AR75" s="57">
        <v>12</v>
      </c>
      <c r="BD75" s="21">
        <v>71</v>
      </c>
      <c r="BE75" s="77" t="s">
        <v>40</v>
      </c>
      <c r="BF75" s="77" t="s">
        <v>39</v>
      </c>
      <c r="BG75" s="77" t="s">
        <v>37</v>
      </c>
      <c r="BH75" s="77" t="s">
        <v>25</v>
      </c>
      <c r="BI75" s="77" t="s">
        <v>25</v>
      </c>
      <c r="BJ75" s="77" t="s">
        <v>25</v>
      </c>
      <c r="BK75" s="37" t="s">
        <v>34</v>
      </c>
      <c r="BM75" s="76">
        <f t="shared" si="60"/>
        <v>12</v>
      </c>
      <c r="BN75" s="76">
        <f t="shared" si="61"/>
        <v>11</v>
      </c>
      <c r="BO75" s="76">
        <f t="shared" si="62"/>
        <v>9</v>
      </c>
      <c r="BP75" s="76">
        <f t="shared" si="63"/>
        <v>8</v>
      </c>
      <c r="BQ75" s="76">
        <f t="shared" si="64"/>
        <v>8</v>
      </c>
      <c r="BR75" s="76">
        <f t="shared" si="65"/>
        <v>8</v>
      </c>
      <c r="BS75" s="76">
        <f t="shared" si="66"/>
        <v>4</v>
      </c>
      <c r="BU75" s="25">
        <v>1</v>
      </c>
      <c r="BV75" s="25">
        <v>1</v>
      </c>
      <c r="BW75" s="25">
        <v>1</v>
      </c>
      <c r="BX75" s="25">
        <v>1</v>
      </c>
      <c r="BY75" s="25">
        <v>1</v>
      </c>
      <c r="BZ75" s="25">
        <v>1</v>
      </c>
      <c r="CA75" s="7">
        <v>1</v>
      </c>
      <c r="CC75" s="53" t="s">
        <v>29</v>
      </c>
      <c r="CD75" s="69">
        <v>40</v>
      </c>
      <c r="CE75" s="70">
        <v>1</v>
      </c>
      <c r="CF75" s="70">
        <v>1</v>
      </c>
      <c r="CG75" s="70">
        <v>1</v>
      </c>
      <c r="CH75" s="55">
        <v>1</v>
      </c>
      <c r="CI75" s="55">
        <v>1</v>
      </c>
      <c r="CJ75" s="56">
        <v>1</v>
      </c>
      <c r="CK75" s="57">
        <v>12</v>
      </c>
      <c r="CW75" s="21">
        <v>71</v>
      </c>
      <c r="CX75" s="77" t="s">
        <v>40</v>
      </c>
      <c r="CY75" s="77" t="s">
        <v>39</v>
      </c>
      <c r="CZ75" s="77" t="s">
        <v>37</v>
      </c>
      <c r="DA75" s="77" t="s">
        <v>25</v>
      </c>
      <c r="DB75" s="77" t="s">
        <v>25</v>
      </c>
      <c r="DC75" s="77" t="s">
        <v>25</v>
      </c>
      <c r="DD75" s="37" t="s">
        <v>34</v>
      </c>
      <c r="DF75" s="76">
        <f t="shared" si="67"/>
        <v>12</v>
      </c>
      <c r="DG75" s="76">
        <f t="shared" si="47"/>
        <v>11</v>
      </c>
      <c r="DH75" s="76">
        <f t="shared" si="48"/>
        <v>9</v>
      </c>
      <c r="DI75" s="76">
        <f t="shared" si="49"/>
        <v>8</v>
      </c>
      <c r="DJ75" s="76">
        <f t="shared" si="50"/>
        <v>8</v>
      </c>
      <c r="DK75" s="76">
        <f t="shared" si="51"/>
        <v>8</v>
      </c>
      <c r="DL75" s="76">
        <f t="shared" si="52"/>
        <v>4</v>
      </c>
      <c r="DN75" s="25">
        <v>1</v>
      </c>
      <c r="DO75" s="25">
        <v>1</v>
      </c>
      <c r="DP75" s="25">
        <v>1</v>
      </c>
      <c r="DQ75" s="25">
        <v>1</v>
      </c>
      <c r="DR75" s="25">
        <v>1</v>
      </c>
      <c r="DS75" s="25">
        <v>1</v>
      </c>
      <c r="DT75" s="7">
        <v>1</v>
      </c>
      <c r="DV75" s="53" t="s">
        <v>29</v>
      </c>
      <c r="DW75" s="69">
        <v>40</v>
      </c>
      <c r="DX75" s="70">
        <v>1</v>
      </c>
      <c r="DY75" s="70">
        <v>1</v>
      </c>
      <c r="DZ75" s="70">
        <v>1</v>
      </c>
      <c r="EA75" s="55">
        <v>1</v>
      </c>
      <c r="EB75" s="55">
        <v>1</v>
      </c>
      <c r="EC75" s="56">
        <v>1</v>
      </c>
      <c r="ED75" s="57">
        <v>12</v>
      </c>
    </row>
    <row r="76" spans="1:134" ht="16.5" customHeight="1" x14ac:dyDescent="0.3">
      <c r="K76" s="22">
        <v>72</v>
      </c>
      <c r="L76" s="77" t="s">
        <v>37</v>
      </c>
      <c r="M76" s="77" t="s">
        <v>163</v>
      </c>
      <c r="N76" s="77" t="s">
        <v>35</v>
      </c>
      <c r="O76" s="77" t="s">
        <v>75</v>
      </c>
      <c r="P76" s="77" t="s">
        <v>35</v>
      </c>
      <c r="Q76" s="77" t="s">
        <v>25</v>
      </c>
      <c r="R76" s="37" t="s">
        <v>34</v>
      </c>
      <c r="T76" s="76">
        <f t="shared" si="53"/>
        <v>9</v>
      </c>
      <c r="U76" s="76">
        <f t="shared" si="54"/>
        <v>18</v>
      </c>
      <c r="V76" s="76">
        <f t="shared" si="55"/>
        <v>5</v>
      </c>
      <c r="W76" s="76">
        <f t="shared" si="56"/>
        <v>6</v>
      </c>
      <c r="X76" s="76">
        <f t="shared" si="57"/>
        <v>5</v>
      </c>
      <c r="Y76" s="76">
        <f t="shared" si="58"/>
        <v>8</v>
      </c>
      <c r="Z76" s="76">
        <f t="shared" si="59"/>
        <v>4</v>
      </c>
      <c r="AB76" s="25">
        <v>1</v>
      </c>
      <c r="AC76" s="25">
        <v>1</v>
      </c>
      <c r="AD76" s="25">
        <v>1</v>
      </c>
      <c r="AE76" s="25">
        <v>1</v>
      </c>
      <c r="AF76" s="25">
        <v>1</v>
      </c>
      <c r="AG76" s="25">
        <v>1</v>
      </c>
      <c r="AH76" s="7">
        <v>1</v>
      </c>
      <c r="AJ76" s="53" t="s">
        <v>79</v>
      </c>
      <c r="AK76" s="69">
        <v>0</v>
      </c>
      <c r="AL76" s="70">
        <v>2</v>
      </c>
      <c r="AM76" s="70">
        <v>2</v>
      </c>
      <c r="AN76" s="70">
        <v>1</v>
      </c>
      <c r="AO76" s="55">
        <v>2</v>
      </c>
      <c r="AP76" s="55">
        <v>0</v>
      </c>
      <c r="AQ76" s="56">
        <v>0</v>
      </c>
      <c r="AR76" s="57">
        <v>13</v>
      </c>
      <c r="BD76" s="22">
        <v>72</v>
      </c>
      <c r="BE76" s="77" t="s">
        <v>37</v>
      </c>
      <c r="BF76" s="77" t="s">
        <v>163</v>
      </c>
      <c r="BG76" s="77" t="s">
        <v>35</v>
      </c>
      <c r="BH76" s="77" t="s">
        <v>75</v>
      </c>
      <c r="BI76" s="77" t="s">
        <v>35</v>
      </c>
      <c r="BJ76" s="77" t="s">
        <v>25</v>
      </c>
      <c r="BK76" s="37" t="s">
        <v>34</v>
      </c>
      <c r="BM76" s="76">
        <f t="shared" si="60"/>
        <v>9</v>
      </c>
      <c r="BN76" s="76">
        <f t="shared" si="61"/>
        <v>18</v>
      </c>
      <c r="BO76" s="76">
        <f t="shared" si="62"/>
        <v>5</v>
      </c>
      <c r="BP76" s="76">
        <f t="shared" si="63"/>
        <v>6</v>
      </c>
      <c r="BQ76" s="76">
        <f t="shared" si="64"/>
        <v>5</v>
      </c>
      <c r="BR76" s="76">
        <f t="shared" si="65"/>
        <v>8</v>
      </c>
      <c r="BS76" s="76">
        <f t="shared" si="66"/>
        <v>4</v>
      </c>
      <c r="BU76" s="25">
        <v>1</v>
      </c>
      <c r="BV76" s="25">
        <v>1</v>
      </c>
      <c r="BW76" s="25">
        <v>1</v>
      </c>
      <c r="BX76" s="25">
        <v>1</v>
      </c>
      <c r="BY76" s="25">
        <v>1</v>
      </c>
      <c r="BZ76" s="25">
        <v>1</v>
      </c>
      <c r="CA76" s="7">
        <v>1</v>
      </c>
      <c r="CC76" s="53" t="s">
        <v>79</v>
      </c>
      <c r="CD76" s="69">
        <v>0</v>
      </c>
      <c r="CE76" s="70">
        <v>2</v>
      </c>
      <c r="CF76" s="70">
        <v>2</v>
      </c>
      <c r="CG76" s="70">
        <v>1</v>
      </c>
      <c r="CH76" s="55">
        <v>2</v>
      </c>
      <c r="CI76" s="55">
        <v>0</v>
      </c>
      <c r="CJ76" s="56">
        <v>0</v>
      </c>
      <c r="CK76" s="57">
        <v>13</v>
      </c>
      <c r="CW76" s="22">
        <v>72</v>
      </c>
      <c r="CX76" s="77" t="s">
        <v>37</v>
      </c>
      <c r="CY76" s="77" t="s">
        <v>163</v>
      </c>
      <c r="CZ76" s="77" t="s">
        <v>35</v>
      </c>
      <c r="DA76" s="77" t="s">
        <v>75</v>
      </c>
      <c r="DB76" s="77" t="s">
        <v>35</v>
      </c>
      <c r="DC76" s="77" t="s">
        <v>25</v>
      </c>
      <c r="DD76" s="37" t="s">
        <v>34</v>
      </c>
      <c r="DF76" s="76">
        <f t="shared" si="67"/>
        <v>9</v>
      </c>
      <c r="DG76" s="76">
        <f t="shared" si="47"/>
        <v>18</v>
      </c>
      <c r="DH76" s="76">
        <f t="shared" si="48"/>
        <v>5</v>
      </c>
      <c r="DI76" s="76">
        <f t="shared" si="49"/>
        <v>6</v>
      </c>
      <c r="DJ76" s="76">
        <f t="shared" si="50"/>
        <v>5</v>
      </c>
      <c r="DK76" s="76">
        <f t="shared" si="51"/>
        <v>8</v>
      </c>
      <c r="DL76" s="76">
        <f t="shared" si="52"/>
        <v>4</v>
      </c>
      <c r="DN76" s="25">
        <v>1</v>
      </c>
      <c r="DO76" s="25">
        <v>1</v>
      </c>
      <c r="DP76" s="25">
        <v>1</v>
      </c>
      <c r="DQ76" s="25">
        <v>1</v>
      </c>
      <c r="DR76" s="25">
        <v>1</v>
      </c>
      <c r="DS76" s="25">
        <v>1</v>
      </c>
      <c r="DT76" s="7">
        <v>1</v>
      </c>
      <c r="DV76" s="53" t="s">
        <v>79</v>
      </c>
      <c r="DW76" s="69">
        <v>0</v>
      </c>
      <c r="DX76" s="70">
        <v>2</v>
      </c>
      <c r="DY76" s="70">
        <v>2</v>
      </c>
      <c r="DZ76" s="70">
        <v>1</v>
      </c>
      <c r="EA76" s="55">
        <v>2</v>
      </c>
      <c r="EB76" s="55">
        <v>0</v>
      </c>
      <c r="EC76" s="56">
        <v>0</v>
      </c>
      <c r="ED76" s="57">
        <v>13</v>
      </c>
    </row>
    <row r="77" spans="1:134" ht="16.5" customHeight="1" x14ac:dyDescent="0.3">
      <c r="K77" s="21">
        <v>73</v>
      </c>
      <c r="L77" s="77" t="s">
        <v>39</v>
      </c>
      <c r="M77" s="77" t="s">
        <v>25</v>
      </c>
      <c r="N77" s="77" t="s">
        <v>39</v>
      </c>
      <c r="O77" s="77" t="s">
        <v>39</v>
      </c>
      <c r="P77" s="77" t="s">
        <v>34</v>
      </c>
      <c r="Q77" s="77" t="s">
        <v>34</v>
      </c>
      <c r="R77" s="37" t="s">
        <v>38</v>
      </c>
      <c r="T77" s="76">
        <f t="shared" si="53"/>
        <v>11</v>
      </c>
      <c r="U77" s="76">
        <f t="shared" si="54"/>
        <v>8</v>
      </c>
      <c r="V77" s="76">
        <f t="shared" si="55"/>
        <v>11</v>
      </c>
      <c r="W77" s="76">
        <f t="shared" si="56"/>
        <v>11</v>
      </c>
      <c r="X77" s="76">
        <f t="shared" si="57"/>
        <v>4</v>
      </c>
      <c r="Y77" s="76">
        <f t="shared" si="58"/>
        <v>4</v>
      </c>
      <c r="Z77" s="76">
        <f t="shared" si="59"/>
        <v>10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H77" s="7">
        <v>2</v>
      </c>
      <c r="AJ77" s="53" t="s">
        <v>80</v>
      </c>
      <c r="AK77" s="69">
        <v>0</v>
      </c>
      <c r="AL77" s="70">
        <v>1</v>
      </c>
      <c r="AM77" s="70">
        <v>1</v>
      </c>
      <c r="AN77" s="70">
        <v>2</v>
      </c>
      <c r="AO77" s="55">
        <v>1</v>
      </c>
      <c r="AP77" s="55">
        <v>0</v>
      </c>
      <c r="AQ77" s="56">
        <v>0</v>
      </c>
      <c r="AR77" s="57">
        <v>14</v>
      </c>
      <c r="BD77" s="21">
        <v>73</v>
      </c>
      <c r="BE77" s="77" t="s">
        <v>39</v>
      </c>
      <c r="BF77" s="77" t="s">
        <v>25</v>
      </c>
      <c r="BG77" s="77" t="s">
        <v>39</v>
      </c>
      <c r="BH77" s="77" t="s">
        <v>39</v>
      </c>
      <c r="BI77" s="77" t="s">
        <v>34</v>
      </c>
      <c r="BJ77" s="77" t="s">
        <v>34</v>
      </c>
      <c r="BK77" s="37" t="s">
        <v>38</v>
      </c>
      <c r="BM77" s="76">
        <f t="shared" si="60"/>
        <v>11</v>
      </c>
      <c r="BN77" s="76">
        <f t="shared" si="61"/>
        <v>8</v>
      </c>
      <c r="BO77" s="76">
        <f t="shared" si="62"/>
        <v>11</v>
      </c>
      <c r="BP77" s="76">
        <f t="shared" si="63"/>
        <v>11</v>
      </c>
      <c r="BQ77" s="76">
        <f t="shared" si="64"/>
        <v>4</v>
      </c>
      <c r="BR77" s="76">
        <f t="shared" si="65"/>
        <v>4</v>
      </c>
      <c r="BS77" s="76">
        <f t="shared" si="66"/>
        <v>10</v>
      </c>
      <c r="BU77" s="25">
        <v>1</v>
      </c>
      <c r="BV77" s="25">
        <v>1</v>
      </c>
      <c r="BW77" s="25">
        <v>1</v>
      </c>
      <c r="BX77" s="25">
        <v>1</v>
      </c>
      <c r="BY77" s="25">
        <v>1</v>
      </c>
      <c r="BZ77" s="25">
        <v>1</v>
      </c>
      <c r="CA77" s="7">
        <v>1</v>
      </c>
      <c r="CC77" s="53" t="s">
        <v>80</v>
      </c>
      <c r="CD77" s="69">
        <v>0</v>
      </c>
      <c r="CE77" s="70">
        <v>1</v>
      </c>
      <c r="CF77" s="70">
        <v>1</v>
      </c>
      <c r="CG77" s="70">
        <v>2</v>
      </c>
      <c r="CH77" s="55">
        <v>1</v>
      </c>
      <c r="CI77" s="55">
        <v>0</v>
      </c>
      <c r="CJ77" s="56">
        <v>0</v>
      </c>
      <c r="CK77" s="57">
        <v>14</v>
      </c>
      <c r="CW77" s="21">
        <v>73</v>
      </c>
      <c r="CX77" s="77" t="s">
        <v>39</v>
      </c>
      <c r="CY77" s="77" t="s">
        <v>25</v>
      </c>
      <c r="CZ77" s="77" t="s">
        <v>39</v>
      </c>
      <c r="DA77" s="77" t="s">
        <v>39</v>
      </c>
      <c r="DB77" s="77" t="s">
        <v>34</v>
      </c>
      <c r="DC77" s="77" t="s">
        <v>34</v>
      </c>
      <c r="DD77" s="37" t="s">
        <v>38</v>
      </c>
      <c r="DF77" s="76">
        <f t="shared" si="67"/>
        <v>11</v>
      </c>
      <c r="DG77" s="76">
        <f t="shared" si="47"/>
        <v>8</v>
      </c>
      <c r="DH77" s="76">
        <f t="shared" si="48"/>
        <v>11</v>
      </c>
      <c r="DI77" s="76">
        <f t="shared" si="49"/>
        <v>11</v>
      </c>
      <c r="DJ77" s="76">
        <f t="shared" si="50"/>
        <v>4</v>
      </c>
      <c r="DK77" s="76">
        <f t="shared" si="51"/>
        <v>4</v>
      </c>
      <c r="DL77" s="76">
        <f t="shared" si="52"/>
        <v>10</v>
      </c>
      <c r="DN77" s="25">
        <v>1</v>
      </c>
      <c r="DO77" s="25">
        <v>1</v>
      </c>
      <c r="DP77" s="25">
        <v>1</v>
      </c>
      <c r="DQ77" s="25">
        <v>1</v>
      </c>
      <c r="DR77" s="25">
        <v>1</v>
      </c>
      <c r="DS77" s="25">
        <v>1</v>
      </c>
      <c r="DT77" s="7">
        <v>1</v>
      </c>
      <c r="DV77" s="53" t="s">
        <v>80</v>
      </c>
      <c r="DW77" s="69">
        <v>0</v>
      </c>
      <c r="DX77" s="70">
        <v>1</v>
      </c>
      <c r="DY77" s="70">
        <v>1</v>
      </c>
      <c r="DZ77" s="70">
        <v>2</v>
      </c>
      <c r="EA77" s="55">
        <v>1</v>
      </c>
      <c r="EB77" s="55">
        <v>0</v>
      </c>
      <c r="EC77" s="56">
        <v>0</v>
      </c>
      <c r="ED77" s="57">
        <v>14</v>
      </c>
    </row>
    <row r="78" spans="1:134" ht="16.5" customHeight="1" x14ac:dyDescent="0.3">
      <c r="K78" s="22">
        <v>74</v>
      </c>
      <c r="L78" s="77" t="s">
        <v>75</v>
      </c>
      <c r="M78" s="77" t="s">
        <v>176</v>
      </c>
      <c r="N78" s="77" t="s">
        <v>39</v>
      </c>
      <c r="O78" s="77" t="s">
        <v>39</v>
      </c>
      <c r="P78" s="77" t="s">
        <v>34</v>
      </c>
      <c r="Q78" s="77" t="s">
        <v>34</v>
      </c>
      <c r="R78" s="37" t="s">
        <v>38</v>
      </c>
      <c r="T78" s="76">
        <f t="shared" si="53"/>
        <v>6</v>
      </c>
      <c r="U78" s="76">
        <f t="shared" si="54"/>
        <v>24</v>
      </c>
      <c r="V78" s="76">
        <f t="shared" si="55"/>
        <v>11</v>
      </c>
      <c r="W78" s="76">
        <f t="shared" si="56"/>
        <v>11</v>
      </c>
      <c r="X78" s="76">
        <f t="shared" si="57"/>
        <v>4</v>
      </c>
      <c r="Y78" s="76">
        <f t="shared" si="58"/>
        <v>4</v>
      </c>
      <c r="Z78" s="76">
        <f t="shared" si="59"/>
        <v>10</v>
      </c>
      <c r="AB78" s="25">
        <v>1</v>
      </c>
      <c r="AC78" s="25">
        <v>1</v>
      </c>
      <c r="AD78" s="25">
        <v>1</v>
      </c>
      <c r="AE78" s="25">
        <v>1</v>
      </c>
      <c r="AF78" s="25">
        <v>1</v>
      </c>
      <c r="AG78" s="25">
        <v>1</v>
      </c>
      <c r="AH78" s="7">
        <v>1</v>
      </c>
      <c r="AJ78" s="53" t="s">
        <v>81</v>
      </c>
      <c r="AK78" s="69">
        <v>0</v>
      </c>
      <c r="AL78" s="70">
        <v>2</v>
      </c>
      <c r="AM78" s="70">
        <v>2</v>
      </c>
      <c r="AN78" s="70">
        <v>1</v>
      </c>
      <c r="AO78" s="55">
        <v>1</v>
      </c>
      <c r="AP78" s="55">
        <v>0</v>
      </c>
      <c r="AQ78" s="56">
        <v>0</v>
      </c>
      <c r="AR78" s="57">
        <v>15</v>
      </c>
      <c r="BD78" s="22">
        <v>74</v>
      </c>
      <c r="BE78" s="77" t="s">
        <v>75</v>
      </c>
      <c r="BF78" s="77" t="s">
        <v>176</v>
      </c>
      <c r="BG78" s="77" t="s">
        <v>39</v>
      </c>
      <c r="BH78" s="77" t="s">
        <v>39</v>
      </c>
      <c r="BI78" s="77" t="s">
        <v>34</v>
      </c>
      <c r="BJ78" s="77" t="s">
        <v>34</v>
      </c>
      <c r="BK78" s="37" t="s">
        <v>38</v>
      </c>
      <c r="BM78" s="76">
        <f t="shared" si="60"/>
        <v>6</v>
      </c>
      <c r="BN78" s="76">
        <f t="shared" si="61"/>
        <v>24</v>
      </c>
      <c r="BO78" s="76">
        <f t="shared" si="62"/>
        <v>11</v>
      </c>
      <c r="BP78" s="76">
        <f t="shared" si="63"/>
        <v>11</v>
      </c>
      <c r="BQ78" s="76">
        <f t="shared" si="64"/>
        <v>4</v>
      </c>
      <c r="BR78" s="76">
        <f t="shared" si="65"/>
        <v>4</v>
      </c>
      <c r="BS78" s="76">
        <f t="shared" si="66"/>
        <v>10</v>
      </c>
      <c r="BU78" s="25">
        <v>1</v>
      </c>
      <c r="BV78" s="25">
        <v>1</v>
      </c>
      <c r="BW78" s="25">
        <v>1</v>
      </c>
      <c r="BX78" s="25">
        <v>1</v>
      </c>
      <c r="BY78" s="25">
        <v>1</v>
      </c>
      <c r="BZ78" s="25">
        <v>1</v>
      </c>
      <c r="CA78" s="7">
        <v>1</v>
      </c>
      <c r="CC78" s="53" t="s">
        <v>81</v>
      </c>
      <c r="CD78" s="69">
        <v>0</v>
      </c>
      <c r="CE78" s="70">
        <v>2</v>
      </c>
      <c r="CF78" s="70">
        <v>2</v>
      </c>
      <c r="CG78" s="70">
        <v>1</v>
      </c>
      <c r="CH78" s="55">
        <v>1</v>
      </c>
      <c r="CI78" s="55">
        <v>0</v>
      </c>
      <c r="CJ78" s="56">
        <v>0</v>
      </c>
      <c r="CK78" s="57">
        <v>15</v>
      </c>
      <c r="CW78" s="22">
        <v>74</v>
      </c>
      <c r="CX78" s="77" t="s">
        <v>75</v>
      </c>
      <c r="CY78" s="77" t="s">
        <v>176</v>
      </c>
      <c r="CZ78" s="77" t="s">
        <v>39</v>
      </c>
      <c r="DA78" s="77" t="s">
        <v>39</v>
      </c>
      <c r="DB78" s="77" t="s">
        <v>34</v>
      </c>
      <c r="DC78" s="77" t="s">
        <v>34</v>
      </c>
      <c r="DD78" s="37" t="s">
        <v>38</v>
      </c>
      <c r="DF78" s="76">
        <f t="shared" si="67"/>
        <v>6</v>
      </c>
      <c r="DG78" s="76">
        <f t="shared" si="47"/>
        <v>24</v>
      </c>
      <c r="DH78" s="76">
        <f t="shared" si="48"/>
        <v>11</v>
      </c>
      <c r="DI78" s="76">
        <f t="shared" si="49"/>
        <v>11</v>
      </c>
      <c r="DJ78" s="76">
        <f t="shared" si="50"/>
        <v>4</v>
      </c>
      <c r="DK78" s="76">
        <f t="shared" si="51"/>
        <v>4</v>
      </c>
      <c r="DL78" s="76">
        <f t="shared" si="52"/>
        <v>10</v>
      </c>
      <c r="DN78" s="25">
        <v>1</v>
      </c>
      <c r="DO78" s="25">
        <v>1</v>
      </c>
      <c r="DP78" s="25">
        <v>1</v>
      </c>
      <c r="DQ78" s="25">
        <v>1</v>
      </c>
      <c r="DR78" s="25">
        <v>1</v>
      </c>
      <c r="DS78" s="25">
        <v>1</v>
      </c>
      <c r="DT78" s="7">
        <v>1</v>
      </c>
      <c r="DV78" s="53" t="s">
        <v>81</v>
      </c>
      <c r="DW78" s="69">
        <v>0</v>
      </c>
      <c r="DX78" s="70">
        <v>2</v>
      </c>
      <c r="DY78" s="70">
        <v>2</v>
      </c>
      <c r="DZ78" s="70">
        <v>1</v>
      </c>
      <c r="EA78" s="55">
        <v>1</v>
      </c>
      <c r="EB78" s="55">
        <v>0</v>
      </c>
      <c r="EC78" s="56">
        <v>0</v>
      </c>
      <c r="ED78" s="57">
        <v>15</v>
      </c>
    </row>
    <row r="79" spans="1:134" ht="16.5" customHeight="1" x14ac:dyDescent="0.3">
      <c r="K79" s="21">
        <v>75</v>
      </c>
      <c r="L79" s="77" t="s">
        <v>40</v>
      </c>
      <c r="M79" s="77" t="s">
        <v>176</v>
      </c>
      <c r="N79" s="77" t="s">
        <v>25</v>
      </c>
      <c r="O79" s="77" t="s">
        <v>192</v>
      </c>
      <c r="P79" s="77" t="s">
        <v>190</v>
      </c>
      <c r="Q79" s="77" t="s">
        <v>34</v>
      </c>
      <c r="R79" s="37" t="s">
        <v>38</v>
      </c>
      <c r="T79" s="76">
        <f t="shared" si="53"/>
        <v>12</v>
      </c>
      <c r="U79" s="76">
        <f t="shared" si="54"/>
        <v>24</v>
      </c>
      <c r="V79" s="76">
        <f t="shared" si="55"/>
        <v>8</v>
      </c>
      <c r="W79" s="76">
        <f t="shared" si="56"/>
        <v>22</v>
      </c>
      <c r="X79" s="76">
        <f t="shared" si="57"/>
        <v>15</v>
      </c>
      <c r="Y79" s="76">
        <f t="shared" si="58"/>
        <v>4</v>
      </c>
      <c r="Z79" s="76">
        <f t="shared" si="59"/>
        <v>10</v>
      </c>
      <c r="AB79" s="25">
        <v>1</v>
      </c>
      <c r="AC79" s="25">
        <v>1</v>
      </c>
      <c r="AD79" s="25">
        <v>1</v>
      </c>
      <c r="AE79" s="25">
        <v>1</v>
      </c>
      <c r="AF79" s="25">
        <v>1</v>
      </c>
      <c r="AG79" s="25">
        <v>1</v>
      </c>
      <c r="AH79" s="7">
        <v>1</v>
      </c>
      <c r="AJ79" s="53" t="s">
        <v>82</v>
      </c>
      <c r="AK79" s="54">
        <v>0</v>
      </c>
      <c r="AL79" s="55">
        <v>1</v>
      </c>
      <c r="AM79" s="55">
        <v>1</v>
      </c>
      <c r="AN79" s="55">
        <v>1</v>
      </c>
      <c r="AO79" s="55">
        <v>1</v>
      </c>
      <c r="AP79" s="55">
        <v>0</v>
      </c>
      <c r="AQ79" s="56">
        <v>0</v>
      </c>
      <c r="AR79" s="57">
        <v>16</v>
      </c>
      <c r="BD79" s="21">
        <v>75</v>
      </c>
      <c r="BE79" s="77" t="s">
        <v>40</v>
      </c>
      <c r="BF79" s="77" t="s">
        <v>176</v>
      </c>
      <c r="BG79" s="77" t="s">
        <v>25</v>
      </c>
      <c r="BH79" s="77" t="s">
        <v>192</v>
      </c>
      <c r="BI79" s="77" t="s">
        <v>190</v>
      </c>
      <c r="BJ79" s="77" t="s">
        <v>34</v>
      </c>
      <c r="BK79" s="37" t="s">
        <v>38</v>
      </c>
      <c r="BM79" s="76">
        <f t="shared" si="60"/>
        <v>12</v>
      </c>
      <c r="BN79" s="76">
        <f t="shared" si="61"/>
        <v>24</v>
      </c>
      <c r="BO79" s="76">
        <f t="shared" si="62"/>
        <v>8</v>
      </c>
      <c r="BP79" s="76">
        <f t="shared" si="63"/>
        <v>22</v>
      </c>
      <c r="BQ79" s="76">
        <f t="shared" si="64"/>
        <v>15</v>
      </c>
      <c r="BR79" s="76">
        <f t="shared" si="65"/>
        <v>4</v>
      </c>
      <c r="BS79" s="76">
        <f t="shared" si="66"/>
        <v>10</v>
      </c>
      <c r="BU79" s="25">
        <v>1</v>
      </c>
      <c r="BV79" s="25">
        <v>1</v>
      </c>
      <c r="BW79" s="25">
        <v>1</v>
      </c>
      <c r="BX79" s="25">
        <v>1</v>
      </c>
      <c r="BY79" s="25">
        <v>1</v>
      </c>
      <c r="BZ79" s="25">
        <v>1</v>
      </c>
      <c r="CA79" s="7">
        <v>1</v>
      </c>
      <c r="CC79" s="53" t="s">
        <v>82</v>
      </c>
      <c r="CD79" s="54">
        <v>0</v>
      </c>
      <c r="CE79" s="55">
        <v>1</v>
      </c>
      <c r="CF79" s="55">
        <v>1</v>
      </c>
      <c r="CG79" s="55">
        <v>1</v>
      </c>
      <c r="CH79" s="55">
        <v>1</v>
      </c>
      <c r="CI79" s="55">
        <v>0</v>
      </c>
      <c r="CJ79" s="56">
        <v>0</v>
      </c>
      <c r="CK79" s="57">
        <v>16</v>
      </c>
      <c r="CW79" s="21">
        <v>75</v>
      </c>
      <c r="CX79" s="77" t="s">
        <v>40</v>
      </c>
      <c r="CY79" s="77" t="s">
        <v>176</v>
      </c>
      <c r="CZ79" s="77" t="s">
        <v>25</v>
      </c>
      <c r="DA79" s="77" t="s">
        <v>192</v>
      </c>
      <c r="DB79" s="77" t="s">
        <v>190</v>
      </c>
      <c r="DC79" s="77" t="s">
        <v>34</v>
      </c>
      <c r="DD79" s="37" t="s">
        <v>38</v>
      </c>
      <c r="DF79" s="76">
        <f t="shared" si="67"/>
        <v>12</v>
      </c>
      <c r="DG79" s="76">
        <f t="shared" si="47"/>
        <v>24</v>
      </c>
      <c r="DH79" s="76">
        <f t="shared" si="48"/>
        <v>8</v>
      </c>
      <c r="DI79" s="76">
        <f t="shared" si="49"/>
        <v>22</v>
      </c>
      <c r="DJ79" s="76">
        <f t="shared" si="50"/>
        <v>15</v>
      </c>
      <c r="DK79" s="76">
        <f t="shared" si="51"/>
        <v>4</v>
      </c>
      <c r="DL79" s="76">
        <f t="shared" si="52"/>
        <v>10</v>
      </c>
      <c r="DN79" s="25">
        <v>1</v>
      </c>
      <c r="DO79" s="25">
        <v>1</v>
      </c>
      <c r="DP79" s="25">
        <v>1</v>
      </c>
      <c r="DQ79" s="25">
        <v>1</v>
      </c>
      <c r="DR79" s="25">
        <v>1</v>
      </c>
      <c r="DS79" s="25">
        <v>1</v>
      </c>
      <c r="DT79" s="7">
        <v>1</v>
      </c>
      <c r="DV79" s="53" t="s">
        <v>82</v>
      </c>
      <c r="DW79" s="54">
        <v>0</v>
      </c>
      <c r="DX79" s="55">
        <v>1</v>
      </c>
      <c r="DY79" s="55">
        <v>1</v>
      </c>
      <c r="DZ79" s="55">
        <v>1</v>
      </c>
      <c r="EA79" s="55">
        <v>1</v>
      </c>
      <c r="EB79" s="55">
        <v>0</v>
      </c>
      <c r="EC79" s="56">
        <v>0</v>
      </c>
      <c r="ED79" s="57">
        <v>16</v>
      </c>
    </row>
    <row r="80" spans="1:134" ht="16.2" x14ac:dyDescent="0.3">
      <c r="K80" s="22">
        <v>76</v>
      </c>
      <c r="L80" s="77" t="s">
        <v>40</v>
      </c>
      <c r="M80" s="77" t="s">
        <v>152</v>
      </c>
      <c r="N80" s="77" t="s">
        <v>37</v>
      </c>
      <c r="O80" s="77" t="s">
        <v>40</v>
      </c>
      <c r="P80" s="77" t="s">
        <v>75</v>
      </c>
      <c r="Q80" s="77" t="s">
        <v>75</v>
      </c>
      <c r="R80" s="77" t="s">
        <v>34</v>
      </c>
      <c r="T80" s="76">
        <f t="shared" si="53"/>
        <v>12</v>
      </c>
      <c r="U80" s="76">
        <f t="shared" si="54"/>
        <v>7</v>
      </c>
      <c r="V80" s="76">
        <f t="shared" si="55"/>
        <v>9</v>
      </c>
      <c r="W80" s="76">
        <f t="shared" si="56"/>
        <v>12</v>
      </c>
      <c r="X80" s="76">
        <f t="shared" si="57"/>
        <v>6</v>
      </c>
      <c r="Y80" s="76">
        <f t="shared" si="58"/>
        <v>6</v>
      </c>
      <c r="Z80" s="76">
        <f t="shared" si="59"/>
        <v>4</v>
      </c>
      <c r="AB80" s="25">
        <v>1</v>
      </c>
      <c r="AC80" s="25">
        <v>1</v>
      </c>
      <c r="AD80" s="25">
        <v>1</v>
      </c>
      <c r="AE80" s="25">
        <v>1</v>
      </c>
      <c r="AF80" s="25">
        <v>1</v>
      </c>
      <c r="AG80" s="25">
        <v>1</v>
      </c>
      <c r="AH80" s="7">
        <v>1</v>
      </c>
      <c r="AJ80" s="53" t="s">
        <v>83</v>
      </c>
      <c r="AK80" s="54">
        <v>0</v>
      </c>
      <c r="AL80" s="55">
        <v>2</v>
      </c>
      <c r="AM80" s="55">
        <v>2</v>
      </c>
      <c r="AN80" s="55">
        <v>1</v>
      </c>
      <c r="AO80" s="55">
        <v>2</v>
      </c>
      <c r="AP80" s="55">
        <v>0</v>
      </c>
      <c r="AQ80" s="56">
        <v>0</v>
      </c>
      <c r="AR80" s="57">
        <v>17</v>
      </c>
      <c r="BD80" s="22">
        <v>76</v>
      </c>
      <c r="BE80" s="77" t="s">
        <v>40</v>
      </c>
      <c r="BF80" s="77" t="s">
        <v>152</v>
      </c>
      <c r="BG80" s="77" t="s">
        <v>37</v>
      </c>
      <c r="BH80" s="77" t="s">
        <v>40</v>
      </c>
      <c r="BI80" s="77" t="s">
        <v>75</v>
      </c>
      <c r="BJ80" s="77" t="s">
        <v>75</v>
      </c>
      <c r="BK80" s="77" t="s">
        <v>34</v>
      </c>
      <c r="BM80" s="76">
        <f t="shared" si="60"/>
        <v>12</v>
      </c>
      <c r="BN80" s="76">
        <f t="shared" si="61"/>
        <v>7</v>
      </c>
      <c r="BO80" s="76">
        <f t="shared" si="62"/>
        <v>9</v>
      </c>
      <c r="BP80" s="76">
        <f t="shared" si="63"/>
        <v>12</v>
      </c>
      <c r="BQ80" s="76">
        <f t="shared" si="64"/>
        <v>6</v>
      </c>
      <c r="BR80" s="76">
        <f t="shared" si="65"/>
        <v>6</v>
      </c>
      <c r="BS80" s="76">
        <f t="shared" si="66"/>
        <v>4</v>
      </c>
      <c r="BU80" s="25">
        <v>1</v>
      </c>
      <c r="BV80" s="25">
        <v>1</v>
      </c>
      <c r="BW80" s="25">
        <v>1</v>
      </c>
      <c r="BX80" s="25">
        <v>1</v>
      </c>
      <c r="BY80" s="25">
        <v>1</v>
      </c>
      <c r="BZ80" s="25">
        <v>1</v>
      </c>
      <c r="CA80" s="7">
        <v>1</v>
      </c>
      <c r="CC80" s="53" t="s">
        <v>83</v>
      </c>
      <c r="CD80" s="54">
        <v>0</v>
      </c>
      <c r="CE80" s="55">
        <v>2</v>
      </c>
      <c r="CF80" s="55">
        <v>2</v>
      </c>
      <c r="CG80" s="55">
        <v>1</v>
      </c>
      <c r="CH80" s="55">
        <v>2</v>
      </c>
      <c r="CI80" s="55">
        <v>0</v>
      </c>
      <c r="CJ80" s="56">
        <v>0</v>
      </c>
      <c r="CK80" s="57">
        <v>17</v>
      </c>
      <c r="CW80" s="22">
        <v>76</v>
      </c>
      <c r="CX80" s="77" t="s">
        <v>40</v>
      </c>
      <c r="CY80" s="77" t="s">
        <v>152</v>
      </c>
      <c r="CZ80" s="77" t="s">
        <v>37</v>
      </c>
      <c r="DA80" s="77" t="s">
        <v>40</v>
      </c>
      <c r="DB80" s="77" t="s">
        <v>75</v>
      </c>
      <c r="DC80" s="77" t="s">
        <v>75</v>
      </c>
      <c r="DD80" s="77" t="s">
        <v>34</v>
      </c>
      <c r="DF80" s="76">
        <f t="shared" si="67"/>
        <v>12</v>
      </c>
      <c r="DG80" s="76">
        <f t="shared" si="47"/>
        <v>7</v>
      </c>
      <c r="DH80" s="76">
        <f t="shared" si="48"/>
        <v>9</v>
      </c>
      <c r="DI80" s="76">
        <f t="shared" si="49"/>
        <v>12</v>
      </c>
      <c r="DJ80" s="76">
        <f t="shared" si="50"/>
        <v>6</v>
      </c>
      <c r="DK80" s="76">
        <f t="shared" si="51"/>
        <v>6</v>
      </c>
      <c r="DL80" s="76">
        <f t="shared" si="52"/>
        <v>4</v>
      </c>
      <c r="DN80" s="25">
        <v>1</v>
      </c>
      <c r="DO80" s="25">
        <v>1</v>
      </c>
      <c r="DP80" s="25">
        <v>1</v>
      </c>
      <c r="DQ80" s="25">
        <v>1</v>
      </c>
      <c r="DR80" s="25">
        <v>1</v>
      </c>
      <c r="DS80" s="25">
        <v>1</v>
      </c>
      <c r="DT80" s="7">
        <v>1</v>
      </c>
      <c r="DV80" s="53" t="s">
        <v>83</v>
      </c>
      <c r="DW80" s="54">
        <v>0</v>
      </c>
      <c r="DX80" s="55">
        <v>2</v>
      </c>
      <c r="DY80" s="55">
        <v>2</v>
      </c>
      <c r="DZ80" s="55">
        <v>1</v>
      </c>
      <c r="EA80" s="55">
        <v>2</v>
      </c>
      <c r="EB80" s="55">
        <v>0</v>
      </c>
      <c r="EC80" s="56">
        <v>0</v>
      </c>
      <c r="ED80" s="57">
        <v>17</v>
      </c>
    </row>
    <row r="81" spans="11:134" ht="16.2" x14ac:dyDescent="0.3">
      <c r="K81" s="21">
        <v>77</v>
      </c>
      <c r="L81" s="77" t="s">
        <v>38</v>
      </c>
      <c r="M81" s="77" t="s">
        <v>152</v>
      </c>
      <c r="N81" s="77" t="s">
        <v>37</v>
      </c>
      <c r="O81" s="77" t="s">
        <v>40</v>
      </c>
      <c r="P81" s="77" t="s">
        <v>75</v>
      </c>
      <c r="Q81" s="77" t="s">
        <v>75</v>
      </c>
      <c r="R81" s="37" t="s">
        <v>40</v>
      </c>
      <c r="T81" s="76">
        <f t="shared" si="53"/>
        <v>10</v>
      </c>
      <c r="U81" s="76">
        <f t="shared" si="54"/>
        <v>7</v>
      </c>
      <c r="V81" s="76">
        <f t="shared" si="55"/>
        <v>9</v>
      </c>
      <c r="W81" s="76">
        <f t="shared" si="56"/>
        <v>12</v>
      </c>
      <c r="X81" s="76">
        <f t="shared" si="57"/>
        <v>6</v>
      </c>
      <c r="Y81" s="76">
        <f t="shared" si="58"/>
        <v>6</v>
      </c>
      <c r="Z81" s="76">
        <f t="shared" si="59"/>
        <v>12</v>
      </c>
      <c r="AB81" s="25">
        <v>1</v>
      </c>
      <c r="AC81" s="25">
        <v>1</v>
      </c>
      <c r="AD81" s="25">
        <v>1</v>
      </c>
      <c r="AE81" s="25">
        <v>1</v>
      </c>
      <c r="AF81" s="25">
        <v>1</v>
      </c>
      <c r="AG81" s="25">
        <v>1</v>
      </c>
      <c r="AH81" s="7">
        <v>3</v>
      </c>
      <c r="AJ81" s="53" t="s">
        <v>162</v>
      </c>
      <c r="AK81" s="54">
        <v>0</v>
      </c>
      <c r="AL81" s="55">
        <v>2</v>
      </c>
      <c r="AM81" s="55">
        <v>2</v>
      </c>
      <c r="AN81" s="55">
        <v>1</v>
      </c>
      <c r="AO81" s="55">
        <v>2</v>
      </c>
      <c r="AP81" s="55">
        <v>0</v>
      </c>
      <c r="AQ81" s="56">
        <v>0</v>
      </c>
      <c r="AR81" s="57">
        <v>18</v>
      </c>
      <c r="BD81" s="21">
        <v>77</v>
      </c>
      <c r="BE81" s="77" t="s">
        <v>38</v>
      </c>
      <c r="BF81" s="77" t="s">
        <v>152</v>
      </c>
      <c r="BG81" s="77" t="s">
        <v>37</v>
      </c>
      <c r="BH81" s="77" t="s">
        <v>40</v>
      </c>
      <c r="BI81" s="77" t="s">
        <v>75</v>
      </c>
      <c r="BJ81" s="77" t="s">
        <v>75</v>
      </c>
      <c r="BK81" s="37" t="s">
        <v>40</v>
      </c>
      <c r="BM81" s="76">
        <f t="shared" si="60"/>
        <v>10</v>
      </c>
      <c r="BN81" s="76">
        <f t="shared" si="61"/>
        <v>7</v>
      </c>
      <c r="BO81" s="76">
        <f t="shared" si="62"/>
        <v>9</v>
      </c>
      <c r="BP81" s="76">
        <f t="shared" si="63"/>
        <v>12</v>
      </c>
      <c r="BQ81" s="76">
        <f t="shared" si="64"/>
        <v>6</v>
      </c>
      <c r="BR81" s="76">
        <f t="shared" si="65"/>
        <v>6</v>
      </c>
      <c r="BS81" s="76">
        <f t="shared" si="66"/>
        <v>12</v>
      </c>
      <c r="BU81" s="25">
        <v>1</v>
      </c>
      <c r="BV81" s="25">
        <v>1</v>
      </c>
      <c r="BW81" s="25">
        <v>1</v>
      </c>
      <c r="BX81" s="25">
        <v>1</v>
      </c>
      <c r="BY81" s="25">
        <v>1</v>
      </c>
      <c r="BZ81" s="25">
        <v>1</v>
      </c>
      <c r="CA81" s="7">
        <v>1</v>
      </c>
      <c r="CC81" s="53" t="s">
        <v>162</v>
      </c>
      <c r="CD81" s="54">
        <v>0</v>
      </c>
      <c r="CE81" s="55">
        <v>2</v>
      </c>
      <c r="CF81" s="55">
        <v>2</v>
      </c>
      <c r="CG81" s="55">
        <v>1</v>
      </c>
      <c r="CH81" s="55">
        <v>2</v>
      </c>
      <c r="CI81" s="55">
        <v>0</v>
      </c>
      <c r="CJ81" s="56">
        <v>0</v>
      </c>
      <c r="CK81" s="57">
        <v>18</v>
      </c>
      <c r="CW81" s="21">
        <v>77</v>
      </c>
      <c r="CX81" s="77" t="s">
        <v>38</v>
      </c>
      <c r="CY81" s="77" t="s">
        <v>152</v>
      </c>
      <c r="CZ81" s="77" t="s">
        <v>37</v>
      </c>
      <c r="DA81" s="77" t="s">
        <v>40</v>
      </c>
      <c r="DB81" s="77" t="s">
        <v>75</v>
      </c>
      <c r="DC81" s="77" t="s">
        <v>75</v>
      </c>
      <c r="DD81" s="37" t="s">
        <v>40</v>
      </c>
      <c r="DF81" s="76">
        <f t="shared" si="67"/>
        <v>10</v>
      </c>
      <c r="DG81" s="76">
        <f t="shared" si="47"/>
        <v>7</v>
      </c>
      <c r="DH81" s="76">
        <f t="shared" si="48"/>
        <v>9</v>
      </c>
      <c r="DI81" s="76">
        <f t="shared" si="49"/>
        <v>12</v>
      </c>
      <c r="DJ81" s="76">
        <f t="shared" si="50"/>
        <v>6</v>
      </c>
      <c r="DK81" s="76">
        <f t="shared" si="51"/>
        <v>6</v>
      </c>
      <c r="DL81" s="76">
        <f t="shared" si="52"/>
        <v>12</v>
      </c>
      <c r="DN81" s="25">
        <v>1</v>
      </c>
      <c r="DO81" s="25">
        <v>1</v>
      </c>
      <c r="DP81" s="25">
        <v>1</v>
      </c>
      <c r="DQ81" s="25">
        <v>1</v>
      </c>
      <c r="DR81" s="25">
        <v>1</v>
      </c>
      <c r="DS81" s="25">
        <v>1</v>
      </c>
      <c r="DT81" s="7">
        <v>1</v>
      </c>
      <c r="DV81" s="53" t="s">
        <v>162</v>
      </c>
      <c r="DW81" s="54">
        <v>0</v>
      </c>
      <c r="DX81" s="55">
        <v>2</v>
      </c>
      <c r="DY81" s="55">
        <v>2</v>
      </c>
      <c r="DZ81" s="55">
        <v>1</v>
      </c>
      <c r="EA81" s="55">
        <v>2</v>
      </c>
      <c r="EB81" s="55">
        <v>0</v>
      </c>
      <c r="EC81" s="56">
        <v>0</v>
      </c>
      <c r="ED81" s="57">
        <v>18</v>
      </c>
    </row>
    <row r="82" spans="11:134" ht="16.2" x14ac:dyDescent="0.3">
      <c r="K82" s="22">
        <v>78</v>
      </c>
      <c r="L82" s="77" t="s">
        <v>25</v>
      </c>
      <c r="M82" s="77" t="s">
        <v>33</v>
      </c>
      <c r="N82" s="77" t="s">
        <v>37</v>
      </c>
      <c r="O82" s="77" t="s">
        <v>25</v>
      </c>
      <c r="P82" s="77" t="s">
        <v>152</v>
      </c>
      <c r="Q82" s="77" t="s">
        <v>75</v>
      </c>
      <c r="R82" s="37" t="s">
        <v>40</v>
      </c>
      <c r="T82" s="76">
        <f t="shared" si="53"/>
        <v>8</v>
      </c>
      <c r="U82" s="76">
        <f t="shared" si="54"/>
        <v>3</v>
      </c>
      <c r="V82" s="76">
        <f t="shared" si="55"/>
        <v>9</v>
      </c>
      <c r="W82" s="76">
        <f t="shared" si="56"/>
        <v>8</v>
      </c>
      <c r="X82" s="76">
        <f t="shared" si="57"/>
        <v>7</v>
      </c>
      <c r="Y82" s="76">
        <f t="shared" si="58"/>
        <v>6</v>
      </c>
      <c r="Z82" s="76">
        <f t="shared" si="59"/>
        <v>12</v>
      </c>
      <c r="AB82" s="25">
        <v>1</v>
      </c>
      <c r="AC82" s="25">
        <v>1</v>
      </c>
      <c r="AD82" s="25">
        <v>1</v>
      </c>
      <c r="AE82" s="25">
        <v>1</v>
      </c>
      <c r="AF82" s="25">
        <v>1</v>
      </c>
      <c r="AG82" s="25">
        <v>1</v>
      </c>
      <c r="AH82" s="7">
        <v>1</v>
      </c>
      <c r="AJ82" s="53" t="s">
        <v>84</v>
      </c>
      <c r="AK82" s="54">
        <v>0</v>
      </c>
      <c r="AL82" s="55">
        <v>2</v>
      </c>
      <c r="AM82" s="55">
        <v>1</v>
      </c>
      <c r="AN82" s="55">
        <v>1</v>
      </c>
      <c r="AO82" s="55">
        <v>7</v>
      </c>
      <c r="AP82" s="55">
        <v>0</v>
      </c>
      <c r="AQ82" s="56">
        <v>0</v>
      </c>
      <c r="AR82" s="57">
        <v>19</v>
      </c>
      <c r="BD82" s="22">
        <v>78</v>
      </c>
      <c r="BE82" s="77" t="s">
        <v>39</v>
      </c>
      <c r="BF82" s="77" t="s">
        <v>33</v>
      </c>
      <c r="BG82" s="77" t="s">
        <v>37</v>
      </c>
      <c r="BH82" s="77" t="s">
        <v>25</v>
      </c>
      <c r="BI82" s="77" t="s">
        <v>152</v>
      </c>
      <c r="BJ82" s="77" t="s">
        <v>75</v>
      </c>
      <c r="BK82" s="37" t="s">
        <v>40</v>
      </c>
      <c r="BM82" s="76">
        <f t="shared" si="60"/>
        <v>11</v>
      </c>
      <c r="BN82" s="76">
        <f t="shared" si="61"/>
        <v>3</v>
      </c>
      <c r="BO82" s="76">
        <f t="shared" si="62"/>
        <v>9</v>
      </c>
      <c r="BP82" s="76">
        <f t="shared" si="63"/>
        <v>8</v>
      </c>
      <c r="BQ82" s="76">
        <f t="shared" si="64"/>
        <v>7</v>
      </c>
      <c r="BR82" s="76">
        <f t="shared" si="65"/>
        <v>6</v>
      </c>
      <c r="BS82" s="76">
        <f t="shared" si="66"/>
        <v>12</v>
      </c>
      <c r="BU82" s="25">
        <v>1</v>
      </c>
      <c r="BV82" s="25">
        <v>1</v>
      </c>
      <c r="BW82" s="25">
        <v>1</v>
      </c>
      <c r="BX82" s="25">
        <v>1</v>
      </c>
      <c r="BY82" s="25">
        <v>1</v>
      </c>
      <c r="BZ82" s="25">
        <v>1</v>
      </c>
      <c r="CA82" s="7">
        <v>1</v>
      </c>
      <c r="CC82" s="53" t="s">
        <v>84</v>
      </c>
      <c r="CD82" s="54">
        <v>0</v>
      </c>
      <c r="CE82" s="55">
        <v>2</v>
      </c>
      <c r="CF82" s="55">
        <v>1</v>
      </c>
      <c r="CG82" s="55">
        <v>1</v>
      </c>
      <c r="CH82" s="55">
        <v>7</v>
      </c>
      <c r="CI82" s="55">
        <v>0</v>
      </c>
      <c r="CJ82" s="56">
        <v>0</v>
      </c>
      <c r="CK82" s="57">
        <v>19</v>
      </c>
      <c r="CW82" s="22">
        <v>78</v>
      </c>
      <c r="CX82" s="77" t="s">
        <v>39</v>
      </c>
      <c r="CY82" s="77" t="s">
        <v>33</v>
      </c>
      <c r="CZ82" s="77" t="s">
        <v>37</v>
      </c>
      <c r="DA82" s="77" t="s">
        <v>25</v>
      </c>
      <c r="DB82" s="77" t="s">
        <v>152</v>
      </c>
      <c r="DC82" s="77" t="s">
        <v>75</v>
      </c>
      <c r="DD82" s="37" t="s">
        <v>40</v>
      </c>
      <c r="DF82" s="76">
        <f t="shared" si="67"/>
        <v>11</v>
      </c>
      <c r="DG82" s="76">
        <f t="shared" si="47"/>
        <v>3</v>
      </c>
      <c r="DH82" s="76">
        <f t="shared" si="48"/>
        <v>9</v>
      </c>
      <c r="DI82" s="76">
        <f t="shared" si="49"/>
        <v>8</v>
      </c>
      <c r="DJ82" s="76">
        <f t="shared" si="50"/>
        <v>7</v>
      </c>
      <c r="DK82" s="76">
        <f t="shared" si="51"/>
        <v>6</v>
      </c>
      <c r="DL82" s="76">
        <f t="shared" si="52"/>
        <v>12</v>
      </c>
      <c r="DN82" s="25">
        <v>1</v>
      </c>
      <c r="DO82" s="25">
        <v>1</v>
      </c>
      <c r="DP82" s="25">
        <v>1</v>
      </c>
      <c r="DQ82" s="25">
        <v>1</v>
      </c>
      <c r="DR82" s="25">
        <v>1</v>
      </c>
      <c r="DS82" s="25">
        <v>1</v>
      </c>
      <c r="DT82" s="7">
        <v>1</v>
      </c>
      <c r="DV82" s="53" t="s">
        <v>84</v>
      </c>
      <c r="DW82" s="54">
        <v>0</v>
      </c>
      <c r="DX82" s="55">
        <v>2</v>
      </c>
      <c r="DY82" s="55">
        <v>1</v>
      </c>
      <c r="DZ82" s="55">
        <v>1</v>
      </c>
      <c r="EA82" s="55">
        <v>7</v>
      </c>
      <c r="EB82" s="55">
        <v>0</v>
      </c>
      <c r="EC82" s="56">
        <v>0</v>
      </c>
      <c r="ED82" s="57">
        <v>19</v>
      </c>
    </row>
    <row r="83" spans="11:134" ht="16.2" x14ac:dyDescent="0.3">
      <c r="K83" s="21">
        <v>79</v>
      </c>
      <c r="L83" s="77" t="s">
        <v>75</v>
      </c>
      <c r="M83" s="77" t="s">
        <v>33</v>
      </c>
      <c r="N83" s="77" t="s">
        <v>35</v>
      </c>
      <c r="O83" s="77" t="s">
        <v>193</v>
      </c>
      <c r="P83" s="77" t="s">
        <v>152</v>
      </c>
      <c r="Q83" s="77" t="s">
        <v>40</v>
      </c>
      <c r="R83" s="37" t="s">
        <v>40</v>
      </c>
      <c r="T83" s="76">
        <f t="shared" si="53"/>
        <v>6</v>
      </c>
      <c r="U83" s="76">
        <f t="shared" si="54"/>
        <v>3</v>
      </c>
      <c r="V83" s="76">
        <f t="shared" si="55"/>
        <v>5</v>
      </c>
      <c r="W83" s="76">
        <f t="shared" si="56"/>
        <v>16</v>
      </c>
      <c r="X83" s="76">
        <f t="shared" si="57"/>
        <v>7</v>
      </c>
      <c r="Y83" s="76">
        <f t="shared" si="58"/>
        <v>12</v>
      </c>
      <c r="Z83" s="76">
        <f t="shared" si="59"/>
        <v>12</v>
      </c>
      <c r="AB83" s="25">
        <v>1</v>
      </c>
      <c r="AC83" s="25">
        <v>1</v>
      </c>
      <c r="AD83" s="25">
        <v>1</v>
      </c>
      <c r="AE83" s="25">
        <v>1</v>
      </c>
      <c r="AF83" s="25">
        <v>1</v>
      </c>
      <c r="AG83" s="25">
        <v>1</v>
      </c>
      <c r="AH83" s="7">
        <v>1</v>
      </c>
      <c r="AJ83" s="53" t="s">
        <v>85</v>
      </c>
      <c r="AK83" s="54">
        <v>0</v>
      </c>
      <c r="AL83" s="55">
        <v>2</v>
      </c>
      <c r="AM83" s="55">
        <v>1</v>
      </c>
      <c r="AN83" s="55">
        <v>2</v>
      </c>
      <c r="AO83" s="55">
        <v>1</v>
      </c>
      <c r="AP83" s="55">
        <v>0</v>
      </c>
      <c r="AQ83" s="56">
        <v>0</v>
      </c>
      <c r="AR83" s="57">
        <v>20</v>
      </c>
      <c r="BD83" s="21">
        <v>79</v>
      </c>
      <c r="BE83" s="77" t="s">
        <v>75</v>
      </c>
      <c r="BF83" s="77" t="s">
        <v>33</v>
      </c>
      <c r="BG83" s="77" t="s">
        <v>35</v>
      </c>
      <c r="BH83" s="77" t="s">
        <v>193</v>
      </c>
      <c r="BI83" s="77" t="s">
        <v>152</v>
      </c>
      <c r="BJ83" s="77" t="s">
        <v>40</v>
      </c>
      <c r="BK83" s="37" t="s">
        <v>40</v>
      </c>
      <c r="BM83" s="76">
        <f t="shared" si="60"/>
        <v>6</v>
      </c>
      <c r="BN83" s="76">
        <f t="shared" si="61"/>
        <v>3</v>
      </c>
      <c r="BO83" s="76">
        <f t="shared" si="62"/>
        <v>5</v>
      </c>
      <c r="BP83" s="76">
        <f t="shared" si="63"/>
        <v>16</v>
      </c>
      <c r="BQ83" s="76">
        <f t="shared" si="64"/>
        <v>7</v>
      </c>
      <c r="BR83" s="76">
        <f t="shared" si="65"/>
        <v>12</v>
      </c>
      <c r="BS83" s="76">
        <f t="shared" si="66"/>
        <v>12</v>
      </c>
      <c r="BU83" s="25">
        <v>1</v>
      </c>
      <c r="BV83" s="25">
        <v>1</v>
      </c>
      <c r="BW83" s="25">
        <v>1</v>
      </c>
      <c r="BX83" s="25">
        <v>1</v>
      </c>
      <c r="BY83" s="25">
        <v>1</v>
      </c>
      <c r="BZ83" s="25">
        <v>1</v>
      </c>
      <c r="CA83" s="7">
        <v>1</v>
      </c>
      <c r="CC83" s="53" t="s">
        <v>85</v>
      </c>
      <c r="CD83" s="54">
        <v>0</v>
      </c>
      <c r="CE83" s="55">
        <v>2</v>
      </c>
      <c r="CF83" s="55">
        <v>1</v>
      </c>
      <c r="CG83" s="55">
        <v>2</v>
      </c>
      <c r="CH83" s="55">
        <v>1</v>
      </c>
      <c r="CI83" s="55">
        <v>0</v>
      </c>
      <c r="CJ83" s="56">
        <v>0</v>
      </c>
      <c r="CK83" s="57">
        <v>20</v>
      </c>
      <c r="CW83" s="21">
        <v>79</v>
      </c>
      <c r="CX83" s="77" t="s">
        <v>75</v>
      </c>
      <c r="CY83" s="77" t="s">
        <v>33</v>
      </c>
      <c r="CZ83" s="77" t="s">
        <v>35</v>
      </c>
      <c r="DA83" s="77" t="s">
        <v>193</v>
      </c>
      <c r="DB83" s="77" t="s">
        <v>152</v>
      </c>
      <c r="DC83" s="77" t="s">
        <v>40</v>
      </c>
      <c r="DD83" s="37" t="s">
        <v>40</v>
      </c>
      <c r="DF83" s="76">
        <f t="shared" si="67"/>
        <v>6</v>
      </c>
      <c r="DG83" s="76">
        <f t="shared" si="47"/>
        <v>3</v>
      </c>
      <c r="DH83" s="76">
        <f t="shared" si="48"/>
        <v>5</v>
      </c>
      <c r="DI83" s="76">
        <f t="shared" si="49"/>
        <v>16</v>
      </c>
      <c r="DJ83" s="76">
        <f t="shared" si="50"/>
        <v>7</v>
      </c>
      <c r="DK83" s="76">
        <f t="shared" si="51"/>
        <v>12</v>
      </c>
      <c r="DL83" s="76">
        <f t="shared" si="52"/>
        <v>12</v>
      </c>
      <c r="DN83" s="25">
        <v>1</v>
      </c>
      <c r="DO83" s="25">
        <v>1</v>
      </c>
      <c r="DP83" s="25">
        <v>1</v>
      </c>
      <c r="DQ83" s="25">
        <v>1</v>
      </c>
      <c r="DR83" s="25">
        <v>1</v>
      </c>
      <c r="DS83" s="25">
        <v>1</v>
      </c>
      <c r="DT83" s="7">
        <v>1</v>
      </c>
      <c r="DV83" s="53" t="s">
        <v>85</v>
      </c>
      <c r="DW83" s="54">
        <v>0</v>
      </c>
      <c r="DX83" s="55">
        <v>2</v>
      </c>
      <c r="DY83" s="55">
        <v>1</v>
      </c>
      <c r="DZ83" s="55">
        <v>2</v>
      </c>
      <c r="EA83" s="55">
        <v>1</v>
      </c>
      <c r="EB83" s="55">
        <v>0</v>
      </c>
      <c r="EC83" s="56">
        <v>0</v>
      </c>
      <c r="ED83" s="57">
        <v>20</v>
      </c>
    </row>
    <row r="84" spans="11:134" ht="16.2" x14ac:dyDescent="0.3">
      <c r="K84" s="22">
        <v>80</v>
      </c>
      <c r="L84" s="77" t="s">
        <v>75</v>
      </c>
      <c r="M84" s="77" t="s">
        <v>37</v>
      </c>
      <c r="N84" s="77" t="s">
        <v>39</v>
      </c>
      <c r="O84" s="77" t="s">
        <v>35</v>
      </c>
      <c r="P84" s="77" t="s">
        <v>163</v>
      </c>
      <c r="Q84" s="77" t="s">
        <v>38</v>
      </c>
      <c r="R84" s="37" t="s">
        <v>32</v>
      </c>
      <c r="T84" s="76">
        <f t="shared" si="53"/>
        <v>6</v>
      </c>
      <c r="U84" s="76">
        <f t="shared" si="54"/>
        <v>9</v>
      </c>
      <c r="V84" s="76">
        <f t="shared" si="55"/>
        <v>11</v>
      </c>
      <c r="W84" s="76">
        <f t="shared" si="56"/>
        <v>5</v>
      </c>
      <c r="X84" s="76">
        <f t="shared" si="57"/>
        <v>18</v>
      </c>
      <c r="Y84" s="76">
        <f t="shared" si="58"/>
        <v>10</v>
      </c>
      <c r="Z84" s="76">
        <f t="shared" si="59"/>
        <v>2</v>
      </c>
      <c r="AB84" s="25">
        <v>1</v>
      </c>
      <c r="AC84" s="25">
        <v>1</v>
      </c>
      <c r="AD84" s="25">
        <v>1</v>
      </c>
      <c r="AE84" s="25">
        <v>1</v>
      </c>
      <c r="AF84" s="25">
        <v>1</v>
      </c>
      <c r="AG84" s="25">
        <v>1</v>
      </c>
      <c r="AH84" s="7">
        <v>3</v>
      </c>
      <c r="AJ84" s="53" t="s">
        <v>86</v>
      </c>
      <c r="AK84" s="54">
        <v>0</v>
      </c>
      <c r="AL84" s="55">
        <v>2</v>
      </c>
      <c r="AM84" s="55">
        <v>7</v>
      </c>
      <c r="AN84" s="55">
        <v>1</v>
      </c>
      <c r="AO84" s="55">
        <v>1</v>
      </c>
      <c r="AP84" s="55">
        <v>0</v>
      </c>
      <c r="AQ84" s="56">
        <v>0</v>
      </c>
      <c r="AR84" s="57">
        <v>21</v>
      </c>
      <c r="BD84" s="22">
        <v>80</v>
      </c>
      <c r="BE84" s="77" t="s">
        <v>75</v>
      </c>
      <c r="BF84" s="77" t="s">
        <v>37</v>
      </c>
      <c r="BG84" s="77" t="s">
        <v>39</v>
      </c>
      <c r="BH84" s="77" t="s">
        <v>35</v>
      </c>
      <c r="BI84" s="77" t="s">
        <v>163</v>
      </c>
      <c r="BJ84" s="77" t="s">
        <v>38</v>
      </c>
      <c r="BK84" s="37" t="s">
        <v>25</v>
      </c>
      <c r="BM84" s="76">
        <f t="shared" si="60"/>
        <v>6</v>
      </c>
      <c r="BN84" s="76">
        <f t="shared" si="61"/>
        <v>9</v>
      </c>
      <c r="BO84" s="76">
        <f t="shared" si="62"/>
        <v>11</v>
      </c>
      <c r="BP84" s="76">
        <f t="shared" si="63"/>
        <v>5</v>
      </c>
      <c r="BQ84" s="76">
        <f t="shared" si="64"/>
        <v>18</v>
      </c>
      <c r="BR84" s="76">
        <f t="shared" si="65"/>
        <v>10</v>
      </c>
      <c r="BS84" s="76">
        <f t="shared" si="66"/>
        <v>8</v>
      </c>
      <c r="BU84" s="25">
        <v>1</v>
      </c>
      <c r="BV84" s="25">
        <v>1</v>
      </c>
      <c r="BW84" s="25">
        <v>1</v>
      </c>
      <c r="BX84" s="25">
        <v>1</v>
      </c>
      <c r="BY84" s="25">
        <v>1</v>
      </c>
      <c r="BZ84" s="25">
        <v>1</v>
      </c>
      <c r="CA84" s="7">
        <v>1</v>
      </c>
      <c r="CC84" s="53" t="s">
        <v>86</v>
      </c>
      <c r="CD84" s="54">
        <v>0</v>
      </c>
      <c r="CE84" s="55">
        <v>2</v>
      </c>
      <c r="CF84" s="55">
        <v>7</v>
      </c>
      <c r="CG84" s="55">
        <v>1</v>
      </c>
      <c r="CH84" s="55">
        <v>1</v>
      </c>
      <c r="CI84" s="55">
        <v>0</v>
      </c>
      <c r="CJ84" s="56">
        <v>0</v>
      </c>
      <c r="CK84" s="57">
        <v>21</v>
      </c>
      <c r="CW84" s="22">
        <v>80</v>
      </c>
      <c r="CX84" s="77" t="s">
        <v>75</v>
      </c>
      <c r="CY84" s="77" t="s">
        <v>37</v>
      </c>
      <c r="CZ84" s="77" t="s">
        <v>39</v>
      </c>
      <c r="DA84" s="77" t="s">
        <v>35</v>
      </c>
      <c r="DB84" s="77" t="s">
        <v>163</v>
      </c>
      <c r="DC84" s="77" t="s">
        <v>38</v>
      </c>
      <c r="DD84" s="37" t="s">
        <v>25</v>
      </c>
      <c r="DF84" s="76">
        <f t="shared" si="67"/>
        <v>6</v>
      </c>
      <c r="DG84" s="76">
        <f t="shared" si="47"/>
        <v>9</v>
      </c>
      <c r="DH84" s="76">
        <f t="shared" si="48"/>
        <v>11</v>
      </c>
      <c r="DI84" s="76">
        <f t="shared" si="49"/>
        <v>5</v>
      </c>
      <c r="DJ84" s="76">
        <f t="shared" si="50"/>
        <v>18</v>
      </c>
      <c r="DK84" s="76">
        <f t="shared" si="51"/>
        <v>10</v>
      </c>
      <c r="DL84" s="76">
        <f t="shared" si="52"/>
        <v>8</v>
      </c>
      <c r="DN84" s="25">
        <v>1</v>
      </c>
      <c r="DO84" s="25">
        <v>1</v>
      </c>
      <c r="DP84" s="25">
        <v>1</v>
      </c>
      <c r="DQ84" s="25">
        <v>1</v>
      </c>
      <c r="DR84" s="25">
        <v>1</v>
      </c>
      <c r="DS84" s="25">
        <v>1</v>
      </c>
      <c r="DT84" s="7">
        <v>1</v>
      </c>
      <c r="DV84" s="53" t="s">
        <v>86</v>
      </c>
      <c r="DW84" s="54">
        <v>0</v>
      </c>
      <c r="DX84" s="55">
        <v>2</v>
      </c>
      <c r="DY84" s="55">
        <v>7</v>
      </c>
      <c r="DZ84" s="55">
        <v>1</v>
      </c>
      <c r="EA84" s="55">
        <v>1</v>
      </c>
      <c r="EB84" s="55">
        <v>0</v>
      </c>
      <c r="EC84" s="56">
        <v>0</v>
      </c>
      <c r="ED84" s="57">
        <v>21</v>
      </c>
    </row>
    <row r="85" spans="11:134" ht="16.2" x14ac:dyDescent="0.3">
      <c r="K85" s="21">
        <v>81</v>
      </c>
      <c r="L85" s="77" t="s">
        <v>25</v>
      </c>
      <c r="M85" s="77" t="s">
        <v>37</v>
      </c>
      <c r="N85" s="77" t="s">
        <v>33</v>
      </c>
      <c r="O85" s="77" t="s">
        <v>75</v>
      </c>
      <c r="P85" s="77" t="s">
        <v>39</v>
      </c>
      <c r="Q85" s="77" t="s">
        <v>38</v>
      </c>
      <c r="R85" s="37" t="s">
        <v>32</v>
      </c>
      <c r="T85" s="76">
        <f t="shared" si="53"/>
        <v>8</v>
      </c>
      <c r="U85" s="76">
        <f t="shared" si="54"/>
        <v>9</v>
      </c>
      <c r="V85" s="76">
        <f t="shared" si="55"/>
        <v>3</v>
      </c>
      <c r="W85" s="76">
        <f t="shared" si="56"/>
        <v>6</v>
      </c>
      <c r="X85" s="76">
        <f t="shared" si="57"/>
        <v>11</v>
      </c>
      <c r="Y85" s="76">
        <f t="shared" si="58"/>
        <v>10</v>
      </c>
      <c r="Z85" s="76">
        <f t="shared" si="59"/>
        <v>2</v>
      </c>
      <c r="AB85" s="25">
        <v>1</v>
      </c>
      <c r="AC85" s="25">
        <v>1</v>
      </c>
      <c r="AD85" s="25">
        <v>1</v>
      </c>
      <c r="AE85" s="25">
        <v>1</v>
      </c>
      <c r="AF85" s="25">
        <v>1</v>
      </c>
      <c r="AG85" s="25">
        <v>1</v>
      </c>
      <c r="AH85" s="7">
        <v>1</v>
      </c>
      <c r="AJ85" s="53" t="s">
        <v>87</v>
      </c>
      <c r="AK85" s="54">
        <v>0</v>
      </c>
      <c r="AL85" s="55">
        <v>1</v>
      </c>
      <c r="AM85" s="55">
        <v>1</v>
      </c>
      <c r="AN85" s="55">
        <v>1</v>
      </c>
      <c r="AO85" s="55">
        <v>1</v>
      </c>
      <c r="AP85" s="55">
        <v>0</v>
      </c>
      <c r="AQ85" s="56">
        <v>0</v>
      </c>
      <c r="AR85" s="57">
        <v>22</v>
      </c>
      <c r="BD85" s="21">
        <v>81</v>
      </c>
      <c r="BE85" s="77" t="s">
        <v>39</v>
      </c>
      <c r="BF85" s="77" t="s">
        <v>37</v>
      </c>
      <c r="BG85" s="77" t="s">
        <v>33</v>
      </c>
      <c r="BH85" s="77" t="s">
        <v>75</v>
      </c>
      <c r="BI85" s="77" t="s">
        <v>39</v>
      </c>
      <c r="BJ85" s="77" t="s">
        <v>38</v>
      </c>
      <c r="BK85" s="37" t="s">
        <v>25</v>
      </c>
      <c r="BM85" s="76">
        <f t="shared" si="60"/>
        <v>11</v>
      </c>
      <c r="BN85" s="76">
        <f t="shared" si="61"/>
        <v>9</v>
      </c>
      <c r="BO85" s="76">
        <f t="shared" si="62"/>
        <v>3</v>
      </c>
      <c r="BP85" s="76">
        <f t="shared" si="63"/>
        <v>6</v>
      </c>
      <c r="BQ85" s="76">
        <f t="shared" si="64"/>
        <v>11</v>
      </c>
      <c r="BR85" s="76">
        <f t="shared" si="65"/>
        <v>10</v>
      </c>
      <c r="BS85" s="76">
        <f t="shared" si="66"/>
        <v>8</v>
      </c>
      <c r="BU85" s="25">
        <v>1</v>
      </c>
      <c r="BV85" s="25">
        <v>1</v>
      </c>
      <c r="BW85" s="25">
        <v>1</v>
      </c>
      <c r="BX85" s="25">
        <v>1</v>
      </c>
      <c r="BY85" s="25">
        <v>1</v>
      </c>
      <c r="BZ85" s="25">
        <v>1</v>
      </c>
      <c r="CA85" s="7">
        <v>1</v>
      </c>
      <c r="CC85" s="53" t="s">
        <v>87</v>
      </c>
      <c r="CD85" s="54">
        <v>0</v>
      </c>
      <c r="CE85" s="55">
        <v>1</v>
      </c>
      <c r="CF85" s="55">
        <v>1</v>
      </c>
      <c r="CG85" s="55">
        <v>1</v>
      </c>
      <c r="CH85" s="55">
        <v>1</v>
      </c>
      <c r="CI85" s="55">
        <v>0</v>
      </c>
      <c r="CJ85" s="56">
        <v>0</v>
      </c>
      <c r="CK85" s="57">
        <v>22</v>
      </c>
      <c r="CW85" s="21">
        <v>81</v>
      </c>
      <c r="CX85" s="77" t="s">
        <v>39</v>
      </c>
      <c r="CY85" s="77" t="s">
        <v>37</v>
      </c>
      <c r="CZ85" s="77" t="s">
        <v>33</v>
      </c>
      <c r="DA85" s="77" t="s">
        <v>75</v>
      </c>
      <c r="DB85" s="77" t="s">
        <v>39</v>
      </c>
      <c r="DC85" s="77" t="s">
        <v>38</v>
      </c>
      <c r="DD85" s="37" t="s">
        <v>25</v>
      </c>
      <c r="DF85" s="76">
        <f t="shared" si="67"/>
        <v>11</v>
      </c>
      <c r="DG85" s="76">
        <f t="shared" si="47"/>
        <v>9</v>
      </c>
      <c r="DH85" s="76">
        <f t="shared" si="48"/>
        <v>3</v>
      </c>
      <c r="DI85" s="76">
        <f t="shared" si="49"/>
        <v>6</v>
      </c>
      <c r="DJ85" s="76">
        <f t="shared" si="50"/>
        <v>11</v>
      </c>
      <c r="DK85" s="76">
        <f t="shared" si="51"/>
        <v>10</v>
      </c>
      <c r="DL85" s="76">
        <f t="shared" si="52"/>
        <v>8</v>
      </c>
      <c r="DN85" s="25">
        <v>1</v>
      </c>
      <c r="DO85" s="25">
        <v>1</v>
      </c>
      <c r="DP85" s="25">
        <v>1</v>
      </c>
      <c r="DQ85" s="25">
        <v>1</v>
      </c>
      <c r="DR85" s="25">
        <v>1</v>
      </c>
      <c r="DS85" s="25">
        <v>1</v>
      </c>
      <c r="DT85" s="7">
        <v>1</v>
      </c>
      <c r="DV85" s="53" t="s">
        <v>87</v>
      </c>
      <c r="DW85" s="54">
        <v>0</v>
      </c>
      <c r="DX85" s="55">
        <v>1</v>
      </c>
      <c r="DY85" s="55">
        <v>1</v>
      </c>
      <c r="DZ85" s="55">
        <v>1</v>
      </c>
      <c r="EA85" s="55">
        <v>1</v>
      </c>
      <c r="EB85" s="55">
        <v>0</v>
      </c>
      <c r="EC85" s="56">
        <v>0</v>
      </c>
      <c r="ED85" s="57">
        <v>22</v>
      </c>
    </row>
    <row r="86" spans="11:134" ht="16.8" thickBot="1" x14ac:dyDescent="0.35">
      <c r="K86" s="22">
        <v>82</v>
      </c>
      <c r="L86" s="77" t="s">
        <v>40</v>
      </c>
      <c r="M86" s="77" t="s">
        <v>38</v>
      </c>
      <c r="N86" s="77" t="s">
        <v>33</v>
      </c>
      <c r="O86" s="77" t="s">
        <v>38</v>
      </c>
      <c r="P86" s="77" t="s">
        <v>39</v>
      </c>
      <c r="Q86" s="77" t="s">
        <v>25</v>
      </c>
      <c r="R86" s="37" t="s">
        <v>32</v>
      </c>
      <c r="T86" s="76">
        <f t="shared" si="53"/>
        <v>12</v>
      </c>
      <c r="U86" s="76">
        <f t="shared" si="54"/>
        <v>10</v>
      </c>
      <c r="V86" s="76">
        <f t="shared" si="55"/>
        <v>3</v>
      </c>
      <c r="W86" s="76">
        <f t="shared" si="56"/>
        <v>10</v>
      </c>
      <c r="X86" s="76">
        <f t="shared" si="57"/>
        <v>11</v>
      </c>
      <c r="Y86" s="76">
        <f t="shared" si="58"/>
        <v>8</v>
      </c>
      <c r="Z86" s="76">
        <f t="shared" si="59"/>
        <v>2</v>
      </c>
      <c r="AB86" s="25">
        <v>1</v>
      </c>
      <c r="AC86" s="25">
        <v>1</v>
      </c>
      <c r="AD86" s="25">
        <v>1</v>
      </c>
      <c r="AE86" s="25">
        <v>1</v>
      </c>
      <c r="AF86" s="25">
        <v>1</v>
      </c>
      <c r="AG86" s="25">
        <v>1</v>
      </c>
      <c r="AH86" s="7">
        <v>1</v>
      </c>
      <c r="AJ86" s="59" t="s">
        <v>88</v>
      </c>
      <c r="AK86" s="60">
        <v>0</v>
      </c>
      <c r="AL86" s="61">
        <v>2</v>
      </c>
      <c r="AM86" s="61">
        <v>1</v>
      </c>
      <c r="AN86" s="61">
        <v>1</v>
      </c>
      <c r="AO86" s="61">
        <v>1</v>
      </c>
      <c r="AP86" s="61">
        <v>0</v>
      </c>
      <c r="AQ86" s="62">
        <v>0</v>
      </c>
      <c r="AR86" s="126">
        <v>23</v>
      </c>
      <c r="BD86" s="22">
        <v>82</v>
      </c>
      <c r="BE86" s="77" t="s">
        <v>40</v>
      </c>
      <c r="BF86" s="77" t="s">
        <v>38</v>
      </c>
      <c r="BG86" s="77" t="s">
        <v>33</v>
      </c>
      <c r="BH86" s="77" t="s">
        <v>38</v>
      </c>
      <c r="BI86" s="77" t="s">
        <v>39</v>
      </c>
      <c r="BJ86" s="77" t="s">
        <v>25</v>
      </c>
      <c r="BK86" s="37" t="s">
        <v>25</v>
      </c>
      <c r="BM86" s="76">
        <f t="shared" si="60"/>
        <v>12</v>
      </c>
      <c r="BN86" s="76">
        <f t="shared" si="61"/>
        <v>10</v>
      </c>
      <c r="BO86" s="76">
        <f t="shared" si="62"/>
        <v>3</v>
      </c>
      <c r="BP86" s="76">
        <f t="shared" si="63"/>
        <v>10</v>
      </c>
      <c r="BQ86" s="76">
        <f t="shared" si="64"/>
        <v>11</v>
      </c>
      <c r="BR86" s="76">
        <f t="shared" si="65"/>
        <v>8</v>
      </c>
      <c r="BS86" s="76">
        <f t="shared" si="66"/>
        <v>8</v>
      </c>
      <c r="BU86" s="25">
        <v>1</v>
      </c>
      <c r="BV86" s="25">
        <v>1</v>
      </c>
      <c r="BW86" s="25">
        <v>1</v>
      </c>
      <c r="BX86" s="25">
        <v>1</v>
      </c>
      <c r="BY86" s="25">
        <v>1</v>
      </c>
      <c r="BZ86" s="25">
        <v>1</v>
      </c>
      <c r="CA86" s="7">
        <v>1</v>
      </c>
      <c r="CC86" s="59" t="s">
        <v>88</v>
      </c>
      <c r="CD86" s="60">
        <v>0</v>
      </c>
      <c r="CE86" s="61">
        <v>2</v>
      </c>
      <c r="CF86" s="61">
        <v>1</v>
      </c>
      <c r="CG86" s="61">
        <v>1</v>
      </c>
      <c r="CH86" s="61">
        <v>1</v>
      </c>
      <c r="CI86" s="61">
        <v>0</v>
      </c>
      <c r="CJ86" s="62">
        <v>0</v>
      </c>
      <c r="CK86" s="126">
        <v>23</v>
      </c>
      <c r="CW86" s="22">
        <v>82</v>
      </c>
      <c r="CX86" s="77" t="s">
        <v>40</v>
      </c>
      <c r="CY86" s="77" t="s">
        <v>38</v>
      </c>
      <c r="CZ86" s="77" t="s">
        <v>33</v>
      </c>
      <c r="DA86" s="77" t="s">
        <v>38</v>
      </c>
      <c r="DB86" s="77" t="s">
        <v>39</v>
      </c>
      <c r="DC86" s="77" t="s">
        <v>25</v>
      </c>
      <c r="DD86" s="37" t="s">
        <v>25</v>
      </c>
      <c r="DF86" s="76">
        <f t="shared" si="67"/>
        <v>12</v>
      </c>
      <c r="DG86" s="76">
        <f t="shared" si="47"/>
        <v>10</v>
      </c>
      <c r="DH86" s="76">
        <f t="shared" si="48"/>
        <v>3</v>
      </c>
      <c r="DI86" s="76">
        <f t="shared" si="49"/>
        <v>10</v>
      </c>
      <c r="DJ86" s="76">
        <f t="shared" si="50"/>
        <v>11</v>
      </c>
      <c r="DK86" s="76">
        <f t="shared" si="51"/>
        <v>8</v>
      </c>
      <c r="DL86" s="76">
        <f t="shared" si="52"/>
        <v>8</v>
      </c>
      <c r="DN86" s="25">
        <v>1</v>
      </c>
      <c r="DO86" s="25">
        <v>1</v>
      </c>
      <c r="DP86" s="25">
        <v>1</v>
      </c>
      <c r="DQ86" s="25">
        <v>1</v>
      </c>
      <c r="DR86" s="25">
        <v>1</v>
      </c>
      <c r="DS86" s="25">
        <v>1</v>
      </c>
      <c r="DT86" s="7">
        <v>1</v>
      </c>
      <c r="DV86" s="59" t="s">
        <v>88</v>
      </c>
      <c r="DW86" s="60">
        <v>0</v>
      </c>
      <c r="DX86" s="61">
        <v>2</v>
      </c>
      <c r="DY86" s="61">
        <v>1</v>
      </c>
      <c r="DZ86" s="61">
        <v>1</v>
      </c>
      <c r="EA86" s="61">
        <v>1</v>
      </c>
      <c r="EB86" s="61">
        <v>0</v>
      </c>
      <c r="EC86" s="62">
        <v>0</v>
      </c>
      <c r="ED86" s="126">
        <v>23</v>
      </c>
    </row>
    <row r="87" spans="11:134" ht="16.2" x14ac:dyDescent="0.3">
      <c r="K87" s="21">
        <v>83</v>
      </c>
      <c r="L87" s="77" t="s">
        <v>39</v>
      </c>
      <c r="M87" s="77" t="s">
        <v>38</v>
      </c>
      <c r="N87" s="77" t="s">
        <v>33</v>
      </c>
      <c r="O87" s="77" t="s">
        <v>35</v>
      </c>
      <c r="P87" s="77" t="s">
        <v>152</v>
      </c>
      <c r="Q87" s="77" t="s">
        <v>32</v>
      </c>
      <c r="R87" s="37" t="s">
        <v>32</v>
      </c>
      <c r="T87" s="76">
        <f t="shared" si="53"/>
        <v>11</v>
      </c>
      <c r="U87" s="76">
        <f t="shared" si="54"/>
        <v>10</v>
      </c>
      <c r="V87" s="76">
        <f t="shared" si="55"/>
        <v>3</v>
      </c>
      <c r="W87" s="76">
        <f t="shared" si="56"/>
        <v>5</v>
      </c>
      <c r="X87" s="76">
        <f t="shared" si="57"/>
        <v>7</v>
      </c>
      <c r="Y87" s="76">
        <f t="shared" si="58"/>
        <v>2</v>
      </c>
      <c r="Z87" s="76">
        <f t="shared" si="59"/>
        <v>2</v>
      </c>
      <c r="AB87" s="25">
        <v>1</v>
      </c>
      <c r="AC87" s="25">
        <v>1</v>
      </c>
      <c r="AD87" s="25">
        <v>1</v>
      </c>
      <c r="AE87" s="25">
        <v>1</v>
      </c>
      <c r="AF87" s="25">
        <v>1</v>
      </c>
      <c r="AG87" s="25">
        <v>1</v>
      </c>
      <c r="AH87" s="7">
        <v>1</v>
      </c>
      <c r="AJ87" s="132" t="s">
        <v>176</v>
      </c>
      <c r="AK87" s="133">
        <v>0</v>
      </c>
      <c r="AL87" s="134">
        <v>2</v>
      </c>
      <c r="AM87" s="134">
        <v>2</v>
      </c>
      <c r="AN87" s="134">
        <v>2</v>
      </c>
      <c r="AO87" s="134">
        <v>2</v>
      </c>
      <c r="AP87" s="134">
        <v>0</v>
      </c>
      <c r="AQ87" s="135">
        <v>0</v>
      </c>
      <c r="AR87" s="131">
        <v>24</v>
      </c>
      <c r="BD87" s="21">
        <v>83</v>
      </c>
      <c r="BE87" s="77" t="s">
        <v>39</v>
      </c>
      <c r="BF87" s="77" t="s">
        <v>38</v>
      </c>
      <c r="BG87" s="77" t="s">
        <v>33</v>
      </c>
      <c r="BH87" s="77" t="s">
        <v>35</v>
      </c>
      <c r="BI87" s="77" t="s">
        <v>152</v>
      </c>
      <c r="BJ87" s="77" t="s">
        <v>40</v>
      </c>
      <c r="BK87" s="37" t="s">
        <v>38</v>
      </c>
      <c r="BM87" s="76">
        <f t="shared" si="60"/>
        <v>11</v>
      </c>
      <c r="BN87" s="76">
        <f t="shared" si="61"/>
        <v>10</v>
      </c>
      <c r="BO87" s="76">
        <f t="shared" si="62"/>
        <v>3</v>
      </c>
      <c r="BP87" s="76">
        <f t="shared" si="63"/>
        <v>5</v>
      </c>
      <c r="BQ87" s="76">
        <f t="shared" si="64"/>
        <v>7</v>
      </c>
      <c r="BR87" s="76">
        <f t="shared" si="65"/>
        <v>12</v>
      </c>
      <c r="BS87" s="76">
        <f t="shared" si="66"/>
        <v>10</v>
      </c>
      <c r="BU87" s="25">
        <v>1</v>
      </c>
      <c r="BV87" s="25">
        <v>1</v>
      </c>
      <c r="BW87" s="25">
        <v>1</v>
      </c>
      <c r="BX87" s="25">
        <v>1</v>
      </c>
      <c r="BY87" s="25">
        <v>1</v>
      </c>
      <c r="BZ87" s="25">
        <v>1</v>
      </c>
      <c r="CA87" s="7">
        <v>1</v>
      </c>
      <c r="CC87" s="132" t="s">
        <v>176</v>
      </c>
      <c r="CD87" s="133">
        <v>0</v>
      </c>
      <c r="CE87" s="134">
        <v>2</v>
      </c>
      <c r="CF87" s="134">
        <v>2</v>
      </c>
      <c r="CG87" s="134">
        <v>2</v>
      </c>
      <c r="CH87" s="134">
        <v>2</v>
      </c>
      <c r="CI87" s="134">
        <v>0</v>
      </c>
      <c r="CJ87" s="135">
        <v>0</v>
      </c>
      <c r="CK87" s="131">
        <v>24</v>
      </c>
      <c r="CW87" s="21">
        <v>83</v>
      </c>
      <c r="CX87" s="77" t="s">
        <v>39</v>
      </c>
      <c r="CY87" s="77" t="s">
        <v>38</v>
      </c>
      <c r="CZ87" s="77" t="s">
        <v>33</v>
      </c>
      <c r="DA87" s="77" t="s">
        <v>35</v>
      </c>
      <c r="DB87" s="77" t="s">
        <v>152</v>
      </c>
      <c r="DC87" s="77" t="s">
        <v>40</v>
      </c>
      <c r="DD87" s="37" t="s">
        <v>38</v>
      </c>
      <c r="DF87" s="76">
        <f t="shared" si="67"/>
        <v>11</v>
      </c>
      <c r="DG87" s="76">
        <f t="shared" si="47"/>
        <v>10</v>
      </c>
      <c r="DH87" s="76">
        <f t="shared" si="48"/>
        <v>3</v>
      </c>
      <c r="DI87" s="76">
        <f t="shared" si="49"/>
        <v>5</v>
      </c>
      <c r="DJ87" s="76">
        <f t="shared" si="50"/>
        <v>7</v>
      </c>
      <c r="DK87" s="76">
        <f t="shared" si="51"/>
        <v>12</v>
      </c>
      <c r="DL87" s="76">
        <f t="shared" si="52"/>
        <v>10</v>
      </c>
      <c r="DN87" s="25">
        <v>1</v>
      </c>
      <c r="DO87" s="25">
        <v>1</v>
      </c>
      <c r="DP87" s="25">
        <v>1</v>
      </c>
      <c r="DQ87" s="25">
        <v>1</v>
      </c>
      <c r="DR87" s="25">
        <v>1</v>
      </c>
      <c r="DS87" s="25">
        <v>1</v>
      </c>
      <c r="DT87" s="7">
        <v>1</v>
      </c>
      <c r="DV87" s="132" t="s">
        <v>176</v>
      </c>
      <c r="DW87" s="133">
        <v>0</v>
      </c>
      <c r="DX87" s="134">
        <v>0</v>
      </c>
      <c r="DY87" s="134">
        <v>0</v>
      </c>
      <c r="DZ87" s="134">
        <v>0</v>
      </c>
      <c r="EA87" s="134">
        <v>0</v>
      </c>
      <c r="EB87" s="134">
        <v>0</v>
      </c>
      <c r="EC87" s="135">
        <v>0</v>
      </c>
      <c r="ED87" s="131">
        <v>24</v>
      </c>
    </row>
    <row r="88" spans="11:134" ht="16.8" thickBot="1" x14ac:dyDescent="0.35">
      <c r="K88" s="22">
        <v>84</v>
      </c>
      <c r="L88" s="77" t="s">
        <v>39</v>
      </c>
      <c r="M88" s="77" t="s">
        <v>75</v>
      </c>
      <c r="N88" s="77" t="s">
        <v>35</v>
      </c>
      <c r="O88" s="77" t="s">
        <v>38</v>
      </c>
      <c r="P88" s="77" t="s">
        <v>33</v>
      </c>
      <c r="Q88" s="77" t="s">
        <v>40</v>
      </c>
      <c r="R88" s="37" t="s">
        <v>38</v>
      </c>
      <c r="T88" s="76">
        <f t="shared" si="53"/>
        <v>11</v>
      </c>
      <c r="U88" s="76">
        <f t="shared" si="54"/>
        <v>6</v>
      </c>
      <c r="V88" s="76">
        <f t="shared" si="55"/>
        <v>5</v>
      </c>
      <c r="W88" s="76">
        <f t="shared" si="56"/>
        <v>10</v>
      </c>
      <c r="X88" s="76">
        <f t="shared" si="57"/>
        <v>3</v>
      </c>
      <c r="Y88" s="76">
        <f t="shared" si="58"/>
        <v>12</v>
      </c>
      <c r="Z88" s="76">
        <f t="shared" si="59"/>
        <v>10</v>
      </c>
      <c r="AB88" s="25">
        <v>1</v>
      </c>
      <c r="AC88" s="25">
        <v>1</v>
      </c>
      <c r="AD88" s="25">
        <v>1</v>
      </c>
      <c r="AE88" s="25">
        <v>1</v>
      </c>
      <c r="AF88" s="25">
        <v>1</v>
      </c>
      <c r="AG88" s="25">
        <v>1</v>
      </c>
      <c r="AH88" s="7">
        <v>1</v>
      </c>
      <c r="AJ88" s="80" t="s">
        <v>187</v>
      </c>
      <c r="AK88" s="72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4">
        <v>0</v>
      </c>
      <c r="AR88" s="63">
        <v>25</v>
      </c>
      <c r="BD88" s="22">
        <v>84</v>
      </c>
      <c r="BE88" s="77" t="s">
        <v>39</v>
      </c>
      <c r="BF88" s="77" t="s">
        <v>75</v>
      </c>
      <c r="BG88" s="77" t="s">
        <v>35</v>
      </c>
      <c r="BH88" s="77" t="s">
        <v>38</v>
      </c>
      <c r="BI88" s="77" t="s">
        <v>33</v>
      </c>
      <c r="BJ88" s="77" t="s">
        <v>40</v>
      </c>
      <c r="BK88" s="37" t="s">
        <v>38</v>
      </c>
      <c r="BM88" s="76">
        <f t="shared" si="60"/>
        <v>11</v>
      </c>
      <c r="BN88" s="76">
        <f t="shared" si="61"/>
        <v>6</v>
      </c>
      <c r="BO88" s="76">
        <f t="shared" si="62"/>
        <v>5</v>
      </c>
      <c r="BP88" s="76">
        <f t="shared" si="63"/>
        <v>10</v>
      </c>
      <c r="BQ88" s="76">
        <f t="shared" si="64"/>
        <v>3</v>
      </c>
      <c r="BR88" s="76">
        <f t="shared" si="65"/>
        <v>12</v>
      </c>
      <c r="BS88" s="76">
        <f t="shared" si="66"/>
        <v>10</v>
      </c>
      <c r="BU88" s="25">
        <v>1</v>
      </c>
      <c r="BV88" s="25">
        <v>1</v>
      </c>
      <c r="BW88" s="25">
        <v>1</v>
      </c>
      <c r="BX88" s="25">
        <v>1</v>
      </c>
      <c r="BY88" s="25">
        <v>1</v>
      </c>
      <c r="BZ88" s="25">
        <v>1</v>
      </c>
      <c r="CA88" s="7">
        <v>1</v>
      </c>
      <c r="CC88" s="80" t="s">
        <v>187</v>
      </c>
      <c r="CD88" s="72">
        <v>0</v>
      </c>
      <c r="CE88" s="73">
        <v>0</v>
      </c>
      <c r="CF88" s="73">
        <v>0</v>
      </c>
      <c r="CG88" s="73">
        <v>0</v>
      </c>
      <c r="CH88" s="73">
        <v>0</v>
      </c>
      <c r="CI88" s="73">
        <v>0</v>
      </c>
      <c r="CJ88" s="74">
        <v>0</v>
      </c>
      <c r="CK88" s="63">
        <v>25</v>
      </c>
      <c r="CW88" s="22">
        <v>84</v>
      </c>
      <c r="CX88" s="77" t="s">
        <v>39</v>
      </c>
      <c r="CY88" s="77" t="s">
        <v>75</v>
      </c>
      <c r="CZ88" s="77" t="s">
        <v>35</v>
      </c>
      <c r="DA88" s="77" t="s">
        <v>38</v>
      </c>
      <c r="DB88" s="77" t="s">
        <v>33</v>
      </c>
      <c r="DC88" s="77" t="s">
        <v>40</v>
      </c>
      <c r="DD88" s="37" t="s">
        <v>38</v>
      </c>
      <c r="DF88" s="76">
        <f t="shared" si="67"/>
        <v>11</v>
      </c>
      <c r="DG88" s="76">
        <f t="shared" si="47"/>
        <v>6</v>
      </c>
      <c r="DH88" s="76">
        <f t="shared" si="48"/>
        <v>5</v>
      </c>
      <c r="DI88" s="76">
        <f t="shared" si="49"/>
        <v>10</v>
      </c>
      <c r="DJ88" s="76">
        <f t="shared" si="50"/>
        <v>3</v>
      </c>
      <c r="DK88" s="76">
        <f t="shared" si="51"/>
        <v>12</v>
      </c>
      <c r="DL88" s="76">
        <f t="shared" si="52"/>
        <v>10</v>
      </c>
      <c r="DN88" s="25">
        <v>1</v>
      </c>
      <c r="DO88" s="25">
        <v>1</v>
      </c>
      <c r="DP88" s="25">
        <v>1</v>
      </c>
      <c r="DQ88" s="25">
        <v>1</v>
      </c>
      <c r="DR88" s="25">
        <v>1</v>
      </c>
      <c r="DS88" s="25">
        <v>1</v>
      </c>
      <c r="DT88" s="7">
        <v>1</v>
      </c>
      <c r="DV88" s="80" t="s">
        <v>187</v>
      </c>
      <c r="DW88" s="72">
        <v>0</v>
      </c>
      <c r="DX88" s="73">
        <v>0</v>
      </c>
      <c r="DY88" s="73">
        <v>0</v>
      </c>
      <c r="DZ88" s="73">
        <v>0</v>
      </c>
      <c r="EA88" s="73">
        <v>0</v>
      </c>
      <c r="EB88" s="73">
        <v>0</v>
      </c>
      <c r="EC88" s="74">
        <v>0</v>
      </c>
      <c r="ED88" s="63">
        <v>25</v>
      </c>
    </row>
    <row r="89" spans="11:134" x14ac:dyDescent="0.3">
      <c r="K89" s="21">
        <v>85</v>
      </c>
      <c r="L89" s="77" t="s">
        <v>33</v>
      </c>
      <c r="M89" s="77" t="s">
        <v>25</v>
      </c>
      <c r="N89" s="77" t="s">
        <v>163</v>
      </c>
      <c r="O89" s="77" t="s">
        <v>38</v>
      </c>
      <c r="P89" s="77" t="s">
        <v>37</v>
      </c>
      <c r="Q89" s="77" t="s">
        <v>25</v>
      </c>
      <c r="R89" s="37" t="s">
        <v>38</v>
      </c>
      <c r="T89" s="76">
        <f t="shared" si="53"/>
        <v>3</v>
      </c>
      <c r="U89" s="76">
        <f t="shared" si="54"/>
        <v>8</v>
      </c>
      <c r="V89" s="76">
        <f t="shared" si="55"/>
        <v>18</v>
      </c>
      <c r="W89" s="76">
        <f t="shared" si="56"/>
        <v>10</v>
      </c>
      <c r="X89" s="76">
        <f t="shared" si="57"/>
        <v>9</v>
      </c>
      <c r="Y89" s="76">
        <f t="shared" si="58"/>
        <v>8</v>
      </c>
      <c r="Z89" s="76">
        <f t="shared" si="59"/>
        <v>10</v>
      </c>
      <c r="AB89" s="25">
        <v>1</v>
      </c>
      <c r="AC89" s="25">
        <v>1</v>
      </c>
      <c r="AD89" s="25">
        <v>1</v>
      </c>
      <c r="AE89" s="25">
        <v>1</v>
      </c>
      <c r="AF89" s="25">
        <v>1</v>
      </c>
      <c r="AG89" s="25">
        <v>1</v>
      </c>
      <c r="AH89" s="7">
        <v>1</v>
      </c>
      <c r="AJ89" s="82"/>
      <c r="AK89" s="82"/>
      <c r="AL89" s="82"/>
      <c r="AM89" s="82"/>
      <c r="AN89" s="82"/>
      <c r="AO89" s="82"/>
      <c r="AP89" s="82"/>
      <c r="AQ89" s="82"/>
      <c r="AR89" s="82"/>
      <c r="BD89" s="21">
        <v>85</v>
      </c>
      <c r="BE89" s="77" t="s">
        <v>40</v>
      </c>
      <c r="BF89" s="77" t="s">
        <v>25</v>
      </c>
      <c r="BG89" s="77" t="s">
        <v>181</v>
      </c>
      <c r="BH89" s="77" t="s">
        <v>38</v>
      </c>
      <c r="BI89" s="77" t="s">
        <v>37</v>
      </c>
      <c r="BJ89" s="77" t="s">
        <v>25</v>
      </c>
      <c r="BK89" s="37" t="s">
        <v>38</v>
      </c>
      <c r="BM89" s="76">
        <f t="shared" si="60"/>
        <v>12</v>
      </c>
      <c r="BN89" s="76">
        <f t="shared" si="61"/>
        <v>8</v>
      </c>
      <c r="BO89" s="76">
        <f t="shared" si="62"/>
        <v>19</v>
      </c>
      <c r="BP89" s="76">
        <f t="shared" si="63"/>
        <v>10</v>
      </c>
      <c r="BQ89" s="76">
        <f t="shared" si="64"/>
        <v>9</v>
      </c>
      <c r="BR89" s="76">
        <f t="shared" si="65"/>
        <v>8</v>
      </c>
      <c r="BS89" s="76">
        <f t="shared" si="66"/>
        <v>10</v>
      </c>
      <c r="BU89" s="25">
        <v>1</v>
      </c>
      <c r="BV89" s="25">
        <v>1</v>
      </c>
      <c r="BW89" s="25">
        <v>1</v>
      </c>
      <c r="BX89" s="25">
        <v>1</v>
      </c>
      <c r="BY89" s="25">
        <v>1</v>
      </c>
      <c r="BZ89" s="25">
        <v>1</v>
      </c>
      <c r="CA89" s="7">
        <v>1</v>
      </c>
      <c r="CC89" s="82"/>
      <c r="CD89" s="82"/>
      <c r="CE89" s="82"/>
      <c r="CF89" s="82"/>
      <c r="CG89" s="82"/>
      <c r="CH89" s="82"/>
      <c r="CI89" s="82"/>
      <c r="CJ89" s="82"/>
      <c r="CK89" s="82"/>
      <c r="CW89" s="21">
        <v>85</v>
      </c>
      <c r="CX89" s="77" t="s">
        <v>40</v>
      </c>
      <c r="CY89" s="77" t="s">
        <v>25</v>
      </c>
      <c r="CZ89" s="77" t="s">
        <v>181</v>
      </c>
      <c r="DA89" s="77" t="s">
        <v>38</v>
      </c>
      <c r="DB89" s="77" t="s">
        <v>37</v>
      </c>
      <c r="DC89" s="77" t="s">
        <v>25</v>
      </c>
      <c r="DD89" s="37" t="s">
        <v>38</v>
      </c>
      <c r="DF89" s="76">
        <f t="shared" si="67"/>
        <v>12</v>
      </c>
      <c r="DG89" s="76">
        <f t="shared" si="47"/>
        <v>8</v>
      </c>
      <c r="DH89" s="76">
        <f t="shared" si="48"/>
        <v>19</v>
      </c>
      <c r="DI89" s="76">
        <f t="shared" si="49"/>
        <v>10</v>
      </c>
      <c r="DJ89" s="76">
        <f t="shared" si="50"/>
        <v>9</v>
      </c>
      <c r="DK89" s="76">
        <f t="shared" si="51"/>
        <v>8</v>
      </c>
      <c r="DL89" s="76">
        <f t="shared" si="52"/>
        <v>10</v>
      </c>
      <c r="DN89" s="25">
        <v>1</v>
      </c>
      <c r="DO89" s="25">
        <v>1</v>
      </c>
      <c r="DP89" s="25">
        <v>1</v>
      </c>
      <c r="DQ89" s="25">
        <v>1</v>
      </c>
      <c r="DR89" s="25">
        <v>1</v>
      </c>
      <c r="DS89" s="25">
        <v>1</v>
      </c>
      <c r="DT89" s="7">
        <v>1</v>
      </c>
      <c r="DV89" s="82"/>
      <c r="DW89" s="82"/>
      <c r="DX89" s="82"/>
      <c r="DY89" s="82"/>
      <c r="DZ89" s="82"/>
      <c r="EA89" s="82"/>
      <c r="EB89" s="82"/>
      <c r="EC89" s="82"/>
      <c r="ED89" s="82"/>
    </row>
    <row r="90" spans="11:134" ht="16.2" thickBot="1" x14ac:dyDescent="0.35">
      <c r="K90" s="22">
        <v>86</v>
      </c>
      <c r="L90" s="77" t="s">
        <v>33</v>
      </c>
      <c r="M90" s="77" t="s">
        <v>40</v>
      </c>
      <c r="N90" s="77" t="s">
        <v>152</v>
      </c>
      <c r="O90" s="77" t="s">
        <v>38</v>
      </c>
      <c r="P90" s="77" t="s">
        <v>35</v>
      </c>
      <c r="Q90" s="77" t="s">
        <v>75</v>
      </c>
      <c r="R90" s="37" t="s">
        <v>40</v>
      </c>
      <c r="T90" s="76">
        <f t="shared" si="53"/>
        <v>3</v>
      </c>
      <c r="U90" s="76">
        <f t="shared" si="54"/>
        <v>12</v>
      </c>
      <c r="V90" s="76">
        <f t="shared" si="55"/>
        <v>7</v>
      </c>
      <c r="W90" s="76">
        <f t="shared" si="56"/>
        <v>10</v>
      </c>
      <c r="X90" s="76">
        <f t="shared" si="57"/>
        <v>5</v>
      </c>
      <c r="Y90" s="76">
        <f t="shared" si="58"/>
        <v>6</v>
      </c>
      <c r="Z90" s="76">
        <f t="shared" si="59"/>
        <v>12</v>
      </c>
      <c r="AB90" s="25">
        <v>1</v>
      </c>
      <c r="AC90" s="25">
        <v>1</v>
      </c>
      <c r="AD90" s="25">
        <v>1</v>
      </c>
      <c r="AE90" s="25">
        <v>1</v>
      </c>
      <c r="AF90" s="25">
        <v>1</v>
      </c>
      <c r="AG90" s="25">
        <v>1</v>
      </c>
      <c r="AH90" s="7">
        <v>1</v>
      </c>
      <c r="AJ90" s="82"/>
      <c r="AK90" s="245" t="s">
        <v>95</v>
      </c>
      <c r="AL90" s="245"/>
      <c r="AM90" s="245"/>
      <c r="AN90" s="245"/>
      <c r="AO90" s="245"/>
      <c r="AP90" s="245"/>
      <c r="AQ90" s="245"/>
      <c r="AR90" s="245"/>
      <c r="BD90" s="22">
        <v>86</v>
      </c>
      <c r="BE90" s="77" t="s">
        <v>40</v>
      </c>
      <c r="BF90" s="77" t="s">
        <v>40</v>
      </c>
      <c r="BG90" s="77" t="s">
        <v>25</v>
      </c>
      <c r="BH90" s="77" t="s">
        <v>38</v>
      </c>
      <c r="BI90" s="77" t="s">
        <v>35</v>
      </c>
      <c r="BJ90" s="77" t="s">
        <v>75</v>
      </c>
      <c r="BK90" s="37" t="s">
        <v>40</v>
      </c>
      <c r="BM90" s="76">
        <f t="shared" si="60"/>
        <v>12</v>
      </c>
      <c r="BN90" s="76">
        <f t="shared" si="61"/>
        <v>12</v>
      </c>
      <c r="BO90" s="76">
        <f t="shared" si="62"/>
        <v>8</v>
      </c>
      <c r="BP90" s="76">
        <f t="shared" si="63"/>
        <v>10</v>
      </c>
      <c r="BQ90" s="76">
        <f t="shared" si="64"/>
        <v>5</v>
      </c>
      <c r="BR90" s="76">
        <f t="shared" si="65"/>
        <v>6</v>
      </c>
      <c r="BS90" s="76">
        <f t="shared" si="66"/>
        <v>12</v>
      </c>
      <c r="BU90" s="25">
        <v>1</v>
      </c>
      <c r="BV90" s="25">
        <v>1</v>
      </c>
      <c r="BW90" s="25">
        <v>1</v>
      </c>
      <c r="BX90" s="25">
        <v>1</v>
      </c>
      <c r="BY90" s="25">
        <v>1</v>
      </c>
      <c r="BZ90" s="25">
        <v>1</v>
      </c>
      <c r="CA90" s="7">
        <v>1</v>
      </c>
      <c r="CC90" s="82"/>
      <c r="CD90" s="245" t="s">
        <v>95</v>
      </c>
      <c r="CE90" s="245"/>
      <c r="CF90" s="245"/>
      <c r="CG90" s="245"/>
      <c r="CH90" s="245"/>
      <c r="CI90" s="245"/>
      <c r="CJ90" s="245"/>
      <c r="CK90" s="245"/>
      <c r="CW90" s="22">
        <v>86</v>
      </c>
      <c r="CX90" s="77" t="s">
        <v>40</v>
      </c>
      <c r="CY90" s="77" t="s">
        <v>40</v>
      </c>
      <c r="CZ90" s="77" t="s">
        <v>25</v>
      </c>
      <c r="DA90" s="77" t="s">
        <v>38</v>
      </c>
      <c r="DB90" s="77" t="s">
        <v>35</v>
      </c>
      <c r="DC90" s="77" t="s">
        <v>75</v>
      </c>
      <c r="DD90" s="37" t="s">
        <v>40</v>
      </c>
      <c r="DF90" s="76">
        <f t="shared" si="67"/>
        <v>12</v>
      </c>
      <c r="DG90" s="76">
        <f t="shared" si="47"/>
        <v>12</v>
      </c>
      <c r="DH90" s="76">
        <f t="shared" si="48"/>
        <v>8</v>
      </c>
      <c r="DI90" s="76">
        <f t="shared" si="49"/>
        <v>10</v>
      </c>
      <c r="DJ90" s="76">
        <f t="shared" si="50"/>
        <v>5</v>
      </c>
      <c r="DK90" s="76">
        <f t="shared" si="51"/>
        <v>6</v>
      </c>
      <c r="DL90" s="76">
        <f t="shared" si="52"/>
        <v>12</v>
      </c>
      <c r="DN90" s="25">
        <v>1</v>
      </c>
      <c r="DO90" s="25">
        <v>1</v>
      </c>
      <c r="DP90" s="25">
        <v>1</v>
      </c>
      <c r="DQ90" s="25">
        <v>1</v>
      </c>
      <c r="DR90" s="25">
        <v>1</v>
      </c>
      <c r="DS90" s="25">
        <v>1</v>
      </c>
      <c r="DT90" s="7">
        <v>1</v>
      </c>
      <c r="DV90" s="82"/>
      <c r="DW90" s="245" t="s">
        <v>95</v>
      </c>
      <c r="DX90" s="245"/>
      <c r="DY90" s="245"/>
      <c r="DZ90" s="245"/>
      <c r="EA90" s="245"/>
      <c r="EB90" s="245"/>
      <c r="EC90" s="245"/>
      <c r="ED90" s="245"/>
    </row>
    <row r="91" spans="11:134" ht="16.8" thickBot="1" x14ac:dyDescent="0.35">
      <c r="K91" s="21">
        <v>87</v>
      </c>
      <c r="L91" s="77" t="s">
        <v>40</v>
      </c>
      <c r="M91" s="77" t="s">
        <v>40</v>
      </c>
      <c r="N91" s="77" t="s">
        <v>152</v>
      </c>
      <c r="O91" s="77" t="s">
        <v>40</v>
      </c>
      <c r="P91" s="77" t="s">
        <v>38</v>
      </c>
      <c r="Q91" s="77" t="s">
        <v>25</v>
      </c>
      <c r="R91" s="37" t="s">
        <v>75</v>
      </c>
      <c r="T91" s="76">
        <f t="shared" si="53"/>
        <v>12</v>
      </c>
      <c r="U91" s="76">
        <f t="shared" si="54"/>
        <v>12</v>
      </c>
      <c r="V91" s="76">
        <f t="shared" si="55"/>
        <v>7</v>
      </c>
      <c r="W91" s="76">
        <f t="shared" si="56"/>
        <v>12</v>
      </c>
      <c r="X91" s="76">
        <f t="shared" si="57"/>
        <v>10</v>
      </c>
      <c r="Y91" s="76">
        <f t="shared" si="58"/>
        <v>8</v>
      </c>
      <c r="Z91" s="76">
        <f t="shared" si="59"/>
        <v>6</v>
      </c>
      <c r="AB91" s="25">
        <v>1</v>
      </c>
      <c r="AC91" s="25">
        <v>1</v>
      </c>
      <c r="AD91" s="25">
        <v>1</v>
      </c>
      <c r="AE91" s="25">
        <v>1</v>
      </c>
      <c r="AF91" s="25">
        <v>1</v>
      </c>
      <c r="AG91" s="25">
        <v>1</v>
      </c>
      <c r="AH91" s="7">
        <v>3</v>
      </c>
      <c r="AJ91" s="44" t="s">
        <v>52</v>
      </c>
      <c r="AK91" s="45" t="s">
        <v>12</v>
      </c>
      <c r="AL91" s="45" t="s">
        <v>13</v>
      </c>
      <c r="AM91" s="45" t="s">
        <v>14</v>
      </c>
      <c r="AN91" s="45" t="s">
        <v>15</v>
      </c>
      <c r="AO91" s="45" t="s">
        <v>16</v>
      </c>
      <c r="AP91" s="45" t="s">
        <v>56</v>
      </c>
      <c r="AQ91" s="46" t="s">
        <v>76</v>
      </c>
      <c r="AR91" s="47" t="s">
        <v>3</v>
      </c>
      <c r="BD91" s="21">
        <v>87</v>
      </c>
      <c r="BE91" s="77" t="s">
        <v>40</v>
      </c>
      <c r="BF91" s="77" t="s">
        <v>40</v>
      </c>
      <c r="BG91" s="77" t="s">
        <v>25</v>
      </c>
      <c r="BH91" s="77" t="s">
        <v>40</v>
      </c>
      <c r="BI91" s="77" t="s">
        <v>38</v>
      </c>
      <c r="BJ91" s="77" t="s">
        <v>25</v>
      </c>
      <c r="BK91" s="37" t="s">
        <v>75</v>
      </c>
      <c r="BM91" s="76">
        <f t="shared" si="60"/>
        <v>12</v>
      </c>
      <c r="BN91" s="76">
        <f t="shared" si="61"/>
        <v>12</v>
      </c>
      <c r="BO91" s="76">
        <f t="shared" si="62"/>
        <v>8</v>
      </c>
      <c r="BP91" s="76">
        <f t="shared" si="63"/>
        <v>12</v>
      </c>
      <c r="BQ91" s="76">
        <f t="shared" si="64"/>
        <v>10</v>
      </c>
      <c r="BR91" s="76">
        <f t="shared" si="65"/>
        <v>8</v>
      </c>
      <c r="BS91" s="76">
        <f t="shared" si="66"/>
        <v>6</v>
      </c>
      <c r="BU91" s="25">
        <v>1</v>
      </c>
      <c r="BV91" s="25">
        <v>1</v>
      </c>
      <c r="BW91" s="25">
        <v>1</v>
      </c>
      <c r="BX91" s="25">
        <v>1</v>
      </c>
      <c r="BY91" s="25">
        <v>1</v>
      </c>
      <c r="BZ91" s="25">
        <v>1</v>
      </c>
      <c r="CA91" s="7">
        <v>1</v>
      </c>
      <c r="CC91" s="44" t="s">
        <v>52</v>
      </c>
      <c r="CD91" s="45" t="s">
        <v>12</v>
      </c>
      <c r="CE91" s="45" t="s">
        <v>13</v>
      </c>
      <c r="CF91" s="45" t="s">
        <v>14</v>
      </c>
      <c r="CG91" s="45" t="s">
        <v>15</v>
      </c>
      <c r="CH91" s="45" t="s">
        <v>16</v>
      </c>
      <c r="CI91" s="45" t="s">
        <v>56</v>
      </c>
      <c r="CJ91" s="46" t="s">
        <v>76</v>
      </c>
      <c r="CK91" s="47" t="s">
        <v>3</v>
      </c>
      <c r="CW91" s="21">
        <v>87</v>
      </c>
      <c r="CX91" s="77" t="s">
        <v>40</v>
      </c>
      <c r="CY91" s="77" t="s">
        <v>40</v>
      </c>
      <c r="CZ91" s="77" t="s">
        <v>25</v>
      </c>
      <c r="DA91" s="77" t="s">
        <v>40</v>
      </c>
      <c r="DB91" s="77" t="s">
        <v>38</v>
      </c>
      <c r="DC91" s="77" t="s">
        <v>25</v>
      </c>
      <c r="DD91" s="37" t="s">
        <v>75</v>
      </c>
      <c r="DF91" s="76">
        <f t="shared" si="67"/>
        <v>12</v>
      </c>
      <c r="DG91" s="76">
        <f t="shared" si="47"/>
        <v>12</v>
      </c>
      <c r="DH91" s="76">
        <f t="shared" si="48"/>
        <v>8</v>
      </c>
      <c r="DI91" s="76">
        <f t="shared" si="49"/>
        <v>12</v>
      </c>
      <c r="DJ91" s="76">
        <f t="shared" si="50"/>
        <v>10</v>
      </c>
      <c r="DK91" s="76">
        <f t="shared" si="51"/>
        <v>8</v>
      </c>
      <c r="DL91" s="76">
        <f t="shared" si="52"/>
        <v>6</v>
      </c>
      <c r="DN91" s="25">
        <v>1</v>
      </c>
      <c r="DO91" s="25">
        <v>1</v>
      </c>
      <c r="DP91" s="25">
        <v>1</v>
      </c>
      <c r="DQ91" s="25">
        <v>1</v>
      </c>
      <c r="DR91" s="25">
        <v>1</v>
      </c>
      <c r="DS91" s="25">
        <v>1</v>
      </c>
      <c r="DT91" s="7">
        <v>1</v>
      </c>
      <c r="DV91" s="44" t="s">
        <v>52</v>
      </c>
      <c r="DW91" s="45" t="s">
        <v>12</v>
      </c>
      <c r="DX91" s="45" t="s">
        <v>13</v>
      </c>
      <c r="DY91" s="45" t="s">
        <v>14</v>
      </c>
      <c r="DZ91" s="45" t="s">
        <v>15</v>
      </c>
      <c r="EA91" s="45" t="s">
        <v>16</v>
      </c>
      <c r="EB91" s="45" t="s">
        <v>56</v>
      </c>
      <c r="EC91" s="46" t="s">
        <v>76</v>
      </c>
      <c r="ED91" s="47" t="s">
        <v>3</v>
      </c>
    </row>
    <row r="92" spans="11:134" ht="16.2" x14ac:dyDescent="0.3">
      <c r="K92" s="22">
        <v>88</v>
      </c>
      <c r="L92" s="77" t="s">
        <v>40</v>
      </c>
      <c r="M92" s="77" t="s">
        <v>34</v>
      </c>
      <c r="N92" s="77" t="s">
        <v>39</v>
      </c>
      <c r="O92" s="77" t="s">
        <v>40</v>
      </c>
      <c r="P92" s="77" t="s">
        <v>38</v>
      </c>
      <c r="Q92" s="77" t="s">
        <v>25</v>
      </c>
      <c r="R92" s="37" t="s">
        <v>75</v>
      </c>
      <c r="T92" s="76">
        <f t="shared" si="53"/>
        <v>12</v>
      </c>
      <c r="U92" s="76">
        <f t="shared" si="54"/>
        <v>4</v>
      </c>
      <c r="V92" s="76">
        <f t="shared" si="55"/>
        <v>11</v>
      </c>
      <c r="W92" s="76">
        <f t="shared" si="56"/>
        <v>12</v>
      </c>
      <c r="X92" s="76">
        <f t="shared" si="57"/>
        <v>10</v>
      </c>
      <c r="Y92" s="76">
        <f t="shared" si="58"/>
        <v>8</v>
      </c>
      <c r="Z92" s="76">
        <f t="shared" si="59"/>
        <v>6</v>
      </c>
      <c r="AB92" s="25">
        <v>1</v>
      </c>
      <c r="AC92" s="25">
        <v>1</v>
      </c>
      <c r="AD92" s="25">
        <v>1</v>
      </c>
      <c r="AE92" s="25">
        <v>1</v>
      </c>
      <c r="AF92" s="25">
        <v>1</v>
      </c>
      <c r="AG92" s="25">
        <v>1</v>
      </c>
      <c r="AH92" s="7">
        <v>1</v>
      </c>
      <c r="AJ92" s="48" t="s">
        <v>78</v>
      </c>
      <c r="AK92" s="49">
        <v>0</v>
      </c>
      <c r="AL92" s="50">
        <v>0</v>
      </c>
      <c r="AM92" s="50">
        <v>0</v>
      </c>
      <c r="AN92" s="50">
        <v>0</v>
      </c>
      <c r="AO92" s="50">
        <v>0</v>
      </c>
      <c r="AP92" s="50">
        <v>0</v>
      </c>
      <c r="AQ92" s="51">
        <v>0</v>
      </c>
      <c r="AR92" s="52">
        <v>0</v>
      </c>
      <c r="BD92" s="22">
        <v>88</v>
      </c>
      <c r="BE92" s="77" t="s">
        <v>40</v>
      </c>
      <c r="BF92" s="77" t="s">
        <v>34</v>
      </c>
      <c r="BG92" s="77" t="s">
        <v>39</v>
      </c>
      <c r="BH92" s="77" t="s">
        <v>40</v>
      </c>
      <c r="BI92" s="77" t="s">
        <v>38</v>
      </c>
      <c r="BJ92" s="77" t="s">
        <v>25</v>
      </c>
      <c r="BK92" s="37" t="s">
        <v>75</v>
      </c>
      <c r="BM92" s="76">
        <f t="shared" si="60"/>
        <v>12</v>
      </c>
      <c r="BN92" s="76">
        <f t="shared" si="61"/>
        <v>4</v>
      </c>
      <c r="BO92" s="76">
        <f t="shared" si="62"/>
        <v>11</v>
      </c>
      <c r="BP92" s="76">
        <f t="shared" si="63"/>
        <v>12</v>
      </c>
      <c r="BQ92" s="76">
        <f t="shared" si="64"/>
        <v>10</v>
      </c>
      <c r="BR92" s="76">
        <f t="shared" si="65"/>
        <v>8</v>
      </c>
      <c r="BS92" s="76">
        <f t="shared" si="66"/>
        <v>6</v>
      </c>
      <c r="BU92" s="25">
        <v>1</v>
      </c>
      <c r="BV92" s="25">
        <v>1</v>
      </c>
      <c r="BW92" s="25">
        <v>1</v>
      </c>
      <c r="BX92" s="25">
        <v>1</v>
      </c>
      <c r="BY92" s="25">
        <v>1</v>
      </c>
      <c r="BZ92" s="25">
        <v>1</v>
      </c>
      <c r="CA92" s="7">
        <v>1</v>
      </c>
      <c r="CC92" s="48" t="s">
        <v>78</v>
      </c>
      <c r="CD92" s="49">
        <v>0</v>
      </c>
      <c r="CE92" s="50">
        <v>0</v>
      </c>
      <c r="CF92" s="50">
        <v>0</v>
      </c>
      <c r="CG92" s="50">
        <v>0</v>
      </c>
      <c r="CH92" s="50">
        <v>0</v>
      </c>
      <c r="CI92" s="50">
        <v>0</v>
      </c>
      <c r="CJ92" s="51">
        <v>0</v>
      </c>
      <c r="CK92" s="52">
        <v>0</v>
      </c>
      <c r="CW92" s="22">
        <v>88</v>
      </c>
      <c r="CX92" s="77" t="s">
        <v>40</v>
      </c>
      <c r="CY92" s="77" t="s">
        <v>34</v>
      </c>
      <c r="CZ92" s="77" t="s">
        <v>39</v>
      </c>
      <c r="DA92" s="77" t="s">
        <v>40</v>
      </c>
      <c r="DB92" s="77" t="s">
        <v>38</v>
      </c>
      <c r="DC92" s="77" t="s">
        <v>25</v>
      </c>
      <c r="DD92" s="37" t="s">
        <v>75</v>
      </c>
      <c r="DF92" s="76">
        <f t="shared" si="67"/>
        <v>12</v>
      </c>
      <c r="DG92" s="76">
        <f t="shared" si="47"/>
        <v>4</v>
      </c>
      <c r="DH92" s="76">
        <f t="shared" si="48"/>
        <v>11</v>
      </c>
      <c r="DI92" s="76">
        <f t="shared" si="49"/>
        <v>12</v>
      </c>
      <c r="DJ92" s="76">
        <f t="shared" si="50"/>
        <v>10</v>
      </c>
      <c r="DK92" s="76">
        <f t="shared" si="51"/>
        <v>8</v>
      </c>
      <c r="DL92" s="76">
        <f t="shared" si="52"/>
        <v>6</v>
      </c>
      <c r="DN92" s="25">
        <v>1</v>
      </c>
      <c r="DO92" s="25">
        <v>1</v>
      </c>
      <c r="DP92" s="25">
        <v>1</v>
      </c>
      <c r="DQ92" s="25">
        <v>1</v>
      </c>
      <c r="DR92" s="25">
        <v>1</v>
      </c>
      <c r="DS92" s="25">
        <v>1</v>
      </c>
      <c r="DT92" s="7">
        <v>1</v>
      </c>
      <c r="DV92" s="48" t="s">
        <v>78</v>
      </c>
      <c r="DW92" s="49">
        <v>0</v>
      </c>
      <c r="DX92" s="50">
        <v>0</v>
      </c>
      <c r="DY92" s="50">
        <v>0</v>
      </c>
      <c r="DZ92" s="50">
        <v>0</v>
      </c>
      <c r="EA92" s="50">
        <v>0</v>
      </c>
      <c r="EB92" s="50">
        <v>0</v>
      </c>
      <c r="EC92" s="51">
        <v>0</v>
      </c>
      <c r="ED92" s="52">
        <v>0</v>
      </c>
    </row>
    <row r="93" spans="11:134" ht="16.2" x14ac:dyDescent="0.3">
      <c r="K93" s="21">
        <v>89</v>
      </c>
      <c r="L93" s="77" t="s">
        <v>39</v>
      </c>
      <c r="M93" s="77" t="s">
        <v>33</v>
      </c>
      <c r="N93" s="77" t="s">
        <v>39</v>
      </c>
      <c r="O93" s="77" t="s">
        <v>40</v>
      </c>
      <c r="P93" s="77" t="s">
        <v>37</v>
      </c>
      <c r="Q93" s="77" t="s">
        <v>25</v>
      </c>
      <c r="R93" s="37" t="s">
        <v>75</v>
      </c>
      <c r="T93" s="76">
        <f t="shared" si="53"/>
        <v>11</v>
      </c>
      <c r="U93" s="76">
        <f t="shared" si="54"/>
        <v>3</v>
      </c>
      <c r="V93" s="76">
        <f t="shared" si="55"/>
        <v>11</v>
      </c>
      <c r="W93" s="76">
        <f t="shared" si="56"/>
        <v>12</v>
      </c>
      <c r="X93" s="76">
        <f t="shared" si="57"/>
        <v>9</v>
      </c>
      <c r="Y93" s="76">
        <f t="shared" si="58"/>
        <v>8</v>
      </c>
      <c r="Z93" s="76">
        <f t="shared" si="59"/>
        <v>6</v>
      </c>
      <c r="AB93" s="25">
        <v>1</v>
      </c>
      <c r="AC93" s="25">
        <v>1</v>
      </c>
      <c r="AD93" s="25">
        <v>1</v>
      </c>
      <c r="AE93" s="25">
        <v>1</v>
      </c>
      <c r="AF93" s="25">
        <v>1</v>
      </c>
      <c r="AG93" s="25">
        <v>1</v>
      </c>
      <c r="AH93" s="7">
        <v>1</v>
      </c>
      <c r="AJ93" s="53" t="s">
        <v>19</v>
      </c>
      <c r="AK93" s="54">
        <v>5</v>
      </c>
      <c r="AL93" s="55">
        <v>5</v>
      </c>
      <c r="AM93" s="55">
        <v>5</v>
      </c>
      <c r="AN93" s="55">
        <v>5</v>
      </c>
      <c r="AO93" s="55">
        <v>5</v>
      </c>
      <c r="AP93" s="55">
        <v>5</v>
      </c>
      <c r="AQ93" s="56">
        <v>0</v>
      </c>
      <c r="AR93" s="57">
        <v>1</v>
      </c>
      <c r="BD93" s="21">
        <v>89</v>
      </c>
      <c r="BE93" s="77" t="s">
        <v>39</v>
      </c>
      <c r="BF93" s="77" t="s">
        <v>33</v>
      </c>
      <c r="BG93" s="77" t="s">
        <v>39</v>
      </c>
      <c r="BH93" s="77" t="s">
        <v>40</v>
      </c>
      <c r="BI93" s="77" t="s">
        <v>37</v>
      </c>
      <c r="BJ93" s="77" t="s">
        <v>25</v>
      </c>
      <c r="BK93" s="37" t="s">
        <v>75</v>
      </c>
      <c r="BM93" s="76">
        <f t="shared" si="60"/>
        <v>11</v>
      </c>
      <c r="BN93" s="76">
        <f t="shared" si="61"/>
        <v>3</v>
      </c>
      <c r="BO93" s="76">
        <f t="shared" si="62"/>
        <v>11</v>
      </c>
      <c r="BP93" s="76">
        <f t="shared" si="63"/>
        <v>12</v>
      </c>
      <c r="BQ93" s="76">
        <f t="shared" si="64"/>
        <v>9</v>
      </c>
      <c r="BR93" s="76">
        <f t="shared" si="65"/>
        <v>8</v>
      </c>
      <c r="BS93" s="76">
        <f t="shared" si="66"/>
        <v>6</v>
      </c>
      <c r="BU93" s="25">
        <v>1</v>
      </c>
      <c r="BV93" s="25">
        <v>1</v>
      </c>
      <c r="BW93" s="25">
        <v>1</v>
      </c>
      <c r="BX93" s="25">
        <v>1</v>
      </c>
      <c r="BY93" s="25">
        <v>1</v>
      </c>
      <c r="BZ93" s="25">
        <v>1</v>
      </c>
      <c r="CA93" s="7">
        <v>1</v>
      </c>
      <c r="CC93" s="53" t="s">
        <v>19</v>
      </c>
      <c r="CD93" s="54">
        <v>5</v>
      </c>
      <c r="CE93" s="55">
        <v>5</v>
      </c>
      <c r="CF93" s="55">
        <v>5</v>
      </c>
      <c r="CG93" s="55">
        <v>5</v>
      </c>
      <c r="CH93" s="55">
        <v>5</v>
      </c>
      <c r="CI93" s="55">
        <v>5</v>
      </c>
      <c r="CJ93" s="56">
        <v>0</v>
      </c>
      <c r="CK93" s="57">
        <v>1</v>
      </c>
      <c r="CW93" s="21">
        <v>89</v>
      </c>
      <c r="CX93" s="77" t="s">
        <v>39</v>
      </c>
      <c r="CY93" s="77" t="s">
        <v>33</v>
      </c>
      <c r="CZ93" s="77" t="s">
        <v>39</v>
      </c>
      <c r="DA93" s="77" t="s">
        <v>40</v>
      </c>
      <c r="DB93" s="77" t="s">
        <v>37</v>
      </c>
      <c r="DC93" s="77" t="s">
        <v>25</v>
      </c>
      <c r="DD93" s="37" t="s">
        <v>75</v>
      </c>
      <c r="DF93" s="76">
        <f t="shared" si="67"/>
        <v>11</v>
      </c>
      <c r="DG93" s="76">
        <f t="shared" si="47"/>
        <v>3</v>
      </c>
      <c r="DH93" s="76">
        <f t="shared" si="48"/>
        <v>11</v>
      </c>
      <c r="DI93" s="76">
        <f t="shared" si="49"/>
        <v>12</v>
      </c>
      <c r="DJ93" s="76">
        <f t="shared" si="50"/>
        <v>9</v>
      </c>
      <c r="DK93" s="76">
        <f t="shared" si="51"/>
        <v>8</v>
      </c>
      <c r="DL93" s="76">
        <f t="shared" si="52"/>
        <v>6</v>
      </c>
      <c r="DN93" s="25">
        <v>1</v>
      </c>
      <c r="DO93" s="25">
        <v>1</v>
      </c>
      <c r="DP93" s="25">
        <v>1</v>
      </c>
      <c r="DQ93" s="25">
        <v>1</v>
      </c>
      <c r="DR93" s="25">
        <v>1</v>
      </c>
      <c r="DS93" s="25">
        <v>1</v>
      </c>
      <c r="DT93" s="7">
        <v>1</v>
      </c>
      <c r="DV93" s="53" t="s">
        <v>19</v>
      </c>
      <c r="DW93" s="54">
        <v>5</v>
      </c>
      <c r="DX93" s="55">
        <v>5</v>
      </c>
      <c r="DY93" s="55">
        <v>5</v>
      </c>
      <c r="DZ93" s="55">
        <v>5</v>
      </c>
      <c r="EA93" s="55">
        <v>5</v>
      </c>
      <c r="EB93" s="55">
        <v>5</v>
      </c>
      <c r="EC93" s="56">
        <v>0</v>
      </c>
      <c r="ED93" s="57">
        <v>1</v>
      </c>
    </row>
    <row r="94" spans="11:134" ht="16.2" x14ac:dyDescent="0.3">
      <c r="K94" s="22">
        <v>90</v>
      </c>
      <c r="L94" s="77" t="s">
        <v>25</v>
      </c>
      <c r="M94" s="77" t="s">
        <v>33</v>
      </c>
      <c r="N94" s="77" t="s">
        <v>35</v>
      </c>
      <c r="O94" s="77" t="s">
        <v>75</v>
      </c>
      <c r="P94" s="77" t="s">
        <v>37</v>
      </c>
      <c r="Q94" s="77" t="s">
        <v>38</v>
      </c>
      <c r="R94" s="37" t="s">
        <v>75</v>
      </c>
      <c r="T94" s="76">
        <f t="shared" si="53"/>
        <v>8</v>
      </c>
      <c r="U94" s="76">
        <f t="shared" si="54"/>
        <v>3</v>
      </c>
      <c r="V94" s="76">
        <f t="shared" si="55"/>
        <v>5</v>
      </c>
      <c r="W94" s="76">
        <f t="shared" si="56"/>
        <v>6</v>
      </c>
      <c r="X94" s="76">
        <f t="shared" si="57"/>
        <v>9</v>
      </c>
      <c r="Y94" s="76">
        <f t="shared" si="58"/>
        <v>10</v>
      </c>
      <c r="Z94" s="76">
        <f t="shared" si="59"/>
        <v>6</v>
      </c>
      <c r="AB94" s="25">
        <v>1</v>
      </c>
      <c r="AC94" s="25">
        <v>1</v>
      </c>
      <c r="AD94" s="25">
        <v>1</v>
      </c>
      <c r="AE94" s="25">
        <v>1</v>
      </c>
      <c r="AF94" s="25">
        <v>1</v>
      </c>
      <c r="AG94" s="25">
        <v>1</v>
      </c>
      <c r="AH94" s="7">
        <v>1</v>
      </c>
      <c r="AJ94" s="53" t="s">
        <v>20</v>
      </c>
      <c r="AK94" s="54">
        <v>20</v>
      </c>
      <c r="AL94" s="55">
        <v>0</v>
      </c>
      <c r="AM94" s="55">
        <v>4</v>
      </c>
      <c r="AN94" s="55">
        <v>1</v>
      </c>
      <c r="AO94" s="55">
        <v>50</v>
      </c>
      <c r="AP94" s="55">
        <v>1</v>
      </c>
      <c r="AQ94" s="56">
        <v>0</v>
      </c>
      <c r="AR94" s="57">
        <v>2</v>
      </c>
      <c r="BD94" s="22">
        <v>90</v>
      </c>
      <c r="BE94" s="77" t="s">
        <v>25</v>
      </c>
      <c r="BF94" s="77" t="s">
        <v>33</v>
      </c>
      <c r="BG94" s="77" t="s">
        <v>35</v>
      </c>
      <c r="BH94" s="77" t="s">
        <v>75</v>
      </c>
      <c r="BI94" s="77" t="s">
        <v>37</v>
      </c>
      <c r="BJ94" s="77" t="s">
        <v>38</v>
      </c>
      <c r="BK94" s="37" t="s">
        <v>75</v>
      </c>
      <c r="BM94" s="76">
        <f t="shared" si="60"/>
        <v>8</v>
      </c>
      <c r="BN94" s="76">
        <f t="shared" si="61"/>
        <v>3</v>
      </c>
      <c r="BO94" s="76">
        <f t="shared" si="62"/>
        <v>5</v>
      </c>
      <c r="BP94" s="76">
        <f t="shared" si="63"/>
        <v>6</v>
      </c>
      <c r="BQ94" s="76">
        <f t="shared" si="64"/>
        <v>9</v>
      </c>
      <c r="BR94" s="76">
        <f t="shared" si="65"/>
        <v>10</v>
      </c>
      <c r="BS94" s="76">
        <f t="shared" si="66"/>
        <v>6</v>
      </c>
      <c r="BU94" s="25">
        <v>1</v>
      </c>
      <c r="BV94" s="25">
        <v>1</v>
      </c>
      <c r="BW94" s="25">
        <v>1</v>
      </c>
      <c r="BX94" s="25">
        <v>1</v>
      </c>
      <c r="BY94" s="25">
        <v>1</v>
      </c>
      <c r="BZ94" s="25">
        <v>1</v>
      </c>
      <c r="CA94" s="7">
        <v>1</v>
      </c>
      <c r="CC94" s="53" t="s">
        <v>20</v>
      </c>
      <c r="CD94" s="54">
        <v>20</v>
      </c>
      <c r="CE94" s="55">
        <v>0</v>
      </c>
      <c r="CF94" s="55">
        <v>4</v>
      </c>
      <c r="CG94" s="55">
        <v>1</v>
      </c>
      <c r="CH94" s="55">
        <v>50</v>
      </c>
      <c r="CI94" s="55">
        <v>1</v>
      </c>
      <c r="CJ94" s="56">
        <v>0</v>
      </c>
      <c r="CK94" s="57">
        <v>2</v>
      </c>
      <c r="CW94" s="22">
        <v>90</v>
      </c>
      <c r="CX94" s="77" t="s">
        <v>25</v>
      </c>
      <c r="CY94" s="77" t="s">
        <v>33</v>
      </c>
      <c r="CZ94" s="77" t="s">
        <v>35</v>
      </c>
      <c r="DA94" s="77" t="s">
        <v>75</v>
      </c>
      <c r="DB94" s="77" t="s">
        <v>37</v>
      </c>
      <c r="DC94" s="77" t="s">
        <v>38</v>
      </c>
      <c r="DD94" s="37" t="s">
        <v>75</v>
      </c>
      <c r="DF94" s="76">
        <f t="shared" si="67"/>
        <v>8</v>
      </c>
      <c r="DG94" s="76">
        <f t="shared" si="47"/>
        <v>3</v>
      </c>
      <c r="DH94" s="76">
        <f t="shared" si="48"/>
        <v>5</v>
      </c>
      <c r="DI94" s="76">
        <f t="shared" si="49"/>
        <v>6</v>
      </c>
      <c r="DJ94" s="76">
        <f t="shared" si="50"/>
        <v>9</v>
      </c>
      <c r="DK94" s="76">
        <f t="shared" si="51"/>
        <v>10</v>
      </c>
      <c r="DL94" s="76">
        <f t="shared" si="52"/>
        <v>6</v>
      </c>
      <c r="DN94" s="25">
        <v>1</v>
      </c>
      <c r="DO94" s="25">
        <v>1</v>
      </c>
      <c r="DP94" s="25">
        <v>1</v>
      </c>
      <c r="DQ94" s="25">
        <v>1</v>
      </c>
      <c r="DR94" s="25">
        <v>1</v>
      </c>
      <c r="DS94" s="25">
        <v>1</v>
      </c>
      <c r="DT94" s="7">
        <v>1</v>
      </c>
      <c r="DV94" s="53" t="s">
        <v>20</v>
      </c>
      <c r="DW94" s="54">
        <v>20</v>
      </c>
      <c r="DX94" s="55">
        <v>0</v>
      </c>
      <c r="DY94" s="55">
        <v>4</v>
      </c>
      <c r="DZ94" s="55">
        <v>1</v>
      </c>
      <c r="EA94" s="55">
        <v>50</v>
      </c>
      <c r="EB94" s="55">
        <v>1</v>
      </c>
      <c r="EC94" s="56">
        <v>0</v>
      </c>
      <c r="ED94" s="57">
        <v>2</v>
      </c>
    </row>
    <row r="95" spans="11:134" ht="16.2" x14ac:dyDescent="0.3">
      <c r="K95" s="21">
        <v>91</v>
      </c>
      <c r="L95" s="77" t="s">
        <v>39</v>
      </c>
      <c r="M95" s="77" t="s">
        <v>25</v>
      </c>
      <c r="N95" s="77" t="s">
        <v>39</v>
      </c>
      <c r="O95" s="77" t="s">
        <v>75</v>
      </c>
      <c r="P95" s="77" t="s">
        <v>189</v>
      </c>
      <c r="Q95" s="77" t="s">
        <v>38</v>
      </c>
      <c r="R95" s="37" t="s">
        <v>40</v>
      </c>
      <c r="T95" s="76">
        <f t="shared" si="53"/>
        <v>11</v>
      </c>
      <c r="U95" s="76">
        <f t="shared" si="54"/>
        <v>8</v>
      </c>
      <c r="V95" s="76">
        <f t="shared" si="55"/>
        <v>11</v>
      </c>
      <c r="W95" s="76">
        <f t="shared" si="56"/>
        <v>6</v>
      </c>
      <c r="X95" s="76">
        <f t="shared" si="57"/>
        <v>20</v>
      </c>
      <c r="Y95" s="76">
        <f t="shared" si="58"/>
        <v>10</v>
      </c>
      <c r="Z95" s="76">
        <f t="shared" si="59"/>
        <v>12</v>
      </c>
      <c r="AB95" s="25">
        <v>1</v>
      </c>
      <c r="AC95" s="25">
        <v>1</v>
      </c>
      <c r="AD95" s="25">
        <v>1</v>
      </c>
      <c r="AE95" s="25">
        <v>1</v>
      </c>
      <c r="AF95" s="25">
        <v>1</v>
      </c>
      <c r="AG95" s="25">
        <v>1</v>
      </c>
      <c r="AH95" s="7">
        <v>3</v>
      </c>
      <c r="AJ95" s="53" t="s">
        <v>21</v>
      </c>
      <c r="AK95" s="54">
        <v>1</v>
      </c>
      <c r="AL95" s="55">
        <v>50</v>
      </c>
      <c r="AM95" s="55">
        <v>1</v>
      </c>
      <c r="AN95" s="55">
        <v>50</v>
      </c>
      <c r="AO95" s="55">
        <v>1</v>
      </c>
      <c r="AP95" s="55">
        <v>1</v>
      </c>
      <c r="AQ95" s="56">
        <v>0</v>
      </c>
      <c r="AR95" s="57">
        <v>3</v>
      </c>
      <c r="BD95" s="21">
        <v>91</v>
      </c>
      <c r="BE95" s="77" t="s">
        <v>39</v>
      </c>
      <c r="BF95" s="77" t="s">
        <v>25</v>
      </c>
      <c r="BG95" s="77" t="s">
        <v>39</v>
      </c>
      <c r="BH95" s="77" t="s">
        <v>75</v>
      </c>
      <c r="BI95" s="77" t="s">
        <v>189</v>
      </c>
      <c r="BJ95" s="77" t="s">
        <v>38</v>
      </c>
      <c r="BK95" s="37" t="s">
        <v>40</v>
      </c>
      <c r="BM95" s="76">
        <f t="shared" si="60"/>
        <v>11</v>
      </c>
      <c r="BN95" s="76">
        <f t="shared" si="61"/>
        <v>8</v>
      </c>
      <c r="BO95" s="76">
        <f t="shared" si="62"/>
        <v>11</v>
      </c>
      <c r="BP95" s="76">
        <f t="shared" si="63"/>
        <v>6</v>
      </c>
      <c r="BQ95" s="76">
        <f t="shared" si="64"/>
        <v>20</v>
      </c>
      <c r="BR95" s="76">
        <f t="shared" si="65"/>
        <v>10</v>
      </c>
      <c r="BS95" s="76">
        <f t="shared" si="66"/>
        <v>12</v>
      </c>
      <c r="BU95" s="25">
        <v>1</v>
      </c>
      <c r="BV95" s="25">
        <v>1</v>
      </c>
      <c r="BW95" s="25">
        <v>1</v>
      </c>
      <c r="BX95" s="25">
        <v>1</v>
      </c>
      <c r="BY95" s="25">
        <v>1</v>
      </c>
      <c r="BZ95" s="25">
        <v>1</v>
      </c>
      <c r="CA95" s="7">
        <v>1</v>
      </c>
      <c r="CC95" s="53" t="s">
        <v>21</v>
      </c>
      <c r="CD95" s="54">
        <v>1</v>
      </c>
      <c r="CE95" s="55">
        <v>50</v>
      </c>
      <c r="CF95" s="55">
        <v>1</v>
      </c>
      <c r="CG95" s="55">
        <v>50</v>
      </c>
      <c r="CH95" s="55">
        <v>1</v>
      </c>
      <c r="CI95" s="55">
        <v>1</v>
      </c>
      <c r="CJ95" s="56">
        <v>0</v>
      </c>
      <c r="CK95" s="57">
        <v>3</v>
      </c>
      <c r="CW95" s="21">
        <v>91</v>
      </c>
      <c r="CX95" s="77" t="s">
        <v>39</v>
      </c>
      <c r="CY95" s="77" t="s">
        <v>25</v>
      </c>
      <c r="CZ95" s="77" t="s">
        <v>39</v>
      </c>
      <c r="DA95" s="77" t="s">
        <v>75</v>
      </c>
      <c r="DB95" s="77" t="s">
        <v>189</v>
      </c>
      <c r="DC95" s="77" t="s">
        <v>38</v>
      </c>
      <c r="DD95" s="37" t="s">
        <v>40</v>
      </c>
      <c r="DF95" s="76">
        <f t="shared" si="67"/>
        <v>11</v>
      </c>
      <c r="DG95" s="76">
        <f t="shared" si="47"/>
        <v>8</v>
      </c>
      <c r="DH95" s="76">
        <f t="shared" si="48"/>
        <v>11</v>
      </c>
      <c r="DI95" s="76">
        <f t="shared" si="49"/>
        <v>6</v>
      </c>
      <c r="DJ95" s="76">
        <f t="shared" si="50"/>
        <v>20</v>
      </c>
      <c r="DK95" s="76">
        <f t="shared" si="51"/>
        <v>10</v>
      </c>
      <c r="DL95" s="76">
        <f t="shared" si="52"/>
        <v>12</v>
      </c>
      <c r="DN95" s="25">
        <v>1</v>
      </c>
      <c r="DO95" s="25">
        <v>1</v>
      </c>
      <c r="DP95" s="25">
        <v>1</v>
      </c>
      <c r="DQ95" s="25">
        <v>1</v>
      </c>
      <c r="DR95" s="25">
        <v>1</v>
      </c>
      <c r="DS95" s="25">
        <v>1</v>
      </c>
      <c r="DT95" s="7">
        <v>1</v>
      </c>
      <c r="DV95" s="53" t="s">
        <v>21</v>
      </c>
      <c r="DW95" s="54">
        <v>1</v>
      </c>
      <c r="DX95" s="55">
        <v>50</v>
      </c>
      <c r="DY95" s="55">
        <v>1</v>
      </c>
      <c r="DZ95" s="55">
        <v>50</v>
      </c>
      <c r="EA95" s="55">
        <v>1</v>
      </c>
      <c r="EB95" s="55">
        <v>1</v>
      </c>
      <c r="EC95" s="56">
        <v>0</v>
      </c>
      <c r="ED95" s="57">
        <v>3</v>
      </c>
    </row>
    <row r="96" spans="11:134" ht="16.2" x14ac:dyDescent="0.3">
      <c r="K96" s="22">
        <v>92</v>
      </c>
      <c r="L96" s="77" t="s">
        <v>75</v>
      </c>
      <c r="M96" s="77" t="s">
        <v>35</v>
      </c>
      <c r="N96" s="77" t="s">
        <v>39</v>
      </c>
      <c r="O96" s="77" t="s">
        <v>75</v>
      </c>
      <c r="P96" s="77" t="s">
        <v>39</v>
      </c>
      <c r="Q96" s="77" t="s">
        <v>75</v>
      </c>
      <c r="R96" s="37" t="s">
        <v>40</v>
      </c>
      <c r="T96" s="76">
        <f t="shared" si="53"/>
        <v>6</v>
      </c>
      <c r="U96" s="76">
        <f t="shared" si="54"/>
        <v>5</v>
      </c>
      <c r="V96" s="76">
        <f t="shared" si="55"/>
        <v>11</v>
      </c>
      <c r="W96" s="76">
        <f t="shared" si="56"/>
        <v>6</v>
      </c>
      <c r="X96" s="76">
        <f t="shared" si="57"/>
        <v>11</v>
      </c>
      <c r="Y96" s="76">
        <f t="shared" si="58"/>
        <v>6</v>
      </c>
      <c r="Z96" s="76">
        <f t="shared" si="59"/>
        <v>12</v>
      </c>
      <c r="AB96" s="25">
        <v>1</v>
      </c>
      <c r="AC96" s="25">
        <v>1</v>
      </c>
      <c r="AD96" s="25">
        <v>1</v>
      </c>
      <c r="AE96" s="25">
        <v>1</v>
      </c>
      <c r="AF96" s="25">
        <v>1</v>
      </c>
      <c r="AG96" s="25">
        <v>1</v>
      </c>
      <c r="AH96" s="7">
        <v>1</v>
      </c>
      <c r="AJ96" s="53" t="s">
        <v>17</v>
      </c>
      <c r="AK96" s="54">
        <v>50</v>
      </c>
      <c r="AL96" s="55">
        <v>1</v>
      </c>
      <c r="AM96" s="55">
        <v>60</v>
      </c>
      <c r="AN96" s="55">
        <v>0</v>
      </c>
      <c r="AO96" s="55">
        <v>1</v>
      </c>
      <c r="AP96" s="55">
        <v>50</v>
      </c>
      <c r="AQ96" s="56">
        <v>1</v>
      </c>
      <c r="AR96" s="57">
        <v>4</v>
      </c>
      <c r="BD96" s="22">
        <v>92</v>
      </c>
      <c r="BE96" s="77" t="s">
        <v>75</v>
      </c>
      <c r="BF96" s="77" t="s">
        <v>75</v>
      </c>
      <c r="BG96" s="77" t="s">
        <v>39</v>
      </c>
      <c r="BH96" s="77" t="s">
        <v>75</v>
      </c>
      <c r="BI96" s="77" t="s">
        <v>39</v>
      </c>
      <c r="BJ96" s="77" t="s">
        <v>75</v>
      </c>
      <c r="BK96" s="37" t="s">
        <v>40</v>
      </c>
      <c r="BM96" s="76">
        <f t="shared" si="60"/>
        <v>6</v>
      </c>
      <c r="BN96" s="76">
        <f t="shared" si="61"/>
        <v>6</v>
      </c>
      <c r="BO96" s="76">
        <f t="shared" si="62"/>
        <v>11</v>
      </c>
      <c r="BP96" s="76">
        <f t="shared" si="63"/>
        <v>6</v>
      </c>
      <c r="BQ96" s="76">
        <f t="shared" si="64"/>
        <v>11</v>
      </c>
      <c r="BR96" s="76">
        <f t="shared" si="65"/>
        <v>6</v>
      </c>
      <c r="BS96" s="76">
        <f t="shared" si="66"/>
        <v>12</v>
      </c>
      <c r="BU96" s="25">
        <v>1</v>
      </c>
      <c r="BV96" s="25">
        <v>1</v>
      </c>
      <c r="BW96" s="25">
        <v>1</v>
      </c>
      <c r="BX96" s="25">
        <v>1</v>
      </c>
      <c r="BY96" s="25">
        <v>1</v>
      </c>
      <c r="BZ96" s="25">
        <v>1</v>
      </c>
      <c r="CA96" s="7">
        <v>1</v>
      </c>
      <c r="CC96" s="53" t="s">
        <v>17</v>
      </c>
      <c r="CD96" s="54">
        <v>50</v>
      </c>
      <c r="CE96" s="55">
        <v>1</v>
      </c>
      <c r="CF96" s="55">
        <v>60</v>
      </c>
      <c r="CG96" s="55">
        <v>0</v>
      </c>
      <c r="CH96" s="55">
        <v>1</v>
      </c>
      <c r="CI96" s="55">
        <v>50</v>
      </c>
      <c r="CJ96" s="56">
        <v>1</v>
      </c>
      <c r="CK96" s="57">
        <v>4</v>
      </c>
      <c r="CW96" s="22">
        <v>92</v>
      </c>
      <c r="CX96" s="77" t="s">
        <v>75</v>
      </c>
      <c r="CY96" s="77" t="s">
        <v>75</v>
      </c>
      <c r="CZ96" s="77" t="s">
        <v>39</v>
      </c>
      <c r="DA96" s="77" t="s">
        <v>75</v>
      </c>
      <c r="DB96" s="77" t="s">
        <v>39</v>
      </c>
      <c r="DC96" s="77" t="s">
        <v>75</v>
      </c>
      <c r="DD96" s="37" t="s">
        <v>40</v>
      </c>
      <c r="DF96" s="76">
        <f t="shared" si="67"/>
        <v>6</v>
      </c>
      <c r="DG96" s="76">
        <f t="shared" si="47"/>
        <v>6</v>
      </c>
      <c r="DH96" s="76">
        <f t="shared" si="48"/>
        <v>11</v>
      </c>
      <c r="DI96" s="76">
        <f t="shared" si="49"/>
        <v>6</v>
      </c>
      <c r="DJ96" s="76">
        <f t="shared" si="50"/>
        <v>11</v>
      </c>
      <c r="DK96" s="76">
        <f t="shared" si="51"/>
        <v>6</v>
      </c>
      <c r="DL96" s="76">
        <f t="shared" si="52"/>
        <v>12</v>
      </c>
      <c r="DN96" s="25">
        <v>1</v>
      </c>
      <c r="DO96" s="25">
        <v>1</v>
      </c>
      <c r="DP96" s="25">
        <v>1</v>
      </c>
      <c r="DQ96" s="25">
        <v>1</v>
      </c>
      <c r="DR96" s="25">
        <v>1</v>
      </c>
      <c r="DS96" s="25">
        <v>1</v>
      </c>
      <c r="DT96" s="7">
        <v>1</v>
      </c>
      <c r="DV96" s="53" t="s">
        <v>17</v>
      </c>
      <c r="DW96" s="54">
        <v>50</v>
      </c>
      <c r="DX96" s="55">
        <v>1</v>
      </c>
      <c r="DY96" s="55">
        <v>60</v>
      </c>
      <c r="DZ96" s="55">
        <v>0</v>
      </c>
      <c r="EA96" s="55">
        <v>1</v>
      </c>
      <c r="EB96" s="55">
        <v>50</v>
      </c>
      <c r="EC96" s="56">
        <v>1</v>
      </c>
      <c r="ED96" s="57">
        <v>4</v>
      </c>
    </row>
    <row r="97" spans="11:134" ht="16.2" x14ac:dyDescent="0.3">
      <c r="K97" s="21">
        <v>93</v>
      </c>
      <c r="L97" s="77" t="s">
        <v>25</v>
      </c>
      <c r="M97" s="77" t="s">
        <v>35</v>
      </c>
      <c r="N97" s="77" t="s">
        <v>40</v>
      </c>
      <c r="O97" s="77" t="s">
        <v>40</v>
      </c>
      <c r="P97" s="77" t="s">
        <v>37</v>
      </c>
      <c r="Q97" s="77" t="s">
        <v>75</v>
      </c>
      <c r="R97" s="37" t="s">
        <v>40</v>
      </c>
      <c r="T97" s="76">
        <f t="shared" si="53"/>
        <v>8</v>
      </c>
      <c r="U97" s="76">
        <f t="shared" si="54"/>
        <v>5</v>
      </c>
      <c r="V97" s="76">
        <f t="shared" si="55"/>
        <v>12</v>
      </c>
      <c r="W97" s="76">
        <f t="shared" si="56"/>
        <v>12</v>
      </c>
      <c r="X97" s="76">
        <f t="shared" si="57"/>
        <v>9</v>
      </c>
      <c r="Y97" s="76">
        <f t="shared" si="58"/>
        <v>6</v>
      </c>
      <c r="Z97" s="76">
        <f t="shared" si="59"/>
        <v>12</v>
      </c>
      <c r="AB97" s="25">
        <v>1</v>
      </c>
      <c r="AC97" s="25">
        <v>1</v>
      </c>
      <c r="AD97" s="25">
        <v>1</v>
      </c>
      <c r="AE97" s="25">
        <v>1</v>
      </c>
      <c r="AF97" s="25">
        <v>1</v>
      </c>
      <c r="AG97" s="25">
        <v>1</v>
      </c>
      <c r="AH97" s="7">
        <v>1</v>
      </c>
      <c r="AJ97" s="53" t="s">
        <v>18</v>
      </c>
      <c r="AK97" s="54">
        <v>1</v>
      </c>
      <c r="AL97" s="55">
        <v>50</v>
      </c>
      <c r="AM97" s="55">
        <v>1</v>
      </c>
      <c r="AN97" s="55">
        <v>1</v>
      </c>
      <c r="AO97" s="55">
        <v>1</v>
      </c>
      <c r="AP97" s="55">
        <v>50</v>
      </c>
      <c r="AQ97" s="56">
        <v>1</v>
      </c>
      <c r="AR97" s="57">
        <v>5</v>
      </c>
      <c r="BD97" s="21">
        <v>93</v>
      </c>
      <c r="BE97" s="77" t="s">
        <v>25</v>
      </c>
      <c r="BF97" s="77" t="s">
        <v>35</v>
      </c>
      <c r="BG97" s="77" t="s">
        <v>40</v>
      </c>
      <c r="BH97" s="77" t="s">
        <v>40</v>
      </c>
      <c r="BI97" s="77" t="s">
        <v>37</v>
      </c>
      <c r="BJ97" s="77" t="s">
        <v>75</v>
      </c>
      <c r="BK97" s="37" t="s">
        <v>40</v>
      </c>
      <c r="BM97" s="76">
        <f t="shared" si="60"/>
        <v>8</v>
      </c>
      <c r="BN97" s="76">
        <f t="shared" si="61"/>
        <v>5</v>
      </c>
      <c r="BO97" s="76">
        <f t="shared" si="62"/>
        <v>12</v>
      </c>
      <c r="BP97" s="76">
        <f t="shared" si="63"/>
        <v>12</v>
      </c>
      <c r="BQ97" s="76">
        <f t="shared" si="64"/>
        <v>9</v>
      </c>
      <c r="BR97" s="76">
        <f t="shared" si="65"/>
        <v>6</v>
      </c>
      <c r="BS97" s="76">
        <f t="shared" si="66"/>
        <v>12</v>
      </c>
      <c r="BU97" s="25">
        <v>1</v>
      </c>
      <c r="BV97" s="25">
        <v>1</v>
      </c>
      <c r="BW97" s="25">
        <v>1</v>
      </c>
      <c r="BX97" s="25">
        <v>1</v>
      </c>
      <c r="BY97" s="25">
        <v>1</v>
      </c>
      <c r="BZ97" s="25">
        <v>1</v>
      </c>
      <c r="CA97" s="7">
        <v>1</v>
      </c>
      <c r="CC97" s="53" t="s">
        <v>18</v>
      </c>
      <c r="CD97" s="54">
        <v>1</v>
      </c>
      <c r="CE97" s="55">
        <v>50</v>
      </c>
      <c r="CF97" s="55">
        <v>1</v>
      </c>
      <c r="CG97" s="55">
        <v>1</v>
      </c>
      <c r="CH97" s="55">
        <v>1</v>
      </c>
      <c r="CI97" s="55">
        <v>50</v>
      </c>
      <c r="CJ97" s="56">
        <v>1</v>
      </c>
      <c r="CK97" s="57">
        <v>5</v>
      </c>
      <c r="CW97" s="21">
        <v>93</v>
      </c>
      <c r="CX97" s="77" t="s">
        <v>25</v>
      </c>
      <c r="CY97" s="77" t="s">
        <v>35</v>
      </c>
      <c r="CZ97" s="77" t="s">
        <v>40</v>
      </c>
      <c r="DA97" s="77" t="s">
        <v>40</v>
      </c>
      <c r="DB97" s="77" t="s">
        <v>37</v>
      </c>
      <c r="DC97" s="77" t="s">
        <v>75</v>
      </c>
      <c r="DD97" s="37" t="s">
        <v>40</v>
      </c>
      <c r="DF97" s="76">
        <f t="shared" si="67"/>
        <v>8</v>
      </c>
      <c r="DG97" s="76">
        <f t="shared" si="47"/>
        <v>5</v>
      </c>
      <c r="DH97" s="76">
        <f t="shared" si="48"/>
        <v>12</v>
      </c>
      <c r="DI97" s="76">
        <f t="shared" si="49"/>
        <v>12</v>
      </c>
      <c r="DJ97" s="76">
        <f t="shared" si="50"/>
        <v>9</v>
      </c>
      <c r="DK97" s="76">
        <f t="shared" si="51"/>
        <v>6</v>
      </c>
      <c r="DL97" s="76">
        <f t="shared" si="52"/>
        <v>12</v>
      </c>
      <c r="DN97" s="25">
        <v>1</v>
      </c>
      <c r="DO97" s="25">
        <v>1</v>
      </c>
      <c r="DP97" s="25">
        <v>1</v>
      </c>
      <c r="DQ97" s="25">
        <v>1</v>
      </c>
      <c r="DR97" s="25">
        <v>1</v>
      </c>
      <c r="DS97" s="25">
        <v>1</v>
      </c>
      <c r="DT97" s="7">
        <v>1</v>
      </c>
      <c r="DV97" s="53" t="s">
        <v>18</v>
      </c>
      <c r="DW97" s="54">
        <v>1</v>
      </c>
      <c r="DX97" s="55">
        <v>50</v>
      </c>
      <c r="DY97" s="55">
        <v>1</v>
      </c>
      <c r="DZ97" s="55">
        <v>1</v>
      </c>
      <c r="EA97" s="55">
        <v>1</v>
      </c>
      <c r="EB97" s="55">
        <v>50</v>
      </c>
      <c r="EC97" s="56">
        <v>1</v>
      </c>
      <c r="ED97" s="57">
        <v>5</v>
      </c>
    </row>
    <row r="98" spans="11:134" ht="16.2" x14ac:dyDescent="0.3">
      <c r="K98" s="22">
        <v>94</v>
      </c>
      <c r="L98" s="77" t="s">
        <v>37</v>
      </c>
      <c r="M98" s="77" t="s">
        <v>97</v>
      </c>
      <c r="N98" s="77" t="s">
        <v>39</v>
      </c>
      <c r="O98" s="77" t="s">
        <v>40</v>
      </c>
      <c r="P98" s="77" t="s">
        <v>37</v>
      </c>
      <c r="Q98" s="77" t="s">
        <v>75</v>
      </c>
      <c r="R98" s="37" t="s">
        <v>39</v>
      </c>
      <c r="T98" s="76">
        <f t="shared" si="53"/>
        <v>9</v>
      </c>
      <c r="U98" s="76">
        <f t="shared" si="54"/>
        <v>14</v>
      </c>
      <c r="V98" s="76">
        <f t="shared" si="55"/>
        <v>11</v>
      </c>
      <c r="W98" s="76">
        <f t="shared" si="56"/>
        <v>12</v>
      </c>
      <c r="X98" s="76">
        <f t="shared" si="57"/>
        <v>9</v>
      </c>
      <c r="Y98" s="76">
        <f t="shared" si="58"/>
        <v>6</v>
      </c>
      <c r="Z98" s="76">
        <f t="shared" si="59"/>
        <v>11</v>
      </c>
      <c r="AB98" s="25">
        <v>1</v>
      </c>
      <c r="AC98" s="25">
        <v>1</v>
      </c>
      <c r="AD98" s="25">
        <v>1</v>
      </c>
      <c r="AE98" s="25">
        <v>1</v>
      </c>
      <c r="AF98" s="25">
        <v>1</v>
      </c>
      <c r="AG98" s="25">
        <v>1</v>
      </c>
      <c r="AH98" s="7">
        <v>3</v>
      </c>
      <c r="AJ98" s="53" t="s">
        <v>74</v>
      </c>
      <c r="AK98" s="54">
        <v>60</v>
      </c>
      <c r="AL98" s="55">
        <v>1</v>
      </c>
      <c r="AM98" s="55">
        <v>50</v>
      </c>
      <c r="AN98" s="55">
        <v>1</v>
      </c>
      <c r="AO98" s="55">
        <v>50</v>
      </c>
      <c r="AP98" s="55">
        <v>1</v>
      </c>
      <c r="AQ98" s="56">
        <v>1</v>
      </c>
      <c r="AR98" s="57">
        <v>6</v>
      </c>
      <c r="BD98" s="22">
        <v>94</v>
      </c>
      <c r="BE98" s="77" t="s">
        <v>37</v>
      </c>
      <c r="BF98" s="77" t="s">
        <v>97</v>
      </c>
      <c r="BG98" s="77" t="s">
        <v>39</v>
      </c>
      <c r="BH98" s="77" t="s">
        <v>40</v>
      </c>
      <c r="BI98" s="77" t="s">
        <v>37</v>
      </c>
      <c r="BJ98" s="77" t="s">
        <v>75</v>
      </c>
      <c r="BK98" s="37" t="s">
        <v>39</v>
      </c>
      <c r="BM98" s="76">
        <f t="shared" si="60"/>
        <v>9</v>
      </c>
      <c r="BN98" s="76">
        <f t="shared" si="61"/>
        <v>14</v>
      </c>
      <c r="BO98" s="76">
        <f t="shared" si="62"/>
        <v>11</v>
      </c>
      <c r="BP98" s="76">
        <f t="shared" si="63"/>
        <v>12</v>
      </c>
      <c r="BQ98" s="76">
        <f t="shared" si="64"/>
        <v>9</v>
      </c>
      <c r="BR98" s="76">
        <f t="shared" si="65"/>
        <v>6</v>
      </c>
      <c r="BS98" s="76">
        <f t="shared" si="66"/>
        <v>11</v>
      </c>
      <c r="BU98" s="25">
        <v>1</v>
      </c>
      <c r="BV98" s="25">
        <v>1</v>
      </c>
      <c r="BW98" s="25">
        <v>1</v>
      </c>
      <c r="BX98" s="25">
        <v>1</v>
      </c>
      <c r="BY98" s="25">
        <v>1</v>
      </c>
      <c r="BZ98" s="25">
        <v>1</v>
      </c>
      <c r="CA98" s="7">
        <v>1</v>
      </c>
      <c r="CC98" s="53" t="s">
        <v>74</v>
      </c>
      <c r="CD98" s="54">
        <v>60</v>
      </c>
      <c r="CE98" s="55">
        <v>1</v>
      </c>
      <c r="CF98" s="55">
        <v>50</v>
      </c>
      <c r="CG98" s="55">
        <v>1</v>
      </c>
      <c r="CH98" s="55">
        <v>50</v>
      </c>
      <c r="CI98" s="55">
        <v>1</v>
      </c>
      <c r="CJ98" s="56">
        <v>1</v>
      </c>
      <c r="CK98" s="57">
        <v>6</v>
      </c>
      <c r="CW98" s="22">
        <v>94</v>
      </c>
      <c r="CX98" s="77" t="s">
        <v>37</v>
      </c>
      <c r="CY98" s="77" t="s">
        <v>97</v>
      </c>
      <c r="CZ98" s="77" t="s">
        <v>39</v>
      </c>
      <c r="DA98" s="77" t="s">
        <v>40</v>
      </c>
      <c r="DB98" s="77" t="s">
        <v>37</v>
      </c>
      <c r="DC98" s="77" t="s">
        <v>75</v>
      </c>
      <c r="DD98" s="37" t="s">
        <v>39</v>
      </c>
      <c r="DF98" s="76">
        <f t="shared" si="67"/>
        <v>9</v>
      </c>
      <c r="DG98" s="76">
        <f t="shared" si="47"/>
        <v>14</v>
      </c>
      <c r="DH98" s="76">
        <f t="shared" si="48"/>
        <v>11</v>
      </c>
      <c r="DI98" s="76">
        <f t="shared" si="49"/>
        <v>12</v>
      </c>
      <c r="DJ98" s="76">
        <f t="shared" si="50"/>
        <v>9</v>
      </c>
      <c r="DK98" s="76">
        <f t="shared" si="51"/>
        <v>6</v>
      </c>
      <c r="DL98" s="76">
        <f t="shared" si="52"/>
        <v>11</v>
      </c>
      <c r="DN98" s="25">
        <v>1</v>
      </c>
      <c r="DO98" s="25">
        <v>1</v>
      </c>
      <c r="DP98" s="25">
        <v>1</v>
      </c>
      <c r="DQ98" s="25">
        <v>1</v>
      </c>
      <c r="DR98" s="25">
        <v>1</v>
      </c>
      <c r="DS98" s="25">
        <v>1</v>
      </c>
      <c r="DT98" s="7">
        <v>1</v>
      </c>
      <c r="DV98" s="53" t="s">
        <v>74</v>
      </c>
      <c r="DW98" s="54">
        <v>60</v>
      </c>
      <c r="DX98" s="55">
        <v>1</v>
      </c>
      <c r="DY98" s="55">
        <v>50</v>
      </c>
      <c r="DZ98" s="55">
        <v>1</v>
      </c>
      <c r="EA98" s="55">
        <v>50</v>
      </c>
      <c r="EB98" s="55">
        <v>1</v>
      </c>
      <c r="EC98" s="56">
        <v>1</v>
      </c>
      <c r="ED98" s="57">
        <v>6</v>
      </c>
    </row>
    <row r="99" spans="11:134" ht="16.2" x14ac:dyDescent="0.3">
      <c r="K99" s="21">
        <v>95</v>
      </c>
      <c r="L99" s="77" t="s">
        <v>37</v>
      </c>
      <c r="M99" s="77" t="s">
        <v>75</v>
      </c>
      <c r="N99" s="77" t="s">
        <v>39</v>
      </c>
      <c r="O99" s="77" t="s">
        <v>163</v>
      </c>
      <c r="P99" s="77" t="s">
        <v>37</v>
      </c>
      <c r="Q99" s="77" t="s">
        <v>40</v>
      </c>
      <c r="R99" s="37" t="s">
        <v>39</v>
      </c>
      <c r="T99" s="76">
        <f t="shared" si="53"/>
        <v>9</v>
      </c>
      <c r="U99" s="76">
        <f t="shared" si="54"/>
        <v>6</v>
      </c>
      <c r="V99" s="76">
        <f t="shared" si="55"/>
        <v>11</v>
      </c>
      <c r="W99" s="76">
        <f t="shared" si="56"/>
        <v>18</v>
      </c>
      <c r="X99" s="76">
        <f t="shared" si="57"/>
        <v>9</v>
      </c>
      <c r="Y99" s="76">
        <f t="shared" si="58"/>
        <v>12</v>
      </c>
      <c r="Z99" s="76">
        <f t="shared" si="59"/>
        <v>11</v>
      </c>
      <c r="AB99" s="25">
        <v>1</v>
      </c>
      <c r="AC99" s="25">
        <v>1</v>
      </c>
      <c r="AD99" s="25">
        <v>1</v>
      </c>
      <c r="AE99" s="25">
        <v>1</v>
      </c>
      <c r="AF99" s="25">
        <v>1</v>
      </c>
      <c r="AG99" s="25">
        <v>1</v>
      </c>
      <c r="AH99" s="7">
        <v>1</v>
      </c>
      <c r="AJ99" s="53" t="s">
        <v>151</v>
      </c>
      <c r="AK99" s="54">
        <v>1</v>
      </c>
      <c r="AL99" s="55">
        <v>50</v>
      </c>
      <c r="AM99" s="55">
        <v>1</v>
      </c>
      <c r="AN99" s="55">
        <v>1</v>
      </c>
      <c r="AO99" s="55">
        <v>1</v>
      </c>
      <c r="AP99" s="55">
        <v>50</v>
      </c>
      <c r="AQ99" s="56">
        <v>1</v>
      </c>
      <c r="AR99" s="57">
        <v>7</v>
      </c>
      <c r="BD99" s="21">
        <v>95</v>
      </c>
      <c r="BE99" s="77" t="s">
        <v>37</v>
      </c>
      <c r="BF99" s="77" t="s">
        <v>75</v>
      </c>
      <c r="BG99" s="77" t="s">
        <v>39</v>
      </c>
      <c r="BH99" s="77" t="s">
        <v>163</v>
      </c>
      <c r="BI99" s="77" t="s">
        <v>37</v>
      </c>
      <c r="BJ99" s="77" t="s">
        <v>40</v>
      </c>
      <c r="BK99" s="37" t="s">
        <v>39</v>
      </c>
      <c r="BM99" s="76">
        <f t="shared" si="60"/>
        <v>9</v>
      </c>
      <c r="BN99" s="76">
        <f t="shared" si="61"/>
        <v>6</v>
      </c>
      <c r="BO99" s="76">
        <f t="shared" si="62"/>
        <v>11</v>
      </c>
      <c r="BP99" s="76">
        <f t="shared" si="63"/>
        <v>18</v>
      </c>
      <c r="BQ99" s="76">
        <f t="shared" si="64"/>
        <v>9</v>
      </c>
      <c r="BR99" s="76">
        <f t="shared" si="65"/>
        <v>12</v>
      </c>
      <c r="BS99" s="76">
        <f t="shared" si="66"/>
        <v>11</v>
      </c>
      <c r="BU99" s="25">
        <v>1</v>
      </c>
      <c r="BV99" s="25">
        <v>1</v>
      </c>
      <c r="BW99" s="25">
        <v>1</v>
      </c>
      <c r="BX99" s="25">
        <v>1</v>
      </c>
      <c r="BY99" s="25">
        <v>1</v>
      </c>
      <c r="BZ99" s="25">
        <v>1</v>
      </c>
      <c r="CA99" s="7">
        <v>1</v>
      </c>
      <c r="CC99" s="53" t="s">
        <v>151</v>
      </c>
      <c r="CD99" s="54">
        <v>1</v>
      </c>
      <c r="CE99" s="55">
        <v>50</v>
      </c>
      <c r="CF99" s="55">
        <v>1</v>
      </c>
      <c r="CG99" s="55">
        <v>1</v>
      </c>
      <c r="CH99" s="55">
        <v>1</v>
      </c>
      <c r="CI99" s="55">
        <v>50</v>
      </c>
      <c r="CJ99" s="56">
        <v>1</v>
      </c>
      <c r="CK99" s="57">
        <v>7</v>
      </c>
      <c r="CW99" s="21">
        <v>95</v>
      </c>
      <c r="CX99" s="77" t="s">
        <v>37</v>
      </c>
      <c r="CY99" s="77" t="s">
        <v>75</v>
      </c>
      <c r="CZ99" s="77" t="s">
        <v>39</v>
      </c>
      <c r="DA99" s="77" t="s">
        <v>163</v>
      </c>
      <c r="DB99" s="77" t="s">
        <v>37</v>
      </c>
      <c r="DC99" s="77" t="s">
        <v>40</v>
      </c>
      <c r="DD99" s="37" t="s">
        <v>39</v>
      </c>
      <c r="DF99" s="76">
        <f t="shared" si="67"/>
        <v>9</v>
      </c>
      <c r="DG99" s="76">
        <f t="shared" si="47"/>
        <v>6</v>
      </c>
      <c r="DH99" s="76">
        <f t="shared" si="48"/>
        <v>11</v>
      </c>
      <c r="DI99" s="76">
        <f t="shared" si="49"/>
        <v>18</v>
      </c>
      <c r="DJ99" s="76">
        <f t="shared" si="50"/>
        <v>9</v>
      </c>
      <c r="DK99" s="76">
        <f t="shared" si="51"/>
        <v>12</v>
      </c>
      <c r="DL99" s="76">
        <f t="shared" si="52"/>
        <v>11</v>
      </c>
      <c r="DN99" s="25">
        <v>1</v>
      </c>
      <c r="DO99" s="25">
        <v>1</v>
      </c>
      <c r="DP99" s="25">
        <v>1</v>
      </c>
      <c r="DQ99" s="25">
        <v>1</v>
      </c>
      <c r="DR99" s="25">
        <v>1</v>
      </c>
      <c r="DS99" s="25">
        <v>1</v>
      </c>
      <c r="DT99" s="7">
        <v>1</v>
      </c>
      <c r="DV99" s="53" t="s">
        <v>151</v>
      </c>
      <c r="DW99" s="54">
        <v>1</v>
      </c>
      <c r="DX99" s="55">
        <v>50</v>
      </c>
      <c r="DY99" s="55">
        <v>1</v>
      </c>
      <c r="DZ99" s="55">
        <v>1</v>
      </c>
      <c r="EA99" s="55">
        <v>1</v>
      </c>
      <c r="EB99" s="55">
        <v>50</v>
      </c>
      <c r="EC99" s="56">
        <v>1</v>
      </c>
      <c r="ED99" s="57">
        <v>7</v>
      </c>
    </row>
    <row r="100" spans="11:134" ht="16.2" x14ac:dyDescent="0.3">
      <c r="K100" s="22">
        <v>96</v>
      </c>
      <c r="L100" s="77" t="s">
        <v>38</v>
      </c>
      <c r="M100" s="77" t="s">
        <v>75</v>
      </c>
      <c r="N100" s="77" t="s">
        <v>39</v>
      </c>
      <c r="O100" s="77" t="s">
        <v>152</v>
      </c>
      <c r="P100" s="77" t="s">
        <v>152</v>
      </c>
      <c r="Q100" s="77" t="s">
        <v>35</v>
      </c>
      <c r="R100" s="37" t="s">
        <v>39</v>
      </c>
      <c r="T100" s="76">
        <f t="shared" si="53"/>
        <v>10</v>
      </c>
      <c r="U100" s="76">
        <f t="shared" si="54"/>
        <v>6</v>
      </c>
      <c r="V100" s="76">
        <f t="shared" si="55"/>
        <v>11</v>
      </c>
      <c r="W100" s="76">
        <f t="shared" si="56"/>
        <v>7</v>
      </c>
      <c r="X100" s="76">
        <f t="shared" si="57"/>
        <v>7</v>
      </c>
      <c r="Y100" s="76">
        <f t="shared" si="58"/>
        <v>5</v>
      </c>
      <c r="Z100" s="76">
        <f t="shared" si="59"/>
        <v>11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H100" s="7">
        <v>1</v>
      </c>
      <c r="AJ100" s="53" t="s">
        <v>24</v>
      </c>
      <c r="AK100" s="54">
        <v>0</v>
      </c>
      <c r="AL100" s="55">
        <v>1</v>
      </c>
      <c r="AM100" s="55">
        <v>40</v>
      </c>
      <c r="AN100" s="55">
        <v>1</v>
      </c>
      <c r="AO100" s="55">
        <v>50</v>
      </c>
      <c r="AP100" s="55">
        <v>1</v>
      </c>
      <c r="AQ100" s="56">
        <v>1</v>
      </c>
      <c r="AR100" s="57">
        <v>8</v>
      </c>
      <c r="BD100" s="22">
        <v>96</v>
      </c>
      <c r="BE100" s="77" t="s">
        <v>38</v>
      </c>
      <c r="BF100" s="77" t="s">
        <v>75</v>
      </c>
      <c r="BG100" s="77" t="s">
        <v>39</v>
      </c>
      <c r="BH100" s="77" t="s">
        <v>152</v>
      </c>
      <c r="BI100" s="77" t="s">
        <v>152</v>
      </c>
      <c r="BJ100" s="77" t="s">
        <v>35</v>
      </c>
      <c r="BK100" s="37" t="s">
        <v>39</v>
      </c>
      <c r="BM100" s="76">
        <f t="shared" si="60"/>
        <v>10</v>
      </c>
      <c r="BN100" s="76">
        <f t="shared" si="61"/>
        <v>6</v>
      </c>
      <c r="BO100" s="76">
        <f t="shared" si="62"/>
        <v>11</v>
      </c>
      <c r="BP100" s="76">
        <f t="shared" si="63"/>
        <v>7</v>
      </c>
      <c r="BQ100" s="76">
        <f t="shared" si="64"/>
        <v>7</v>
      </c>
      <c r="BR100" s="76">
        <f t="shared" si="65"/>
        <v>5</v>
      </c>
      <c r="BS100" s="76">
        <f t="shared" si="66"/>
        <v>11</v>
      </c>
      <c r="BU100" s="25">
        <v>1</v>
      </c>
      <c r="BV100" s="25">
        <v>1</v>
      </c>
      <c r="BW100" s="25">
        <v>1</v>
      </c>
      <c r="BX100" s="25">
        <v>1</v>
      </c>
      <c r="BY100" s="25">
        <v>1</v>
      </c>
      <c r="BZ100" s="25">
        <v>1</v>
      </c>
      <c r="CA100" s="7">
        <v>1</v>
      </c>
      <c r="CC100" s="53" t="s">
        <v>24</v>
      </c>
      <c r="CD100" s="54">
        <v>0</v>
      </c>
      <c r="CE100" s="55">
        <v>1</v>
      </c>
      <c r="CF100" s="55">
        <v>40</v>
      </c>
      <c r="CG100" s="55">
        <v>1</v>
      </c>
      <c r="CH100" s="55">
        <v>50</v>
      </c>
      <c r="CI100" s="55">
        <v>1</v>
      </c>
      <c r="CJ100" s="56">
        <v>1</v>
      </c>
      <c r="CK100" s="57">
        <v>8</v>
      </c>
      <c r="CW100" s="22">
        <v>96</v>
      </c>
      <c r="CX100" s="77" t="s">
        <v>38</v>
      </c>
      <c r="CY100" s="77" t="s">
        <v>75</v>
      </c>
      <c r="CZ100" s="77" t="s">
        <v>39</v>
      </c>
      <c r="DA100" s="77" t="s">
        <v>152</v>
      </c>
      <c r="DB100" s="77" t="s">
        <v>152</v>
      </c>
      <c r="DC100" s="77" t="s">
        <v>35</v>
      </c>
      <c r="DD100" s="37" t="s">
        <v>39</v>
      </c>
      <c r="DF100" s="76">
        <f t="shared" si="67"/>
        <v>10</v>
      </c>
      <c r="DG100" s="76">
        <f t="shared" si="47"/>
        <v>6</v>
      </c>
      <c r="DH100" s="76">
        <f t="shared" si="48"/>
        <v>11</v>
      </c>
      <c r="DI100" s="76">
        <f t="shared" si="49"/>
        <v>7</v>
      </c>
      <c r="DJ100" s="76">
        <f t="shared" si="50"/>
        <v>7</v>
      </c>
      <c r="DK100" s="76">
        <f t="shared" si="51"/>
        <v>5</v>
      </c>
      <c r="DL100" s="76">
        <f t="shared" si="52"/>
        <v>11</v>
      </c>
      <c r="DN100" s="25">
        <v>1</v>
      </c>
      <c r="DO100" s="25">
        <v>1</v>
      </c>
      <c r="DP100" s="25">
        <v>1</v>
      </c>
      <c r="DQ100" s="25">
        <v>1</v>
      </c>
      <c r="DR100" s="25">
        <v>1</v>
      </c>
      <c r="DS100" s="25">
        <v>1</v>
      </c>
      <c r="DT100" s="7">
        <v>1</v>
      </c>
      <c r="DV100" s="53" t="s">
        <v>24</v>
      </c>
      <c r="DW100" s="54">
        <v>0</v>
      </c>
      <c r="DX100" s="55">
        <v>1</v>
      </c>
      <c r="DY100" s="55">
        <v>40</v>
      </c>
      <c r="DZ100" s="55">
        <v>1</v>
      </c>
      <c r="EA100" s="55">
        <v>50</v>
      </c>
      <c r="EB100" s="55">
        <v>1</v>
      </c>
      <c r="EC100" s="56">
        <v>1</v>
      </c>
      <c r="ED100" s="57">
        <v>8</v>
      </c>
    </row>
    <row r="101" spans="11:134" ht="16.2" x14ac:dyDescent="0.3">
      <c r="K101" s="21">
        <v>97</v>
      </c>
      <c r="L101" s="77" t="s">
        <v>40</v>
      </c>
      <c r="M101" s="77" t="s">
        <v>34</v>
      </c>
      <c r="N101" s="77" t="s">
        <v>152</v>
      </c>
      <c r="O101" s="77" t="s">
        <v>152</v>
      </c>
      <c r="P101" s="77" t="s">
        <v>35</v>
      </c>
      <c r="Q101" s="77" t="s">
        <v>35</v>
      </c>
      <c r="R101" s="37" t="s">
        <v>40</v>
      </c>
      <c r="T101" s="76">
        <f t="shared" si="53"/>
        <v>12</v>
      </c>
      <c r="U101" s="76">
        <f t="shared" si="54"/>
        <v>4</v>
      </c>
      <c r="V101" s="76">
        <f t="shared" si="55"/>
        <v>7</v>
      </c>
      <c r="W101" s="76">
        <f t="shared" si="56"/>
        <v>7</v>
      </c>
      <c r="X101" s="76">
        <f t="shared" si="57"/>
        <v>5</v>
      </c>
      <c r="Y101" s="76">
        <f t="shared" si="58"/>
        <v>5</v>
      </c>
      <c r="Z101" s="76">
        <f t="shared" si="59"/>
        <v>12</v>
      </c>
      <c r="AB101" s="25">
        <v>1</v>
      </c>
      <c r="AC101" s="25">
        <v>1</v>
      </c>
      <c r="AD101" s="25">
        <v>1</v>
      </c>
      <c r="AE101" s="25">
        <v>1</v>
      </c>
      <c r="AF101" s="25">
        <v>1</v>
      </c>
      <c r="AG101" s="25">
        <v>1</v>
      </c>
      <c r="AH101" s="7">
        <v>1</v>
      </c>
      <c r="AJ101" s="53" t="s">
        <v>26</v>
      </c>
      <c r="AK101" s="54">
        <v>1</v>
      </c>
      <c r="AL101" s="55">
        <v>1</v>
      </c>
      <c r="AM101" s="55">
        <v>1</v>
      </c>
      <c r="AN101" s="55">
        <v>50</v>
      </c>
      <c r="AO101" s="55">
        <v>1</v>
      </c>
      <c r="AP101" s="55">
        <v>50</v>
      </c>
      <c r="AQ101" s="56">
        <v>1</v>
      </c>
      <c r="AR101" s="57">
        <v>9</v>
      </c>
      <c r="BD101" s="21">
        <v>97</v>
      </c>
      <c r="BE101" s="77" t="s">
        <v>40</v>
      </c>
      <c r="BF101" s="77" t="s">
        <v>33</v>
      </c>
      <c r="BG101" s="77" t="s">
        <v>25</v>
      </c>
      <c r="BH101" s="77" t="s">
        <v>152</v>
      </c>
      <c r="BI101" s="77" t="s">
        <v>35</v>
      </c>
      <c r="BJ101" s="77" t="s">
        <v>35</v>
      </c>
      <c r="BK101" s="37" t="s">
        <v>40</v>
      </c>
      <c r="BM101" s="76">
        <f t="shared" si="60"/>
        <v>12</v>
      </c>
      <c r="BN101" s="76">
        <f t="shared" si="61"/>
        <v>3</v>
      </c>
      <c r="BO101" s="76">
        <f t="shared" si="62"/>
        <v>8</v>
      </c>
      <c r="BP101" s="76">
        <f t="shared" si="63"/>
        <v>7</v>
      </c>
      <c r="BQ101" s="76">
        <f t="shared" si="64"/>
        <v>5</v>
      </c>
      <c r="BR101" s="76">
        <f t="shared" si="65"/>
        <v>5</v>
      </c>
      <c r="BS101" s="76">
        <f t="shared" si="66"/>
        <v>12</v>
      </c>
      <c r="BU101" s="25">
        <v>1</v>
      </c>
      <c r="BV101" s="25">
        <v>1</v>
      </c>
      <c r="BW101" s="25">
        <v>1</v>
      </c>
      <c r="BX101" s="25">
        <v>1</v>
      </c>
      <c r="BY101" s="25">
        <v>1</v>
      </c>
      <c r="BZ101" s="25">
        <v>1</v>
      </c>
      <c r="CA101" s="7">
        <v>1</v>
      </c>
      <c r="CC101" s="53" t="s">
        <v>26</v>
      </c>
      <c r="CD101" s="54">
        <v>1</v>
      </c>
      <c r="CE101" s="55">
        <v>1</v>
      </c>
      <c r="CF101" s="55">
        <v>1</v>
      </c>
      <c r="CG101" s="55">
        <v>50</v>
      </c>
      <c r="CH101" s="55">
        <v>1</v>
      </c>
      <c r="CI101" s="55">
        <v>50</v>
      </c>
      <c r="CJ101" s="56">
        <v>1</v>
      </c>
      <c r="CK101" s="57">
        <v>9</v>
      </c>
      <c r="CW101" s="21">
        <v>97</v>
      </c>
      <c r="CX101" s="77" t="s">
        <v>40</v>
      </c>
      <c r="CY101" s="77" t="s">
        <v>33</v>
      </c>
      <c r="CZ101" s="77" t="s">
        <v>25</v>
      </c>
      <c r="DA101" s="77" t="s">
        <v>152</v>
      </c>
      <c r="DB101" s="77" t="s">
        <v>35</v>
      </c>
      <c r="DC101" s="77" t="s">
        <v>35</v>
      </c>
      <c r="DD101" s="37" t="s">
        <v>40</v>
      </c>
      <c r="DF101" s="76">
        <f t="shared" si="67"/>
        <v>12</v>
      </c>
      <c r="DG101" s="76">
        <f t="shared" si="47"/>
        <v>3</v>
      </c>
      <c r="DH101" s="76">
        <f t="shared" si="48"/>
        <v>8</v>
      </c>
      <c r="DI101" s="76">
        <f t="shared" si="49"/>
        <v>7</v>
      </c>
      <c r="DJ101" s="76">
        <f t="shared" si="50"/>
        <v>5</v>
      </c>
      <c r="DK101" s="76">
        <f t="shared" si="51"/>
        <v>5</v>
      </c>
      <c r="DL101" s="76">
        <f t="shared" si="52"/>
        <v>12</v>
      </c>
      <c r="DN101" s="25">
        <v>1</v>
      </c>
      <c r="DO101" s="25">
        <v>1</v>
      </c>
      <c r="DP101" s="25">
        <v>1</v>
      </c>
      <c r="DQ101" s="25">
        <v>1</v>
      </c>
      <c r="DR101" s="25">
        <v>1</v>
      </c>
      <c r="DS101" s="25">
        <v>1</v>
      </c>
      <c r="DT101" s="7">
        <v>1</v>
      </c>
      <c r="DV101" s="53" t="s">
        <v>26</v>
      </c>
      <c r="DW101" s="54">
        <v>1</v>
      </c>
      <c r="DX101" s="55">
        <v>1</v>
      </c>
      <c r="DY101" s="55">
        <v>1</v>
      </c>
      <c r="DZ101" s="55">
        <v>50</v>
      </c>
      <c r="EA101" s="55">
        <v>1</v>
      </c>
      <c r="EB101" s="55">
        <v>50</v>
      </c>
      <c r="EC101" s="56">
        <v>1</v>
      </c>
      <c r="ED101" s="57">
        <v>9</v>
      </c>
    </row>
    <row r="102" spans="11:134" ht="16.2" x14ac:dyDescent="0.3">
      <c r="K102" s="22">
        <v>98</v>
      </c>
      <c r="L102" s="77" t="s">
        <v>34</v>
      </c>
      <c r="M102" s="77" t="s">
        <v>152</v>
      </c>
      <c r="N102" s="77" t="s">
        <v>38</v>
      </c>
      <c r="O102" s="77" t="s">
        <v>38</v>
      </c>
      <c r="P102" s="77" t="s">
        <v>39</v>
      </c>
      <c r="Q102" s="77" t="s">
        <v>40</v>
      </c>
      <c r="R102" s="37" t="s">
        <v>35</v>
      </c>
      <c r="T102" s="76">
        <f t="shared" si="53"/>
        <v>4</v>
      </c>
      <c r="U102" s="76">
        <f t="shared" si="54"/>
        <v>7</v>
      </c>
      <c r="V102" s="76">
        <f t="shared" si="55"/>
        <v>10</v>
      </c>
      <c r="W102" s="76">
        <f t="shared" si="56"/>
        <v>10</v>
      </c>
      <c r="X102" s="76">
        <f t="shared" si="57"/>
        <v>11</v>
      </c>
      <c r="Y102" s="76">
        <f t="shared" si="58"/>
        <v>12</v>
      </c>
      <c r="Z102" s="76">
        <f t="shared" si="59"/>
        <v>5</v>
      </c>
      <c r="AB102" s="25">
        <v>1</v>
      </c>
      <c r="AC102" s="25">
        <v>1</v>
      </c>
      <c r="AD102" s="25">
        <v>1</v>
      </c>
      <c r="AE102" s="25">
        <v>1</v>
      </c>
      <c r="AF102" s="25">
        <v>1</v>
      </c>
      <c r="AG102" s="25">
        <v>1</v>
      </c>
      <c r="AH102" s="7">
        <v>3</v>
      </c>
      <c r="AJ102" s="53" t="s">
        <v>27</v>
      </c>
      <c r="AK102" s="54">
        <v>20</v>
      </c>
      <c r="AL102" s="55">
        <v>1</v>
      </c>
      <c r="AM102" s="55">
        <v>15</v>
      </c>
      <c r="AN102" s="55">
        <v>1</v>
      </c>
      <c r="AO102" s="55">
        <v>1</v>
      </c>
      <c r="AP102" s="55">
        <v>1</v>
      </c>
      <c r="AQ102" s="56">
        <v>2</v>
      </c>
      <c r="AR102" s="57">
        <v>10</v>
      </c>
      <c r="BD102" s="22">
        <v>98</v>
      </c>
      <c r="BE102" s="77" t="s">
        <v>34</v>
      </c>
      <c r="BF102" s="77" t="s">
        <v>152</v>
      </c>
      <c r="BG102" s="77" t="s">
        <v>38</v>
      </c>
      <c r="BH102" s="77" t="s">
        <v>38</v>
      </c>
      <c r="BI102" s="77" t="s">
        <v>39</v>
      </c>
      <c r="BJ102" s="77" t="s">
        <v>40</v>
      </c>
      <c r="BK102" s="37" t="s">
        <v>35</v>
      </c>
      <c r="BM102" s="76">
        <f t="shared" si="60"/>
        <v>4</v>
      </c>
      <c r="BN102" s="76">
        <f t="shared" si="61"/>
        <v>7</v>
      </c>
      <c r="BO102" s="76">
        <f t="shared" si="62"/>
        <v>10</v>
      </c>
      <c r="BP102" s="76">
        <f t="shared" si="63"/>
        <v>10</v>
      </c>
      <c r="BQ102" s="76">
        <f t="shared" si="64"/>
        <v>11</v>
      </c>
      <c r="BR102" s="76">
        <f t="shared" si="65"/>
        <v>12</v>
      </c>
      <c r="BS102" s="76">
        <f t="shared" si="66"/>
        <v>5</v>
      </c>
      <c r="BU102" s="25">
        <v>1</v>
      </c>
      <c r="BV102" s="25">
        <v>1</v>
      </c>
      <c r="BW102" s="25">
        <v>1</v>
      </c>
      <c r="BX102" s="25">
        <v>1</v>
      </c>
      <c r="BY102" s="25">
        <v>1</v>
      </c>
      <c r="BZ102" s="25">
        <v>1</v>
      </c>
      <c r="CA102" s="7">
        <v>1</v>
      </c>
      <c r="CC102" s="53" t="s">
        <v>27</v>
      </c>
      <c r="CD102" s="54">
        <v>20</v>
      </c>
      <c r="CE102" s="55">
        <v>1</v>
      </c>
      <c r="CF102" s="55">
        <v>15</v>
      </c>
      <c r="CG102" s="55">
        <v>1</v>
      </c>
      <c r="CH102" s="55">
        <v>1</v>
      </c>
      <c r="CI102" s="55">
        <v>1</v>
      </c>
      <c r="CJ102" s="56">
        <v>2</v>
      </c>
      <c r="CK102" s="57">
        <v>10</v>
      </c>
      <c r="CW102" s="22">
        <v>98</v>
      </c>
      <c r="CX102" s="77" t="s">
        <v>34</v>
      </c>
      <c r="CY102" s="77" t="s">
        <v>152</v>
      </c>
      <c r="CZ102" s="77" t="s">
        <v>38</v>
      </c>
      <c r="DA102" s="77" t="s">
        <v>38</v>
      </c>
      <c r="DB102" s="77" t="s">
        <v>39</v>
      </c>
      <c r="DC102" s="77" t="s">
        <v>40</v>
      </c>
      <c r="DD102" s="37" t="s">
        <v>35</v>
      </c>
      <c r="DF102" s="76">
        <f t="shared" si="67"/>
        <v>4</v>
      </c>
      <c r="DG102" s="76">
        <f t="shared" si="47"/>
        <v>7</v>
      </c>
      <c r="DH102" s="76">
        <f t="shared" si="48"/>
        <v>10</v>
      </c>
      <c r="DI102" s="76">
        <f t="shared" si="49"/>
        <v>10</v>
      </c>
      <c r="DJ102" s="76">
        <f t="shared" si="50"/>
        <v>11</v>
      </c>
      <c r="DK102" s="76">
        <f t="shared" si="51"/>
        <v>12</v>
      </c>
      <c r="DL102" s="76">
        <f t="shared" si="52"/>
        <v>5</v>
      </c>
      <c r="DN102" s="25">
        <v>1</v>
      </c>
      <c r="DO102" s="25">
        <v>1</v>
      </c>
      <c r="DP102" s="25">
        <v>1</v>
      </c>
      <c r="DQ102" s="25">
        <v>1</v>
      </c>
      <c r="DR102" s="25">
        <v>1</v>
      </c>
      <c r="DS102" s="25">
        <v>1</v>
      </c>
      <c r="DT102" s="7">
        <v>1</v>
      </c>
      <c r="DV102" s="53" t="s">
        <v>27</v>
      </c>
      <c r="DW102" s="54">
        <v>20</v>
      </c>
      <c r="DX102" s="55">
        <v>1</v>
      </c>
      <c r="DY102" s="55">
        <v>15</v>
      </c>
      <c r="DZ102" s="55">
        <v>1</v>
      </c>
      <c r="EA102" s="55">
        <v>1</v>
      </c>
      <c r="EB102" s="55">
        <v>1</v>
      </c>
      <c r="EC102" s="56">
        <v>2</v>
      </c>
      <c r="ED102" s="57">
        <v>10</v>
      </c>
    </row>
    <row r="103" spans="11:134" ht="16.2" x14ac:dyDescent="0.3">
      <c r="K103" s="21">
        <v>99</v>
      </c>
      <c r="L103" s="77" t="s">
        <v>39</v>
      </c>
      <c r="M103" s="77" t="s">
        <v>163</v>
      </c>
      <c r="N103" s="77" t="s">
        <v>37</v>
      </c>
      <c r="O103" s="77" t="s">
        <v>38</v>
      </c>
      <c r="P103" s="77" t="s">
        <v>39</v>
      </c>
      <c r="Q103" s="77" t="s">
        <v>40</v>
      </c>
      <c r="R103" s="37" t="s">
        <v>35</v>
      </c>
      <c r="T103" s="76">
        <f t="shared" si="53"/>
        <v>11</v>
      </c>
      <c r="U103" s="76">
        <f t="shared" si="54"/>
        <v>18</v>
      </c>
      <c r="V103" s="76">
        <f t="shared" si="55"/>
        <v>9</v>
      </c>
      <c r="W103" s="76">
        <f t="shared" si="56"/>
        <v>10</v>
      </c>
      <c r="X103" s="76">
        <f t="shared" si="57"/>
        <v>11</v>
      </c>
      <c r="Y103" s="76">
        <f t="shared" si="58"/>
        <v>12</v>
      </c>
      <c r="Z103" s="76">
        <f t="shared" si="59"/>
        <v>5</v>
      </c>
      <c r="AB103" s="25">
        <v>1</v>
      </c>
      <c r="AC103" s="25">
        <v>1</v>
      </c>
      <c r="AD103" s="25">
        <v>1</v>
      </c>
      <c r="AE103" s="25">
        <v>1</v>
      </c>
      <c r="AF103" s="25">
        <v>1</v>
      </c>
      <c r="AG103" s="25">
        <v>1</v>
      </c>
      <c r="AH103" s="7">
        <v>1</v>
      </c>
      <c r="AJ103" s="53" t="s">
        <v>28</v>
      </c>
      <c r="AK103" s="54">
        <v>1</v>
      </c>
      <c r="AL103" s="55">
        <v>50</v>
      </c>
      <c r="AM103" s="55">
        <v>1</v>
      </c>
      <c r="AN103" s="55">
        <v>1</v>
      </c>
      <c r="AO103" s="55">
        <v>1</v>
      </c>
      <c r="AP103" s="55">
        <v>1</v>
      </c>
      <c r="AQ103" s="56">
        <v>1</v>
      </c>
      <c r="AR103" s="57">
        <v>11</v>
      </c>
      <c r="BD103" s="21">
        <v>99</v>
      </c>
      <c r="BE103" s="77" t="s">
        <v>39</v>
      </c>
      <c r="BF103" s="77" t="s">
        <v>163</v>
      </c>
      <c r="BG103" s="77" t="s">
        <v>37</v>
      </c>
      <c r="BH103" s="77" t="s">
        <v>38</v>
      </c>
      <c r="BI103" s="77" t="s">
        <v>39</v>
      </c>
      <c r="BJ103" s="77" t="s">
        <v>40</v>
      </c>
      <c r="BK103" s="37" t="s">
        <v>35</v>
      </c>
      <c r="BM103" s="76">
        <f t="shared" si="60"/>
        <v>11</v>
      </c>
      <c r="BN103" s="76">
        <f t="shared" si="61"/>
        <v>18</v>
      </c>
      <c r="BO103" s="76">
        <f t="shared" si="62"/>
        <v>9</v>
      </c>
      <c r="BP103" s="76">
        <f t="shared" si="63"/>
        <v>10</v>
      </c>
      <c r="BQ103" s="76">
        <f t="shared" si="64"/>
        <v>11</v>
      </c>
      <c r="BR103" s="76">
        <f t="shared" si="65"/>
        <v>12</v>
      </c>
      <c r="BS103" s="76">
        <f t="shared" si="66"/>
        <v>5</v>
      </c>
      <c r="BU103" s="25">
        <v>1</v>
      </c>
      <c r="BV103" s="25">
        <v>1</v>
      </c>
      <c r="BW103" s="25">
        <v>1</v>
      </c>
      <c r="BX103" s="25">
        <v>1</v>
      </c>
      <c r="BY103" s="25">
        <v>1</v>
      </c>
      <c r="BZ103" s="25">
        <v>1</v>
      </c>
      <c r="CA103" s="7">
        <v>1</v>
      </c>
      <c r="CC103" s="53" t="s">
        <v>28</v>
      </c>
      <c r="CD103" s="54">
        <v>1</v>
      </c>
      <c r="CE103" s="55">
        <v>50</v>
      </c>
      <c r="CF103" s="55">
        <v>1</v>
      </c>
      <c r="CG103" s="55">
        <v>1</v>
      </c>
      <c r="CH103" s="55">
        <v>1</v>
      </c>
      <c r="CI103" s="55">
        <v>1</v>
      </c>
      <c r="CJ103" s="56">
        <v>1</v>
      </c>
      <c r="CK103" s="57">
        <v>11</v>
      </c>
      <c r="CW103" s="21">
        <v>99</v>
      </c>
      <c r="CX103" s="77" t="s">
        <v>39</v>
      </c>
      <c r="CY103" s="77" t="s">
        <v>163</v>
      </c>
      <c r="CZ103" s="77" t="s">
        <v>37</v>
      </c>
      <c r="DA103" s="77" t="s">
        <v>38</v>
      </c>
      <c r="DB103" s="77" t="s">
        <v>39</v>
      </c>
      <c r="DC103" s="77" t="s">
        <v>40</v>
      </c>
      <c r="DD103" s="37" t="s">
        <v>35</v>
      </c>
      <c r="DF103" s="76">
        <f t="shared" si="67"/>
        <v>11</v>
      </c>
      <c r="DG103" s="76">
        <f t="shared" si="47"/>
        <v>18</v>
      </c>
      <c r="DH103" s="76">
        <f t="shared" si="48"/>
        <v>9</v>
      </c>
      <c r="DI103" s="76">
        <f t="shared" si="49"/>
        <v>10</v>
      </c>
      <c r="DJ103" s="76">
        <f t="shared" si="50"/>
        <v>11</v>
      </c>
      <c r="DK103" s="76">
        <f t="shared" si="51"/>
        <v>12</v>
      </c>
      <c r="DL103" s="76">
        <f t="shared" si="52"/>
        <v>5</v>
      </c>
      <c r="DN103" s="25">
        <v>1</v>
      </c>
      <c r="DO103" s="25">
        <v>1</v>
      </c>
      <c r="DP103" s="25">
        <v>1</v>
      </c>
      <c r="DQ103" s="25">
        <v>1</v>
      </c>
      <c r="DR103" s="25">
        <v>1</v>
      </c>
      <c r="DS103" s="25">
        <v>1</v>
      </c>
      <c r="DT103" s="7">
        <v>1</v>
      </c>
      <c r="DV103" s="53" t="s">
        <v>28</v>
      </c>
      <c r="DW103" s="54">
        <v>1</v>
      </c>
      <c r="DX103" s="55">
        <v>50</v>
      </c>
      <c r="DY103" s="55">
        <v>1</v>
      </c>
      <c r="DZ103" s="55">
        <v>1</v>
      </c>
      <c r="EA103" s="55">
        <v>1</v>
      </c>
      <c r="EB103" s="55">
        <v>1</v>
      </c>
      <c r="EC103" s="56">
        <v>1</v>
      </c>
      <c r="ED103" s="57">
        <v>11</v>
      </c>
    </row>
    <row r="104" spans="11:134" ht="16.2" x14ac:dyDescent="0.3">
      <c r="K104" s="22">
        <v>100</v>
      </c>
      <c r="L104" s="77" t="s">
        <v>152</v>
      </c>
      <c r="M104" s="77" t="s">
        <v>35</v>
      </c>
      <c r="N104" s="77" t="s">
        <v>37</v>
      </c>
      <c r="O104" s="77" t="s">
        <v>191</v>
      </c>
      <c r="P104" s="77" t="s">
        <v>35</v>
      </c>
      <c r="Q104" s="77" t="s">
        <v>75</v>
      </c>
      <c r="R104" s="37" t="s">
        <v>35</v>
      </c>
      <c r="T104" s="76">
        <f t="shared" si="53"/>
        <v>7</v>
      </c>
      <c r="U104" s="76">
        <f t="shared" si="54"/>
        <v>5</v>
      </c>
      <c r="V104" s="76">
        <f t="shared" si="55"/>
        <v>9</v>
      </c>
      <c r="W104" s="76">
        <f t="shared" si="56"/>
        <v>21</v>
      </c>
      <c r="X104" s="76">
        <f t="shared" si="57"/>
        <v>5</v>
      </c>
      <c r="Y104" s="76">
        <f t="shared" si="58"/>
        <v>6</v>
      </c>
      <c r="Z104" s="76">
        <f t="shared" si="59"/>
        <v>5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H104" s="7">
        <v>1</v>
      </c>
      <c r="AJ104" s="53" t="s">
        <v>29</v>
      </c>
      <c r="AK104" s="54">
        <v>50</v>
      </c>
      <c r="AL104" s="55">
        <v>1</v>
      </c>
      <c r="AM104" s="55">
        <v>1</v>
      </c>
      <c r="AN104" s="55">
        <v>1</v>
      </c>
      <c r="AO104" s="55">
        <v>1</v>
      </c>
      <c r="AP104" s="55">
        <v>1</v>
      </c>
      <c r="AQ104" s="56">
        <v>1</v>
      </c>
      <c r="AR104" s="57">
        <v>12</v>
      </c>
      <c r="BD104" s="22">
        <v>100</v>
      </c>
      <c r="BE104" s="77" t="s">
        <v>152</v>
      </c>
      <c r="BF104" s="77" t="s">
        <v>75</v>
      </c>
      <c r="BG104" s="77" t="s">
        <v>37</v>
      </c>
      <c r="BH104" s="77" t="s">
        <v>191</v>
      </c>
      <c r="BI104" s="77" t="s">
        <v>35</v>
      </c>
      <c r="BJ104" s="77" t="s">
        <v>75</v>
      </c>
      <c r="BK104" s="37" t="s">
        <v>35</v>
      </c>
      <c r="BM104" s="76">
        <f t="shared" si="60"/>
        <v>7</v>
      </c>
      <c r="BN104" s="76">
        <f t="shared" si="61"/>
        <v>6</v>
      </c>
      <c r="BO104" s="76">
        <f t="shared" si="62"/>
        <v>9</v>
      </c>
      <c r="BP104" s="76">
        <f t="shared" si="63"/>
        <v>21</v>
      </c>
      <c r="BQ104" s="76">
        <f t="shared" si="64"/>
        <v>5</v>
      </c>
      <c r="BR104" s="76">
        <f t="shared" si="65"/>
        <v>6</v>
      </c>
      <c r="BS104" s="76">
        <f t="shared" si="66"/>
        <v>5</v>
      </c>
      <c r="BU104" s="25">
        <v>1</v>
      </c>
      <c r="BV104" s="25">
        <v>1</v>
      </c>
      <c r="BW104" s="25">
        <v>1</v>
      </c>
      <c r="BX104" s="25">
        <v>1</v>
      </c>
      <c r="BY104" s="25">
        <v>1</v>
      </c>
      <c r="BZ104" s="25">
        <v>1</v>
      </c>
      <c r="CA104" s="7">
        <v>1</v>
      </c>
      <c r="CC104" s="53" t="s">
        <v>29</v>
      </c>
      <c r="CD104" s="54">
        <v>50</v>
      </c>
      <c r="CE104" s="55">
        <v>1</v>
      </c>
      <c r="CF104" s="55">
        <v>1</v>
      </c>
      <c r="CG104" s="55">
        <v>1</v>
      </c>
      <c r="CH104" s="55">
        <v>1</v>
      </c>
      <c r="CI104" s="55">
        <v>1</v>
      </c>
      <c r="CJ104" s="56">
        <v>1</v>
      </c>
      <c r="CK104" s="57">
        <v>12</v>
      </c>
      <c r="CW104" s="22">
        <v>100</v>
      </c>
      <c r="CX104" s="77" t="s">
        <v>152</v>
      </c>
      <c r="CY104" s="77" t="s">
        <v>75</v>
      </c>
      <c r="CZ104" s="77" t="s">
        <v>37</v>
      </c>
      <c r="DA104" s="77" t="s">
        <v>191</v>
      </c>
      <c r="DB104" s="77" t="s">
        <v>35</v>
      </c>
      <c r="DC104" s="77" t="s">
        <v>75</v>
      </c>
      <c r="DD104" s="37" t="s">
        <v>35</v>
      </c>
      <c r="DF104" s="76">
        <f t="shared" si="67"/>
        <v>7</v>
      </c>
      <c r="DG104" s="76">
        <f t="shared" si="47"/>
        <v>6</v>
      </c>
      <c r="DH104" s="76">
        <f t="shared" si="48"/>
        <v>9</v>
      </c>
      <c r="DI104" s="76">
        <f t="shared" si="49"/>
        <v>21</v>
      </c>
      <c r="DJ104" s="76">
        <f t="shared" si="50"/>
        <v>5</v>
      </c>
      <c r="DK104" s="76">
        <f t="shared" si="51"/>
        <v>6</v>
      </c>
      <c r="DL104" s="76">
        <f t="shared" si="52"/>
        <v>5</v>
      </c>
      <c r="DN104" s="25">
        <v>1</v>
      </c>
      <c r="DO104" s="25">
        <v>1</v>
      </c>
      <c r="DP104" s="25">
        <v>1</v>
      </c>
      <c r="DQ104" s="25">
        <v>1</v>
      </c>
      <c r="DR104" s="25">
        <v>1</v>
      </c>
      <c r="DS104" s="25">
        <v>1</v>
      </c>
      <c r="DT104" s="7">
        <v>1</v>
      </c>
      <c r="DV104" s="53" t="s">
        <v>29</v>
      </c>
      <c r="DW104" s="54">
        <v>50</v>
      </c>
      <c r="DX104" s="55">
        <v>1</v>
      </c>
      <c r="DY104" s="55">
        <v>1</v>
      </c>
      <c r="DZ104" s="55">
        <v>1</v>
      </c>
      <c r="EA104" s="55">
        <v>1</v>
      </c>
      <c r="EB104" s="55">
        <v>1</v>
      </c>
      <c r="EC104" s="56">
        <v>1</v>
      </c>
      <c r="ED104" s="57">
        <v>12</v>
      </c>
    </row>
    <row r="105" spans="11:134" ht="16.2" x14ac:dyDescent="0.3">
      <c r="K105" s="21">
        <v>101</v>
      </c>
      <c r="L105" s="77" t="s">
        <v>152</v>
      </c>
      <c r="M105" s="77" t="s">
        <v>176</v>
      </c>
      <c r="N105" s="77" t="s">
        <v>39</v>
      </c>
      <c r="O105" s="77" t="s">
        <v>75</v>
      </c>
      <c r="P105" s="77" t="s">
        <v>192</v>
      </c>
      <c r="Q105" s="77" t="s">
        <v>75</v>
      </c>
      <c r="R105" s="37" t="s">
        <v>39</v>
      </c>
      <c r="T105" s="76">
        <f t="shared" si="53"/>
        <v>7</v>
      </c>
      <c r="U105" s="76">
        <f t="shared" si="54"/>
        <v>24</v>
      </c>
      <c r="V105" s="76">
        <f t="shared" si="55"/>
        <v>11</v>
      </c>
      <c r="W105" s="76">
        <f t="shared" si="56"/>
        <v>6</v>
      </c>
      <c r="X105" s="76">
        <f t="shared" si="57"/>
        <v>22</v>
      </c>
      <c r="Y105" s="76">
        <f t="shared" si="58"/>
        <v>6</v>
      </c>
      <c r="Z105" s="76">
        <f t="shared" si="59"/>
        <v>11</v>
      </c>
      <c r="AB105" s="25">
        <v>1</v>
      </c>
      <c r="AC105" s="25">
        <v>1</v>
      </c>
      <c r="AD105" s="25">
        <v>1</v>
      </c>
      <c r="AE105" s="25">
        <v>1</v>
      </c>
      <c r="AF105" s="25">
        <v>1</v>
      </c>
      <c r="AG105" s="25">
        <v>1</v>
      </c>
      <c r="AH105" s="7">
        <v>1</v>
      </c>
      <c r="AJ105" s="53" t="s">
        <v>79</v>
      </c>
      <c r="AK105" s="54">
        <v>0</v>
      </c>
      <c r="AL105" s="55">
        <v>2</v>
      </c>
      <c r="AM105" s="55">
        <v>2</v>
      </c>
      <c r="AN105" s="55">
        <v>1</v>
      </c>
      <c r="AO105" s="55">
        <v>2</v>
      </c>
      <c r="AP105" s="55">
        <v>0</v>
      </c>
      <c r="AQ105" s="56">
        <v>0</v>
      </c>
      <c r="AR105" s="57">
        <v>13</v>
      </c>
      <c r="BD105" s="21">
        <v>101</v>
      </c>
      <c r="BE105" s="77" t="s">
        <v>152</v>
      </c>
      <c r="BF105" s="77" t="s">
        <v>176</v>
      </c>
      <c r="BG105" s="77" t="s">
        <v>39</v>
      </c>
      <c r="BH105" s="77" t="s">
        <v>75</v>
      </c>
      <c r="BI105" s="77" t="s">
        <v>192</v>
      </c>
      <c r="BJ105" s="77" t="s">
        <v>75</v>
      </c>
      <c r="BK105" s="37" t="s">
        <v>39</v>
      </c>
      <c r="BM105" s="76">
        <f t="shared" si="60"/>
        <v>7</v>
      </c>
      <c r="BN105" s="76">
        <f t="shared" si="61"/>
        <v>24</v>
      </c>
      <c r="BO105" s="76">
        <f t="shared" si="62"/>
        <v>11</v>
      </c>
      <c r="BP105" s="76">
        <f t="shared" si="63"/>
        <v>6</v>
      </c>
      <c r="BQ105" s="76">
        <f t="shared" si="64"/>
        <v>22</v>
      </c>
      <c r="BR105" s="76">
        <f t="shared" si="65"/>
        <v>6</v>
      </c>
      <c r="BS105" s="76">
        <f t="shared" si="66"/>
        <v>11</v>
      </c>
      <c r="BU105" s="25">
        <v>1</v>
      </c>
      <c r="BV105" s="25">
        <v>1</v>
      </c>
      <c r="BW105" s="25">
        <v>1</v>
      </c>
      <c r="BX105" s="25">
        <v>1</v>
      </c>
      <c r="BY105" s="25">
        <v>1</v>
      </c>
      <c r="BZ105" s="25">
        <v>1</v>
      </c>
      <c r="CA105" s="7">
        <v>1</v>
      </c>
      <c r="CC105" s="53" t="s">
        <v>79</v>
      </c>
      <c r="CD105" s="54">
        <v>0</v>
      </c>
      <c r="CE105" s="55">
        <v>2</v>
      </c>
      <c r="CF105" s="55">
        <v>2</v>
      </c>
      <c r="CG105" s="55">
        <v>1</v>
      </c>
      <c r="CH105" s="55">
        <v>2</v>
      </c>
      <c r="CI105" s="55">
        <v>0</v>
      </c>
      <c r="CJ105" s="56">
        <v>0</v>
      </c>
      <c r="CK105" s="57">
        <v>13</v>
      </c>
      <c r="CW105" s="21">
        <v>101</v>
      </c>
      <c r="CX105" s="77" t="s">
        <v>152</v>
      </c>
      <c r="CY105" s="77" t="s">
        <v>176</v>
      </c>
      <c r="CZ105" s="77" t="s">
        <v>39</v>
      </c>
      <c r="DA105" s="77" t="s">
        <v>75</v>
      </c>
      <c r="DB105" s="77" t="s">
        <v>192</v>
      </c>
      <c r="DC105" s="77" t="s">
        <v>75</v>
      </c>
      <c r="DD105" s="37" t="s">
        <v>39</v>
      </c>
      <c r="DF105" s="76">
        <f t="shared" si="67"/>
        <v>7</v>
      </c>
      <c r="DG105" s="76">
        <f t="shared" si="47"/>
        <v>24</v>
      </c>
      <c r="DH105" s="76">
        <f t="shared" si="48"/>
        <v>11</v>
      </c>
      <c r="DI105" s="76">
        <f t="shared" si="49"/>
        <v>6</v>
      </c>
      <c r="DJ105" s="76">
        <f t="shared" si="50"/>
        <v>22</v>
      </c>
      <c r="DK105" s="76">
        <f t="shared" si="51"/>
        <v>6</v>
      </c>
      <c r="DL105" s="76">
        <f t="shared" si="52"/>
        <v>11</v>
      </c>
      <c r="DN105" s="25">
        <v>1</v>
      </c>
      <c r="DO105" s="25">
        <v>1</v>
      </c>
      <c r="DP105" s="25">
        <v>1</v>
      </c>
      <c r="DQ105" s="25">
        <v>1</v>
      </c>
      <c r="DR105" s="25">
        <v>1</v>
      </c>
      <c r="DS105" s="25">
        <v>1</v>
      </c>
      <c r="DT105" s="7">
        <v>1</v>
      </c>
      <c r="DV105" s="53" t="s">
        <v>79</v>
      </c>
      <c r="DW105" s="54">
        <v>0</v>
      </c>
      <c r="DX105" s="55">
        <v>2</v>
      </c>
      <c r="DY105" s="55">
        <v>2</v>
      </c>
      <c r="DZ105" s="55">
        <v>1</v>
      </c>
      <c r="EA105" s="55">
        <v>2</v>
      </c>
      <c r="EB105" s="55">
        <v>0</v>
      </c>
      <c r="EC105" s="56">
        <v>0</v>
      </c>
      <c r="ED105" s="57">
        <v>13</v>
      </c>
    </row>
    <row r="106" spans="11:134" ht="16.2" x14ac:dyDescent="0.3">
      <c r="K106" s="22">
        <v>102</v>
      </c>
      <c r="L106" s="77" t="s">
        <v>37</v>
      </c>
      <c r="M106" s="77" t="s">
        <v>187</v>
      </c>
      <c r="N106" s="77" t="s">
        <v>39</v>
      </c>
      <c r="O106" s="77" t="s">
        <v>25</v>
      </c>
      <c r="P106" s="77" t="s">
        <v>39</v>
      </c>
      <c r="Q106" s="77" t="s">
        <v>38</v>
      </c>
      <c r="R106" s="37" t="s">
        <v>39</v>
      </c>
      <c r="T106" s="76">
        <f t="shared" si="53"/>
        <v>9</v>
      </c>
      <c r="U106" s="76">
        <f t="shared" si="54"/>
        <v>25</v>
      </c>
      <c r="V106" s="76">
        <f t="shared" si="55"/>
        <v>11</v>
      </c>
      <c r="W106" s="76">
        <f t="shared" si="56"/>
        <v>8</v>
      </c>
      <c r="X106" s="76">
        <f t="shared" si="57"/>
        <v>11</v>
      </c>
      <c r="Y106" s="76">
        <f t="shared" si="58"/>
        <v>10</v>
      </c>
      <c r="Z106" s="76">
        <f t="shared" si="59"/>
        <v>11</v>
      </c>
      <c r="AB106" s="25">
        <v>1</v>
      </c>
      <c r="AC106" s="25">
        <v>1</v>
      </c>
      <c r="AD106" s="25">
        <v>1</v>
      </c>
      <c r="AE106" s="25">
        <v>1</v>
      </c>
      <c r="AF106" s="25">
        <v>1</v>
      </c>
      <c r="AG106" s="25">
        <v>1</v>
      </c>
      <c r="AH106" s="7">
        <v>1</v>
      </c>
      <c r="AJ106" s="53" t="s">
        <v>80</v>
      </c>
      <c r="AK106" s="54">
        <v>0</v>
      </c>
      <c r="AL106" s="55">
        <v>1</v>
      </c>
      <c r="AM106" s="55">
        <v>1</v>
      </c>
      <c r="AN106" s="55">
        <v>2</v>
      </c>
      <c r="AO106" s="55">
        <v>1</v>
      </c>
      <c r="AP106" s="55">
        <v>0</v>
      </c>
      <c r="AQ106" s="56">
        <v>0</v>
      </c>
      <c r="AR106" s="57">
        <v>14</v>
      </c>
      <c r="BD106" s="22">
        <v>102</v>
      </c>
      <c r="BE106" s="77" t="s">
        <v>37</v>
      </c>
      <c r="BF106" s="77" t="s">
        <v>187</v>
      </c>
      <c r="BG106" s="77" t="s">
        <v>39</v>
      </c>
      <c r="BH106" s="77" t="s">
        <v>25</v>
      </c>
      <c r="BI106" s="77" t="s">
        <v>39</v>
      </c>
      <c r="BJ106" s="77" t="s">
        <v>38</v>
      </c>
      <c r="BK106" s="37" t="s">
        <v>39</v>
      </c>
      <c r="BM106" s="76">
        <f t="shared" si="60"/>
        <v>9</v>
      </c>
      <c r="BN106" s="76">
        <f t="shared" si="61"/>
        <v>25</v>
      </c>
      <c r="BO106" s="76">
        <f t="shared" si="62"/>
        <v>11</v>
      </c>
      <c r="BP106" s="76">
        <f t="shared" si="63"/>
        <v>8</v>
      </c>
      <c r="BQ106" s="76">
        <f t="shared" si="64"/>
        <v>11</v>
      </c>
      <c r="BR106" s="76">
        <f t="shared" si="65"/>
        <v>10</v>
      </c>
      <c r="BS106" s="76">
        <f t="shared" si="66"/>
        <v>11</v>
      </c>
      <c r="BU106" s="25">
        <v>1</v>
      </c>
      <c r="BV106" s="25">
        <v>1</v>
      </c>
      <c r="BW106" s="25">
        <v>1</v>
      </c>
      <c r="BX106" s="25">
        <v>1</v>
      </c>
      <c r="BY106" s="25">
        <v>1</v>
      </c>
      <c r="BZ106" s="25">
        <v>1</v>
      </c>
      <c r="CA106" s="7">
        <v>1</v>
      </c>
      <c r="CC106" s="53" t="s">
        <v>80</v>
      </c>
      <c r="CD106" s="54">
        <v>0</v>
      </c>
      <c r="CE106" s="55">
        <v>1</v>
      </c>
      <c r="CF106" s="55">
        <v>1</v>
      </c>
      <c r="CG106" s="55">
        <v>2</v>
      </c>
      <c r="CH106" s="55">
        <v>1</v>
      </c>
      <c r="CI106" s="55">
        <v>0</v>
      </c>
      <c r="CJ106" s="56">
        <v>0</v>
      </c>
      <c r="CK106" s="57">
        <v>14</v>
      </c>
      <c r="CW106" s="22">
        <v>102</v>
      </c>
      <c r="CX106" s="77" t="s">
        <v>37</v>
      </c>
      <c r="CY106" s="77" t="s">
        <v>187</v>
      </c>
      <c r="CZ106" s="77" t="s">
        <v>39</v>
      </c>
      <c r="DA106" s="77" t="s">
        <v>25</v>
      </c>
      <c r="DB106" s="77" t="s">
        <v>39</v>
      </c>
      <c r="DC106" s="77" t="s">
        <v>38</v>
      </c>
      <c r="DD106" s="37" t="s">
        <v>39</v>
      </c>
      <c r="DF106" s="76">
        <f t="shared" si="67"/>
        <v>9</v>
      </c>
      <c r="DG106" s="76">
        <f t="shared" si="47"/>
        <v>25</v>
      </c>
      <c r="DH106" s="76">
        <f t="shared" si="48"/>
        <v>11</v>
      </c>
      <c r="DI106" s="76">
        <f t="shared" si="49"/>
        <v>8</v>
      </c>
      <c r="DJ106" s="76">
        <f t="shared" si="50"/>
        <v>11</v>
      </c>
      <c r="DK106" s="76">
        <f t="shared" si="51"/>
        <v>10</v>
      </c>
      <c r="DL106" s="76">
        <f t="shared" si="52"/>
        <v>11</v>
      </c>
      <c r="DN106" s="25">
        <v>1</v>
      </c>
      <c r="DO106" s="25">
        <v>1</v>
      </c>
      <c r="DP106" s="25">
        <v>1</v>
      </c>
      <c r="DQ106" s="25">
        <v>1</v>
      </c>
      <c r="DR106" s="25">
        <v>1</v>
      </c>
      <c r="DS106" s="25">
        <v>1</v>
      </c>
      <c r="DT106" s="7">
        <v>1</v>
      </c>
      <c r="DV106" s="53" t="s">
        <v>80</v>
      </c>
      <c r="DW106" s="54">
        <v>0</v>
      </c>
      <c r="DX106" s="55">
        <v>1</v>
      </c>
      <c r="DY106" s="55">
        <v>1</v>
      </c>
      <c r="DZ106" s="55">
        <v>2</v>
      </c>
      <c r="EA106" s="55">
        <v>1</v>
      </c>
      <c r="EB106" s="55">
        <v>0</v>
      </c>
      <c r="EC106" s="56">
        <v>0</v>
      </c>
      <c r="ED106" s="57">
        <v>14</v>
      </c>
    </row>
    <row r="107" spans="11:134" ht="16.2" x14ac:dyDescent="0.3">
      <c r="K107" s="21">
        <v>103</v>
      </c>
      <c r="L107" s="77" t="s">
        <v>38</v>
      </c>
      <c r="M107" s="77" t="s">
        <v>35</v>
      </c>
      <c r="N107" s="77" t="s">
        <v>40</v>
      </c>
      <c r="O107" s="77" t="s">
        <v>38</v>
      </c>
      <c r="P107" s="77" t="s">
        <v>39</v>
      </c>
      <c r="Q107" s="77" t="s">
        <v>38</v>
      </c>
      <c r="R107" s="37" t="s">
        <v>33</v>
      </c>
      <c r="T107" s="76">
        <f t="shared" si="53"/>
        <v>10</v>
      </c>
      <c r="U107" s="76">
        <f t="shared" si="54"/>
        <v>5</v>
      </c>
      <c r="V107" s="76">
        <f t="shared" si="55"/>
        <v>12</v>
      </c>
      <c r="W107" s="76">
        <f t="shared" si="56"/>
        <v>10</v>
      </c>
      <c r="X107" s="76">
        <f t="shared" si="57"/>
        <v>11</v>
      </c>
      <c r="Y107" s="76">
        <f t="shared" si="58"/>
        <v>10</v>
      </c>
      <c r="Z107" s="76">
        <f t="shared" si="59"/>
        <v>3</v>
      </c>
      <c r="AB107" s="25">
        <v>1</v>
      </c>
      <c r="AC107" s="25">
        <v>1</v>
      </c>
      <c r="AD107" s="25">
        <v>1</v>
      </c>
      <c r="AE107" s="25">
        <v>1</v>
      </c>
      <c r="AF107" s="25">
        <v>1</v>
      </c>
      <c r="AG107" s="25">
        <v>1</v>
      </c>
      <c r="AH107" s="7">
        <v>1</v>
      </c>
      <c r="AJ107" s="53" t="s">
        <v>81</v>
      </c>
      <c r="AK107" s="54">
        <v>0</v>
      </c>
      <c r="AL107" s="55">
        <v>2</v>
      </c>
      <c r="AM107" s="55">
        <v>2</v>
      </c>
      <c r="AN107" s="55">
        <v>1</v>
      </c>
      <c r="AO107" s="55">
        <v>1</v>
      </c>
      <c r="AP107" s="55">
        <v>0</v>
      </c>
      <c r="AQ107" s="56">
        <v>0</v>
      </c>
      <c r="AR107" s="57">
        <v>15</v>
      </c>
      <c r="BD107" s="21">
        <v>103</v>
      </c>
      <c r="BE107" s="77" t="s">
        <v>38</v>
      </c>
      <c r="BF107" s="77" t="s">
        <v>75</v>
      </c>
      <c r="BG107" s="77" t="s">
        <v>40</v>
      </c>
      <c r="BH107" s="77" t="s">
        <v>38</v>
      </c>
      <c r="BI107" s="77" t="s">
        <v>39</v>
      </c>
      <c r="BJ107" s="77" t="s">
        <v>38</v>
      </c>
      <c r="BK107" s="37" t="s">
        <v>33</v>
      </c>
      <c r="BM107" s="76">
        <f t="shared" si="60"/>
        <v>10</v>
      </c>
      <c r="BN107" s="76">
        <f t="shared" si="61"/>
        <v>6</v>
      </c>
      <c r="BO107" s="76">
        <f t="shared" si="62"/>
        <v>12</v>
      </c>
      <c r="BP107" s="76">
        <f t="shared" si="63"/>
        <v>10</v>
      </c>
      <c r="BQ107" s="76">
        <f t="shared" si="64"/>
        <v>11</v>
      </c>
      <c r="BR107" s="76">
        <f t="shared" si="65"/>
        <v>10</v>
      </c>
      <c r="BS107" s="76">
        <f t="shared" si="66"/>
        <v>3</v>
      </c>
      <c r="BU107" s="25">
        <v>1</v>
      </c>
      <c r="BV107" s="25">
        <v>1</v>
      </c>
      <c r="BW107" s="25">
        <v>1</v>
      </c>
      <c r="BX107" s="25">
        <v>1</v>
      </c>
      <c r="BY107" s="25">
        <v>1</v>
      </c>
      <c r="BZ107" s="25">
        <v>1</v>
      </c>
      <c r="CA107" s="7">
        <v>1</v>
      </c>
      <c r="CC107" s="53" t="s">
        <v>81</v>
      </c>
      <c r="CD107" s="54">
        <v>0</v>
      </c>
      <c r="CE107" s="55">
        <v>2</v>
      </c>
      <c r="CF107" s="55">
        <v>2</v>
      </c>
      <c r="CG107" s="55">
        <v>1</v>
      </c>
      <c r="CH107" s="55">
        <v>1</v>
      </c>
      <c r="CI107" s="55">
        <v>0</v>
      </c>
      <c r="CJ107" s="56">
        <v>0</v>
      </c>
      <c r="CK107" s="57">
        <v>15</v>
      </c>
      <c r="CW107" s="21">
        <v>103</v>
      </c>
      <c r="CX107" s="77" t="s">
        <v>38</v>
      </c>
      <c r="CY107" s="77" t="s">
        <v>75</v>
      </c>
      <c r="CZ107" s="77" t="s">
        <v>40</v>
      </c>
      <c r="DA107" s="77" t="s">
        <v>38</v>
      </c>
      <c r="DB107" s="77" t="s">
        <v>39</v>
      </c>
      <c r="DC107" s="77" t="s">
        <v>38</v>
      </c>
      <c r="DD107" s="37" t="s">
        <v>33</v>
      </c>
      <c r="DF107" s="76">
        <f t="shared" si="67"/>
        <v>10</v>
      </c>
      <c r="DG107" s="76">
        <f t="shared" si="47"/>
        <v>6</v>
      </c>
      <c r="DH107" s="76">
        <f t="shared" si="48"/>
        <v>12</v>
      </c>
      <c r="DI107" s="76">
        <f t="shared" si="49"/>
        <v>10</v>
      </c>
      <c r="DJ107" s="76">
        <f t="shared" si="50"/>
        <v>11</v>
      </c>
      <c r="DK107" s="76">
        <f t="shared" si="51"/>
        <v>10</v>
      </c>
      <c r="DL107" s="76">
        <f t="shared" si="52"/>
        <v>3</v>
      </c>
      <c r="DN107" s="25">
        <v>1</v>
      </c>
      <c r="DO107" s="25">
        <v>1</v>
      </c>
      <c r="DP107" s="25">
        <v>1</v>
      </c>
      <c r="DQ107" s="25">
        <v>1</v>
      </c>
      <c r="DR107" s="25">
        <v>1</v>
      </c>
      <c r="DS107" s="25">
        <v>1</v>
      </c>
      <c r="DT107" s="7">
        <v>1</v>
      </c>
      <c r="DV107" s="53" t="s">
        <v>81</v>
      </c>
      <c r="DW107" s="54">
        <v>0</v>
      </c>
      <c r="DX107" s="55">
        <v>2</v>
      </c>
      <c r="DY107" s="55">
        <v>2</v>
      </c>
      <c r="DZ107" s="55">
        <v>1</v>
      </c>
      <c r="EA107" s="55">
        <v>1</v>
      </c>
      <c r="EB107" s="55">
        <v>0</v>
      </c>
      <c r="EC107" s="56">
        <v>0</v>
      </c>
      <c r="ED107" s="57">
        <v>15</v>
      </c>
    </row>
    <row r="108" spans="11:134" ht="16.2" x14ac:dyDescent="0.3">
      <c r="K108" s="22">
        <v>104</v>
      </c>
      <c r="L108" s="77" t="s">
        <v>37</v>
      </c>
      <c r="M108" s="77" t="s">
        <v>35</v>
      </c>
      <c r="N108" s="77" t="s">
        <v>33</v>
      </c>
      <c r="O108" s="77" t="s">
        <v>38</v>
      </c>
      <c r="P108" s="77" t="s">
        <v>152</v>
      </c>
      <c r="Q108" s="77" t="s">
        <v>40</v>
      </c>
      <c r="R108" s="37" t="s">
        <v>33</v>
      </c>
      <c r="T108" s="76">
        <f t="shared" si="53"/>
        <v>9</v>
      </c>
      <c r="U108" s="76">
        <f t="shared" si="54"/>
        <v>5</v>
      </c>
      <c r="V108" s="76">
        <f t="shared" si="55"/>
        <v>3</v>
      </c>
      <c r="W108" s="76">
        <f t="shared" si="56"/>
        <v>10</v>
      </c>
      <c r="X108" s="76">
        <f t="shared" si="57"/>
        <v>7</v>
      </c>
      <c r="Y108" s="76">
        <f t="shared" si="58"/>
        <v>12</v>
      </c>
      <c r="Z108" s="76">
        <f t="shared" si="59"/>
        <v>3</v>
      </c>
      <c r="AB108" s="25">
        <v>1</v>
      </c>
      <c r="AC108" s="25">
        <v>1</v>
      </c>
      <c r="AD108" s="25">
        <v>1</v>
      </c>
      <c r="AE108" s="25">
        <v>1</v>
      </c>
      <c r="AF108" s="25">
        <v>1</v>
      </c>
      <c r="AG108" s="25">
        <v>1</v>
      </c>
      <c r="AH108" s="7">
        <v>1</v>
      </c>
      <c r="AJ108" s="53" t="s">
        <v>82</v>
      </c>
      <c r="AK108" s="54">
        <v>0</v>
      </c>
      <c r="AL108" s="55">
        <v>1</v>
      </c>
      <c r="AM108" s="55">
        <v>1</v>
      </c>
      <c r="AN108" s="55">
        <v>1</v>
      </c>
      <c r="AO108" s="55">
        <v>1</v>
      </c>
      <c r="AP108" s="55">
        <v>0</v>
      </c>
      <c r="AQ108" s="56">
        <v>0</v>
      </c>
      <c r="AR108" s="57">
        <v>16</v>
      </c>
      <c r="BD108" s="22">
        <v>104</v>
      </c>
      <c r="BE108" s="77" t="s">
        <v>37</v>
      </c>
      <c r="BF108" s="77" t="s">
        <v>75</v>
      </c>
      <c r="BG108" s="77" t="s">
        <v>33</v>
      </c>
      <c r="BH108" s="77" t="s">
        <v>38</v>
      </c>
      <c r="BI108" s="77" t="s">
        <v>152</v>
      </c>
      <c r="BJ108" s="77" t="s">
        <v>40</v>
      </c>
      <c r="BK108" s="37" t="s">
        <v>33</v>
      </c>
      <c r="BM108" s="76">
        <f t="shared" si="60"/>
        <v>9</v>
      </c>
      <c r="BN108" s="76">
        <f t="shared" si="61"/>
        <v>6</v>
      </c>
      <c r="BO108" s="76">
        <f t="shared" si="62"/>
        <v>3</v>
      </c>
      <c r="BP108" s="76">
        <f t="shared" si="63"/>
        <v>10</v>
      </c>
      <c r="BQ108" s="76">
        <f t="shared" si="64"/>
        <v>7</v>
      </c>
      <c r="BR108" s="76">
        <f t="shared" si="65"/>
        <v>12</v>
      </c>
      <c r="BS108" s="76">
        <f t="shared" si="66"/>
        <v>3</v>
      </c>
      <c r="BU108" s="25">
        <v>1</v>
      </c>
      <c r="BV108" s="25">
        <v>1</v>
      </c>
      <c r="BW108" s="25">
        <v>1</v>
      </c>
      <c r="BX108" s="25">
        <v>1</v>
      </c>
      <c r="BY108" s="25">
        <v>1</v>
      </c>
      <c r="BZ108" s="25">
        <v>1</v>
      </c>
      <c r="CA108" s="7">
        <v>1</v>
      </c>
      <c r="CC108" s="53" t="s">
        <v>82</v>
      </c>
      <c r="CD108" s="54">
        <v>0</v>
      </c>
      <c r="CE108" s="55">
        <v>1</v>
      </c>
      <c r="CF108" s="55">
        <v>1</v>
      </c>
      <c r="CG108" s="55">
        <v>1</v>
      </c>
      <c r="CH108" s="55">
        <v>1</v>
      </c>
      <c r="CI108" s="55">
        <v>0</v>
      </c>
      <c r="CJ108" s="56">
        <v>0</v>
      </c>
      <c r="CK108" s="57">
        <v>16</v>
      </c>
      <c r="CW108" s="22">
        <v>104</v>
      </c>
      <c r="CX108" s="77" t="s">
        <v>37</v>
      </c>
      <c r="CY108" s="77" t="s">
        <v>75</v>
      </c>
      <c r="CZ108" s="77" t="s">
        <v>33</v>
      </c>
      <c r="DA108" s="77" t="s">
        <v>38</v>
      </c>
      <c r="DB108" s="77" t="s">
        <v>152</v>
      </c>
      <c r="DC108" s="77" t="s">
        <v>40</v>
      </c>
      <c r="DD108" s="37" t="s">
        <v>33</v>
      </c>
      <c r="DF108" s="76">
        <f t="shared" si="67"/>
        <v>9</v>
      </c>
      <c r="DG108" s="76">
        <f t="shared" si="47"/>
        <v>6</v>
      </c>
      <c r="DH108" s="76">
        <f t="shared" si="48"/>
        <v>3</v>
      </c>
      <c r="DI108" s="76">
        <f t="shared" si="49"/>
        <v>10</v>
      </c>
      <c r="DJ108" s="76">
        <f t="shared" si="50"/>
        <v>7</v>
      </c>
      <c r="DK108" s="76">
        <f t="shared" si="51"/>
        <v>12</v>
      </c>
      <c r="DL108" s="76">
        <f t="shared" si="52"/>
        <v>3</v>
      </c>
      <c r="DN108" s="25">
        <v>1</v>
      </c>
      <c r="DO108" s="25">
        <v>1</v>
      </c>
      <c r="DP108" s="25">
        <v>1</v>
      </c>
      <c r="DQ108" s="25">
        <v>1</v>
      </c>
      <c r="DR108" s="25">
        <v>1</v>
      </c>
      <c r="DS108" s="25">
        <v>1</v>
      </c>
      <c r="DT108" s="7">
        <v>1</v>
      </c>
      <c r="DV108" s="53" t="s">
        <v>82</v>
      </c>
      <c r="DW108" s="54">
        <v>0</v>
      </c>
      <c r="DX108" s="55">
        <v>1</v>
      </c>
      <c r="DY108" s="55">
        <v>1</v>
      </c>
      <c r="DZ108" s="55">
        <v>1</v>
      </c>
      <c r="EA108" s="55">
        <v>1</v>
      </c>
      <c r="EB108" s="55">
        <v>0</v>
      </c>
      <c r="EC108" s="56">
        <v>0</v>
      </c>
      <c r="ED108" s="57">
        <v>16</v>
      </c>
    </row>
    <row r="109" spans="11:134" ht="16.2" x14ac:dyDescent="0.3">
      <c r="K109" s="21">
        <v>105</v>
      </c>
      <c r="L109" s="77" t="s">
        <v>40</v>
      </c>
      <c r="M109" s="77" t="s">
        <v>40</v>
      </c>
      <c r="N109" s="77" t="s">
        <v>33</v>
      </c>
      <c r="O109" s="77" t="s">
        <v>34</v>
      </c>
      <c r="P109" s="77" t="s">
        <v>39</v>
      </c>
      <c r="Q109" s="77" t="s">
        <v>40</v>
      </c>
      <c r="R109" s="37" t="s">
        <v>40</v>
      </c>
      <c r="T109" s="76">
        <f t="shared" si="53"/>
        <v>12</v>
      </c>
      <c r="U109" s="76">
        <f t="shared" si="54"/>
        <v>12</v>
      </c>
      <c r="V109" s="76">
        <f t="shared" si="55"/>
        <v>3</v>
      </c>
      <c r="W109" s="76">
        <f t="shared" si="56"/>
        <v>4</v>
      </c>
      <c r="X109" s="76">
        <f t="shared" si="57"/>
        <v>11</v>
      </c>
      <c r="Y109" s="76">
        <f t="shared" si="58"/>
        <v>12</v>
      </c>
      <c r="Z109" s="76">
        <f t="shared" si="59"/>
        <v>12</v>
      </c>
      <c r="AB109" s="25">
        <v>1</v>
      </c>
      <c r="AC109" s="25">
        <v>1</v>
      </c>
      <c r="AD109" s="25">
        <v>1</v>
      </c>
      <c r="AE109" s="25">
        <v>1</v>
      </c>
      <c r="AF109" s="25">
        <v>1</v>
      </c>
      <c r="AG109" s="25">
        <v>1</v>
      </c>
      <c r="AH109" s="7">
        <v>3</v>
      </c>
      <c r="AJ109" s="53" t="s">
        <v>83</v>
      </c>
      <c r="AK109" s="54">
        <v>0</v>
      </c>
      <c r="AL109" s="55">
        <v>2</v>
      </c>
      <c r="AM109" s="55">
        <v>2</v>
      </c>
      <c r="AN109" s="55">
        <v>1</v>
      </c>
      <c r="AO109" s="55">
        <v>2</v>
      </c>
      <c r="AP109" s="55">
        <v>0</v>
      </c>
      <c r="AQ109" s="56">
        <v>0</v>
      </c>
      <c r="AR109" s="57">
        <v>17</v>
      </c>
      <c r="BD109" s="21">
        <v>105</v>
      </c>
      <c r="BE109" s="77" t="s">
        <v>40</v>
      </c>
      <c r="BF109" s="77" t="s">
        <v>40</v>
      </c>
      <c r="BG109" s="77" t="s">
        <v>33</v>
      </c>
      <c r="BH109" s="77" t="s">
        <v>34</v>
      </c>
      <c r="BI109" s="77" t="s">
        <v>39</v>
      </c>
      <c r="BJ109" s="77" t="s">
        <v>40</v>
      </c>
      <c r="BK109" s="37" t="s">
        <v>40</v>
      </c>
      <c r="BM109" s="76">
        <f t="shared" si="60"/>
        <v>12</v>
      </c>
      <c r="BN109" s="76">
        <f t="shared" si="61"/>
        <v>12</v>
      </c>
      <c r="BO109" s="76">
        <f t="shared" si="62"/>
        <v>3</v>
      </c>
      <c r="BP109" s="76">
        <f t="shared" si="63"/>
        <v>4</v>
      </c>
      <c r="BQ109" s="76">
        <f t="shared" si="64"/>
        <v>11</v>
      </c>
      <c r="BR109" s="76">
        <f t="shared" si="65"/>
        <v>12</v>
      </c>
      <c r="BS109" s="76">
        <f t="shared" si="66"/>
        <v>12</v>
      </c>
      <c r="BU109" s="25">
        <v>1</v>
      </c>
      <c r="BV109" s="25">
        <v>1</v>
      </c>
      <c r="BW109" s="25">
        <v>1</v>
      </c>
      <c r="BX109" s="25">
        <v>1</v>
      </c>
      <c r="BY109" s="25">
        <v>1</v>
      </c>
      <c r="BZ109" s="25">
        <v>1</v>
      </c>
      <c r="CA109" s="7">
        <v>1</v>
      </c>
      <c r="CC109" s="53" t="s">
        <v>83</v>
      </c>
      <c r="CD109" s="54">
        <v>0</v>
      </c>
      <c r="CE109" s="55">
        <v>2</v>
      </c>
      <c r="CF109" s="55">
        <v>2</v>
      </c>
      <c r="CG109" s="55">
        <v>1</v>
      </c>
      <c r="CH109" s="55">
        <v>2</v>
      </c>
      <c r="CI109" s="55">
        <v>0</v>
      </c>
      <c r="CJ109" s="56">
        <v>0</v>
      </c>
      <c r="CK109" s="57">
        <v>17</v>
      </c>
      <c r="CW109" s="21">
        <v>105</v>
      </c>
      <c r="CX109" s="77" t="s">
        <v>40</v>
      </c>
      <c r="CY109" s="77" t="s">
        <v>40</v>
      </c>
      <c r="CZ109" s="77" t="s">
        <v>33</v>
      </c>
      <c r="DA109" s="77" t="s">
        <v>34</v>
      </c>
      <c r="DB109" s="77" t="s">
        <v>39</v>
      </c>
      <c r="DC109" s="77" t="s">
        <v>40</v>
      </c>
      <c r="DD109" s="37" t="s">
        <v>40</v>
      </c>
      <c r="DF109" s="76">
        <f t="shared" si="67"/>
        <v>12</v>
      </c>
      <c r="DG109" s="76">
        <f t="shared" si="47"/>
        <v>12</v>
      </c>
      <c r="DH109" s="76">
        <f t="shared" si="48"/>
        <v>3</v>
      </c>
      <c r="DI109" s="76">
        <f t="shared" si="49"/>
        <v>4</v>
      </c>
      <c r="DJ109" s="76">
        <f t="shared" si="50"/>
        <v>11</v>
      </c>
      <c r="DK109" s="76">
        <f t="shared" si="51"/>
        <v>12</v>
      </c>
      <c r="DL109" s="76">
        <f t="shared" si="52"/>
        <v>12</v>
      </c>
      <c r="DN109" s="25">
        <v>1</v>
      </c>
      <c r="DO109" s="25">
        <v>1</v>
      </c>
      <c r="DP109" s="25">
        <v>1</v>
      </c>
      <c r="DQ109" s="25">
        <v>1</v>
      </c>
      <c r="DR109" s="25">
        <v>1</v>
      </c>
      <c r="DS109" s="25">
        <v>1</v>
      </c>
      <c r="DT109" s="7">
        <v>1</v>
      </c>
      <c r="DV109" s="53" t="s">
        <v>83</v>
      </c>
      <c r="DW109" s="54">
        <v>0</v>
      </c>
      <c r="DX109" s="55">
        <v>2</v>
      </c>
      <c r="DY109" s="55">
        <v>2</v>
      </c>
      <c r="DZ109" s="55">
        <v>1</v>
      </c>
      <c r="EA109" s="55">
        <v>2</v>
      </c>
      <c r="EB109" s="55">
        <v>0</v>
      </c>
      <c r="EC109" s="56">
        <v>0</v>
      </c>
      <c r="ED109" s="57">
        <v>17</v>
      </c>
    </row>
    <row r="110" spans="11:134" ht="16.2" x14ac:dyDescent="0.3">
      <c r="K110" s="22">
        <v>106</v>
      </c>
      <c r="L110" s="77" t="s">
        <v>32</v>
      </c>
      <c r="M110" s="77" t="s">
        <v>38</v>
      </c>
      <c r="N110" s="77" t="s">
        <v>39</v>
      </c>
      <c r="O110" s="77" t="s">
        <v>75</v>
      </c>
      <c r="P110" s="77" t="s">
        <v>40</v>
      </c>
      <c r="Q110" s="77" t="s">
        <v>25</v>
      </c>
      <c r="R110" s="37" t="s">
        <v>40</v>
      </c>
      <c r="T110" s="76">
        <f t="shared" si="53"/>
        <v>2</v>
      </c>
      <c r="U110" s="76">
        <f t="shared" si="54"/>
        <v>10</v>
      </c>
      <c r="V110" s="76">
        <f t="shared" si="55"/>
        <v>11</v>
      </c>
      <c r="W110" s="76">
        <f t="shared" si="56"/>
        <v>6</v>
      </c>
      <c r="X110" s="76">
        <f t="shared" si="57"/>
        <v>12</v>
      </c>
      <c r="Y110" s="76">
        <f t="shared" si="58"/>
        <v>8</v>
      </c>
      <c r="Z110" s="76">
        <f t="shared" si="59"/>
        <v>12</v>
      </c>
      <c r="AB110" s="25">
        <v>1</v>
      </c>
      <c r="AC110" s="25">
        <v>1</v>
      </c>
      <c r="AD110" s="25">
        <v>1</v>
      </c>
      <c r="AE110" s="25">
        <v>1</v>
      </c>
      <c r="AF110" s="25">
        <v>1</v>
      </c>
      <c r="AG110" s="25">
        <v>1</v>
      </c>
      <c r="AH110" s="7">
        <v>1</v>
      </c>
      <c r="AJ110" s="53" t="s">
        <v>162</v>
      </c>
      <c r="AK110" s="54">
        <v>0</v>
      </c>
      <c r="AL110" s="55">
        <v>2</v>
      </c>
      <c r="AM110" s="55">
        <v>2</v>
      </c>
      <c r="AN110" s="55">
        <v>1</v>
      </c>
      <c r="AO110" s="55">
        <v>2</v>
      </c>
      <c r="AP110" s="55">
        <v>0</v>
      </c>
      <c r="AQ110" s="56">
        <v>0</v>
      </c>
      <c r="AR110" s="57">
        <v>18</v>
      </c>
      <c r="BD110" s="22">
        <v>106</v>
      </c>
      <c r="BE110" s="77" t="s">
        <v>40</v>
      </c>
      <c r="BF110" s="77" t="s">
        <v>38</v>
      </c>
      <c r="BG110" s="77" t="s">
        <v>39</v>
      </c>
      <c r="BH110" s="77" t="s">
        <v>75</v>
      </c>
      <c r="BI110" s="77" t="s">
        <v>40</v>
      </c>
      <c r="BJ110" s="77" t="s">
        <v>25</v>
      </c>
      <c r="BK110" s="37" t="s">
        <v>40</v>
      </c>
      <c r="BM110" s="76">
        <f t="shared" si="60"/>
        <v>12</v>
      </c>
      <c r="BN110" s="76">
        <f t="shared" si="61"/>
        <v>10</v>
      </c>
      <c r="BO110" s="76">
        <f t="shared" si="62"/>
        <v>11</v>
      </c>
      <c r="BP110" s="76">
        <f t="shared" si="63"/>
        <v>6</v>
      </c>
      <c r="BQ110" s="76">
        <f t="shared" si="64"/>
        <v>12</v>
      </c>
      <c r="BR110" s="76">
        <f t="shared" si="65"/>
        <v>8</v>
      </c>
      <c r="BS110" s="76">
        <f t="shared" si="66"/>
        <v>12</v>
      </c>
      <c r="BU110" s="25">
        <v>1</v>
      </c>
      <c r="BV110" s="25">
        <v>1</v>
      </c>
      <c r="BW110" s="25">
        <v>1</v>
      </c>
      <c r="BX110" s="25">
        <v>1</v>
      </c>
      <c r="BY110" s="25">
        <v>1</v>
      </c>
      <c r="BZ110" s="25">
        <v>1</v>
      </c>
      <c r="CA110" s="7">
        <v>1</v>
      </c>
      <c r="CC110" s="53" t="s">
        <v>162</v>
      </c>
      <c r="CD110" s="54">
        <v>0</v>
      </c>
      <c r="CE110" s="55">
        <v>2</v>
      </c>
      <c r="CF110" s="55">
        <v>2</v>
      </c>
      <c r="CG110" s="55">
        <v>1</v>
      </c>
      <c r="CH110" s="55">
        <v>2</v>
      </c>
      <c r="CI110" s="55">
        <v>0</v>
      </c>
      <c r="CJ110" s="56">
        <v>0</v>
      </c>
      <c r="CK110" s="57">
        <v>18</v>
      </c>
      <c r="CW110" s="22">
        <v>106</v>
      </c>
      <c r="CX110" s="77" t="s">
        <v>40</v>
      </c>
      <c r="CY110" s="77" t="s">
        <v>38</v>
      </c>
      <c r="CZ110" s="77" t="s">
        <v>39</v>
      </c>
      <c r="DA110" s="77" t="s">
        <v>75</v>
      </c>
      <c r="DB110" s="77" t="s">
        <v>40</v>
      </c>
      <c r="DC110" s="77" t="s">
        <v>25</v>
      </c>
      <c r="DD110" s="37" t="s">
        <v>40</v>
      </c>
      <c r="DF110" s="76">
        <f t="shared" si="67"/>
        <v>12</v>
      </c>
      <c r="DG110" s="76">
        <f t="shared" si="47"/>
        <v>10</v>
      </c>
      <c r="DH110" s="76">
        <f t="shared" si="48"/>
        <v>11</v>
      </c>
      <c r="DI110" s="76">
        <f t="shared" si="49"/>
        <v>6</v>
      </c>
      <c r="DJ110" s="76">
        <f t="shared" si="50"/>
        <v>12</v>
      </c>
      <c r="DK110" s="76">
        <f t="shared" si="51"/>
        <v>8</v>
      </c>
      <c r="DL110" s="76">
        <f t="shared" si="52"/>
        <v>12</v>
      </c>
      <c r="DN110" s="25">
        <v>1</v>
      </c>
      <c r="DO110" s="25">
        <v>1</v>
      </c>
      <c r="DP110" s="25">
        <v>1</v>
      </c>
      <c r="DQ110" s="25">
        <v>1</v>
      </c>
      <c r="DR110" s="25">
        <v>1</v>
      </c>
      <c r="DS110" s="25">
        <v>1</v>
      </c>
      <c r="DT110" s="7">
        <v>1</v>
      </c>
      <c r="DV110" s="53" t="s">
        <v>162</v>
      </c>
      <c r="DW110" s="54">
        <v>0</v>
      </c>
      <c r="DX110" s="55">
        <v>2</v>
      </c>
      <c r="DY110" s="55">
        <v>2</v>
      </c>
      <c r="DZ110" s="55">
        <v>1</v>
      </c>
      <c r="EA110" s="55">
        <v>2</v>
      </c>
      <c r="EB110" s="55">
        <v>0</v>
      </c>
      <c r="EC110" s="56">
        <v>0</v>
      </c>
      <c r="ED110" s="57">
        <v>18</v>
      </c>
    </row>
    <row r="111" spans="11:134" ht="16.2" x14ac:dyDescent="0.3">
      <c r="K111" s="21">
        <v>107</v>
      </c>
      <c r="L111" s="77" t="s">
        <v>34</v>
      </c>
      <c r="M111" s="77" t="s">
        <v>38</v>
      </c>
      <c r="N111" s="77" t="s">
        <v>39</v>
      </c>
      <c r="O111" s="77" t="s">
        <v>39</v>
      </c>
      <c r="P111" s="77" t="s">
        <v>35</v>
      </c>
      <c r="Q111" s="77" t="s">
        <v>25</v>
      </c>
      <c r="R111" s="37" t="s">
        <v>40</v>
      </c>
      <c r="T111" s="76">
        <f t="shared" si="53"/>
        <v>4</v>
      </c>
      <c r="U111" s="76">
        <f t="shared" si="54"/>
        <v>10</v>
      </c>
      <c r="V111" s="76">
        <f t="shared" si="55"/>
        <v>11</v>
      </c>
      <c r="W111" s="76">
        <f t="shared" si="56"/>
        <v>11</v>
      </c>
      <c r="X111" s="76">
        <f t="shared" si="57"/>
        <v>5</v>
      </c>
      <c r="Y111" s="76">
        <f t="shared" si="58"/>
        <v>8</v>
      </c>
      <c r="Z111" s="76">
        <f t="shared" si="59"/>
        <v>12</v>
      </c>
      <c r="AB111" s="25">
        <v>1</v>
      </c>
      <c r="AC111" s="25">
        <v>1</v>
      </c>
      <c r="AD111" s="25">
        <v>1</v>
      </c>
      <c r="AE111" s="25">
        <v>1</v>
      </c>
      <c r="AF111" s="25">
        <v>1</v>
      </c>
      <c r="AG111" s="25">
        <v>1</v>
      </c>
      <c r="AH111" s="7">
        <v>1</v>
      </c>
      <c r="AJ111" s="53" t="s">
        <v>84</v>
      </c>
      <c r="AK111" s="54">
        <v>0</v>
      </c>
      <c r="AL111" s="55">
        <v>2</v>
      </c>
      <c r="AM111" s="55">
        <v>1</v>
      </c>
      <c r="AN111" s="55">
        <v>1</v>
      </c>
      <c r="AO111" s="55">
        <v>2</v>
      </c>
      <c r="AP111" s="55">
        <v>0</v>
      </c>
      <c r="AQ111" s="56">
        <v>0</v>
      </c>
      <c r="AR111" s="57">
        <v>19</v>
      </c>
      <c r="BD111" s="21">
        <v>107</v>
      </c>
      <c r="BE111" s="77" t="s">
        <v>34</v>
      </c>
      <c r="BF111" s="77" t="s">
        <v>38</v>
      </c>
      <c r="BG111" s="77" t="s">
        <v>39</v>
      </c>
      <c r="BH111" s="77" t="s">
        <v>39</v>
      </c>
      <c r="BI111" s="77" t="s">
        <v>35</v>
      </c>
      <c r="BJ111" s="77" t="s">
        <v>25</v>
      </c>
      <c r="BK111" s="37" t="s">
        <v>40</v>
      </c>
      <c r="BM111" s="76">
        <f t="shared" si="60"/>
        <v>4</v>
      </c>
      <c r="BN111" s="76">
        <f t="shared" si="61"/>
        <v>10</v>
      </c>
      <c r="BO111" s="76">
        <f t="shared" si="62"/>
        <v>11</v>
      </c>
      <c r="BP111" s="76">
        <f t="shared" si="63"/>
        <v>11</v>
      </c>
      <c r="BQ111" s="76">
        <f t="shared" si="64"/>
        <v>5</v>
      </c>
      <c r="BR111" s="76">
        <f t="shared" si="65"/>
        <v>8</v>
      </c>
      <c r="BS111" s="76">
        <f t="shared" si="66"/>
        <v>12</v>
      </c>
      <c r="BU111" s="25">
        <v>1</v>
      </c>
      <c r="BV111" s="25">
        <v>1</v>
      </c>
      <c r="BW111" s="25">
        <v>1</v>
      </c>
      <c r="BX111" s="25">
        <v>1</v>
      </c>
      <c r="BY111" s="25">
        <v>1</v>
      </c>
      <c r="BZ111" s="25">
        <v>1</v>
      </c>
      <c r="CA111" s="7">
        <v>1</v>
      </c>
      <c r="CC111" s="53" t="s">
        <v>84</v>
      </c>
      <c r="CD111" s="54">
        <v>0</v>
      </c>
      <c r="CE111" s="55">
        <v>2</v>
      </c>
      <c r="CF111" s="55">
        <v>1</v>
      </c>
      <c r="CG111" s="55">
        <v>1</v>
      </c>
      <c r="CH111" s="55">
        <v>2</v>
      </c>
      <c r="CI111" s="55">
        <v>0</v>
      </c>
      <c r="CJ111" s="56">
        <v>0</v>
      </c>
      <c r="CK111" s="57">
        <v>19</v>
      </c>
      <c r="CW111" s="21">
        <v>107</v>
      </c>
      <c r="CX111" s="77" t="s">
        <v>34</v>
      </c>
      <c r="CY111" s="77" t="s">
        <v>38</v>
      </c>
      <c r="CZ111" s="77" t="s">
        <v>39</v>
      </c>
      <c r="DA111" s="77" t="s">
        <v>39</v>
      </c>
      <c r="DB111" s="77" t="s">
        <v>35</v>
      </c>
      <c r="DC111" s="77" t="s">
        <v>25</v>
      </c>
      <c r="DD111" s="37" t="s">
        <v>40</v>
      </c>
      <c r="DF111" s="76">
        <f t="shared" si="67"/>
        <v>4</v>
      </c>
      <c r="DG111" s="76">
        <f t="shared" si="47"/>
        <v>10</v>
      </c>
      <c r="DH111" s="76">
        <f t="shared" si="48"/>
        <v>11</v>
      </c>
      <c r="DI111" s="76">
        <f t="shared" si="49"/>
        <v>11</v>
      </c>
      <c r="DJ111" s="76">
        <f t="shared" si="50"/>
        <v>5</v>
      </c>
      <c r="DK111" s="76">
        <f t="shared" si="51"/>
        <v>8</v>
      </c>
      <c r="DL111" s="76">
        <f t="shared" si="52"/>
        <v>12</v>
      </c>
      <c r="DN111" s="25">
        <v>1</v>
      </c>
      <c r="DO111" s="25">
        <v>1</v>
      </c>
      <c r="DP111" s="25">
        <v>1</v>
      </c>
      <c r="DQ111" s="25">
        <v>1</v>
      </c>
      <c r="DR111" s="25">
        <v>1</v>
      </c>
      <c r="DS111" s="25">
        <v>1</v>
      </c>
      <c r="DT111" s="7">
        <v>1</v>
      </c>
      <c r="DV111" s="53" t="s">
        <v>84</v>
      </c>
      <c r="DW111" s="54">
        <v>0</v>
      </c>
      <c r="DX111" s="55">
        <v>2</v>
      </c>
      <c r="DY111" s="55">
        <v>1</v>
      </c>
      <c r="DZ111" s="55">
        <v>1</v>
      </c>
      <c r="EA111" s="55">
        <v>2</v>
      </c>
      <c r="EB111" s="55">
        <v>0</v>
      </c>
      <c r="EC111" s="56">
        <v>0</v>
      </c>
      <c r="ED111" s="57">
        <v>19</v>
      </c>
    </row>
    <row r="112" spans="11:134" ht="16.2" x14ac:dyDescent="0.3">
      <c r="K112" s="22">
        <v>108</v>
      </c>
      <c r="L112" s="77" t="s">
        <v>38</v>
      </c>
      <c r="M112" s="77" t="s">
        <v>34</v>
      </c>
      <c r="N112" s="77" t="s">
        <v>39</v>
      </c>
      <c r="O112" s="77" t="s">
        <v>40</v>
      </c>
      <c r="P112" s="77" t="s">
        <v>163</v>
      </c>
      <c r="Q112" s="77" t="s">
        <v>40</v>
      </c>
      <c r="R112" s="37" t="s">
        <v>39</v>
      </c>
      <c r="T112" s="76">
        <f t="shared" si="53"/>
        <v>10</v>
      </c>
      <c r="U112" s="76">
        <f t="shared" si="54"/>
        <v>4</v>
      </c>
      <c r="V112" s="76">
        <f t="shared" si="55"/>
        <v>11</v>
      </c>
      <c r="W112" s="76">
        <f t="shared" si="56"/>
        <v>12</v>
      </c>
      <c r="X112" s="76">
        <f t="shared" si="57"/>
        <v>18</v>
      </c>
      <c r="Y112" s="76">
        <f t="shared" si="58"/>
        <v>12</v>
      </c>
      <c r="Z112" s="76">
        <f t="shared" si="59"/>
        <v>11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7">
        <v>3</v>
      </c>
      <c r="AJ112" s="53" t="s">
        <v>85</v>
      </c>
      <c r="AK112" s="54">
        <v>0</v>
      </c>
      <c r="AL112" s="55">
        <v>2</v>
      </c>
      <c r="AM112" s="55">
        <v>1</v>
      </c>
      <c r="AN112" s="55">
        <v>2</v>
      </c>
      <c r="AO112" s="55">
        <v>1</v>
      </c>
      <c r="AP112" s="55">
        <v>0</v>
      </c>
      <c r="AQ112" s="56">
        <v>0</v>
      </c>
      <c r="AR112" s="57">
        <v>20</v>
      </c>
      <c r="BD112" s="22">
        <v>108</v>
      </c>
      <c r="BE112" s="77" t="s">
        <v>38</v>
      </c>
      <c r="BF112" s="77" t="s">
        <v>33</v>
      </c>
      <c r="BG112" s="77" t="s">
        <v>39</v>
      </c>
      <c r="BH112" s="77" t="s">
        <v>40</v>
      </c>
      <c r="BI112" s="77" t="s">
        <v>163</v>
      </c>
      <c r="BJ112" s="77" t="s">
        <v>40</v>
      </c>
      <c r="BK112" s="37" t="s">
        <v>39</v>
      </c>
      <c r="BM112" s="76">
        <f t="shared" si="60"/>
        <v>10</v>
      </c>
      <c r="BN112" s="76">
        <f t="shared" si="61"/>
        <v>3</v>
      </c>
      <c r="BO112" s="76">
        <f t="shared" si="62"/>
        <v>11</v>
      </c>
      <c r="BP112" s="76">
        <f t="shared" si="63"/>
        <v>12</v>
      </c>
      <c r="BQ112" s="76">
        <f t="shared" si="64"/>
        <v>18</v>
      </c>
      <c r="BR112" s="76">
        <f t="shared" si="65"/>
        <v>12</v>
      </c>
      <c r="BS112" s="76">
        <f t="shared" si="66"/>
        <v>11</v>
      </c>
      <c r="BU112" s="25">
        <v>1</v>
      </c>
      <c r="BV112" s="25">
        <v>1</v>
      </c>
      <c r="BW112" s="25">
        <v>1</v>
      </c>
      <c r="BX112" s="25">
        <v>1</v>
      </c>
      <c r="BY112" s="25">
        <v>1</v>
      </c>
      <c r="BZ112" s="25">
        <v>1</v>
      </c>
      <c r="CA112" s="7">
        <v>1</v>
      </c>
      <c r="CC112" s="53" t="s">
        <v>85</v>
      </c>
      <c r="CD112" s="54">
        <v>0</v>
      </c>
      <c r="CE112" s="55">
        <v>2</v>
      </c>
      <c r="CF112" s="55">
        <v>1</v>
      </c>
      <c r="CG112" s="55">
        <v>2</v>
      </c>
      <c r="CH112" s="55">
        <v>1</v>
      </c>
      <c r="CI112" s="55">
        <v>0</v>
      </c>
      <c r="CJ112" s="56">
        <v>0</v>
      </c>
      <c r="CK112" s="57">
        <v>20</v>
      </c>
      <c r="CW112" s="22">
        <v>108</v>
      </c>
      <c r="CX112" s="77" t="s">
        <v>38</v>
      </c>
      <c r="CY112" s="77" t="s">
        <v>33</v>
      </c>
      <c r="CZ112" s="77" t="s">
        <v>39</v>
      </c>
      <c r="DA112" s="77" t="s">
        <v>40</v>
      </c>
      <c r="DB112" s="77" t="s">
        <v>163</v>
      </c>
      <c r="DC112" s="77" t="s">
        <v>40</v>
      </c>
      <c r="DD112" s="37" t="s">
        <v>39</v>
      </c>
      <c r="DF112" s="76">
        <f t="shared" si="67"/>
        <v>10</v>
      </c>
      <c r="DG112" s="76">
        <f t="shared" si="47"/>
        <v>3</v>
      </c>
      <c r="DH112" s="76">
        <f t="shared" si="48"/>
        <v>11</v>
      </c>
      <c r="DI112" s="76">
        <f t="shared" si="49"/>
        <v>12</v>
      </c>
      <c r="DJ112" s="76">
        <f t="shared" si="50"/>
        <v>18</v>
      </c>
      <c r="DK112" s="76">
        <f t="shared" si="51"/>
        <v>12</v>
      </c>
      <c r="DL112" s="76">
        <f t="shared" si="52"/>
        <v>11</v>
      </c>
      <c r="DN112" s="25">
        <v>1</v>
      </c>
      <c r="DO112" s="25">
        <v>1</v>
      </c>
      <c r="DP112" s="25">
        <v>1</v>
      </c>
      <c r="DQ112" s="25">
        <v>1</v>
      </c>
      <c r="DR112" s="25">
        <v>1</v>
      </c>
      <c r="DS112" s="25">
        <v>1</v>
      </c>
      <c r="DT112" s="7">
        <v>1</v>
      </c>
      <c r="DV112" s="53" t="s">
        <v>85</v>
      </c>
      <c r="DW112" s="54">
        <v>0</v>
      </c>
      <c r="DX112" s="55">
        <v>2</v>
      </c>
      <c r="DY112" s="55">
        <v>1</v>
      </c>
      <c r="DZ112" s="55">
        <v>2</v>
      </c>
      <c r="EA112" s="55">
        <v>1</v>
      </c>
      <c r="EB112" s="55">
        <v>0</v>
      </c>
      <c r="EC112" s="56">
        <v>0</v>
      </c>
      <c r="ED112" s="57">
        <v>20</v>
      </c>
    </row>
    <row r="113" spans="11:134" ht="16.2" x14ac:dyDescent="0.3">
      <c r="K113" s="21">
        <v>109</v>
      </c>
      <c r="L113" s="77" t="s">
        <v>38</v>
      </c>
      <c r="M113" s="77" t="s">
        <v>25</v>
      </c>
      <c r="N113" s="77" t="s">
        <v>25</v>
      </c>
      <c r="O113" s="77" t="s">
        <v>75</v>
      </c>
      <c r="P113" s="77" t="s">
        <v>152</v>
      </c>
      <c r="Q113" s="77" t="s">
        <v>40</v>
      </c>
      <c r="R113" s="77" t="s">
        <v>39</v>
      </c>
      <c r="T113" s="76">
        <f t="shared" si="53"/>
        <v>10</v>
      </c>
      <c r="U113" s="76">
        <f t="shared" si="54"/>
        <v>8</v>
      </c>
      <c r="V113" s="76">
        <f t="shared" si="55"/>
        <v>8</v>
      </c>
      <c r="W113" s="76">
        <f t="shared" si="56"/>
        <v>6</v>
      </c>
      <c r="X113" s="76">
        <f t="shared" si="57"/>
        <v>7</v>
      </c>
      <c r="Y113" s="76">
        <f t="shared" si="58"/>
        <v>12</v>
      </c>
      <c r="Z113" s="76">
        <f t="shared" si="59"/>
        <v>11</v>
      </c>
      <c r="AB113" s="25">
        <v>1</v>
      </c>
      <c r="AC113" s="25">
        <v>1</v>
      </c>
      <c r="AD113" s="25">
        <v>1</v>
      </c>
      <c r="AE113" s="25">
        <v>1</v>
      </c>
      <c r="AF113" s="25">
        <v>1</v>
      </c>
      <c r="AG113" s="25">
        <v>1</v>
      </c>
      <c r="AH113" s="7">
        <v>1</v>
      </c>
      <c r="AJ113" s="53" t="s">
        <v>86</v>
      </c>
      <c r="AK113" s="54">
        <v>0</v>
      </c>
      <c r="AL113" s="55">
        <v>2</v>
      </c>
      <c r="AM113" s="55">
        <v>2</v>
      </c>
      <c r="AN113" s="55">
        <v>1</v>
      </c>
      <c r="AO113" s="55">
        <v>1</v>
      </c>
      <c r="AP113" s="55">
        <v>0</v>
      </c>
      <c r="AQ113" s="56">
        <v>0</v>
      </c>
      <c r="AR113" s="57">
        <v>21</v>
      </c>
      <c r="BD113" s="21">
        <v>109</v>
      </c>
      <c r="BE113" s="77" t="s">
        <v>38</v>
      </c>
      <c r="BF113" s="77" t="s">
        <v>25</v>
      </c>
      <c r="BG113" s="77" t="s">
        <v>25</v>
      </c>
      <c r="BH113" s="77" t="s">
        <v>75</v>
      </c>
      <c r="BI113" s="77" t="s">
        <v>152</v>
      </c>
      <c r="BJ113" s="77" t="s">
        <v>40</v>
      </c>
      <c r="BK113" s="77" t="s">
        <v>39</v>
      </c>
      <c r="BM113" s="76">
        <f t="shared" si="60"/>
        <v>10</v>
      </c>
      <c r="BN113" s="76">
        <f t="shared" si="61"/>
        <v>8</v>
      </c>
      <c r="BO113" s="76">
        <f t="shared" si="62"/>
        <v>8</v>
      </c>
      <c r="BP113" s="76">
        <f t="shared" si="63"/>
        <v>6</v>
      </c>
      <c r="BQ113" s="76">
        <f t="shared" si="64"/>
        <v>7</v>
      </c>
      <c r="BR113" s="76">
        <f t="shared" si="65"/>
        <v>12</v>
      </c>
      <c r="BS113" s="76">
        <f t="shared" si="66"/>
        <v>11</v>
      </c>
      <c r="BU113" s="25">
        <v>1</v>
      </c>
      <c r="BV113" s="25">
        <v>1</v>
      </c>
      <c r="BW113" s="25">
        <v>1</v>
      </c>
      <c r="BX113" s="25">
        <v>1</v>
      </c>
      <c r="BY113" s="25">
        <v>1</v>
      </c>
      <c r="BZ113" s="25">
        <v>1</v>
      </c>
      <c r="CA113" s="7">
        <v>1</v>
      </c>
      <c r="CC113" s="53" t="s">
        <v>86</v>
      </c>
      <c r="CD113" s="54">
        <v>0</v>
      </c>
      <c r="CE113" s="55">
        <v>2</v>
      </c>
      <c r="CF113" s="55">
        <v>2</v>
      </c>
      <c r="CG113" s="55">
        <v>1</v>
      </c>
      <c r="CH113" s="55">
        <v>1</v>
      </c>
      <c r="CI113" s="55">
        <v>0</v>
      </c>
      <c r="CJ113" s="56">
        <v>0</v>
      </c>
      <c r="CK113" s="57">
        <v>21</v>
      </c>
      <c r="CW113" s="21">
        <v>109</v>
      </c>
      <c r="CX113" s="77" t="s">
        <v>38</v>
      </c>
      <c r="CY113" s="77" t="s">
        <v>25</v>
      </c>
      <c r="CZ113" s="77" t="s">
        <v>25</v>
      </c>
      <c r="DA113" s="77" t="s">
        <v>75</v>
      </c>
      <c r="DB113" s="77" t="s">
        <v>152</v>
      </c>
      <c r="DC113" s="77" t="s">
        <v>40</v>
      </c>
      <c r="DD113" s="77" t="s">
        <v>39</v>
      </c>
      <c r="DF113" s="76">
        <f t="shared" si="67"/>
        <v>10</v>
      </c>
      <c r="DG113" s="76">
        <f t="shared" si="47"/>
        <v>8</v>
      </c>
      <c r="DH113" s="76">
        <f t="shared" si="48"/>
        <v>8</v>
      </c>
      <c r="DI113" s="76">
        <f t="shared" si="49"/>
        <v>6</v>
      </c>
      <c r="DJ113" s="76">
        <f t="shared" si="50"/>
        <v>7</v>
      </c>
      <c r="DK113" s="76">
        <f t="shared" si="51"/>
        <v>12</v>
      </c>
      <c r="DL113" s="76">
        <f t="shared" si="52"/>
        <v>11</v>
      </c>
      <c r="DN113" s="25">
        <v>1</v>
      </c>
      <c r="DO113" s="25">
        <v>1</v>
      </c>
      <c r="DP113" s="25">
        <v>1</v>
      </c>
      <c r="DQ113" s="25">
        <v>1</v>
      </c>
      <c r="DR113" s="25">
        <v>1</v>
      </c>
      <c r="DS113" s="25">
        <v>1</v>
      </c>
      <c r="DT113" s="7">
        <v>1</v>
      </c>
      <c r="DV113" s="53" t="s">
        <v>86</v>
      </c>
      <c r="DW113" s="54">
        <v>0</v>
      </c>
      <c r="DX113" s="55">
        <v>2</v>
      </c>
      <c r="DY113" s="55">
        <v>2</v>
      </c>
      <c r="DZ113" s="55">
        <v>1</v>
      </c>
      <c r="EA113" s="55">
        <v>1</v>
      </c>
      <c r="EB113" s="55">
        <v>0</v>
      </c>
      <c r="EC113" s="56">
        <v>0</v>
      </c>
      <c r="ED113" s="57">
        <v>21</v>
      </c>
    </row>
    <row r="114" spans="11:134" ht="16.2" x14ac:dyDescent="0.3">
      <c r="K114" s="22">
        <v>110</v>
      </c>
      <c r="L114" s="77" t="s">
        <v>39</v>
      </c>
      <c r="M114" s="77" t="s">
        <v>75</v>
      </c>
      <c r="N114" s="77" t="s">
        <v>25</v>
      </c>
      <c r="O114" s="77" t="s">
        <v>75</v>
      </c>
      <c r="P114" s="77" t="s">
        <v>39</v>
      </c>
      <c r="Q114" s="77" t="s">
        <v>38</v>
      </c>
      <c r="R114" s="37" t="s">
        <v>39</v>
      </c>
      <c r="T114" s="76">
        <f t="shared" si="53"/>
        <v>11</v>
      </c>
      <c r="U114" s="76">
        <f t="shared" si="54"/>
        <v>6</v>
      </c>
      <c r="V114" s="76">
        <f t="shared" si="55"/>
        <v>8</v>
      </c>
      <c r="W114" s="76">
        <f t="shared" si="56"/>
        <v>6</v>
      </c>
      <c r="X114" s="76">
        <f t="shared" si="57"/>
        <v>11</v>
      </c>
      <c r="Y114" s="76">
        <f t="shared" si="58"/>
        <v>10</v>
      </c>
      <c r="Z114" s="76">
        <f t="shared" si="59"/>
        <v>11</v>
      </c>
      <c r="AB114" s="25">
        <v>1</v>
      </c>
      <c r="AC114" s="25">
        <v>1</v>
      </c>
      <c r="AD114" s="25">
        <v>1</v>
      </c>
      <c r="AE114" s="25">
        <v>1</v>
      </c>
      <c r="AF114" s="25">
        <v>1</v>
      </c>
      <c r="AG114" s="25">
        <v>1</v>
      </c>
      <c r="AH114" s="7">
        <v>1</v>
      </c>
      <c r="AJ114" s="53" t="s">
        <v>87</v>
      </c>
      <c r="AK114" s="54">
        <v>0</v>
      </c>
      <c r="AL114" s="55">
        <v>1</v>
      </c>
      <c r="AM114" s="55">
        <v>1</v>
      </c>
      <c r="AN114" s="55">
        <v>1</v>
      </c>
      <c r="AO114" s="55">
        <v>1</v>
      </c>
      <c r="AP114" s="55">
        <v>0</v>
      </c>
      <c r="AQ114" s="56">
        <v>0</v>
      </c>
      <c r="AR114" s="57">
        <v>22</v>
      </c>
      <c r="BD114" s="22">
        <v>110</v>
      </c>
      <c r="BE114" s="77" t="s">
        <v>39</v>
      </c>
      <c r="BF114" s="77" t="s">
        <v>75</v>
      </c>
      <c r="BG114" s="77" t="s">
        <v>25</v>
      </c>
      <c r="BH114" s="77" t="s">
        <v>75</v>
      </c>
      <c r="BI114" s="77" t="s">
        <v>39</v>
      </c>
      <c r="BJ114" s="77" t="s">
        <v>38</v>
      </c>
      <c r="BK114" s="37" t="s">
        <v>39</v>
      </c>
      <c r="BM114" s="76">
        <f t="shared" si="60"/>
        <v>11</v>
      </c>
      <c r="BN114" s="76">
        <f t="shared" si="61"/>
        <v>6</v>
      </c>
      <c r="BO114" s="76">
        <f t="shared" si="62"/>
        <v>8</v>
      </c>
      <c r="BP114" s="76">
        <f t="shared" si="63"/>
        <v>6</v>
      </c>
      <c r="BQ114" s="76">
        <f t="shared" si="64"/>
        <v>11</v>
      </c>
      <c r="BR114" s="76">
        <f t="shared" si="65"/>
        <v>10</v>
      </c>
      <c r="BS114" s="76">
        <f t="shared" si="66"/>
        <v>11</v>
      </c>
      <c r="BU114" s="25">
        <v>1</v>
      </c>
      <c r="BV114" s="25">
        <v>1</v>
      </c>
      <c r="BW114" s="25">
        <v>1</v>
      </c>
      <c r="BX114" s="25">
        <v>1</v>
      </c>
      <c r="BY114" s="25">
        <v>1</v>
      </c>
      <c r="BZ114" s="25">
        <v>1</v>
      </c>
      <c r="CA114" s="7">
        <v>1</v>
      </c>
      <c r="CC114" s="53" t="s">
        <v>87</v>
      </c>
      <c r="CD114" s="54">
        <v>0</v>
      </c>
      <c r="CE114" s="55">
        <v>1</v>
      </c>
      <c r="CF114" s="55">
        <v>1</v>
      </c>
      <c r="CG114" s="55">
        <v>1</v>
      </c>
      <c r="CH114" s="55">
        <v>1</v>
      </c>
      <c r="CI114" s="55">
        <v>0</v>
      </c>
      <c r="CJ114" s="56">
        <v>0</v>
      </c>
      <c r="CK114" s="57">
        <v>22</v>
      </c>
      <c r="CW114" s="22">
        <v>110</v>
      </c>
      <c r="CX114" s="77" t="s">
        <v>39</v>
      </c>
      <c r="CY114" s="77" t="s">
        <v>75</v>
      </c>
      <c r="CZ114" s="77" t="s">
        <v>25</v>
      </c>
      <c r="DA114" s="77" t="s">
        <v>75</v>
      </c>
      <c r="DB114" s="77" t="s">
        <v>39</v>
      </c>
      <c r="DC114" s="77" t="s">
        <v>38</v>
      </c>
      <c r="DD114" s="37" t="s">
        <v>39</v>
      </c>
      <c r="DF114" s="76">
        <f t="shared" si="67"/>
        <v>11</v>
      </c>
      <c r="DG114" s="76">
        <f t="shared" si="47"/>
        <v>6</v>
      </c>
      <c r="DH114" s="76">
        <f t="shared" si="48"/>
        <v>8</v>
      </c>
      <c r="DI114" s="76">
        <f t="shared" si="49"/>
        <v>6</v>
      </c>
      <c r="DJ114" s="76">
        <f t="shared" si="50"/>
        <v>11</v>
      </c>
      <c r="DK114" s="76">
        <f t="shared" si="51"/>
        <v>10</v>
      </c>
      <c r="DL114" s="76">
        <f t="shared" si="52"/>
        <v>11</v>
      </c>
      <c r="DN114" s="25">
        <v>1</v>
      </c>
      <c r="DO114" s="25">
        <v>1</v>
      </c>
      <c r="DP114" s="25">
        <v>1</v>
      </c>
      <c r="DQ114" s="25">
        <v>1</v>
      </c>
      <c r="DR114" s="25">
        <v>1</v>
      </c>
      <c r="DS114" s="25">
        <v>1</v>
      </c>
      <c r="DT114" s="7">
        <v>1</v>
      </c>
      <c r="DV114" s="53" t="s">
        <v>87</v>
      </c>
      <c r="DW114" s="54">
        <v>0</v>
      </c>
      <c r="DX114" s="55">
        <v>1</v>
      </c>
      <c r="DY114" s="55">
        <v>1</v>
      </c>
      <c r="DZ114" s="55">
        <v>1</v>
      </c>
      <c r="EA114" s="55">
        <v>1</v>
      </c>
      <c r="EB114" s="55">
        <v>0</v>
      </c>
      <c r="EC114" s="56">
        <v>0</v>
      </c>
      <c r="ED114" s="57">
        <v>22</v>
      </c>
    </row>
    <row r="115" spans="11:134" ht="16.8" thickBot="1" x14ac:dyDescent="0.35">
      <c r="K115" s="21">
        <v>111</v>
      </c>
      <c r="L115" s="77" t="s">
        <v>152</v>
      </c>
      <c r="M115" s="77" t="s">
        <v>38</v>
      </c>
      <c r="N115" s="77" t="s">
        <v>192</v>
      </c>
      <c r="O115" s="77" t="s">
        <v>32</v>
      </c>
      <c r="P115" s="77" t="s">
        <v>152</v>
      </c>
      <c r="Q115" s="77" t="s">
        <v>25</v>
      </c>
      <c r="R115" s="37" t="s">
        <v>33</v>
      </c>
      <c r="T115" s="76">
        <f t="shared" si="53"/>
        <v>7</v>
      </c>
      <c r="U115" s="76">
        <f t="shared" si="54"/>
        <v>10</v>
      </c>
      <c r="V115" s="76">
        <f t="shared" si="55"/>
        <v>22</v>
      </c>
      <c r="W115" s="76">
        <f t="shared" si="56"/>
        <v>2</v>
      </c>
      <c r="X115" s="76">
        <f t="shared" si="57"/>
        <v>7</v>
      </c>
      <c r="Y115" s="76">
        <f t="shared" si="58"/>
        <v>8</v>
      </c>
      <c r="Z115" s="76">
        <f t="shared" si="59"/>
        <v>3</v>
      </c>
      <c r="AB115" s="25">
        <v>1</v>
      </c>
      <c r="AC115" s="25">
        <v>1</v>
      </c>
      <c r="AD115" s="25">
        <v>1</v>
      </c>
      <c r="AE115" s="25">
        <v>1</v>
      </c>
      <c r="AF115" s="25">
        <v>1</v>
      </c>
      <c r="AG115" s="25">
        <v>1</v>
      </c>
      <c r="AH115" s="7">
        <v>1</v>
      </c>
      <c r="AJ115" s="59" t="s">
        <v>88</v>
      </c>
      <c r="AK115" s="60">
        <v>0</v>
      </c>
      <c r="AL115" s="61">
        <v>2</v>
      </c>
      <c r="AM115" s="61">
        <v>1</v>
      </c>
      <c r="AN115" s="61">
        <v>1</v>
      </c>
      <c r="AO115" s="61">
        <v>1</v>
      </c>
      <c r="AP115" s="61">
        <v>0</v>
      </c>
      <c r="AQ115" s="62">
        <v>0</v>
      </c>
      <c r="AR115" s="126">
        <v>23</v>
      </c>
      <c r="BD115" s="21">
        <v>111</v>
      </c>
      <c r="BE115" s="77" t="s">
        <v>152</v>
      </c>
      <c r="BF115" s="77" t="s">
        <v>38</v>
      </c>
      <c r="BG115" s="77" t="s">
        <v>192</v>
      </c>
      <c r="BH115" s="77" t="s">
        <v>37</v>
      </c>
      <c r="BI115" s="77" t="s">
        <v>152</v>
      </c>
      <c r="BJ115" s="77" t="s">
        <v>25</v>
      </c>
      <c r="BK115" s="37" t="s">
        <v>33</v>
      </c>
      <c r="BM115" s="76">
        <f t="shared" si="60"/>
        <v>7</v>
      </c>
      <c r="BN115" s="76">
        <f t="shared" si="61"/>
        <v>10</v>
      </c>
      <c r="BO115" s="76">
        <f t="shared" si="62"/>
        <v>22</v>
      </c>
      <c r="BP115" s="76">
        <f t="shared" si="63"/>
        <v>9</v>
      </c>
      <c r="BQ115" s="76">
        <f t="shared" si="64"/>
        <v>7</v>
      </c>
      <c r="BR115" s="76">
        <f t="shared" si="65"/>
        <v>8</v>
      </c>
      <c r="BS115" s="76">
        <f t="shared" si="66"/>
        <v>3</v>
      </c>
      <c r="BU115" s="25">
        <v>1</v>
      </c>
      <c r="BV115" s="25">
        <v>1</v>
      </c>
      <c r="BW115" s="25">
        <v>1</v>
      </c>
      <c r="BX115" s="25">
        <v>1</v>
      </c>
      <c r="BY115" s="25">
        <v>1</v>
      </c>
      <c r="BZ115" s="25">
        <v>1</v>
      </c>
      <c r="CA115" s="7">
        <v>1</v>
      </c>
      <c r="CC115" s="59" t="s">
        <v>88</v>
      </c>
      <c r="CD115" s="60">
        <v>0</v>
      </c>
      <c r="CE115" s="61">
        <v>2</v>
      </c>
      <c r="CF115" s="61">
        <v>1</v>
      </c>
      <c r="CG115" s="61">
        <v>1</v>
      </c>
      <c r="CH115" s="61">
        <v>1</v>
      </c>
      <c r="CI115" s="61">
        <v>0</v>
      </c>
      <c r="CJ115" s="62">
        <v>0</v>
      </c>
      <c r="CK115" s="126">
        <v>23</v>
      </c>
      <c r="CW115" s="21">
        <v>111</v>
      </c>
      <c r="CX115" s="77" t="s">
        <v>152</v>
      </c>
      <c r="CY115" s="77" t="s">
        <v>38</v>
      </c>
      <c r="CZ115" s="77" t="s">
        <v>192</v>
      </c>
      <c r="DA115" s="77" t="s">
        <v>37</v>
      </c>
      <c r="DB115" s="77" t="s">
        <v>152</v>
      </c>
      <c r="DC115" s="77" t="s">
        <v>25</v>
      </c>
      <c r="DD115" s="37" t="s">
        <v>33</v>
      </c>
      <c r="DF115" s="76">
        <f t="shared" si="67"/>
        <v>7</v>
      </c>
      <c r="DG115" s="76">
        <f t="shared" si="47"/>
        <v>10</v>
      </c>
      <c r="DH115" s="76">
        <f t="shared" si="48"/>
        <v>22</v>
      </c>
      <c r="DI115" s="76">
        <f t="shared" si="49"/>
        <v>9</v>
      </c>
      <c r="DJ115" s="76">
        <f t="shared" si="50"/>
        <v>7</v>
      </c>
      <c r="DK115" s="76">
        <f t="shared" si="51"/>
        <v>8</v>
      </c>
      <c r="DL115" s="76">
        <f t="shared" si="52"/>
        <v>3</v>
      </c>
      <c r="DN115" s="25">
        <v>1</v>
      </c>
      <c r="DO115" s="25">
        <v>1</v>
      </c>
      <c r="DP115" s="25">
        <v>1</v>
      </c>
      <c r="DQ115" s="25">
        <v>1</v>
      </c>
      <c r="DR115" s="25">
        <v>1</v>
      </c>
      <c r="DS115" s="25">
        <v>1</v>
      </c>
      <c r="DT115" s="7">
        <v>1</v>
      </c>
      <c r="DV115" s="59" t="s">
        <v>88</v>
      </c>
      <c r="DW115" s="60">
        <v>0</v>
      </c>
      <c r="DX115" s="61">
        <v>2</v>
      </c>
      <c r="DY115" s="61">
        <v>1</v>
      </c>
      <c r="DZ115" s="61">
        <v>1</v>
      </c>
      <c r="EA115" s="61">
        <v>1</v>
      </c>
      <c r="EB115" s="61">
        <v>0</v>
      </c>
      <c r="EC115" s="62">
        <v>0</v>
      </c>
      <c r="ED115" s="126">
        <v>23</v>
      </c>
    </row>
    <row r="116" spans="11:134" ht="16.2" x14ac:dyDescent="0.3">
      <c r="K116" s="22">
        <v>112</v>
      </c>
      <c r="L116" s="77" t="s">
        <v>32</v>
      </c>
      <c r="M116" s="77" t="s">
        <v>38</v>
      </c>
      <c r="N116" s="77" t="s">
        <v>39</v>
      </c>
      <c r="O116" s="77" t="s">
        <v>188</v>
      </c>
      <c r="P116" s="77" t="s">
        <v>152</v>
      </c>
      <c r="Q116" s="77" t="s">
        <v>38</v>
      </c>
      <c r="R116" s="37" t="s">
        <v>33</v>
      </c>
      <c r="T116" s="76">
        <f t="shared" si="53"/>
        <v>2</v>
      </c>
      <c r="U116" s="76">
        <f t="shared" si="54"/>
        <v>10</v>
      </c>
      <c r="V116" s="76">
        <f t="shared" si="55"/>
        <v>11</v>
      </c>
      <c r="W116" s="76">
        <f t="shared" si="56"/>
        <v>23</v>
      </c>
      <c r="X116" s="76">
        <f t="shared" si="57"/>
        <v>7</v>
      </c>
      <c r="Y116" s="76">
        <f t="shared" si="58"/>
        <v>10</v>
      </c>
      <c r="Z116" s="76">
        <f t="shared" si="59"/>
        <v>3</v>
      </c>
      <c r="AB116" s="25">
        <v>1</v>
      </c>
      <c r="AC116" s="25">
        <v>1</v>
      </c>
      <c r="AD116" s="25">
        <v>1</v>
      </c>
      <c r="AE116" s="25">
        <v>1</v>
      </c>
      <c r="AF116" s="25">
        <v>1</v>
      </c>
      <c r="AG116" s="25">
        <v>1</v>
      </c>
      <c r="AH116" s="7">
        <v>1</v>
      </c>
      <c r="AJ116" s="132" t="s">
        <v>176</v>
      </c>
      <c r="AK116" s="133">
        <v>0</v>
      </c>
      <c r="AL116" s="134">
        <v>2</v>
      </c>
      <c r="AM116" s="134">
        <v>2</v>
      </c>
      <c r="AN116" s="134">
        <v>2</v>
      </c>
      <c r="AO116" s="134">
        <v>2</v>
      </c>
      <c r="AP116" s="134">
        <v>0</v>
      </c>
      <c r="AQ116" s="135">
        <v>0</v>
      </c>
      <c r="AR116" s="131">
        <v>24</v>
      </c>
      <c r="BD116" s="22">
        <v>112</v>
      </c>
      <c r="BE116" s="77" t="s">
        <v>40</v>
      </c>
      <c r="BF116" s="77" t="s">
        <v>38</v>
      </c>
      <c r="BG116" s="77" t="s">
        <v>39</v>
      </c>
      <c r="BH116" s="77" t="s">
        <v>188</v>
      </c>
      <c r="BI116" s="77" t="s">
        <v>152</v>
      </c>
      <c r="BJ116" s="77" t="s">
        <v>38</v>
      </c>
      <c r="BK116" s="37" t="s">
        <v>33</v>
      </c>
      <c r="BM116" s="76">
        <f t="shared" si="60"/>
        <v>12</v>
      </c>
      <c r="BN116" s="76">
        <f t="shared" si="61"/>
        <v>10</v>
      </c>
      <c r="BO116" s="76">
        <f t="shared" si="62"/>
        <v>11</v>
      </c>
      <c r="BP116" s="76">
        <f t="shared" si="63"/>
        <v>23</v>
      </c>
      <c r="BQ116" s="76">
        <f t="shared" si="64"/>
        <v>7</v>
      </c>
      <c r="BR116" s="76">
        <f t="shared" si="65"/>
        <v>10</v>
      </c>
      <c r="BS116" s="76">
        <f t="shared" si="66"/>
        <v>3</v>
      </c>
      <c r="BU116" s="25">
        <v>1</v>
      </c>
      <c r="BV116" s="25">
        <v>1</v>
      </c>
      <c r="BW116" s="25">
        <v>1</v>
      </c>
      <c r="BX116" s="25">
        <v>1</v>
      </c>
      <c r="BY116" s="25">
        <v>1</v>
      </c>
      <c r="BZ116" s="25">
        <v>1</v>
      </c>
      <c r="CA116" s="7">
        <v>1</v>
      </c>
      <c r="CC116" s="132" t="s">
        <v>176</v>
      </c>
      <c r="CD116" s="133">
        <v>0</v>
      </c>
      <c r="CE116" s="134">
        <v>2</v>
      </c>
      <c r="CF116" s="134">
        <v>2</v>
      </c>
      <c r="CG116" s="134">
        <v>2</v>
      </c>
      <c r="CH116" s="134">
        <v>2</v>
      </c>
      <c r="CI116" s="134">
        <v>0</v>
      </c>
      <c r="CJ116" s="135">
        <v>0</v>
      </c>
      <c r="CK116" s="131">
        <v>24</v>
      </c>
      <c r="CW116" s="22">
        <v>112</v>
      </c>
      <c r="CX116" s="77" t="s">
        <v>40</v>
      </c>
      <c r="CY116" s="77" t="s">
        <v>38</v>
      </c>
      <c r="CZ116" s="77" t="s">
        <v>39</v>
      </c>
      <c r="DA116" s="77" t="s">
        <v>188</v>
      </c>
      <c r="DB116" s="77" t="s">
        <v>152</v>
      </c>
      <c r="DC116" s="77" t="s">
        <v>38</v>
      </c>
      <c r="DD116" s="37" t="s">
        <v>33</v>
      </c>
      <c r="DF116" s="76">
        <f t="shared" si="67"/>
        <v>12</v>
      </c>
      <c r="DG116" s="76">
        <f t="shared" si="47"/>
        <v>10</v>
      </c>
      <c r="DH116" s="76">
        <f t="shared" si="48"/>
        <v>11</v>
      </c>
      <c r="DI116" s="76">
        <f t="shared" si="49"/>
        <v>23</v>
      </c>
      <c r="DJ116" s="76">
        <f t="shared" si="50"/>
        <v>7</v>
      </c>
      <c r="DK116" s="76">
        <f t="shared" si="51"/>
        <v>10</v>
      </c>
      <c r="DL116" s="76">
        <f t="shared" si="52"/>
        <v>3</v>
      </c>
      <c r="DN116" s="25">
        <v>1</v>
      </c>
      <c r="DO116" s="25">
        <v>1</v>
      </c>
      <c r="DP116" s="25">
        <v>1</v>
      </c>
      <c r="DQ116" s="25">
        <v>1</v>
      </c>
      <c r="DR116" s="25">
        <v>1</v>
      </c>
      <c r="DS116" s="25">
        <v>1</v>
      </c>
      <c r="DT116" s="7">
        <v>1</v>
      </c>
      <c r="DV116" s="132" t="s">
        <v>176</v>
      </c>
      <c r="DW116" s="133">
        <v>0</v>
      </c>
      <c r="DX116" s="134">
        <v>0</v>
      </c>
      <c r="DY116" s="134">
        <v>0</v>
      </c>
      <c r="DZ116" s="134">
        <v>0</v>
      </c>
      <c r="EA116" s="134">
        <v>0</v>
      </c>
      <c r="EB116" s="134">
        <v>0</v>
      </c>
      <c r="EC116" s="135">
        <v>0</v>
      </c>
      <c r="ED116" s="131">
        <v>24</v>
      </c>
    </row>
    <row r="117" spans="11:134" ht="16.8" thickBot="1" x14ac:dyDescent="0.35">
      <c r="K117" s="21">
        <v>113</v>
      </c>
      <c r="L117" s="77" t="s">
        <v>40</v>
      </c>
      <c r="M117" s="77" t="s">
        <v>33</v>
      </c>
      <c r="N117" s="77" t="s">
        <v>152</v>
      </c>
      <c r="O117" s="77" t="s">
        <v>39</v>
      </c>
      <c r="P117" s="77" t="s">
        <v>152</v>
      </c>
      <c r="Q117" s="77" t="s">
        <v>38</v>
      </c>
      <c r="R117" s="37" t="s">
        <v>38</v>
      </c>
      <c r="T117" s="76">
        <f t="shared" si="53"/>
        <v>12</v>
      </c>
      <c r="U117" s="76">
        <f t="shared" si="54"/>
        <v>3</v>
      </c>
      <c r="V117" s="76">
        <f t="shared" si="55"/>
        <v>7</v>
      </c>
      <c r="W117" s="76">
        <f t="shared" si="56"/>
        <v>11</v>
      </c>
      <c r="X117" s="76">
        <f t="shared" si="57"/>
        <v>7</v>
      </c>
      <c r="Y117" s="76">
        <f t="shared" si="58"/>
        <v>10</v>
      </c>
      <c r="Z117" s="76">
        <f t="shared" si="59"/>
        <v>10</v>
      </c>
      <c r="AB117" s="25">
        <v>1</v>
      </c>
      <c r="AC117" s="25">
        <v>1</v>
      </c>
      <c r="AD117" s="25">
        <v>1</v>
      </c>
      <c r="AE117" s="25">
        <v>1</v>
      </c>
      <c r="AF117" s="25">
        <v>1</v>
      </c>
      <c r="AG117" s="25">
        <v>1</v>
      </c>
      <c r="AH117" s="7">
        <v>1</v>
      </c>
      <c r="AJ117" s="80" t="s">
        <v>187</v>
      </c>
      <c r="AK117" s="72">
        <v>0</v>
      </c>
      <c r="AL117" s="73">
        <v>0</v>
      </c>
      <c r="AM117" s="73">
        <v>0</v>
      </c>
      <c r="AN117" s="73">
        <v>0</v>
      </c>
      <c r="AO117" s="73">
        <v>0</v>
      </c>
      <c r="AP117" s="73">
        <v>0</v>
      </c>
      <c r="AQ117" s="74">
        <v>0</v>
      </c>
      <c r="AR117" s="63">
        <v>25</v>
      </c>
      <c r="BD117" s="21">
        <v>113</v>
      </c>
      <c r="BE117" s="77" t="s">
        <v>40</v>
      </c>
      <c r="BF117" s="77" t="s">
        <v>33</v>
      </c>
      <c r="BG117" s="77" t="s">
        <v>25</v>
      </c>
      <c r="BH117" s="77" t="s">
        <v>39</v>
      </c>
      <c r="BI117" s="77" t="s">
        <v>152</v>
      </c>
      <c r="BJ117" s="77" t="s">
        <v>38</v>
      </c>
      <c r="BK117" s="37" t="s">
        <v>38</v>
      </c>
      <c r="BM117" s="76">
        <f t="shared" si="60"/>
        <v>12</v>
      </c>
      <c r="BN117" s="76">
        <f t="shared" si="61"/>
        <v>3</v>
      </c>
      <c r="BO117" s="76">
        <f t="shared" si="62"/>
        <v>8</v>
      </c>
      <c r="BP117" s="76">
        <f t="shared" si="63"/>
        <v>11</v>
      </c>
      <c r="BQ117" s="76">
        <f t="shared" si="64"/>
        <v>7</v>
      </c>
      <c r="BR117" s="76">
        <f t="shared" si="65"/>
        <v>10</v>
      </c>
      <c r="BS117" s="76">
        <f t="shared" si="66"/>
        <v>10</v>
      </c>
      <c r="BU117" s="25">
        <v>1</v>
      </c>
      <c r="BV117" s="25">
        <v>1</v>
      </c>
      <c r="BW117" s="25">
        <v>1</v>
      </c>
      <c r="BX117" s="25">
        <v>1</v>
      </c>
      <c r="BY117" s="25">
        <v>1</v>
      </c>
      <c r="BZ117" s="25">
        <v>1</v>
      </c>
      <c r="CA117" s="7">
        <v>1</v>
      </c>
      <c r="CC117" s="80" t="s">
        <v>187</v>
      </c>
      <c r="CD117" s="72">
        <v>0</v>
      </c>
      <c r="CE117" s="73">
        <v>0</v>
      </c>
      <c r="CF117" s="73">
        <v>0</v>
      </c>
      <c r="CG117" s="73">
        <v>0</v>
      </c>
      <c r="CH117" s="73">
        <v>0</v>
      </c>
      <c r="CI117" s="73">
        <v>0</v>
      </c>
      <c r="CJ117" s="74">
        <v>0</v>
      </c>
      <c r="CK117" s="63">
        <v>25</v>
      </c>
      <c r="CW117" s="21">
        <v>113</v>
      </c>
      <c r="CX117" s="77" t="s">
        <v>40</v>
      </c>
      <c r="CY117" s="77" t="s">
        <v>33</v>
      </c>
      <c r="CZ117" s="77" t="s">
        <v>25</v>
      </c>
      <c r="DA117" s="77" t="s">
        <v>39</v>
      </c>
      <c r="DB117" s="77" t="s">
        <v>152</v>
      </c>
      <c r="DC117" s="77" t="s">
        <v>38</v>
      </c>
      <c r="DD117" s="37" t="s">
        <v>38</v>
      </c>
      <c r="DF117" s="76">
        <f t="shared" si="67"/>
        <v>12</v>
      </c>
      <c r="DG117" s="76">
        <f t="shared" si="47"/>
        <v>3</v>
      </c>
      <c r="DH117" s="76">
        <f t="shared" si="48"/>
        <v>8</v>
      </c>
      <c r="DI117" s="76">
        <f t="shared" si="49"/>
        <v>11</v>
      </c>
      <c r="DJ117" s="76">
        <f t="shared" si="50"/>
        <v>7</v>
      </c>
      <c r="DK117" s="76">
        <f t="shared" si="51"/>
        <v>10</v>
      </c>
      <c r="DL117" s="76">
        <f t="shared" si="52"/>
        <v>10</v>
      </c>
      <c r="DN117" s="25">
        <v>1</v>
      </c>
      <c r="DO117" s="25">
        <v>1</v>
      </c>
      <c r="DP117" s="25">
        <v>1</v>
      </c>
      <c r="DQ117" s="25">
        <v>1</v>
      </c>
      <c r="DR117" s="25">
        <v>1</v>
      </c>
      <c r="DS117" s="25">
        <v>1</v>
      </c>
      <c r="DT117" s="7">
        <v>1</v>
      </c>
      <c r="DV117" s="80" t="s">
        <v>187</v>
      </c>
      <c r="DW117" s="72">
        <v>0</v>
      </c>
      <c r="DX117" s="73">
        <v>0</v>
      </c>
      <c r="DY117" s="73">
        <v>0</v>
      </c>
      <c r="DZ117" s="73">
        <v>0</v>
      </c>
      <c r="EA117" s="73">
        <v>0</v>
      </c>
      <c r="EB117" s="73">
        <v>0</v>
      </c>
      <c r="EC117" s="74">
        <v>0</v>
      </c>
      <c r="ED117" s="63">
        <v>25</v>
      </c>
    </row>
    <row r="118" spans="11:134" x14ac:dyDescent="0.3">
      <c r="K118" s="22">
        <v>114</v>
      </c>
      <c r="L118" s="77" t="s">
        <v>38</v>
      </c>
      <c r="M118" s="77" t="s">
        <v>33</v>
      </c>
      <c r="N118" s="77" t="s">
        <v>37</v>
      </c>
      <c r="O118" s="77" t="s">
        <v>37</v>
      </c>
      <c r="P118" s="77" t="s">
        <v>35</v>
      </c>
      <c r="Q118" s="77" t="s">
        <v>32</v>
      </c>
      <c r="R118" s="37" t="s">
        <v>38</v>
      </c>
      <c r="T118" s="76">
        <f t="shared" si="53"/>
        <v>10</v>
      </c>
      <c r="U118" s="76">
        <f t="shared" si="54"/>
        <v>3</v>
      </c>
      <c r="V118" s="76">
        <f t="shared" si="55"/>
        <v>9</v>
      </c>
      <c r="W118" s="76">
        <f t="shared" si="56"/>
        <v>9</v>
      </c>
      <c r="X118" s="76">
        <f t="shared" si="57"/>
        <v>5</v>
      </c>
      <c r="Y118" s="76">
        <f t="shared" si="58"/>
        <v>2</v>
      </c>
      <c r="Z118" s="76">
        <f t="shared" si="59"/>
        <v>10</v>
      </c>
      <c r="AB118" s="25">
        <v>1</v>
      </c>
      <c r="AC118" s="25">
        <v>1</v>
      </c>
      <c r="AD118" s="25">
        <v>1</v>
      </c>
      <c r="AE118" s="25">
        <v>1</v>
      </c>
      <c r="AF118" s="25">
        <v>1</v>
      </c>
      <c r="AG118" s="25">
        <v>1</v>
      </c>
      <c r="AH118" s="7">
        <v>1</v>
      </c>
      <c r="AJ118" s="82"/>
      <c r="AK118" s="82"/>
      <c r="AL118" s="82"/>
      <c r="AM118" s="82"/>
      <c r="AN118" s="82"/>
      <c r="AO118" s="82"/>
      <c r="AP118" s="82"/>
      <c r="AQ118" s="82"/>
      <c r="AR118" s="82"/>
      <c r="BD118" s="22">
        <v>114</v>
      </c>
      <c r="BE118" s="77" t="s">
        <v>38</v>
      </c>
      <c r="BF118" s="77" t="s">
        <v>33</v>
      </c>
      <c r="BG118" s="77" t="s">
        <v>37</v>
      </c>
      <c r="BH118" s="77" t="s">
        <v>37</v>
      </c>
      <c r="BI118" s="77" t="s">
        <v>35</v>
      </c>
      <c r="BJ118" s="77" t="s">
        <v>25</v>
      </c>
      <c r="BK118" s="37" t="s">
        <v>38</v>
      </c>
      <c r="BM118" s="76">
        <f t="shared" si="60"/>
        <v>10</v>
      </c>
      <c r="BN118" s="76">
        <f t="shared" si="61"/>
        <v>3</v>
      </c>
      <c r="BO118" s="76">
        <f t="shared" si="62"/>
        <v>9</v>
      </c>
      <c r="BP118" s="76">
        <f t="shared" si="63"/>
        <v>9</v>
      </c>
      <c r="BQ118" s="76">
        <f t="shared" si="64"/>
        <v>5</v>
      </c>
      <c r="BR118" s="76">
        <f t="shared" si="65"/>
        <v>8</v>
      </c>
      <c r="BS118" s="76">
        <f t="shared" si="66"/>
        <v>10</v>
      </c>
      <c r="BU118" s="25">
        <v>1</v>
      </c>
      <c r="BV118" s="25">
        <v>1</v>
      </c>
      <c r="BW118" s="25">
        <v>1</v>
      </c>
      <c r="BX118" s="25">
        <v>1</v>
      </c>
      <c r="BY118" s="25">
        <v>1</v>
      </c>
      <c r="BZ118" s="25">
        <v>1</v>
      </c>
      <c r="CA118" s="7">
        <v>1</v>
      </c>
      <c r="CC118" s="82"/>
      <c r="CD118" s="82"/>
      <c r="CE118" s="82"/>
      <c r="CF118" s="82"/>
      <c r="CG118" s="82"/>
      <c r="CH118" s="82"/>
      <c r="CI118" s="82"/>
      <c r="CJ118" s="82"/>
      <c r="CK118" s="82"/>
      <c r="CW118" s="22">
        <v>114</v>
      </c>
      <c r="CX118" s="77" t="s">
        <v>38</v>
      </c>
      <c r="CY118" s="77" t="s">
        <v>33</v>
      </c>
      <c r="CZ118" s="77" t="s">
        <v>37</v>
      </c>
      <c r="DA118" s="77" t="s">
        <v>37</v>
      </c>
      <c r="DB118" s="77" t="s">
        <v>35</v>
      </c>
      <c r="DC118" s="77" t="s">
        <v>25</v>
      </c>
      <c r="DD118" s="37" t="s">
        <v>38</v>
      </c>
      <c r="DF118" s="76">
        <f t="shared" si="67"/>
        <v>10</v>
      </c>
      <c r="DG118" s="76">
        <f t="shared" si="47"/>
        <v>3</v>
      </c>
      <c r="DH118" s="76">
        <f t="shared" si="48"/>
        <v>9</v>
      </c>
      <c r="DI118" s="76">
        <f t="shared" si="49"/>
        <v>9</v>
      </c>
      <c r="DJ118" s="76">
        <f t="shared" si="50"/>
        <v>5</v>
      </c>
      <c r="DK118" s="76">
        <f t="shared" si="51"/>
        <v>8</v>
      </c>
      <c r="DL118" s="76">
        <f t="shared" si="52"/>
        <v>10</v>
      </c>
      <c r="DN118" s="25">
        <v>1</v>
      </c>
      <c r="DO118" s="25">
        <v>1</v>
      </c>
      <c r="DP118" s="25">
        <v>1</v>
      </c>
      <c r="DQ118" s="25">
        <v>1</v>
      </c>
      <c r="DR118" s="25">
        <v>1</v>
      </c>
      <c r="DS118" s="25">
        <v>1</v>
      </c>
      <c r="DT118" s="7">
        <v>1</v>
      </c>
      <c r="DV118" s="82"/>
      <c r="DW118" s="82"/>
      <c r="DX118" s="82"/>
      <c r="DY118" s="82"/>
      <c r="DZ118" s="82"/>
      <c r="EA118" s="82"/>
      <c r="EB118" s="82"/>
      <c r="EC118" s="82"/>
      <c r="ED118" s="82"/>
    </row>
    <row r="119" spans="11:134" ht="16.2" thickBot="1" x14ac:dyDescent="0.35">
      <c r="K119" s="21">
        <v>115</v>
      </c>
      <c r="L119" s="77" t="s">
        <v>40</v>
      </c>
      <c r="M119" s="77" t="s">
        <v>152</v>
      </c>
      <c r="N119" s="77" t="s">
        <v>35</v>
      </c>
      <c r="O119" s="77" t="s">
        <v>161</v>
      </c>
      <c r="P119" s="77" t="s">
        <v>97</v>
      </c>
      <c r="Q119" s="77" t="s">
        <v>32</v>
      </c>
      <c r="R119" s="37" t="s">
        <v>176</v>
      </c>
      <c r="T119" s="76">
        <f t="shared" si="53"/>
        <v>12</v>
      </c>
      <c r="U119" s="76">
        <f t="shared" si="54"/>
        <v>7</v>
      </c>
      <c r="V119" s="76">
        <f t="shared" si="55"/>
        <v>5</v>
      </c>
      <c r="W119" s="76">
        <f t="shared" si="56"/>
        <v>17</v>
      </c>
      <c r="X119" s="76">
        <f t="shared" si="57"/>
        <v>14</v>
      </c>
      <c r="Y119" s="76">
        <f t="shared" si="58"/>
        <v>2</v>
      </c>
      <c r="Z119" s="76">
        <f t="shared" si="59"/>
        <v>24</v>
      </c>
      <c r="AB119" s="25">
        <v>1</v>
      </c>
      <c r="AC119" s="25">
        <v>1</v>
      </c>
      <c r="AD119" s="25">
        <v>1</v>
      </c>
      <c r="AE119" s="25">
        <v>1</v>
      </c>
      <c r="AF119" s="25">
        <v>1</v>
      </c>
      <c r="AG119" s="25">
        <v>1</v>
      </c>
      <c r="AH119" s="7">
        <v>3</v>
      </c>
      <c r="AJ119" s="82"/>
      <c r="AK119" s="245" t="s">
        <v>164</v>
      </c>
      <c r="AL119" s="245"/>
      <c r="AM119" s="245"/>
      <c r="AN119" s="245"/>
      <c r="AO119" s="245"/>
      <c r="AP119" s="245"/>
      <c r="AQ119" s="245"/>
      <c r="AR119" s="245"/>
      <c r="BD119" s="21">
        <v>115</v>
      </c>
      <c r="BE119" s="77" t="s">
        <v>40</v>
      </c>
      <c r="BF119" s="77" t="s">
        <v>152</v>
      </c>
      <c r="BG119" s="77" t="s">
        <v>35</v>
      </c>
      <c r="BH119" s="77" t="s">
        <v>161</v>
      </c>
      <c r="BI119" s="77" t="s">
        <v>97</v>
      </c>
      <c r="BJ119" s="77" t="s">
        <v>25</v>
      </c>
      <c r="BK119" s="37" t="s">
        <v>40</v>
      </c>
      <c r="BM119" s="76">
        <f t="shared" si="60"/>
        <v>12</v>
      </c>
      <c r="BN119" s="76">
        <f t="shared" si="61"/>
        <v>7</v>
      </c>
      <c r="BO119" s="76">
        <f t="shared" si="62"/>
        <v>5</v>
      </c>
      <c r="BP119" s="76">
        <f t="shared" si="63"/>
        <v>17</v>
      </c>
      <c r="BQ119" s="76">
        <f t="shared" si="64"/>
        <v>14</v>
      </c>
      <c r="BR119" s="76">
        <f t="shared" si="65"/>
        <v>8</v>
      </c>
      <c r="BS119" s="76">
        <f t="shared" si="66"/>
        <v>12</v>
      </c>
      <c r="BU119" s="25">
        <v>1</v>
      </c>
      <c r="BV119" s="25">
        <v>1</v>
      </c>
      <c r="BW119" s="25">
        <v>1</v>
      </c>
      <c r="BX119" s="25">
        <v>1</v>
      </c>
      <c r="BY119" s="25">
        <v>1</v>
      </c>
      <c r="BZ119" s="25">
        <v>1</v>
      </c>
      <c r="CA119" s="7">
        <v>1</v>
      </c>
      <c r="CC119" s="82"/>
      <c r="CD119" s="245" t="s">
        <v>164</v>
      </c>
      <c r="CE119" s="245"/>
      <c r="CF119" s="245"/>
      <c r="CG119" s="245"/>
      <c r="CH119" s="245"/>
      <c r="CI119" s="245"/>
      <c r="CJ119" s="245"/>
      <c r="CK119" s="245"/>
      <c r="CW119" s="21">
        <v>115</v>
      </c>
      <c r="CX119" s="77" t="s">
        <v>40</v>
      </c>
      <c r="CY119" s="77" t="s">
        <v>152</v>
      </c>
      <c r="CZ119" s="77" t="s">
        <v>35</v>
      </c>
      <c r="DA119" s="77" t="s">
        <v>161</v>
      </c>
      <c r="DB119" s="77" t="s">
        <v>97</v>
      </c>
      <c r="DC119" s="77" t="s">
        <v>25</v>
      </c>
      <c r="DD119" s="37" t="s">
        <v>40</v>
      </c>
      <c r="DF119" s="76">
        <f t="shared" si="67"/>
        <v>12</v>
      </c>
      <c r="DG119" s="76">
        <f t="shared" si="47"/>
        <v>7</v>
      </c>
      <c r="DH119" s="76">
        <f t="shared" si="48"/>
        <v>5</v>
      </c>
      <c r="DI119" s="76">
        <f t="shared" si="49"/>
        <v>17</v>
      </c>
      <c r="DJ119" s="76">
        <f t="shared" si="50"/>
        <v>14</v>
      </c>
      <c r="DK119" s="76">
        <f t="shared" si="51"/>
        <v>8</v>
      </c>
      <c r="DL119" s="76">
        <f t="shared" si="52"/>
        <v>12</v>
      </c>
      <c r="DN119" s="25">
        <v>1</v>
      </c>
      <c r="DO119" s="25">
        <v>1</v>
      </c>
      <c r="DP119" s="25">
        <v>1</v>
      </c>
      <c r="DQ119" s="25">
        <v>1</v>
      </c>
      <c r="DR119" s="25">
        <v>1</v>
      </c>
      <c r="DS119" s="25">
        <v>1</v>
      </c>
      <c r="DT119" s="7">
        <v>1</v>
      </c>
      <c r="DV119" s="82"/>
      <c r="DW119" s="245" t="s">
        <v>164</v>
      </c>
      <c r="DX119" s="245"/>
      <c r="DY119" s="245"/>
      <c r="DZ119" s="245"/>
      <c r="EA119" s="245"/>
      <c r="EB119" s="245"/>
      <c r="EC119" s="245"/>
      <c r="ED119" s="245"/>
    </row>
    <row r="120" spans="11:134" ht="16.8" thickBot="1" x14ac:dyDescent="0.35">
      <c r="K120" s="22">
        <v>116</v>
      </c>
      <c r="L120" s="77" t="s">
        <v>40</v>
      </c>
      <c r="M120" s="77" t="s">
        <v>40</v>
      </c>
      <c r="N120" s="77" t="s">
        <v>25</v>
      </c>
      <c r="O120" s="77" t="s">
        <v>75</v>
      </c>
      <c r="P120" s="77" t="s">
        <v>33</v>
      </c>
      <c r="Q120" s="77" t="s">
        <v>38</v>
      </c>
      <c r="R120" s="37" t="s">
        <v>176</v>
      </c>
      <c r="T120" s="76">
        <f t="shared" si="53"/>
        <v>12</v>
      </c>
      <c r="U120" s="76">
        <f t="shared" si="54"/>
        <v>12</v>
      </c>
      <c r="V120" s="76">
        <f t="shared" si="55"/>
        <v>8</v>
      </c>
      <c r="W120" s="76">
        <f t="shared" si="56"/>
        <v>6</v>
      </c>
      <c r="X120" s="76">
        <f t="shared" si="57"/>
        <v>3</v>
      </c>
      <c r="Y120" s="76">
        <f t="shared" si="58"/>
        <v>10</v>
      </c>
      <c r="Z120" s="76">
        <f t="shared" si="59"/>
        <v>24</v>
      </c>
      <c r="AB120" s="25">
        <v>1</v>
      </c>
      <c r="AC120" s="25">
        <v>1</v>
      </c>
      <c r="AD120" s="25">
        <v>1</v>
      </c>
      <c r="AE120" s="25">
        <v>1</v>
      </c>
      <c r="AF120" s="25">
        <v>1</v>
      </c>
      <c r="AG120" s="25">
        <v>1</v>
      </c>
      <c r="AH120" s="7">
        <v>1</v>
      </c>
      <c r="AJ120" s="44" t="s">
        <v>52</v>
      </c>
      <c r="AK120" s="45" t="s">
        <v>12</v>
      </c>
      <c r="AL120" s="45" t="s">
        <v>13</v>
      </c>
      <c r="AM120" s="45" t="s">
        <v>14</v>
      </c>
      <c r="AN120" s="45" t="s">
        <v>15</v>
      </c>
      <c r="AO120" s="45" t="s">
        <v>16</v>
      </c>
      <c r="AP120" s="45" t="s">
        <v>56</v>
      </c>
      <c r="AQ120" s="46" t="s">
        <v>76</v>
      </c>
      <c r="AR120" s="47" t="s">
        <v>3</v>
      </c>
      <c r="BD120" s="22">
        <v>116</v>
      </c>
      <c r="BE120" s="77" t="s">
        <v>40</v>
      </c>
      <c r="BF120" s="77" t="s">
        <v>40</v>
      </c>
      <c r="BG120" s="77" t="s">
        <v>25</v>
      </c>
      <c r="BH120" s="77" t="s">
        <v>75</v>
      </c>
      <c r="BI120" s="77" t="s">
        <v>33</v>
      </c>
      <c r="BJ120" s="77" t="s">
        <v>38</v>
      </c>
      <c r="BK120" s="37" t="s">
        <v>40</v>
      </c>
      <c r="BM120" s="76">
        <f t="shared" si="60"/>
        <v>12</v>
      </c>
      <c r="BN120" s="76">
        <f t="shared" si="61"/>
        <v>12</v>
      </c>
      <c r="BO120" s="76">
        <f t="shared" si="62"/>
        <v>8</v>
      </c>
      <c r="BP120" s="76">
        <f t="shared" si="63"/>
        <v>6</v>
      </c>
      <c r="BQ120" s="76">
        <f t="shared" si="64"/>
        <v>3</v>
      </c>
      <c r="BR120" s="76">
        <f t="shared" si="65"/>
        <v>10</v>
      </c>
      <c r="BS120" s="76">
        <f t="shared" si="66"/>
        <v>12</v>
      </c>
      <c r="BU120" s="25">
        <v>1</v>
      </c>
      <c r="BV120" s="25">
        <v>1</v>
      </c>
      <c r="BW120" s="25">
        <v>1</v>
      </c>
      <c r="BX120" s="25">
        <v>1</v>
      </c>
      <c r="BY120" s="25">
        <v>1</v>
      </c>
      <c r="BZ120" s="25">
        <v>1</v>
      </c>
      <c r="CA120" s="7">
        <v>1</v>
      </c>
      <c r="CC120" s="44" t="s">
        <v>52</v>
      </c>
      <c r="CD120" s="45" t="s">
        <v>12</v>
      </c>
      <c r="CE120" s="45" t="s">
        <v>13</v>
      </c>
      <c r="CF120" s="45" t="s">
        <v>14</v>
      </c>
      <c r="CG120" s="45" t="s">
        <v>15</v>
      </c>
      <c r="CH120" s="45" t="s">
        <v>16</v>
      </c>
      <c r="CI120" s="45" t="s">
        <v>56</v>
      </c>
      <c r="CJ120" s="46" t="s">
        <v>76</v>
      </c>
      <c r="CK120" s="47" t="s">
        <v>3</v>
      </c>
      <c r="CW120" s="22">
        <v>116</v>
      </c>
      <c r="CX120" s="77" t="s">
        <v>40</v>
      </c>
      <c r="CY120" s="77" t="s">
        <v>40</v>
      </c>
      <c r="CZ120" s="77" t="s">
        <v>25</v>
      </c>
      <c r="DA120" s="77" t="s">
        <v>75</v>
      </c>
      <c r="DB120" s="77" t="s">
        <v>33</v>
      </c>
      <c r="DC120" s="77" t="s">
        <v>38</v>
      </c>
      <c r="DD120" s="37" t="s">
        <v>40</v>
      </c>
      <c r="DF120" s="76">
        <f t="shared" si="67"/>
        <v>12</v>
      </c>
      <c r="DG120" s="76">
        <f t="shared" si="47"/>
        <v>12</v>
      </c>
      <c r="DH120" s="76">
        <f t="shared" si="48"/>
        <v>8</v>
      </c>
      <c r="DI120" s="76">
        <f t="shared" si="49"/>
        <v>6</v>
      </c>
      <c r="DJ120" s="76">
        <f t="shared" si="50"/>
        <v>3</v>
      </c>
      <c r="DK120" s="76">
        <f t="shared" si="51"/>
        <v>10</v>
      </c>
      <c r="DL120" s="76">
        <f t="shared" si="52"/>
        <v>12</v>
      </c>
      <c r="DN120" s="25">
        <v>1</v>
      </c>
      <c r="DO120" s="25">
        <v>1</v>
      </c>
      <c r="DP120" s="25">
        <v>1</v>
      </c>
      <c r="DQ120" s="25">
        <v>1</v>
      </c>
      <c r="DR120" s="25">
        <v>1</v>
      </c>
      <c r="DS120" s="25">
        <v>1</v>
      </c>
      <c r="DT120" s="7">
        <v>1</v>
      </c>
      <c r="DV120" s="44" t="s">
        <v>52</v>
      </c>
      <c r="DW120" s="45" t="s">
        <v>12</v>
      </c>
      <c r="DX120" s="45" t="s">
        <v>13</v>
      </c>
      <c r="DY120" s="45" t="s">
        <v>14</v>
      </c>
      <c r="DZ120" s="45" t="s">
        <v>15</v>
      </c>
      <c r="EA120" s="45" t="s">
        <v>16</v>
      </c>
      <c r="EB120" s="45" t="s">
        <v>56</v>
      </c>
      <c r="EC120" s="46" t="s">
        <v>76</v>
      </c>
      <c r="ED120" s="47" t="s">
        <v>3</v>
      </c>
    </row>
    <row r="121" spans="11:134" ht="16.2" x14ac:dyDescent="0.3">
      <c r="K121" s="21">
        <v>117</v>
      </c>
      <c r="L121" s="77" t="s">
        <v>75</v>
      </c>
      <c r="M121" s="77" t="s">
        <v>40</v>
      </c>
      <c r="N121" s="77" t="s">
        <v>25</v>
      </c>
      <c r="O121" s="77" t="s">
        <v>38</v>
      </c>
      <c r="P121" s="77" t="s">
        <v>33</v>
      </c>
      <c r="Q121" s="77" t="s">
        <v>38</v>
      </c>
      <c r="R121" s="37" t="s">
        <v>176</v>
      </c>
      <c r="T121" s="76">
        <f t="shared" si="53"/>
        <v>6</v>
      </c>
      <c r="U121" s="76">
        <f t="shared" si="54"/>
        <v>12</v>
      </c>
      <c r="V121" s="76">
        <f t="shared" si="55"/>
        <v>8</v>
      </c>
      <c r="W121" s="76">
        <f t="shared" si="56"/>
        <v>10</v>
      </c>
      <c r="X121" s="76">
        <f t="shared" si="57"/>
        <v>3</v>
      </c>
      <c r="Y121" s="76">
        <f t="shared" si="58"/>
        <v>10</v>
      </c>
      <c r="Z121" s="76">
        <f t="shared" si="59"/>
        <v>24</v>
      </c>
      <c r="AB121" s="25">
        <v>1</v>
      </c>
      <c r="AC121" s="25">
        <v>1</v>
      </c>
      <c r="AD121" s="25">
        <v>1</v>
      </c>
      <c r="AE121" s="25">
        <v>1</v>
      </c>
      <c r="AF121" s="25">
        <v>1</v>
      </c>
      <c r="AG121" s="25">
        <v>1</v>
      </c>
      <c r="AH121" s="7">
        <v>1</v>
      </c>
      <c r="AJ121" s="48" t="s">
        <v>78</v>
      </c>
      <c r="AK121" s="49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1">
        <v>0</v>
      </c>
      <c r="AR121" s="52">
        <v>0</v>
      </c>
      <c r="BD121" s="21">
        <v>117</v>
      </c>
      <c r="BE121" s="77" t="s">
        <v>75</v>
      </c>
      <c r="BF121" s="77" t="s">
        <v>40</v>
      </c>
      <c r="BG121" s="77" t="s">
        <v>25</v>
      </c>
      <c r="BH121" s="77" t="s">
        <v>38</v>
      </c>
      <c r="BI121" s="77" t="s">
        <v>33</v>
      </c>
      <c r="BJ121" s="77" t="s">
        <v>38</v>
      </c>
      <c r="BK121" s="37" t="s">
        <v>40</v>
      </c>
      <c r="BM121" s="76">
        <f t="shared" si="60"/>
        <v>6</v>
      </c>
      <c r="BN121" s="76">
        <f t="shared" si="61"/>
        <v>12</v>
      </c>
      <c r="BO121" s="76">
        <f t="shared" si="62"/>
        <v>8</v>
      </c>
      <c r="BP121" s="76">
        <f t="shared" si="63"/>
        <v>10</v>
      </c>
      <c r="BQ121" s="76">
        <f t="shared" si="64"/>
        <v>3</v>
      </c>
      <c r="BR121" s="76">
        <f t="shared" si="65"/>
        <v>10</v>
      </c>
      <c r="BS121" s="76">
        <f t="shared" si="66"/>
        <v>12</v>
      </c>
      <c r="BU121" s="25">
        <v>1</v>
      </c>
      <c r="BV121" s="25">
        <v>1</v>
      </c>
      <c r="BW121" s="25">
        <v>1</v>
      </c>
      <c r="BX121" s="25">
        <v>1</v>
      </c>
      <c r="BY121" s="25">
        <v>1</v>
      </c>
      <c r="BZ121" s="25">
        <v>1</v>
      </c>
      <c r="CA121" s="7">
        <v>1</v>
      </c>
      <c r="CC121" s="48" t="s">
        <v>78</v>
      </c>
      <c r="CD121" s="49">
        <v>0</v>
      </c>
      <c r="CE121" s="50">
        <v>0</v>
      </c>
      <c r="CF121" s="50">
        <v>0</v>
      </c>
      <c r="CG121" s="50">
        <v>0</v>
      </c>
      <c r="CH121" s="50">
        <v>0</v>
      </c>
      <c r="CI121" s="50">
        <v>0</v>
      </c>
      <c r="CJ121" s="51">
        <v>0</v>
      </c>
      <c r="CK121" s="52">
        <v>0</v>
      </c>
      <c r="CW121" s="21">
        <v>117</v>
      </c>
      <c r="CX121" s="77" t="s">
        <v>75</v>
      </c>
      <c r="CY121" s="77" t="s">
        <v>40</v>
      </c>
      <c r="CZ121" s="77" t="s">
        <v>25</v>
      </c>
      <c r="DA121" s="77" t="s">
        <v>38</v>
      </c>
      <c r="DB121" s="77" t="s">
        <v>33</v>
      </c>
      <c r="DC121" s="77" t="s">
        <v>38</v>
      </c>
      <c r="DD121" s="37" t="s">
        <v>40</v>
      </c>
      <c r="DF121" s="76">
        <f t="shared" si="67"/>
        <v>6</v>
      </c>
      <c r="DG121" s="76">
        <f t="shared" si="47"/>
        <v>12</v>
      </c>
      <c r="DH121" s="76">
        <f t="shared" si="48"/>
        <v>8</v>
      </c>
      <c r="DI121" s="76">
        <f t="shared" si="49"/>
        <v>10</v>
      </c>
      <c r="DJ121" s="76">
        <f t="shared" si="50"/>
        <v>3</v>
      </c>
      <c r="DK121" s="76">
        <f t="shared" si="51"/>
        <v>10</v>
      </c>
      <c r="DL121" s="76">
        <f t="shared" si="52"/>
        <v>12</v>
      </c>
      <c r="DN121" s="25">
        <v>1</v>
      </c>
      <c r="DO121" s="25">
        <v>1</v>
      </c>
      <c r="DP121" s="25">
        <v>1</v>
      </c>
      <c r="DQ121" s="25">
        <v>1</v>
      </c>
      <c r="DR121" s="25">
        <v>1</v>
      </c>
      <c r="DS121" s="25">
        <v>1</v>
      </c>
      <c r="DT121" s="7">
        <v>1</v>
      </c>
      <c r="DV121" s="48" t="s">
        <v>78</v>
      </c>
      <c r="DW121" s="49">
        <v>0</v>
      </c>
      <c r="DX121" s="50">
        <v>0</v>
      </c>
      <c r="DY121" s="50">
        <v>0</v>
      </c>
      <c r="DZ121" s="50">
        <v>0</v>
      </c>
      <c r="EA121" s="50">
        <v>0</v>
      </c>
      <c r="EB121" s="50">
        <v>0</v>
      </c>
      <c r="EC121" s="51">
        <v>0</v>
      </c>
      <c r="ED121" s="52">
        <v>0</v>
      </c>
    </row>
    <row r="122" spans="11:134" ht="16.2" x14ac:dyDescent="0.3">
      <c r="K122" s="22">
        <v>118</v>
      </c>
      <c r="L122" s="77" t="s">
        <v>40</v>
      </c>
      <c r="M122" s="77" t="s">
        <v>191</v>
      </c>
      <c r="N122" s="77" t="s">
        <v>75</v>
      </c>
      <c r="O122" s="77" t="s">
        <v>38</v>
      </c>
      <c r="P122" s="77" t="s">
        <v>152</v>
      </c>
      <c r="Q122" s="77" t="s">
        <v>25</v>
      </c>
      <c r="R122" s="37" t="s">
        <v>37</v>
      </c>
      <c r="T122" s="76">
        <f t="shared" si="53"/>
        <v>12</v>
      </c>
      <c r="U122" s="76">
        <f t="shared" si="54"/>
        <v>21</v>
      </c>
      <c r="V122" s="76">
        <f t="shared" si="55"/>
        <v>6</v>
      </c>
      <c r="W122" s="76">
        <f t="shared" si="56"/>
        <v>10</v>
      </c>
      <c r="X122" s="76">
        <f t="shared" si="57"/>
        <v>7</v>
      </c>
      <c r="Y122" s="76">
        <f t="shared" si="58"/>
        <v>8</v>
      </c>
      <c r="Z122" s="76">
        <f t="shared" si="59"/>
        <v>9</v>
      </c>
      <c r="AB122" s="25">
        <v>1</v>
      </c>
      <c r="AC122" s="25">
        <v>1</v>
      </c>
      <c r="AD122" s="25">
        <v>1</v>
      </c>
      <c r="AE122" s="25">
        <v>1</v>
      </c>
      <c r="AF122" s="25">
        <v>1</v>
      </c>
      <c r="AG122" s="25">
        <v>1</v>
      </c>
      <c r="AH122" s="7">
        <v>3</v>
      </c>
      <c r="AJ122" s="53" t="s">
        <v>19</v>
      </c>
      <c r="AK122" s="54">
        <v>5</v>
      </c>
      <c r="AL122" s="55">
        <v>5</v>
      </c>
      <c r="AM122" s="55">
        <v>5</v>
      </c>
      <c r="AN122" s="55">
        <v>5</v>
      </c>
      <c r="AO122" s="55">
        <v>5</v>
      </c>
      <c r="AP122" s="55">
        <v>5</v>
      </c>
      <c r="AQ122" s="56">
        <v>0</v>
      </c>
      <c r="AR122" s="57">
        <v>1</v>
      </c>
      <c r="BD122" s="22">
        <v>118</v>
      </c>
      <c r="BE122" s="77" t="s">
        <v>40</v>
      </c>
      <c r="BF122" s="77" t="s">
        <v>191</v>
      </c>
      <c r="BG122" s="77" t="s">
        <v>39</v>
      </c>
      <c r="BH122" s="77" t="s">
        <v>38</v>
      </c>
      <c r="BI122" s="77" t="s">
        <v>152</v>
      </c>
      <c r="BJ122" s="77" t="s">
        <v>38</v>
      </c>
      <c r="BK122" s="37" t="s">
        <v>37</v>
      </c>
      <c r="BM122" s="76">
        <f t="shared" si="60"/>
        <v>12</v>
      </c>
      <c r="BN122" s="76">
        <f t="shared" si="61"/>
        <v>21</v>
      </c>
      <c r="BO122" s="76">
        <f t="shared" si="62"/>
        <v>11</v>
      </c>
      <c r="BP122" s="76">
        <f t="shared" si="63"/>
        <v>10</v>
      </c>
      <c r="BQ122" s="76">
        <f t="shared" si="64"/>
        <v>7</v>
      </c>
      <c r="BR122" s="76">
        <f t="shared" si="65"/>
        <v>10</v>
      </c>
      <c r="BS122" s="76">
        <f t="shared" si="66"/>
        <v>9</v>
      </c>
      <c r="BU122" s="25">
        <v>1</v>
      </c>
      <c r="BV122" s="25">
        <v>1</v>
      </c>
      <c r="BW122" s="25">
        <v>1</v>
      </c>
      <c r="BX122" s="25">
        <v>1</v>
      </c>
      <c r="BY122" s="25">
        <v>1</v>
      </c>
      <c r="BZ122" s="25">
        <v>1</v>
      </c>
      <c r="CA122" s="7">
        <v>1</v>
      </c>
      <c r="CC122" s="53" t="s">
        <v>19</v>
      </c>
      <c r="CD122" s="54">
        <v>5</v>
      </c>
      <c r="CE122" s="55">
        <v>5</v>
      </c>
      <c r="CF122" s="55">
        <v>5</v>
      </c>
      <c r="CG122" s="55">
        <v>5</v>
      </c>
      <c r="CH122" s="55">
        <v>5</v>
      </c>
      <c r="CI122" s="55">
        <v>5</v>
      </c>
      <c r="CJ122" s="56">
        <v>0</v>
      </c>
      <c r="CK122" s="57">
        <v>1</v>
      </c>
      <c r="CW122" s="22">
        <v>118</v>
      </c>
      <c r="CX122" s="77" t="s">
        <v>40</v>
      </c>
      <c r="CY122" s="77" t="s">
        <v>191</v>
      </c>
      <c r="CZ122" s="77" t="s">
        <v>39</v>
      </c>
      <c r="DA122" s="77" t="s">
        <v>38</v>
      </c>
      <c r="DB122" s="77" t="s">
        <v>152</v>
      </c>
      <c r="DC122" s="77" t="s">
        <v>38</v>
      </c>
      <c r="DD122" s="37" t="s">
        <v>37</v>
      </c>
      <c r="DF122" s="76">
        <f t="shared" si="67"/>
        <v>12</v>
      </c>
      <c r="DG122" s="76">
        <f t="shared" si="47"/>
        <v>21</v>
      </c>
      <c r="DH122" s="76">
        <f t="shared" si="48"/>
        <v>11</v>
      </c>
      <c r="DI122" s="76">
        <f t="shared" si="49"/>
        <v>10</v>
      </c>
      <c r="DJ122" s="76">
        <f t="shared" si="50"/>
        <v>7</v>
      </c>
      <c r="DK122" s="76">
        <f t="shared" si="51"/>
        <v>10</v>
      </c>
      <c r="DL122" s="76">
        <f t="shared" si="52"/>
        <v>9</v>
      </c>
      <c r="DN122" s="25">
        <v>1</v>
      </c>
      <c r="DO122" s="25">
        <v>1</v>
      </c>
      <c r="DP122" s="25">
        <v>1</v>
      </c>
      <c r="DQ122" s="25">
        <v>1</v>
      </c>
      <c r="DR122" s="25">
        <v>1</v>
      </c>
      <c r="DS122" s="25">
        <v>1</v>
      </c>
      <c r="DT122" s="7">
        <v>1</v>
      </c>
      <c r="DV122" s="53" t="s">
        <v>19</v>
      </c>
      <c r="DW122" s="54">
        <v>5</v>
      </c>
      <c r="DX122" s="55">
        <v>5</v>
      </c>
      <c r="DY122" s="55">
        <v>5</v>
      </c>
      <c r="DZ122" s="55">
        <v>5</v>
      </c>
      <c r="EA122" s="55">
        <v>5</v>
      </c>
      <c r="EB122" s="55">
        <v>5</v>
      </c>
      <c r="EC122" s="56">
        <v>0</v>
      </c>
      <c r="ED122" s="57">
        <v>1</v>
      </c>
    </row>
    <row r="123" spans="11:134" ht="16.2" x14ac:dyDescent="0.3">
      <c r="K123" s="21">
        <v>119</v>
      </c>
      <c r="L123" s="77" t="s">
        <v>176</v>
      </c>
      <c r="M123" s="77" t="s">
        <v>176</v>
      </c>
      <c r="N123" s="77" t="s">
        <v>176</v>
      </c>
      <c r="O123" s="77" t="s">
        <v>176</v>
      </c>
      <c r="P123" s="77" t="s">
        <v>176</v>
      </c>
      <c r="Q123" s="77" t="s">
        <v>176</v>
      </c>
      <c r="R123" s="37" t="s">
        <v>37</v>
      </c>
      <c r="T123" s="76">
        <f t="shared" si="53"/>
        <v>24</v>
      </c>
      <c r="U123" s="76">
        <f t="shared" si="54"/>
        <v>24</v>
      </c>
      <c r="V123" s="76">
        <f t="shared" si="55"/>
        <v>24</v>
      </c>
      <c r="W123" s="76">
        <f t="shared" si="56"/>
        <v>24</v>
      </c>
      <c r="X123" s="76">
        <f t="shared" si="57"/>
        <v>24</v>
      </c>
      <c r="Y123" s="76">
        <f t="shared" si="58"/>
        <v>24</v>
      </c>
      <c r="Z123" s="76">
        <f t="shared" si="59"/>
        <v>9</v>
      </c>
      <c r="AB123" s="25">
        <v>1</v>
      </c>
      <c r="AC123" s="25">
        <v>1</v>
      </c>
      <c r="AD123" s="25">
        <v>1</v>
      </c>
      <c r="AE123" s="25">
        <v>1</v>
      </c>
      <c r="AF123" s="25">
        <v>1</v>
      </c>
      <c r="AG123" s="25">
        <v>1</v>
      </c>
      <c r="AH123" s="7">
        <v>1</v>
      </c>
      <c r="AJ123" s="53" t="s">
        <v>20</v>
      </c>
      <c r="AK123" s="54">
        <v>40</v>
      </c>
      <c r="AL123" s="55">
        <v>0</v>
      </c>
      <c r="AM123" s="55">
        <v>1</v>
      </c>
      <c r="AN123" s="55">
        <v>1</v>
      </c>
      <c r="AO123" s="55">
        <v>70</v>
      </c>
      <c r="AP123" s="55">
        <v>1</v>
      </c>
      <c r="AQ123" s="56">
        <v>0</v>
      </c>
      <c r="AR123" s="57">
        <v>2</v>
      </c>
      <c r="BD123" s="21">
        <v>119</v>
      </c>
      <c r="BE123" s="77" t="s">
        <v>37</v>
      </c>
      <c r="BF123" s="77" t="s">
        <v>38</v>
      </c>
      <c r="BG123" s="77" t="s">
        <v>37</v>
      </c>
      <c r="BH123" s="77" t="s">
        <v>75</v>
      </c>
      <c r="BI123" s="77" t="s">
        <v>33</v>
      </c>
      <c r="BJ123" s="77" t="s">
        <v>25</v>
      </c>
      <c r="BK123" s="37" t="s">
        <v>37</v>
      </c>
      <c r="BM123" s="76">
        <f t="shared" si="60"/>
        <v>9</v>
      </c>
      <c r="BN123" s="76">
        <f t="shared" si="61"/>
        <v>10</v>
      </c>
      <c r="BO123" s="76">
        <f t="shared" si="62"/>
        <v>9</v>
      </c>
      <c r="BP123" s="76">
        <f t="shared" si="63"/>
        <v>6</v>
      </c>
      <c r="BQ123" s="76">
        <f t="shared" si="64"/>
        <v>3</v>
      </c>
      <c r="BR123" s="76">
        <f t="shared" si="65"/>
        <v>8</v>
      </c>
      <c r="BS123" s="76">
        <f t="shared" si="66"/>
        <v>9</v>
      </c>
      <c r="BU123" s="25">
        <v>1</v>
      </c>
      <c r="BV123" s="25">
        <v>1</v>
      </c>
      <c r="BW123" s="25">
        <v>1</v>
      </c>
      <c r="BX123" s="25">
        <v>1</v>
      </c>
      <c r="BY123" s="25">
        <v>1</v>
      </c>
      <c r="BZ123" s="25">
        <v>1</v>
      </c>
      <c r="CA123" s="7">
        <v>1</v>
      </c>
      <c r="CC123" s="53" t="s">
        <v>20</v>
      </c>
      <c r="CD123" s="54">
        <v>40</v>
      </c>
      <c r="CE123" s="55">
        <v>0</v>
      </c>
      <c r="CF123" s="55">
        <v>1</v>
      </c>
      <c r="CG123" s="55">
        <v>1</v>
      </c>
      <c r="CH123" s="55">
        <v>70</v>
      </c>
      <c r="CI123" s="55">
        <v>1</v>
      </c>
      <c r="CJ123" s="56">
        <v>0</v>
      </c>
      <c r="CK123" s="57">
        <v>2</v>
      </c>
      <c r="CW123" s="21">
        <v>119</v>
      </c>
      <c r="CX123" s="77" t="s">
        <v>37</v>
      </c>
      <c r="CY123" s="77" t="s">
        <v>38</v>
      </c>
      <c r="CZ123" s="77" t="s">
        <v>37</v>
      </c>
      <c r="DA123" s="77" t="s">
        <v>75</v>
      </c>
      <c r="DB123" s="77" t="s">
        <v>33</v>
      </c>
      <c r="DC123" s="77" t="s">
        <v>25</v>
      </c>
      <c r="DD123" s="37" t="s">
        <v>37</v>
      </c>
      <c r="DF123" s="76">
        <f t="shared" si="67"/>
        <v>9</v>
      </c>
      <c r="DG123" s="76">
        <f t="shared" si="47"/>
        <v>10</v>
      </c>
      <c r="DH123" s="76">
        <f t="shared" si="48"/>
        <v>9</v>
      </c>
      <c r="DI123" s="76">
        <f t="shared" si="49"/>
        <v>6</v>
      </c>
      <c r="DJ123" s="76">
        <f t="shared" si="50"/>
        <v>3</v>
      </c>
      <c r="DK123" s="76">
        <f t="shared" si="51"/>
        <v>8</v>
      </c>
      <c r="DL123" s="76">
        <f t="shared" si="52"/>
        <v>9</v>
      </c>
      <c r="DN123" s="25">
        <v>1</v>
      </c>
      <c r="DO123" s="25">
        <v>1</v>
      </c>
      <c r="DP123" s="25">
        <v>1</v>
      </c>
      <c r="DQ123" s="25">
        <v>1</v>
      </c>
      <c r="DR123" s="25">
        <v>1</v>
      </c>
      <c r="DS123" s="25">
        <v>1</v>
      </c>
      <c r="DT123" s="7">
        <v>1</v>
      </c>
      <c r="DV123" s="53" t="s">
        <v>20</v>
      </c>
      <c r="DW123" s="54">
        <v>40</v>
      </c>
      <c r="DX123" s="55">
        <v>0</v>
      </c>
      <c r="DY123" s="55">
        <v>1</v>
      </c>
      <c r="DZ123" s="55">
        <v>1</v>
      </c>
      <c r="EA123" s="55">
        <v>70</v>
      </c>
      <c r="EB123" s="55">
        <v>1</v>
      </c>
      <c r="EC123" s="56">
        <v>0</v>
      </c>
      <c r="ED123" s="57">
        <v>2</v>
      </c>
    </row>
    <row r="124" spans="11:134" ht="16.2" x14ac:dyDescent="0.3">
      <c r="K124" s="22">
        <v>120</v>
      </c>
      <c r="L124" s="77" t="s">
        <v>176</v>
      </c>
      <c r="M124" s="77" t="s">
        <v>176</v>
      </c>
      <c r="N124" s="77" t="s">
        <v>176</v>
      </c>
      <c r="O124" s="77" t="s">
        <v>176</v>
      </c>
      <c r="P124" s="77" t="s">
        <v>176</v>
      </c>
      <c r="Q124" s="77" t="s">
        <v>176</v>
      </c>
      <c r="R124" s="37" t="s">
        <v>37</v>
      </c>
      <c r="T124" s="76">
        <f t="shared" si="53"/>
        <v>24</v>
      </c>
      <c r="U124" s="76">
        <f t="shared" si="54"/>
        <v>24</v>
      </c>
      <c r="V124" s="76">
        <f t="shared" si="55"/>
        <v>24</v>
      </c>
      <c r="W124" s="76">
        <f t="shared" si="56"/>
        <v>24</v>
      </c>
      <c r="X124" s="76">
        <f t="shared" si="57"/>
        <v>24</v>
      </c>
      <c r="Y124" s="76">
        <f t="shared" si="58"/>
        <v>24</v>
      </c>
      <c r="Z124" s="76">
        <f t="shared" si="59"/>
        <v>9</v>
      </c>
      <c r="AB124" s="25">
        <v>1</v>
      </c>
      <c r="AC124" s="25">
        <v>1</v>
      </c>
      <c r="AD124" s="25">
        <v>1</v>
      </c>
      <c r="AE124" s="25">
        <v>1</v>
      </c>
      <c r="AF124" s="25">
        <v>1</v>
      </c>
      <c r="AG124" s="25">
        <v>1</v>
      </c>
      <c r="AH124" s="7">
        <v>1</v>
      </c>
      <c r="AJ124" s="53" t="s">
        <v>21</v>
      </c>
      <c r="AK124" s="54">
        <v>1</v>
      </c>
      <c r="AL124" s="55">
        <v>70</v>
      </c>
      <c r="AM124" s="55">
        <v>1</v>
      </c>
      <c r="AN124" s="55">
        <v>70</v>
      </c>
      <c r="AO124" s="55">
        <v>1</v>
      </c>
      <c r="AP124" s="55">
        <v>1</v>
      </c>
      <c r="AQ124" s="56">
        <v>0</v>
      </c>
      <c r="AR124" s="57">
        <v>3</v>
      </c>
      <c r="BD124" s="22">
        <v>120</v>
      </c>
      <c r="BE124" s="77" t="s">
        <v>37</v>
      </c>
      <c r="BF124" s="77" t="s">
        <v>40</v>
      </c>
      <c r="BG124" s="77" t="s">
        <v>25</v>
      </c>
      <c r="BH124" s="77" t="s">
        <v>75</v>
      </c>
      <c r="BI124" s="77" t="s">
        <v>152</v>
      </c>
      <c r="BJ124" s="77" t="s">
        <v>38</v>
      </c>
      <c r="BK124" s="37" t="s">
        <v>37</v>
      </c>
      <c r="BM124" s="76">
        <f t="shared" si="60"/>
        <v>9</v>
      </c>
      <c r="BN124" s="76">
        <f t="shared" si="61"/>
        <v>12</v>
      </c>
      <c r="BO124" s="76">
        <f t="shared" si="62"/>
        <v>8</v>
      </c>
      <c r="BP124" s="76">
        <f t="shared" si="63"/>
        <v>6</v>
      </c>
      <c r="BQ124" s="76">
        <f t="shared" si="64"/>
        <v>7</v>
      </c>
      <c r="BR124" s="76">
        <f t="shared" si="65"/>
        <v>10</v>
      </c>
      <c r="BS124" s="76">
        <f t="shared" si="66"/>
        <v>9</v>
      </c>
      <c r="BU124" s="25">
        <v>1</v>
      </c>
      <c r="BV124" s="25">
        <v>1</v>
      </c>
      <c r="BW124" s="25">
        <v>1</v>
      </c>
      <c r="BX124" s="25">
        <v>1</v>
      </c>
      <c r="BY124" s="25">
        <v>1</v>
      </c>
      <c r="BZ124" s="25">
        <v>1</v>
      </c>
      <c r="CA124" s="7">
        <v>1</v>
      </c>
      <c r="CC124" s="53" t="s">
        <v>21</v>
      </c>
      <c r="CD124" s="54">
        <v>1</v>
      </c>
      <c r="CE124" s="55">
        <v>70</v>
      </c>
      <c r="CF124" s="55">
        <v>1</v>
      </c>
      <c r="CG124" s="55">
        <v>70</v>
      </c>
      <c r="CH124" s="55">
        <v>1</v>
      </c>
      <c r="CI124" s="55">
        <v>1</v>
      </c>
      <c r="CJ124" s="56">
        <v>0</v>
      </c>
      <c r="CK124" s="57">
        <v>3</v>
      </c>
      <c r="CW124" s="22">
        <v>120</v>
      </c>
      <c r="CX124" s="77" t="s">
        <v>37</v>
      </c>
      <c r="CY124" s="77" t="s">
        <v>40</v>
      </c>
      <c r="CZ124" s="77" t="s">
        <v>25</v>
      </c>
      <c r="DA124" s="77" t="s">
        <v>75</v>
      </c>
      <c r="DB124" s="77" t="s">
        <v>152</v>
      </c>
      <c r="DC124" s="77" t="s">
        <v>38</v>
      </c>
      <c r="DD124" s="37" t="s">
        <v>37</v>
      </c>
      <c r="DF124" s="76">
        <f t="shared" si="67"/>
        <v>9</v>
      </c>
      <c r="DG124" s="76">
        <f t="shared" si="47"/>
        <v>12</v>
      </c>
      <c r="DH124" s="76">
        <f t="shared" si="48"/>
        <v>8</v>
      </c>
      <c r="DI124" s="76">
        <f t="shared" si="49"/>
        <v>6</v>
      </c>
      <c r="DJ124" s="76">
        <f t="shared" si="50"/>
        <v>7</v>
      </c>
      <c r="DK124" s="76">
        <f t="shared" si="51"/>
        <v>10</v>
      </c>
      <c r="DL124" s="76">
        <f t="shared" si="52"/>
        <v>9</v>
      </c>
      <c r="DN124" s="25">
        <v>1</v>
      </c>
      <c r="DO124" s="25">
        <v>1</v>
      </c>
      <c r="DP124" s="25">
        <v>1</v>
      </c>
      <c r="DQ124" s="25">
        <v>1</v>
      </c>
      <c r="DR124" s="25">
        <v>1</v>
      </c>
      <c r="DS124" s="25">
        <v>1</v>
      </c>
      <c r="DT124" s="7">
        <v>1</v>
      </c>
      <c r="DV124" s="53" t="s">
        <v>21</v>
      </c>
      <c r="DW124" s="54">
        <v>1</v>
      </c>
      <c r="DX124" s="55">
        <v>70</v>
      </c>
      <c r="DY124" s="55">
        <v>1</v>
      </c>
      <c r="DZ124" s="55">
        <v>70</v>
      </c>
      <c r="EA124" s="55">
        <v>1</v>
      </c>
      <c r="EB124" s="55">
        <v>1</v>
      </c>
      <c r="EC124" s="56">
        <v>0</v>
      </c>
      <c r="ED124" s="57">
        <v>3</v>
      </c>
    </row>
    <row r="125" spans="11:134" ht="16.2" x14ac:dyDescent="0.3">
      <c r="AB125" s="64"/>
      <c r="AC125" s="64"/>
      <c r="AD125" s="64"/>
      <c r="AE125" s="64"/>
      <c r="AF125" s="64"/>
      <c r="AG125" s="64"/>
      <c r="AH125" s="64"/>
      <c r="AJ125" s="53" t="s">
        <v>17</v>
      </c>
      <c r="AK125" s="54">
        <v>0</v>
      </c>
      <c r="AL125" s="55">
        <v>1</v>
      </c>
      <c r="AM125" s="55">
        <v>5</v>
      </c>
      <c r="AN125" s="55">
        <v>0</v>
      </c>
      <c r="AO125" s="55">
        <v>1</v>
      </c>
      <c r="AP125" s="55">
        <v>70</v>
      </c>
      <c r="AQ125" s="56">
        <v>1</v>
      </c>
      <c r="AR125" s="57">
        <v>4</v>
      </c>
      <c r="BU125" s="64"/>
      <c r="BV125" s="64"/>
      <c r="BW125" s="64"/>
      <c r="BX125" s="64"/>
      <c r="BY125" s="64"/>
      <c r="BZ125" s="64"/>
      <c r="CA125" s="64"/>
      <c r="CC125" s="53" t="s">
        <v>17</v>
      </c>
      <c r="CD125" s="54">
        <v>0</v>
      </c>
      <c r="CE125" s="55">
        <v>1</v>
      </c>
      <c r="CF125" s="55">
        <v>5</v>
      </c>
      <c r="CG125" s="55">
        <v>0</v>
      </c>
      <c r="CH125" s="55">
        <v>1</v>
      </c>
      <c r="CI125" s="55">
        <v>70</v>
      </c>
      <c r="CJ125" s="56">
        <v>1</v>
      </c>
      <c r="CK125" s="57">
        <v>4</v>
      </c>
      <c r="DN125" s="64"/>
      <c r="DO125" s="64"/>
      <c r="DP125" s="64"/>
      <c r="DQ125" s="64"/>
      <c r="DR125" s="64"/>
      <c r="DS125" s="64"/>
      <c r="DT125" s="64"/>
      <c r="DV125" s="53" t="s">
        <v>17</v>
      </c>
      <c r="DW125" s="54">
        <v>0</v>
      </c>
      <c r="DX125" s="55">
        <v>1</v>
      </c>
      <c r="DY125" s="55">
        <v>5</v>
      </c>
      <c r="DZ125" s="55">
        <v>0</v>
      </c>
      <c r="EA125" s="55">
        <v>1</v>
      </c>
      <c r="EB125" s="55">
        <v>70</v>
      </c>
      <c r="EC125" s="56">
        <v>1</v>
      </c>
      <c r="ED125" s="57">
        <v>4</v>
      </c>
    </row>
    <row r="126" spans="11:134" ht="16.2" x14ac:dyDescent="0.3">
      <c r="AJ126" s="53" t="s">
        <v>18</v>
      </c>
      <c r="AK126" s="54">
        <v>1</v>
      </c>
      <c r="AL126" s="55">
        <v>70</v>
      </c>
      <c r="AM126" s="55">
        <v>1</v>
      </c>
      <c r="AN126" s="55">
        <v>1</v>
      </c>
      <c r="AO126" s="55">
        <v>1</v>
      </c>
      <c r="AP126" s="55">
        <v>70</v>
      </c>
      <c r="AQ126" s="56">
        <v>1</v>
      </c>
      <c r="AR126" s="57">
        <v>5</v>
      </c>
      <c r="CC126" s="53" t="s">
        <v>18</v>
      </c>
      <c r="CD126" s="54">
        <v>1</v>
      </c>
      <c r="CE126" s="55">
        <v>70</v>
      </c>
      <c r="CF126" s="55">
        <v>1</v>
      </c>
      <c r="CG126" s="55">
        <v>1</v>
      </c>
      <c r="CH126" s="55">
        <v>1</v>
      </c>
      <c r="CI126" s="55">
        <v>70</v>
      </c>
      <c r="CJ126" s="56">
        <v>1</v>
      </c>
      <c r="CK126" s="57">
        <v>5</v>
      </c>
      <c r="DV126" s="53" t="s">
        <v>18</v>
      </c>
      <c r="DW126" s="54">
        <v>1</v>
      </c>
      <c r="DX126" s="55">
        <v>70</v>
      </c>
      <c r="DY126" s="55">
        <v>1</v>
      </c>
      <c r="DZ126" s="55">
        <v>1</v>
      </c>
      <c r="EA126" s="55">
        <v>1</v>
      </c>
      <c r="EB126" s="55">
        <v>70</v>
      </c>
      <c r="EC126" s="56">
        <v>1</v>
      </c>
      <c r="ED126" s="57">
        <v>5</v>
      </c>
    </row>
    <row r="127" spans="11:134" ht="16.2" x14ac:dyDescent="0.3">
      <c r="AJ127" s="53" t="s">
        <v>74</v>
      </c>
      <c r="AK127" s="54">
        <v>5</v>
      </c>
      <c r="AL127" s="55">
        <v>1</v>
      </c>
      <c r="AM127" s="55">
        <v>70</v>
      </c>
      <c r="AN127" s="55">
        <v>1</v>
      </c>
      <c r="AO127" s="55">
        <v>70</v>
      </c>
      <c r="AP127" s="55">
        <v>1</v>
      </c>
      <c r="AQ127" s="56">
        <v>1</v>
      </c>
      <c r="AR127" s="57">
        <v>6</v>
      </c>
      <c r="CC127" s="53" t="s">
        <v>74</v>
      </c>
      <c r="CD127" s="54">
        <v>5</v>
      </c>
      <c r="CE127" s="55">
        <v>1</v>
      </c>
      <c r="CF127" s="55">
        <v>70</v>
      </c>
      <c r="CG127" s="55">
        <v>1</v>
      </c>
      <c r="CH127" s="55">
        <v>70</v>
      </c>
      <c r="CI127" s="55">
        <v>1</v>
      </c>
      <c r="CJ127" s="56">
        <v>1</v>
      </c>
      <c r="CK127" s="57">
        <v>6</v>
      </c>
      <c r="DV127" s="53" t="s">
        <v>74</v>
      </c>
      <c r="DW127" s="54">
        <v>5</v>
      </c>
      <c r="DX127" s="55">
        <v>1</v>
      </c>
      <c r="DY127" s="55">
        <v>70</v>
      </c>
      <c r="DZ127" s="55">
        <v>1</v>
      </c>
      <c r="EA127" s="55">
        <v>70</v>
      </c>
      <c r="EB127" s="55">
        <v>1</v>
      </c>
      <c r="EC127" s="56">
        <v>1</v>
      </c>
      <c r="ED127" s="57">
        <v>6</v>
      </c>
    </row>
    <row r="128" spans="11:134" ht="16.2" x14ac:dyDescent="0.3">
      <c r="AJ128" s="53" t="s">
        <v>151</v>
      </c>
      <c r="AK128" s="54">
        <v>1</v>
      </c>
      <c r="AL128" s="55">
        <v>70</v>
      </c>
      <c r="AM128" s="55">
        <v>1</v>
      </c>
      <c r="AN128" s="55">
        <v>1</v>
      </c>
      <c r="AO128" s="55">
        <v>1</v>
      </c>
      <c r="AP128" s="55">
        <v>70</v>
      </c>
      <c r="AQ128" s="56">
        <v>1</v>
      </c>
      <c r="AR128" s="57">
        <v>7</v>
      </c>
      <c r="CC128" s="53" t="s">
        <v>151</v>
      </c>
      <c r="CD128" s="54">
        <v>1</v>
      </c>
      <c r="CE128" s="55">
        <v>70</v>
      </c>
      <c r="CF128" s="55">
        <v>1</v>
      </c>
      <c r="CG128" s="55">
        <v>1</v>
      </c>
      <c r="CH128" s="55">
        <v>1</v>
      </c>
      <c r="CI128" s="55">
        <v>70</v>
      </c>
      <c r="CJ128" s="56">
        <v>1</v>
      </c>
      <c r="CK128" s="57">
        <v>7</v>
      </c>
      <c r="DV128" s="53" t="s">
        <v>151</v>
      </c>
      <c r="DW128" s="54">
        <v>1</v>
      </c>
      <c r="DX128" s="55">
        <v>70</v>
      </c>
      <c r="DY128" s="55">
        <v>1</v>
      </c>
      <c r="DZ128" s="55">
        <v>1</v>
      </c>
      <c r="EA128" s="55">
        <v>1</v>
      </c>
      <c r="EB128" s="55">
        <v>70</v>
      </c>
      <c r="EC128" s="56">
        <v>1</v>
      </c>
      <c r="ED128" s="57">
        <v>7</v>
      </c>
    </row>
    <row r="129" spans="36:134" ht="16.2" x14ac:dyDescent="0.3">
      <c r="AJ129" s="53" t="s">
        <v>24</v>
      </c>
      <c r="AK129" s="54">
        <v>0</v>
      </c>
      <c r="AL129" s="55">
        <v>1</v>
      </c>
      <c r="AM129" s="55">
        <v>1</v>
      </c>
      <c r="AN129" s="55">
        <v>1</v>
      </c>
      <c r="AO129" s="55">
        <v>70</v>
      </c>
      <c r="AP129" s="55">
        <v>1</v>
      </c>
      <c r="AQ129" s="56">
        <v>1</v>
      </c>
      <c r="AR129" s="57">
        <v>8</v>
      </c>
      <c r="CC129" s="53" t="s">
        <v>24</v>
      </c>
      <c r="CD129" s="54">
        <v>0</v>
      </c>
      <c r="CE129" s="55">
        <v>1</v>
      </c>
      <c r="CF129" s="55">
        <v>1</v>
      </c>
      <c r="CG129" s="55">
        <v>1</v>
      </c>
      <c r="CH129" s="55">
        <v>70</v>
      </c>
      <c r="CI129" s="55">
        <v>1</v>
      </c>
      <c r="CJ129" s="56">
        <v>1</v>
      </c>
      <c r="CK129" s="57">
        <v>8</v>
      </c>
      <c r="DV129" s="53" t="s">
        <v>24</v>
      </c>
      <c r="DW129" s="54">
        <v>0</v>
      </c>
      <c r="DX129" s="55">
        <v>1</v>
      </c>
      <c r="DY129" s="55">
        <v>1</v>
      </c>
      <c r="DZ129" s="55">
        <v>1</v>
      </c>
      <c r="EA129" s="55">
        <v>70</v>
      </c>
      <c r="EB129" s="55">
        <v>1</v>
      </c>
      <c r="EC129" s="56">
        <v>1</v>
      </c>
      <c r="ED129" s="57">
        <v>8</v>
      </c>
    </row>
    <row r="130" spans="36:134" ht="16.2" x14ac:dyDescent="0.3">
      <c r="AJ130" s="53" t="s">
        <v>26</v>
      </c>
      <c r="AK130" s="54">
        <v>1</v>
      </c>
      <c r="AL130" s="55">
        <v>1</v>
      </c>
      <c r="AM130" s="55">
        <v>1</v>
      </c>
      <c r="AN130" s="55">
        <v>70</v>
      </c>
      <c r="AO130" s="55">
        <v>1</v>
      </c>
      <c r="AP130" s="55">
        <v>70</v>
      </c>
      <c r="AQ130" s="56">
        <v>1</v>
      </c>
      <c r="AR130" s="57">
        <v>9</v>
      </c>
      <c r="CC130" s="53" t="s">
        <v>26</v>
      </c>
      <c r="CD130" s="54">
        <v>1</v>
      </c>
      <c r="CE130" s="55">
        <v>1</v>
      </c>
      <c r="CF130" s="55">
        <v>1</v>
      </c>
      <c r="CG130" s="55">
        <v>70</v>
      </c>
      <c r="CH130" s="55">
        <v>1</v>
      </c>
      <c r="CI130" s="55">
        <v>70</v>
      </c>
      <c r="CJ130" s="56">
        <v>1</v>
      </c>
      <c r="CK130" s="57">
        <v>9</v>
      </c>
      <c r="DV130" s="53" t="s">
        <v>26</v>
      </c>
      <c r="DW130" s="54">
        <v>1</v>
      </c>
      <c r="DX130" s="55">
        <v>1</v>
      </c>
      <c r="DY130" s="55">
        <v>1</v>
      </c>
      <c r="DZ130" s="55">
        <v>70</v>
      </c>
      <c r="EA130" s="55">
        <v>1</v>
      </c>
      <c r="EB130" s="55">
        <v>70</v>
      </c>
      <c r="EC130" s="56">
        <v>1</v>
      </c>
      <c r="ED130" s="57">
        <v>9</v>
      </c>
    </row>
    <row r="131" spans="36:134" ht="16.2" x14ac:dyDescent="0.3">
      <c r="AJ131" s="53" t="s">
        <v>27</v>
      </c>
      <c r="AK131" s="54">
        <v>0</v>
      </c>
      <c r="AL131" s="55">
        <v>1</v>
      </c>
      <c r="AM131" s="55">
        <v>5</v>
      </c>
      <c r="AN131" s="55">
        <v>1</v>
      </c>
      <c r="AO131" s="55">
        <v>1</v>
      </c>
      <c r="AP131" s="55">
        <v>1</v>
      </c>
      <c r="AQ131" s="56">
        <v>3</v>
      </c>
      <c r="AR131" s="57">
        <v>10</v>
      </c>
      <c r="CC131" s="53" t="s">
        <v>27</v>
      </c>
      <c r="CD131" s="54">
        <v>0</v>
      </c>
      <c r="CE131" s="55">
        <v>1</v>
      </c>
      <c r="CF131" s="55">
        <v>5</v>
      </c>
      <c r="CG131" s="55">
        <v>1</v>
      </c>
      <c r="CH131" s="55">
        <v>1</v>
      </c>
      <c r="CI131" s="55">
        <v>1</v>
      </c>
      <c r="CJ131" s="56">
        <v>3</v>
      </c>
      <c r="CK131" s="57">
        <v>10</v>
      </c>
      <c r="DV131" s="53" t="s">
        <v>27</v>
      </c>
      <c r="DW131" s="54">
        <v>0</v>
      </c>
      <c r="DX131" s="55">
        <v>1</v>
      </c>
      <c r="DY131" s="55">
        <v>5</v>
      </c>
      <c r="DZ131" s="55">
        <v>1</v>
      </c>
      <c r="EA131" s="55">
        <v>1</v>
      </c>
      <c r="EB131" s="55">
        <v>1</v>
      </c>
      <c r="EC131" s="56">
        <v>3</v>
      </c>
      <c r="ED131" s="57">
        <v>10</v>
      </c>
    </row>
    <row r="132" spans="36:134" ht="16.2" x14ac:dyDescent="0.3">
      <c r="AJ132" s="53" t="s">
        <v>28</v>
      </c>
      <c r="AK132" s="54">
        <v>1</v>
      </c>
      <c r="AL132" s="55">
        <v>70</v>
      </c>
      <c r="AM132" s="55">
        <v>1</v>
      </c>
      <c r="AN132" s="55">
        <v>1</v>
      </c>
      <c r="AO132" s="55">
        <v>1</v>
      </c>
      <c r="AP132" s="55">
        <v>1</v>
      </c>
      <c r="AQ132" s="56">
        <v>1</v>
      </c>
      <c r="AR132" s="57">
        <v>11</v>
      </c>
      <c r="CC132" s="53" t="s">
        <v>28</v>
      </c>
      <c r="CD132" s="54">
        <v>1</v>
      </c>
      <c r="CE132" s="55">
        <v>70</v>
      </c>
      <c r="CF132" s="55">
        <v>1</v>
      </c>
      <c r="CG132" s="55">
        <v>1</v>
      </c>
      <c r="CH132" s="55">
        <v>1</v>
      </c>
      <c r="CI132" s="55">
        <v>1</v>
      </c>
      <c r="CJ132" s="56">
        <v>1</v>
      </c>
      <c r="CK132" s="57">
        <v>11</v>
      </c>
      <c r="DV132" s="53" t="s">
        <v>28</v>
      </c>
      <c r="DW132" s="54">
        <v>1</v>
      </c>
      <c r="DX132" s="55">
        <v>70</v>
      </c>
      <c r="DY132" s="55">
        <v>1</v>
      </c>
      <c r="DZ132" s="55">
        <v>1</v>
      </c>
      <c r="EA132" s="55">
        <v>1</v>
      </c>
      <c r="EB132" s="55">
        <v>1</v>
      </c>
      <c r="EC132" s="56">
        <v>1</v>
      </c>
      <c r="ED132" s="57">
        <v>11</v>
      </c>
    </row>
    <row r="133" spans="36:134" ht="16.2" x14ac:dyDescent="0.3">
      <c r="AJ133" s="53" t="s">
        <v>29</v>
      </c>
      <c r="AK133" s="54">
        <v>70</v>
      </c>
      <c r="AL133" s="55">
        <v>1</v>
      </c>
      <c r="AM133" s="55">
        <v>1</v>
      </c>
      <c r="AN133" s="55">
        <v>1</v>
      </c>
      <c r="AO133" s="55">
        <v>1</v>
      </c>
      <c r="AP133" s="55">
        <v>1</v>
      </c>
      <c r="AQ133" s="56">
        <v>1</v>
      </c>
      <c r="AR133" s="57">
        <v>12</v>
      </c>
      <c r="CC133" s="53" t="s">
        <v>29</v>
      </c>
      <c r="CD133" s="54">
        <v>70</v>
      </c>
      <c r="CE133" s="55">
        <v>1</v>
      </c>
      <c r="CF133" s="55">
        <v>1</v>
      </c>
      <c r="CG133" s="55">
        <v>1</v>
      </c>
      <c r="CH133" s="55">
        <v>1</v>
      </c>
      <c r="CI133" s="55">
        <v>1</v>
      </c>
      <c r="CJ133" s="56">
        <v>1</v>
      </c>
      <c r="CK133" s="57">
        <v>12</v>
      </c>
      <c r="DV133" s="53" t="s">
        <v>29</v>
      </c>
      <c r="DW133" s="54">
        <v>70</v>
      </c>
      <c r="DX133" s="55">
        <v>1</v>
      </c>
      <c r="DY133" s="55">
        <v>1</v>
      </c>
      <c r="DZ133" s="55">
        <v>1</v>
      </c>
      <c r="EA133" s="55">
        <v>1</v>
      </c>
      <c r="EB133" s="55">
        <v>1</v>
      </c>
      <c r="EC133" s="56">
        <v>1</v>
      </c>
      <c r="ED133" s="57">
        <v>12</v>
      </c>
    </row>
    <row r="134" spans="36:134" ht="16.2" x14ac:dyDescent="0.3">
      <c r="AJ134" s="53" t="s">
        <v>79</v>
      </c>
      <c r="AK134" s="54">
        <v>0</v>
      </c>
      <c r="AL134" s="55">
        <v>1</v>
      </c>
      <c r="AM134" s="55">
        <v>0</v>
      </c>
      <c r="AN134" s="55">
        <v>1</v>
      </c>
      <c r="AO134" s="55">
        <v>1</v>
      </c>
      <c r="AP134" s="55">
        <v>0</v>
      </c>
      <c r="AQ134" s="56">
        <v>0</v>
      </c>
      <c r="AR134" s="57">
        <v>13</v>
      </c>
      <c r="CC134" s="53" t="s">
        <v>79</v>
      </c>
      <c r="CD134" s="54">
        <v>0</v>
      </c>
      <c r="CE134" s="55">
        <v>1</v>
      </c>
      <c r="CF134" s="55">
        <v>0</v>
      </c>
      <c r="CG134" s="55">
        <v>1</v>
      </c>
      <c r="CH134" s="55">
        <v>1</v>
      </c>
      <c r="CI134" s="55">
        <v>0</v>
      </c>
      <c r="CJ134" s="56">
        <v>0</v>
      </c>
      <c r="CK134" s="57">
        <v>13</v>
      </c>
      <c r="DV134" s="53" t="s">
        <v>79</v>
      </c>
      <c r="DW134" s="54">
        <v>0</v>
      </c>
      <c r="DX134" s="55">
        <v>1</v>
      </c>
      <c r="DY134" s="55">
        <v>0</v>
      </c>
      <c r="DZ134" s="55">
        <v>1</v>
      </c>
      <c r="EA134" s="55">
        <v>1</v>
      </c>
      <c r="EB134" s="55">
        <v>0</v>
      </c>
      <c r="EC134" s="56">
        <v>0</v>
      </c>
      <c r="ED134" s="57">
        <v>13</v>
      </c>
    </row>
    <row r="135" spans="36:134" ht="16.2" x14ac:dyDescent="0.3">
      <c r="AJ135" s="53" t="s">
        <v>80</v>
      </c>
      <c r="AK135" s="54">
        <v>0</v>
      </c>
      <c r="AL135" s="55">
        <v>2</v>
      </c>
      <c r="AM135" s="55">
        <v>1</v>
      </c>
      <c r="AN135" s="55">
        <v>2</v>
      </c>
      <c r="AO135" s="55">
        <v>1</v>
      </c>
      <c r="AP135" s="55">
        <v>0</v>
      </c>
      <c r="AQ135" s="56">
        <v>0</v>
      </c>
      <c r="AR135" s="57">
        <v>14</v>
      </c>
      <c r="CC135" s="53" t="s">
        <v>80</v>
      </c>
      <c r="CD135" s="54">
        <v>0</v>
      </c>
      <c r="CE135" s="55">
        <v>2</v>
      </c>
      <c r="CF135" s="55">
        <v>1</v>
      </c>
      <c r="CG135" s="55">
        <v>2</v>
      </c>
      <c r="CH135" s="55">
        <v>1</v>
      </c>
      <c r="CI135" s="55">
        <v>0</v>
      </c>
      <c r="CJ135" s="56">
        <v>0</v>
      </c>
      <c r="CK135" s="57">
        <v>14</v>
      </c>
      <c r="DV135" s="53" t="s">
        <v>80</v>
      </c>
      <c r="DW135" s="54">
        <v>0</v>
      </c>
      <c r="DX135" s="55">
        <v>2</v>
      </c>
      <c r="DY135" s="55">
        <v>1</v>
      </c>
      <c r="DZ135" s="55">
        <v>2</v>
      </c>
      <c r="EA135" s="55">
        <v>1</v>
      </c>
      <c r="EB135" s="55">
        <v>0</v>
      </c>
      <c r="EC135" s="56">
        <v>0</v>
      </c>
      <c r="ED135" s="57">
        <v>14</v>
      </c>
    </row>
    <row r="136" spans="36:134" ht="16.2" x14ac:dyDescent="0.3">
      <c r="AJ136" s="53" t="s">
        <v>81</v>
      </c>
      <c r="AK136" s="54">
        <v>0</v>
      </c>
      <c r="AL136" s="55">
        <v>1</v>
      </c>
      <c r="AM136" s="55">
        <v>2</v>
      </c>
      <c r="AN136" s="55">
        <v>1</v>
      </c>
      <c r="AO136" s="55">
        <v>1</v>
      </c>
      <c r="AP136" s="55">
        <v>0</v>
      </c>
      <c r="AQ136" s="56">
        <v>0</v>
      </c>
      <c r="AR136" s="57">
        <v>15</v>
      </c>
      <c r="CC136" s="53" t="s">
        <v>81</v>
      </c>
      <c r="CD136" s="54">
        <v>0</v>
      </c>
      <c r="CE136" s="55">
        <v>1</v>
      </c>
      <c r="CF136" s="55">
        <v>2</v>
      </c>
      <c r="CG136" s="55">
        <v>1</v>
      </c>
      <c r="CH136" s="55">
        <v>1</v>
      </c>
      <c r="CI136" s="55">
        <v>0</v>
      </c>
      <c r="CJ136" s="56">
        <v>0</v>
      </c>
      <c r="CK136" s="57">
        <v>15</v>
      </c>
      <c r="DV136" s="53" t="s">
        <v>81</v>
      </c>
      <c r="DW136" s="54">
        <v>0</v>
      </c>
      <c r="DX136" s="55">
        <v>1</v>
      </c>
      <c r="DY136" s="55">
        <v>2</v>
      </c>
      <c r="DZ136" s="55">
        <v>1</v>
      </c>
      <c r="EA136" s="55">
        <v>1</v>
      </c>
      <c r="EB136" s="55">
        <v>0</v>
      </c>
      <c r="EC136" s="56">
        <v>0</v>
      </c>
      <c r="ED136" s="57">
        <v>15</v>
      </c>
    </row>
    <row r="137" spans="36:134" ht="16.2" x14ac:dyDescent="0.3">
      <c r="AJ137" s="53" t="s">
        <v>82</v>
      </c>
      <c r="AK137" s="54">
        <v>0</v>
      </c>
      <c r="AL137" s="55">
        <v>2</v>
      </c>
      <c r="AM137" s="55">
        <v>1</v>
      </c>
      <c r="AN137" s="55">
        <v>1</v>
      </c>
      <c r="AO137" s="55">
        <v>1</v>
      </c>
      <c r="AP137" s="55">
        <v>0</v>
      </c>
      <c r="AQ137" s="56">
        <v>0</v>
      </c>
      <c r="AR137" s="57">
        <v>16</v>
      </c>
      <c r="CC137" s="53" t="s">
        <v>82</v>
      </c>
      <c r="CD137" s="54">
        <v>0</v>
      </c>
      <c r="CE137" s="55">
        <v>2</v>
      </c>
      <c r="CF137" s="55">
        <v>1</v>
      </c>
      <c r="CG137" s="55">
        <v>1</v>
      </c>
      <c r="CH137" s="55">
        <v>1</v>
      </c>
      <c r="CI137" s="55">
        <v>0</v>
      </c>
      <c r="CJ137" s="56">
        <v>0</v>
      </c>
      <c r="CK137" s="57">
        <v>16</v>
      </c>
      <c r="DV137" s="53" t="s">
        <v>82</v>
      </c>
      <c r="DW137" s="54">
        <v>0</v>
      </c>
      <c r="DX137" s="55">
        <v>2</v>
      </c>
      <c r="DY137" s="55">
        <v>1</v>
      </c>
      <c r="DZ137" s="55">
        <v>1</v>
      </c>
      <c r="EA137" s="55">
        <v>1</v>
      </c>
      <c r="EB137" s="55">
        <v>0</v>
      </c>
      <c r="EC137" s="56">
        <v>0</v>
      </c>
      <c r="ED137" s="57">
        <v>16</v>
      </c>
    </row>
    <row r="138" spans="36:134" ht="16.2" x14ac:dyDescent="0.3">
      <c r="AJ138" s="53" t="s">
        <v>83</v>
      </c>
      <c r="AK138" s="54">
        <v>0</v>
      </c>
      <c r="AL138" s="55">
        <v>0</v>
      </c>
      <c r="AM138" s="55">
        <v>2</v>
      </c>
      <c r="AN138" s="55">
        <v>1</v>
      </c>
      <c r="AO138" s="55">
        <v>2</v>
      </c>
      <c r="AP138" s="55">
        <v>0</v>
      </c>
      <c r="AQ138" s="56">
        <v>0</v>
      </c>
      <c r="AR138" s="57">
        <v>17</v>
      </c>
      <c r="CC138" s="53" t="s">
        <v>83</v>
      </c>
      <c r="CD138" s="54">
        <v>0</v>
      </c>
      <c r="CE138" s="55">
        <v>0</v>
      </c>
      <c r="CF138" s="55">
        <v>2</v>
      </c>
      <c r="CG138" s="55">
        <v>1</v>
      </c>
      <c r="CH138" s="55">
        <v>2</v>
      </c>
      <c r="CI138" s="55">
        <v>0</v>
      </c>
      <c r="CJ138" s="56">
        <v>0</v>
      </c>
      <c r="CK138" s="57">
        <v>17</v>
      </c>
      <c r="DV138" s="53" t="s">
        <v>83</v>
      </c>
      <c r="DW138" s="54">
        <v>0</v>
      </c>
      <c r="DX138" s="55">
        <v>0</v>
      </c>
      <c r="DY138" s="55">
        <v>2</v>
      </c>
      <c r="DZ138" s="55">
        <v>1</v>
      </c>
      <c r="EA138" s="55">
        <v>2</v>
      </c>
      <c r="EB138" s="55">
        <v>0</v>
      </c>
      <c r="EC138" s="56">
        <v>0</v>
      </c>
      <c r="ED138" s="57">
        <v>17</v>
      </c>
    </row>
    <row r="139" spans="36:134" ht="16.2" x14ac:dyDescent="0.3">
      <c r="AJ139" s="53" t="s">
        <v>162</v>
      </c>
      <c r="AK139" s="54">
        <v>0</v>
      </c>
      <c r="AL139" s="55">
        <v>2</v>
      </c>
      <c r="AM139" s="55">
        <v>1</v>
      </c>
      <c r="AN139" s="55">
        <v>1</v>
      </c>
      <c r="AO139" s="55">
        <v>2</v>
      </c>
      <c r="AP139" s="55">
        <v>0</v>
      </c>
      <c r="AQ139" s="56">
        <v>0</v>
      </c>
      <c r="AR139" s="57">
        <v>18</v>
      </c>
      <c r="CC139" s="53" t="s">
        <v>162</v>
      </c>
      <c r="CD139" s="54">
        <v>0</v>
      </c>
      <c r="CE139" s="55">
        <v>2</v>
      </c>
      <c r="CF139" s="55">
        <v>1</v>
      </c>
      <c r="CG139" s="55">
        <v>1</v>
      </c>
      <c r="CH139" s="55">
        <v>2</v>
      </c>
      <c r="CI139" s="55">
        <v>0</v>
      </c>
      <c r="CJ139" s="56">
        <v>0</v>
      </c>
      <c r="CK139" s="57">
        <v>18</v>
      </c>
      <c r="DV139" s="53" t="s">
        <v>162</v>
      </c>
      <c r="DW139" s="54">
        <v>0</v>
      </c>
      <c r="DX139" s="55">
        <v>2</v>
      </c>
      <c r="DY139" s="55">
        <v>1</v>
      </c>
      <c r="DZ139" s="55">
        <v>1</v>
      </c>
      <c r="EA139" s="55">
        <v>2</v>
      </c>
      <c r="EB139" s="55">
        <v>0</v>
      </c>
      <c r="EC139" s="56">
        <v>0</v>
      </c>
      <c r="ED139" s="57">
        <v>18</v>
      </c>
    </row>
    <row r="140" spans="36:134" ht="16.2" x14ac:dyDescent="0.3">
      <c r="AJ140" s="53" t="s">
        <v>84</v>
      </c>
      <c r="AK140" s="54">
        <v>0</v>
      </c>
      <c r="AL140" s="55">
        <v>2</v>
      </c>
      <c r="AM140" s="55">
        <v>1</v>
      </c>
      <c r="AN140" s="55">
        <v>1</v>
      </c>
      <c r="AO140" s="55">
        <v>2</v>
      </c>
      <c r="AP140" s="55">
        <v>0</v>
      </c>
      <c r="AQ140" s="56">
        <v>0</v>
      </c>
      <c r="AR140" s="57">
        <v>19</v>
      </c>
      <c r="CC140" s="53" t="s">
        <v>84</v>
      </c>
      <c r="CD140" s="54">
        <v>0</v>
      </c>
      <c r="CE140" s="55">
        <v>2</v>
      </c>
      <c r="CF140" s="55">
        <v>1</v>
      </c>
      <c r="CG140" s="55">
        <v>1</v>
      </c>
      <c r="CH140" s="55">
        <v>2</v>
      </c>
      <c r="CI140" s="55">
        <v>0</v>
      </c>
      <c r="CJ140" s="56">
        <v>0</v>
      </c>
      <c r="CK140" s="57">
        <v>19</v>
      </c>
      <c r="DV140" s="53" t="s">
        <v>84</v>
      </c>
      <c r="DW140" s="54">
        <v>0</v>
      </c>
      <c r="DX140" s="55">
        <v>2</v>
      </c>
      <c r="DY140" s="55">
        <v>1</v>
      </c>
      <c r="DZ140" s="55">
        <v>1</v>
      </c>
      <c r="EA140" s="55">
        <v>2</v>
      </c>
      <c r="EB140" s="55">
        <v>0</v>
      </c>
      <c r="EC140" s="56">
        <v>0</v>
      </c>
      <c r="ED140" s="57">
        <v>19</v>
      </c>
    </row>
    <row r="141" spans="36:134" ht="16.2" x14ac:dyDescent="0.3">
      <c r="AJ141" s="53" t="s">
        <v>85</v>
      </c>
      <c r="AK141" s="54">
        <v>0</v>
      </c>
      <c r="AL141" s="55">
        <v>2</v>
      </c>
      <c r="AM141" s="55">
        <v>1</v>
      </c>
      <c r="AN141" s="55">
        <v>2</v>
      </c>
      <c r="AO141" s="55">
        <v>1</v>
      </c>
      <c r="AP141" s="55">
        <v>0</v>
      </c>
      <c r="AQ141" s="56">
        <v>0</v>
      </c>
      <c r="AR141" s="57">
        <v>20</v>
      </c>
      <c r="CC141" s="53" t="s">
        <v>85</v>
      </c>
      <c r="CD141" s="54">
        <v>0</v>
      </c>
      <c r="CE141" s="55">
        <v>2</v>
      </c>
      <c r="CF141" s="55">
        <v>1</v>
      </c>
      <c r="CG141" s="55">
        <v>2</v>
      </c>
      <c r="CH141" s="55">
        <v>1</v>
      </c>
      <c r="CI141" s="55">
        <v>0</v>
      </c>
      <c r="CJ141" s="56">
        <v>0</v>
      </c>
      <c r="CK141" s="57">
        <v>20</v>
      </c>
      <c r="DV141" s="53" t="s">
        <v>85</v>
      </c>
      <c r="DW141" s="54">
        <v>0</v>
      </c>
      <c r="DX141" s="55">
        <v>2</v>
      </c>
      <c r="DY141" s="55">
        <v>1</v>
      </c>
      <c r="DZ141" s="55">
        <v>2</v>
      </c>
      <c r="EA141" s="55">
        <v>1</v>
      </c>
      <c r="EB141" s="55">
        <v>0</v>
      </c>
      <c r="EC141" s="56">
        <v>0</v>
      </c>
      <c r="ED141" s="57">
        <v>20</v>
      </c>
    </row>
    <row r="142" spans="36:134" ht="16.2" x14ac:dyDescent="0.3">
      <c r="AJ142" s="53" t="s">
        <v>86</v>
      </c>
      <c r="AK142" s="54">
        <v>0</v>
      </c>
      <c r="AL142" s="55">
        <v>0</v>
      </c>
      <c r="AM142" s="55">
        <v>2</v>
      </c>
      <c r="AN142" s="55">
        <v>1</v>
      </c>
      <c r="AO142" s="55">
        <v>1</v>
      </c>
      <c r="AP142" s="55">
        <v>0</v>
      </c>
      <c r="AQ142" s="56">
        <v>0</v>
      </c>
      <c r="AR142" s="57">
        <v>21</v>
      </c>
      <c r="CC142" s="53" t="s">
        <v>86</v>
      </c>
      <c r="CD142" s="54">
        <v>0</v>
      </c>
      <c r="CE142" s="55">
        <v>0</v>
      </c>
      <c r="CF142" s="55">
        <v>2</v>
      </c>
      <c r="CG142" s="55">
        <v>1</v>
      </c>
      <c r="CH142" s="55">
        <v>1</v>
      </c>
      <c r="CI142" s="55">
        <v>0</v>
      </c>
      <c r="CJ142" s="56">
        <v>0</v>
      </c>
      <c r="CK142" s="57">
        <v>21</v>
      </c>
      <c r="DV142" s="53" t="s">
        <v>86</v>
      </c>
      <c r="DW142" s="54">
        <v>0</v>
      </c>
      <c r="DX142" s="55">
        <v>0</v>
      </c>
      <c r="DY142" s="55">
        <v>2</v>
      </c>
      <c r="DZ142" s="55">
        <v>1</v>
      </c>
      <c r="EA142" s="55">
        <v>1</v>
      </c>
      <c r="EB142" s="55">
        <v>0</v>
      </c>
      <c r="EC142" s="56">
        <v>0</v>
      </c>
      <c r="ED142" s="57">
        <v>21</v>
      </c>
    </row>
    <row r="143" spans="36:134" ht="16.2" x14ac:dyDescent="0.3">
      <c r="AJ143" s="53" t="s">
        <v>87</v>
      </c>
      <c r="AK143" s="54">
        <v>0</v>
      </c>
      <c r="AL143" s="55">
        <v>4</v>
      </c>
      <c r="AM143" s="55">
        <v>1</v>
      </c>
      <c r="AN143" s="55">
        <v>1</v>
      </c>
      <c r="AO143" s="55">
        <v>1</v>
      </c>
      <c r="AP143" s="55">
        <v>0</v>
      </c>
      <c r="AQ143" s="56">
        <v>0</v>
      </c>
      <c r="AR143" s="57">
        <v>22</v>
      </c>
      <c r="CC143" s="53" t="s">
        <v>87</v>
      </c>
      <c r="CD143" s="54">
        <v>0</v>
      </c>
      <c r="CE143" s="55">
        <v>4</v>
      </c>
      <c r="CF143" s="55">
        <v>1</v>
      </c>
      <c r="CG143" s="55">
        <v>1</v>
      </c>
      <c r="CH143" s="55">
        <v>1</v>
      </c>
      <c r="CI143" s="55">
        <v>0</v>
      </c>
      <c r="CJ143" s="56">
        <v>0</v>
      </c>
      <c r="CK143" s="57">
        <v>22</v>
      </c>
      <c r="DV143" s="53" t="s">
        <v>87</v>
      </c>
      <c r="DW143" s="54">
        <v>0</v>
      </c>
      <c r="DX143" s="55">
        <v>4</v>
      </c>
      <c r="DY143" s="55">
        <v>1</v>
      </c>
      <c r="DZ143" s="55">
        <v>1</v>
      </c>
      <c r="EA143" s="55">
        <v>1</v>
      </c>
      <c r="EB143" s="55">
        <v>0</v>
      </c>
      <c r="EC143" s="56">
        <v>0</v>
      </c>
      <c r="ED143" s="57">
        <v>22</v>
      </c>
    </row>
    <row r="144" spans="36:134" ht="16.8" thickBot="1" x14ac:dyDescent="0.35">
      <c r="AJ144" s="59" t="s">
        <v>88</v>
      </c>
      <c r="AK144" s="60">
        <v>0</v>
      </c>
      <c r="AL144" s="61">
        <v>1</v>
      </c>
      <c r="AM144" s="61">
        <v>1</v>
      </c>
      <c r="AN144" s="61">
        <v>1</v>
      </c>
      <c r="AO144" s="61">
        <v>1</v>
      </c>
      <c r="AP144" s="61">
        <v>0</v>
      </c>
      <c r="AQ144" s="62">
        <v>0</v>
      </c>
      <c r="AR144" s="126">
        <v>23</v>
      </c>
      <c r="CC144" s="59" t="s">
        <v>88</v>
      </c>
      <c r="CD144" s="60">
        <v>0</v>
      </c>
      <c r="CE144" s="61">
        <v>1</v>
      </c>
      <c r="CF144" s="61">
        <v>1</v>
      </c>
      <c r="CG144" s="61">
        <v>1</v>
      </c>
      <c r="CH144" s="61">
        <v>1</v>
      </c>
      <c r="CI144" s="61">
        <v>0</v>
      </c>
      <c r="CJ144" s="62">
        <v>0</v>
      </c>
      <c r="CK144" s="126">
        <v>23</v>
      </c>
      <c r="DV144" s="59" t="s">
        <v>88</v>
      </c>
      <c r="DW144" s="60">
        <v>0</v>
      </c>
      <c r="DX144" s="61">
        <v>1</v>
      </c>
      <c r="DY144" s="61">
        <v>1</v>
      </c>
      <c r="DZ144" s="61">
        <v>1</v>
      </c>
      <c r="EA144" s="61">
        <v>1</v>
      </c>
      <c r="EB144" s="61">
        <v>0</v>
      </c>
      <c r="EC144" s="62">
        <v>0</v>
      </c>
      <c r="ED144" s="126">
        <v>23</v>
      </c>
    </row>
    <row r="145" spans="36:134" ht="16.2" x14ac:dyDescent="0.3">
      <c r="AJ145" s="132" t="s">
        <v>176</v>
      </c>
      <c r="AK145" s="133">
        <v>0</v>
      </c>
      <c r="AL145" s="134">
        <v>0</v>
      </c>
      <c r="AM145" s="134">
        <v>0</v>
      </c>
      <c r="AN145" s="134">
        <v>0</v>
      </c>
      <c r="AO145" s="134">
        <v>0</v>
      </c>
      <c r="AP145" s="134">
        <v>0</v>
      </c>
      <c r="AQ145" s="135">
        <v>0</v>
      </c>
      <c r="AR145" s="131">
        <v>24</v>
      </c>
      <c r="CC145" s="132" t="s">
        <v>176</v>
      </c>
      <c r="CD145" s="133">
        <v>0</v>
      </c>
      <c r="CE145" s="134">
        <v>0</v>
      </c>
      <c r="CF145" s="134">
        <v>0</v>
      </c>
      <c r="CG145" s="134">
        <v>0</v>
      </c>
      <c r="CH145" s="134">
        <v>0</v>
      </c>
      <c r="CI145" s="134">
        <v>0</v>
      </c>
      <c r="CJ145" s="135">
        <v>0</v>
      </c>
      <c r="CK145" s="131">
        <v>24</v>
      </c>
      <c r="DV145" s="132" t="s">
        <v>176</v>
      </c>
      <c r="DW145" s="133">
        <v>0</v>
      </c>
      <c r="DX145" s="134">
        <v>0</v>
      </c>
      <c r="DY145" s="134">
        <v>0</v>
      </c>
      <c r="DZ145" s="134">
        <v>0</v>
      </c>
      <c r="EA145" s="134">
        <v>0</v>
      </c>
      <c r="EB145" s="134">
        <v>0</v>
      </c>
      <c r="EC145" s="135">
        <v>0</v>
      </c>
      <c r="ED145" s="131">
        <v>24</v>
      </c>
    </row>
    <row r="146" spans="36:134" ht="16.8" thickBot="1" x14ac:dyDescent="0.35">
      <c r="AJ146" s="80" t="s">
        <v>187</v>
      </c>
      <c r="AK146" s="72">
        <v>0</v>
      </c>
      <c r="AL146" s="73">
        <v>0</v>
      </c>
      <c r="AM146" s="73">
        <v>0</v>
      </c>
      <c r="AN146" s="73">
        <v>0</v>
      </c>
      <c r="AO146" s="73">
        <v>0</v>
      </c>
      <c r="AP146" s="73">
        <v>0</v>
      </c>
      <c r="AQ146" s="74">
        <v>0</v>
      </c>
      <c r="AR146" s="63">
        <v>25</v>
      </c>
      <c r="CC146" s="80" t="s">
        <v>187</v>
      </c>
      <c r="CD146" s="72">
        <v>0</v>
      </c>
      <c r="CE146" s="73">
        <v>0</v>
      </c>
      <c r="CF146" s="73">
        <v>0</v>
      </c>
      <c r="CG146" s="73">
        <v>0</v>
      </c>
      <c r="CH146" s="73">
        <v>0</v>
      </c>
      <c r="CI146" s="73">
        <v>0</v>
      </c>
      <c r="CJ146" s="74">
        <v>0</v>
      </c>
      <c r="CK146" s="63">
        <v>25</v>
      </c>
      <c r="DV146" s="80" t="s">
        <v>187</v>
      </c>
      <c r="DW146" s="72">
        <v>0</v>
      </c>
      <c r="DX146" s="73">
        <v>0</v>
      </c>
      <c r="DY146" s="73">
        <v>0</v>
      </c>
      <c r="DZ146" s="73">
        <v>0</v>
      </c>
      <c r="EA146" s="73">
        <v>0</v>
      </c>
      <c r="EB146" s="73">
        <v>0</v>
      </c>
      <c r="EC146" s="74">
        <v>0</v>
      </c>
      <c r="ED146" s="63">
        <v>25</v>
      </c>
    </row>
    <row r="147" spans="36:134" x14ac:dyDescent="0.3">
      <c r="AN147" s="14"/>
      <c r="AO147" s="14"/>
      <c r="AP147" s="14"/>
      <c r="AQ147" s="14"/>
      <c r="AR147" s="14"/>
      <c r="CG147" s="14"/>
      <c r="CH147" s="14"/>
      <c r="CI147" s="14"/>
      <c r="CJ147" s="14"/>
      <c r="CK147" s="14"/>
      <c r="DZ147" s="14"/>
      <c r="EA147" s="14"/>
      <c r="EB147" s="14"/>
      <c r="EC147" s="14"/>
      <c r="ED147" s="14"/>
    </row>
    <row r="148" spans="36:134" x14ac:dyDescent="0.3">
      <c r="AN148" s="14"/>
      <c r="AO148" s="14"/>
      <c r="AP148" s="14"/>
      <c r="AQ148" s="14"/>
      <c r="AR148" s="14"/>
      <c r="CG148" s="14"/>
      <c r="CH148" s="14"/>
      <c r="CI148" s="14"/>
      <c r="CJ148" s="14"/>
      <c r="CK148" s="14"/>
      <c r="DZ148" s="14"/>
      <c r="EA148" s="14"/>
      <c r="EB148" s="14"/>
      <c r="EC148" s="14"/>
      <c r="ED148" s="14"/>
    </row>
    <row r="149" spans="36:134" x14ac:dyDescent="0.3">
      <c r="AN149" s="14"/>
      <c r="AO149" s="14"/>
      <c r="AP149" s="14"/>
      <c r="AQ149" s="14"/>
      <c r="AR149" s="14"/>
      <c r="CG149" s="14"/>
      <c r="CH149" s="14"/>
      <c r="CI149" s="14"/>
      <c r="CJ149" s="14"/>
      <c r="CK149" s="14"/>
      <c r="DZ149" s="14"/>
      <c r="EA149" s="14"/>
      <c r="EB149" s="14"/>
      <c r="EC149" s="14"/>
      <c r="ED149" s="14"/>
    </row>
    <row r="150" spans="36:134" x14ac:dyDescent="0.3">
      <c r="AN150" s="14"/>
      <c r="AO150" s="14"/>
      <c r="AP150" s="14"/>
      <c r="AQ150" s="14"/>
      <c r="AR150" s="14"/>
      <c r="CG150" s="14"/>
      <c r="CH150" s="14"/>
      <c r="CI150" s="14"/>
      <c r="CJ150" s="14"/>
      <c r="CK150" s="14"/>
      <c r="DZ150" s="14"/>
      <c r="EA150" s="14"/>
      <c r="EB150" s="14"/>
      <c r="EC150" s="14"/>
      <c r="ED150" s="14"/>
    </row>
    <row r="151" spans="36:134" x14ac:dyDescent="0.3">
      <c r="AN151" s="14"/>
      <c r="AO151" s="14"/>
      <c r="AP151" s="14"/>
      <c r="AQ151" s="14"/>
      <c r="AR151" s="14"/>
      <c r="CG151" s="14"/>
      <c r="CH151" s="14"/>
      <c r="CI151" s="14"/>
      <c r="CJ151" s="14"/>
      <c r="CK151" s="14"/>
      <c r="DZ151" s="14"/>
      <c r="EA151" s="14"/>
      <c r="EB151" s="14"/>
      <c r="EC151" s="14"/>
      <c r="ED151" s="14"/>
    </row>
    <row r="152" spans="36:134" x14ac:dyDescent="0.3">
      <c r="AN152" s="14"/>
      <c r="AO152" s="14"/>
      <c r="AP152" s="14"/>
      <c r="AQ152" s="14"/>
      <c r="AR152" s="14"/>
      <c r="CG152" s="14"/>
      <c r="CH152" s="14"/>
      <c r="CI152" s="14"/>
      <c r="CJ152" s="14"/>
      <c r="CK152" s="14"/>
      <c r="DZ152" s="14"/>
      <c r="EA152" s="14"/>
      <c r="EB152" s="14"/>
      <c r="EC152" s="14"/>
      <c r="ED152" s="14"/>
    </row>
    <row r="153" spans="36:134" x14ac:dyDescent="0.3">
      <c r="AN153" s="14"/>
      <c r="AO153" s="14"/>
      <c r="AP153" s="14"/>
      <c r="AQ153" s="14"/>
      <c r="AR153" s="14"/>
      <c r="CG153" s="14"/>
      <c r="CH153" s="14"/>
      <c r="CI153" s="14"/>
      <c r="CJ153" s="14"/>
      <c r="CK153" s="14"/>
      <c r="DZ153" s="14"/>
      <c r="EA153" s="14"/>
      <c r="EB153" s="14"/>
      <c r="EC153" s="14"/>
      <c r="ED153" s="14"/>
    </row>
    <row r="154" spans="36:134" x14ac:dyDescent="0.3">
      <c r="AN154" s="14"/>
      <c r="AO154" s="14"/>
      <c r="AP154" s="14"/>
      <c r="AQ154" s="14"/>
      <c r="AR154" s="14"/>
      <c r="CG154" s="14"/>
      <c r="CH154" s="14"/>
      <c r="CI154" s="14"/>
      <c r="CJ154" s="14"/>
      <c r="CK154" s="14"/>
      <c r="DZ154" s="14"/>
      <c r="EA154" s="14"/>
      <c r="EB154" s="14"/>
      <c r="EC154" s="14"/>
      <c r="ED154" s="14"/>
    </row>
    <row r="155" spans="36:134" x14ac:dyDescent="0.3">
      <c r="AN155" s="14"/>
      <c r="AO155" s="14"/>
      <c r="AP155" s="14"/>
      <c r="AQ155" s="14"/>
      <c r="AR155" s="14"/>
      <c r="CG155" s="14"/>
      <c r="CH155" s="14"/>
      <c r="CI155" s="14"/>
      <c r="CJ155" s="14"/>
      <c r="CK155" s="14"/>
      <c r="DZ155" s="14"/>
      <c r="EA155" s="14"/>
      <c r="EB155" s="14"/>
      <c r="EC155" s="14"/>
      <c r="ED155" s="14"/>
    </row>
    <row r="156" spans="36:134" x14ac:dyDescent="0.3">
      <c r="AN156" s="14"/>
      <c r="AO156" s="14"/>
      <c r="AP156" s="14"/>
      <c r="AQ156" s="14"/>
      <c r="AR156" s="14"/>
      <c r="CG156" s="14"/>
      <c r="CH156" s="14"/>
      <c r="CI156" s="14"/>
      <c r="CJ156" s="14"/>
      <c r="CK156" s="14"/>
      <c r="DZ156" s="14"/>
      <c r="EA156" s="14"/>
      <c r="EB156" s="14"/>
      <c r="EC156" s="14"/>
      <c r="ED156" s="14"/>
    </row>
    <row r="157" spans="36:134" x14ac:dyDescent="0.3">
      <c r="AN157" s="14"/>
      <c r="AO157" s="14"/>
      <c r="AP157" s="14"/>
      <c r="AQ157" s="14"/>
      <c r="AR157" s="14"/>
      <c r="CG157" s="14"/>
      <c r="CH157" s="14"/>
      <c r="CI157" s="14"/>
      <c r="CJ157" s="14"/>
      <c r="CK157" s="14"/>
      <c r="DZ157" s="14"/>
      <c r="EA157" s="14"/>
      <c r="EB157" s="14"/>
      <c r="EC157" s="14"/>
      <c r="ED157" s="14"/>
    </row>
    <row r="158" spans="36:134" x14ac:dyDescent="0.3">
      <c r="AN158" s="14"/>
      <c r="AO158" s="14"/>
      <c r="AP158" s="14"/>
      <c r="AQ158" s="14"/>
      <c r="AR158" s="14"/>
      <c r="CG158" s="14"/>
      <c r="CH158" s="14"/>
      <c r="CI158" s="14"/>
      <c r="CJ158" s="14"/>
      <c r="CK158" s="14"/>
      <c r="DZ158" s="14"/>
      <c r="EA158" s="14"/>
      <c r="EB158" s="14"/>
      <c r="EC158" s="14"/>
      <c r="ED158" s="14"/>
    </row>
    <row r="159" spans="36:134" x14ac:dyDescent="0.3">
      <c r="AN159" s="14"/>
      <c r="AO159" s="14"/>
      <c r="AP159" s="14"/>
      <c r="AQ159" s="14"/>
      <c r="AR159" s="14"/>
      <c r="CG159" s="14"/>
      <c r="CH159" s="14"/>
      <c r="CI159" s="14"/>
      <c r="CJ159" s="14"/>
      <c r="CK159" s="14"/>
      <c r="DZ159" s="14"/>
      <c r="EA159" s="14"/>
      <c r="EB159" s="14"/>
      <c r="EC159" s="14"/>
      <c r="ED159" s="14"/>
    </row>
    <row r="160" spans="36:134" x14ac:dyDescent="0.3">
      <c r="AN160" s="14"/>
      <c r="AO160" s="14"/>
      <c r="AP160" s="14"/>
      <c r="AQ160" s="14"/>
      <c r="AR160" s="14"/>
      <c r="CG160" s="14"/>
      <c r="CH160" s="14"/>
      <c r="CI160" s="14"/>
      <c r="CJ160" s="14"/>
      <c r="CK160" s="14"/>
      <c r="DZ160" s="14"/>
      <c r="EA160" s="14"/>
      <c r="EB160" s="14"/>
      <c r="EC160" s="14"/>
      <c r="ED160" s="14"/>
    </row>
    <row r="161" spans="40:134" x14ac:dyDescent="0.3">
      <c r="AN161" s="14"/>
      <c r="AO161" s="14"/>
      <c r="AP161" s="14"/>
      <c r="AQ161" s="14"/>
      <c r="AR161" s="14"/>
      <c r="CG161" s="14"/>
      <c r="CH161" s="14"/>
      <c r="CI161" s="14"/>
      <c r="CJ161" s="14"/>
      <c r="CK161" s="14"/>
      <c r="DZ161" s="14"/>
      <c r="EA161" s="14"/>
      <c r="EB161" s="14"/>
      <c r="EC161" s="14"/>
      <c r="ED161" s="14"/>
    </row>
    <row r="162" spans="40:134" x14ac:dyDescent="0.3">
      <c r="AN162" s="14"/>
      <c r="AO162" s="14"/>
      <c r="AP162" s="14"/>
      <c r="AQ162" s="14"/>
      <c r="AR162" s="14"/>
      <c r="CG162" s="14"/>
      <c r="CH162" s="14"/>
      <c r="CI162" s="14"/>
      <c r="CJ162" s="14"/>
      <c r="CK162" s="14"/>
      <c r="DZ162" s="14"/>
      <c r="EA162" s="14"/>
      <c r="EB162" s="14"/>
      <c r="EC162" s="14"/>
      <c r="ED162" s="14"/>
    </row>
    <row r="163" spans="40:134" x14ac:dyDescent="0.3">
      <c r="AN163" s="14"/>
      <c r="AO163" s="14"/>
      <c r="AP163" s="14"/>
      <c r="AQ163" s="14"/>
      <c r="AR163" s="14"/>
      <c r="CG163" s="14"/>
      <c r="CH163" s="14"/>
      <c r="CI163" s="14"/>
      <c r="CJ163" s="14"/>
      <c r="CK163" s="14"/>
      <c r="DZ163" s="14"/>
      <c r="EA163" s="14"/>
      <c r="EB163" s="14"/>
      <c r="EC163" s="14"/>
      <c r="ED163" s="14"/>
    </row>
    <row r="164" spans="40:134" x14ac:dyDescent="0.3">
      <c r="AN164" s="14"/>
      <c r="AO164" s="14"/>
      <c r="AP164" s="14"/>
      <c r="AQ164" s="14"/>
      <c r="AR164" s="14"/>
      <c r="CG164" s="14"/>
      <c r="CH164" s="14"/>
      <c r="CI164" s="14"/>
      <c r="CJ164" s="14"/>
      <c r="CK164" s="14"/>
      <c r="DZ164" s="14"/>
      <c r="EA164" s="14"/>
      <c r="EB164" s="14"/>
      <c r="EC164" s="14"/>
      <c r="ED164" s="14"/>
    </row>
    <row r="165" spans="40:134" x14ac:dyDescent="0.3">
      <c r="AN165" s="14"/>
      <c r="AO165" s="14"/>
      <c r="AP165" s="14"/>
      <c r="AQ165" s="14"/>
      <c r="AR165" s="14"/>
      <c r="CG165" s="14"/>
      <c r="CH165" s="14"/>
      <c r="CI165" s="14"/>
      <c r="CJ165" s="14"/>
      <c r="CK165" s="14"/>
      <c r="DZ165" s="14"/>
      <c r="EA165" s="14"/>
      <c r="EB165" s="14"/>
      <c r="EC165" s="14"/>
      <c r="ED165" s="14"/>
    </row>
    <row r="166" spans="40:134" x14ac:dyDescent="0.3">
      <c r="AN166" s="14"/>
      <c r="AO166" s="14"/>
      <c r="AP166" s="14"/>
      <c r="AQ166" s="14"/>
      <c r="AR166" s="14"/>
      <c r="CG166" s="14"/>
      <c r="CH166" s="14"/>
      <c r="CI166" s="14"/>
      <c r="CJ166" s="14"/>
      <c r="CK166" s="14"/>
      <c r="DZ166" s="14"/>
      <c r="EA166" s="14"/>
      <c r="EB166" s="14"/>
      <c r="EC166" s="14"/>
      <c r="ED166" s="14"/>
    </row>
    <row r="167" spans="40:134" x14ac:dyDescent="0.3">
      <c r="AN167" s="14"/>
      <c r="AO167" s="14"/>
      <c r="AP167" s="14"/>
      <c r="AQ167" s="14"/>
      <c r="AR167" s="14"/>
      <c r="CG167" s="14"/>
      <c r="CH167" s="14"/>
      <c r="CI167" s="14"/>
      <c r="CJ167" s="14"/>
      <c r="CK167" s="14"/>
      <c r="DZ167" s="14"/>
      <c r="EA167" s="14"/>
      <c r="EB167" s="14"/>
      <c r="EC167" s="14"/>
      <c r="ED167" s="14"/>
    </row>
    <row r="168" spans="40:134" x14ac:dyDescent="0.3">
      <c r="AN168" s="14"/>
      <c r="AO168" s="14"/>
      <c r="AP168" s="14"/>
      <c r="AQ168" s="14"/>
      <c r="AR168" s="14"/>
      <c r="CG168" s="14"/>
      <c r="CH168" s="14"/>
      <c r="CI168" s="14"/>
      <c r="CJ168" s="14"/>
      <c r="CK168" s="14"/>
      <c r="DZ168" s="14"/>
      <c r="EA168" s="14"/>
      <c r="EB168" s="14"/>
      <c r="EC168" s="14"/>
      <c r="ED168" s="14"/>
    </row>
    <row r="169" spans="40:134" x14ac:dyDescent="0.3">
      <c r="AN169" s="14"/>
      <c r="AO169" s="14"/>
      <c r="AP169" s="14"/>
      <c r="AQ169" s="14"/>
      <c r="AR169" s="14"/>
      <c r="CG169" s="14"/>
      <c r="CH169" s="14"/>
      <c r="CI169" s="14"/>
      <c r="CJ169" s="14"/>
      <c r="CK169" s="14"/>
      <c r="DZ169" s="14"/>
      <c r="EA169" s="14"/>
      <c r="EB169" s="14"/>
      <c r="EC169" s="14"/>
      <c r="ED169" s="14"/>
    </row>
    <row r="170" spans="40:134" x14ac:dyDescent="0.3">
      <c r="AN170" s="14"/>
      <c r="AO170" s="14"/>
      <c r="AP170" s="14"/>
      <c r="AQ170" s="14"/>
      <c r="AR170" s="14"/>
      <c r="CG170" s="14"/>
      <c r="CH170" s="14"/>
      <c r="CI170" s="14"/>
      <c r="CJ170" s="14"/>
      <c r="CK170" s="14"/>
      <c r="DZ170" s="14"/>
      <c r="EA170" s="14"/>
      <c r="EB170" s="14"/>
      <c r="EC170" s="14"/>
      <c r="ED170" s="14"/>
    </row>
    <row r="171" spans="40:134" x14ac:dyDescent="0.3">
      <c r="AN171" s="14"/>
      <c r="AO171" s="14"/>
      <c r="AP171" s="14"/>
      <c r="AQ171" s="14"/>
      <c r="AR171" s="14"/>
      <c r="CG171" s="14"/>
      <c r="CH171" s="14"/>
      <c r="CI171" s="14"/>
      <c r="CJ171" s="14"/>
      <c r="CK171" s="14"/>
      <c r="DZ171" s="14"/>
      <c r="EA171" s="14"/>
      <c r="EB171" s="14"/>
      <c r="EC171" s="14"/>
      <c r="ED171" s="14"/>
    </row>
    <row r="172" spans="40:134" x14ac:dyDescent="0.3">
      <c r="AN172" s="14"/>
      <c r="AO172" s="14"/>
      <c r="AP172" s="14"/>
      <c r="AQ172" s="14"/>
      <c r="AR172" s="14"/>
      <c r="CG172" s="14"/>
      <c r="CH172" s="14"/>
      <c r="CI172" s="14"/>
      <c r="CJ172" s="14"/>
      <c r="CK172" s="14"/>
      <c r="DZ172" s="14"/>
      <c r="EA172" s="14"/>
      <c r="EB172" s="14"/>
      <c r="EC172" s="14"/>
      <c r="ED172" s="14"/>
    </row>
    <row r="173" spans="40:134" x14ac:dyDescent="0.3">
      <c r="AN173" s="14"/>
      <c r="AO173" s="14"/>
      <c r="AP173" s="14"/>
      <c r="AQ173" s="14"/>
      <c r="AR173" s="14"/>
      <c r="CG173" s="14"/>
      <c r="CH173" s="14"/>
      <c r="CI173" s="14"/>
      <c r="CJ173" s="14"/>
      <c r="CK173" s="14"/>
      <c r="DZ173" s="14"/>
      <c r="EA173" s="14"/>
      <c r="EB173" s="14"/>
      <c r="EC173" s="14"/>
      <c r="ED173" s="14"/>
    </row>
    <row r="174" spans="40:134" x14ac:dyDescent="0.3">
      <c r="AN174" s="14"/>
      <c r="AO174" s="14"/>
      <c r="AP174" s="14"/>
      <c r="AQ174" s="14"/>
      <c r="AR174" s="14"/>
      <c r="CG174" s="14"/>
      <c r="CH174" s="14"/>
      <c r="CI174" s="14"/>
      <c r="CJ174" s="14"/>
      <c r="CK174" s="14"/>
      <c r="DZ174" s="14"/>
      <c r="EA174" s="14"/>
      <c r="EB174" s="14"/>
      <c r="EC174" s="14"/>
      <c r="ED174" s="14"/>
    </row>
    <row r="175" spans="40:134" x14ac:dyDescent="0.3">
      <c r="AN175" s="14"/>
      <c r="AO175" s="14"/>
      <c r="AP175" s="14"/>
      <c r="AQ175" s="14"/>
      <c r="AR175" s="14"/>
      <c r="CG175" s="14"/>
      <c r="CH175" s="14"/>
      <c r="CI175" s="14"/>
      <c r="CJ175" s="14"/>
      <c r="CK175" s="14"/>
      <c r="DZ175" s="14"/>
      <c r="EA175" s="14"/>
      <c r="EB175" s="14"/>
      <c r="EC175" s="14"/>
      <c r="ED175" s="14"/>
    </row>
    <row r="176" spans="40:134" x14ac:dyDescent="0.3">
      <c r="AN176" s="14"/>
      <c r="AO176" s="14"/>
      <c r="AP176" s="14"/>
      <c r="AQ176" s="14"/>
      <c r="AR176" s="14"/>
      <c r="CG176" s="14"/>
      <c r="CH176" s="14"/>
      <c r="CI176" s="14"/>
      <c r="CJ176" s="14"/>
      <c r="CK176" s="14"/>
      <c r="DZ176" s="14"/>
      <c r="EA176" s="14"/>
      <c r="EB176" s="14"/>
      <c r="EC176" s="14"/>
      <c r="ED176" s="14"/>
    </row>
    <row r="177" spans="40:134" x14ac:dyDescent="0.3">
      <c r="AN177" s="14"/>
      <c r="AO177" s="14"/>
      <c r="AP177" s="14"/>
      <c r="AQ177" s="14"/>
      <c r="AR177" s="14"/>
      <c r="CG177" s="14"/>
      <c r="CH177" s="14"/>
      <c r="CI177" s="14"/>
      <c r="CJ177" s="14"/>
      <c r="CK177" s="14"/>
      <c r="DZ177" s="14"/>
      <c r="EA177" s="14"/>
      <c r="EB177" s="14"/>
      <c r="EC177" s="14"/>
      <c r="ED177" s="14"/>
    </row>
    <row r="178" spans="40:134" x14ac:dyDescent="0.3">
      <c r="AN178" s="14"/>
      <c r="AO178" s="14"/>
      <c r="AP178" s="14"/>
      <c r="AQ178" s="14"/>
      <c r="AR178" s="14"/>
      <c r="CG178" s="14"/>
      <c r="CH178" s="14"/>
      <c r="CI178" s="14"/>
      <c r="CJ178" s="14"/>
      <c r="CK178" s="14"/>
      <c r="DZ178" s="14"/>
      <c r="EA178" s="14"/>
      <c r="EB178" s="14"/>
      <c r="EC178" s="14"/>
      <c r="ED178" s="14"/>
    </row>
    <row r="179" spans="40:134" x14ac:dyDescent="0.3">
      <c r="AN179" s="14"/>
      <c r="AO179" s="14"/>
      <c r="AP179" s="14"/>
      <c r="AQ179" s="14"/>
      <c r="AR179" s="14"/>
      <c r="CG179" s="14"/>
      <c r="CH179" s="14"/>
      <c r="CI179" s="14"/>
      <c r="CJ179" s="14"/>
      <c r="CK179" s="14"/>
      <c r="DZ179" s="14"/>
      <c r="EA179" s="14"/>
      <c r="EB179" s="14"/>
      <c r="EC179" s="14"/>
      <c r="ED179" s="14"/>
    </row>
    <row r="180" spans="40:134" x14ac:dyDescent="0.3">
      <c r="AN180" s="14"/>
      <c r="AO180" s="14"/>
      <c r="AP180" s="14"/>
      <c r="AQ180" s="14"/>
      <c r="AR180" s="14"/>
      <c r="CG180" s="14"/>
      <c r="CH180" s="14"/>
      <c r="CI180" s="14"/>
      <c r="CJ180" s="14"/>
      <c r="CK180" s="14"/>
      <c r="DZ180" s="14"/>
      <c r="EA180" s="14"/>
      <c r="EB180" s="14"/>
      <c r="EC180" s="14"/>
      <c r="ED180" s="14"/>
    </row>
    <row r="181" spans="40:134" x14ac:dyDescent="0.3">
      <c r="AN181" s="14"/>
      <c r="AO181" s="14"/>
      <c r="AP181" s="14"/>
      <c r="AQ181" s="14"/>
      <c r="AR181" s="14"/>
      <c r="CG181" s="14"/>
      <c r="CH181" s="14"/>
      <c r="CI181" s="14"/>
      <c r="CJ181" s="14"/>
      <c r="CK181" s="14"/>
      <c r="DZ181" s="14"/>
      <c r="EA181" s="14"/>
      <c r="EB181" s="14"/>
      <c r="EC181" s="14"/>
      <c r="ED181" s="14"/>
    </row>
    <row r="182" spans="40:134" x14ac:dyDescent="0.3">
      <c r="AN182" s="14"/>
      <c r="AO182" s="14"/>
      <c r="AP182" s="14"/>
      <c r="AQ182" s="14"/>
      <c r="AR182" s="14"/>
      <c r="CG182" s="14"/>
      <c r="CH182" s="14"/>
      <c r="CI182" s="14"/>
      <c r="CJ182" s="14"/>
      <c r="CK182" s="14"/>
      <c r="DZ182" s="14"/>
      <c r="EA182" s="14"/>
      <c r="EB182" s="14"/>
      <c r="EC182" s="14"/>
      <c r="ED182" s="14"/>
    </row>
    <row r="183" spans="40:134" x14ac:dyDescent="0.3">
      <c r="AN183" s="14"/>
      <c r="AO183" s="14"/>
      <c r="AP183" s="14"/>
      <c r="AQ183" s="14"/>
      <c r="AR183" s="14"/>
      <c r="CG183" s="14"/>
      <c r="CH183" s="14"/>
      <c r="CI183" s="14"/>
      <c r="CJ183" s="14"/>
      <c r="CK183" s="14"/>
      <c r="DZ183" s="14"/>
      <c r="EA183" s="14"/>
      <c r="EB183" s="14"/>
      <c r="EC183" s="14"/>
      <c r="ED183" s="14"/>
    </row>
    <row r="184" spans="40:134" x14ac:dyDescent="0.3">
      <c r="AN184" s="14"/>
      <c r="AO184" s="14"/>
      <c r="AP184" s="14"/>
      <c r="AQ184" s="14"/>
      <c r="AR184" s="14"/>
      <c r="CG184" s="14"/>
      <c r="CH184" s="14"/>
      <c r="CI184" s="14"/>
      <c r="CJ184" s="14"/>
      <c r="CK184" s="14"/>
      <c r="DZ184" s="14"/>
      <c r="EA184" s="14"/>
      <c r="EB184" s="14"/>
      <c r="EC184" s="14"/>
      <c r="ED184" s="14"/>
    </row>
    <row r="185" spans="40:134" x14ac:dyDescent="0.3">
      <c r="AN185" s="14"/>
      <c r="AO185" s="14"/>
      <c r="AP185" s="14"/>
      <c r="AQ185" s="14"/>
      <c r="AR185" s="14"/>
      <c r="CG185" s="14"/>
      <c r="CH185" s="14"/>
      <c r="CI185" s="14"/>
      <c r="CJ185" s="14"/>
      <c r="CK185" s="14"/>
      <c r="DZ185" s="14"/>
      <c r="EA185" s="14"/>
      <c r="EB185" s="14"/>
      <c r="EC185" s="14"/>
      <c r="ED185" s="14"/>
    </row>
    <row r="186" spans="40:134" x14ac:dyDescent="0.3">
      <c r="AN186" s="14"/>
      <c r="AO186" s="14"/>
      <c r="AP186" s="14"/>
      <c r="AQ186" s="14"/>
      <c r="AR186" s="14"/>
      <c r="CG186" s="14"/>
      <c r="CH186" s="14"/>
      <c r="CI186" s="14"/>
      <c r="CJ186" s="14"/>
      <c r="CK186" s="14"/>
      <c r="DZ186" s="14"/>
      <c r="EA186" s="14"/>
      <c r="EB186" s="14"/>
      <c r="EC186" s="14"/>
      <c r="ED186" s="14"/>
    </row>
    <row r="187" spans="40:134" x14ac:dyDescent="0.3">
      <c r="AN187" s="14"/>
      <c r="AO187" s="14"/>
      <c r="AP187" s="14"/>
      <c r="AQ187" s="14"/>
      <c r="AR187" s="14"/>
      <c r="CG187" s="14"/>
      <c r="CH187" s="14"/>
      <c r="CI187" s="14"/>
      <c r="CJ187" s="14"/>
      <c r="CK187" s="14"/>
      <c r="DZ187" s="14"/>
      <c r="EA187" s="14"/>
      <c r="EB187" s="14"/>
      <c r="EC187" s="14"/>
      <c r="ED187" s="14"/>
    </row>
    <row r="188" spans="40:134" x14ac:dyDescent="0.3">
      <c r="AN188" s="14"/>
      <c r="AO188" s="14"/>
      <c r="AP188" s="14"/>
      <c r="AQ188" s="14"/>
      <c r="AR188" s="14"/>
      <c r="CG188" s="14"/>
      <c r="CH188" s="14"/>
      <c r="CI188" s="14"/>
      <c r="CJ188" s="14"/>
      <c r="CK188" s="14"/>
      <c r="DZ188" s="14"/>
      <c r="EA188" s="14"/>
      <c r="EB188" s="14"/>
      <c r="EC188" s="14"/>
      <c r="ED188" s="14"/>
    </row>
    <row r="189" spans="40:134" x14ac:dyDescent="0.3">
      <c r="AN189" s="14"/>
      <c r="AO189" s="14"/>
      <c r="AP189" s="14"/>
      <c r="AQ189" s="14"/>
      <c r="AR189" s="14"/>
      <c r="CG189" s="14"/>
      <c r="CH189" s="14"/>
      <c r="CI189" s="14"/>
      <c r="CJ189" s="14"/>
      <c r="CK189" s="14"/>
      <c r="DZ189" s="14"/>
      <c r="EA189" s="14"/>
      <c r="EB189" s="14"/>
      <c r="EC189" s="14"/>
      <c r="ED189" s="14"/>
    </row>
    <row r="190" spans="40:134" x14ac:dyDescent="0.3">
      <c r="AN190" s="14"/>
      <c r="AO190" s="14"/>
      <c r="AP190" s="14"/>
      <c r="AQ190" s="14"/>
      <c r="AR190" s="14"/>
      <c r="CG190" s="14"/>
      <c r="CH190" s="14"/>
      <c r="CI190" s="14"/>
      <c r="CJ190" s="14"/>
      <c r="CK190" s="14"/>
      <c r="DZ190" s="14"/>
      <c r="EA190" s="14"/>
      <c r="EB190" s="14"/>
      <c r="EC190" s="14"/>
      <c r="ED190" s="14"/>
    </row>
    <row r="191" spans="40:134" x14ac:dyDescent="0.3">
      <c r="AN191" s="14"/>
      <c r="AO191" s="14"/>
      <c r="AP191" s="14"/>
      <c r="AQ191" s="14"/>
      <c r="AR191" s="14"/>
      <c r="CG191" s="14"/>
      <c r="CH191" s="14"/>
      <c r="CI191" s="14"/>
      <c r="CJ191" s="14"/>
      <c r="CK191" s="14"/>
      <c r="DZ191" s="14"/>
      <c r="EA191" s="14"/>
      <c r="EB191" s="14"/>
      <c r="EC191" s="14"/>
      <c r="ED191" s="14"/>
    </row>
    <row r="192" spans="40:134" x14ac:dyDescent="0.3">
      <c r="AN192" s="14"/>
      <c r="AO192" s="14"/>
      <c r="AP192" s="14"/>
      <c r="AQ192" s="14"/>
      <c r="AR192" s="14"/>
      <c r="CG192" s="14"/>
      <c r="CH192" s="14"/>
      <c r="CI192" s="14"/>
      <c r="CJ192" s="14"/>
      <c r="CK192" s="14"/>
      <c r="DZ192" s="14"/>
      <c r="EA192" s="14"/>
      <c r="EB192" s="14"/>
      <c r="EC192" s="14"/>
      <c r="ED192" s="14"/>
    </row>
    <row r="193" spans="40:134" x14ac:dyDescent="0.3">
      <c r="AN193" s="14"/>
      <c r="AO193" s="14"/>
      <c r="AP193" s="14"/>
      <c r="AQ193" s="14"/>
      <c r="AR193" s="14"/>
      <c r="CG193" s="14"/>
      <c r="CH193" s="14"/>
      <c r="CI193" s="14"/>
      <c r="CJ193" s="14"/>
      <c r="CK193" s="14"/>
      <c r="DZ193" s="14"/>
      <c r="EA193" s="14"/>
      <c r="EB193" s="14"/>
      <c r="EC193" s="14"/>
      <c r="ED193" s="14"/>
    </row>
    <row r="194" spans="40:134" x14ac:dyDescent="0.3">
      <c r="AN194" s="14"/>
      <c r="AO194" s="14"/>
      <c r="AP194" s="14"/>
      <c r="AQ194" s="14"/>
      <c r="AR194" s="14"/>
      <c r="CG194" s="14"/>
      <c r="CH194" s="14"/>
      <c r="CI194" s="14"/>
      <c r="CJ194" s="14"/>
      <c r="CK194" s="14"/>
      <c r="DZ194" s="14"/>
      <c r="EA194" s="14"/>
      <c r="EB194" s="14"/>
      <c r="EC194" s="14"/>
      <c r="ED194" s="14"/>
    </row>
    <row r="195" spans="40:134" x14ac:dyDescent="0.3">
      <c r="AN195" s="14"/>
      <c r="AO195" s="14"/>
      <c r="AP195" s="14"/>
      <c r="AQ195" s="14"/>
      <c r="AR195" s="14"/>
      <c r="CG195" s="14"/>
      <c r="CH195" s="14"/>
      <c r="CI195" s="14"/>
      <c r="CJ195" s="14"/>
      <c r="CK195" s="14"/>
      <c r="DZ195" s="14"/>
      <c r="EA195" s="14"/>
      <c r="EB195" s="14"/>
      <c r="EC195" s="14"/>
      <c r="ED195" s="14"/>
    </row>
    <row r="196" spans="40:134" x14ac:dyDescent="0.3">
      <c r="AN196" s="14"/>
      <c r="AO196" s="14"/>
      <c r="AP196" s="14"/>
      <c r="AQ196" s="14"/>
      <c r="AR196" s="14"/>
      <c r="CG196" s="14"/>
      <c r="CH196" s="14"/>
      <c r="CI196" s="14"/>
      <c r="CJ196" s="14"/>
      <c r="CK196" s="14"/>
      <c r="DZ196" s="14"/>
      <c r="EA196" s="14"/>
      <c r="EB196" s="14"/>
      <c r="EC196" s="14"/>
      <c r="ED196" s="14"/>
    </row>
    <row r="197" spans="40:134" x14ac:dyDescent="0.3">
      <c r="AN197" s="14"/>
      <c r="AO197" s="14"/>
      <c r="AP197" s="14"/>
      <c r="AQ197" s="14"/>
      <c r="AR197" s="14"/>
      <c r="CG197" s="14"/>
      <c r="CH197" s="14"/>
      <c r="CI197" s="14"/>
      <c r="CJ197" s="14"/>
      <c r="CK197" s="14"/>
      <c r="DZ197" s="14"/>
      <c r="EA197" s="14"/>
      <c r="EB197" s="14"/>
      <c r="EC197" s="14"/>
      <c r="ED197" s="14"/>
    </row>
    <row r="198" spans="40:134" x14ac:dyDescent="0.3">
      <c r="AN198" s="14"/>
      <c r="AO198" s="14"/>
      <c r="AP198" s="14"/>
      <c r="AQ198" s="14"/>
      <c r="AR198" s="14"/>
      <c r="CG198" s="14"/>
      <c r="CH198" s="14"/>
      <c r="CI198" s="14"/>
      <c r="CJ198" s="14"/>
      <c r="CK198" s="14"/>
      <c r="DZ198" s="14"/>
      <c r="EA198" s="14"/>
      <c r="EB198" s="14"/>
      <c r="EC198" s="14"/>
      <c r="ED198" s="14"/>
    </row>
    <row r="199" spans="40:134" x14ac:dyDescent="0.3">
      <c r="AN199" s="14"/>
      <c r="AO199" s="14"/>
      <c r="AP199" s="14"/>
      <c r="AQ199" s="14"/>
      <c r="AR199" s="14"/>
      <c r="CG199" s="14"/>
      <c r="CH199" s="14"/>
      <c r="CI199" s="14"/>
      <c r="CJ199" s="14"/>
      <c r="CK199" s="14"/>
      <c r="DZ199" s="14"/>
      <c r="EA199" s="14"/>
      <c r="EB199" s="14"/>
      <c r="EC199" s="14"/>
      <c r="ED199" s="14"/>
    </row>
    <row r="200" spans="40:134" x14ac:dyDescent="0.3">
      <c r="AN200" s="14"/>
      <c r="AO200" s="14"/>
      <c r="AP200" s="14"/>
      <c r="AQ200" s="14"/>
      <c r="AR200" s="14"/>
      <c r="CG200" s="14"/>
      <c r="CH200" s="14"/>
      <c r="CI200" s="14"/>
      <c r="CJ200" s="14"/>
      <c r="CK200" s="14"/>
      <c r="DZ200" s="14"/>
      <c r="EA200" s="14"/>
      <c r="EB200" s="14"/>
      <c r="EC200" s="14"/>
      <c r="ED200" s="14"/>
    </row>
    <row r="201" spans="40:134" x14ac:dyDescent="0.3">
      <c r="AN201" s="14"/>
      <c r="AO201" s="14"/>
      <c r="AP201" s="14"/>
      <c r="AQ201" s="14"/>
      <c r="AR201" s="14"/>
      <c r="CG201" s="14"/>
      <c r="CH201" s="14"/>
      <c r="CI201" s="14"/>
      <c r="CJ201" s="14"/>
      <c r="CK201" s="14"/>
      <c r="DZ201" s="14"/>
      <c r="EA201" s="14"/>
      <c r="EB201" s="14"/>
      <c r="EC201" s="14"/>
      <c r="ED201" s="14"/>
    </row>
    <row r="202" spans="40:134" x14ac:dyDescent="0.3">
      <c r="AN202" s="14"/>
      <c r="AO202" s="14"/>
      <c r="AP202" s="14"/>
      <c r="AQ202" s="14"/>
      <c r="AR202" s="14"/>
      <c r="CG202" s="14"/>
      <c r="CH202" s="14"/>
      <c r="CI202" s="14"/>
      <c r="CJ202" s="14"/>
      <c r="CK202" s="14"/>
      <c r="DZ202" s="14"/>
      <c r="EA202" s="14"/>
      <c r="EB202" s="14"/>
      <c r="EC202" s="14"/>
      <c r="ED202" s="14"/>
    </row>
    <row r="203" spans="40:134" x14ac:dyDescent="0.3">
      <c r="AN203" s="14"/>
      <c r="AO203" s="14"/>
      <c r="AP203" s="14"/>
      <c r="AQ203" s="14"/>
      <c r="AR203" s="14"/>
      <c r="CG203" s="14"/>
      <c r="CH203" s="14"/>
      <c r="CI203" s="14"/>
      <c r="CJ203" s="14"/>
      <c r="CK203" s="14"/>
      <c r="DZ203" s="14"/>
      <c r="EA203" s="14"/>
      <c r="EB203" s="14"/>
      <c r="EC203" s="14"/>
      <c r="ED203" s="14"/>
    </row>
    <row r="204" spans="40:134" x14ac:dyDescent="0.3">
      <c r="AN204" s="14"/>
      <c r="AO204" s="14"/>
      <c r="AP204" s="14"/>
      <c r="AQ204" s="14"/>
      <c r="AR204" s="14"/>
      <c r="CG204" s="14"/>
      <c r="CH204" s="14"/>
      <c r="CI204" s="14"/>
      <c r="CJ204" s="14"/>
      <c r="CK204" s="14"/>
      <c r="DZ204" s="14"/>
      <c r="EA204" s="14"/>
      <c r="EB204" s="14"/>
      <c r="EC204" s="14"/>
      <c r="ED204" s="14"/>
    </row>
    <row r="205" spans="40:134" x14ac:dyDescent="0.3">
      <c r="AN205" s="14"/>
      <c r="AO205" s="14"/>
      <c r="AP205" s="14"/>
      <c r="AQ205" s="14"/>
      <c r="AR205" s="14"/>
      <c r="CG205" s="14"/>
      <c r="CH205" s="14"/>
      <c r="CI205" s="14"/>
      <c r="CJ205" s="14"/>
      <c r="CK205" s="14"/>
      <c r="DZ205" s="14"/>
      <c r="EA205" s="14"/>
      <c r="EB205" s="14"/>
      <c r="EC205" s="14"/>
      <c r="ED205" s="14"/>
    </row>
    <row r="206" spans="40:134" x14ac:dyDescent="0.3">
      <c r="AN206" s="14"/>
      <c r="AO206" s="14"/>
      <c r="AP206" s="14"/>
      <c r="AQ206" s="14"/>
      <c r="AR206" s="14"/>
      <c r="CG206" s="14"/>
      <c r="CH206" s="14"/>
      <c r="CI206" s="14"/>
      <c r="CJ206" s="14"/>
      <c r="CK206" s="14"/>
      <c r="DZ206" s="14"/>
      <c r="EA206" s="14"/>
      <c r="EB206" s="14"/>
      <c r="EC206" s="14"/>
      <c r="ED206" s="14"/>
    </row>
    <row r="207" spans="40:134" x14ac:dyDescent="0.3">
      <c r="AN207" s="14"/>
      <c r="AO207" s="14"/>
      <c r="AP207" s="14"/>
      <c r="AQ207" s="14"/>
      <c r="AR207" s="14"/>
      <c r="CG207" s="14"/>
      <c r="CH207" s="14"/>
      <c r="CI207" s="14"/>
      <c r="CJ207" s="14"/>
      <c r="CK207" s="14"/>
      <c r="DZ207" s="14"/>
      <c r="EA207" s="14"/>
      <c r="EB207" s="14"/>
      <c r="EC207" s="14"/>
      <c r="ED207" s="14"/>
    </row>
    <row r="208" spans="40:134" x14ac:dyDescent="0.3">
      <c r="AN208" s="14"/>
      <c r="AO208" s="14"/>
      <c r="AP208" s="14"/>
      <c r="AQ208" s="14"/>
      <c r="AR208" s="14"/>
      <c r="CG208" s="14"/>
      <c r="CH208" s="14"/>
      <c r="CI208" s="14"/>
      <c r="CJ208" s="14"/>
      <c r="CK208" s="14"/>
      <c r="DZ208" s="14"/>
      <c r="EA208" s="14"/>
      <c r="EB208" s="14"/>
      <c r="EC208" s="14"/>
      <c r="ED208" s="14"/>
    </row>
    <row r="209" spans="40:134" x14ac:dyDescent="0.3">
      <c r="AN209" s="14"/>
      <c r="AO209" s="14"/>
      <c r="AP209" s="14"/>
      <c r="AQ209" s="14"/>
      <c r="AR209" s="14"/>
      <c r="CG209" s="14"/>
      <c r="CH209" s="14"/>
      <c r="CI209" s="14"/>
      <c r="CJ209" s="14"/>
      <c r="CK209" s="14"/>
      <c r="DZ209" s="14"/>
      <c r="EA209" s="14"/>
      <c r="EB209" s="14"/>
      <c r="EC209" s="14"/>
      <c r="ED209" s="14"/>
    </row>
    <row r="210" spans="40:134" x14ac:dyDescent="0.3">
      <c r="AN210" s="14"/>
      <c r="AO210" s="14"/>
      <c r="AP210" s="14"/>
      <c r="AQ210" s="14"/>
      <c r="AR210" s="14"/>
      <c r="CG210" s="14"/>
      <c r="CH210" s="14"/>
      <c r="CI210" s="14"/>
      <c r="CJ210" s="14"/>
      <c r="CK210" s="14"/>
      <c r="DZ210" s="14"/>
      <c r="EA210" s="14"/>
      <c r="EB210" s="14"/>
      <c r="EC210" s="14"/>
      <c r="ED210" s="14"/>
    </row>
    <row r="211" spans="40:134" x14ac:dyDescent="0.3">
      <c r="AN211" s="14"/>
      <c r="AO211" s="14"/>
      <c r="AP211" s="14"/>
      <c r="AQ211" s="14"/>
      <c r="AR211" s="14"/>
      <c r="CG211" s="14"/>
      <c r="CH211" s="14"/>
      <c r="CI211" s="14"/>
      <c r="CJ211" s="14"/>
      <c r="CK211" s="14"/>
      <c r="DZ211" s="14"/>
      <c r="EA211" s="14"/>
      <c r="EB211" s="14"/>
      <c r="EC211" s="14"/>
      <c r="ED211" s="14"/>
    </row>
    <row r="212" spans="40:134" x14ac:dyDescent="0.3">
      <c r="AN212" s="14"/>
      <c r="AO212" s="14"/>
      <c r="AP212" s="14"/>
      <c r="AQ212" s="14"/>
      <c r="AR212" s="14"/>
      <c r="CG212" s="14"/>
      <c r="CH212" s="14"/>
      <c r="CI212" s="14"/>
      <c r="CJ212" s="14"/>
      <c r="CK212" s="14"/>
      <c r="DZ212" s="14"/>
      <c r="EA212" s="14"/>
      <c r="EB212" s="14"/>
      <c r="EC212" s="14"/>
      <c r="ED212" s="14"/>
    </row>
    <row r="213" spans="40:134" x14ac:dyDescent="0.3">
      <c r="AN213" s="14"/>
      <c r="AO213" s="14"/>
      <c r="AP213" s="14"/>
      <c r="AQ213" s="14"/>
      <c r="AR213" s="14"/>
      <c r="CG213" s="14"/>
      <c r="CH213" s="14"/>
      <c r="CI213" s="14"/>
      <c r="CJ213" s="14"/>
      <c r="CK213" s="14"/>
      <c r="DZ213" s="14"/>
      <c r="EA213" s="14"/>
      <c r="EB213" s="14"/>
      <c r="EC213" s="14"/>
      <c r="ED213" s="14"/>
    </row>
    <row r="214" spans="40:134" x14ac:dyDescent="0.3">
      <c r="AN214" s="14"/>
      <c r="AO214" s="14"/>
      <c r="AP214" s="14"/>
      <c r="AQ214" s="14"/>
      <c r="AR214" s="14"/>
      <c r="CG214" s="14"/>
      <c r="CH214" s="14"/>
      <c r="CI214" s="14"/>
      <c r="CJ214" s="14"/>
      <c r="CK214" s="14"/>
      <c r="DZ214" s="14"/>
      <c r="EA214" s="14"/>
      <c r="EB214" s="14"/>
      <c r="EC214" s="14"/>
      <c r="ED214" s="14"/>
    </row>
    <row r="215" spans="40:134" x14ac:dyDescent="0.3">
      <c r="AN215" s="14"/>
      <c r="AO215" s="14"/>
      <c r="AP215" s="14"/>
      <c r="AQ215" s="14"/>
      <c r="AR215" s="14"/>
      <c r="CG215" s="14"/>
      <c r="CH215" s="14"/>
      <c r="CI215" s="14"/>
      <c r="CJ215" s="14"/>
      <c r="CK215" s="14"/>
      <c r="DZ215" s="14"/>
      <c r="EA215" s="14"/>
      <c r="EB215" s="14"/>
      <c r="EC215" s="14"/>
      <c r="ED215" s="14"/>
    </row>
    <row r="216" spans="40:134" x14ac:dyDescent="0.3">
      <c r="AN216" s="14"/>
      <c r="AO216" s="14"/>
      <c r="AP216" s="14"/>
      <c r="AQ216" s="14"/>
      <c r="AR216" s="14"/>
      <c r="CG216" s="14"/>
      <c r="CH216" s="14"/>
      <c r="CI216" s="14"/>
      <c r="CJ216" s="14"/>
      <c r="CK216" s="14"/>
      <c r="DZ216" s="14"/>
      <c r="EA216" s="14"/>
      <c r="EB216" s="14"/>
      <c r="EC216" s="14"/>
      <c r="ED216" s="14"/>
    </row>
    <row r="217" spans="40:134" x14ac:dyDescent="0.3">
      <c r="AN217" s="14"/>
      <c r="AO217" s="14"/>
      <c r="AP217" s="14"/>
      <c r="AQ217" s="14"/>
      <c r="AR217" s="14"/>
      <c r="CG217" s="14"/>
      <c r="CH217" s="14"/>
      <c r="CI217" s="14"/>
      <c r="CJ217" s="14"/>
      <c r="CK217" s="14"/>
      <c r="DZ217" s="14"/>
      <c r="EA217" s="14"/>
      <c r="EB217" s="14"/>
      <c r="EC217" s="14"/>
      <c r="ED217" s="14"/>
    </row>
    <row r="218" spans="40:134" x14ac:dyDescent="0.3">
      <c r="AN218" s="14"/>
      <c r="AO218" s="14"/>
      <c r="AP218" s="14"/>
      <c r="AQ218" s="14"/>
      <c r="AR218" s="14"/>
      <c r="CG218" s="14"/>
      <c r="CH218" s="14"/>
      <c r="CI218" s="14"/>
      <c r="CJ218" s="14"/>
      <c r="CK218" s="14"/>
      <c r="DZ218" s="14"/>
      <c r="EA218" s="14"/>
      <c r="EB218" s="14"/>
      <c r="EC218" s="14"/>
      <c r="ED218" s="14"/>
    </row>
    <row r="219" spans="40:134" x14ac:dyDescent="0.3">
      <c r="AN219" s="14"/>
      <c r="AO219" s="14"/>
      <c r="AP219" s="14"/>
      <c r="AQ219" s="14"/>
      <c r="AR219" s="14"/>
      <c r="CG219" s="14"/>
      <c r="CH219" s="14"/>
      <c r="CI219" s="14"/>
      <c r="CJ219" s="14"/>
      <c r="CK219" s="14"/>
      <c r="DZ219" s="14"/>
      <c r="EA219" s="14"/>
      <c r="EB219" s="14"/>
      <c r="EC219" s="14"/>
      <c r="ED219" s="14"/>
    </row>
    <row r="220" spans="40:134" x14ac:dyDescent="0.3">
      <c r="AN220" s="14"/>
      <c r="AO220" s="14"/>
      <c r="AP220" s="14"/>
      <c r="AQ220" s="14"/>
      <c r="AR220" s="14"/>
      <c r="CG220" s="14"/>
      <c r="CH220" s="14"/>
      <c r="CI220" s="14"/>
      <c r="CJ220" s="14"/>
      <c r="CK220" s="14"/>
      <c r="DZ220" s="14"/>
      <c r="EA220" s="14"/>
      <c r="EB220" s="14"/>
      <c r="EC220" s="14"/>
      <c r="ED220" s="14"/>
    </row>
    <row r="221" spans="40:134" x14ac:dyDescent="0.3">
      <c r="AN221" s="14"/>
      <c r="AO221" s="14"/>
      <c r="AP221" s="14"/>
      <c r="AQ221" s="14"/>
      <c r="AR221" s="14"/>
      <c r="CG221" s="14"/>
      <c r="CH221" s="14"/>
      <c r="CI221" s="14"/>
      <c r="CJ221" s="14"/>
      <c r="CK221" s="14"/>
      <c r="DZ221" s="14"/>
      <c r="EA221" s="14"/>
      <c r="EB221" s="14"/>
      <c r="EC221" s="14"/>
      <c r="ED221" s="14"/>
    </row>
    <row r="222" spans="40:134" x14ac:dyDescent="0.3">
      <c r="AN222" s="14"/>
      <c r="AO222" s="14"/>
      <c r="AP222" s="14"/>
      <c r="AQ222" s="14"/>
      <c r="AR222" s="14"/>
      <c r="CG222" s="14"/>
      <c r="CH222" s="14"/>
      <c r="CI222" s="14"/>
      <c r="CJ222" s="14"/>
      <c r="CK222" s="14"/>
      <c r="DZ222" s="14"/>
      <c r="EA222" s="14"/>
      <c r="EB222" s="14"/>
      <c r="EC222" s="14"/>
      <c r="ED222" s="14"/>
    </row>
    <row r="223" spans="40:134" x14ac:dyDescent="0.3">
      <c r="AN223" s="14"/>
      <c r="AO223" s="14"/>
      <c r="AP223" s="14"/>
      <c r="AQ223" s="14"/>
      <c r="AR223" s="14"/>
      <c r="CG223" s="14"/>
      <c r="CH223" s="14"/>
      <c r="CI223" s="14"/>
      <c r="CJ223" s="14"/>
      <c r="CK223" s="14"/>
      <c r="DZ223" s="14"/>
      <c r="EA223" s="14"/>
      <c r="EB223" s="14"/>
      <c r="EC223" s="14"/>
      <c r="ED223" s="14"/>
    </row>
    <row r="224" spans="40:134" x14ac:dyDescent="0.3">
      <c r="AN224" s="14"/>
      <c r="AO224" s="14"/>
      <c r="AP224" s="14"/>
      <c r="AQ224" s="14"/>
      <c r="AR224" s="14"/>
      <c r="CG224" s="14"/>
      <c r="CH224" s="14"/>
      <c r="CI224" s="14"/>
      <c r="CJ224" s="14"/>
      <c r="CK224" s="14"/>
      <c r="DZ224" s="14"/>
      <c r="EA224" s="14"/>
      <c r="EB224" s="14"/>
      <c r="EC224" s="14"/>
      <c r="ED224" s="14"/>
    </row>
    <row r="225" spans="40:134" x14ac:dyDescent="0.3">
      <c r="AN225" s="14"/>
      <c r="AO225" s="14"/>
      <c r="AP225" s="14"/>
      <c r="AQ225" s="14"/>
      <c r="AR225" s="14"/>
      <c r="CG225" s="14"/>
      <c r="CH225" s="14"/>
      <c r="CI225" s="14"/>
      <c r="CJ225" s="14"/>
      <c r="CK225" s="14"/>
      <c r="DZ225" s="14"/>
      <c r="EA225" s="14"/>
      <c r="EB225" s="14"/>
      <c r="EC225" s="14"/>
      <c r="ED225" s="14"/>
    </row>
    <row r="226" spans="40:134" x14ac:dyDescent="0.3">
      <c r="AN226" s="14"/>
      <c r="AO226" s="14"/>
      <c r="AP226" s="14"/>
      <c r="AQ226" s="14"/>
      <c r="AR226" s="14"/>
      <c r="CG226" s="14"/>
      <c r="CH226" s="14"/>
      <c r="CI226" s="14"/>
      <c r="CJ226" s="14"/>
      <c r="CK226" s="14"/>
      <c r="DZ226" s="14"/>
      <c r="EA226" s="14"/>
      <c r="EB226" s="14"/>
      <c r="EC226" s="14"/>
      <c r="ED226" s="14"/>
    </row>
    <row r="227" spans="40:134" x14ac:dyDescent="0.3">
      <c r="AN227" s="14"/>
      <c r="AO227" s="14"/>
      <c r="AP227" s="14"/>
      <c r="AQ227" s="14"/>
      <c r="AR227" s="14"/>
      <c r="CG227" s="14"/>
      <c r="CH227" s="14"/>
      <c r="CI227" s="14"/>
      <c r="CJ227" s="14"/>
      <c r="CK227" s="14"/>
      <c r="DZ227" s="14"/>
      <c r="EA227" s="14"/>
      <c r="EB227" s="14"/>
      <c r="EC227" s="14"/>
      <c r="ED227" s="14"/>
    </row>
    <row r="228" spans="40:134" x14ac:dyDescent="0.3">
      <c r="AN228" s="14"/>
      <c r="AO228" s="14"/>
      <c r="AP228" s="14"/>
      <c r="AQ228" s="14"/>
      <c r="AR228" s="14"/>
      <c r="CG228" s="14"/>
      <c r="CH228" s="14"/>
      <c r="CI228" s="14"/>
      <c r="CJ228" s="14"/>
      <c r="CK228" s="14"/>
      <c r="DZ228" s="14"/>
      <c r="EA228" s="14"/>
      <c r="EB228" s="14"/>
      <c r="EC228" s="14"/>
      <c r="ED228" s="14"/>
    </row>
    <row r="229" spans="40:134" x14ac:dyDescent="0.3">
      <c r="AN229" s="14"/>
      <c r="AO229" s="14"/>
      <c r="AP229" s="14"/>
      <c r="AQ229" s="14"/>
      <c r="AR229" s="14"/>
      <c r="CG229" s="14"/>
      <c r="CH229" s="14"/>
      <c r="CI229" s="14"/>
      <c r="CJ229" s="14"/>
      <c r="CK229" s="14"/>
      <c r="DZ229" s="14"/>
      <c r="EA229" s="14"/>
      <c r="EB229" s="14"/>
      <c r="EC229" s="14"/>
      <c r="ED229" s="14"/>
    </row>
    <row r="230" spans="40:134" x14ac:dyDescent="0.3">
      <c r="AN230" s="14"/>
      <c r="AO230" s="14"/>
      <c r="AP230" s="14"/>
      <c r="AQ230" s="14"/>
      <c r="AR230" s="14"/>
      <c r="CG230" s="14"/>
      <c r="CH230" s="14"/>
      <c r="CI230" s="14"/>
      <c r="CJ230" s="14"/>
      <c r="CK230" s="14"/>
      <c r="DZ230" s="14"/>
      <c r="EA230" s="14"/>
      <c r="EB230" s="14"/>
      <c r="EC230" s="14"/>
      <c r="ED230" s="14"/>
    </row>
    <row r="231" spans="40:134" x14ac:dyDescent="0.3">
      <c r="AN231" s="14"/>
      <c r="AO231" s="14"/>
      <c r="AP231" s="14"/>
      <c r="AQ231" s="14"/>
      <c r="AR231" s="14"/>
      <c r="CG231" s="14"/>
      <c r="CH231" s="14"/>
      <c r="CI231" s="14"/>
      <c r="CJ231" s="14"/>
      <c r="CK231" s="14"/>
      <c r="DZ231" s="14"/>
      <c r="EA231" s="14"/>
      <c r="EB231" s="14"/>
      <c r="EC231" s="14"/>
      <c r="ED231" s="14"/>
    </row>
    <row r="232" spans="40:134" x14ac:dyDescent="0.3">
      <c r="AN232" s="14"/>
      <c r="AO232" s="14"/>
      <c r="AP232" s="14"/>
      <c r="AQ232" s="14"/>
      <c r="AR232" s="14"/>
      <c r="CG232" s="14"/>
      <c r="CH232" s="14"/>
      <c r="CI232" s="14"/>
      <c r="CJ232" s="14"/>
      <c r="CK232" s="14"/>
      <c r="DZ232" s="14"/>
      <c r="EA232" s="14"/>
      <c r="EB232" s="14"/>
      <c r="EC232" s="14"/>
      <c r="ED232" s="14"/>
    </row>
    <row r="233" spans="40:134" x14ac:dyDescent="0.3">
      <c r="AN233" s="14"/>
      <c r="AO233" s="14"/>
      <c r="AP233" s="14"/>
      <c r="AQ233" s="14"/>
      <c r="AR233" s="14"/>
      <c r="CG233" s="14"/>
      <c r="CH233" s="14"/>
      <c r="CI233" s="14"/>
      <c r="CJ233" s="14"/>
      <c r="CK233" s="14"/>
      <c r="DZ233" s="14"/>
      <c r="EA233" s="14"/>
      <c r="EB233" s="14"/>
      <c r="EC233" s="14"/>
      <c r="ED233" s="14"/>
    </row>
    <row r="234" spans="40:134" x14ac:dyDescent="0.3">
      <c r="AN234" s="14"/>
      <c r="AO234" s="14"/>
      <c r="AP234" s="14"/>
      <c r="AQ234" s="14"/>
      <c r="AR234" s="14"/>
      <c r="CG234" s="14"/>
      <c r="CH234" s="14"/>
      <c r="CI234" s="14"/>
      <c r="CJ234" s="14"/>
      <c r="CK234" s="14"/>
      <c r="DZ234" s="14"/>
      <c r="EA234" s="14"/>
      <c r="EB234" s="14"/>
      <c r="EC234" s="14"/>
      <c r="ED234" s="14"/>
    </row>
    <row r="235" spans="40:134" x14ac:dyDescent="0.3">
      <c r="AN235" s="14"/>
      <c r="AO235" s="14"/>
      <c r="AP235" s="14"/>
      <c r="AQ235" s="14"/>
      <c r="AR235" s="14"/>
      <c r="CG235" s="14"/>
      <c r="CH235" s="14"/>
      <c r="CI235" s="14"/>
      <c r="CJ235" s="14"/>
      <c r="CK235" s="14"/>
      <c r="DZ235" s="14"/>
      <c r="EA235" s="14"/>
      <c r="EB235" s="14"/>
      <c r="EC235" s="14"/>
      <c r="ED235" s="14"/>
    </row>
    <row r="236" spans="40:134" x14ac:dyDescent="0.3">
      <c r="AN236" s="14"/>
      <c r="AO236" s="14"/>
      <c r="AP236" s="14"/>
      <c r="AQ236" s="14"/>
      <c r="AR236" s="14"/>
      <c r="CG236" s="14"/>
      <c r="CH236" s="14"/>
      <c r="CI236" s="14"/>
      <c r="CJ236" s="14"/>
      <c r="CK236" s="14"/>
      <c r="DZ236" s="14"/>
      <c r="EA236" s="14"/>
      <c r="EB236" s="14"/>
      <c r="EC236" s="14"/>
      <c r="ED236" s="14"/>
    </row>
    <row r="237" spans="40:134" x14ac:dyDescent="0.3">
      <c r="AN237" s="14"/>
      <c r="AO237" s="14"/>
      <c r="AP237" s="14"/>
      <c r="AQ237" s="14"/>
      <c r="AR237" s="14"/>
      <c r="CG237" s="14"/>
      <c r="CH237" s="14"/>
      <c r="CI237" s="14"/>
      <c r="CJ237" s="14"/>
      <c r="CK237" s="14"/>
      <c r="DZ237" s="14"/>
      <c r="EA237" s="14"/>
      <c r="EB237" s="14"/>
      <c r="EC237" s="14"/>
      <c r="ED237" s="14"/>
    </row>
    <row r="238" spans="40:134" x14ac:dyDescent="0.3">
      <c r="AN238" s="14"/>
      <c r="AO238" s="14"/>
      <c r="AP238" s="14"/>
      <c r="AQ238" s="14"/>
      <c r="AR238" s="14"/>
      <c r="CG238" s="14"/>
      <c r="CH238" s="14"/>
      <c r="CI238" s="14"/>
      <c r="CJ238" s="14"/>
      <c r="CK238" s="14"/>
      <c r="DZ238" s="14"/>
      <c r="EA238" s="14"/>
      <c r="EB238" s="14"/>
      <c r="EC238" s="14"/>
      <c r="ED238" s="14"/>
    </row>
    <row r="239" spans="40:134" x14ac:dyDescent="0.3">
      <c r="AN239" s="14"/>
      <c r="AO239" s="14"/>
      <c r="AP239" s="14"/>
      <c r="AQ239" s="14"/>
      <c r="AR239" s="14"/>
      <c r="CG239" s="14"/>
      <c r="CH239" s="14"/>
      <c r="CI239" s="14"/>
      <c r="CJ239" s="14"/>
      <c r="CK239" s="14"/>
      <c r="DZ239" s="14"/>
      <c r="EA239" s="14"/>
      <c r="EB239" s="14"/>
      <c r="EC239" s="14"/>
      <c r="ED239" s="14"/>
    </row>
    <row r="240" spans="40:134" x14ac:dyDescent="0.3">
      <c r="AN240" s="14"/>
      <c r="AO240" s="14"/>
      <c r="AP240" s="14"/>
      <c r="AQ240" s="14"/>
      <c r="AR240" s="14"/>
      <c r="CG240" s="14"/>
      <c r="CH240" s="14"/>
      <c r="CI240" s="14"/>
      <c r="CJ240" s="14"/>
      <c r="CK240" s="14"/>
      <c r="DZ240" s="14"/>
      <c r="EA240" s="14"/>
      <c r="EB240" s="14"/>
      <c r="EC240" s="14"/>
      <c r="ED240" s="14"/>
    </row>
    <row r="241" spans="40:134" x14ac:dyDescent="0.3">
      <c r="AN241" s="14"/>
      <c r="AO241" s="14"/>
      <c r="AP241" s="14"/>
      <c r="AQ241" s="14"/>
      <c r="AR241" s="14"/>
      <c r="CG241" s="14"/>
      <c r="CH241" s="14"/>
      <c r="CI241" s="14"/>
      <c r="CJ241" s="14"/>
      <c r="CK241" s="14"/>
      <c r="DZ241" s="14"/>
      <c r="EA241" s="14"/>
      <c r="EB241" s="14"/>
      <c r="EC241" s="14"/>
      <c r="ED241" s="14"/>
    </row>
    <row r="242" spans="40:134" x14ac:dyDescent="0.3">
      <c r="AN242" s="14"/>
      <c r="AO242" s="14"/>
      <c r="AP242" s="14"/>
      <c r="AQ242" s="14"/>
      <c r="AR242" s="14"/>
      <c r="CG242" s="14"/>
      <c r="CH242" s="14"/>
      <c r="CI242" s="14"/>
      <c r="CJ242" s="14"/>
      <c r="CK242" s="14"/>
      <c r="DZ242" s="14"/>
      <c r="EA242" s="14"/>
      <c r="EB242" s="14"/>
      <c r="EC242" s="14"/>
      <c r="ED242" s="14"/>
    </row>
    <row r="243" spans="40:134" x14ac:dyDescent="0.3">
      <c r="AN243" s="14"/>
      <c r="AO243" s="14"/>
      <c r="AP243" s="14"/>
      <c r="AQ243" s="14"/>
      <c r="AR243" s="14"/>
      <c r="CG243" s="14"/>
      <c r="CH243" s="14"/>
      <c r="CI243" s="14"/>
      <c r="CJ243" s="14"/>
      <c r="CK243" s="14"/>
      <c r="DZ243" s="14"/>
      <c r="EA243" s="14"/>
      <c r="EB243" s="14"/>
      <c r="EC243" s="14"/>
      <c r="ED243" s="14"/>
    </row>
    <row r="244" spans="40:134" x14ac:dyDescent="0.3">
      <c r="AN244" s="14"/>
      <c r="AO244" s="14"/>
      <c r="AP244" s="14"/>
      <c r="AQ244" s="14"/>
      <c r="AR244" s="14"/>
      <c r="CG244" s="14"/>
      <c r="CH244" s="14"/>
      <c r="CI244" s="14"/>
      <c r="CJ244" s="14"/>
      <c r="CK244" s="14"/>
      <c r="DZ244" s="14"/>
      <c r="EA244" s="14"/>
      <c r="EB244" s="14"/>
      <c r="EC244" s="14"/>
      <c r="ED244" s="14"/>
    </row>
    <row r="245" spans="40:134" x14ac:dyDescent="0.3">
      <c r="AN245" s="14"/>
      <c r="AO245" s="14"/>
      <c r="AP245" s="14"/>
      <c r="AQ245" s="14"/>
      <c r="AR245" s="14"/>
      <c r="CG245" s="14"/>
      <c r="CH245" s="14"/>
      <c r="CI245" s="14"/>
      <c r="CJ245" s="14"/>
      <c r="CK245" s="14"/>
      <c r="DZ245" s="14"/>
      <c r="EA245" s="14"/>
      <c r="EB245" s="14"/>
      <c r="EC245" s="14"/>
      <c r="ED245" s="14"/>
    </row>
    <row r="246" spans="40:134" x14ac:dyDescent="0.3">
      <c r="AN246" s="14"/>
      <c r="AO246" s="14"/>
      <c r="AP246" s="14"/>
      <c r="AQ246" s="14"/>
      <c r="AR246" s="14"/>
      <c r="CG246" s="14"/>
      <c r="CH246" s="14"/>
      <c r="CI246" s="14"/>
      <c r="CJ246" s="14"/>
      <c r="CK246" s="14"/>
      <c r="DZ246" s="14"/>
      <c r="EA246" s="14"/>
      <c r="EB246" s="14"/>
      <c r="EC246" s="14"/>
      <c r="ED246" s="14"/>
    </row>
    <row r="247" spans="40:134" x14ac:dyDescent="0.3">
      <c r="AN247" s="14"/>
      <c r="AO247" s="14"/>
      <c r="AP247" s="14"/>
      <c r="AQ247" s="14"/>
      <c r="AR247" s="14"/>
      <c r="CG247" s="14"/>
      <c r="CH247" s="14"/>
      <c r="CI247" s="14"/>
      <c r="CJ247" s="14"/>
      <c r="CK247" s="14"/>
      <c r="DZ247" s="14"/>
      <c r="EA247" s="14"/>
      <c r="EB247" s="14"/>
      <c r="EC247" s="14"/>
      <c r="ED247" s="14"/>
    </row>
    <row r="248" spans="40:134" x14ac:dyDescent="0.3">
      <c r="AN248" s="14"/>
      <c r="AO248" s="14"/>
      <c r="AP248" s="14"/>
      <c r="AQ248" s="14"/>
      <c r="AR248" s="14"/>
      <c r="CG248" s="14"/>
      <c r="CH248" s="14"/>
      <c r="CI248" s="14"/>
      <c r="CJ248" s="14"/>
      <c r="CK248" s="14"/>
      <c r="DZ248" s="14"/>
      <c r="EA248" s="14"/>
      <c r="EB248" s="14"/>
      <c r="EC248" s="14"/>
      <c r="ED248" s="14"/>
    </row>
    <row r="249" spans="40:134" x14ac:dyDescent="0.3">
      <c r="AN249" s="14"/>
      <c r="AO249" s="14"/>
      <c r="AP249" s="14"/>
      <c r="AQ249" s="14"/>
      <c r="AR249" s="14"/>
      <c r="CG249" s="14"/>
      <c r="CH249" s="14"/>
      <c r="CI249" s="14"/>
      <c r="CJ249" s="14"/>
      <c r="CK249" s="14"/>
      <c r="DZ249" s="14"/>
      <c r="EA249" s="14"/>
      <c r="EB249" s="14"/>
      <c r="EC249" s="14"/>
      <c r="ED249" s="14"/>
    </row>
    <row r="250" spans="40:134" x14ac:dyDescent="0.3">
      <c r="AN250" s="14"/>
      <c r="AO250" s="14"/>
      <c r="AP250" s="14"/>
      <c r="AQ250" s="14"/>
      <c r="AR250" s="14"/>
      <c r="CG250" s="14"/>
      <c r="CH250" s="14"/>
      <c r="CI250" s="14"/>
      <c r="CJ250" s="14"/>
      <c r="CK250" s="14"/>
      <c r="DZ250" s="14"/>
      <c r="EA250" s="14"/>
      <c r="EB250" s="14"/>
      <c r="EC250" s="14"/>
      <c r="ED250" s="14"/>
    </row>
    <row r="251" spans="40:134" x14ac:dyDescent="0.3">
      <c r="AN251" s="14"/>
      <c r="AO251" s="14"/>
      <c r="AP251" s="14"/>
      <c r="AQ251" s="14"/>
      <c r="AR251" s="14"/>
      <c r="CG251" s="14"/>
      <c r="CH251" s="14"/>
      <c r="CI251" s="14"/>
      <c r="CJ251" s="14"/>
      <c r="CK251" s="14"/>
      <c r="DZ251" s="14"/>
      <c r="EA251" s="14"/>
      <c r="EB251" s="14"/>
      <c r="EC251" s="14"/>
      <c r="ED251" s="14"/>
    </row>
    <row r="252" spans="40:134" x14ac:dyDescent="0.3">
      <c r="AN252" s="14"/>
      <c r="AO252" s="14"/>
      <c r="AP252" s="14"/>
      <c r="AQ252" s="14"/>
      <c r="AR252" s="14"/>
      <c r="CG252" s="14"/>
      <c r="CH252" s="14"/>
      <c r="CI252" s="14"/>
      <c r="CJ252" s="14"/>
      <c r="CK252" s="14"/>
      <c r="DZ252" s="14"/>
      <c r="EA252" s="14"/>
      <c r="EB252" s="14"/>
      <c r="EC252" s="14"/>
      <c r="ED252" s="14"/>
    </row>
    <row r="253" spans="40:134" x14ac:dyDescent="0.3">
      <c r="AN253" s="14"/>
      <c r="AO253" s="14"/>
      <c r="AP253" s="14"/>
      <c r="AQ253" s="14"/>
      <c r="AR253" s="14"/>
      <c r="CG253" s="14"/>
      <c r="CH253" s="14"/>
      <c r="CI253" s="14"/>
      <c r="CJ253" s="14"/>
      <c r="CK253" s="14"/>
      <c r="DZ253" s="14"/>
      <c r="EA253" s="14"/>
      <c r="EB253" s="14"/>
      <c r="EC253" s="14"/>
      <c r="ED253" s="14"/>
    </row>
    <row r="254" spans="40:134" x14ac:dyDescent="0.3">
      <c r="AN254" s="14"/>
      <c r="AO254" s="14"/>
      <c r="AP254" s="14"/>
      <c r="AQ254" s="14"/>
      <c r="AR254" s="14"/>
      <c r="CG254" s="14"/>
      <c r="CH254" s="14"/>
      <c r="CI254" s="14"/>
      <c r="CJ254" s="14"/>
      <c r="CK254" s="14"/>
      <c r="DZ254" s="14"/>
      <c r="EA254" s="14"/>
      <c r="EB254" s="14"/>
      <c r="EC254" s="14"/>
      <c r="ED254" s="14"/>
    </row>
    <row r="255" spans="40:134" x14ac:dyDescent="0.3">
      <c r="AN255" s="14"/>
      <c r="AO255" s="14"/>
      <c r="AP255" s="14"/>
      <c r="AQ255" s="14"/>
      <c r="AR255" s="14"/>
      <c r="CG255" s="14"/>
      <c r="CH255" s="14"/>
      <c r="CI255" s="14"/>
      <c r="CJ255" s="14"/>
      <c r="CK255" s="14"/>
      <c r="DZ255" s="14"/>
      <c r="EA255" s="14"/>
      <c r="EB255" s="14"/>
      <c r="EC255" s="14"/>
      <c r="ED255" s="14"/>
    </row>
    <row r="256" spans="40:134" x14ac:dyDescent="0.3">
      <c r="AN256" s="14"/>
      <c r="AO256" s="14"/>
      <c r="AP256" s="14"/>
      <c r="AQ256" s="14"/>
      <c r="AR256" s="14"/>
      <c r="CG256" s="14"/>
      <c r="CH256" s="14"/>
      <c r="CI256" s="14"/>
      <c r="CJ256" s="14"/>
      <c r="CK256" s="14"/>
      <c r="DZ256" s="14"/>
      <c r="EA256" s="14"/>
      <c r="EB256" s="14"/>
      <c r="EC256" s="14"/>
      <c r="ED256" s="14"/>
    </row>
    <row r="257" spans="40:134" x14ac:dyDescent="0.3">
      <c r="AN257" s="14"/>
      <c r="AO257" s="14"/>
      <c r="AP257" s="14"/>
      <c r="AQ257" s="14"/>
      <c r="AR257" s="14"/>
      <c r="CG257" s="14"/>
      <c r="CH257" s="14"/>
      <c r="CI257" s="14"/>
      <c r="CJ257" s="14"/>
      <c r="CK257" s="14"/>
      <c r="DZ257" s="14"/>
      <c r="EA257" s="14"/>
      <c r="EB257" s="14"/>
      <c r="EC257" s="14"/>
      <c r="ED257" s="14"/>
    </row>
    <row r="258" spans="40:134" x14ac:dyDescent="0.3">
      <c r="AN258" s="14"/>
      <c r="AO258" s="14"/>
      <c r="AP258" s="14"/>
      <c r="AQ258" s="14"/>
      <c r="AR258" s="14"/>
      <c r="CG258" s="14"/>
      <c r="CH258" s="14"/>
      <c r="CI258" s="14"/>
      <c r="CJ258" s="14"/>
      <c r="CK258" s="14"/>
      <c r="DZ258" s="14"/>
      <c r="EA258" s="14"/>
      <c r="EB258" s="14"/>
      <c r="EC258" s="14"/>
      <c r="ED258" s="14"/>
    </row>
    <row r="259" spans="40:134" x14ac:dyDescent="0.3">
      <c r="AN259" s="14"/>
      <c r="AO259" s="14"/>
      <c r="AP259" s="14"/>
      <c r="AQ259" s="14"/>
      <c r="AR259" s="14"/>
      <c r="CG259" s="14"/>
      <c r="CH259" s="14"/>
      <c r="CI259" s="14"/>
      <c r="CJ259" s="14"/>
      <c r="CK259" s="14"/>
      <c r="DZ259" s="14"/>
      <c r="EA259" s="14"/>
      <c r="EB259" s="14"/>
      <c r="EC259" s="14"/>
      <c r="ED259" s="14"/>
    </row>
    <row r="260" spans="40:134" x14ac:dyDescent="0.3">
      <c r="AN260" s="14"/>
      <c r="AO260" s="14"/>
      <c r="AP260" s="14"/>
      <c r="AQ260" s="14"/>
      <c r="AR260" s="14"/>
      <c r="CG260" s="14"/>
      <c r="CH260" s="14"/>
      <c r="CI260" s="14"/>
      <c r="CJ260" s="14"/>
      <c r="CK260" s="14"/>
      <c r="DZ260" s="14"/>
      <c r="EA260" s="14"/>
      <c r="EB260" s="14"/>
      <c r="EC260" s="14"/>
      <c r="ED260" s="14"/>
    </row>
    <row r="261" spans="40:134" x14ac:dyDescent="0.3">
      <c r="AN261" s="14"/>
      <c r="AO261" s="14"/>
      <c r="AP261" s="14"/>
      <c r="AQ261" s="14"/>
      <c r="AR261" s="14"/>
      <c r="CG261" s="14"/>
      <c r="CH261" s="14"/>
      <c r="CI261" s="14"/>
      <c r="CJ261" s="14"/>
      <c r="CK261" s="14"/>
      <c r="DZ261" s="14"/>
      <c r="EA261" s="14"/>
      <c r="EB261" s="14"/>
      <c r="EC261" s="14"/>
      <c r="ED261" s="14"/>
    </row>
    <row r="262" spans="40:134" x14ac:dyDescent="0.3">
      <c r="AN262" s="14"/>
      <c r="AO262" s="14"/>
      <c r="AP262" s="14"/>
      <c r="AQ262" s="14"/>
      <c r="AR262" s="14"/>
      <c r="CG262" s="14"/>
      <c r="CH262" s="14"/>
      <c r="CI262" s="14"/>
      <c r="CJ262" s="14"/>
      <c r="CK262" s="14"/>
      <c r="DZ262" s="14"/>
      <c r="EA262" s="14"/>
      <c r="EB262" s="14"/>
      <c r="EC262" s="14"/>
      <c r="ED262" s="14"/>
    </row>
    <row r="263" spans="40:134" x14ac:dyDescent="0.3">
      <c r="AN263" s="14"/>
      <c r="AO263" s="14"/>
      <c r="AP263" s="14"/>
      <c r="AQ263" s="14"/>
      <c r="AR263" s="14"/>
      <c r="CG263" s="14"/>
      <c r="CH263" s="14"/>
      <c r="CI263" s="14"/>
      <c r="CJ263" s="14"/>
      <c r="CK263" s="14"/>
      <c r="DZ263" s="14"/>
      <c r="EA263" s="14"/>
      <c r="EB263" s="14"/>
      <c r="EC263" s="14"/>
      <c r="ED263" s="14"/>
    </row>
    <row r="264" spans="40:134" x14ac:dyDescent="0.3">
      <c r="AN264" s="14"/>
      <c r="AO264" s="14"/>
      <c r="AP264" s="14"/>
      <c r="AQ264" s="14"/>
      <c r="AR264" s="14"/>
      <c r="CG264" s="14"/>
      <c r="CH264" s="14"/>
      <c r="CI264" s="14"/>
      <c r="CJ264" s="14"/>
      <c r="CK264" s="14"/>
      <c r="DZ264" s="14"/>
      <c r="EA264" s="14"/>
      <c r="EB264" s="14"/>
      <c r="EC264" s="14"/>
      <c r="ED264" s="14"/>
    </row>
    <row r="265" spans="40:134" x14ac:dyDescent="0.3">
      <c r="AN265" s="14"/>
      <c r="AO265" s="14"/>
      <c r="AP265" s="14"/>
      <c r="AQ265" s="14"/>
      <c r="AR265" s="14"/>
      <c r="CG265" s="14"/>
      <c r="CH265" s="14"/>
      <c r="CI265" s="14"/>
      <c r="CJ265" s="14"/>
      <c r="CK265" s="14"/>
      <c r="DZ265" s="14"/>
      <c r="EA265" s="14"/>
      <c r="EB265" s="14"/>
      <c r="EC265" s="14"/>
      <c r="ED265" s="14"/>
    </row>
    <row r="266" spans="40:134" x14ac:dyDescent="0.3">
      <c r="AN266" s="14"/>
      <c r="AO266" s="14"/>
      <c r="AP266" s="14"/>
      <c r="AQ266" s="14"/>
      <c r="AR266" s="14"/>
      <c r="CG266" s="14"/>
      <c r="CH266" s="14"/>
      <c r="CI266" s="14"/>
      <c r="CJ266" s="14"/>
      <c r="CK266" s="14"/>
      <c r="DZ266" s="14"/>
      <c r="EA266" s="14"/>
      <c r="EB266" s="14"/>
      <c r="EC266" s="14"/>
      <c r="ED266" s="14"/>
    </row>
    <row r="267" spans="40:134" x14ac:dyDescent="0.3">
      <c r="AN267" s="14"/>
      <c r="AO267" s="14"/>
      <c r="AP267" s="14"/>
      <c r="AQ267" s="14"/>
      <c r="AR267" s="14"/>
      <c r="CG267" s="14"/>
      <c r="CH267" s="14"/>
      <c r="CI267" s="14"/>
      <c r="CJ267" s="14"/>
      <c r="CK267" s="14"/>
      <c r="DZ267" s="14"/>
      <c r="EA267" s="14"/>
      <c r="EB267" s="14"/>
      <c r="EC267" s="14"/>
      <c r="ED267" s="14"/>
    </row>
    <row r="268" spans="40:134" x14ac:dyDescent="0.3">
      <c r="AN268" s="14"/>
      <c r="AO268" s="14"/>
      <c r="AP268" s="14"/>
      <c r="AQ268" s="14"/>
      <c r="AR268" s="14"/>
      <c r="CG268" s="14"/>
      <c r="CH268" s="14"/>
      <c r="CI268" s="14"/>
      <c r="CJ268" s="14"/>
      <c r="CK268" s="14"/>
      <c r="DZ268" s="14"/>
      <c r="EA268" s="14"/>
      <c r="EB268" s="14"/>
      <c r="EC268" s="14"/>
      <c r="ED268" s="14"/>
    </row>
    <row r="269" spans="40:134" x14ac:dyDescent="0.3">
      <c r="AN269" s="14"/>
      <c r="AO269" s="14"/>
      <c r="AP269" s="14"/>
      <c r="AQ269" s="14"/>
      <c r="AR269" s="14"/>
      <c r="CG269" s="14"/>
      <c r="CH269" s="14"/>
      <c r="CI269" s="14"/>
      <c r="CJ269" s="14"/>
      <c r="CK269" s="14"/>
      <c r="DZ269" s="14"/>
      <c r="EA269" s="14"/>
      <c r="EB269" s="14"/>
      <c r="EC269" s="14"/>
      <c r="ED269" s="14"/>
    </row>
    <row r="270" spans="40:134" x14ac:dyDescent="0.3">
      <c r="AN270" s="14"/>
      <c r="AO270" s="14"/>
      <c r="AP270" s="14"/>
      <c r="AQ270" s="14"/>
      <c r="AR270" s="14"/>
      <c r="CG270" s="14"/>
      <c r="CH270" s="14"/>
      <c r="CI270" s="14"/>
      <c r="CJ270" s="14"/>
      <c r="CK270" s="14"/>
      <c r="DZ270" s="14"/>
      <c r="EA270" s="14"/>
      <c r="EB270" s="14"/>
      <c r="EC270" s="14"/>
      <c r="ED270" s="14"/>
    </row>
    <row r="271" spans="40:134" x14ac:dyDescent="0.3">
      <c r="AN271" s="14"/>
      <c r="AO271" s="14"/>
      <c r="AP271" s="14"/>
      <c r="AQ271" s="14"/>
      <c r="AR271" s="14"/>
      <c r="CG271" s="14"/>
      <c r="CH271" s="14"/>
      <c r="CI271" s="14"/>
      <c r="CJ271" s="14"/>
      <c r="CK271" s="14"/>
      <c r="DZ271" s="14"/>
      <c r="EA271" s="14"/>
      <c r="EB271" s="14"/>
      <c r="EC271" s="14"/>
      <c r="ED271" s="14"/>
    </row>
    <row r="272" spans="40:134" x14ac:dyDescent="0.3">
      <c r="AN272" s="14"/>
      <c r="AO272" s="14"/>
      <c r="AP272" s="14"/>
      <c r="AQ272" s="14"/>
      <c r="AR272" s="14"/>
      <c r="CG272" s="14"/>
      <c r="CH272" s="14"/>
      <c r="CI272" s="14"/>
      <c r="CJ272" s="14"/>
      <c r="CK272" s="14"/>
      <c r="DZ272" s="14"/>
      <c r="EA272" s="14"/>
      <c r="EB272" s="14"/>
      <c r="EC272" s="14"/>
      <c r="ED272" s="14"/>
    </row>
    <row r="273" spans="40:134" x14ac:dyDescent="0.3">
      <c r="AN273" s="14"/>
      <c r="AO273" s="14"/>
      <c r="AP273" s="14"/>
      <c r="AQ273" s="14"/>
      <c r="AR273" s="14"/>
      <c r="CG273" s="14"/>
      <c r="CH273" s="14"/>
      <c r="CI273" s="14"/>
      <c r="CJ273" s="14"/>
      <c r="CK273" s="14"/>
      <c r="DZ273" s="14"/>
      <c r="EA273" s="14"/>
      <c r="EB273" s="14"/>
      <c r="EC273" s="14"/>
      <c r="ED273" s="14"/>
    </row>
    <row r="274" spans="40:134" x14ac:dyDescent="0.3">
      <c r="AN274" s="14"/>
      <c r="AO274" s="14"/>
      <c r="AP274" s="14"/>
      <c r="AQ274" s="14"/>
      <c r="AR274" s="14"/>
      <c r="CG274" s="14"/>
      <c r="CH274" s="14"/>
      <c r="CI274" s="14"/>
      <c r="CJ274" s="14"/>
      <c r="CK274" s="14"/>
      <c r="DZ274" s="14"/>
      <c r="EA274" s="14"/>
      <c r="EB274" s="14"/>
      <c r="EC274" s="14"/>
      <c r="ED274" s="14"/>
    </row>
    <row r="275" spans="40:134" x14ac:dyDescent="0.3">
      <c r="AN275" s="14"/>
      <c r="AO275" s="14"/>
      <c r="AP275" s="14"/>
      <c r="AQ275" s="14"/>
      <c r="AR275" s="14"/>
      <c r="CG275" s="14"/>
      <c r="CH275" s="14"/>
      <c r="CI275" s="14"/>
      <c r="CJ275" s="14"/>
      <c r="CK275" s="14"/>
      <c r="DZ275" s="14"/>
      <c r="EA275" s="14"/>
      <c r="EB275" s="14"/>
      <c r="EC275" s="14"/>
      <c r="ED275" s="14"/>
    </row>
    <row r="276" spans="40:134" x14ac:dyDescent="0.3">
      <c r="AN276" s="14"/>
      <c r="AO276" s="14"/>
      <c r="AP276" s="14"/>
      <c r="AQ276" s="14"/>
      <c r="AR276" s="14"/>
      <c r="CG276" s="14"/>
      <c r="CH276" s="14"/>
      <c r="CI276" s="14"/>
      <c r="CJ276" s="14"/>
      <c r="CK276" s="14"/>
      <c r="DZ276" s="14"/>
      <c r="EA276" s="14"/>
      <c r="EB276" s="14"/>
      <c r="EC276" s="14"/>
      <c r="ED276" s="14"/>
    </row>
    <row r="277" spans="40:134" x14ac:dyDescent="0.3">
      <c r="AN277" s="14"/>
      <c r="AO277" s="14"/>
      <c r="AP277" s="14"/>
      <c r="AQ277" s="14"/>
      <c r="AR277" s="14"/>
      <c r="CG277" s="14"/>
      <c r="CH277" s="14"/>
      <c r="CI277" s="14"/>
      <c r="CJ277" s="14"/>
      <c r="CK277" s="14"/>
      <c r="DZ277" s="14"/>
      <c r="EA277" s="14"/>
      <c r="EB277" s="14"/>
      <c r="EC277" s="14"/>
      <c r="ED277" s="14"/>
    </row>
    <row r="278" spans="40:134" x14ac:dyDescent="0.3">
      <c r="AN278" s="14"/>
      <c r="AO278" s="14"/>
      <c r="AP278" s="14"/>
      <c r="AQ278" s="14"/>
      <c r="AR278" s="14"/>
      <c r="CG278" s="14"/>
      <c r="CH278" s="14"/>
      <c r="CI278" s="14"/>
      <c r="CJ278" s="14"/>
      <c r="CK278" s="14"/>
      <c r="DZ278" s="14"/>
      <c r="EA278" s="14"/>
      <c r="EB278" s="14"/>
      <c r="EC278" s="14"/>
      <c r="ED278" s="14"/>
    </row>
    <row r="279" spans="40:134" x14ac:dyDescent="0.3">
      <c r="AN279" s="14"/>
      <c r="AO279" s="14"/>
      <c r="AP279" s="14"/>
      <c r="AQ279" s="14"/>
      <c r="AR279" s="14"/>
      <c r="CG279" s="14"/>
      <c r="CH279" s="14"/>
      <c r="CI279" s="14"/>
      <c r="CJ279" s="14"/>
      <c r="CK279" s="14"/>
      <c r="DZ279" s="14"/>
      <c r="EA279" s="14"/>
      <c r="EB279" s="14"/>
      <c r="EC279" s="14"/>
      <c r="ED279" s="14"/>
    </row>
    <row r="280" spans="40:134" x14ac:dyDescent="0.3">
      <c r="AN280" s="14"/>
      <c r="AO280" s="14"/>
      <c r="AP280" s="14"/>
      <c r="AQ280" s="14"/>
      <c r="AR280" s="14"/>
      <c r="CG280" s="14"/>
      <c r="CH280" s="14"/>
      <c r="CI280" s="14"/>
      <c r="CJ280" s="14"/>
      <c r="CK280" s="14"/>
      <c r="DZ280" s="14"/>
      <c r="EA280" s="14"/>
      <c r="EB280" s="14"/>
      <c r="EC280" s="14"/>
      <c r="ED280" s="14"/>
    </row>
    <row r="281" spans="40:134" x14ac:dyDescent="0.3">
      <c r="AN281" s="14"/>
      <c r="AO281" s="14"/>
      <c r="AP281" s="14"/>
      <c r="AQ281" s="14"/>
      <c r="AR281" s="14"/>
      <c r="CG281" s="14"/>
      <c r="CH281" s="14"/>
      <c r="CI281" s="14"/>
      <c r="CJ281" s="14"/>
      <c r="CK281" s="14"/>
      <c r="DZ281" s="14"/>
      <c r="EA281" s="14"/>
      <c r="EB281" s="14"/>
      <c r="EC281" s="14"/>
      <c r="ED281" s="14"/>
    </row>
    <row r="282" spans="40:134" x14ac:dyDescent="0.3">
      <c r="AN282" s="14"/>
      <c r="AO282" s="14"/>
      <c r="AP282" s="14"/>
      <c r="AQ282" s="14"/>
      <c r="AR282" s="14"/>
      <c r="CG282" s="14"/>
      <c r="CH282" s="14"/>
      <c r="CI282" s="14"/>
      <c r="CJ282" s="14"/>
      <c r="CK282" s="14"/>
      <c r="DZ282" s="14"/>
      <c r="EA282" s="14"/>
      <c r="EB282" s="14"/>
      <c r="EC282" s="14"/>
      <c r="ED282" s="14"/>
    </row>
    <row r="283" spans="40:134" x14ac:dyDescent="0.3">
      <c r="AN283" s="14"/>
      <c r="AO283" s="14"/>
      <c r="AP283" s="14"/>
      <c r="AQ283" s="14"/>
      <c r="AR283" s="14"/>
      <c r="CG283" s="14"/>
      <c r="CH283" s="14"/>
      <c r="CI283" s="14"/>
      <c r="CJ283" s="14"/>
      <c r="CK283" s="14"/>
      <c r="DZ283" s="14"/>
      <c r="EA283" s="14"/>
      <c r="EB283" s="14"/>
      <c r="EC283" s="14"/>
      <c r="ED283" s="14"/>
    </row>
    <row r="284" spans="40:134" x14ac:dyDescent="0.3">
      <c r="AN284" s="14"/>
      <c r="AO284" s="14"/>
      <c r="AP284" s="14"/>
      <c r="AQ284" s="14"/>
      <c r="AR284" s="14"/>
      <c r="CG284" s="14"/>
      <c r="CH284" s="14"/>
      <c r="CI284" s="14"/>
      <c r="CJ284" s="14"/>
      <c r="CK284" s="14"/>
      <c r="DZ284" s="14"/>
      <c r="EA284" s="14"/>
      <c r="EB284" s="14"/>
      <c r="EC284" s="14"/>
      <c r="ED284" s="14"/>
    </row>
    <row r="285" spans="40:134" x14ac:dyDescent="0.3">
      <c r="AN285" s="14"/>
      <c r="AO285" s="14"/>
      <c r="AP285" s="14"/>
      <c r="AQ285" s="14"/>
      <c r="AR285" s="14"/>
      <c r="CG285" s="14"/>
      <c r="CH285" s="14"/>
      <c r="CI285" s="14"/>
      <c r="CJ285" s="14"/>
      <c r="CK285" s="14"/>
      <c r="DZ285" s="14"/>
      <c r="EA285" s="14"/>
      <c r="EB285" s="14"/>
      <c r="EC285" s="14"/>
      <c r="ED285" s="14"/>
    </row>
    <row r="286" spans="40:134" x14ac:dyDescent="0.3">
      <c r="AN286" s="14"/>
      <c r="AO286" s="14"/>
      <c r="AP286" s="14"/>
      <c r="AQ286" s="14"/>
      <c r="AR286" s="14"/>
      <c r="CG286" s="14"/>
      <c r="CH286" s="14"/>
      <c r="CI286" s="14"/>
      <c r="CJ286" s="14"/>
      <c r="CK286" s="14"/>
      <c r="DZ286" s="14"/>
      <c r="EA286" s="14"/>
      <c r="EB286" s="14"/>
      <c r="EC286" s="14"/>
      <c r="ED286" s="14"/>
    </row>
    <row r="287" spans="40:134" x14ac:dyDescent="0.3">
      <c r="AN287" s="14"/>
      <c r="AO287" s="14"/>
      <c r="AP287" s="14"/>
      <c r="AQ287" s="14"/>
      <c r="AR287" s="14"/>
      <c r="CG287" s="14"/>
      <c r="CH287" s="14"/>
      <c r="CI287" s="14"/>
      <c r="CJ287" s="14"/>
      <c r="CK287" s="14"/>
      <c r="DZ287" s="14"/>
      <c r="EA287" s="14"/>
      <c r="EB287" s="14"/>
      <c r="EC287" s="14"/>
      <c r="ED287" s="14"/>
    </row>
    <row r="288" spans="40:134" x14ac:dyDescent="0.3">
      <c r="AN288" s="14"/>
      <c r="AO288" s="14"/>
      <c r="AP288" s="14"/>
      <c r="AQ288" s="14"/>
      <c r="AR288" s="14"/>
      <c r="CG288" s="14"/>
      <c r="CH288" s="14"/>
      <c r="CI288" s="14"/>
      <c r="CJ288" s="14"/>
      <c r="CK288" s="14"/>
      <c r="DZ288" s="14"/>
      <c r="EA288" s="14"/>
      <c r="EB288" s="14"/>
      <c r="EC288" s="14"/>
      <c r="ED288" s="14"/>
    </row>
    <row r="289" spans="1:134" x14ac:dyDescent="0.3">
      <c r="AN289" s="14"/>
      <c r="AO289" s="14"/>
      <c r="AP289" s="14"/>
      <c r="AQ289" s="14"/>
      <c r="AR289" s="14"/>
      <c r="CG289" s="14"/>
      <c r="CH289" s="14"/>
      <c r="CI289" s="14"/>
      <c r="CJ289" s="14"/>
      <c r="CK289" s="14"/>
      <c r="DZ289" s="14"/>
      <c r="EA289" s="14"/>
      <c r="EB289" s="14"/>
      <c r="EC289" s="14"/>
      <c r="ED289" s="14"/>
    </row>
    <row r="290" spans="1:134" x14ac:dyDescent="0.3">
      <c r="AN290" s="14"/>
      <c r="AO290" s="14"/>
      <c r="AP290" s="14"/>
      <c r="AQ290" s="14"/>
      <c r="AR290" s="14"/>
      <c r="CG290" s="14"/>
      <c r="CH290" s="14"/>
      <c r="CI290" s="14"/>
      <c r="CJ290" s="14"/>
      <c r="CK290" s="14"/>
      <c r="DZ290" s="14"/>
      <c r="EA290" s="14"/>
      <c r="EB290" s="14"/>
      <c r="EC290" s="14"/>
      <c r="ED290" s="14"/>
    </row>
    <row r="291" spans="1:134" x14ac:dyDescent="0.3">
      <c r="AN291" s="14"/>
      <c r="AO291" s="14"/>
      <c r="AP291" s="14"/>
      <c r="AQ291" s="14"/>
      <c r="AR291" s="14"/>
      <c r="CG291" s="14"/>
      <c r="CH291" s="14"/>
      <c r="CI291" s="14"/>
      <c r="CJ291" s="14"/>
      <c r="CK291" s="14"/>
      <c r="DZ291" s="14"/>
      <c r="EA291" s="14"/>
      <c r="EB291" s="14"/>
      <c r="EC291" s="14"/>
      <c r="ED291" s="14"/>
    </row>
    <row r="292" spans="1:134" x14ac:dyDescent="0.3">
      <c r="AN292" s="14"/>
      <c r="AO292" s="14"/>
      <c r="AP292" s="14"/>
      <c r="AQ292" s="14"/>
      <c r="AR292" s="14"/>
      <c r="CG292" s="14"/>
      <c r="CH292" s="14"/>
      <c r="CI292" s="14"/>
      <c r="CJ292" s="14"/>
      <c r="CK292" s="14"/>
      <c r="DZ292" s="14"/>
      <c r="EA292" s="14"/>
      <c r="EB292" s="14"/>
      <c r="EC292" s="14"/>
      <c r="ED292" s="14"/>
    </row>
    <row r="293" spans="1:134" x14ac:dyDescent="0.3">
      <c r="AN293" s="14"/>
      <c r="AO293" s="14"/>
      <c r="AP293" s="14"/>
      <c r="AQ293" s="14"/>
      <c r="AR293" s="14"/>
      <c r="CG293" s="14"/>
      <c r="CH293" s="14"/>
      <c r="CI293" s="14"/>
      <c r="CJ293" s="14"/>
      <c r="CK293" s="14"/>
      <c r="DZ293" s="14"/>
      <c r="EA293" s="14"/>
      <c r="EB293" s="14"/>
      <c r="EC293" s="14"/>
      <c r="ED293" s="14"/>
    </row>
    <row r="294" spans="1:134" x14ac:dyDescent="0.3">
      <c r="AN294" s="14"/>
      <c r="AO294" s="14"/>
      <c r="AP294" s="14"/>
      <c r="AQ294" s="14"/>
      <c r="AR294" s="14"/>
      <c r="CG294" s="14"/>
      <c r="CH294" s="14"/>
      <c r="CI294" s="14"/>
      <c r="CJ294" s="14"/>
      <c r="CK294" s="14"/>
      <c r="DZ294" s="14"/>
      <c r="EA294" s="14"/>
      <c r="EB294" s="14"/>
      <c r="EC294" s="14"/>
      <c r="ED294" s="14"/>
    </row>
    <row r="295" spans="1:134" x14ac:dyDescent="0.3">
      <c r="AN295" s="14"/>
      <c r="AO295" s="14"/>
      <c r="AP295" s="14"/>
      <c r="AQ295" s="14"/>
      <c r="AR295" s="14"/>
      <c r="CG295" s="14"/>
      <c r="CH295" s="14"/>
      <c r="CI295" s="14"/>
      <c r="CJ295" s="14"/>
      <c r="CK295" s="14"/>
      <c r="DZ295" s="14"/>
      <c r="EA295" s="14"/>
      <c r="EB295" s="14"/>
      <c r="EC295" s="14"/>
      <c r="ED295" s="14"/>
    </row>
    <row r="296" spans="1:134" x14ac:dyDescent="0.3">
      <c r="AN296" s="14"/>
      <c r="AO296" s="14"/>
      <c r="AP296" s="14"/>
      <c r="AQ296" s="14"/>
      <c r="AR296" s="14"/>
      <c r="CG296" s="14"/>
      <c r="CH296" s="14"/>
      <c r="CI296" s="14"/>
      <c r="CJ296" s="14"/>
      <c r="CK296" s="14"/>
      <c r="DZ296" s="14"/>
      <c r="EA296" s="14"/>
      <c r="EB296" s="14"/>
      <c r="EC296" s="14"/>
      <c r="ED296" s="14"/>
    </row>
    <row r="297" spans="1:134" x14ac:dyDescent="0.3">
      <c r="AN297" s="14"/>
      <c r="AO297" s="14"/>
      <c r="AP297" s="14"/>
      <c r="AQ297" s="14"/>
      <c r="AR297" s="14"/>
      <c r="CG297" s="14"/>
      <c r="CH297" s="14"/>
      <c r="CI297" s="14"/>
      <c r="CJ297" s="14"/>
      <c r="CK297" s="14"/>
      <c r="DZ297" s="14"/>
      <c r="EA297" s="14"/>
      <c r="EB297" s="14"/>
      <c r="EC297" s="14"/>
      <c r="ED297" s="14"/>
    </row>
    <row r="298" spans="1:134" x14ac:dyDescent="0.3">
      <c r="AN298" s="14"/>
      <c r="AO298" s="14"/>
      <c r="AP298" s="14"/>
      <c r="AQ298" s="14"/>
      <c r="AR298" s="14"/>
      <c r="CG298" s="14"/>
      <c r="CH298" s="14"/>
      <c r="CI298" s="14"/>
      <c r="CJ298" s="14"/>
      <c r="CK298" s="14"/>
      <c r="DZ298" s="14"/>
      <c r="EA298" s="14"/>
      <c r="EB298" s="14"/>
      <c r="EC298" s="14"/>
      <c r="ED298" s="14"/>
    </row>
    <row r="299" spans="1:134" x14ac:dyDescent="0.3">
      <c r="AN299" s="14"/>
      <c r="AO299" s="14"/>
      <c r="AP299" s="14"/>
      <c r="AQ299" s="14"/>
      <c r="AR299" s="14"/>
      <c r="CG299" s="14"/>
      <c r="CH299" s="14"/>
      <c r="CI299" s="14"/>
      <c r="CJ299" s="14"/>
      <c r="CK299" s="14"/>
      <c r="DZ299" s="14"/>
      <c r="EA299" s="14"/>
      <c r="EB299" s="14"/>
      <c r="EC299" s="14"/>
      <c r="ED299" s="14"/>
    </row>
    <row r="300" spans="1:134" x14ac:dyDescent="0.3">
      <c r="AN300" s="14"/>
      <c r="AO300" s="14"/>
      <c r="AP300" s="14"/>
      <c r="AQ300" s="14"/>
      <c r="AR300" s="14"/>
      <c r="CG300" s="14"/>
      <c r="CH300" s="14"/>
      <c r="CI300" s="14"/>
      <c r="CJ300" s="14"/>
      <c r="CK300" s="14"/>
      <c r="DZ300" s="14"/>
      <c r="EA300" s="14"/>
      <c r="EB300" s="14"/>
      <c r="EC300" s="14"/>
      <c r="ED300" s="14"/>
    </row>
    <row r="301" spans="1:134" x14ac:dyDescent="0.3">
      <c r="AN301" s="14"/>
      <c r="AO301" s="14"/>
      <c r="AP301" s="14"/>
      <c r="AQ301" s="14"/>
      <c r="AR301" s="14"/>
      <c r="CG301" s="14"/>
      <c r="CH301" s="14"/>
      <c r="CI301" s="14"/>
      <c r="CJ301" s="14"/>
      <c r="CK301" s="14"/>
      <c r="DZ301" s="14"/>
      <c r="EA301" s="14"/>
      <c r="EB301" s="14"/>
      <c r="EC301" s="14"/>
      <c r="ED301" s="14"/>
    </row>
    <row r="302" spans="1:134" x14ac:dyDescent="0.3">
      <c r="AN302" s="14"/>
      <c r="AO302" s="14"/>
      <c r="AP302" s="14"/>
      <c r="AQ302" s="14"/>
      <c r="AR302" s="14"/>
      <c r="CG302" s="14"/>
      <c r="CH302" s="14"/>
      <c r="CI302" s="14"/>
      <c r="CJ302" s="14"/>
      <c r="CK302" s="14"/>
      <c r="DZ302" s="14"/>
      <c r="EA302" s="14"/>
      <c r="EB302" s="14"/>
      <c r="EC302" s="14"/>
      <c r="ED302" s="14"/>
    </row>
    <row r="303" spans="1:134" x14ac:dyDescent="0.3">
      <c r="AN303" s="14"/>
      <c r="AO303" s="14"/>
      <c r="AP303" s="14"/>
      <c r="AQ303" s="14"/>
      <c r="AR303" s="14"/>
      <c r="CG303" s="14"/>
      <c r="CH303" s="14"/>
      <c r="CI303" s="14"/>
      <c r="CJ303" s="14"/>
      <c r="CK303" s="14"/>
      <c r="DZ303" s="14"/>
      <c r="EA303" s="14"/>
      <c r="EB303" s="14"/>
      <c r="EC303" s="14"/>
      <c r="ED303" s="14"/>
    </row>
    <row r="304" spans="1:134" s="32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65"/>
      <c r="K304" s="1"/>
      <c r="L304" s="87"/>
      <c r="M304" s="87"/>
      <c r="N304" s="87"/>
      <c r="O304" s="87"/>
      <c r="P304" s="87"/>
      <c r="Q304" s="87"/>
      <c r="R304" s="87"/>
      <c r="S304" s="1"/>
      <c r="T304" s="1"/>
      <c r="U304" s="87"/>
      <c r="V304" s="87"/>
      <c r="W304" s="87"/>
      <c r="X304" s="87"/>
      <c r="Y304" s="87"/>
      <c r="Z304" s="1"/>
      <c r="AA304" s="1"/>
      <c r="AB304" s="1"/>
      <c r="AC304" s="1"/>
      <c r="AD304" s="1"/>
      <c r="AE304" s="1"/>
      <c r="AF304" s="1"/>
      <c r="AG304" s="1"/>
      <c r="AH304" s="1"/>
      <c r="AJ304" s="1"/>
      <c r="AK304" s="1"/>
      <c r="AL304" s="1"/>
      <c r="AM304" s="1"/>
      <c r="AN304" s="14"/>
      <c r="AO304" s="14"/>
      <c r="AP304" s="14"/>
      <c r="AQ304" s="14"/>
      <c r="AR304" s="14"/>
      <c r="AT304" s="1"/>
      <c r="AU304" s="1"/>
      <c r="AV304" s="1"/>
      <c r="AW304" s="1"/>
      <c r="AX304" s="1"/>
      <c r="AY304" s="1"/>
      <c r="AZ304" s="1"/>
      <c r="BA304" s="1"/>
      <c r="BB304" s="1"/>
      <c r="BC304" s="65"/>
      <c r="BD304" s="1"/>
      <c r="BE304" s="87"/>
      <c r="BF304" s="87"/>
      <c r="BG304" s="87"/>
      <c r="BH304" s="87"/>
      <c r="BI304" s="87"/>
      <c r="BJ304" s="87"/>
      <c r="BK304" s="87"/>
      <c r="BL304" s="1"/>
      <c r="BM304" s="1"/>
      <c r="BN304" s="87"/>
      <c r="BO304" s="87"/>
      <c r="BP304" s="87"/>
      <c r="BQ304" s="87"/>
      <c r="BR304" s="87"/>
      <c r="BS304" s="1"/>
      <c r="BT304" s="1"/>
      <c r="BU304" s="1"/>
      <c r="BV304" s="1"/>
      <c r="BW304" s="1"/>
      <c r="BX304" s="1"/>
      <c r="BY304" s="1"/>
      <c r="BZ304" s="1"/>
      <c r="CA304" s="1"/>
      <c r="CC304" s="1"/>
      <c r="CD304" s="1"/>
      <c r="CE304" s="1"/>
      <c r="CF304" s="1"/>
      <c r="CG304" s="14"/>
      <c r="CH304" s="14"/>
      <c r="CI304" s="14"/>
      <c r="CJ304" s="14"/>
      <c r="CK304" s="14"/>
      <c r="CM304" s="1"/>
      <c r="CN304" s="1"/>
      <c r="CO304" s="1"/>
      <c r="CP304" s="1"/>
      <c r="CQ304" s="1"/>
      <c r="CR304" s="1"/>
      <c r="CS304" s="1"/>
      <c r="CT304" s="1"/>
      <c r="CU304" s="1"/>
      <c r="CV304" s="65"/>
      <c r="CW304" s="1"/>
      <c r="CX304" s="96"/>
      <c r="CY304" s="96"/>
      <c r="CZ304" s="96"/>
      <c r="DA304" s="96"/>
      <c r="DB304" s="96"/>
      <c r="DC304" s="96"/>
      <c r="DD304" s="96"/>
      <c r="DE304" s="1"/>
      <c r="DF304" s="1"/>
      <c r="DG304" s="96"/>
      <c r="DH304" s="96"/>
      <c r="DI304" s="96"/>
      <c r="DJ304" s="96"/>
      <c r="DK304" s="96"/>
      <c r="DL304" s="1"/>
      <c r="DM304" s="1"/>
      <c r="DN304" s="1"/>
      <c r="DO304" s="1"/>
      <c r="DP304" s="1"/>
      <c r="DQ304" s="1"/>
      <c r="DR304" s="1"/>
      <c r="DS304" s="1"/>
      <c r="DT304" s="1"/>
      <c r="DV304" s="1"/>
      <c r="DW304" s="1"/>
      <c r="DX304" s="1"/>
      <c r="DY304" s="1"/>
      <c r="DZ304" s="14"/>
      <c r="EA304" s="14"/>
      <c r="EB304" s="14"/>
      <c r="EC304" s="14"/>
      <c r="ED304" s="14"/>
    </row>
    <row r="305" spans="1:100" x14ac:dyDescent="0.3">
      <c r="J305" s="68"/>
      <c r="BC305" s="68"/>
      <c r="CV305" s="68"/>
    </row>
    <row r="306" spans="1:100" x14ac:dyDescent="0.3">
      <c r="A306" s="32"/>
      <c r="B306" s="32"/>
      <c r="C306" s="32"/>
      <c r="D306" s="32"/>
      <c r="E306" s="32"/>
      <c r="F306" s="32"/>
      <c r="G306" s="32"/>
      <c r="H306" s="32"/>
      <c r="I306" s="32"/>
      <c r="AT306" s="32"/>
      <c r="AU306" s="32"/>
      <c r="AV306" s="32"/>
      <c r="AW306" s="32"/>
      <c r="AX306" s="32"/>
      <c r="AY306" s="32"/>
      <c r="AZ306" s="32"/>
      <c r="BA306" s="32"/>
      <c r="BB306" s="32"/>
      <c r="CM306" s="32"/>
      <c r="CN306" s="32"/>
      <c r="CO306" s="32"/>
      <c r="CP306" s="32"/>
      <c r="CQ306" s="32"/>
      <c r="CR306" s="32"/>
      <c r="CS306" s="32"/>
      <c r="CT306" s="32"/>
      <c r="CU306" s="32"/>
    </row>
    <row r="322" spans="36:134" x14ac:dyDescent="0.3">
      <c r="AJ322" s="32"/>
      <c r="AK322" s="32"/>
      <c r="AL322" s="32"/>
      <c r="AM322" s="32"/>
      <c r="AN322" s="32"/>
      <c r="AO322" s="32"/>
      <c r="AP322" s="32"/>
      <c r="AQ322" s="32"/>
      <c r="AR322" s="32"/>
      <c r="CC322" s="32"/>
      <c r="CD322" s="32"/>
      <c r="CE322" s="32"/>
      <c r="CF322" s="32"/>
      <c r="CG322" s="32"/>
      <c r="CH322" s="32"/>
      <c r="CI322" s="32"/>
      <c r="CJ322" s="32"/>
      <c r="CK322" s="32"/>
      <c r="DV322" s="32"/>
      <c r="DW322" s="32"/>
      <c r="DX322" s="32"/>
      <c r="DY322" s="32"/>
      <c r="DZ322" s="32"/>
      <c r="EA322" s="32"/>
      <c r="EB322" s="32"/>
      <c r="EC322" s="32"/>
      <c r="ED322" s="32"/>
    </row>
  </sheetData>
  <mergeCells count="33">
    <mergeCell ref="DW3:ED3"/>
    <mergeCell ref="DW32:ED32"/>
    <mergeCell ref="DW61:ED61"/>
    <mergeCell ref="DW90:ED90"/>
    <mergeCell ref="DW119:ED119"/>
    <mergeCell ref="DN1:DT1"/>
    <mergeCell ref="CW2:DD2"/>
    <mergeCell ref="DF2:DL2"/>
    <mergeCell ref="DN2:DT2"/>
    <mergeCell ref="DV2:ED2"/>
    <mergeCell ref="CC2:CK2"/>
    <mergeCell ref="BM1:BS1"/>
    <mergeCell ref="BU1:CA1"/>
    <mergeCell ref="CD3:CK3"/>
    <mergeCell ref="DF1:DL1"/>
    <mergeCell ref="BD2:BK2"/>
    <mergeCell ref="BM2:BS2"/>
    <mergeCell ref="BU2:CA2"/>
    <mergeCell ref="T1:Z1"/>
    <mergeCell ref="AB1:AH1"/>
    <mergeCell ref="K2:R2"/>
    <mergeCell ref="T2:Z2"/>
    <mergeCell ref="AB2:AH2"/>
    <mergeCell ref="AK3:AR3"/>
    <mergeCell ref="AJ2:AR2"/>
    <mergeCell ref="AK119:AR119"/>
    <mergeCell ref="CD32:CK32"/>
    <mergeCell ref="CD61:CK61"/>
    <mergeCell ref="CD90:CK90"/>
    <mergeCell ref="CD119:CK119"/>
    <mergeCell ref="AK32:AR32"/>
    <mergeCell ref="AK61:AR61"/>
    <mergeCell ref="AK90:AR90"/>
  </mergeCells>
  <phoneticPr fontId="20" type="noConversion"/>
  <conditionalFormatting sqref="BU4:CA124">
    <cfRule type="expression" dxfId="446" priority="506">
      <formula>BU4&lt;&gt;#REF!</formula>
    </cfRule>
  </conditionalFormatting>
  <conditionalFormatting sqref="L125:R304">
    <cfRule type="containsText" dxfId="445" priority="517" operator="containsText" text="M1">
      <formula>NOT(ISERROR(SEARCH("M1",L125)))</formula>
    </cfRule>
  </conditionalFormatting>
  <conditionalFormatting sqref="L125:R304">
    <cfRule type="containsText" dxfId="444" priority="518" operator="containsText" text="M2">
      <formula>NOT(ISERROR(SEARCH("M2",L125)))</formula>
    </cfRule>
  </conditionalFormatting>
  <conditionalFormatting sqref="L125:R304">
    <cfRule type="containsText" dxfId="443" priority="519" operator="containsText" text="M3">
      <formula>NOT(ISERROR(SEARCH("M3",L125)))</formula>
    </cfRule>
  </conditionalFormatting>
  <conditionalFormatting sqref="L125:R304">
    <cfRule type="containsText" dxfId="442" priority="520" operator="containsText" text="M4">
      <formula>NOT(ISERROR(SEARCH("M4",L125)))</formula>
    </cfRule>
  </conditionalFormatting>
  <conditionalFormatting sqref="L125:R304">
    <cfRule type="containsText" dxfId="441" priority="521" operator="containsText" text="M5">
      <formula>NOT(ISERROR(SEARCH("M5",L125)))</formula>
    </cfRule>
  </conditionalFormatting>
  <conditionalFormatting sqref="L125:R304">
    <cfRule type="containsText" dxfId="440" priority="522" operator="containsText" text="M6">
      <formula>NOT(ISERROR(SEARCH("M6",L125)))</formula>
    </cfRule>
  </conditionalFormatting>
  <conditionalFormatting sqref="L125:R304">
    <cfRule type="containsText" dxfId="439" priority="523" operator="containsText" text="A">
      <formula>NOT(ISERROR(SEARCH("A",L125)))</formula>
    </cfRule>
  </conditionalFormatting>
  <conditionalFormatting sqref="L125:R304">
    <cfRule type="containsText" dxfId="438" priority="524" operator="containsText" text="K">
      <formula>NOT(ISERROR(SEARCH("K",L125)))</formula>
    </cfRule>
  </conditionalFormatting>
  <conditionalFormatting sqref="L125:R304">
    <cfRule type="containsText" dxfId="437" priority="525" operator="containsText" text="Q">
      <formula>NOT(ISERROR(SEARCH("Q",L125)))</formula>
    </cfRule>
  </conditionalFormatting>
  <conditionalFormatting sqref="L125:R304">
    <cfRule type="containsText" dxfId="436" priority="526" operator="containsText" text="J">
      <formula>NOT(ISERROR(SEARCH("J",L125)))</formula>
    </cfRule>
  </conditionalFormatting>
  <conditionalFormatting sqref="L125:R304">
    <cfRule type="containsText" dxfId="435" priority="527" operator="containsText" text="TE">
      <formula>NOT(ISERROR(SEARCH("TE",L125)))</formula>
    </cfRule>
  </conditionalFormatting>
  <conditionalFormatting sqref="L125:R304">
    <cfRule type="containsText" dxfId="434" priority="528" operator="containsText" text="MY">
      <formula>NOT(ISERROR(SEARCH("MY",L125)))</formula>
    </cfRule>
  </conditionalFormatting>
  <conditionalFormatting sqref="BE125:BK304">
    <cfRule type="containsText" dxfId="433" priority="529" operator="containsText" text="M1">
      <formula>NOT(ISERROR(SEARCH("M1",BE125)))</formula>
    </cfRule>
  </conditionalFormatting>
  <conditionalFormatting sqref="BE125:BK304">
    <cfRule type="containsText" dxfId="432" priority="530" operator="containsText" text="M2">
      <formula>NOT(ISERROR(SEARCH("M2",BE125)))</formula>
    </cfRule>
  </conditionalFormatting>
  <conditionalFormatting sqref="BE125:BK304">
    <cfRule type="containsText" dxfId="431" priority="531" operator="containsText" text="M3">
      <formula>NOT(ISERROR(SEARCH("M3",BE125)))</formula>
    </cfRule>
  </conditionalFormatting>
  <conditionalFormatting sqref="BE125:BK304">
    <cfRule type="containsText" dxfId="430" priority="532" operator="containsText" text="M4">
      <formula>NOT(ISERROR(SEARCH("M4",BE125)))</formula>
    </cfRule>
  </conditionalFormatting>
  <conditionalFormatting sqref="BE125:BK304">
    <cfRule type="containsText" dxfId="429" priority="533" operator="containsText" text="M5">
      <formula>NOT(ISERROR(SEARCH("M5",BE125)))</formula>
    </cfRule>
  </conditionalFormatting>
  <conditionalFormatting sqref="BE125:BK304">
    <cfRule type="containsText" dxfId="428" priority="534" operator="containsText" text="M6">
      <formula>NOT(ISERROR(SEARCH("M6",BE125)))</formula>
    </cfRule>
  </conditionalFormatting>
  <conditionalFormatting sqref="BE125:BK304">
    <cfRule type="containsText" dxfId="427" priority="535" operator="containsText" text="A">
      <formula>NOT(ISERROR(SEARCH("A",BE125)))</formula>
    </cfRule>
  </conditionalFormatting>
  <conditionalFormatting sqref="BE125:BK304">
    <cfRule type="containsText" dxfId="426" priority="536" operator="containsText" text="K">
      <formula>NOT(ISERROR(SEARCH("K",BE125)))</formula>
    </cfRule>
  </conditionalFormatting>
  <conditionalFormatting sqref="BE125:BK304">
    <cfRule type="containsText" dxfId="425" priority="537" operator="containsText" text="Q">
      <formula>NOT(ISERROR(SEARCH("Q",BE125)))</formula>
    </cfRule>
  </conditionalFormatting>
  <conditionalFormatting sqref="BE125:BK304">
    <cfRule type="containsText" dxfId="424" priority="538" operator="containsText" text="J">
      <formula>NOT(ISERROR(SEARCH("J",BE125)))</formula>
    </cfRule>
  </conditionalFormatting>
  <conditionalFormatting sqref="BE125:BK304">
    <cfRule type="containsText" dxfId="423" priority="539" operator="containsText" text="TE">
      <formula>NOT(ISERROR(SEARCH("TE",BE125)))</formula>
    </cfRule>
  </conditionalFormatting>
  <conditionalFormatting sqref="BE125:BK304">
    <cfRule type="containsText" dxfId="422" priority="540" operator="containsText" text="MY">
      <formula>NOT(ISERROR(SEARCH("MY",BE125)))</formula>
    </cfRule>
  </conditionalFormatting>
  <conditionalFormatting sqref="A4:A29">
    <cfRule type="containsText" dxfId="421" priority="541" operator="containsText" text="M1">
      <formula>NOT(ISERROR(SEARCH("M1",A4)))</formula>
    </cfRule>
  </conditionalFormatting>
  <conditionalFormatting sqref="A4:A29">
    <cfRule type="containsText" dxfId="420" priority="542" operator="containsText" text="M2">
      <formula>NOT(ISERROR(SEARCH("M2",A4)))</formula>
    </cfRule>
  </conditionalFormatting>
  <conditionalFormatting sqref="A4:A29">
    <cfRule type="containsText" dxfId="419" priority="543" operator="containsText" text="M3">
      <formula>NOT(ISERROR(SEARCH("M3",A4)))</formula>
    </cfRule>
  </conditionalFormatting>
  <conditionalFormatting sqref="A4:A29">
    <cfRule type="containsText" dxfId="418" priority="544" operator="containsText" text="M4">
      <formula>NOT(ISERROR(SEARCH("M4",A4)))</formula>
    </cfRule>
  </conditionalFormatting>
  <conditionalFormatting sqref="A4:A29">
    <cfRule type="containsText" dxfId="417" priority="545" operator="containsText" text="M5">
      <formula>NOT(ISERROR(SEARCH("M5",A4)))</formula>
    </cfRule>
  </conditionalFormatting>
  <conditionalFormatting sqref="A4:A29">
    <cfRule type="containsText" dxfId="416" priority="546" operator="containsText" text="M6">
      <formula>NOT(ISERROR(SEARCH("M6",A4)))</formula>
    </cfRule>
  </conditionalFormatting>
  <conditionalFormatting sqref="A4:A29">
    <cfRule type="containsText" dxfId="415" priority="547" operator="containsText" text="A">
      <formula>NOT(ISERROR(SEARCH("A",A4)))</formula>
    </cfRule>
  </conditionalFormatting>
  <conditionalFormatting sqref="A4:A29">
    <cfRule type="containsText" dxfId="414" priority="548" operator="containsText" text="K">
      <formula>NOT(ISERROR(SEARCH("K",A4)))</formula>
    </cfRule>
  </conditionalFormatting>
  <conditionalFormatting sqref="A4:A29">
    <cfRule type="containsText" dxfId="413" priority="549" operator="containsText" text="Q">
      <formula>NOT(ISERROR(SEARCH("Q",A4)))</formula>
    </cfRule>
  </conditionalFormatting>
  <conditionalFormatting sqref="A4:A29">
    <cfRule type="containsText" dxfId="412" priority="550" operator="containsText" text="J">
      <formula>NOT(ISERROR(SEARCH("J",A4)))</formula>
    </cfRule>
  </conditionalFormatting>
  <conditionalFormatting sqref="A4:A29">
    <cfRule type="containsText" dxfId="411" priority="551" operator="containsText" text="TE">
      <formula>NOT(ISERROR(SEARCH("TE",A4)))</formula>
    </cfRule>
  </conditionalFormatting>
  <conditionalFormatting sqref="A4:A29">
    <cfRule type="containsText" dxfId="410" priority="552" operator="containsText" text="MY">
      <formula>NOT(ISERROR(SEARCH("MY",A4)))</formula>
    </cfRule>
  </conditionalFormatting>
  <conditionalFormatting sqref="AT4:AT29">
    <cfRule type="containsText" dxfId="409" priority="577" operator="containsText" text="M1">
      <formula>NOT(ISERROR(SEARCH("M1",AT4)))</formula>
    </cfRule>
  </conditionalFormatting>
  <conditionalFormatting sqref="AT4:AT29">
    <cfRule type="containsText" dxfId="408" priority="578" operator="containsText" text="M2">
      <formula>NOT(ISERROR(SEARCH("M2",AT4)))</formula>
    </cfRule>
  </conditionalFormatting>
  <conditionalFormatting sqref="AT4:AT29">
    <cfRule type="containsText" dxfId="407" priority="579" operator="containsText" text="M3">
      <formula>NOT(ISERROR(SEARCH("M3",AT4)))</formula>
    </cfRule>
  </conditionalFormatting>
  <conditionalFormatting sqref="AT4:AT29">
    <cfRule type="containsText" dxfId="406" priority="580" operator="containsText" text="M4">
      <formula>NOT(ISERROR(SEARCH("M4",AT4)))</formula>
    </cfRule>
  </conditionalFormatting>
  <conditionalFormatting sqref="AT4:AT29">
    <cfRule type="containsText" dxfId="405" priority="581" operator="containsText" text="M5">
      <formula>NOT(ISERROR(SEARCH("M5",AT4)))</formula>
    </cfRule>
  </conditionalFormatting>
  <conditionalFormatting sqref="AT4:AT29">
    <cfRule type="containsText" dxfId="404" priority="582" operator="containsText" text="M6">
      <formula>NOT(ISERROR(SEARCH("M6",AT4)))</formula>
    </cfRule>
  </conditionalFormatting>
  <conditionalFormatting sqref="AT4:AT29">
    <cfRule type="containsText" dxfId="403" priority="583" operator="containsText" text="A">
      <formula>NOT(ISERROR(SEARCH("A",AT4)))</formula>
    </cfRule>
  </conditionalFormatting>
  <conditionalFormatting sqref="AT4:AT29">
    <cfRule type="containsText" dxfId="402" priority="584" operator="containsText" text="K">
      <formula>NOT(ISERROR(SEARCH("K",AT4)))</formula>
    </cfRule>
  </conditionalFormatting>
  <conditionalFormatting sqref="AT4:AT29">
    <cfRule type="containsText" dxfId="401" priority="585" operator="containsText" text="Q">
      <formula>NOT(ISERROR(SEARCH("Q",AT4)))</formula>
    </cfRule>
  </conditionalFormatting>
  <conditionalFormatting sqref="AT4:AT29">
    <cfRule type="containsText" dxfId="400" priority="586" operator="containsText" text="J">
      <formula>NOT(ISERROR(SEARCH("J",AT4)))</formula>
    </cfRule>
  </conditionalFormatting>
  <conditionalFormatting sqref="AT4:AT29">
    <cfRule type="containsText" dxfId="399" priority="587" operator="containsText" text="TE">
      <formula>NOT(ISERROR(SEARCH("TE",AT4)))</formula>
    </cfRule>
  </conditionalFormatting>
  <conditionalFormatting sqref="AT4:AT29">
    <cfRule type="containsText" dxfId="398" priority="588" operator="containsText" text="MY">
      <formula>NOT(ISERROR(SEARCH("MY",AT4)))</formula>
    </cfRule>
  </conditionalFormatting>
  <conditionalFormatting sqref="DD40">
    <cfRule type="containsText" dxfId="397" priority="1" operator="containsText" text="M1">
      <formula>NOT(ISERROR(SEARCH("M1",DD40)))</formula>
    </cfRule>
  </conditionalFormatting>
  <conditionalFormatting sqref="L4:R39 L41:R124">
    <cfRule type="containsText" dxfId="396" priority="302" operator="containsText" text="M1">
      <formula>NOT(ISERROR(SEARCH("M1",L4)))</formula>
    </cfRule>
  </conditionalFormatting>
  <conditionalFormatting sqref="L4:R39 L41:R124">
    <cfRule type="containsText" dxfId="395" priority="303" operator="containsText" text="M2">
      <formula>NOT(ISERROR(SEARCH("M2",L4)))</formula>
    </cfRule>
  </conditionalFormatting>
  <conditionalFormatting sqref="L4:R39 L41:R124">
    <cfRule type="containsText" dxfId="394" priority="304" operator="containsText" text="M3">
      <formula>NOT(ISERROR(SEARCH("M3",L4)))</formula>
    </cfRule>
  </conditionalFormatting>
  <conditionalFormatting sqref="L4:R39 L41:R124">
    <cfRule type="containsText" dxfId="393" priority="305" operator="containsText" text="M4">
      <formula>NOT(ISERROR(SEARCH("M4",L4)))</formula>
    </cfRule>
  </conditionalFormatting>
  <conditionalFormatting sqref="L4:R39 L41:R124">
    <cfRule type="containsText" dxfId="392" priority="306" operator="containsText" text="M5">
      <formula>NOT(ISERROR(SEARCH("M5",L4)))</formula>
    </cfRule>
  </conditionalFormatting>
  <conditionalFormatting sqref="L4:R39 L41:R124">
    <cfRule type="containsText" dxfId="391" priority="307" operator="containsText" text="M6">
      <formula>NOT(ISERROR(SEARCH("M6",L4)))</formula>
    </cfRule>
  </conditionalFormatting>
  <conditionalFormatting sqref="L4:R39 L41:R124">
    <cfRule type="containsText" dxfId="390" priority="308" operator="containsText" text="A">
      <formula>NOT(ISERROR(SEARCH("A",L4)))</formula>
    </cfRule>
  </conditionalFormatting>
  <conditionalFormatting sqref="L4:R39 L41:R124">
    <cfRule type="containsText" dxfId="389" priority="309" operator="containsText" text="K">
      <formula>NOT(ISERROR(SEARCH("K",L4)))</formula>
    </cfRule>
  </conditionalFormatting>
  <conditionalFormatting sqref="L4:R39 L41:R124">
    <cfRule type="containsText" dxfId="388" priority="310" operator="containsText" text="Q">
      <formula>NOT(ISERROR(SEARCH("Q",L4)))</formula>
    </cfRule>
  </conditionalFormatting>
  <conditionalFormatting sqref="L4:R39 L41:R124">
    <cfRule type="containsText" dxfId="387" priority="311" operator="containsText" text="J">
      <formula>NOT(ISERROR(SEARCH("J",L4)))</formula>
    </cfRule>
  </conditionalFormatting>
  <conditionalFormatting sqref="L4:R39 L41:R124">
    <cfRule type="containsText" dxfId="386" priority="312" operator="containsText" text="TE">
      <formula>NOT(ISERROR(SEARCH("TE",L4)))</formula>
    </cfRule>
  </conditionalFormatting>
  <conditionalFormatting sqref="L4:R39 L41:R124">
    <cfRule type="containsText" dxfId="385" priority="313" operator="containsText" text="MY">
      <formula>NOT(ISERROR(SEARCH("MY",L4)))</formula>
    </cfRule>
  </conditionalFormatting>
  <conditionalFormatting sqref="L40">
    <cfRule type="containsText" dxfId="384" priority="290" operator="containsText" text="M1">
      <formula>NOT(ISERROR(SEARCH("M1",L40)))</formula>
    </cfRule>
  </conditionalFormatting>
  <conditionalFormatting sqref="L40">
    <cfRule type="containsText" dxfId="383" priority="291" operator="containsText" text="M2">
      <formula>NOT(ISERROR(SEARCH("M2",L40)))</formula>
    </cfRule>
  </conditionalFormatting>
  <conditionalFormatting sqref="L40">
    <cfRule type="containsText" dxfId="382" priority="292" operator="containsText" text="M3">
      <formula>NOT(ISERROR(SEARCH("M3",L40)))</formula>
    </cfRule>
  </conditionalFormatting>
  <conditionalFormatting sqref="L40">
    <cfRule type="containsText" dxfId="381" priority="293" operator="containsText" text="M4">
      <formula>NOT(ISERROR(SEARCH("M4",L40)))</formula>
    </cfRule>
  </conditionalFormatting>
  <conditionalFormatting sqref="L40">
    <cfRule type="containsText" dxfId="380" priority="294" operator="containsText" text="M5">
      <formula>NOT(ISERROR(SEARCH("M5",L40)))</formula>
    </cfRule>
  </conditionalFormatting>
  <conditionalFormatting sqref="L40">
    <cfRule type="containsText" dxfId="379" priority="295" operator="containsText" text="M6">
      <formula>NOT(ISERROR(SEARCH("M6",L40)))</formula>
    </cfRule>
  </conditionalFormatting>
  <conditionalFormatting sqref="L40">
    <cfRule type="containsText" dxfId="378" priority="296" operator="containsText" text="A">
      <formula>NOT(ISERROR(SEARCH("A",L40)))</formula>
    </cfRule>
  </conditionalFormatting>
  <conditionalFormatting sqref="L40">
    <cfRule type="containsText" dxfId="377" priority="297" operator="containsText" text="K">
      <formula>NOT(ISERROR(SEARCH("K",L40)))</formula>
    </cfRule>
  </conditionalFormatting>
  <conditionalFormatting sqref="L40">
    <cfRule type="containsText" dxfId="376" priority="298" operator="containsText" text="Q">
      <formula>NOT(ISERROR(SEARCH("Q",L40)))</formula>
    </cfRule>
  </conditionalFormatting>
  <conditionalFormatting sqref="L40">
    <cfRule type="containsText" dxfId="375" priority="299" operator="containsText" text="J">
      <formula>NOT(ISERROR(SEARCH("J",L40)))</formula>
    </cfRule>
  </conditionalFormatting>
  <conditionalFormatting sqref="L40">
    <cfRule type="containsText" dxfId="374" priority="300" operator="containsText" text="TE">
      <formula>NOT(ISERROR(SEARCH("TE",L40)))</formula>
    </cfRule>
  </conditionalFormatting>
  <conditionalFormatting sqref="L40">
    <cfRule type="containsText" dxfId="373" priority="301" operator="containsText" text="MY">
      <formula>NOT(ISERROR(SEARCH("MY",L40)))</formula>
    </cfRule>
  </conditionalFormatting>
  <conditionalFormatting sqref="M40">
    <cfRule type="containsText" dxfId="372" priority="278" operator="containsText" text="M1">
      <formula>NOT(ISERROR(SEARCH("M1",M40)))</formula>
    </cfRule>
  </conditionalFormatting>
  <conditionalFormatting sqref="M40">
    <cfRule type="containsText" dxfId="371" priority="279" operator="containsText" text="M2">
      <formula>NOT(ISERROR(SEARCH("M2",M40)))</formula>
    </cfRule>
  </conditionalFormatting>
  <conditionalFormatting sqref="M40">
    <cfRule type="containsText" dxfId="370" priority="280" operator="containsText" text="M3">
      <formula>NOT(ISERROR(SEARCH("M3",M40)))</formula>
    </cfRule>
  </conditionalFormatting>
  <conditionalFormatting sqref="M40">
    <cfRule type="containsText" dxfId="369" priority="281" operator="containsText" text="M4">
      <formula>NOT(ISERROR(SEARCH("M4",M40)))</formula>
    </cfRule>
  </conditionalFormatting>
  <conditionalFormatting sqref="M40">
    <cfRule type="containsText" dxfId="368" priority="282" operator="containsText" text="M5">
      <formula>NOT(ISERROR(SEARCH("M5",M40)))</formula>
    </cfRule>
  </conditionalFormatting>
  <conditionalFormatting sqref="M40">
    <cfRule type="containsText" dxfId="367" priority="283" operator="containsText" text="M6">
      <formula>NOT(ISERROR(SEARCH("M6",M40)))</formula>
    </cfRule>
  </conditionalFormatting>
  <conditionalFormatting sqref="M40">
    <cfRule type="containsText" dxfId="366" priority="284" operator="containsText" text="A">
      <formula>NOT(ISERROR(SEARCH("A",M40)))</formula>
    </cfRule>
  </conditionalFormatting>
  <conditionalFormatting sqref="M40">
    <cfRule type="containsText" dxfId="365" priority="285" operator="containsText" text="K">
      <formula>NOT(ISERROR(SEARCH("K",M40)))</formula>
    </cfRule>
  </conditionalFormatting>
  <conditionalFormatting sqref="M40">
    <cfRule type="containsText" dxfId="364" priority="286" operator="containsText" text="Q">
      <formula>NOT(ISERROR(SEARCH("Q",M40)))</formula>
    </cfRule>
  </conditionalFormatting>
  <conditionalFormatting sqref="M40">
    <cfRule type="containsText" dxfId="363" priority="287" operator="containsText" text="J">
      <formula>NOT(ISERROR(SEARCH("J",M40)))</formula>
    </cfRule>
  </conditionalFormatting>
  <conditionalFormatting sqref="M40">
    <cfRule type="containsText" dxfId="362" priority="288" operator="containsText" text="TE">
      <formula>NOT(ISERROR(SEARCH("TE",M40)))</formula>
    </cfRule>
  </conditionalFormatting>
  <conditionalFormatting sqref="M40">
    <cfRule type="containsText" dxfId="361" priority="289" operator="containsText" text="MY">
      <formula>NOT(ISERROR(SEARCH("MY",M40)))</formula>
    </cfRule>
  </conditionalFormatting>
  <conditionalFormatting sqref="N40">
    <cfRule type="containsText" dxfId="360" priority="266" operator="containsText" text="M1">
      <formula>NOT(ISERROR(SEARCH("M1",N40)))</formula>
    </cfRule>
  </conditionalFormatting>
  <conditionalFormatting sqref="N40">
    <cfRule type="containsText" dxfId="359" priority="267" operator="containsText" text="M2">
      <formula>NOT(ISERROR(SEARCH("M2",N40)))</formula>
    </cfRule>
  </conditionalFormatting>
  <conditionalFormatting sqref="N40">
    <cfRule type="containsText" dxfId="358" priority="268" operator="containsText" text="M3">
      <formula>NOT(ISERROR(SEARCH("M3",N40)))</formula>
    </cfRule>
  </conditionalFormatting>
  <conditionalFormatting sqref="N40">
    <cfRule type="containsText" dxfId="357" priority="269" operator="containsText" text="M4">
      <formula>NOT(ISERROR(SEARCH("M4",N40)))</formula>
    </cfRule>
  </conditionalFormatting>
  <conditionalFormatting sqref="N40">
    <cfRule type="containsText" dxfId="356" priority="270" operator="containsText" text="M5">
      <formula>NOT(ISERROR(SEARCH("M5",N40)))</formula>
    </cfRule>
  </conditionalFormatting>
  <conditionalFormatting sqref="N40">
    <cfRule type="containsText" dxfId="355" priority="271" operator="containsText" text="M6">
      <formula>NOT(ISERROR(SEARCH("M6",N40)))</formula>
    </cfRule>
  </conditionalFormatting>
  <conditionalFormatting sqref="N40">
    <cfRule type="containsText" dxfId="354" priority="272" operator="containsText" text="A">
      <formula>NOT(ISERROR(SEARCH("A",N40)))</formula>
    </cfRule>
  </conditionalFormatting>
  <conditionalFormatting sqref="N40">
    <cfRule type="containsText" dxfId="353" priority="273" operator="containsText" text="K">
      <formula>NOT(ISERROR(SEARCH("K",N40)))</formula>
    </cfRule>
  </conditionalFormatting>
  <conditionalFormatting sqref="N40">
    <cfRule type="containsText" dxfId="352" priority="274" operator="containsText" text="Q">
      <formula>NOT(ISERROR(SEARCH("Q",N40)))</formula>
    </cfRule>
  </conditionalFormatting>
  <conditionalFormatting sqref="N40">
    <cfRule type="containsText" dxfId="351" priority="275" operator="containsText" text="J">
      <formula>NOT(ISERROR(SEARCH("J",N40)))</formula>
    </cfRule>
  </conditionalFormatting>
  <conditionalFormatting sqref="N40">
    <cfRule type="containsText" dxfId="350" priority="276" operator="containsText" text="TE">
      <formula>NOT(ISERROR(SEARCH("TE",N40)))</formula>
    </cfRule>
  </conditionalFormatting>
  <conditionalFormatting sqref="N40">
    <cfRule type="containsText" dxfId="349" priority="277" operator="containsText" text="MY">
      <formula>NOT(ISERROR(SEARCH("MY",N40)))</formula>
    </cfRule>
  </conditionalFormatting>
  <conditionalFormatting sqref="O40">
    <cfRule type="containsText" dxfId="348" priority="254" operator="containsText" text="M1">
      <formula>NOT(ISERROR(SEARCH("M1",O40)))</formula>
    </cfRule>
  </conditionalFormatting>
  <conditionalFormatting sqref="O40">
    <cfRule type="containsText" dxfId="347" priority="255" operator="containsText" text="M2">
      <formula>NOT(ISERROR(SEARCH("M2",O40)))</formula>
    </cfRule>
  </conditionalFormatting>
  <conditionalFormatting sqref="O40">
    <cfRule type="containsText" dxfId="346" priority="256" operator="containsText" text="M3">
      <formula>NOT(ISERROR(SEARCH("M3",O40)))</formula>
    </cfRule>
  </conditionalFormatting>
  <conditionalFormatting sqref="O40">
    <cfRule type="containsText" dxfId="345" priority="257" operator="containsText" text="M4">
      <formula>NOT(ISERROR(SEARCH("M4",O40)))</formula>
    </cfRule>
  </conditionalFormatting>
  <conditionalFormatting sqref="O40">
    <cfRule type="containsText" dxfId="344" priority="258" operator="containsText" text="M5">
      <formula>NOT(ISERROR(SEARCH("M5",O40)))</formula>
    </cfRule>
  </conditionalFormatting>
  <conditionalFormatting sqref="O40">
    <cfRule type="containsText" dxfId="343" priority="259" operator="containsText" text="M6">
      <formula>NOT(ISERROR(SEARCH("M6",O40)))</formula>
    </cfRule>
  </conditionalFormatting>
  <conditionalFormatting sqref="O40">
    <cfRule type="containsText" dxfId="342" priority="260" operator="containsText" text="A">
      <formula>NOT(ISERROR(SEARCH("A",O40)))</formula>
    </cfRule>
  </conditionalFormatting>
  <conditionalFormatting sqref="O40">
    <cfRule type="containsText" dxfId="341" priority="261" operator="containsText" text="K">
      <formula>NOT(ISERROR(SEARCH("K",O40)))</formula>
    </cfRule>
  </conditionalFormatting>
  <conditionalFormatting sqref="O40">
    <cfRule type="containsText" dxfId="340" priority="262" operator="containsText" text="Q">
      <formula>NOT(ISERROR(SEARCH("Q",O40)))</formula>
    </cfRule>
  </conditionalFormatting>
  <conditionalFormatting sqref="O40">
    <cfRule type="containsText" dxfId="339" priority="263" operator="containsText" text="J">
      <formula>NOT(ISERROR(SEARCH("J",O40)))</formula>
    </cfRule>
  </conditionalFormatting>
  <conditionalFormatting sqref="O40">
    <cfRule type="containsText" dxfId="338" priority="264" operator="containsText" text="TE">
      <formula>NOT(ISERROR(SEARCH("TE",O40)))</formula>
    </cfRule>
  </conditionalFormatting>
  <conditionalFormatting sqref="O40">
    <cfRule type="containsText" dxfId="337" priority="265" operator="containsText" text="MY">
      <formula>NOT(ISERROR(SEARCH("MY",O40)))</formula>
    </cfRule>
  </conditionalFormatting>
  <conditionalFormatting sqref="P40">
    <cfRule type="containsText" dxfId="336" priority="242" operator="containsText" text="M1">
      <formula>NOT(ISERROR(SEARCH("M1",P40)))</formula>
    </cfRule>
  </conditionalFormatting>
  <conditionalFormatting sqref="P40">
    <cfRule type="containsText" dxfId="335" priority="243" operator="containsText" text="M2">
      <formula>NOT(ISERROR(SEARCH("M2",P40)))</formula>
    </cfRule>
  </conditionalFormatting>
  <conditionalFormatting sqref="P40">
    <cfRule type="containsText" dxfId="334" priority="244" operator="containsText" text="M3">
      <formula>NOT(ISERROR(SEARCH("M3",P40)))</formula>
    </cfRule>
  </conditionalFormatting>
  <conditionalFormatting sqref="P40">
    <cfRule type="containsText" dxfId="333" priority="245" operator="containsText" text="M4">
      <formula>NOT(ISERROR(SEARCH("M4",P40)))</formula>
    </cfRule>
  </conditionalFormatting>
  <conditionalFormatting sqref="P40">
    <cfRule type="containsText" dxfId="332" priority="246" operator="containsText" text="M5">
      <formula>NOT(ISERROR(SEARCH("M5",P40)))</formula>
    </cfRule>
  </conditionalFormatting>
  <conditionalFormatting sqref="P40">
    <cfRule type="containsText" dxfId="331" priority="247" operator="containsText" text="M6">
      <formula>NOT(ISERROR(SEARCH("M6",P40)))</formula>
    </cfRule>
  </conditionalFormatting>
  <conditionalFormatting sqref="P40">
    <cfRule type="containsText" dxfId="330" priority="248" operator="containsText" text="A">
      <formula>NOT(ISERROR(SEARCH("A",P40)))</formula>
    </cfRule>
  </conditionalFormatting>
  <conditionalFormatting sqref="P40">
    <cfRule type="containsText" dxfId="329" priority="249" operator="containsText" text="K">
      <formula>NOT(ISERROR(SEARCH("K",P40)))</formula>
    </cfRule>
  </conditionalFormatting>
  <conditionalFormatting sqref="P40">
    <cfRule type="containsText" dxfId="328" priority="250" operator="containsText" text="Q">
      <formula>NOT(ISERROR(SEARCH("Q",P40)))</formula>
    </cfRule>
  </conditionalFormatting>
  <conditionalFormatting sqref="P40">
    <cfRule type="containsText" dxfId="327" priority="251" operator="containsText" text="J">
      <formula>NOT(ISERROR(SEARCH("J",P40)))</formula>
    </cfRule>
  </conditionalFormatting>
  <conditionalFormatting sqref="P40">
    <cfRule type="containsText" dxfId="326" priority="252" operator="containsText" text="TE">
      <formula>NOT(ISERROR(SEARCH("TE",P40)))</formula>
    </cfRule>
  </conditionalFormatting>
  <conditionalFormatting sqref="P40">
    <cfRule type="containsText" dxfId="325" priority="253" operator="containsText" text="MY">
      <formula>NOT(ISERROR(SEARCH("MY",P40)))</formula>
    </cfRule>
  </conditionalFormatting>
  <conditionalFormatting sqref="Q40">
    <cfRule type="containsText" dxfId="324" priority="230" operator="containsText" text="M1">
      <formula>NOT(ISERROR(SEARCH("M1",Q40)))</formula>
    </cfRule>
  </conditionalFormatting>
  <conditionalFormatting sqref="Q40">
    <cfRule type="containsText" dxfId="323" priority="231" operator="containsText" text="M2">
      <formula>NOT(ISERROR(SEARCH("M2",Q40)))</formula>
    </cfRule>
  </conditionalFormatting>
  <conditionalFormatting sqref="Q40">
    <cfRule type="containsText" dxfId="322" priority="232" operator="containsText" text="M3">
      <formula>NOT(ISERROR(SEARCH("M3",Q40)))</formula>
    </cfRule>
  </conditionalFormatting>
  <conditionalFormatting sqref="Q40">
    <cfRule type="containsText" dxfId="321" priority="233" operator="containsText" text="M4">
      <formula>NOT(ISERROR(SEARCH("M4",Q40)))</formula>
    </cfRule>
  </conditionalFormatting>
  <conditionalFormatting sqref="Q40">
    <cfRule type="containsText" dxfId="320" priority="234" operator="containsText" text="M5">
      <formula>NOT(ISERROR(SEARCH("M5",Q40)))</formula>
    </cfRule>
  </conditionalFormatting>
  <conditionalFormatting sqref="Q40">
    <cfRule type="containsText" dxfId="319" priority="235" operator="containsText" text="M6">
      <formula>NOT(ISERROR(SEARCH("M6",Q40)))</formula>
    </cfRule>
  </conditionalFormatting>
  <conditionalFormatting sqref="Q40">
    <cfRule type="containsText" dxfId="318" priority="236" operator="containsText" text="A">
      <formula>NOT(ISERROR(SEARCH("A",Q40)))</formula>
    </cfRule>
  </conditionalFormatting>
  <conditionalFormatting sqref="Q40">
    <cfRule type="containsText" dxfId="317" priority="237" operator="containsText" text="K">
      <formula>NOT(ISERROR(SEARCH("K",Q40)))</formula>
    </cfRule>
  </conditionalFormatting>
  <conditionalFormatting sqref="Q40">
    <cfRule type="containsText" dxfId="316" priority="238" operator="containsText" text="Q">
      <formula>NOT(ISERROR(SEARCH("Q",Q40)))</formula>
    </cfRule>
  </conditionalFormatting>
  <conditionalFormatting sqref="Q40">
    <cfRule type="containsText" dxfId="315" priority="239" operator="containsText" text="J">
      <formula>NOT(ISERROR(SEARCH("J",Q40)))</formula>
    </cfRule>
  </conditionalFormatting>
  <conditionalFormatting sqref="Q40">
    <cfRule type="containsText" dxfId="314" priority="240" operator="containsText" text="TE">
      <formula>NOT(ISERROR(SEARCH("TE",Q40)))</formula>
    </cfRule>
  </conditionalFormatting>
  <conditionalFormatting sqref="Q40">
    <cfRule type="containsText" dxfId="313" priority="241" operator="containsText" text="MY">
      <formula>NOT(ISERROR(SEARCH("MY",Q40)))</formula>
    </cfRule>
  </conditionalFormatting>
  <conditionalFormatting sqref="R40">
    <cfRule type="containsText" dxfId="312" priority="218" operator="containsText" text="M1">
      <formula>NOT(ISERROR(SEARCH("M1",R40)))</formula>
    </cfRule>
  </conditionalFormatting>
  <conditionalFormatting sqref="R40">
    <cfRule type="containsText" dxfId="311" priority="219" operator="containsText" text="M2">
      <formula>NOT(ISERROR(SEARCH("M2",R40)))</formula>
    </cfRule>
  </conditionalFormatting>
  <conditionalFormatting sqref="R40">
    <cfRule type="containsText" dxfId="310" priority="220" operator="containsText" text="M3">
      <formula>NOT(ISERROR(SEARCH("M3",R40)))</formula>
    </cfRule>
  </conditionalFormatting>
  <conditionalFormatting sqref="R40">
    <cfRule type="containsText" dxfId="309" priority="221" operator="containsText" text="M4">
      <formula>NOT(ISERROR(SEARCH("M4",R40)))</formula>
    </cfRule>
  </conditionalFormatting>
  <conditionalFormatting sqref="R40">
    <cfRule type="containsText" dxfId="308" priority="222" operator="containsText" text="M5">
      <formula>NOT(ISERROR(SEARCH("M5",R40)))</formula>
    </cfRule>
  </conditionalFormatting>
  <conditionalFormatting sqref="R40">
    <cfRule type="containsText" dxfId="307" priority="223" operator="containsText" text="M6">
      <formula>NOT(ISERROR(SEARCH("M6",R40)))</formula>
    </cfRule>
  </conditionalFormatting>
  <conditionalFormatting sqref="R40">
    <cfRule type="containsText" dxfId="306" priority="224" operator="containsText" text="A">
      <formula>NOT(ISERROR(SEARCH("A",R40)))</formula>
    </cfRule>
  </conditionalFormatting>
  <conditionalFormatting sqref="R40">
    <cfRule type="containsText" dxfId="305" priority="225" operator="containsText" text="K">
      <formula>NOT(ISERROR(SEARCH("K",R40)))</formula>
    </cfRule>
  </conditionalFormatting>
  <conditionalFormatting sqref="R40">
    <cfRule type="containsText" dxfId="304" priority="226" operator="containsText" text="Q">
      <formula>NOT(ISERROR(SEARCH("Q",R40)))</formula>
    </cfRule>
  </conditionalFormatting>
  <conditionalFormatting sqref="R40">
    <cfRule type="containsText" dxfId="303" priority="227" operator="containsText" text="J">
      <formula>NOT(ISERROR(SEARCH("J",R40)))</formula>
    </cfRule>
  </conditionalFormatting>
  <conditionalFormatting sqref="R40">
    <cfRule type="containsText" dxfId="302" priority="228" operator="containsText" text="TE">
      <formula>NOT(ISERROR(SEARCH("TE",R40)))</formula>
    </cfRule>
  </conditionalFormatting>
  <conditionalFormatting sqref="R40">
    <cfRule type="containsText" dxfId="301" priority="229" operator="containsText" text="MY">
      <formula>NOT(ISERROR(SEARCH("MY",R40)))</formula>
    </cfRule>
  </conditionalFormatting>
  <conditionalFormatting sqref="BE4:BK39 BE41:BK124">
    <cfRule type="containsText" dxfId="300" priority="206" operator="containsText" text="M1">
      <formula>NOT(ISERROR(SEARCH("M1",BE4)))</formula>
    </cfRule>
  </conditionalFormatting>
  <conditionalFormatting sqref="BE4:BK39 BE41:BK124">
    <cfRule type="containsText" dxfId="299" priority="207" operator="containsText" text="M2">
      <formula>NOT(ISERROR(SEARCH("M2",BE4)))</formula>
    </cfRule>
  </conditionalFormatting>
  <conditionalFormatting sqref="BE4:BK39 BE41:BK124">
    <cfRule type="containsText" dxfId="298" priority="208" operator="containsText" text="M3">
      <formula>NOT(ISERROR(SEARCH("M3",BE4)))</formula>
    </cfRule>
  </conditionalFormatting>
  <conditionalFormatting sqref="BE4:BK39 BE41:BK124">
    <cfRule type="containsText" dxfId="297" priority="209" operator="containsText" text="M4">
      <formula>NOT(ISERROR(SEARCH("M4",BE4)))</formula>
    </cfRule>
  </conditionalFormatting>
  <conditionalFormatting sqref="BE4:BK39 BE41:BK124">
    <cfRule type="containsText" dxfId="296" priority="210" operator="containsText" text="M5">
      <formula>NOT(ISERROR(SEARCH("M5",BE4)))</formula>
    </cfRule>
  </conditionalFormatting>
  <conditionalFormatting sqref="BE4:BK39 BE41:BK124">
    <cfRule type="containsText" dxfId="295" priority="211" operator="containsText" text="M6">
      <formula>NOT(ISERROR(SEARCH("M6",BE4)))</formula>
    </cfRule>
  </conditionalFormatting>
  <conditionalFormatting sqref="BE4:BK39 BE41:BK124">
    <cfRule type="containsText" dxfId="294" priority="212" operator="containsText" text="A">
      <formula>NOT(ISERROR(SEARCH("A",BE4)))</formula>
    </cfRule>
  </conditionalFormatting>
  <conditionalFormatting sqref="BE4:BK39 BE41:BK124">
    <cfRule type="containsText" dxfId="293" priority="213" operator="containsText" text="K">
      <formula>NOT(ISERROR(SEARCH("K",BE4)))</formula>
    </cfRule>
  </conditionalFormatting>
  <conditionalFormatting sqref="BE4:BK39 BE41:BK124">
    <cfRule type="containsText" dxfId="292" priority="214" operator="containsText" text="Q">
      <formula>NOT(ISERROR(SEARCH("Q",BE4)))</formula>
    </cfRule>
  </conditionalFormatting>
  <conditionalFormatting sqref="BE4:BK39 BE41:BK124">
    <cfRule type="containsText" dxfId="291" priority="215" operator="containsText" text="J">
      <formula>NOT(ISERROR(SEARCH("J",BE4)))</formula>
    </cfRule>
  </conditionalFormatting>
  <conditionalFormatting sqref="BE4:BK39 BE41:BK124">
    <cfRule type="containsText" dxfId="290" priority="216" operator="containsText" text="TE">
      <formula>NOT(ISERROR(SEARCH("TE",BE4)))</formula>
    </cfRule>
  </conditionalFormatting>
  <conditionalFormatting sqref="BE4:BK39 BE41:BK124">
    <cfRule type="containsText" dxfId="289" priority="217" operator="containsText" text="MY">
      <formula>NOT(ISERROR(SEARCH("MY",BE4)))</formula>
    </cfRule>
  </conditionalFormatting>
  <conditionalFormatting sqref="BE40">
    <cfRule type="containsText" dxfId="288" priority="194" operator="containsText" text="M1">
      <formula>NOT(ISERROR(SEARCH("M1",BE40)))</formula>
    </cfRule>
  </conditionalFormatting>
  <conditionalFormatting sqref="BE40">
    <cfRule type="containsText" dxfId="287" priority="195" operator="containsText" text="M2">
      <formula>NOT(ISERROR(SEARCH("M2",BE40)))</formula>
    </cfRule>
  </conditionalFormatting>
  <conditionalFormatting sqref="BE40">
    <cfRule type="containsText" dxfId="286" priority="196" operator="containsText" text="M3">
      <formula>NOT(ISERROR(SEARCH("M3",BE40)))</formula>
    </cfRule>
  </conditionalFormatting>
  <conditionalFormatting sqref="BE40">
    <cfRule type="containsText" dxfId="285" priority="197" operator="containsText" text="M4">
      <formula>NOT(ISERROR(SEARCH("M4",BE40)))</formula>
    </cfRule>
  </conditionalFormatting>
  <conditionalFormatting sqref="BE40">
    <cfRule type="containsText" dxfId="284" priority="198" operator="containsText" text="M5">
      <formula>NOT(ISERROR(SEARCH("M5",BE40)))</formula>
    </cfRule>
  </conditionalFormatting>
  <conditionalFormatting sqref="BE40">
    <cfRule type="containsText" dxfId="283" priority="199" operator="containsText" text="M6">
      <formula>NOT(ISERROR(SEARCH("M6",BE40)))</formula>
    </cfRule>
  </conditionalFormatting>
  <conditionalFormatting sqref="BE40">
    <cfRule type="containsText" dxfId="282" priority="200" operator="containsText" text="A">
      <formula>NOT(ISERROR(SEARCH("A",BE40)))</formula>
    </cfRule>
  </conditionalFormatting>
  <conditionalFormatting sqref="BE40">
    <cfRule type="containsText" dxfId="281" priority="201" operator="containsText" text="K">
      <formula>NOT(ISERROR(SEARCH("K",BE40)))</formula>
    </cfRule>
  </conditionalFormatting>
  <conditionalFormatting sqref="BE40">
    <cfRule type="containsText" dxfId="280" priority="202" operator="containsText" text="Q">
      <formula>NOT(ISERROR(SEARCH("Q",BE40)))</formula>
    </cfRule>
  </conditionalFormatting>
  <conditionalFormatting sqref="BE40">
    <cfRule type="containsText" dxfId="279" priority="203" operator="containsText" text="J">
      <formula>NOT(ISERROR(SEARCH("J",BE40)))</formula>
    </cfRule>
  </conditionalFormatting>
  <conditionalFormatting sqref="BE40">
    <cfRule type="containsText" dxfId="278" priority="204" operator="containsText" text="TE">
      <formula>NOT(ISERROR(SEARCH("TE",BE40)))</formula>
    </cfRule>
  </conditionalFormatting>
  <conditionalFormatting sqref="BE40">
    <cfRule type="containsText" dxfId="277" priority="205" operator="containsText" text="MY">
      <formula>NOT(ISERROR(SEARCH("MY",BE40)))</formula>
    </cfRule>
  </conditionalFormatting>
  <conditionalFormatting sqref="BF40">
    <cfRule type="containsText" dxfId="276" priority="182" operator="containsText" text="M1">
      <formula>NOT(ISERROR(SEARCH("M1",BF40)))</formula>
    </cfRule>
  </conditionalFormatting>
  <conditionalFormatting sqref="BF40">
    <cfRule type="containsText" dxfId="275" priority="183" operator="containsText" text="M2">
      <formula>NOT(ISERROR(SEARCH("M2",BF40)))</formula>
    </cfRule>
  </conditionalFormatting>
  <conditionalFormatting sqref="BF40">
    <cfRule type="containsText" dxfId="274" priority="184" operator="containsText" text="M3">
      <formula>NOT(ISERROR(SEARCH("M3",BF40)))</formula>
    </cfRule>
  </conditionalFormatting>
  <conditionalFormatting sqref="BF40">
    <cfRule type="containsText" dxfId="273" priority="185" operator="containsText" text="M4">
      <formula>NOT(ISERROR(SEARCH("M4",BF40)))</formula>
    </cfRule>
  </conditionalFormatting>
  <conditionalFormatting sqref="BF40">
    <cfRule type="containsText" dxfId="272" priority="186" operator="containsText" text="M5">
      <formula>NOT(ISERROR(SEARCH("M5",BF40)))</formula>
    </cfRule>
  </conditionalFormatting>
  <conditionalFormatting sqref="BF40">
    <cfRule type="containsText" dxfId="271" priority="187" operator="containsText" text="M6">
      <formula>NOT(ISERROR(SEARCH("M6",BF40)))</formula>
    </cfRule>
  </conditionalFormatting>
  <conditionalFormatting sqref="BF40">
    <cfRule type="containsText" dxfId="270" priority="188" operator="containsText" text="A">
      <formula>NOT(ISERROR(SEARCH("A",BF40)))</formula>
    </cfRule>
  </conditionalFormatting>
  <conditionalFormatting sqref="BF40">
    <cfRule type="containsText" dxfId="269" priority="189" operator="containsText" text="K">
      <formula>NOT(ISERROR(SEARCH("K",BF40)))</formula>
    </cfRule>
  </conditionalFormatting>
  <conditionalFormatting sqref="BF40">
    <cfRule type="containsText" dxfId="268" priority="190" operator="containsText" text="Q">
      <formula>NOT(ISERROR(SEARCH("Q",BF40)))</formula>
    </cfRule>
  </conditionalFormatting>
  <conditionalFormatting sqref="BF40">
    <cfRule type="containsText" dxfId="267" priority="191" operator="containsText" text="J">
      <formula>NOT(ISERROR(SEARCH("J",BF40)))</formula>
    </cfRule>
  </conditionalFormatting>
  <conditionalFormatting sqref="BF40">
    <cfRule type="containsText" dxfId="266" priority="192" operator="containsText" text="TE">
      <formula>NOT(ISERROR(SEARCH("TE",BF40)))</formula>
    </cfRule>
  </conditionalFormatting>
  <conditionalFormatting sqref="BF40">
    <cfRule type="containsText" dxfId="265" priority="193" operator="containsText" text="MY">
      <formula>NOT(ISERROR(SEARCH("MY",BF40)))</formula>
    </cfRule>
  </conditionalFormatting>
  <conditionalFormatting sqref="BG40">
    <cfRule type="containsText" dxfId="264" priority="170" operator="containsText" text="M1">
      <formula>NOT(ISERROR(SEARCH("M1",BG40)))</formula>
    </cfRule>
  </conditionalFormatting>
  <conditionalFormatting sqref="BG40">
    <cfRule type="containsText" dxfId="263" priority="171" operator="containsText" text="M2">
      <formula>NOT(ISERROR(SEARCH("M2",BG40)))</formula>
    </cfRule>
  </conditionalFormatting>
  <conditionalFormatting sqref="BG40">
    <cfRule type="containsText" dxfId="262" priority="172" operator="containsText" text="M3">
      <formula>NOT(ISERROR(SEARCH("M3",BG40)))</formula>
    </cfRule>
  </conditionalFormatting>
  <conditionalFormatting sqref="BG40">
    <cfRule type="containsText" dxfId="261" priority="173" operator="containsText" text="M4">
      <formula>NOT(ISERROR(SEARCH("M4",BG40)))</formula>
    </cfRule>
  </conditionalFormatting>
  <conditionalFormatting sqref="BG40">
    <cfRule type="containsText" dxfId="260" priority="174" operator="containsText" text="M5">
      <formula>NOT(ISERROR(SEARCH("M5",BG40)))</formula>
    </cfRule>
  </conditionalFormatting>
  <conditionalFormatting sqref="BG40">
    <cfRule type="containsText" dxfId="259" priority="175" operator="containsText" text="M6">
      <formula>NOT(ISERROR(SEARCH("M6",BG40)))</formula>
    </cfRule>
  </conditionalFormatting>
  <conditionalFormatting sqref="BG40">
    <cfRule type="containsText" dxfId="258" priority="176" operator="containsText" text="A">
      <formula>NOT(ISERROR(SEARCH("A",BG40)))</formula>
    </cfRule>
  </conditionalFormatting>
  <conditionalFormatting sqref="BG40">
    <cfRule type="containsText" dxfId="257" priority="177" operator="containsText" text="K">
      <formula>NOT(ISERROR(SEARCH("K",BG40)))</formula>
    </cfRule>
  </conditionalFormatting>
  <conditionalFormatting sqref="BG40">
    <cfRule type="containsText" dxfId="256" priority="178" operator="containsText" text="Q">
      <formula>NOT(ISERROR(SEARCH("Q",BG40)))</formula>
    </cfRule>
  </conditionalFormatting>
  <conditionalFormatting sqref="BG40">
    <cfRule type="containsText" dxfId="255" priority="179" operator="containsText" text="J">
      <formula>NOT(ISERROR(SEARCH("J",BG40)))</formula>
    </cfRule>
  </conditionalFormatting>
  <conditionalFormatting sqref="BG40">
    <cfRule type="containsText" dxfId="254" priority="180" operator="containsText" text="TE">
      <formula>NOT(ISERROR(SEARCH("TE",BG40)))</formula>
    </cfRule>
  </conditionalFormatting>
  <conditionalFormatting sqref="BG40">
    <cfRule type="containsText" dxfId="253" priority="181" operator="containsText" text="MY">
      <formula>NOT(ISERROR(SEARCH("MY",BG40)))</formula>
    </cfRule>
  </conditionalFormatting>
  <conditionalFormatting sqref="BH40">
    <cfRule type="containsText" dxfId="252" priority="158" operator="containsText" text="M1">
      <formula>NOT(ISERROR(SEARCH("M1",BH40)))</formula>
    </cfRule>
  </conditionalFormatting>
  <conditionalFormatting sqref="BH40">
    <cfRule type="containsText" dxfId="251" priority="159" operator="containsText" text="M2">
      <formula>NOT(ISERROR(SEARCH("M2",BH40)))</formula>
    </cfRule>
  </conditionalFormatting>
  <conditionalFormatting sqref="BH40">
    <cfRule type="containsText" dxfId="250" priority="160" operator="containsText" text="M3">
      <formula>NOT(ISERROR(SEARCH("M3",BH40)))</formula>
    </cfRule>
  </conditionalFormatting>
  <conditionalFormatting sqref="BH40">
    <cfRule type="containsText" dxfId="249" priority="161" operator="containsText" text="M4">
      <formula>NOT(ISERROR(SEARCH("M4",BH40)))</formula>
    </cfRule>
  </conditionalFormatting>
  <conditionalFormatting sqref="BH40">
    <cfRule type="containsText" dxfId="248" priority="162" operator="containsText" text="M5">
      <formula>NOT(ISERROR(SEARCH("M5",BH40)))</formula>
    </cfRule>
  </conditionalFormatting>
  <conditionalFormatting sqref="BH40">
    <cfRule type="containsText" dxfId="247" priority="163" operator="containsText" text="M6">
      <formula>NOT(ISERROR(SEARCH("M6",BH40)))</formula>
    </cfRule>
  </conditionalFormatting>
  <conditionalFormatting sqref="BH40">
    <cfRule type="containsText" dxfId="246" priority="164" operator="containsText" text="A">
      <formula>NOT(ISERROR(SEARCH("A",BH40)))</formula>
    </cfRule>
  </conditionalFormatting>
  <conditionalFormatting sqref="BH40">
    <cfRule type="containsText" dxfId="245" priority="165" operator="containsText" text="K">
      <formula>NOT(ISERROR(SEARCH("K",BH40)))</formula>
    </cfRule>
  </conditionalFormatting>
  <conditionalFormatting sqref="BH40">
    <cfRule type="containsText" dxfId="244" priority="166" operator="containsText" text="Q">
      <formula>NOT(ISERROR(SEARCH("Q",BH40)))</formula>
    </cfRule>
  </conditionalFormatting>
  <conditionalFormatting sqref="BH40">
    <cfRule type="containsText" dxfId="243" priority="167" operator="containsText" text="J">
      <formula>NOT(ISERROR(SEARCH("J",BH40)))</formula>
    </cfRule>
  </conditionalFormatting>
  <conditionalFormatting sqref="BH40">
    <cfRule type="containsText" dxfId="242" priority="168" operator="containsText" text="TE">
      <formula>NOT(ISERROR(SEARCH("TE",BH40)))</formula>
    </cfRule>
  </conditionalFormatting>
  <conditionalFormatting sqref="BH40">
    <cfRule type="containsText" dxfId="241" priority="169" operator="containsText" text="MY">
      <formula>NOT(ISERROR(SEARCH("MY",BH40)))</formula>
    </cfRule>
  </conditionalFormatting>
  <conditionalFormatting sqref="BI40">
    <cfRule type="containsText" dxfId="240" priority="146" operator="containsText" text="M1">
      <formula>NOT(ISERROR(SEARCH("M1",BI40)))</formula>
    </cfRule>
  </conditionalFormatting>
  <conditionalFormatting sqref="BI40">
    <cfRule type="containsText" dxfId="239" priority="147" operator="containsText" text="M2">
      <formula>NOT(ISERROR(SEARCH("M2",BI40)))</formula>
    </cfRule>
  </conditionalFormatting>
  <conditionalFormatting sqref="BI40">
    <cfRule type="containsText" dxfId="238" priority="148" operator="containsText" text="M3">
      <formula>NOT(ISERROR(SEARCH("M3",BI40)))</formula>
    </cfRule>
  </conditionalFormatting>
  <conditionalFormatting sqref="BI40">
    <cfRule type="containsText" dxfId="237" priority="149" operator="containsText" text="M4">
      <formula>NOT(ISERROR(SEARCH("M4",BI40)))</formula>
    </cfRule>
  </conditionalFormatting>
  <conditionalFormatting sqref="BI40">
    <cfRule type="containsText" dxfId="236" priority="150" operator="containsText" text="M5">
      <formula>NOT(ISERROR(SEARCH("M5",BI40)))</formula>
    </cfRule>
  </conditionalFormatting>
  <conditionalFormatting sqref="BI40">
    <cfRule type="containsText" dxfId="235" priority="151" operator="containsText" text="M6">
      <formula>NOT(ISERROR(SEARCH("M6",BI40)))</formula>
    </cfRule>
  </conditionalFormatting>
  <conditionalFormatting sqref="BI40">
    <cfRule type="containsText" dxfId="234" priority="152" operator="containsText" text="A">
      <formula>NOT(ISERROR(SEARCH("A",BI40)))</formula>
    </cfRule>
  </conditionalFormatting>
  <conditionalFormatting sqref="BI40">
    <cfRule type="containsText" dxfId="233" priority="153" operator="containsText" text="K">
      <formula>NOT(ISERROR(SEARCH("K",BI40)))</formula>
    </cfRule>
  </conditionalFormatting>
  <conditionalFormatting sqref="BI40">
    <cfRule type="containsText" dxfId="232" priority="154" operator="containsText" text="Q">
      <formula>NOT(ISERROR(SEARCH("Q",BI40)))</formula>
    </cfRule>
  </conditionalFormatting>
  <conditionalFormatting sqref="BI40">
    <cfRule type="containsText" dxfId="231" priority="155" operator="containsText" text="J">
      <formula>NOT(ISERROR(SEARCH("J",BI40)))</formula>
    </cfRule>
  </conditionalFormatting>
  <conditionalFormatting sqref="BI40">
    <cfRule type="containsText" dxfId="230" priority="156" operator="containsText" text="TE">
      <formula>NOT(ISERROR(SEARCH("TE",BI40)))</formula>
    </cfRule>
  </conditionalFormatting>
  <conditionalFormatting sqref="BI40">
    <cfRule type="containsText" dxfId="229" priority="157" operator="containsText" text="MY">
      <formula>NOT(ISERROR(SEARCH("MY",BI40)))</formula>
    </cfRule>
  </conditionalFormatting>
  <conditionalFormatting sqref="BJ40">
    <cfRule type="containsText" dxfId="228" priority="134" operator="containsText" text="M1">
      <formula>NOT(ISERROR(SEARCH("M1",BJ40)))</formula>
    </cfRule>
  </conditionalFormatting>
  <conditionalFormatting sqref="BJ40">
    <cfRule type="containsText" dxfId="227" priority="135" operator="containsText" text="M2">
      <formula>NOT(ISERROR(SEARCH("M2",BJ40)))</formula>
    </cfRule>
  </conditionalFormatting>
  <conditionalFormatting sqref="BJ40">
    <cfRule type="containsText" dxfId="226" priority="136" operator="containsText" text="M3">
      <formula>NOT(ISERROR(SEARCH("M3",BJ40)))</formula>
    </cfRule>
  </conditionalFormatting>
  <conditionalFormatting sqref="BJ40">
    <cfRule type="containsText" dxfId="225" priority="137" operator="containsText" text="M4">
      <formula>NOT(ISERROR(SEARCH("M4",BJ40)))</formula>
    </cfRule>
  </conditionalFormatting>
  <conditionalFormatting sqref="BJ40">
    <cfRule type="containsText" dxfId="224" priority="138" operator="containsText" text="M5">
      <formula>NOT(ISERROR(SEARCH("M5",BJ40)))</formula>
    </cfRule>
  </conditionalFormatting>
  <conditionalFormatting sqref="BJ40">
    <cfRule type="containsText" dxfId="223" priority="139" operator="containsText" text="M6">
      <formula>NOT(ISERROR(SEARCH("M6",BJ40)))</formula>
    </cfRule>
  </conditionalFormatting>
  <conditionalFormatting sqref="BJ40">
    <cfRule type="containsText" dxfId="222" priority="140" operator="containsText" text="A">
      <formula>NOT(ISERROR(SEARCH("A",BJ40)))</formula>
    </cfRule>
  </conditionalFormatting>
  <conditionalFormatting sqref="BJ40">
    <cfRule type="containsText" dxfId="221" priority="141" operator="containsText" text="K">
      <formula>NOT(ISERROR(SEARCH("K",BJ40)))</formula>
    </cfRule>
  </conditionalFormatting>
  <conditionalFormatting sqref="BJ40">
    <cfRule type="containsText" dxfId="220" priority="142" operator="containsText" text="Q">
      <formula>NOT(ISERROR(SEARCH("Q",BJ40)))</formula>
    </cfRule>
  </conditionalFormatting>
  <conditionalFormatting sqref="BJ40">
    <cfRule type="containsText" dxfId="219" priority="143" operator="containsText" text="J">
      <formula>NOT(ISERROR(SEARCH("J",BJ40)))</formula>
    </cfRule>
  </conditionalFormatting>
  <conditionalFormatting sqref="BJ40">
    <cfRule type="containsText" dxfId="218" priority="144" operator="containsText" text="TE">
      <formula>NOT(ISERROR(SEARCH("TE",BJ40)))</formula>
    </cfRule>
  </conditionalFormatting>
  <conditionalFormatting sqref="BJ40">
    <cfRule type="containsText" dxfId="217" priority="145" operator="containsText" text="MY">
      <formula>NOT(ISERROR(SEARCH("MY",BJ40)))</formula>
    </cfRule>
  </conditionalFormatting>
  <conditionalFormatting sqref="BK40">
    <cfRule type="containsText" dxfId="216" priority="122" operator="containsText" text="M1">
      <formula>NOT(ISERROR(SEARCH("M1",BK40)))</formula>
    </cfRule>
  </conditionalFormatting>
  <conditionalFormatting sqref="BK40">
    <cfRule type="containsText" dxfId="215" priority="123" operator="containsText" text="M2">
      <formula>NOT(ISERROR(SEARCH("M2",BK40)))</formula>
    </cfRule>
  </conditionalFormatting>
  <conditionalFormatting sqref="BK40">
    <cfRule type="containsText" dxfId="214" priority="124" operator="containsText" text="M3">
      <formula>NOT(ISERROR(SEARCH("M3",BK40)))</formula>
    </cfRule>
  </conditionalFormatting>
  <conditionalFormatting sqref="BK40">
    <cfRule type="containsText" dxfId="213" priority="125" operator="containsText" text="M4">
      <formula>NOT(ISERROR(SEARCH("M4",BK40)))</formula>
    </cfRule>
  </conditionalFormatting>
  <conditionalFormatting sqref="BK40">
    <cfRule type="containsText" dxfId="212" priority="126" operator="containsText" text="M5">
      <formula>NOT(ISERROR(SEARCH("M5",BK40)))</formula>
    </cfRule>
  </conditionalFormatting>
  <conditionalFormatting sqref="BK40">
    <cfRule type="containsText" dxfId="211" priority="127" operator="containsText" text="M6">
      <formula>NOT(ISERROR(SEARCH("M6",BK40)))</formula>
    </cfRule>
  </conditionalFormatting>
  <conditionalFormatting sqref="BK40">
    <cfRule type="containsText" dxfId="210" priority="128" operator="containsText" text="A">
      <formula>NOT(ISERROR(SEARCH("A",BK40)))</formula>
    </cfRule>
  </conditionalFormatting>
  <conditionalFormatting sqref="BK40">
    <cfRule type="containsText" dxfId="209" priority="129" operator="containsText" text="K">
      <formula>NOT(ISERROR(SEARCH("K",BK40)))</formula>
    </cfRule>
  </conditionalFormatting>
  <conditionalFormatting sqref="BK40">
    <cfRule type="containsText" dxfId="208" priority="130" operator="containsText" text="Q">
      <formula>NOT(ISERROR(SEARCH("Q",BK40)))</formula>
    </cfRule>
  </conditionalFormatting>
  <conditionalFormatting sqref="BK40">
    <cfRule type="containsText" dxfId="207" priority="131" operator="containsText" text="J">
      <formula>NOT(ISERROR(SEARCH("J",BK40)))</formula>
    </cfRule>
  </conditionalFormatting>
  <conditionalFormatting sqref="BK40">
    <cfRule type="containsText" dxfId="206" priority="132" operator="containsText" text="TE">
      <formula>NOT(ISERROR(SEARCH("TE",BK40)))</formula>
    </cfRule>
  </conditionalFormatting>
  <conditionalFormatting sqref="BK40">
    <cfRule type="containsText" dxfId="205" priority="133" operator="containsText" text="MY">
      <formula>NOT(ISERROR(SEARCH("MY",BK40)))</formula>
    </cfRule>
  </conditionalFormatting>
  <conditionalFormatting sqref="DN4:DT124">
    <cfRule type="expression" dxfId="204" priority="97">
      <formula>DN4&lt;&gt;#REF!</formula>
    </cfRule>
  </conditionalFormatting>
  <conditionalFormatting sqref="CX125:DD304">
    <cfRule type="containsText" dxfId="203" priority="98" operator="containsText" text="M1">
      <formula>NOT(ISERROR(SEARCH("M1",CX125)))</formula>
    </cfRule>
  </conditionalFormatting>
  <conditionalFormatting sqref="CX125:DD304">
    <cfRule type="containsText" dxfId="202" priority="99" operator="containsText" text="M2">
      <formula>NOT(ISERROR(SEARCH("M2",CX125)))</formula>
    </cfRule>
  </conditionalFormatting>
  <conditionalFormatting sqref="CX125:DD304">
    <cfRule type="containsText" dxfId="201" priority="100" operator="containsText" text="M3">
      <formula>NOT(ISERROR(SEARCH("M3",CX125)))</formula>
    </cfRule>
  </conditionalFormatting>
  <conditionalFormatting sqref="CX125:DD304">
    <cfRule type="containsText" dxfId="200" priority="101" operator="containsText" text="M4">
      <formula>NOT(ISERROR(SEARCH("M4",CX125)))</formula>
    </cfRule>
  </conditionalFormatting>
  <conditionalFormatting sqref="CX125:DD304">
    <cfRule type="containsText" dxfId="199" priority="102" operator="containsText" text="M5">
      <formula>NOT(ISERROR(SEARCH("M5",CX125)))</formula>
    </cfRule>
  </conditionalFormatting>
  <conditionalFormatting sqref="CX125:DD304">
    <cfRule type="containsText" dxfId="198" priority="103" operator="containsText" text="M6">
      <formula>NOT(ISERROR(SEARCH("M6",CX125)))</formula>
    </cfRule>
  </conditionalFormatting>
  <conditionalFormatting sqref="CX125:DD304">
    <cfRule type="containsText" dxfId="197" priority="104" operator="containsText" text="A">
      <formula>NOT(ISERROR(SEARCH("A",CX125)))</formula>
    </cfRule>
  </conditionalFormatting>
  <conditionalFormatting sqref="CX125:DD304">
    <cfRule type="containsText" dxfId="196" priority="105" operator="containsText" text="K">
      <formula>NOT(ISERROR(SEARCH("K",CX125)))</formula>
    </cfRule>
  </conditionalFormatting>
  <conditionalFormatting sqref="CX125:DD304">
    <cfRule type="containsText" dxfId="195" priority="106" operator="containsText" text="Q">
      <formula>NOT(ISERROR(SEARCH("Q",CX125)))</formula>
    </cfRule>
  </conditionalFormatting>
  <conditionalFormatting sqref="CX125:DD304">
    <cfRule type="containsText" dxfId="194" priority="107" operator="containsText" text="J">
      <formula>NOT(ISERROR(SEARCH("J",CX125)))</formula>
    </cfRule>
  </conditionalFormatting>
  <conditionalFormatting sqref="CX125:DD304">
    <cfRule type="containsText" dxfId="193" priority="108" operator="containsText" text="TE">
      <formula>NOT(ISERROR(SEARCH("TE",CX125)))</formula>
    </cfRule>
  </conditionalFormatting>
  <conditionalFormatting sqref="CX125:DD304">
    <cfRule type="containsText" dxfId="192" priority="109" operator="containsText" text="MY">
      <formula>NOT(ISERROR(SEARCH("MY",CX125)))</formula>
    </cfRule>
  </conditionalFormatting>
  <conditionalFormatting sqref="CM4:CM29">
    <cfRule type="containsText" dxfId="191" priority="110" operator="containsText" text="M1">
      <formula>NOT(ISERROR(SEARCH("M1",CM4)))</formula>
    </cfRule>
  </conditionalFormatting>
  <conditionalFormatting sqref="CM4:CM29">
    <cfRule type="containsText" dxfId="190" priority="111" operator="containsText" text="M2">
      <formula>NOT(ISERROR(SEARCH("M2",CM4)))</formula>
    </cfRule>
  </conditionalFormatting>
  <conditionalFormatting sqref="CM4:CM29">
    <cfRule type="containsText" dxfId="189" priority="112" operator="containsText" text="M3">
      <formula>NOT(ISERROR(SEARCH("M3",CM4)))</formula>
    </cfRule>
  </conditionalFormatting>
  <conditionalFormatting sqref="CM4:CM29">
    <cfRule type="containsText" dxfId="188" priority="113" operator="containsText" text="M4">
      <formula>NOT(ISERROR(SEARCH("M4",CM4)))</formula>
    </cfRule>
  </conditionalFormatting>
  <conditionalFormatting sqref="CM4:CM29">
    <cfRule type="containsText" dxfId="187" priority="114" operator="containsText" text="M5">
      <formula>NOT(ISERROR(SEARCH("M5",CM4)))</formula>
    </cfRule>
  </conditionalFormatting>
  <conditionalFormatting sqref="CM4:CM29">
    <cfRule type="containsText" dxfId="186" priority="115" operator="containsText" text="M6">
      <formula>NOT(ISERROR(SEARCH("M6",CM4)))</formula>
    </cfRule>
  </conditionalFormatting>
  <conditionalFormatting sqref="CM4:CM29">
    <cfRule type="containsText" dxfId="185" priority="116" operator="containsText" text="A">
      <formula>NOT(ISERROR(SEARCH("A",CM4)))</formula>
    </cfRule>
  </conditionalFormatting>
  <conditionalFormatting sqref="CM4:CM29">
    <cfRule type="containsText" dxfId="184" priority="117" operator="containsText" text="K">
      <formula>NOT(ISERROR(SEARCH("K",CM4)))</formula>
    </cfRule>
  </conditionalFormatting>
  <conditionalFormatting sqref="CM4:CM29">
    <cfRule type="containsText" dxfId="183" priority="118" operator="containsText" text="Q">
      <formula>NOT(ISERROR(SEARCH("Q",CM4)))</formula>
    </cfRule>
  </conditionalFormatting>
  <conditionalFormatting sqref="CM4:CM29">
    <cfRule type="containsText" dxfId="182" priority="119" operator="containsText" text="J">
      <formula>NOT(ISERROR(SEARCH("J",CM4)))</formula>
    </cfRule>
  </conditionalFormatting>
  <conditionalFormatting sqref="CM4:CM29">
    <cfRule type="containsText" dxfId="181" priority="120" operator="containsText" text="TE">
      <formula>NOT(ISERROR(SEARCH("TE",CM4)))</formula>
    </cfRule>
  </conditionalFormatting>
  <conditionalFormatting sqref="CM4:CM29">
    <cfRule type="containsText" dxfId="180" priority="121" operator="containsText" text="MY">
      <formula>NOT(ISERROR(SEARCH("MY",CM4)))</formula>
    </cfRule>
  </conditionalFormatting>
  <conditionalFormatting sqref="CX4:DD39 CX41:DD124">
    <cfRule type="containsText" dxfId="179" priority="85" operator="containsText" text="M1">
      <formula>NOT(ISERROR(SEARCH("M1",CX4)))</formula>
    </cfRule>
  </conditionalFormatting>
  <conditionalFormatting sqref="CX4:DD39 CX41:DD124">
    <cfRule type="containsText" dxfId="178" priority="86" operator="containsText" text="M2">
      <formula>NOT(ISERROR(SEARCH("M2",CX4)))</formula>
    </cfRule>
  </conditionalFormatting>
  <conditionalFormatting sqref="CX4:DD39 CX41:DD124">
    <cfRule type="containsText" dxfId="177" priority="87" operator="containsText" text="M3">
      <formula>NOT(ISERROR(SEARCH("M3",CX4)))</formula>
    </cfRule>
  </conditionalFormatting>
  <conditionalFormatting sqref="CX4:DD39 CX41:DD124">
    <cfRule type="containsText" dxfId="176" priority="88" operator="containsText" text="M4">
      <formula>NOT(ISERROR(SEARCH("M4",CX4)))</formula>
    </cfRule>
  </conditionalFormatting>
  <conditionalFormatting sqref="CX4:DD39 CX41:DD124">
    <cfRule type="containsText" dxfId="175" priority="89" operator="containsText" text="M5">
      <formula>NOT(ISERROR(SEARCH("M5",CX4)))</formula>
    </cfRule>
  </conditionalFormatting>
  <conditionalFormatting sqref="CX4:DD39 CX41:DD124">
    <cfRule type="containsText" dxfId="174" priority="90" operator="containsText" text="M6">
      <formula>NOT(ISERROR(SEARCH("M6",CX4)))</formula>
    </cfRule>
  </conditionalFormatting>
  <conditionalFormatting sqref="CX4:DD39 CX41:DD124">
    <cfRule type="containsText" dxfId="173" priority="91" operator="containsText" text="A">
      <formula>NOT(ISERROR(SEARCH("A",CX4)))</formula>
    </cfRule>
  </conditionalFormatting>
  <conditionalFormatting sqref="CX4:DD39 CX41:DD124">
    <cfRule type="containsText" dxfId="172" priority="92" operator="containsText" text="K">
      <formula>NOT(ISERROR(SEARCH("K",CX4)))</formula>
    </cfRule>
  </conditionalFormatting>
  <conditionalFormatting sqref="CX4:DD39 CX41:DD124">
    <cfRule type="containsText" dxfId="171" priority="93" operator="containsText" text="Q">
      <formula>NOT(ISERROR(SEARCH("Q",CX4)))</formula>
    </cfRule>
  </conditionalFormatting>
  <conditionalFormatting sqref="CX4:DD39 CX41:DD124">
    <cfRule type="containsText" dxfId="170" priority="94" operator="containsText" text="J">
      <formula>NOT(ISERROR(SEARCH("J",CX4)))</formula>
    </cfRule>
  </conditionalFormatting>
  <conditionalFormatting sqref="CX4:DD39 CX41:DD124">
    <cfRule type="containsText" dxfId="169" priority="95" operator="containsText" text="TE">
      <formula>NOT(ISERROR(SEARCH("TE",CX4)))</formula>
    </cfRule>
  </conditionalFormatting>
  <conditionalFormatting sqref="CX4:DD39 CX41:DD124">
    <cfRule type="containsText" dxfId="168" priority="96" operator="containsText" text="MY">
      <formula>NOT(ISERROR(SEARCH("MY",CX4)))</formula>
    </cfRule>
  </conditionalFormatting>
  <conditionalFormatting sqref="CX40">
    <cfRule type="containsText" dxfId="167" priority="73" operator="containsText" text="M1">
      <formula>NOT(ISERROR(SEARCH("M1",CX40)))</formula>
    </cfRule>
  </conditionalFormatting>
  <conditionalFormatting sqref="CX40">
    <cfRule type="containsText" dxfId="166" priority="74" operator="containsText" text="M2">
      <formula>NOT(ISERROR(SEARCH("M2",CX40)))</formula>
    </cfRule>
  </conditionalFormatting>
  <conditionalFormatting sqref="CX40">
    <cfRule type="containsText" dxfId="165" priority="75" operator="containsText" text="M3">
      <formula>NOT(ISERROR(SEARCH("M3",CX40)))</formula>
    </cfRule>
  </conditionalFormatting>
  <conditionalFormatting sqref="CX40">
    <cfRule type="containsText" dxfId="164" priority="76" operator="containsText" text="M4">
      <formula>NOT(ISERROR(SEARCH("M4",CX40)))</formula>
    </cfRule>
  </conditionalFormatting>
  <conditionalFormatting sqref="CX40">
    <cfRule type="containsText" dxfId="163" priority="77" operator="containsText" text="M5">
      <formula>NOT(ISERROR(SEARCH("M5",CX40)))</formula>
    </cfRule>
  </conditionalFormatting>
  <conditionalFormatting sqref="CX40">
    <cfRule type="containsText" dxfId="162" priority="78" operator="containsText" text="M6">
      <formula>NOT(ISERROR(SEARCH("M6",CX40)))</formula>
    </cfRule>
  </conditionalFormatting>
  <conditionalFormatting sqref="CX40">
    <cfRule type="containsText" dxfId="161" priority="79" operator="containsText" text="A">
      <formula>NOT(ISERROR(SEARCH("A",CX40)))</formula>
    </cfRule>
  </conditionalFormatting>
  <conditionalFormatting sqref="CX40">
    <cfRule type="containsText" dxfId="160" priority="80" operator="containsText" text="K">
      <formula>NOT(ISERROR(SEARCH("K",CX40)))</formula>
    </cfRule>
  </conditionalFormatting>
  <conditionalFormatting sqref="CX40">
    <cfRule type="containsText" dxfId="159" priority="81" operator="containsText" text="Q">
      <formula>NOT(ISERROR(SEARCH("Q",CX40)))</formula>
    </cfRule>
  </conditionalFormatting>
  <conditionalFormatting sqref="CX40">
    <cfRule type="containsText" dxfId="158" priority="82" operator="containsText" text="J">
      <formula>NOT(ISERROR(SEARCH("J",CX40)))</formula>
    </cfRule>
  </conditionalFormatting>
  <conditionalFormatting sqref="CX40">
    <cfRule type="containsText" dxfId="157" priority="83" operator="containsText" text="TE">
      <formula>NOT(ISERROR(SEARCH("TE",CX40)))</formula>
    </cfRule>
  </conditionalFormatting>
  <conditionalFormatting sqref="CX40">
    <cfRule type="containsText" dxfId="156" priority="84" operator="containsText" text="MY">
      <formula>NOT(ISERROR(SEARCH("MY",CX40)))</formula>
    </cfRule>
  </conditionalFormatting>
  <conditionalFormatting sqref="CY40">
    <cfRule type="containsText" dxfId="155" priority="61" operator="containsText" text="M1">
      <formula>NOT(ISERROR(SEARCH("M1",CY40)))</formula>
    </cfRule>
  </conditionalFormatting>
  <conditionalFormatting sqref="CY40">
    <cfRule type="containsText" dxfId="154" priority="62" operator="containsText" text="M2">
      <formula>NOT(ISERROR(SEARCH("M2",CY40)))</formula>
    </cfRule>
  </conditionalFormatting>
  <conditionalFormatting sqref="CY40">
    <cfRule type="containsText" dxfId="153" priority="63" operator="containsText" text="M3">
      <formula>NOT(ISERROR(SEARCH("M3",CY40)))</formula>
    </cfRule>
  </conditionalFormatting>
  <conditionalFormatting sqref="CY40">
    <cfRule type="containsText" dxfId="152" priority="64" operator="containsText" text="M4">
      <formula>NOT(ISERROR(SEARCH("M4",CY40)))</formula>
    </cfRule>
  </conditionalFormatting>
  <conditionalFormatting sqref="CY40">
    <cfRule type="containsText" dxfId="151" priority="65" operator="containsText" text="M5">
      <formula>NOT(ISERROR(SEARCH("M5",CY40)))</formula>
    </cfRule>
  </conditionalFormatting>
  <conditionalFormatting sqref="CY40">
    <cfRule type="containsText" dxfId="150" priority="66" operator="containsText" text="M6">
      <formula>NOT(ISERROR(SEARCH("M6",CY40)))</formula>
    </cfRule>
  </conditionalFormatting>
  <conditionalFormatting sqref="CY40">
    <cfRule type="containsText" dxfId="149" priority="67" operator="containsText" text="A">
      <formula>NOT(ISERROR(SEARCH("A",CY40)))</formula>
    </cfRule>
  </conditionalFormatting>
  <conditionalFormatting sqref="CY40">
    <cfRule type="containsText" dxfId="148" priority="68" operator="containsText" text="K">
      <formula>NOT(ISERROR(SEARCH("K",CY40)))</formula>
    </cfRule>
  </conditionalFormatting>
  <conditionalFormatting sqref="CY40">
    <cfRule type="containsText" dxfId="147" priority="69" operator="containsText" text="Q">
      <formula>NOT(ISERROR(SEARCH("Q",CY40)))</formula>
    </cfRule>
  </conditionalFormatting>
  <conditionalFormatting sqref="CY40">
    <cfRule type="containsText" dxfId="146" priority="70" operator="containsText" text="J">
      <formula>NOT(ISERROR(SEARCH("J",CY40)))</formula>
    </cfRule>
  </conditionalFormatting>
  <conditionalFormatting sqref="CY40">
    <cfRule type="containsText" dxfId="145" priority="71" operator="containsText" text="TE">
      <formula>NOT(ISERROR(SEARCH("TE",CY40)))</formula>
    </cfRule>
  </conditionalFormatting>
  <conditionalFormatting sqref="CY40">
    <cfRule type="containsText" dxfId="144" priority="72" operator="containsText" text="MY">
      <formula>NOT(ISERROR(SEARCH("MY",CY40)))</formula>
    </cfRule>
  </conditionalFormatting>
  <conditionalFormatting sqref="CZ40">
    <cfRule type="containsText" dxfId="143" priority="49" operator="containsText" text="M1">
      <formula>NOT(ISERROR(SEARCH("M1",CZ40)))</formula>
    </cfRule>
  </conditionalFormatting>
  <conditionalFormatting sqref="CZ40">
    <cfRule type="containsText" dxfId="142" priority="50" operator="containsText" text="M2">
      <formula>NOT(ISERROR(SEARCH("M2",CZ40)))</formula>
    </cfRule>
  </conditionalFormatting>
  <conditionalFormatting sqref="CZ40">
    <cfRule type="containsText" dxfId="141" priority="51" operator="containsText" text="M3">
      <formula>NOT(ISERROR(SEARCH("M3",CZ40)))</formula>
    </cfRule>
  </conditionalFormatting>
  <conditionalFormatting sqref="CZ40">
    <cfRule type="containsText" dxfId="140" priority="52" operator="containsText" text="M4">
      <formula>NOT(ISERROR(SEARCH("M4",CZ40)))</formula>
    </cfRule>
  </conditionalFormatting>
  <conditionalFormatting sqref="CZ40">
    <cfRule type="containsText" dxfId="139" priority="53" operator="containsText" text="M5">
      <formula>NOT(ISERROR(SEARCH("M5",CZ40)))</formula>
    </cfRule>
  </conditionalFormatting>
  <conditionalFormatting sqref="CZ40">
    <cfRule type="containsText" dxfId="138" priority="54" operator="containsText" text="M6">
      <formula>NOT(ISERROR(SEARCH("M6",CZ40)))</formula>
    </cfRule>
  </conditionalFormatting>
  <conditionalFormatting sqref="CZ40">
    <cfRule type="containsText" dxfId="137" priority="55" operator="containsText" text="A">
      <formula>NOT(ISERROR(SEARCH("A",CZ40)))</formula>
    </cfRule>
  </conditionalFormatting>
  <conditionalFormatting sqref="CZ40">
    <cfRule type="containsText" dxfId="136" priority="56" operator="containsText" text="K">
      <formula>NOT(ISERROR(SEARCH("K",CZ40)))</formula>
    </cfRule>
  </conditionalFormatting>
  <conditionalFormatting sqref="CZ40">
    <cfRule type="containsText" dxfId="135" priority="57" operator="containsText" text="Q">
      <formula>NOT(ISERROR(SEARCH("Q",CZ40)))</formula>
    </cfRule>
  </conditionalFormatting>
  <conditionalFormatting sqref="CZ40">
    <cfRule type="containsText" dxfId="134" priority="58" operator="containsText" text="J">
      <formula>NOT(ISERROR(SEARCH("J",CZ40)))</formula>
    </cfRule>
  </conditionalFormatting>
  <conditionalFormatting sqref="CZ40">
    <cfRule type="containsText" dxfId="133" priority="59" operator="containsText" text="TE">
      <formula>NOT(ISERROR(SEARCH("TE",CZ40)))</formula>
    </cfRule>
  </conditionalFormatting>
  <conditionalFormatting sqref="CZ40">
    <cfRule type="containsText" dxfId="132" priority="60" operator="containsText" text="MY">
      <formula>NOT(ISERROR(SEARCH("MY",CZ40)))</formula>
    </cfRule>
  </conditionalFormatting>
  <conditionalFormatting sqref="DA40">
    <cfRule type="containsText" dxfId="131" priority="37" operator="containsText" text="M1">
      <formula>NOT(ISERROR(SEARCH("M1",DA40)))</formula>
    </cfRule>
  </conditionalFormatting>
  <conditionalFormatting sqref="DA40">
    <cfRule type="containsText" dxfId="130" priority="38" operator="containsText" text="M2">
      <formula>NOT(ISERROR(SEARCH("M2",DA40)))</formula>
    </cfRule>
  </conditionalFormatting>
  <conditionalFormatting sqref="DA40">
    <cfRule type="containsText" dxfId="129" priority="39" operator="containsText" text="M3">
      <formula>NOT(ISERROR(SEARCH("M3",DA40)))</formula>
    </cfRule>
  </conditionalFormatting>
  <conditionalFormatting sqref="DA40">
    <cfRule type="containsText" dxfId="128" priority="40" operator="containsText" text="M4">
      <formula>NOT(ISERROR(SEARCH("M4",DA40)))</formula>
    </cfRule>
  </conditionalFormatting>
  <conditionalFormatting sqref="DA40">
    <cfRule type="containsText" dxfId="127" priority="41" operator="containsText" text="M5">
      <formula>NOT(ISERROR(SEARCH("M5",DA40)))</formula>
    </cfRule>
  </conditionalFormatting>
  <conditionalFormatting sqref="DA40">
    <cfRule type="containsText" dxfId="126" priority="42" operator="containsText" text="M6">
      <formula>NOT(ISERROR(SEARCH("M6",DA40)))</formula>
    </cfRule>
  </conditionalFormatting>
  <conditionalFormatting sqref="DA40">
    <cfRule type="containsText" dxfId="125" priority="43" operator="containsText" text="A">
      <formula>NOT(ISERROR(SEARCH("A",DA40)))</formula>
    </cfRule>
  </conditionalFormatting>
  <conditionalFormatting sqref="DA40">
    <cfRule type="containsText" dxfId="124" priority="44" operator="containsText" text="K">
      <formula>NOT(ISERROR(SEARCH("K",DA40)))</formula>
    </cfRule>
  </conditionalFormatting>
  <conditionalFormatting sqref="DA40">
    <cfRule type="containsText" dxfId="123" priority="45" operator="containsText" text="Q">
      <formula>NOT(ISERROR(SEARCH("Q",DA40)))</formula>
    </cfRule>
  </conditionalFormatting>
  <conditionalFormatting sqref="DA40">
    <cfRule type="containsText" dxfId="122" priority="46" operator="containsText" text="J">
      <formula>NOT(ISERROR(SEARCH("J",DA40)))</formula>
    </cfRule>
  </conditionalFormatting>
  <conditionalFormatting sqref="DA40">
    <cfRule type="containsText" dxfId="121" priority="47" operator="containsText" text="TE">
      <formula>NOT(ISERROR(SEARCH("TE",DA40)))</formula>
    </cfRule>
  </conditionalFormatting>
  <conditionalFormatting sqref="DA40">
    <cfRule type="containsText" dxfId="120" priority="48" operator="containsText" text="MY">
      <formula>NOT(ISERROR(SEARCH("MY",DA40)))</formula>
    </cfRule>
  </conditionalFormatting>
  <conditionalFormatting sqref="DB40">
    <cfRule type="containsText" dxfId="119" priority="25" operator="containsText" text="M1">
      <formula>NOT(ISERROR(SEARCH("M1",DB40)))</formula>
    </cfRule>
  </conditionalFormatting>
  <conditionalFormatting sqref="DB40">
    <cfRule type="containsText" dxfId="118" priority="26" operator="containsText" text="M2">
      <formula>NOT(ISERROR(SEARCH("M2",DB40)))</formula>
    </cfRule>
  </conditionalFormatting>
  <conditionalFormatting sqref="DB40">
    <cfRule type="containsText" dxfId="117" priority="27" operator="containsText" text="M3">
      <formula>NOT(ISERROR(SEARCH("M3",DB40)))</formula>
    </cfRule>
  </conditionalFormatting>
  <conditionalFormatting sqref="DB40">
    <cfRule type="containsText" dxfId="116" priority="28" operator="containsText" text="M4">
      <formula>NOT(ISERROR(SEARCH("M4",DB40)))</formula>
    </cfRule>
  </conditionalFormatting>
  <conditionalFormatting sqref="DB40">
    <cfRule type="containsText" dxfId="115" priority="29" operator="containsText" text="M5">
      <formula>NOT(ISERROR(SEARCH("M5",DB40)))</formula>
    </cfRule>
  </conditionalFormatting>
  <conditionalFormatting sqref="DB40">
    <cfRule type="containsText" dxfId="114" priority="30" operator="containsText" text="M6">
      <formula>NOT(ISERROR(SEARCH("M6",DB40)))</formula>
    </cfRule>
  </conditionalFormatting>
  <conditionalFormatting sqref="DB40">
    <cfRule type="containsText" dxfId="113" priority="31" operator="containsText" text="A">
      <formula>NOT(ISERROR(SEARCH("A",DB40)))</formula>
    </cfRule>
  </conditionalFormatting>
  <conditionalFormatting sqref="DB40">
    <cfRule type="containsText" dxfId="112" priority="32" operator="containsText" text="K">
      <formula>NOT(ISERROR(SEARCH("K",DB40)))</formula>
    </cfRule>
  </conditionalFormatting>
  <conditionalFormatting sqref="DB40">
    <cfRule type="containsText" dxfId="111" priority="33" operator="containsText" text="Q">
      <formula>NOT(ISERROR(SEARCH("Q",DB40)))</formula>
    </cfRule>
  </conditionalFormatting>
  <conditionalFormatting sqref="DB40">
    <cfRule type="containsText" dxfId="110" priority="34" operator="containsText" text="J">
      <formula>NOT(ISERROR(SEARCH("J",DB40)))</formula>
    </cfRule>
  </conditionalFormatting>
  <conditionalFormatting sqref="DB40">
    <cfRule type="containsText" dxfId="109" priority="35" operator="containsText" text="TE">
      <formula>NOT(ISERROR(SEARCH("TE",DB40)))</formula>
    </cfRule>
  </conditionalFormatting>
  <conditionalFormatting sqref="DB40">
    <cfRule type="containsText" dxfId="108" priority="36" operator="containsText" text="MY">
      <formula>NOT(ISERROR(SEARCH("MY",DB40)))</formula>
    </cfRule>
  </conditionalFormatting>
  <conditionalFormatting sqref="DC40">
    <cfRule type="containsText" dxfId="107" priority="13" operator="containsText" text="M1">
      <formula>NOT(ISERROR(SEARCH("M1",DC40)))</formula>
    </cfRule>
  </conditionalFormatting>
  <conditionalFormatting sqref="DC40">
    <cfRule type="containsText" dxfId="106" priority="14" operator="containsText" text="M2">
      <formula>NOT(ISERROR(SEARCH("M2",DC40)))</formula>
    </cfRule>
  </conditionalFormatting>
  <conditionalFormatting sqref="DC40">
    <cfRule type="containsText" dxfId="105" priority="15" operator="containsText" text="M3">
      <formula>NOT(ISERROR(SEARCH("M3",DC40)))</formula>
    </cfRule>
  </conditionalFormatting>
  <conditionalFormatting sqref="DC40">
    <cfRule type="containsText" dxfId="104" priority="16" operator="containsText" text="M4">
      <formula>NOT(ISERROR(SEARCH("M4",DC40)))</formula>
    </cfRule>
  </conditionalFormatting>
  <conditionalFormatting sqref="DC40">
    <cfRule type="containsText" dxfId="103" priority="17" operator="containsText" text="M5">
      <formula>NOT(ISERROR(SEARCH("M5",DC40)))</formula>
    </cfRule>
  </conditionalFormatting>
  <conditionalFormatting sqref="DC40">
    <cfRule type="containsText" dxfId="102" priority="18" operator="containsText" text="M6">
      <formula>NOT(ISERROR(SEARCH("M6",DC40)))</formula>
    </cfRule>
  </conditionalFormatting>
  <conditionalFormatting sqref="DC40">
    <cfRule type="containsText" dxfId="101" priority="19" operator="containsText" text="A">
      <formula>NOT(ISERROR(SEARCH("A",DC40)))</formula>
    </cfRule>
  </conditionalFormatting>
  <conditionalFormatting sqref="DC40">
    <cfRule type="containsText" dxfId="100" priority="20" operator="containsText" text="K">
      <formula>NOT(ISERROR(SEARCH("K",DC40)))</formula>
    </cfRule>
  </conditionalFormatting>
  <conditionalFormatting sqref="DC40">
    <cfRule type="containsText" dxfId="99" priority="21" operator="containsText" text="Q">
      <formula>NOT(ISERROR(SEARCH("Q",DC40)))</formula>
    </cfRule>
  </conditionalFormatting>
  <conditionalFormatting sqref="DC40">
    <cfRule type="containsText" dxfId="98" priority="22" operator="containsText" text="J">
      <formula>NOT(ISERROR(SEARCH("J",DC40)))</formula>
    </cfRule>
  </conditionalFormatting>
  <conditionalFormatting sqref="DC40">
    <cfRule type="containsText" dxfId="97" priority="23" operator="containsText" text="TE">
      <formula>NOT(ISERROR(SEARCH("TE",DC40)))</formula>
    </cfRule>
  </conditionalFormatting>
  <conditionalFormatting sqref="DC40">
    <cfRule type="containsText" dxfId="96" priority="24" operator="containsText" text="MY">
      <formula>NOT(ISERROR(SEARCH("MY",DC40)))</formula>
    </cfRule>
  </conditionalFormatting>
  <conditionalFormatting sqref="DD40">
    <cfRule type="containsText" dxfId="95" priority="2" operator="containsText" text="M2">
      <formula>NOT(ISERROR(SEARCH("M2",DD40)))</formula>
    </cfRule>
  </conditionalFormatting>
  <conditionalFormatting sqref="DD40">
    <cfRule type="containsText" dxfId="94" priority="3" operator="containsText" text="M3">
      <formula>NOT(ISERROR(SEARCH("M3",DD40)))</formula>
    </cfRule>
  </conditionalFormatting>
  <conditionalFormatting sqref="DD40">
    <cfRule type="containsText" dxfId="93" priority="4" operator="containsText" text="M4">
      <formula>NOT(ISERROR(SEARCH("M4",DD40)))</formula>
    </cfRule>
  </conditionalFormatting>
  <conditionalFormatting sqref="DD40">
    <cfRule type="containsText" dxfId="92" priority="5" operator="containsText" text="M5">
      <formula>NOT(ISERROR(SEARCH("M5",DD40)))</formula>
    </cfRule>
  </conditionalFormatting>
  <conditionalFormatting sqref="DD40">
    <cfRule type="containsText" dxfId="91" priority="6" operator="containsText" text="M6">
      <formula>NOT(ISERROR(SEARCH("M6",DD40)))</formula>
    </cfRule>
  </conditionalFormatting>
  <conditionalFormatting sqref="DD40">
    <cfRule type="containsText" dxfId="90" priority="7" operator="containsText" text="A">
      <formula>NOT(ISERROR(SEARCH("A",DD40)))</formula>
    </cfRule>
  </conditionalFormatting>
  <conditionalFormatting sqref="DD40">
    <cfRule type="containsText" dxfId="89" priority="8" operator="containsText" text="K">
      <formula>NOT(ISERROR(SEARCH("K",DD40)))</formula>
    </cfRule>
  </conditionalFormatting>
  <conditionalFormatting sqref="DD40">
    <cfRule type="containsText" dxfId="88" priority="9" operator="containsText" text="Q">
      <formula>NOT(ISERROR(SEARCH("Q",DD40)))</formula>
    </cfRule>
  </conditionalFormatting>
  <conditionalFormatting sqref="DD40">
    <cfRule type="containsText" dxfId="87" priority="10" operator="containsText" text="J">
      <formula>NOT(ISERROR(SEARCH("J",DD40)))</formula>
    </cfRule>
  </conditionalFormatting>
  <conditionalFormatting sqref="DD40">
    <cfRule type="containsText" dxfId="86" priority="11" operator="containsText" text="TE">
      <formula>NOT(ISERROR(SEARCH("TE",DD40)))</formula>
    </cfRule>
  </conditionalFormatting>
  <conditionalFormatting sqref="DD40">
    <cfRule type="containsText" dxfId="85" priority="12" operator="containsText" text="MY">
      <formula>NOT(ISERROR(SEARCH("MY",DD40)))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8E86-75F2-4354-9879-57F8D44B8919}">
  <sheetPr codeName="工作表8">
    <tabColor theme="3" tint="0.59999389629810485"/>
  </sheetPr>
  <dimension ref="A1:AR404"/>
  <sheetViews>
    <sheetView zoomScaleNormal="100" workbookViewId="0">
      <selection activeCell="AO26" sqref="K26:AO26"/>
    </sheetView>
  </sheetViews>
  <sheetFormatPr defaultColWidth="9" defaultRowHeight="15.6" x14ac:dyDescent="0.3"/>
  <cols>
    <col min="1" max="1" width="16.109375" style="1" bestFit="1" customWidth="1"/>
    <col min="2" max="6" width="6.77734375" style="1" bestFit="1" customWidth="1"/>
    <col min="7" max="7" width="4.21875" style="1" bestFit="1" customWidth="1"/>
    <col min="8" max="8" width="5.4414062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4.6640625" style="81" bestFit="1" customWidth="1"/>
    <col min="13" max="14" width="7.44140625" style="81" bestFit="1" customWidth="1"/>
    <col min="15" max="15" width="7.44140625" style="81" customWidth="1"/>
    <col min="16" max="16" width="7.44140625" style="81" bestFit="1" customWidth="1"/>
    <col min="17" max="17" width="4.6640625" style="81" bestFit="1" customWidth="1"/>
    <col min="18" max="18" width="4.6640625" style="81" customWidth="1"/>
    <col min="19" max="19" width="8.88671875" style="1" customWidth="1"/>
    <col min="20" max="20" width="4.77734375" style="1" customWidth="1"/>
    <col min="21" max="25" width="4.77734375" style="81" customWidth="1"/>
    <col min="26" max="26" width="4.6640625" style="1" bestFit="1" customWidth="1"/>
    <col min="27" max="27" width="8.88671875" style="1" customWidth="1"/>
    <col min="28" max="32" width="4.77734375" style="81" customWidth="1"/>
    <col min="33" max="33" width="4.6640625" style="81" customWidth="1"/>
    <col min="34" max="34" width="4.6640625" style="1" bestFit="1" customWidth="1"/>
    <col min="35" max="16384" width="9" style="1"/>
  </cols>
  <sheetData>
    <row r="1" spans="1:44" ht="16.2" x14ac:dyDescent="0.3">
      <c r="K1" s="3"/>
      <c r="L1" s="87"/>
      <c r="M1" s="87"/>
      <c r="N1" s="87"/>
      <c r="O1" s="87"/>
      <c r="P1" s="87"/>
      <c r="Q1" s="87"/>
      <c r="R1" s="87"/>
      <c r="T1" s="248" t="s">
        <v>116</v>
      </c>
      <c r="U1" s="248"/>
      <c r="V1" s="248"/>
      <c r="W1" s="248"/>
      <c r="X1" s="248"/>
      <c r="Y1" s="248"/>
      <c r="Z1" s="248"/>
    </row>
    <row r="2" spans="1:44" s="14" customFormat="1" ht="15.9" customHeight="1" x14ac:dyDescent="0.3">
      <c r="J2" s="31"/>
      <c r="K2" s="246" t="s">
        <v>115</v>
      </c>
      <c r="L2" s="246"/>
      <c r="M2" s="246"/>
      <c r="N2" s="246"/>
      <c r="O2" s="246"/>
      <c r="P2" s="246"/>
      <c r="Q2" s="246"/>
      <c r="R2" s="246"/>
      <c r="T2" s="249" t="s">
        <v>3</v>
      </c>
      <c r="U2" s="249"/>
      <c r="V2" s="249"/>
      <c r="W2" s="249"/>
      <c r="X2" s="249"/>
      <c r="Y2" s="249"/>
      <c r="Z2" s="249"/>
      <c r="AB2" s="14" t="s">
        <v>91</v>
      </c>
      <c r="AJ2" s="247" t="s">
        <v>165</v>
      </c>
      <c r="AK2" s="247"/>
      <c r="AL2" s="247"/>
      <c r="AM2" s="247"/>
      <c r="AN2" s="247"/>
      <c r="AO2" s="247"/>
      <c r="AP2" s="247"/>
      <c r="AQ2" s="247"/>
      <c r="AR2" s="247"/>
    </row>
    <row r="3" spans="1:44" ht="15.9" customHeight="1" thickBot="1" x14ac:dyDescent="0.35">
      <c r="A3" s="19" t="s">
        <v>2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30</v>
      </c>
      <c r="H3" s="20" t="s">
        <v>77</v>
      </c>
      <c r="I3" s="19" t="s">
        <v>10</v>
      </c>
      <c r="J3" s="4"/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23</v>
      </c>
      <c r="R3" s="23" t="s">
        <v>76</v>
      </c>
      <c r="S3" s="81"/>
      <c r="T3" s="23" t="s">
        <v>12</v>
      </c>
      <c r="U3" s="23" t="s">
        <v>13</v>
      </c>
      <c r="V3" s="23" t="s">
        <v>14</v>
      </c>
      <c r="W3" s="23" t="s">
        <v>15</v>
      </c>
      <c r="X3" s="23" t="s">
        <v>16</v>
      </c>
      <c r="Y3" s="23" t="s">
        <v>23</v>
      </c>
      <c r="Z3" s="23" t="s">
        <v>76</v>
      </c>
      <c r="AB3" s="78" t="s">
        <v>41</v>
      </c>
      <c r="AC3" s="78" t="s">
        <v>42</v>
      </c>
      <c r="AD3" s="78" t="s">
        <v>43</v>
      </c>
      <c r="AE3" s="78" t="s">
        <v>44</v>
      </c>
      <c r="AF3" s="78" t="s">
        <v>45</v>
      </c>
      <c r="AG3" s="78" t="s">
        <v>23</v>
      </c>
      <c r="AH3" s="78" t="s">
        <v>76</v>
      </c>
      <c r="AJ3" s="82"/>
      <c r="AK3" s="245" t="s">
        <v>92</v>
      </c>
      <c r="AL3" s="245"/>
      <c r="AM3" s="245"/>
      <c r="AN3" s="245"/>
      <c r="AO3" s="245"/>
      <c r="AP3" s="245"/>
      <c r="AQ3" s="245"/>
      <c r="AR3" s="245"/>
    </row>
    <row r="4" spans="1:44" ht="15.9" customHeight="1" thickBot="1" x14ac:dyDescent="0.35">
      <c r="A4" s="15" t="s">
        <v>31</v>
      </c>
      <c r="B4" s="15">
        <f t="shared" ref="B4:B29" si="0">COUNTIF(L$4:L$304,$A4)</f>
        <v>0</v>
      </c>
      <c r="C4" s="15">
        <f t="shared" ref="C4:C29" si="1">COUNTIF(M$4:M$304,$A4)</f>
        <v>0</v>
      </c>
      <c r="D4" s="15">
        <f t="shared" ref="D4:D29" si="2">COUNTIF(N$4:N$304,$A4)</f>
        <v>0</v>
      </c>
      <c r="E4" s="15">
        <f t="shared" ref="E4:E29" si="3">COUNTIF(O$4:O$304,$A4)</f>
        <v>0</v>
      </c>
      <c r="F4" s="15">
        <f t="shared" ref="F4:F29" si="4">COUNTIF(P$4:P$304,$A4)</f>
        <v>0</v>
      </c>
      <c r="G4" s="15">
        <f t="shared" ref="G4:G29" si="5">COUNTIF(Q$4:Q$304,$A4)</f>
        <v>0</v>
      </c>
      <c r="H4" s="15">
        <f t="shared" ref="H4:H29" si="6">COUNTIF(R$4:R$304,$A4)</f>
        <v>0</v>
      </c>
      <c r="I4" s="7">
        <v>0</v>
      </c>
      <c r="J4" s="6"/>
      <c r="K4" s="22">
        <v>0</v>
      </c>
      <c r="L4" s="24" t="s">
        <v>35</v>
      </c>
      <c r="M4" s="24" t="s">
        <v>84</v>
      </c>
      <c r="N4" s="24" t="s">
        <v>32</v>
      </c>
      <c r="O4" s="24" t="s">
        <v>24</v>
      </c>
      <c r="P4" s="24" t="s">
        <v>80</v>
      </c>
      <c r="Q4" s="24" t="s">
        <v>151</v>
      </c>
      <c r="R4" s="24" t="s">
        <v>152</v>
      </c>
      <c r="T4" s="8">
        <f>VLOOKUP(L4, $A$4:$I$29, 9, 0)</f>
        <v>5</v>
      </c>
      <c r="U4" s="8">
        <f t="shared" ref="U4:Z4" si="7">VLOOKUP(M4, $A$4:$I$29, 9, 0)</f>
        <v>19</v>
      </c>
      <c r="V4" s="8">
        <f t="shared" si="7"/>
        <v>2</v>
      </c>
      <c r="W4" s="8">
        <f t="shared" si="7"/>
        <v>8</v>
      </c>
      <c r="X4" s="8">
        <f t="shared" si="7"/>
        <v>14</v>
      </c>
      <c r="Y4" s="8">
        <f t="shared" si="7"/>
        <v>7</v>
      </c>
      <c r="Z4" s="8">
        <f t="shared" si="7"/>
        <v>7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7">
        <v>1</v>
      </c>
      <c r="AJ4" s="44" t="s">
        <v>52</v>
      </c>
      <c r="AK4" s="45" t="s">
        <v>12</v>
      </c>
      <c r="AL4" s="45" t="s">
        <v>13</v>
      </c>
      <c r="AM4" s="45" t="s">
        <v>14</v>
      </c>
      <c r="AN4" s="45" t="s">
        <v>15</v>
      </c>
      <c r="AO4" s="45" t="s">
        <v>16</v>
      </c>
      <c r="AP4" s="45" t="s">
        <v>56</v>
      </c>
      <c r="AQ4" s="46" t="s">
        <v>76</v>
      </c>
      <c r="AR4" s="47" t="s">
        <v>3</v>
      </c>
    </row>
    <row r="5" spans="1:44" ht="15.9" customHeight="1" x14ac:dyDescent="0.3">
      <c r="A5" s="8" t="s">
        <v>36</v>
      </c>
      <c r="B5" s="15">
        <f t="shared" si="0"/>
        <v>0</v>
      </c>
      <c r="C5" s="15">
        <f t="shared" si="1"/>
        <v>0</v>
      </c>
      <c r="D5" s="15">
        <f t="shared" si="2"/>
        <v>0</v>
      </c>
      <c r="E5" s="15">
        <f t="shared" si="3"/>
        <v>0</v>
      </c>
      <c r="F5" s="15">
        <f t="shared" si="4"/>
        <v>0</v>
      </c>
      <c r="G5" s="15">
        <f t="shared" si="5"/>
        <v>0</v>
      </c>
      <c r="H5" s="15">
        <f t="shared" si="6"/>
        <v>0</v>
      </c>
      <c r="I5" s="7">
        <v>1</v>
      </c>
      <c r="J5" s="6"/>
      <c r="K5" s="21">
        <v>1</v>
      </c>
      <c r="L5" s="24" t="s">
        <v>35</v>
      </c>
      <c r="M5" s="24" t="s">
        <v>84</v>
      </c>
      <c r="N5" s="24" t="s">
        <v>29</v>
      </c>
      <c r="O5" s="24" t="s">
        <v>79</v>
      </c>
      <c r="P5" s="24" t="s">
        <v>80</v>
      </c>
      <c r="Q5" s="24" t="s">
        <v>24</v>
      </c>
      <c r="R5" s="24" t="s">
        <v>151</v>
      </c>
      <c r="T5" s="8">
        <f t="shared" ref="T5:T63" si="8">VLOOKUP(L5, $A$4:$I$29, 9, 0)</f>
        <v>5</v>
      </c>
      <c r="U5" s="8">
        <f t="shared" ref="U5:U63" si="9">VLOOKUP(M5, $A$4:$I$29, 9, 0)</f>
        <v>19</v>
      </c>
      <c r="V5" s="8">
        <f t="shared" ref="V5:V63" si="10">VLOOKUP(N5, $A$4:$I$29, 9, 0)</f>
        <v>12</v>
      </c>
      <c r="W5" s="8">
        <f t="shared" ref="W5:W63" si="11">VLOOKUP(O5, $A$4:$I$29, 9, 0)</f>
        <v>13</v>
      </c>
      <c r="X5" s="8">
        <f t="shared" ref="X5:X63" si="12">VLOOKUP(P5, $A$4:$I$29, 9, 0)</f>
        <v>14</v>
      </c>
      <c r="Y5" s="8">
        <f t="shared" ref="Y5:Y63" si="13">VLOOKUP(Q5, $A$4:$I$29, 9, 0)</f>
        <v>8</v>
      </c>
      <c r="Z5" s="8">
        <f t="shared" ref="Z5:Z63" si="14">VLOOKUP(R5, $A$4:$I$29, 9, 0)</f>
        <v>7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7">
        <v>1</v>
      </c>
      <c r="AJ5" s="48" t="s">
        <v>78</v>
      </c>
      <c r="AK5" s="49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1">
        <v>0</v>
      </c>
      <c r="AR5" s="52">
        <v>0</v>
      </c>
    </row>
    <row r="6" spans="1:44" ht="15.9" customHeight="1" x14ac:dyDescent="0.3">
      <c r="A6" s="8" t="s">
        <v>32</v>
      </c>
      <c r="B6" s="15">
        <f t="shared" si="0"/>
        <v>0</v>
      </c>
      <c r="C6" s="15">
        <f t="shared" si="1"/>
        <v>9</v>
      </c>
      <c r="D6" s="15">
        <f t="shared" si="2"/>
        <v>3</v>
      </c>
      <c r="E6" s="15">
        <f t="shared" si="3"/>
        <v>0</v>
      </c>
      <c r="F6" s="15">
        <f t="shared" si="4"/>
        <v>0</v>
      </c>
      <c r="G6" s="15">
        <f t="shared" si="5"/>
        <v>0</v>
      </c>
      <c r="H6" s="15">
        <f t="shared" si="6"/>
        <v>4</v>
      </c>
      <c r="I6" s="7">
        <v>2</v>
      </c>
      <c r="J6" s="9"/>
      <c r="K6" s="22">
        <v>2</v>
      </c>
      <c r="L6" s="24" t="s">
        <v>38</v>
      </c>
      <c r="M6" s="24" t="s">
        <v>84</v>
      </c>
      <c r="N6" s="24" t="s">
        <v>29</v>
      </c>
      <c r="O6" s="24" t="s">
        <v>79</v>
      </c>
      <c r="P6" s="24" t="s">
        <v>80</v>
      </c>
      <c r="Q6" s="24" t="s">
        <v>18</v>
      </c>
      <c r="R6" s="24" t="s">
        <v>151</v>
      </c>
      <c r="T6" s="8">
        <f t="shared" si="8"/>
        <v>10</v>
      </c>
      <c r="U6" s="8">
        <f t="shared" si="9"/>
        <v>19</v>
      </c>
      <c r="V6" s="8">
        <f t="shared" si="10"/>
        <v>12</v>
      </c>
      <c r="W6" s="8">
        <f t="shared" si="11"/>
        <v>13</v>
      </c>
      <c r="X6" s="8">
        <f t="shared" si="12"/>
        <v>14</v>
      </c>
      <c r="Y6" s="8">
        <f t="shared" si="13"/>
        <v>5</v>
      </c>
      <c r="Z6" s="8">
        <f t="shared" si="14"/>
        <v>7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7">
        <v>1</v>
      </c>
      <c r="AJ6" s="79" t="s">
        <v>19</v>
      </c>
      <c r="AK6" s="69">
        <v>5</v>
      </c>
      <c r="AL6" s="70">
        <v>3</v>
      </c>
      <c r="AM6" s="70">
        <v>3</v>
      </c>
      <c r="AN6" s="70">
        <v>5</v>
      </c>
      <c r="AO6" s="70">
        <v>5</v>
      </c>
      <c r="AP6" s="70">
        <v>5</v>
      </c>
      <c r="AQ6" s="71">
        <v>0</v>
      </c>
      <c r="AR6" s="57">
        <v>1</v>
      </c>
    </row>
    <row r="7" spans="1:44" ht="15.9" customHeight="1" x14ac:dyDescent="0.3">
      <c r="A7" s="8" t="s">
        <v>33</v>
      </c>
      <c r="B7" s="15">
        <f t="shared" si="0"/>
        <v>12</v>
      </c>
      <c r="C7" s="15">
        <f t="shared" si="1"/>
        <v>0</v>
      </c>
      <c r="D7" s="15">
        <f t="shared" si="2"/>
        <v>5</v>
      </c>
      <c r="E7" s="15">
        <f t="shared" si="3"/>
        <v>0</v>
      </c>
      <c r="F7" s="15">
        <f t="shared" si="4"/>
        <v>9</v>
      </c>
      <c r="G7" s="15">
        <f t="shared" si="5"/>
        <v>0</v>
      </c>
      <c r="H7" s="15">
        <f t="shared" si="6"/>
        <v>0</v>
      </c>
      <c r="I7" s="7">
        <v>3</v>
      </c>
      <c r="K7" s="21">
        <v>3</v>
      </c>
      <c r="L7" s="24" t="s">
        <v>38</v>
      </c>
      <c r="M7" s="24" t="s">
        <v>32</v>
      </c>
      <c r="N7" s="24" t="s">
        <v>29</v>
      </c>
      <c r="O7" s="24" t="s">
        <v>79</v>
      </c>
      <c r="P7" s="24" t="s">
        <v>82</v>
      </c>
      <c r="Q7" s="24" t="s">
        <v>27</v>
      </c>
      <c r="R7" s="24" t="s">
        <v>151</v>
      </c>
      <c r="T7" s="8">
        <f t="shared" si="8"/>
        <v>10</v>
      </c>
      <c r="U7" s="8">
        <f t="shared" si="9"/>
        <v>2</v>
      </c>
      <c r="V7" s="8">
        <f t="shared" si="10"/>
        <v>12</v>
      </c>
      <c r="W7" s="8">
        <f t="shared" si="11"/>
        <v>13</v>
      </c>
      <c r="X7" s="8">
        <f t="shared" si="12"/>
        <v>16</v>
      </c>
      <c r="Y7" s="8">
        <f t="shared" si="13"/>
        <v>10</v>
      </c>
      <c r="Z7" s="8">
        <f t="shared" si="14"/>
        <v>7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1</v>
      </c>
      <c r="AH7" s="7">
        <v>1</v>
      </c>
      <c r="AJ7" s="79" t="s">
        <v>20</v>
      </c>
      <c r="AK7" s="69">
        <v>40</v>
      </c>
      <c r="AL7" s="70">
        <v>40</v>
      </c>
      <c r="AM7" s="70">
        <v>20</v>
      </c>
      <c r="AN7" s="70">
        <v>40</v>
      </c>
      <c r="AO7" s="70">
        <v>40</v>
      </c>
      <c r="AP7" s="70">
        <v>1</v>
      </c>
      <c r="AQ7" s="71">
        <v>1</v>
      </c>
      <c r="AR7" s="57">
        <v>2</v>
      </c>
    </row>
    <row r="8" spans="1:44" ht="15.9" customHeight="1" x14ac:dyDescent="0.3">
      <c r="A8" s="8" t="s">
        <v>17</v>
      </c>
      <c r="B8" s="15">
        <f t="shared" si="0"/>
        <v>0</v>
      </c>
      <c r="C8" s="15">
        <f t="shared" si="1"/>
        <v>9</v>
      </c>
      <c r="D8" s="15">
        <f t="shared" si="2"/>
        <v>0</v>
      </c>
      <c r="E8" s="15">
        <f t="shared" si="3"/>
        <v>6</v>
      </c>
      <c r="F8" s="15">
        <f t="shared" si="4"/>
        <v>9</v>
      </c>
      <c r="G8" s="15">
        <f t="shared" si="5"/>
        <v>3</v>
      </c>
      <c r="H8" s="15">
        <f t="shared" si="6"/>
        <v>4</v>
      </c>
      <c r="I8" s="7">
        <v>4</v>
      </c>
      <c r="K8" s="22">
        <v>4</v>
      </c>
      <c r="L8" s="24" t="s">
        <v>28</v>
      </c>
      <c r="M8" s="24" t="s">
        <v>32</v>
      </c>
      <c r="N8" s="24" t="s">
        <v>151</v>
      </c>
      <c r="O8" s="24" t="s">
        <v>24</v>
      </c>
      <c r="P8" s="24" t="s">
        <v>82</v>
      </c>
      <c r="Q8" s="24" t="s">
        <v>28</v>
      </c>
      <c r="R8" s="24" t="s">
        <v>32</v>
      </c>
      <c r="T8" s="8">
        <f t="shared" si="8"/>
        <v>11</v>
      </c>
      <c r="U8" s="8">
        <f t="shared" si="9"/>
        <v>2</v>
      </c>
      <c r="V8" s="8">
        <f t="shared" si="10"/>
        <v>7</v>
      </c>
      <c r="W8" s="8">
        <f t="shared" si="11"/>
        <v>8</v>
      </c>
      <c r="X8" s="8">
        <f t="shared" si="12"/>
        <v>16</v>
      </c>
      <c r="Y8" s="8">
        <f t="shared" si="13"/>
        <v>11</v>
      </c>
      <c r="Z8" s="8">
        <f t="shared" si="14"/>
        <v>2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7">
        <v>1</v>
      </c>
      <c r="AJ8" s="79" t="s">
        <v>21</v>
      </c>
      <c r="AK8" s="69">
        <v>10</v>
      </c>
      <c r="AL8" s="70">
        <v>32</v>
      </c>
      <c r="AM8" s="70">
        <v>40</v>
      </c>
      <c r="AN8" s="70">
        <v>40</v>
      </c>
      <c r="AO8" s="70">
        <v>1</v>
      </c>
      <c r="AP8" s="70">
        <v>1</v>
      </c>
      <c r="AQ8" s="71">
        <v>1</v>
      </c>
      <c r="AR8" s="57">
        <v>3</v>
      </c>
    </row>
    <row r="9" spans="1:44" ht="15.9" customHeight="1" x14ac:dyDescent="0.3">
      <c r="A9" s="8" t="s">
        <v>18</v>
      </c>
      <c r="B9" s="15">
        <f t="shared" si="0"/>
        <v>13</v>
      </c>
      <c r="C9" s="15">
        <f t="shared" si="1"/>
        <v>0</v>
      </c>
      <c r="D9" s="15">
        <f t="shared" si="2"/>
        <v>3</v>
      </c>
      <c r="E9" s="15">
        <f t="shared" si="3"/>
        <v>0</v>
      </c>
      <c r="F9" s="15">
        <f t="shared" si="4"/>
        <v>0</v>
      </c>
      <c r="G9" s="15">
        <f t="shared" si="5"/>
        <v>9</v>
      </c>
      <c r="H9" s="15">
        <f t="shared" si="6"/>
        <v>0</v>
      </c>
      <c r="I9" s="7">
        <v>5</v>
      </c>
      <c r="K9" s="21">
        <v>5</v>
      </c>
      <c r="L9" s="24" t="s">
        <v>38</v>
      </c>
      <c r="M9" s="24" t="s">
        <v>32</v>
      </c>
      <c r="N9" s="24" t="s">
        <v>151</v>
      </c>
      <c r="O9" s="24" t="s">
        <v>26</v>
      </c>
      <c r="P9" s="24" t="s">
        <v>27</v>
      </c>
      <c r="Q9" s="24" t="s">
        <v>28</v>
      </c>
      <c r="R9" s="24" t="s">
        <v>32</v>
      </c>
      <c r="T9" s="8">
        <f t="shared" si="8"/>
        <v>10</v>
      </c>
      <c r="U9" s="8">
        <f t="shared" si="9"/>
        <v>2</v>
      </c>
      <c r="V9" s="8">
        <f t="shared" si="10"/>
        <v>7</v>
      </c>
      <c r="W9" s="8">
        <f t="shared" si="11"/>
        <v>9</v>
      </c>
      <c r="X9" s="8">
        <f t="shared" si="12"/>
        <v>10</v>
      </c>
      <c r="Y9" s="8">
        <f t="shared" si="13"/>
        <v>11</v>
      </c>
      <c r="Z9" s="8">
        <f t="shared" si="14"/>
        <v>2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7">
        <v>1</v>
      </c>
      <c r="AJ9" s="79" t="s">
        <v>17</v>
      </c>
      <c r="AK9" s="69">
        <v>40</v>
      </c>
      <c r="AL9" s="70">
        <v>13</v>
      </c>
      <c r="AM9" s="70">
        <v>15</v>
      </c>
      <c r="AN9" s="70">
        <v>1</v>
      </c>
      <c r="AO9" s="70">
        <v>1</v>
      </c>
      <c r="AP9" s="70">
        <v>40</v>
      </c>
      <c r="AQ9" s="71">
        <v>1</v>
      </c>
      <c r="AR9" s="57">
        <v>4</v>
      </c>
    </row>
    <row r="10" spans="1:44" ht="15.9" customHeight="1" x14ac:dyDescent="0.3">
      <c r="A10" s="8" t="s">
        <v>74</v>
      </c>
      <c r="B10" s="15">
        <f t="shared" si="0"/>
        <v>9</v>
      </c>
      <c r="C10" s="15">
        <f t="shared" si="1"/>
        <v>0</v>
      </c>
      <c r="D10" s="15">
        <f t="shared" si="2"/>
        <v>4</v>
      </c>
      <c r="E10" s="15">
        <f t="shared" si="3"/>
        <v>11</v>
      </c>
      <c r="F10" s="15">
        <f t="shared" si="4"/>
        <v>3</v>
      </c>
      <c r="G10" s="15">
        <f t="shared" si="5"/>
        <v>9</v>
      </c>
      <c r="H10" s="15">
        <f t="shared" si="6"/>
        <v>0</v>
      </c>
      <c r="I10" s="7">
        <v>6</v>
      </c>
      <c r="K10" s="22">
        <v>6</v>
      </c>
      <c r="L10" s="24" t="s">
        <v>21</v>
      </c>
      <c r="M10" s="24" t="s">
        <v>34</v>
      </c>
      <c r="N10" s="24" t="s">
        <v>27</v>
      </c>
      <c r="O10" s="24" t="s">
        <v>26</v>
      </c>
      <c r="P10" s="24" t="s">
        <v>17</v>
      </c>
      <c r="Q10" s="24" t="s">
        <v>151</v>
      </c>
      <c r="R10" s="24" t="s">
        <v>32</v>
      </c>
      <c r="T10" s="8">
        <f t="shared" si="8"/>
        <v>3</v>
      </c>
      <c r="U10" s="8">
        <f t="shared" si="9"/>
        <v>4</v>
      </c>
      <c r="V10" s="8">
        <f t="shared" si="10"/>
        <v>10</v>
      </c>
      <c r="W10" s="8">
        <f t="shared" si="11"/>
        <v>9</v>
      </c>
      <c r="X10" s="8">
        <f t="shared" si="12"/>
        <v>4</v>
      </c>
      <c r="Y10" s="8">
        <f t="shared" si="13"/>
        <v>7</v>
      </c>
      <c r="Z10" s="8">
        <f t="shared" si="14"/>
        <v>2</v>
      </c>
      <c r="AB10" s="25">
        <v>1</v>
      </c>
      <c r="AC10" s="25">
        <v>1</v>
      </c>
      <c r="AD10" s="25">
        <v>1</v>
      </c>
      <c r="AE10" s="25">
        <v>1</v>
      </c>
      <c r="AF10" s="25">
        <v>1</v>
      </c>
      <c r="AG10" s="25">
        <v>1</v>
      </c>
      <c r="AH10" s="7">
        <v>1</v>
      </c>
      <c r="AJ10" s="79" t="s">
        <v>18</v>
      </c>
      <c r="AK10" s="69">
        <v>10</v>
      </c>
      <c r="AL10" s="70">
        <v>40</v>
      </c>
      <c r="AM10" s="70">
        <v>40</v>
      </c>
      <c r="AN10" s="70">
        <v>40</v>
      </c>
      <c r="AO10" s="70">
        <v>8</v>
      </c>
      <c r="AP10" s="70">
        <v>40</v>
      </c>
      <c r="AQ10" s="71">
        <v>1</v>
      </c>
      <c r="AR10" s="57">
        <v>5</v>
      </c>
    </row>
    <row r="11" spans="1:44" ht="15.9" customHeight="1" x14ac:dyDescent="0.3">
      <c r="A11" s="8" t="s">
        <v>152</v>
      </c>
      <c r="B11" s="15">
        <f t="shared" si="0"/>
        <v>0</v>
      </c>
      <c r="C11" s="15">
        <f t="shared" si="1"/>
        <v>9</v>
      </c>
      <c r="D11" s="15">
        <f t="shared" si="2"/>
        <v>11</v>
      </c>
      <c r="E11" s="15">
        <f t="shared" si="3"/>
        <v>6</v>
      </c>
      <c r="F11" s="15">
        <f t="shared" si="4"/>
        <v>3</v>
      </c>
      <c r="G11" s="15">
        <f t="shared" si="5"/>
        <v>12</v>
      </c>
      <c r="H11" s="15">
        <f t="shared" si="6"/>
        <v>16</v>
      </c>
      <c r="I11" s="7">
        <v>7</v>
      </c>
      <c r="K11" s="21">
        <v>7</v>
      </c>
      <c r="L11" s="24" t="s">
        <v>35</v>
      </c>
      <c r="M11" s="24" t="s">
        <v>17</v>
      </c>
      <c r="N11" s="24" t="s">
        <v>27</v>
      </c>
      <c r="O11" s="24" t="s">
        <v>26</v>
      </c>
      <c r="P11" s="24" t="s">
        <v>17</v>
      </c>
      <c r="Q11" s="24" t="s">
        <v>26</v>
      </c>
      <c r="R11" s="24" t="s">
        <v>32</v>
      </c>
      <c r="T11" s="8">
        <f t="shared" si="8"/>
        <v>5</v>
      </c>
      <c r="U11" s="8">
        <f t="shared" si="9"/>
        <v>4</v>
      </c>
      <c r="V11" s="8">
        <f t="shared" si="10"/>
        <v>10</v>
      </c>
      <c r="W11" s="8">
        <f t="shared" si="11"/>
        <v>9</v>
      </c>
      <c r="X11" s="8">
        <f t="shared" si="12"/>
        <v>4</v>
      </c>
      <c r="Y11" s="8">
        <f t="shared" si="13"/>
        <v>9</v>
      </c>
      <c r="Z11" s="8">
        <f t="shared" si="14"/>
        <v>2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7">
        <v>1</v>
      </c>
      <c r="AJ11" s="79" t="s">
        <v>74</v>
      </c>
      <c r="AK11" s="69">
        <v>40</v>
      </c>
      <c r="AL11" s="70">
        <v>8</v>
      </c>
      <c r="AM11" s="70">
        <v>20</v>
      </c>
      <c r="AN11" s="70">
        <v>1</v>
      </c>
      <c r="AO11" s="70">
        <v>40</v>
      </c>
      <c r="AP11" s="70">
        <v>1</v>
      </c>
      <c r="AQ11" s="71">
        <v>1</v>
      </c>
      <c r="AR11" s="57">
        <v>6</v>
      </c>
    </row>
    <row r="12" spans="1:44" ht="15.9" customHeight="1" x14ac:dyDescent="0.3">
      <c r="A12" s="8" t="s">
        <v>24</v>
      </c>
      <c r="B12" s="15">
        <f t="shared" si="0"/>
        <v>0</v>
      </c>
      <c r="C12" s="15">
        <f t="shared" si="1"/>
        <v>7</v>
      </c>
      <c r="D12" s="15">
        <f t="shared" si="2"/>
        <v>0</v>
      </c>
      <c r="E12" s="15">
        <f t="shared" si="3"/>
        <v>4</v>
      </c>
      <c r="F12" s="15">
        <f t="shared" si="4"/>
        <v>3</v>
      </c>
      <c r="G12" s="15">
        <f t="shared" si="5"/>
        <v>3</v>
      </c>
      <c r="H12" s="15">
        <f t="shared" si="6"/>
        <v>16</v>
      </c>
      <c r="I12" s="7">
        <v>8</v>
      </c>
      <c r="K12" s="22">
        <v>8</v>
      </c>
      <c r="L12" s="24" t="s">
        <v>35</v>
      </c>
      <c r="M12" s="24" t="s">
        <v>17</v>
      </c>
      <c r="N12" s="24" t="s">
        <v>32</v>
      </c>
      <c r="O12" s="24" t="s">
        <v>162</v>
      </c>
      <c r="P12" s="24" t="s">
        <v>17</v>
      </c>
      <c r="Q12" s="24" t="s">
        <v>18</v>
      </c>
      <c r="R12" s="24" t="s">
        <v>37</v>
      </c>
      <c r="T12" s="8">
        <f t="shared" si="8"/>
        <v>5</v>
      </c>
      <c r="U12" s="8">
        <f t="shared" si="9"/>
        <v>4</v>
      </c>
      <c r="V12" s="8">
        <f t="shared" si="10"/>
        <v>2</v>
      </c>
      <c r="W12" s="8">
        <f t="shared" si="11"/>
        <v>18</v>
      </c>
      <c r="X12" s="8">
        <f t="shared" si="12"/>
        <v>4</v>
      </c>
      <c r="Y12" s="8">
        <f t="shared" si="13"/>
        <v>5</v>
      </c>
      <c r="Z12" s="8">
        <f t="shared" si="14"/>
        <v>9</v>
      </c>
      <c r="AB12" s="25">
        <v>1</v>
      </c>
      <c r="AC12" s="25">
        <v>1</v>
      </c>
      <c r="AD12" s="25">
        <v>1</v>
      </c>
      <c r="AE12" s="25">
        <v>1</v>
      </c>
      <c r="AF12" s="25">
        <v>1</v>
      </c>
      <c r="AG12" s="25">
        <v>1</v>
      </c>
      <c r="AH12" s="7">
        <v>1</v>
      </c>
      <c r="AJ12" s="79" t="s">
        <v>151</v>
      </c>
      <c r="AK12" s="69">
        <v>10</v>
      </c>
      <c r="AL12" s="70">
        <v>40</v>
      </c>
      <c r="AM12" s="70">
        <v>40</v>
      </c>
      <c r="AN12" s="70">
        <v>40</v>
      </c>
      <c r="AO12" s="70">
        <v>8</v>
      </c>
      <c r="AP12" s="70">
        <v>40</v>
      </c>
      <c r="AQ12" s="71">
        <v>1</v>
      </c>
      <c r="AR12" s="57">
        <v>7</v>
      </c>
    </row>
    <row r="13" spans="1:44" ht="15.9" customHeight="1" x14ac:dyDescent="0.3">
      <c r="A13" s="8" t="s">
        <v>26</v>
      </c>
      <c r="B13" s="15">
        <f t="shared" si="0"/>
        <v>0</v>
      </c>
      <c r="C13" s="15">
        <f t="shared" si="1"/>
        <v>5</v>
      </c>
      <c r="D13" s="15">
        <f t="shared" si="2"/>
        <v>13</v>
      </c>
      <c r="E13" s="15">
        <f t="shared" si="3"/>
        <v>12</v>
      </c>
      <c r="F13" s="15">
        <f t="shared" si="4"/>
        <v>3</v>
      </c>
      <c r="G13" s="15">
        <f t="shared" si="5"/>
        <v>9</v>
      </c>
      <c r="H13" s="15">
        <f t="shared" si="6"/>
        <v>12</v>
      </c>
      <c r="I13" s="7">
        <v>9</v>
      </c>
      <c r="K13" s="21">
        <v>9</v>
      </c>
      <c r="L13" s="24" t="s">
        <v>28</v>
      </c>
      <c r="M13" s="24" t="s">
        <v>151</v>
      </c>
      <c r="N13" s="24" t="s">
        <v>21</v>
      </c>
      <c r="O13" s="24" t="s">
        <v>162</v>
      </c>
      <c r="P13" s="24" t="s">
        <v>74</v>
      </c>
      <c r="Q13" s="24" t="s">
        <v>151</v>
      </c>
      <c r="R13" s="24" t="s">
        <v>37</v>
      </c>
      <c r="T13" s="8">
        <f t="shared" si="8"/>
        <v>11</v>
      </c>
      <c r="U13" s="8">
        <f t="shared" si="9"/>
        <v>7</v>
      </c>
      <c r="V13" s="8">
        <f t="shared" si="10"/>
        <v>3</v>
      </c>
      <c r="W13" s="8">
        <f t="shared" si="11"/>
        <v>18</v>
      </c>
      <c r="X13" s="8">
        <f t="shared" si="12"/>
        <v>6</v>
      </c>
      <c r="Y13" s="8">
        <f t="shared" si="13"/>
        <v>7</v>
      </c>
      <c r="Z13" s="8">
        <f t="shared" si="14"/>
        <v>9</v>
      </c>
      <c r="AB13" s="25">
        <v>1</v>
      </c>
      <c r="AC13" s="25">
        <v>1</v>
      </c>
      <c r="AD13" s="25">
        <v>1</v>
      </c>
      <c r="AE13" s="25">
        <v>1</v>
      </c>
      <c r="AF13" s="25">
        <v>1</v>
      </c>
      <c r="AG13" s="25">
        <v>1</v>
      </c>
      <c r="AH13" s="7">
        <v>1</v>
      </c>
      <c r="AJ13" s="79" t="s">
        <v>24</v>
      </c>
      <c r="AK13" s="69">
        <v>10</v>
      </c>
      <c r="AL13" s="70">
        <v>10</v>
      </c>
      <c r="AM13" s="70">
        <v>40</v>
      </c>
      <c r="AN13" s="70">
        <v>1</v>
      </c>
      <c r="AO13" s="70">
        <v>40</v>
      </c>
      <c r="AP13" s="70">
        <v>1</v>
      </c>
      <c r="AQ13" s="71">
        <v>1</v>
      </c>
      <c r="AR13" s="57">
        <v>8</v>
      </c>
    </row>
    <row r="14" spans="1:44" ht="15.9" customHeight="1" x14ac:dyDescent="0.3">
      <c r="A14" s="8" t="s">
        <v>27</v>
      </c>
      <c r="B14" s="15">
        <f t="shared" si="0"/>
        <v>13</v>
      </c>
      <c r="C14" s="15">
        <f t="shared" si="1"/>
        <v>0</v>
      </c>
      <c r="D14" s="15">
        <f t="shared" si="2"/>
        <v>6</v>
      </c>
      <c r="E14" s="15">
        <f t="shared" si="3"/>
        <v>0</v>
      </c>
      <c r="F14" s="15">
        <f t="shared" si="4"/>
        <v>3</v>
      </c>
      <c r="G14" s="15">
        <f t="shared" si="5"/>
        <v>9</v>
      </c>
      <c r="H14" s="15">
        <f t="shared" si="6"/>
        <v>0</v>
      </c>
      <c r="I14" s="7">
        <v>10</v>
      </c>
      <c r="K14" s="22">
        <v>10</v>
      </c>
      <c r="L14" s="24" t="s">
        <v>33</v>
      </c>
      <c r="M14" s="24" t="s">
        <v>151</v>
      </c>
      <c r="N14" s="24" t="s">
        <v>26</v>
      </c>
      <c r="O14" s="24" t="s">
        <v>17</v>
      </c>
      <c r="P14" s="24" t="s">
        <v>21</v>
      </c>
      <c r="Q14" s="24" t="s">
        <v>27</v>
      </c>
      <c r="R14" s="24" t="s">
        <v>37</v>
      </c>
      <c r="T14" s="8">
        <f t="shared" si="8"/>
        <v>3</v>
      </c>
      <c r="U14" s="8">
        <f t="shared" si="9"/>
        <v>7</v>
      </c>
      <c r="V14" s="8">
        <f t="shared" si="10"/>
        <v>9</v>
      </c>
      <c r="W14" s="8">
        <f t="shared" si="11"/>
        <v>4</v>
      </c>
      <c r="X14" s="8">
        <f t="shared" si="12"/>
        <v>3</v>
      </c>
      <c r="Y14" s="8">
        <f t="shared" si="13"/>
        <v>10</v>
      </c>
      <c r="Z14" s="8">
        <f t="shared" si="14"/>
        <v>9</v>
      </c>
      <c r="AB14" s="25">
        <v>1</v>
      </c>
      <c r="AC14" s="25">
        <v>1</v>
      </c>
      <c r="AD14" s="25">
        <v>1</v>
      </c>
      <c r="AE14" s="25">
        <v>1</v>
      </c>
      <c r="AF14" s="25">
        <v>1</v>
      </c>
      <c r="AG14" s="25">
        <v>1</v>
      </c>
      <c r="AH14" s="7">
        <v>1</v>
      </c>
      <c r="AJ14" s="79" t="s">
        <v>26</v>
      </c>
      <c r="AK14" s="69">
        <v>40</v>
      </c>
      <c r="AL14" s="70">
        <v>8</v>
      </c>
      <c r="AM14" s="70">
        <v>25</v>
      </c>
      <c r="AN14" s="70">
        <v>10</v>
      </c>
      <c r="AO14" s="70">
        <v>1</v>
      </c>
      <c r="AP14" s="70">
        <v>40</v>
      </c>
      <c r="AQ14" s="71">
        <v>1</v>
      </c>
      <c r="AR14" s="57">
        <v>9</v>
      </c>
    </row>
    <row r="15" spans="1:44" ht="15.9" customHeight="1" x14ac:dyDescent="0.3">
      <c r="A15" s="8" t="s">
        <v>28</v>
      </c>
      <c r="B15" s="15">
        <f t="shared" si="0"/>
        <v>13</v>
      </c>
      <c r="C15" s="15">
        <f t="shared" si="1"/>
        <v>0</v>
      </c>
      <c r="D15" s="15">
        <f t="shared" si="2"/>
        <v>0</v>
      </c>
      <c r="E15" s="15">
        <f t="shared" si="3"/>
        <v>0</v>
      </c>
      <c r="F15" s="15">
        <f t="shared" si="4"/>
        <v>0</v>
      </c>
      <c r="G15" s="15">
        <f t="shared" si="5"/>
        <v>6</v>
      </c>
      <c r="H15" s="15">
        <f t="shared" si="6"/>
        <v>0</v>
      </c>
      <c r="I15" s="7">
        <v>11</v>
      </c>
      <c r="K15" s="21">
        <v>11</v>
      </c>
      <c r="L15" s="24" t="s">
        <v>74</v>
      </c>
      <c r="M15" s="24" t="s">
        <v>37</v>
      </c>
      <c r="N15" s="24" t="s">
        <v>32</v>
      </c>
      <c r="O15" s="24" t="s">
        <v>17</v>
      </c>
      <c r="P15" s="24" t="s">
        <v>85</v>
      </c>
      <c r="Q15" s="24" t="s">
        <v>74</v>
      </c>
      <c r="R15" s="24" t="s">
        <v>37</v>
      </c>
      <c r="T15" s="8">
        <f t="shared" si="8"/>
        <v>6</v>
      </c>
      <c r="U15" s="8">
        <f t="shared" si="9"/>
        <v>9</v>
      </c>
      <c r="V15" s="8">
        <f t="shared" si="10"/>
        <v>2</v>
      </c>
      <c r="W15" s="8">
        <f t="shared" si="11"/>
        <v>4</v>
      </c>
      <c r="X15" s="8">
        <f t="shared" si="12"/>
        <v>20</v>
      </c>
      <c r="Y15" s="8">
        <f t="shared" si="13"/>
        <v>6</v>
      </c>
      <c r="Z15" s="8">
        <f t="shared" si="14"/>
        <v>9</v>
      </c>
      <c r="AB15" s="25">
        <v>1</v>
      </c>
      <c r="AC15" s="25">
        <v>1</v>
      </c>
      <c r="AD15" s="25">
        <v>1</v>
      </c>
      <c r="AE15" s="25">
        <v>1</v>
      </c>
      <c r="AF15" s="25">
        <v>1</v>
      </c>
      <c r="AG15" s="25">
        <v>1</v>
      </c>
      <c r="AH15" s="7">
        <v>1</v>
      </c>
      <c r="AJ15" s="79" t="s">
        <v>27</v>
      </c>
      <c r="AK15" s="69">
        <v>10</v>
      </c>
      <c r="AL15" s="70">
        <v>40</v>
      </c>
      <c r="AM15" s="70">
        <v>40</v>
      </c>
      <c r="AN15" s="70">
        <v>10</v>
      </c>
      <c r="AO15" s="70">
        <v>40</v>
      </c>
      <c r="AP15" s="70">
        <v>1</v>
      </c>
      <c r="AQ15" s="71">
        <v>1</v>
      </c>
      <c r="AR15" s="57">
        <v>10</v>
      </c>
    </row>
    <row r="16" spans="1:44" ht="15.9" customHeight="1" x14ac:dyDescent="0.3">
      <c r="A16" s="8" t="s">
        <v>29</v>
      </c>
      <c r="B16" s="15">
        <f t="shared" si="0"/>
        <v>0</v>
      </c>
      <c r="C16" s="15">
        <f t="shared" si="1"/>
        <v>0</v>
      </c>
      <c r="D16" s="15">
        <f t="shared" si="2"/>
        <v>9</v>
      </c>
      <c r="E16" s="15">
        <f t="shared" si="3"/>
        <v>0</v>
      </c>
      <c r="F16" s="15">
        <f t="shared" si="4"/>
        <v>0</v>
      </c>
      <c r="G16" s="15">
        <f t="shared" si="5"/>
        <v>0</v>
      </c>
      <c r="H16" s="15">
        <f t="shared" si="6"/>
        <v>8</v>
      </c>
      <c r="I16" s="7">
        <v>12</v>
      </c>
      <c r="K16" s="22">
        <v>12</v>
      </c>
      <c r="L16" s="24" t="s">
        <v>74</v>
      </c>
      <c r="M16" s="24" t="s">
        <v>81</v>
      </c>
      <c r="N16" s="24" t="s">
        <v>82</v>
      </c>
      <c r="O16" s="24" t="s">
        <v>26</v>
      </c>
      <c r="P16" s="24" t="s">
        <v>85</v>
      </c>
      <c r="Q16" s="24" t="s">
        <v>26</v>
      </c>
      <c r="R16" s="24" t="s">
        <v>152</v>
      </c>
      <c r="T16" s="8">
        <f t="shared" si="8"/>
        <v>6</v>
      </c>
      <c r="U16" s="8">
        <f t="shared" si="9"/>
        <v>15</v>
      </c>
      <c r="V16" s="8">
        <f t="shared" si="10"/>
        <v>16</v>
      </c>
      <c r="W16" s="8">
        <f t="shared" si="11"/>
        <v>9</v>
      </c>
      <c r="X16" s="8">
        <f t="shared" si="12"/>
        <v>20</v>
      </c>
      <c r="Y16" s="8">
        <f t="shared" si="13"/>
        <v>9</v>
      </c>
      <c r="Z16" s="8">
        <f t="shared" si="14"/>
        <v>7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H16" s="7">
        <v>1</v>
      </c>
      <c r="AJ16" s="79" t="s">
        <v>28</v>
      </c>
      <c r="AK16" s="69">
        <v>40</v>
      </c>
      <c r="AL16" s="70">
        <v>40</v>
      </c>
      <c r="AM16" s="70">
        <v>40</v>
      </c>
      <c r="AN16" s="70">
        <v>1</v>
      </c>
      <c r="AO16" s="70">
        <v>1</v>
      </c>
      <c r="AP16" s="70">
        <v>1</v>
      </c>
      <c r="AQ16" s="71">
        <v>1</v>
      </c>
      <c r="AR16" s="57">
        <v>11</v>
      </c>
    </row>
    <row r="17" spans="1:44" ht="15.9" customHeight="1" x14ac:dyDescent="0.3">
      <c r="A17" s="7" t="s">
        <v>79</v>
      </c>
      <c r="B17" s="15">
        <f t="shared" si="0"/>
        <v>0</v>
      </c>
      <c r="C17" s="15">
        <f t="shared" si="1"/>
        <v>3</v>
      </c>
      <c r="D17" s="15">
        <f t="shared" si="2"/>
        <v>0</v>
      </c>
      <c r="E17" s="15">
        <f t="shared" si="3"/>
        <v>9</v>
      </c>
      <c r="F17" s="15">
        <f t="shared" si="4"/>
        <v>0</v>
      </c>
      <c r="G17" s="15">
        <f t="shared" si="5"/>
        <v>0</v>
      </c>
      <c r="H17" s="15">
        <f t="shared" si="6"/>
        <v>0</v>
      </c>
      <c r="I17" s="7">
        <v>13</v>
      </c>
      <c r="K17" s="21">
        <v>13</v>
      </c>
      <c r="L17" s="24" t="s">
        <v>28</v>
      </c>
      <c r="M17" s="24" t="s">
        <v>81</v>
      </c>
      <c r="N17" s="24" t="s">
        <v>82</v>
      </c>
      <c r="O17" s="24" t="s">
        <v>151</v>
      </c>
      <c r="P17" s="24" t="s">
        <v>24</v>
      </c>
      <c r="Q17" s="24" t="s">
        <v>151</v>
      </c>
      <c r="R17" s="24" t="s">
        <v>151</v>
      </c>
      <c r="T17" s="8">
        <f t="shared" si="8"/>
        <v>11</v>
      </c>
      <c r="U17" s="8">
        <f t="shared" si="9"/>
        <v>15</v>
      </c>
      <c r="V17" s="8">
        <f t="shared" si="10"/>
        <v>16</v>
      </c>
      <c r="W17" s="8">
        <f t="shared" si="11"/>
        <v>7</v>
      </c>
      <c r="X17" s="8">
        <f t="shared" si="12"/>
        <v>8</v>
      </c>
      <c r="Y17" s="8">
        <f t="shared" si="13"/>
        <v>7</v>
      </c>
      <c r="Z17" s="8">
        <f t="shared" si="14"/>
        <v>7</v>
      </c>
      <c r="AB17" s="25">
        <v>1</v>
      </c>
      <c r="AC17" s="25">
        <v>1</v>
      </c>
      <c r="AD17" s="25">
        <v>1</v>
      </c>
      <c r="AE17" s="25">
        <v>1</v>
      </c>
      <c r="AF17" s="25">
        <v>1</v>
      </c>
      <c r="AG17" s="25">
        <v>1</v>
      </c>
      <c r="AH17" s="7">
        <v>1</v>
      </c>
      <c r="AJ17" s="79" t="s">
        <v>29</v>
      </c>
      <c r="AK17" s="69">
        <v>5</v>
      </c>
      <c r="AL17" s="70">
        <v>40</v>
      </c>
      <c r="AM17" s="70">
        <v>20</v>
      </c>
      <c r="AN17" s="70">
        <v>1</v>
      </c>
      <c r="AO17" s="70">
        <v>1</v>
      </c>
      <c r="AP17" s="70">
        <v>1</v>
      </c>
      <c r="AQ17" s="71">
        <v>1</v>
      </c>
      <c r="AR17" s="57">
        <v>12</v>
      </c>
    </row>
    <row r="18" spans="1:44" s="81" customFormat="1" ht="15.9" customHeight="1" x14ac:dyDescent="0.3">
      <c r="A18" s="7" t="s">
        <v>80</v>
      </c>
      <c r="B18" s="15">
        <f t="shared" si="0"/>
        <v>0</v>
      </c>
      <c r="C18" s="15">
        <f t="shared" si="1"/>
        <v>0</v>
      </c>
      <c r="D18" s="15">
        <f t="shared" si="2"/>
        <v>0</v>
      </c>
      <c r="E18" s="15">
        <f t="shared" si="3"/>
        <v>0</v>
      </c>
      <c r="F18" s="15">
        <f t="shared" si="4"/>
        <v>9</v>
      </c>
      <c r="G18" s="15">
        <f t="shared" si="5"/>
        <v>0</v>
      </c>
      <c r="H18" s="15">
        <f t="shared" si="6"/>
        <v>0</v>
      </c>
      <c r="I18" s="7">
        <v>14</v>
      </c>
      <c r="K18" s="22">
        <v>14</v>
      </c>
      <c r="L18" s="24" t="s">
        <v>28</v>
      </c>
      <c r="M18" s="24" t="s">
        <v>37</v>
      </c>
      <c r="N18" s="24" t="s">
        <v>18</v>
      </c>
      <c r="O18" s="24" t="s">
        <v>151</v>
      </c>
      <c r="P18" s="24" t="s">
        <v>151</v>
      </c>
      <c r="Q18" s="24" t="s">
        <v>74</v>
      </c>
      <c r="R18" s="24" t="s">
        <v>151</v>
      </c>
      <c r="T18" s="8">
        <f t="shared" si="8"/>
        <v>11</v>
      </c>
      <c r="U18" s="8">
        <f t="shared" si="9"/>
        <v>9</v>
      </c>
      <c r="V18" s="8">
        <f t="shared" si="10"/>
        <v>5</v>
      </c>
      <c r="W18" s="8">
        <f t="shared" si="11"/>
        <v>7</v>
      </c>
      <c r="X18" s="8">
        <f t="shared" si="12"/>
        <v>7</v>
      </c>
      <c r="Y18" s="8">
        <f t="shared" si="13"/>
        <v>6</v>
      </c>
      <c r="Z18" s="8">
        <f t="shared" si="14"/>
        <v>7</v>
      </c>
      <c r="AB18" s="25">
        <v>1</v>
      </c>
      <c r="AC18" s="25">
        <v>1</v>
      </c>
      <c r="AD18" s="25">
        <v>1</v>
      </c>
      <c r="AE18" s="25">
        <v>1</v>
      </c>
      <c r="AF18" s="25">
        <v>1</v>
      </c>
      <c r="AG18" s="25">
        <v>1</v>
      </c>
      <c r="AH18" s="7">
        <v>1</v>
      </c>
      <c r="AJ18" s="79" t="s">
        <v>79</v>
      </c>
      <c r="AK18" s="69">
        <v>0</v>
      </c>
      <c r="AL18" s="70">
        <v>12</v>
      </c>
      <c r="AM18" s="70">
        <v>3</v>
      </c>
      <c r="AN18" s="70">
        <v>5</v>
      </c>
      <c r="AO18" s="70">
        <v>3</v>
      </c>
      <c r="AP18" s="70">
        <v>0</v>
      </c>
      <c r="AQ18" s="71">
        <v>0</v>
      </c>
      <c r="AR18" s="57">
        <v>13</v>
      </c>
    </row>
    <row r="19" spans="1:44" ht="15.9" customHeight="1" x14ac:dyDescent="0.3">
      <c r="A19" s="42" t="s">
        <v>81</v>
      </c>
      <c r="B19" s="15">
        <f t="shared" si="0"/>
        <v>0</v>
      </c>
      <c r="C19" s="15">
        <f t="shared" si="1"/>
        <v>6</v>
      </c>
      <c r="D19" s="15">
        <f t="shared" si="2"/>
        <v>0</v>
      </c>
      <c r="E19" s="15">
        <f t="shared" si="3"/>
        <v>6</v>
      </c>
      <c r="F19" s="15">
        <f t="shared" si="4"/>
        <v>0</v>
      </c>
      <c r="G19" s="15">
        <f t="shared" si="5"/>
        <v>0</v>
      </c>
      <c r="H19" s="15">
        <f t="shared" si="6"/>
        <v>0</v>
      </c>
      <c r="I19" s="7">
        <v>15</v>
      </c>
      <c r="K19" s="21">
        <v>15</v>
      </c>
      <c r="L19" s="24" t="s">
        <v>75</v>
      </c>
      <c r="M19" s="24" t="s">
        <v>20</v>
      </c>
      <c r="N19" s="24" t="s">
        <v>26</v>
      </c>
      <c r="O19" s="24" t="s">
        <v>74</v>
      </c>
      <c r="P19" s="24" t="s">
        <v>82</v>
      </c>
      <c r="Q19" s="24" t="s">
        <v>17</v>
      </c>
      <c r="R19" s="24" t="s">
        <v>151</v>
      </c>
      <c r="T19" s="8">
        <f t="shared" si="8"/>
        <v>6</v>
      </c>
      <c r="U19" s="8">
        <f t="shared" si="9"/>
        <v>2</v>
      </c>
      <c r="V19" s="8">
        <f t="shared" si="10"/>
        <v>9</v>
      </c>
      <c r="W19" s="8">
        <f t="shared" si="11"/>
        <v>6</v>
      </c>
      <c r="X19" s="8">
        <f t="shared" si="12"/>
        <v>16</v>
      </c>
      <c r="Y19" s="8">
        <f t="shared" si="13"/>
        <v>4</v>
      </c>
      <c r="Z19" s="8">
        <f t="shared" si="14"/>
        <v>7</v>
      </c>
      <c r="AB19" s="25">
        <v>1</v>
      </c>
      <c r="AC19" s="25">
        <v>1</v>
      </c>
      <c r="AD19" s="25">
        <v>1</v>
      </c>
      <c r="AE19" s="25">
        <v>1</v>
      </c>
      <c r="AF19" s="25">
        <v>1</v>
      </c>
      <c r="AG19" s="25">
        <v>1</v>
      </c>
      <c r="AH19" s="7">
        <v>1</v>
      </c>
      <c r="AJ19" s="79" t="s">
        <v>80</v>
      </c>
      <c r="AK19" s="69">
        <v>0</v>
      </c>
      <c r="AL19" s="70">
        <v>8</v>
      </c>
      <c r="AM19" s="70">
        <v>15</v>
      </c>
      <c r="AN19" s="70">
        <v>2</v>
      </c>
      <c r="AO19" s="70">
        <v>2</v>
      </c>
      <c r="AP19" s="70">
        <v>0</v>
      </c>
      <c r="AQ19" s="71">
        <v>0</v>
      </c>
      <c r="AR19" s="57">
        <v>14</v>
      </c>
    </row>
    <row r="20" spans="1:44" ht="15.9" customHeight="1" x14ac:dyDescent="0.3">
      <c r="A20" s="42" t="s">
        <v>82</v>
      </c>
      <c r="B20" s="15">
        <f t="shared" si="0"/>
        <v>0</v>
      </c>
      <c r="C20" s="15">
        <f t="shared" si="1"/>
        <v>0</v>
      </c>
      <c r="D20" s="15">
        <f t="shared" si="2"/>
        <v>6</v>
      </c>
      <c r="E20" s="15">
        <f t="shared" si="3"/>
        <v>0</v>
      </c>
      <c r="F20" s="15">
        <f t="shared" si="4"/>
        <v>12</v>
      </c>
      <c r="G20" s="15">
        <f t="shared" si="5"/>
        <v>0</v>
      </c>
      <c r="H20" s="15">
        <f t="shared" si="6"/>
        <v>0</v>
      </c>
      <c r="I20" s="7">
        <v>16</v>
      </c>
      <c r="K20" s="22">
        <v>16</v>
      </c>
      <c r="L20" s="24" t="s">
        <v>35</v>
      </c>
      <c r="M20" s="24" t="s">
        <v>85</v>
      </c>
      <c r="N20" s="24" t="s">
        <v>26</v>
      </c>
      <c r="O20" s="24" t="s">
        <v>74</v>
      </c>
      <c r="P20" s="24" t="s">
        <v>82</v>
      </c>
      <c r="Q20" s="24" t="s">
        <v>18</v>
      </c>
      <c r="R20" s="24" t="s">
        <v>25</v>
      </c>
      <c r="T20" s="8">
        <f t="shared" si="8"/>
        <v>5</v>
      </c>
      <c r="U20" s="8">
        <f t="shared" si="9"/>
        <v>20</v>
      </c>
      <c r="V20" s="8">
        <f t="shared" si="10"/>
        <v>9</v>
      </c>
      <c r="W20" s="8">
        <f t="shared" si="11"/>
        <v>6</v>
      </c>
      <c r="X20" s="8">
        <f t="shared" si="12"/>
        <v>16</v>
      </c>
      <c r="Y20" s="8">
        <f t="shared" si="13"/>
        <v>5</v>
      </c>
      <c r="Z20" s="8">
        <f t="shared" si="14"/>
        <v>8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H20" s="7">
        <v>1</v>
      </c>
      <c r="AJ20" s="79" t="s">
        <v>81</v>
      </c>
      <c r="AK20" s="69">
        <v>0</v>
      </c>
      <c r="AL20" s="70">
        <v>2</v>
      </c>
      <c r="AM20" s="70">
        <v>7</v>
      </c>
      <c r="AN20" s="70">
        <v>1</v>
      </c>
      <c r="AO20" s="70">
        <v>2</v>
      </c>
      <c r="AP20" s="70">
        <v>0</v>
      </c>
      <c r="AQ20" s="71">
        <v>0</v>
      </c>
      <c r="AR20" s="57">
        <v>15</v>
      </c>
    </row>
    <row r="21" spans="1:44" ht="15.9" customHeight="1" x14ac:dyDescent="0.3">
      <c r="A21" s="42" t="s">
        <v>161</v>
      </c>
      <c r="B21" s="15">
        <f t="shared" si="0"/>
        <v>0</v>
      </c>
      <c r="C21" s="15">
        <f t="shared" si="1"/>
        <v>0</v>
      </c>
      <c r="D21" s="15">
        <f t="shared" si="2"/>
        <v>0</v>
      </c>
      <c r="E21" s="15">
        <f t="shared" si="3"/>
        <v>0</v>
      </c>
      <c r="F21" s="15">
        <f t="shared" si="4"/>
        <v>0</v>
      </c>
      <c r="G21" s="15">
        <f t="shared" si="5"/>
        <v>0</v>
      </c>
      <c r="H21" s="15">
        <f t="shared" si="6"/>
        <v>0</v>
      </c>
      <c r="I21" s="7">
        <v>17</v>
      </c>
      <c r="K21" s="21">
        <v>17</v>
      </c>
      <c r="L21" s="24" t="s">
        <v>38</v>
      </c>
      <c r="M21" s="24" t="s">
        <v>85</v>
      </c>
      <c r="N21" s="24" t="s">
        <v>26</v>
      </c>
      <c r="O21" s="24" t="s">
        <v>74</v>
      </c>
      <c r="P21" s="24" t="s">
        <v>21</v>
      </c>
      <c r="Q21" s="24" t="s">
        <v>27</v>
      </c>
      <c r="R21" s="24" t="s">
        <v>25</v>
      </c>
      <c r="T21" s="8">
        <f t="shared" si="8"/>
        <v>10</v>
      </c>
      <c r="U21" s="8">
        <f t="shared" si="9"/>
        <v>20</v>
      </c>
      <c r="V21" s="8">
        <f t="shared" si="10"/>
        <v>9</v>
      </c>
      <c r="W21" s="8">
        <f t="shared" si="11"/>
        <v>6</v>
      </c>
      <c r="X21" s="8">
        <f t="shared" si="12"/>
        <v>3</v>
      </c>
      <c r="Y21" s="8">
        <f t="shared" si="13"/>
        <v>10</v>
      </c>
      <c r="Z21" s="8">
        <f t="shared" si="14"/>
        <v>8</v>
      </c>
      <c r="AB21" s="25">
        <v>1</v>
      </c>
      <c r="AC21" s="25">
        <v>1</v>
      </c>
      <c r="AD21" s="25">
        <v>1</v>
      </c>
      <c r="AE21" s="25">
        <v>1</v>
      </c>
      <c r="AF21" s="25">
        <v>1</v>
      </c>
      <c r="AG21" s="25">
        <v>1</v>
      </c>
      <c r="AH21" s="7">
        <v>1</v>
      </c>
      <c r="AJ21" s="79" t="s">
        <v>82</v>
      </c>
      <c r="AK21" s="69">
        <v>0</v>
      </c>
      <c r="AL21" s="70">
        <v>5</v>
      </c>
      <c r="AM21" s="70">
        <v>5</v>
      </c>
      <c r="AN21" s="70">
        <v>5</v>
      </c>
      <c r="AO21" s="70">
        <v>2</v>
      </c>
      <c r="AP21" s="70">
        <v>0</v>
      </c>
      <c r="AQ21" s="71">
        <v>0</v>
      </c>
      <c r="AR21" s="57">
        <v>16</v>
      </c>
    </row>
    <row r="22" spans="1:44" ht="15.9" customHeight="1" x14ac:dyDescent="0.3">
      <c r="A22" s="7" t="s">
        <v>163</v>
      </c>
      <c r="B22" s="15">
        <f t="shared" si="0"/>
        <v>0</v>
      </c>
      <c r="C22" s="15">
        <f t="shared" si="1"/>
        <v>0</v>
      </c>
      <c r="D22" s="15">
        <f t="shared" si="2"/>
        <v>0</v>
      </c>
      <c r="E22" s="15">
        <f t="shared" si="3"/>
        <v>6</v>
      </c>
      <c r="F22" s="15">
        <f t="shared" si="4"/>
        <v>0</v>
      </c>
      <c r="G22" s="15">
        <f t="shared" si="5"/>
        <v>0</v>
      </c>
      <c r="H22" s="15">
        <f t="shared" si="6"/>
        <v>0</v>
      </c>
      <c r="I22" s="7">
        <v>18</v>
      </c>
      <c r="K22" s="22">
        <v>18</v>
      </c>
      <c r="L22" s="24" t="s">
        <v>38</v>
      </c>
      <c r="M22" s="24" t="s">
        <v>37</v>
      </c>
      <c r="N22" s="24" t="s">
        <v>74</v>
      </c>
      <c r="O22" s="24" t="s">
        <v>81</v>
      </c>
      <c r="P22" s="24" t="s">
        <v>21</v>
      </c>
      <c r="Q22" s="24" t="s">
        <v>74</v>
      </c>
      <c r="R22" s="24" t="s">
        <v>25</v>
      </c>
      <c r="T22" s="8">
        <f t="shared" si="8"/>
        <v>10</v>
      </c>
      <c r="U22" s="8">
        <f t="shared" si="9"/>
        <v>9</v>
      </c>
      <c r="V22" s="8">
        <f t="shared" si="10"/>
        <v>6</v>
      </c>
      <c r="W22" s="8">
        <f t="shared" si="11"/>
        <v>15</v>
      </c>
      <c r="X22" s="8">
        <f t="shared" si="12"/>
        <v>3</v>
      </c>
      <c r="Y22" s="8">
        <f t="shared" si="13"/>
        <v>6</v>
      </c>
      <c r="Z22" s="8">
        <f t="shared" si="14"/>
        <v>8</v>
      </c>
      <c r="AB22" s="25">
        <v>1</v>
      </c>
      <c r="AC22" s="25">
        <v>1</v>
      </c>
      <c r="AD22" s="25">
        <v>1</v>
      </c>
      <c r="AE22" s="25">
        <v>1</v>
      </c>
      <c r="AF22" s="25">
        <v>1</v>
      </c>
      <c r="AG22" s="25">
        <v>1</v>
      </c>
      <c r="AH22" s="7">
        <v>1</v>
      </c>
      <c r="AJ22" s="79" t="s">
        <v>83</v>
      </c>
      <c r="AK22" s="69">
        <v>0</v>
      </c>
      <c r="AL22" s="70">
        <v>2</v>
      </c>
      <c r="AM22" s="70">
        <v>2</v>
      </c>
      <c r="AN22" s="70">
        <v>1</v>
      </c>
      <c r="AO22" s="70">
        <v>3</v>
      </c>
      <c r="AP22" s="70">
        <v>0</v>
      </c>
      <c r="AQ22" s="71">
        <v>0</v>
      </c>
      <c r="AR22" s="57">
        <v>17</v>
      </c>
    </row>
    <row r="23" spans="1:44" ht="15.9" customHeight="1" x14ac:dyDescent="0.3">
      <c r="A23" s="7" t="s">
        <v>84</v>
      </c>
      <c r="B23" s="15">
        <f t="shared" si="0"/>
        <v>0</v>
      </c>
      <c r="C23" s="15">
        <f t="shared" si="1"/>
        <v>6</v>
      </c>
      <c r="D23" s="15">
        <f t="shared" si="2"/>
        <v>0</v>
      </c>
      <c r="E23" s="15">
        <f t="shared" si="3"/>
        <v>0</v>
      </c>
      <c r="F23" s="15">
        <f t="shared" si="4"/>
        <v>0</v>
      </c>
      <c r="G23" s="15">
        <f t="shared" si="5"/>
        <v>0</v>
      </c>
      <c r="H23" s="15">
        <f t="shared" si="6"/>
        <v>0</v>
      </c>
      <c r="I23" s="7">
        <v>19</v>
      </c>
      <c r="K23" s="21">
        <v>19</v>
      </c>
      <c r="L23" s="24" t="s">
        <v>21</v>
      </c>
      <c r="M23" s="24" t="s">
        <v>151</v>
      </c>
      <c r="N23" s="24" t="s">
        <v>151</v>
      </c>
      <c r="O23" s="24" t="s">
        <v>81</v>
      </c>
      <c r="P23" s="24" t="s">
        <v>26</v>
      </c>
      <c r="Q23" s="24" t="s">
        <v>26</v>
      </c>
      <c r="R23" s="24" t="s">
        <v>25</v>
      </c>
      <c r="T23" s="8">
        <f t="shared" si="8"/>
        <v>3</v>
      </c>
      <c r="U23" s="8">
        <f t="shared" si="9"/>
        <v>7</v>
      </c>
      <c r="V23" s="8">
        <f t="shared" si="10"/>
        <v>7</v>
      </c>
      <c r="W23" s="8">
        <f t="shared" si="11"/>
        <v>15</v>
      </c>
      <c r="X23" s="8">
        <f t="shared" si="12"/>
        <v>9</v>
      </c>
      <c r="Y23" s="8">
        <f t="shared" si="13"/>
        <v>9</v>
      </c>
      <c r="Z23" s="8">
        <f t="shared" si="14"/>
        <v>8</v>
      </c>
      <c r="AB23" s="25">
        <v>1</v>
      </c>
      <c r="AC23" s="25">
        <v>1</v>
      </c>
      <c r="AD23" s="25">
        <v>1</v>
      </c>
      <c r="AE23" s="25">
        <v>1</v>
      </c>
      <c r="AF23" s="25">
        <v>1</v>
      </c>
      <c r="AG23" s="25">
        <v>1</v>
      </c>
      <c r="AH23" s="7">
        <v>1</v>
      </c>
      <c r="AJ23" s="79" t="s">
        <v>162</v>
      </c>
      <c r="AK23" s="69">
        <v>0</v>
      </c>
      <c r="AL23" s="70">
        <v>2</v>
      </c>
      <c r="AM23" s="70">
        <v>2</v>
      </c>
      <c r="AN23" s="70">
        <v>1</v>
      </c>
      <c r="AO23" s="70">
        <v>3</v>
      </c>
      <c r="AP23" s="70">
        <v>0</v>
      </c>
      <c r="AQ23" s="71">
        <v>0</v>
      </c>
      <c r="AR23" s="57">
        <v>18</v>
      </c>
    </row>
    <row r="24" spans="1:44" ht="15.9" customHeight="1" x14ac:dyDescent="0.3">
      <c r="A24" s="7" t="s">
        <v>85</v>
      </c>
      <c r="B24" s="15">
        <f t="shared" si="0"/>
        <v>0</v>
      </c>
      <c r="C24" s="15">
        <f t="shared" si="1"/>
        <v>6</v>
      </c>
      <c r="D24" s="15">
        <f t="shared" si="2"/>
        <v>0</v>
      </c>
      <c r="E24" s="15">
        <f t="shared" si="3"/>
        <v>0</v>
      </c>
      <c r="F24" s="15">
        <f t="shared" si="4"/>
        <v>6</v>
      </c>
      <c r="G24" s="15">
        <f t="shared" si="5"/>
        <v>0</v>
      </c>
      <c r="H24" s="15">
        <f t="shared" si="6"/>
        <v>0</v>
      </c>
      <c r="I24" s="7">
        <v>20</v>
      </c>
      <c r="K24" s="22">
        <v>20</v>
      </c>
      <c r="L24" s="24" t="s">
        <v>33</v>
      </c>
      <c r="M24" s="24" t="s">
        <v>181</v>
      </c>
      <c r="N24" s="24" t="s">
        <v>151</v>
      </c>
      <c r="O24" s="24" t="s">
        <v>74</v>
      </c>
      <c r="P24" s="24" t="s">
        <v>80</v>
      </c>
      <c r="Q24" s="24" t="s">
        <v>151</v>
      </c>
      <c r="R24" s="24" t="s">
        <v>34</v>
      </c>
      <c r="T24" s="8">
        <f t="shared" si="8"/>
        <v>3</v>
      </c>
      <c r="U24" s="8">
        <f t="shared" si="9"/>
        <v>19</v>
      </c>
      <c r="V24" s="8">
        <f t="shared" si="10"/>
        <v>7</v>
      </c>
      <c r="W24" s="8">
        <f t="shared" si="11"/>
        <v>6</v>
      </c>
      <c r="X24" s="8">
        <f t="shared" si="12"/>
        <v>14</v>
      </c>
      <c r="Y24" s="8">
        <f t="shared" si="13"/>
        <v>7</v>
      </c>
      <c r="Z24" s="8">
        <f t="shared" si="14"/>
        <v>4</v>
      </c>
      <c r="AB24" s="25">
        <v>1</v>
      </c>
      <c r="AC24" s="25">
        <v>1</v>
      </c>
      <c r="AD24" s="25">
        <v>1</v>
      </c>
      <c r="AE24" s="25">
        <v>1</v>
      </c>
      <c r="AF24" s="25">
        <v>1</v>
      </c>
      <c r="AG24" s="25">
        <v>1</v>
      </c>
      <c r="AH24" s="7">
        <v>1</v>
      </c>
      <c r="AJ24" s="79" t="s">
        <v>84</v>
      </c>
      <c r="AK24" s="69">
        <v>0</v>
      </c>
      <c r="AL24" s="70">
        <v>5</v>
      </c>
      <c r="AM24" s="70">
        <v>6</v>
      </c>
      <c r="AN24" s="70">
        <v>1</v>
      </c>
      <c r="AO24" s="70">
        <v>3</v>
      </c>
      <c r="AP24" s="70">
        <v>0</v>
      </c>
      <c r="AQ24" s="71">
        <v>0</v>
      </c>
      <c r="AR24" s="57">
        <v>19</v>
      </c>
    </row>
    <row r="25" spans="1:44" ht="16.5" customHeight="1" x14ac:dyDescent="0.3">
      <c r="A25" s="7" t="s">
        <v>86</v>
      </c>
      <c r="B25" s="15">
        <f t="shared" si="0"/>
        <v>0</v>
      </c>
      <c r="C25" s="15">
        <f t="shared" si="1"/>
        <v>0</v>
      </c>
      <c r="D25" s="15">
        <f t="shared" si="2"/>
        <v>0</v>
      </c>
      <c r="E25" s="15">
        <f t="shared" si="3"/>
        <v>0</v>
      </c>
      <c r="F25" s="15">
        <f t="shared" si="4"/>
        <v>0</v>
      </c>
      <c r="G25" s="15">
        <f t="shared" si="5"/>
        <v>0</v>
      </c>
      <c r="H25" s="15">
        <f t="shared" si="6"/>
        <v>0</v>
      </c>
      <c r="I25" s="7">
        <v>21</v>
      </c>
      <c r="K25" s="21">
        <v>21</v>
      </c>
      <c r="L25" s="24" t="s">
        <v>35</v>
      </c>
      <c r="M25" s="24" t="s">
        <v>84</v>
      </c>
      <c r="N25" s="24" t="s">
        <v>29</v>
      </c>
      <c r="O25" s="24" t="s">
        <v>79</v>
      </c>
      <c r="P25" s="24" t="s">
        <v>80</v>
      </c>
      <c r="Q25" s="24" t="s">
        <v>24</v>
      </c>
      <c r="R25" s="24" t="s">
        <v>34</v>
      </c>
      <c r="T25" s="8">
        <f t="shared" si="8"/>
        <v>5</v>
      </c>
      <c r="U25" s="8">
        <f t="shared" si="9"/>
        <v>19</v>
      </c>
      <c r="V25" s="8">
        <f t="shared" si="10"/>
        <v>12</v>
      </c>
      <c r="W25" s="8">
        <f t="shared" si="11"/>
        <v>13</v>
      </c>
      <c r="X25" s="8">
        <f t="shared" si="12"/>
        <v>14</v>
      </c>
      <c r="Y25" s="8">
        <f t="shared" si="13"/>
        <v>8</v>
      </c>
      <c r="Z25" s="8">
        <f t="shared" si="14"/>
        <v>4</v>
      </c>
      <c r="AB25" s="25">
        <v>1</v>
      </c>
      <c r="AC25" s="25">
        <v>1</v>
      </c>
      <c r="AD25" s="25">
        <v>1</v>
      </c>
      <c r="AE25" s="25">
        <v>1</v>
      </c>
      <c r="AF25" s="25">
        <v>1</v>
      </c>
      <c r="AG25" s="25">
        <v>1</v>
      </c>
      <c r="AH25" s="7">
        <v>1</v>
      </c>
      <c r="AJ25" s="79" t="s">
        <v>85</v>
      </c>
      <c r="AK25" s="69">
        <v>0</v>
      </c>
      <c r="AL25" s="70">
        <v>2</v>
      </c>
      <c r="AM25" s="70">
        <v>6</v>
      </c>
      <c r="AN25" s="70">
        <v>2</v>
      </c>
      <c r="AO25" s="70">
        <v>2</v>
      </c>
      <c r="AP25" s="70">
        <v>0</v>
      </c>
      <c r="AQ25" s="71">
        <v>0</v>
      </c>
      <c r="AR25" s="57">
        <v>20</v>
      </c>
    </row>
    <row r="26" spans="1:44" ht="16.5" customHeight="1" x14ac:dyDescent="0.3">
      <c r="A26" s="7" t="s">
        <v>87</v>
      </c>
      <c r="B26" s="15">
        <f t="shared" si="0"/>
        <v>0</v>
      </c>
      <c r="C26" s="15">
        <f t="shared" si="1"/>
        <v>0</v>
      </c>
      <c r="D26" s="15">
        <f t="shared" si="2"/>
        <v>0</v>
      </c>
      <c r="E26" s="15">
        <f t="shared" si="3"/>
        <v>0</v>
      </c>
      <c r="F26" s="15">
        <f t="shared" si="4"/>
        <v>0</v>
      </c>
      <c r="G26" s="15">
        <f t="shared" si="5"/>
        <v>0</v>
      </c>
      <c r="H26" s="15">
        <f t="shared" si="6"/>
        <v>0</v>
      </c>
      <c r="I26" s="7">
        <v>22</v>
      </c>
      <c r="K26" s="22">
        <v>22</v>
      </c>
      <c r="L26" s="24" t="s">
        <v>38</v>
      </c>
      <c r="M26" s="24" t="s">
        <v>84</v>
      </c>
      <c r="N26" s="24" t="s">
        <v>29</v>
      </c>
      <c r="O26" s="24" t="s">
        <v>79</v>
      </c>
      <c r="P26" s="24" t="s">
        <v>80</v>
      </c>
      <c r="Q26" s="24" t="s">
        <v>18</v>
      </c>
      <c r="R26" s="24" t="s">
        <v>34</v>
      </c>
      <c r="T26" s="8">
        <f t="shared" si="8"/>
        <v>10</v>
      </c>
      <c r="U26" s="8">
        <f t="shared" si="9"/>
        <v>19</v>
      </c>
      <c r="V26" s="8">
        <f t="shared" si="10"/>
        <v>12</v>
      </c>
      <c r="W26" s="8">
        <f t="shared" si="11"/>
        <v>13</v>
      </c>
      <c r="X26" s="8">
        <f t="shared" si="12"/>
        <v>14</v>
      </c>
      <c r="Y26" s="8">
        <f t="shared" si="13"/>
        <v>5</v>
      </c>
      <c r="Z26" s="8">
        <f t="shared" si="14"/>
        <v>4</v>
      </c>
      <c r="AB26" s="25">
        <v>1</v>
      </c>
      <c r="AC26" s="25">
        <v>1</v>
      </c>
      <c r="AD26" s="25">
        <v>1</v>
      </c>
      <c r="AE26" s="25">
        <v>1</v>
      </c>
      <c r="AF26" s="25">
        <v>1</v>
      </c>
      <c r="AG26" s="25">
        <v>1</v>
      </c>
      <c r="AH26" s="7">
        <v>1</v>
      </c>
      <c r="AJ26" s="79" t="s">
        <v>86</v>
      </c>
      <c r="AK26" s="69">
        <v>0</v>
      </c>
      <c r="AL26" s="70">
        <v>10</v>
      </c>
      <c r="AM26" s="70">
        <v>6</v>
      </c>
      <c r="AN26" s="70">
        <v>1</v>
      </c>
      <c r="AO26" s="70">
        <v>4</v>
      </c>
      <c r="AP26" s="70">
        <v>0</v>
      </c>
      <c r="AQ26" s="71">
        <v>0</v>
      </c>
      <c r="AR26" s="57">
        <v>21</v>
      </c>
    </row>
    <row r="27" spans="1:44" ht="16.5" customHeight="1" x14ac:dyDescent="0.3">
      <c r="A27" s="7" t="s">
        <v>88</v>
      </c>
      <c r="B27" s="15">
        <f t="shared" si="0"/>
        <v>0</v>
      </c>
      <c r="C27" s="15">
        <f t="shared" si="1"/>
        <v>0</v>
      </c>
      <c r="D27" s="15">
        <f t="shared" si="2"/>
        <v>0</v>
      </c>
      <c r="E27" s="15">
        <f t="shared" si="3"/>
        <v>0</v>
      </c>
      <c r="F27" s="15">
        <f t="shared" si="4"/>
        <v>0</v>
      </c>
      <c r="G27" s="15">
        <f t="shared" si="5"/>
        <v>0</v>
      </c>
      <c r="H27" s="15">
        <f t="shared" si="6"/>
        <v>0</v>
      </c>
      <c r="I27" s="7">
        <v>23</v>
      </c>
      <c r="K27" s="21">
        <v>23</v>
      </c>
      <c r="L27" s="24" t="s">
        <v>38</v>
      </c>
      <c r="M27" s="24" t="s">
        <v>32</v>
      </c>
      <c r="N27" s="24" t="s">
        <v>29</v>
      </c>
      <c r="O27" s="24" t="s">
        <v>79</v>
      </c>
      <c r="P27" s="24" t="s">
        <v>82</v>
      </c>
      <c r="Q27" s="24" t="s">
        <v>27</v>
      </c>
      <c r="R27" s="24" t="s">
        <v>34</v>
      </c>
      <c r="T27" s="8">
        <f t="shared" si="8"/>
        <v>10</v>
      </c>
      <c r="U27" s="8">
        <f t="shared" si="9"/>
        <v>2</v>
      </c>
      <c r="V27" s="8">
        <f t="shared" si="10"/>
        <v>12</v>
      </c>
      <c r="W27" s="8">
        <f t="shared" si="11"/>
        <v>13</v>
      </c>
      <c r="X27" s="8">
        <f t="shared" si="12"/>
        <v>16</v>
      </c>
      <c r="Y27" s="8">
        <f t="shared" si="13"/>
        <v>10</v>
      </c>
      <c r="Z27" s="8">
        <f t="shared" si="14"/>
        <v>4</v>
      </c>
      <c r="AB27" s="25">
        <v>1</v>
      </c>
      <c r="AC27" s="25">
        <v>1</v>
      </c>
      <c r="AD27" s="25">
        <v>1</v>
      </c>
      <c r="AE27" s="25">
        <v>1</v>
      </c>
      <c r="AF27" s="25">
        <v>1</v>
      </c>
      <c r="AG27" s="25">
        <v>1</v>
      </c>
      <c r="AH27" s="7">
        <v>1</v>
      </c>
      <c r="AJ27" s="79" t="s">
        <v>87</v>
      </c>
      <c r="AK27" s="69">
        <v>0</v>
      </c>
      <c r="AL27" s="70">
        <v>5</v>
      </c>
      <c r="AM27" s="70">
        <v>6</v>
      </c>
      <c r="AN27" s="70">
        <v>1</v>
      </c>
      <c r="AO27" s="70">
        <v>2</v>
      </c>
      <c r="AP27" s="70">
        <v>0</v>
      </c>
      <c r="AQ27" s="71">
        <v>0</v>
      </c>
      <c r="AR27" s="57">
        <v>22</v>
      </c>
    </row>
    <row r="28" spans="1:44" ht="16.5" customHeight="1" thickBot="1" x14ac:dyDescent="0.35">
      <c r="A28" s="7" t="s">
        <v>89</v>
      </c>
      <c r="B28" s="15">
        <f t="shared" si="0"/>
        <v>0</v>
      </c>
      <c r="C28" s="15">
        <f t="shared" si="1"/>
        <v>0</v>
      </c>
      <c r="D28" s="15">
        <f t="shared" si="2"/>
        <v>0</v>
      </c>
      <c r="E28" s="15">
        <f t="shared" si="3"/>
        <v>0</v>
      </c>
      <c r="F28" s="15">
        <f t="shared" si="4"/>
        <v>0</v>
      </c>
      <c r="G28" s="15">
        <f t="shared" si="5"/>
        <v>0</v>
      </c>
      <c r="H28" s="15">
        <f t="shared" si="6"/>
        <v>0</v>
      </c>
      <c r="I28" s="7">
        <v>24</v>
      </c>
      <c r="K28" s="22">
        <v>24</v>
      </c>
      <c r="L28" s="24" t="s">
        <v>28</v>
      </c>
      <c r="M28" s="24" t="s">
        <v>32</v>
      </c>
      <c r="N28" s="24" t="s">
        <v>151</v>
      </c>
      <c r="O28" s="24" t="s">
        <v>24</v>
      </c>
      <c r="P28" s="24" t="s">
        <v>82</v>
      </c>
      <c r="Q28" s="24" t="s">
        <v>28</v>
      </c>
      <c r="R28" s="24" t="s">
        <v>40</v>
      </c>
      <c r="T28" s="8">
        <f t="shared" si="8"/>
        <v>11</v>
      </c>
      <c r="U28" s="8">
        <f t="shared" si="9"/>
        <v>2</v>
      </c>
      <c r="V28" s="8">
        <f t="shared" si="10"/>
        <v>7</v>
      </c>
      <c r="W28" s="8">
        <f t="shared" si="11"/>
        <v>8</v>
      </c>
      <c r="X28" s="8">
        <f t="shared" si="12"/>
        <v>16</v>
      </c>
      <c r="Y28" s="8">
        <f t="shared" si="13"/>
        <v>11</v>
      </c>
      <c r="Z28" s="8">
        <f t="shared" si="14"/>
        <v>12</v>
      </c>
      <c r="AB28" s="25">
        <v>1</v>
      </c>
      <c r="AC28" s="25">
        <v>1</v>
      </c>
      <c r="AD28" s="25">
        <v>1</v>
      </c>
      <c r="AE28" s="25">
        <v>1</v>
      </c>
      <c r="AF28" s="25">
        <v>1</v>
      </c>
      <c r="AG28" s="25">
        <v>1</v>
      </c>
      <c r="AH28" s="7">
        <v>1</v>
      </c>
      <c r="AJ28" s="80" t="s">
        <v>88</v>
      </c>
      <c r="AK28" s="72">
        <v>0</v>
      </c>
      <c r="AL28" s="73">
        <v>2</v>
      </c>
      <c r="AM28" s="73">
        <v>6</v>
      </c>
      <c r="AN28" s="73">
        <v>1</v>
      </c>
      <c r="AO28" s="73">
        <v>2</v>
      </c>
      <c r="AP28" s="73">
        <v>0</v>
      </c>
      <c r="AQ28" s="74">
        <v>0</v>
      </c>
      <c r="AR28" s="126">
        <v>23</v>
      </c>
    </row>
    <row r="29" spans="1:44" ht="16.5" customHeight="1" x14ac:dyDescent="0.3">
      <c r="A29" s="7" t="s">
        <v>90</v>
      </c>
      <c r="B29" s="15">
        <f t="shared" si="0"/>
        <v>0</v>
      </c>
      <c r="C29" s="15">
        <f t="shared" si="1"/>
        <v>0</v>
      </c>
      <c r="D29" s="15">
        <f t="shared" si="2"/>
        <v>0</v>
      </c>
      <c r="E29" s="15">
        <f t="shared" si="3"/>
        <v>0</v>
      </c>
      <c r="F29" s="15">
        <f t="shared" si="4"/>
        <v>0</v>
      </c>
      <c r="G29" s="15">
        <f t="shared" si="5"/>
        <v>0</v>
      </c>
      <c r="H29" s="15">
        <f t="shared" si="6"/>
        <v>0</v>
      </c>
      <c r="I29" s="7">
        <v>25</v>
      </c>
      <c r="K29" s="21">
        <v>25</v>
      </c>
      <c r="L29" s="24" t="s">
        <v>33</v>
      </c>
      <c r="M29" s="24" t="s">
        <v>32</v>
      </c>
      <c r="N29" s="24" t="s">
        <v>151</v>
      </c>
      <c r="O29" s="24" t="s">
        <v>26</v>
      </c>
      <c r="P29" s="24" t="s">
        <v>27</v>
      </c>
      <c r="Q29" s="24" t="s">
        <v>28</v>
      </c>
      <c r="R29" s="24" t="s">
        <v>40</v>
      </c>
      <c r="T29" s="8">
        <f t="shared" si="8"/>
        <v>3</v>
      </c>
      <c r="U29" s="8">
        <f t="shared" si="9"/>
        <v>2</v>
      </c>
      <c r="V29" s="8">
        <f t="shared" si="10"/>
        <v>7</v>
      </c>
      <c r="W29" s="8">
        <f t="shared" si="11"/>
        <v>9</v>
      </c>
      <c r="X29" s="8">
        <f t="shared" si="12"/>
        <v>10</v>
      </c>
      <c r="Y29" s="8">
        <f t="shared" si="13"/>
        <v>11</v>
      </c>
      <c r="Z29" s="8">
        <f t="shared" si="14"/>
        <v>12</v>
      </c>
      <c r="AB29" s="25">
        <v>1</v>
      </c>
      <c r="AC29" s="25">
        <v>1</v>
      </c>
      <c r="AD29" s="25">
        <v>1</v>
      </c>
      <c r="AE29" s="25">
        <v>1</v>
      </c>
      <c r="AF29" s="25">
        <v>1</v>
      </c>
      <c r="AG29" s="25">
        <v>1</v>
      </c>
      <c r="AH29" s="7">
        <v>1</v>
      </c>
      <c r="AJ29" s="132" t="s">
        <v>176</v>
      </c>
      <c r="AK29" s="133">
        <v>0</v>
      </c>
      <c r="AL29" s="134">
        <v>10</v>
      </c>
      <c r="AM29" s="134">
        <v>10</v>
      </c>
      <c r="AN29" s="134">
        <v>10</v>
      </c>
      <c r="AO29" s="134">
        <v>10</v>
      </c>
      <c r="AP29" s="134">
        <v>0</v>
      </c>
      <c r="AQ29" s="135">
        <v>0</v>
      </c>
      <c r="AR29" s="131">
        <v>24</v>
      </c>
    </row>
    <row r="30" spans="1:44" ht="16.5" customHeight="1" thickBot="1" x14ac:dyDescent="0.35">
      <c r="I30" s="18"/>
      <c r="K30" s="22">
        <v>26</v>
      </c>
      <c r="L30" s="24" t="s">
        <v>21</v>
      </c>
      <c r="M30" s="24" t="s">
        <v>34</v>
      </c>
      <c r="N30" s="24" t="s">
        <v>27</v>
      </c>
      <c r="O30" s="24" t="s">
        <v>26</v>
      </c>
      <c r="P30" s="24" t="s">
        <v>17</v>
      </c>
      <c r="Q30" s="24" t="s">
        <v>151</v>
      </c>
      <c r="R30" s="24" t="s">
        <v>40</v>
      </c>
      <c r="T30" s="8">
        <f t="shared" si="8"/>
        <v>3</v>
      </c>
      <c r="U30" s="8">
        <f t="shared" si="9"/>
        <v>4</v>
      </c>
      <c r="V30" s="8">
        <f t="shared" si="10"/>
        <v>10</v>
      </c>
      <c r="W30" s="8">
        <f t="shared" si="11"/>
        <v>9</v>
      </c>
      <c r="X30" s="8">
        <f t="shared" si="12"/>
        <v>4</v>
      </c>
      <c r="Y30" s="8">
        <f t="shared" si="13"/>
        <v>7</v>
      </c>
      <c r="Z30" s="8">
        <f t="shared" si="14"/>
        <v>12</v>
      </c>
      <c r="AB30" s="25">
        <v>1</v>
      </c>
      <c r="AC30" s="25">
        <v>1</v>
      </c>
      <c r="AD30" s="25">
        <v>1</v>
      </c>
      <c r="AE30" s="25">
        <v>1</v>
      </c>
      <c r="AF30" s="25">
        <v>1</v>
      </c>
      <c r="AG30" s="25">
        <v>1</v>
      </c>
      <c r="AH30" s="7">
        <v>1</v>
      </c>
      <c r="AJ30" s="80" t="s">
        <v>187</v>
      </c>
      <c r="AK30" s="72">
        <v>0</v>
      </c>
      <c r="AL30" s="73">
        <v>1</v>
      </c>
      <c r="AM30" s="73">
        <v>1</v>
      </c>
      <c r="AN30" s="73">
        <v>1</v>
      </c>
      <c r="AO30" s="73">
        <v>1</v>
      </c>
      <c r="AP30" s="73">
        <v>0</v>
      </c>
      <c r="AQ30" s="74">
        <v>0</v>
      </c>
      <c r="AR30" s="63">
        <v>25</v>
      </c>
    </row>
    <row r="31" spans="1:44" ht="16.5" customHeight="1" x14ac:dyDescent="0.3">
      <c r="A31" s="7" t="s">
        <v>114</v>
      </c>
      <c r="B31" s="20" t="s">
        <v>12</v>
      </c>
      <c r="C31" s="20" t="s">
        <v>6</v>
      </c>
      <c r="D31" s="20" t="s">
        <v>7</v>
      </c>
      <c r="E31" s="20" t="s">
        <v>8</v>
      </c>
      <c r="F31" s="20" t="s">
        <v>9</v>
      </c>
      <c r="G31" s="20" t="s">
        <v>56</v>
      </c>
      <c r="I31" s="18"/>
      <c r="K31" s="21">
        <v>27</v>
      </c>
      <c r="L31" s="24" t="s">
        <v>35</v>
      </c>
      <c r="M31" s="24" t="s">
        <v>17</v>
      </c>
      <c r="N31" s="24" t="s">
        <v>27</v>
      </c>
      <c r="O31" s="24" t="s">
        <v>26</v>
      </c>
      <c r="P31" s="24" t="s">
        <v>17</v>
      </c>
      <c r="Q31" s="24" t="s">
        <v>26</v>
      </c>
      <c r="R31" s="24" t="s">
        <v>40</v>
      </c>
      <c r="T31" s="8">
        <f t="shared" si="8"/>
        <v>5</v>
      </c>
      <c r="U31" s="8">
        <f t="shared" si="9"/>
        <v>4</v>
      </c>
      <c r="V31" s="8">
        <f t="shared" si="10"/>
        <v>10</v>
      </c>
      <c r="W31" s="8">
        <f t="shared" si="11"/>
        <v>9</v>
      </c>
      <c r="X31" s="8">
        <f t="shared" si="12"/>
        <v>4</v>
      </c>
      <c r="Y31" s="8">
        <f t="shared" si="13"/>
        <v>9</v>
      </c>
      <c r="Z31" s="8">
        <f t="shared" si="14"/>
        <v>12</v>
      </c>
      <c r="AB31" s="25">
        <v>1</v>
      </c>
      <c r="AC31" s="25">
        <v>1</v>
      </c>
      <c r="AD31" s="25">
        <v>1</v>
      </c>
      <c r="AE31" s="25">
        <v>1</v>
      </c>
      <c r="AF31" s="25">
        <v>1</v>
      </c>
      <c r="AG31" s="25">
        <v>1</v>
      </c>
      <c r="AH31" s="7">
        <v>1</v>
      </c>
      <c r="AJ31" s="82"/>
      <c r="AK31" s="82"/>
      <c r="AL31" s="82"/>
      <c r="AM31" s="82"/>
      <c r="AN31" s="82"/>
      <c r="AO31" s="82"/>
      <c r="AP31" s="82"/>
      <c r="AQ31" s="82"/>
      <c r="AR31" s="82"/>
    </row>
    <row r="32" spans="1:44" ht="16.5" customHeight="1" thickBot="1" x14ac:dyDescent="0.35">
      <c r="A32" s="7" t="s">
        <v>99</v>
      </c>
      <c r="B32" s="13">
        <v>0</v>
      </c>
      <c r="C32" s="13">
        <v>390</v>
      </c>
      <c r="D32" s="13">
        <v>390</v>
      </c>
      <c r="E32" s="13">
        <v>185</v>
      </c>
      <c r="F32" s="13">
        <v>120</v>
      </c>
      <c r="G32" s="13">
        <v>0</v>
      </c>
      <c r="K32" s="22">
        <v>28</v>
      </c>
      <c r="L32" s="24" t="s">
        <v>35</v>
      </c>
      <c r="M32" s="24" t="s">
        <v>17</v>
      </c>
      <c r="N32" s="24" t="s">
        <v>21</v>
      </c>
      <c r="O32" s="24" t="s">
        <v>162</v>
      </c>
      <c r="P32" s="24" t="s">
        <v>17</v>
      </c>
      <c r="Q32" s="24" t="s">
        <v>18</v>
      </c>
      <c r="R32" s="24" t="s">
        <v>25</v>
      </c>
      <c r="T32" s="8">
        <f t="shared" si="8"/>
        <v>5</v>
      </c>
      <c r="U32" s="8">
        <f t="shared" si="9"/>
        <v>4</v>
      </c>
      <c r="V32" s="8">
        <f t="shared" si="10"/>
        <v>3</v>
      </c>
      <c r="W32" s="8">
        <f t="shared" si="11"/>
        <v>18</v>
      </c>
      <c r="X32" s="8">
        <f t="shared" si="12"/>
        <v>4</v>
      </c>
      <c r="Y32" s="8">
        <f t="shared" si="13"/>
        <v>5</v>
      </c>
      <c r="Z32" s="8">
        <f t="shared" si="14"/>
        <v>8</v>
      </c>
      <c r="AB32" s="25">
        <v>1</v>
      </c>
      <c r="AC32" s="25">
        <v>1</v>
      </c>
      <c r="AD32" s="25">
        <v>1</v>
      </c>
      <c r="AE32" s="25">
        <v>1</v>
      </c>
      <c r="AF32" s="25">
        <v>1</v>
      </c>
      <c r="AG32" s="25">
        <v>1</v>
      </c>
      <c r="AH32" s="7">
        <v>1</v>
      </c>
      <c r="AJ32" s="82"/>
      <c r="AK32" s="245" t="s">
        <v>93</v>
      </c>
      <c r="AL32" s="245"/>
      <c r="AM32" s="245"/>
      <c r="AN32" s="245"/>
      <c r="AO32" s="245"/>
      <c r="AP32" s="245"/>
      <c r="AQ32" s="245"/>
      <c r="AR32" s="245"/>
    </row>
    <row r="33" spans="1:44" ht="16.5" customHeight="1" thickBot="1" x14ac:dyDescent="0.35">
      <c r="A33" s="7" t="s">
        <v>102</v>
      </c>
      <c r="B33" s="13">
        <v>0</v>
      </c>
      <c r="C33" s="13">
        <v>390</v>
      </c>
      <c r="D33" s="13">
        <v>390</v>
      </c>
      <c r="E33" s="13">
        <v>185</v>
      </c>
      <c r="F33" s="13">
        <v>120</v>
      </c>
      <c r="G33" s="13">
        <v>0</v>
      </c>
      <c r="K33" s="21">
        <v>29</v>
      </c>
      <c r="L33" s="24" t="s">
        <v>28</v>
      </c>
      <c r="M33" s="24" t="s">
        <v>151</v>
      </c>
      <c r="N33" s="24" t="s">
        <v>21</v>
      </c>
      <c r="O33" s="24" t="s">
        <v>162</v>
      </c>
      <c r="P33" s="24" t="s">
        <v>74</v>
      </c>
      <c r="Q33" s="24" t="s">
        <v>151</v>
      </c>
      <c r="R33" s="24" t="s">
        <v>25</v>
      </c>
      <c r="T33" s="8">
        <f t="shared" si="8"/>
        <v>11</v>
      </c>
      <c r="U33" s="8">
        <f t="shared" si="9"/>
        <v>7</v>
      </c>
      <c r="V33" s="8">
        <f t="shared" si="10"/>
        <v>3</v>
      </c>
      <c r="W33" s="8">
        <f t="shared" si="11"/>
        <v>18</v>
      </c>
      <c r="X33" s="8">
        <f t="shared" si="12"/>
        <v>6</v>
      </c>
      <c r="Y33" s="8">
        <f t="shared" si="13"/>
        <v>7</v>
      </c>
      <c r="Z33" s="8">
        <f t="shared" si="14"/>
        <v>8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7">
        <v>1</v>
      </c>
      <c r="AJ33" s="44" t="s">
        <v>52</v>
      </c>
      <c r="AK33" s="45" t="s">
        <v>12</v>
      </c>
      <c r="AL33" s="45" t="s">
        <v>13</v>
      </c>
      <c r="AM33" s="45" t="s">
        <v>14</v>
      </c>
      <c r="AN33" s="45" t="s">
        <v>15</v>
      </c>
      <c r="AO33" s="45" t="s">
        <v>16</v>
      </c>
      <c r="AP33" s="45" t="s">
        <v>56</v>
      </c>
      <c r="AQ33" s="46" t="s">
        <v>76</v>
      </c>
      <c r="AR33" s="47" t="s">
        <v>3</v>
      </c>
    </row>
    <row r="34" spans="1:44" ht="16.5" customHeight="1" x14ac:dyDescent="0.3">
      <c r="A34" s="7" t="s">
        <v>100</v>
      </c>
      <c r="B34" s="13">
        <v>0</v>
      </c>
      <c r="C34" s="13">
        <v>2035</v>
      </c>
      <c r="D34" s="13">
        <v>2010</v>
      </c>
      <c r="E34" s="13">
        <v>1125</v>
      </c>
      <c r="F34" s="13">
        <v>860</v>
      </c>
      <c r="G34" s="13">
        <v>0</v>
      </c>
      <c r="K34" s="22">
        <v>30</v>
      </c>
      <c r="L34" s="24" t="s">
        <v>75</v>
      </c>
      <c r="M34" s="24" t="s">
        <v>151</v>
      </c>
      <c r="N34" s="24" t="s">
        <v>26</v>
      </c>
      <c r="O34" s="24" t="s">
        <v>17</v>
      </c>
      <c r="P34" s="24" t="s">
        <v>21</v>
      </c>
      <c r="Q34" s="24" t="s">
        <v>27</v>
      </c>
      <c r="R34" s="24" t="s">
        <v>25</v>
      </c>
      <c r="T34" s="8">
        <f t="shared" si="8"/>
        <v>6</v>
      </c>
      <c r="U34" s="8">
        <f t="shared" si="9"/>
        <v>7</v>
      </c>
      <c r="V34" s="8">
        <f t="shared" si="10"/>
        <v>9</v>
      </c>
      <c r="W34" s="8">
        <f t="shared" si="11"/>
        <v>4</v>
      </c>
      <c r="X34" s="8">
        <f t="shared" si="12"/>
        <v>3</v>
      </c>
      <c r="Y34" s="8">
        <f t="shared" si="13"/>
        <v>10</v>
      </c>
      <c r="Z34" s="8">
        <f t="shared" si="14"/>
        <v>8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7">
        <v>1</v>
      </c>
      <c r="AJ34" s="48" t="s">
        <v>78</v>
      </c>
      <c r="AK34" s="49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1">
        <v>0</v>
      </c>
      <c r="AR34" s="52">
        <v>0</v>
      </c>
    </row>
    <row r="35" spans="1:44" ht="16.5" customHeight="1" x14ac:dyDescent="0.3">
      <c r="A35" s="7" t="s">
        <v>103</v>
      </c>
      <c r="B35" s="13">
        <v>0</v>
      </c>
      <c r="C35" s="13">
        <v>2035</v>
      </c>
      <c r="D35" s="13">
        <v>2010</v>
      </c>
      <c r="E35" s="13">
        <v>1125</v>
      </c>
      <c r="F35" s="13">
        <v>860</v>
      </c>
      <c r="G35" s="13">
        <v>0</v>
      </c>
      <c r="K35" s="21">
        <v>31</v>
      </c>
      <c r="L35" s="24" t="s">
        <v>74</v>
      </c>
      <c r="M35" s="24" t="s">
        <v>25</v>
      </c>
      <c r="N35" s="24" t="s">
        <v>26</v>
      </c>
      <c r="O35" s="24" t="s">
        <v>17</v>
      </c>
      <c r="P35" s="24" t="s">
        <v>85</v>
      </c>
      <c r="Q35" s="24" t="s">
        <v>74</v>
      </c>
      <c r="R35" s="24" t="s">
        <v>25</v>
      </c>
      <c r="T35" s="8">
        <f t="shared" si="8"/>
        <v>6</v>
      </c>
      <c r="U35" s="8">
        <f t="shared" si="9"/>
        <v>8</v>
      </c>
      <c r="V35" s="8">
        <f t="shared" si="10"/>
        <v>9</v>
      </c>
      <c r="W35" s="8">
        <f t="shared" si="11"/>
        <v>4</v>
      </c>
      <c r="X35" s="8">
        <f t="shared" si="12"/>
        <v>20</v>
      </c>
      <c r="Y35" s="8">
        <f t="shared" si="13"/>
        <v>6</v>
      </c>
      <c r="Z35" s="8">
        <f t="shared" si="14"/>
        <v>8</v>
      </c>
      <c r="AB35" s="25">
        <v>1</v>
      </c>
      <c r="AC35" s="25">
        <v>1</v>
      </c>
      <c r="AD35" s="25">
        <v>1</v>
      </c>
      <c r="AE35" s="25">
        <v>1</v>
      </c>
      <c r="AF35" s="25">
        <v>1</v>
      </c>
      <c r="AG35" s="25">
        <v>1</v>
      </c>
      <c r="AH35" s="7">
        <v>1</v>
      </c>
      <c r="AJ35" s="53" t="s">
        <v>19</v>
      </c>
      <c r="AK35" s="54">
        <v>5</v>
      </c>
      <c r="AL35" s="55">
        <v>5</v>
      </c>
      <c r="AM35" s="55">
        <v>5</v>
      </c>
      <c r="AN35" s="55">
        <v>5</v>
      </c>
      <c r="AO35" s="55">
        <v>5</v>
      </c>
      <c r="AP35" s="55">
        <v>5</v>
      </c>
      <c r="AQ35" s="56">
        <v>0</v>
      </c>
      <c r="AR35" s="57">
        <v>1</v>
      </c>
    </row>
    <row r="36" spans="1:44" ht="16.5" customHeight="1" x14ac:dyDescent="0.3">
      <c r="A36" s="7" t="s">
        <v>101</v>
      </c>
      <c r="B36" s="13">
        <v>0</v>
      </c>
      <c r="C36" s="13">
        <v>290</v>
      </c>
      <c r="D36" s="13">
        <v>283</v>
      </c>
      <c r="E36" s="13">
        <v>803</v>
      </c>
      <c r="F36" s="13">
        <v>520</v>
      </c>
      <c r="G36" s="13">
        <v>0</v>
      </c>
      <c r="K36" s="22">
        <v>32</v>
      </c>
      <c r="L36" s="24" t="s">
        <v>74</v>
      </c>
      <c r="M36" s="24" t="s">
        <v>81</v>
      </c>
      <c r="N36" s="24" t="s">
        <v>82</v>
      </c>
      <c r="O36" s="24" t="s">
        <v>26</v>
      </c>
      <c r="P36" s="24" t="s">
        <v>85</v>
      </c>
      <c r="Q36" s="24" t="s">
        <v>26</v>
      </c>
      <c r="R36" s="24" t="s">
        <v>37</v>
      </c>
      <c r="T36" s="8">
        <f t="shared" si="8"/>
        <v>6</v>
      </c>
      <c r="U36" s="8">
        <f t="shared" si="9"/>
        <v>15</v>
      </c>
      <c r="V36" s="8">
        <f t="shared" si="10"/>
        <v>16</v>
      </c>
      <c r="W36" s="8">
        <f t="shared" si="11"/>
        <v>9</v>
      </c>
      <c r="X36" s="8">
        <f t="shared" si="12"/>
        <v>20</v>
      </c>
      <c r="Y36" s="8">
        <f t="shared" si="13"/>
        <v>9</v>
      </c>
      <c r="Z36" s="8">
        <f t="shared" si="14"/>
        <v>9</v>
      </c>
      <c r="AB36" s="25">
        <v>1</v>
      </c>
      <c r="AC36" s="25">
        <v>1</v>
      </c>
      <c r="AD36" s="25">
        <v>1</v>
      </c>
      <c r="AE36" s="25">
        <v>1</v>
      </c>
      <c r="AF36" s="25">
        <v>1</v>
      </c>
      <c r="AG36" s="25">
        <v>1</v>
      </c>
      <c r="AH36" s="7">
        <v>1</v>
      </c>
      <c r="AJ36" s="53" t="s">
        <v>20</v>
      </c>
      <c r="AK36" s="54">
        <v>15</v>
      </c>
      <c r="AL36" s="55">
        <v>42</v>
      </c>
      <c r="AM36" s="55">
        <v>20</v>
      </c>
      <c r="AN36" s="55">
        <v>10</v>
      </c>
      <c r="AO36" s="55">
        <v>40</v>
      </c>
      <c r="AP36" s="55">
        <v>5</v>
      </c>
      <c r="AQ36" s="56">
        <v>1</v>
      </c>
      <c r="AR36" s="57">
        <v>2</v>
      </c>
    </row>
    <row r="37" spans="1:44" ht="16.5" customHeight="1" x14ac:dyDescent="0.3">
      <c r="A37" s="7" t="s">
        <v>104</v>
      </c>
      <c r="B37" s="13">
        <v>0</v>
      </c>
      <c r="C37" s="13">
        <v>290</v>
      </c>
      <c r="D37" s="13">
        <v>283</v>
      </c>
      <c r="E37" s="13">
        <v>803</v>
      </c>
      <c r="F37" s="13">
        <v>520</v>
      </c>
      <c r="G37" s="13">
        <v>0</v>
      </c>
      <c r="K37" s="21">
        <v>33</v>
      </c>
      <c r="L37" s="24" t="s">
        <v>28</v>
      </c>
      <c r="M37" s="24" t="s">
        <v>81</v>
      </c>
      <c r="N37" s="24" t="s">
        <v>82</v>
      </c>
      <c r="O37" s="24" t="s">
        <v>151</v>
      </c>
      <c r="P37" s="24" t="s">
        <v>24</v>
      </c>
      <c r="Q37" s="24" t="s">
        <v>151</v>
      </c>
      <c r="R37" s="24" t="s">
        <v>37</v>
      </c>
      <c r="T37" s="8">
        <f t="shared" si="8"/>
        <v>11</v>
      </c>
      <c r="U37" s="8">
        <f t="shared" si="9"/>
        <v>15</v>
      </c>
      <c r="V37" s="8">
        <f t="shared" si="10"/>
        <v>16</v>
      </c>
      <c r="W37" s="8">
        <f t="shared" si="11"/>
        <v>7</v>
      </c>
      <c r="X37" s="8">
        <f t="shared" si="12"/>
        <v>8</v>
      </c>
      <c r="Y37" s="8">
        <f t="shared" si="13"/>
        <v>7</v>
      </c>
      <c r="Z37" s="8">
        <f t="shared" si="14"/>
        <v>9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7">
        <v>1</v>
      </c>
      <c r="AJ37" s="53" t="s">
        <v>21</v>
      </c>
      <c r="AK37" s="54">
        <v>40</v>
      </c>
      <c r="AL37" s="55">
        <v>15</v>
      </c>
      <c r="AM37" s="55">
        <v>40</v>
      </c>
      <c r="AN37" s="55">
        <v>42</v>
      </c>
      <c r="AO37" s="55">
        <v>40</v>
      </c>
      <c r="AP37" s="55">
        <v>5</v>
      </c>
      <c r="AQ37" s="56">
        <v>1</v>
      </c>
      <c r="AR37" s="57">
        <v>3</v>
      </c>
    </row>
    <row r="38" spans="1:44" ht="16.5" customHeight="1" x14ac:dyDescent="0.3">
      <c r="A38" s="7" t="s">
        <v>105</v>
      </c>
      <c r="B38" s="13">
        <v>0</v>
      </c>
      <c r="C38" s="13">
        <v>290</v>
      </c>
      <c r="D38" s="13">
        <v>283</v>
      </c>
      <c r="E38" s="13">
        <v>803</v>
      </c>
      <c r="F38" s="13">
        <v>520</v>
      </c>
      <c r="G38" s="13">
        <v>0</v>
      </c>
      <c r="K38" s="22">
        <v>34</v>
      </c>
      <c r="L38" s="24" t="s">
        <v>28</v>
      </c>
      <c r="M38" s="24" t="s">
        <v>37</v>
      </c>
      <c r="N38" s="24" t="s">
        <v>18</v>
      </c>
      <c r="O38" s="24" t="s">
        <v>151</v>
      </c>
      <c r="P38" s="24" t="s">
        <v>151</v>
      </c>
      <c r="Q38" s="24" t="s">
        <v>74</v>
      </c>
      <c r="R38" s="24" t="s">
        <v>37</v>
      </c>
      <c r="T38" s="8">
        <f t="shared" si="8"/>
        <v>11</v>
      </c>
      <c r="U38" s="8">
        <f t="shared" si="9"/>
        <v>9</v>
      </c>
      <c r="V38" s="8">
        <f t="shared" si="10"/>
        <v>5</v>
      </c>
      <c r="W38" s="8">
        <f t="shared" si="11"/>
        <v>7</v>
      </c>
      <c r="X38" s="8">
        <f t="shared" si="12"/>
        <v>7</v>
      </c>
      <c r="Y38" s="8">
        <f t="shared" si="13"/>
        <v>6</v>
      </c>
      <c r="Z38" s="8">
        <f t="shared" si="14"/>
        <v>9</v>
      </c>
      <c r="AB38" s="25">
        <v>1</v>
      </c>
      <c r="AC38" s="25">
        <v>1</v>
      </c>
      <c r="AD38" s="25">
        <v>1</v>
      </c>
      <c r="AE38" s="25">
        <v>1</v>
      </c>
      <c r="AF38" s="25">
        <v>1</v>
      </c>
      <c r="AG38" s="25">
        <v>1</v>
      </c>
      <c r="AH38" s="7">
        <v>1</v>
      </c>
      <c r="AJ38" s="53" t="s">
        <v>17</v>
      </c>
      <c r="AK38" s="54">
        <v>15</v>
      </c>
      <c r="AL38" s="55">
        <v>40</v>
      </c>
      <c r="AM38" s="55">
        <v>20</v>
      </c>
      <c r="AN38" s="55">
        <v>10</v>
      </c>
      <c r="AO38" s="55">
        <v>5</v>
      </c>
      <c r="AP38" s="55">
        <v>40</v>
      </c>
      <c r="AQ38" s="56">
        <v>1</v>
      </c>
      <c r="AR38" s="57">
        <v>4</v>
      </c>
    </row>
    <row r="39" spans="1:44" ht="16.5" customHeight="1" x14ac:dyDescent="0.3">
      <c r="A39" s="7" t="s">
        <v>106</v>
      </c>
      <c r="B39" s="13">
        <v>0</v>
      </c>
      <c r="C39" s="13">
        <v>880</v>
      </c>
      <c r="D39" s="13">
        <v>830</v>
      </c>
      <c r="E39" s="13">
        <v>850</v>
      </c>
      <c r="F39" s="13">
        <v>1250</v>
      </c>
      <c r="G39" s="13">
        <v>0</v>
      </c>
      <c r="K39" s="21">
        <v>35</v>
      </c>
      <c r="L39" s="24" t="s">
        <v>33</v>
      </c>
      <c r="M39" s="24" t="s">
        <v>20</v>
      </c>
      <c r="N39" s="24" t="s">
        <v>26</v>
      </c>
      <c r="O39" s="24" t="s">
        <v>74</v>
      </c>
      <c r="P39" s="24" t="s">
        <v>82</v>
      </c>
      <c r="Q39" s="24" t="s">
        <v>17</v>
      </c>
      <c r="R39" s="24" t="s">
        <v>37</v>
      </c>
      <c r="T39" s="8">
        <f t="shared" si="8"/>
        <v>3</v>
      </c>
      <c r="U39" s="8">
        <f t="shared" si="9"/>
        <v>2</v>
      </c>
      <c r="V39" s="8">
        <f t="shared" si="10"/>
        <v>9</v>
      </c>
      <c r="W39" s="8">
        <f t="shared" si="11"/>
        <v>6</v>
      </c>
      <c r="X39" s="8">
        <f t="shared" si="12"/>
        <v>16</v>
      </c>
      <c r="Y39" s="8">
        <f t="shared" si="13"/>
        <v>4</v>
      </c>
      <c r="Z39" s="8">
        <f t="shared" si="14"/>
        <v>9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H39" s="7">
        <v>1</v>
      </c>
      <c r="AJ39" s="53" t="s">
        <v>18</v>
      </c>
      <c r="AK39" s="54">
        <v>40</v>
      </c>
      <c r="AL39" s="55">
        <v>15</v>
      </c>
      <c r="AM39" s="55">
        <v>40</v>
      </c>
      <c r="AN39" s="55">
        <v>10</v>
      </c>
      <c r="AO39" s="55">
        <v>5</v>
      </c>
      <c r="AP39" s="55">
        <v>40</v>
      </c>
      <c r="AQ39" s="56">
        <v>1</v>
      </c>
      <c r="AR39" s="57">
        <v>5</v>
      </c>
    </row>
    <row r="40" spans="1:44" ht="16.5" customHeight="1" x14ac:dyDescent="0.3">
      <c r="A40" s="7" t="s">
        <v>107</v>
      </c>
      <c r="B40" s="13">
        <v>0</v>
      </c>
      <c r="C40" s="13">
        <v>880</v>
      </c>
      <c r="D40" s="13">
        <v>830</v>
      </c>
      <c r="E40" s="13">
        <v>850</v>
      </c>
      <c r="F40" s="13">
        <v>1250</v>
      </c>
      <c r="G40" s="13">
        <v>0</v>
      </c>
      <c r="K40" s="22">
        <v>36</v>
      </c>
      <c r="L40" s="24" t="s">
        <v>35</v>
      </c>
      <c r="M40" s="24" t="s">
        <v>85</v>
      </c>
      <c r="N40" s="24" t="s">
        <v>26</v>
      </c>
      <c r="O40" s="24" t="s">
        <v>74</v>
      </c>
      <c r="P40" s="24" t="s">
        <v>82</v>
      </c>
      <c r="Q40" s="24" t="s">
        <v>18</v>
      </c>
      <c r="R40" s="24" t="s">
        <v>152</v>
      </c>
      <c r="T40" s="8">
        <f t="shared" si="8"/>
        <v>5</v>
      </c>
      <c r="U40" s="8">
        <f t="shared" si="9"/>
        <v>20</v>
      </c>
      <c r="V40" s="8">
        <f t="shared" si="10"/>
        <v>9</v>
      </c>
      <c r="W40" s="8">
        <f t="shared" si="11"/>
        <v>6</v>
      </c>
      <c r="X40" s="8">
        <f t="shared" si="12"/>
        <v>16</v>
      </c>
      <c r="Y40" s="8">
        <f t="shared" si="13"/>
        <v>5</v>
      </c>
      <c r="Z40" s="8">
        <f t="shared" si="14"/>
        <v>7</v>
      </c>
      <c r="AB40" s="25">
        <v>1</v>
      </c>
      <c r="AC40" s="25">
        <v>1</v>
      </c>
      <c r="AD40" s="25">
        <v>1</v>
      </c>
      <c r="AE40" s="25">
        <v>1</v>
      </c>
      <c r="AF40" s="25">
        <v>1</v>
      </c>
      <c r="AG40" s="25">
        <v>1</v>
      </c>
      <c r="AH40" s="7">
        <v>1</v>
      </c>
      <c r="AJ40" s="53" t="s">
        <v>74</v>
      </c>
      <c r="AK40" s="54">
        <v>15</v>
      </c>
      <c r="AL40" s="55">
        <v>40</v>
      </c>
      <c r="AM40" s="55">
        <v>20</v>
      </c>
      <c r="AN40" s="55">
        <v>10</v>
      </c>
      <c r="AO40" s="55">
        <v>40</v>
      </c>
      <c r="AP40" s="55">
        <v>5</v>
      </c>
      <c r="AQ40" s="56">
        <v>1</v>
      </c>
      <c r="AR40" s="57">
        <v>6</v>
      </c>
    </row>
    <row r="41" spans="1:44" ht="16.5" customHeight="1" x14ac:dyDescent="0.3">
      <c r="A41" s="7" t="s">
        <v>108</v>
      </c>
      <c r="B41" s="13">
        <v>0</v>
      </c>
      <c r="C41" s="13">
        <v>880</v>
      </c>
      <c r="D41" s="13">
        <v>830</v>
      </c>
      <c r="E41" s="13">
        <v>850</v>
      </c>
      <c r="F41" s="13">
        <v>1250</v>
      </c>
      <c r="G41" s="13">
        <v>0</v>
      </c>
      <c r="K41" s="21">
        <v>37</v>
      </c>
      <c r="L41" s="24" t="s">
        <v>38</v>
      </c>
      <c r="M41" s="24" t="s">
        <v>85</v>
      </c>
      <c r="N41" s="24" t="s">
        <v>74</v>
      </c>
      <c r="O41" s="24" t="s">
        <v>74</v>
      </c>
      <c r="P41" s="24" t="s">
        <v>21</v>
      </c>
      <c r="Q41" s="24" t="s">
        <v>27</v>
      </c>
      <c r="R41" s="24" t="s">
        <v>151</v>
      </c>
      <c r="T41" s="8">
        <f t="shared" si="8"/>
        <v>10</v>
      </c>
      <c r="U41" s="8">
        <f t="shared" si="9"/>
        <v>20</v>
      </c>
      <c r="V41" s="8">
        <f t="shared" si="10"/>
        <v>6</v>
      </c>
      <c r="W41" s="8">
        <f t="shared" si="11"/>
        <v>6</v>
      </c>
      <c r="X41" s="8">
        <f t="shared" si="12"/>
        <v>3</v>
      </c>
      <c r="Y41" s="8">
        <f t="shared" si="13"/>
        <v>10</v>
      </c>
      <c r="Z41" s="8">
        <f t="shared" si="14"/>
        <v>7</v>
      </c>
      <c r="AB41" s="25">
        <v>1</v>
      </c>
      <c r="AC41" s="25">
        <v>1</v>
      </c>
      <c r="AD41" s="25">
        <v>1</v>
      </c>
      <c r="AE41" s="25">
        <v>1</v>
      </c>
      <c r="AF41" s="25">
        <v>1</v>
      </c>
      <c r="AG41" s="25">
        <v>1</v>
      </c>
      <c r="AH41" s="7">
        <v>1</v>
      </c>
      <c r="AJ41" s="53" t="s">
        <v>151</v>
      </c>
      <c r="AK41" s="54">
        <v>40</v>
      </c>
      <c r="AL41" s="55">
        <v>15</v>
      </c>
      <c r="AM41" s="55">
        <v>40</v>
      </c>
      <c r="AN41" s="55">
        <v>10</v>
      </c>
      <c r="AO41" s="55">
        <v>5</v>
      </c>
      <c r="AP41" s="55">
        <v>40</v>
      </c>
      <c r="AQ41" s="56">
        <v>1</v>
      </c>
      <c r="AR41" s="57">
        <v>7</v>
      </c>
    </row>
    <row r="42" spans="1:44" ht="16.5" customHeight="1" x14ac:dyDescent="0.3">
      <c r="A42" s="7" t="s">
        <v>109</v>
      </c>
      <c r="B42" s="13">
        <v>0</v>
      </c>
      <c r="C42" s="13">
        <v>292</v>
      </c>
      <c r="D42" s="13">
        <v>305</v>
      </c>
      <c r="E42" s="13">
        <v>514</v>
      </c>
      <c r="F42" s="13">
        <v>608</v>
      </c>
      <c r="G42" s="13">
        <v>0</v>
      </c>
      <c r="K42" s="22">
        <v>38</v>
      </c>
      <c r="L42" s="24" t="s">
        <v>38</v>
      </c>
      <c r="M42" s="24" t="s">
        <v>25</v>
      </c>
      <c r="N42" s="24" t="s">
        <v>74</v>
      </c>
      <c r="O42" s="24" t="s">
        <v>81</v>
      </c>
      <c r="P42" s="24" t="s">
        <v>21</v>
      </c>
      <c r="Q42" s="24" t="s">
        <v>74</v>
      </c>
      <c r="R42" s="24" t="s">
        <v>151</v>
      </c>
      <c r="T42" s="8">
        <f t="shared" si="8"/>
        <v>10</v>
      </c>
      <c r="U42" s="8">
        <f t="shared" si="9"/>
        <v>8</v>
      </c>
      <c r="V42" s="8">
        <f t="shared" si="10"/>
        <v>6</v>
      </c>
      <c r="W42" s="8">
        <f t="shared" si="11"/>
        <v>15</v>
      </c>
      <c r="X42" s="8">
        <f t="shared" si="12"/>
        <v>3</v>
      </c>
      <c r="Y42" s="8">
        <f t="shared" si="13"/>
        <v>6</v>
      </c>
      <c r="Z42" s="8">
        <f t="shared" si="14"/>
        <v>7</v>
      </c>
      <c r="AB42" s="25">
        <v>1</v>
      </c>
      <c r="AC42" s="25">
        <v>1</v>
      </c>
      <c r="AD42" s="25">
        <v>1</v>
      </c>
      <c r="AE42" s="25">
        <v>1</v>
      </c>
      <c r="AF42" s="25">
        <v>1</v>
      </c>
      <c r="AG42" s="25">
        <v>1</v>
      </c>
      <c r="AH42" s="7">
        <v>1</v>
      </c>
      <c r="AJ42" s="53" t="s">
        <v>24</v>
      </c>
      <c r="AK42" s="54">
        <v>40</v>
      </c>
      <c r="AL42" s="55">
        <v>15</v>
      </c>
      <c r="AM42" s="55">
        <v>40</v>
      </c>
      <c r="AN42" s="55">
        <v>10</v>
      </c>
      <c r="AO42" s="55">
        <v>10</v>
      </c>
      <c r="AP42" s="55">
        <v>5</v>
      </c>
      <c r="AQ42" s="56">
        <v>1</v>
      </c>
      <c r="AR42" s="57">
        <v>7</v>
      </c>
    </row>
    <row r="43" spans="1:44" ht="16.5" customHeight="1" x14ac:dyDescent="0.3">
      <c r="A43" s="7" t="s">
        <v>110</v>
      </c>
      <c r="B43" s="13">
        <v>0</v>
      </c>
      <c r="C43" s="13">
        <v>292</v>
      </c>
      <c r="D43" s="13">
        <v>305</v>
      </c>
      <c r="E43" s="13">
        <v>514</v>
      </c>
      <c r="F43" s="13">
        <v>608</v>
      </c>
      <c r="G43" s="13">
        <v>0</v>
      </c>
      <c r="K43" s="21">
        <v>39</v>
      </c>
      <c r="L43" s="24" t="s">
        <v>21</v>
      </c>
      <c r="M43" s="24" t="s">
        <v>151</v>
      </c>
      <c r="N43" s="24" t="s">
        <v>151</v>
      </c>
      <c r="O43" s="24" t="s">
        <v>81</v>
      </c>
      <c r="P43" s="24" t="s">
        <v>26</v>
      </c>
      <c r="Q43" s="24" t="s">
        <v>26</v>
      </c>
      <c r="R43" s="24" t="s">
        <v>151</v>
      </c>
      <c r="T43" s="8">
        <f t="shared" si="8"/>
        <v>3</v>
      </c>
      <c r="U43" s="8">
        <f t="shared" si="9"/>
        <v>7</v>
      </c>
      <c r="V43" s="8">
        <f t="shared" si="10"/>
        <v>7</v>
      </c>
      <c r="W43" s="8">
        <f t="shared" si="11"/>
        <v>15</v>
      </c>
      <c r="X43" s="8">
        <f t="shared" si="12"/>
        <v>9</v>
      </c>
      <c r="Y43" s="8">
        <f t="shared" si="13"/>
        <v>9</v>
      </c>
      <c r="Z43" s="8">
        <f t="shared" si="14"/>
        <v>7</v>
      </c>
      <c r="AB43" s="25">
        <v>1</v>
      </c>
      <c r="AC43" s="25">
        <v>1</v>
      </c>
      <c r="AD43" s="25">
        <v>1</v>
      </c>
      <c r="AE43" s="25">
        <v>1</v>
      </c>
      <c r="AF43" s="25">
        <v>1</v>
      </c>
      <c r="AG43" s="25">
        <v>1</v>
      </c>
      <c r="AH43" s="7">
        <v>1</v>
      </c>
      <c r="AJ43" s="53" t="s">
        <v>26</v>
      </c>
      <c r="AK43" s="54">
        <v>15</v>
      </c>
      <c r="AL43" s="55">
        <v>40</v>
      </c>
      <c r="AM43" s="55">
        <v>20</v>
      </c>
      <c r="AN43" s="55">
        <v>40</v>
      </c>
      <c r="AO43" s="55">
        <v>40</v>
      </c>
      <c r="AP43" s="55">
        <v>40</v>
      </c>
      <c r="AQ43" s="56">
        <v>1</v>
      </c>
      <c r="AR43" s="57">
        <v>8</v>
      </c>
    </row>
    <row r="44" spans="1:44" ht="16.5" customHeight="1" x14ac:dyDescent="0.3">
      <c r="A44" s="7" t="s">
        <v>111</v>
      </c>
      <c r="B44" s="13">
        <v>0</v>
      </c>
      <c r="C44" s="13">
        <v>292</v>
      </c>
      <c r="D44" s="13">
        <v>305</v>
      </c>
      <c r="E44" s="13">
        <v>514</v>
      </c>
      <c r="F44" s="13">
        <v>608</v>
      </c>
      <c r="G44" s="13">
        <v>0</v>
      </c>
      <c r="K44" s="22">
        <v>40</v>
      </c>
      <c r="L44" s="24" t="s">
        <v>33</v>
      </c>
      <c r="M44" s="24" t="s">
        <v>96</v>
      </c>
      <c r="N44" s="24" t="s">
        <v>151</v>
      </c>
      <c r="O44" s="24" t="s">
        <v>74</v>
      </c>
      <c r="P44" s="24" t="s">
        <v>80</v>
      </c>
      <c r="Q44" s="24" t="s">
        <v>151</v>
      </c>
      <c r="R44" s="24" t="s">
        <v>25</v>
      </c>
      <c r="T44" s="8">
        <f t="shared" si="8"/>
        <v>3</v>
      </c>
      <c r="U44" s="8">
        <f t="shared" si="9"/>
        <v>13</v>
      </c>
      <c r="V44" s="8">
        <f t="shared" si="10"/>
        <v>7</v>
      </c>
      <c r="W44" s="8">
        <f t="shared" si="11"/>
        <v>6</v>
      </c>
      <c r="X44" s="8">
        <f t="shared" si="12"/>
        <v>14</v>
      </c>
      <c r="Y44" s="8">
        <f t="shared" si="13"/>
        <v>7</v>
      </c>
      <c r="Z44" s="8">
        <f t="shared" si="14"/>
        <v>8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7">
        <v>1</v>
      </c>
      <c r="AJ44" s="53" t="s">
        <v>27</v>
      </c>
      <c r="AK44" s="54">
        <v>40</v>
      </c>
      <c r="AL44" s="55">
        <v>15</v>
      </c>
      <c r="AM44" s="55">
        <v>40</v>
      </c>
      <c r="AN44" s="55">
        <v>10</v>
      </c>
      <c r="AO44" s="55">
        <v>5</v>
      </c>
      <c r="AP44" s="55">
        <v>5</v>
      </c>
      <c r="AQ44" s="56">
        <v>1</v>
      </c>
      <c r="AR44" s="57">
        <v>9</v>
      </c>
    </row>
    <row r="45" spans="1:44" ht="16.5" customHeight="1" x14ac:dyDescent="0.3">
      <c r="A45" s="7" t="s">
        <v>112</v>
      </c>
      <c r="B45" s="13">
        <v>0</v>
      </c>
      <c r="C45" s="13">
        <v>292</v>
      </c>
      <c r="D45" s="13">
        <v>305</v>
      </c>
      <c r="E45" s="13">
        <v>514</v>
      </c>
      <c r="F45" s="13">
        <v>608</v>
      </c>
      <c r="G45" s="13">
        <v>0</v>
      </c>
      <c r="K45" s="21">
        <v>41</v>
      </c>
      <c r="L45" s="24" t="s">
        <v>35</v>
      </c>
      <c r="M45" s="24" t="s">
        <v>96</v>
      </c>
      <c r="N45" s="24" t="s">
        <v>29</v>
      </c>
      <c r="O45" s="24" t="s">
        <v>79</v>
      </c>
      <c r="P45" s="24" t="s">
        <v>80</v>
      </c>
      <c r="Q45" s="24" t="s">
        <v>24</v>
      </c>
      <c r="R45" s="24" t="s">
        <v>25</v>
      </c>
      <c r="T45" s="8">
        <f t="shared" si="8"/>
        <v>5</v>
      </c>
      <c r="U45" s="8">
        <f t="shared" si="9"/>
        <v>13</v>
      </c>
      <c r="V45" s="8">
        <f t="shared" si="10"/>
        <v>12</v>
      </c>
      <c r="W45" s="8">
        <f t="shared" si="11"/>
        <v>13</v>
      </c>
      <c r="X45" s="8">
        <f t="shared" si="12"/>
        <v>14</v>
      </c>
      <c r="Y45" s="8">
        <f t="shared" si="13"/>
        <v>8</v>
      </c>
      <c r="Z45" s="8">
        <f t="shared" si="14"/>
        <v>8</v>
      </c>
      <c r="AB45" s="25">
        <v>1</v>
      </c>
      <c r="AC45" s="25">
        <v>1</v>
      </c>
      <c r="AD45" s="25">
        <v>1</v>
      </c>
      <c r="AE45" s="25">
        <v>1</v>
      </c>
      <c r="AF45" s="25">
        <v>1</v>
      </c>
      <c r="AG45" s="25">
        <v>1</v>
      </c>
      <c r="AH45" s="7">
        <v>1</v>
      </c>
      <c r="AJ45" s="53" t="s">
        <v>28</v>
      </c>
      <c r="AK45" s="54">
        <v>15</v>
      </c>
      <c r="AL45" s="55">
        <v>40</v>
      </c>
      <c r="AM45" s="55">
        <v>35</v>
      </c>
      <c r="AN45" s="55">
        <v>10</v>
      </c>
      <c r="AO45" s="55">
        <v>5</v>
      </c>
      <c r="AP45" s="55">
        <v>5</v>
      </c>
      <c r="AQ45" s="56">
        <v>1</v>
      </c>
      <c r="AR45" s="57">
        <v>10</v>
      </c>
    </row>
    <row r="46" spans="1:44" ht="16.5" customHeight="1" x14ac:dyDescent="0.3">
      <c r="A46" s="7" t="s">
        <v>113</v>
      </c>
      <c r="B46" s="13">
        <v>1</v>
      </c>
      <c r="C46" s="13">
        <v>470</v>
      </c>
      <c r="D46" s="13">
        <v>640</v>
      </c>
      <c r="E46" s="13">
        <v>360</v>
      </c>
      <c r="F46" s="13">
        <v>290</v>
      </c>
      <c r="G46" s="13">
        <v>1</v>
      </c>
      <c r="K46" s="22">
        <v>42</v>
      </c>
      <c r="L46" s="24" t="s">
        <v>38</v>
      </c>
      <c r="M46" s="24" t="s">
        <v>96</v>
      </c>
      <c r="N46" s="24" t="s">
        <v>29</v>
      </c>
      <c r="O46" s="24" t="s">
        <v>79</v>
      </c>
      <c r="P46" s="24" t="s">
        <v>80</v>
      </c>
      <c r="Q46" s="24" t="s">
        <v>18</v>
      </c>
      <c r="R46" s="24" t="s">
        <v>25</v>
      </c>
      <c r="T46" s="8">
        <f t="shared" si="8"/>
        <v>10</v>
      </c>
      <c r="U46" s="8">
        <f t="shared" si="9"/>
        <v>13</v>
      </c>
      <c r="V46" s="8">
        <f t="shared" si="10"/>
        <v>12</v>
      </c>
      <c r="W46" s="8">
        <f t="shared" si="11"/>
        <v>13</v>
      </c>
      <c r="X46" s="8">
        <f t="shared" si="12"/>
        <v>14</v>
      </c>
      <c r="Y46" s="8">
        <f t="shared" si="13"/>
        <v>5</v>
      </c>
      <c r="Z46" s="8">
        <f t="shared" si="14"/>
        <v>8</v>
      </c>
      <c r="AB46" s="25">
        <v>1</v>
      </c>
      <c r="AC46" s="25">
        <v>1</v>
      </c>
      <c r="AD46" s="25">
        <v>1</v>
      </c>
      <c r="AE46" s="25">
        <v>1</v>
      </c>
      <c r="AF46" s="25">
        <v>1</v>
      </c>
      <c r="AG46" s="25">
        <v>1</v>
      </c>
      <c r="AH46" s="7">
        <v>1</v>
      </c>
      <c r="AJ46" s="53" t="s">
        <v>29</v>
      </c>
      <c r="AK46" s="54">
        <v>40</v>
      </c>
      <c r="AL46" s="55">
        <v>15</v>
      </c>
      <c r="AM46" s="55">
        <v>15</v>
      </c>
      <c r="AN46" s="55">
        <v>10</v>
      </c>
      <c r="AO46" s="55">
        <v>5</v>
      </c>
      <c r="AP46" s="55">
        <v>5</v>
      </c>
      <c r="AQ46" s="56">
        <v>1</v>
      </c>
      <c r="AR46" s="58">
        <v>11</v>
      </c>
    </row>
    <row r="47" spans="1:44" ht="16.5" customHeight="1" thickBot="1" x14ac:dyDescent="0.35">
      <c r="K47" s="21">
        <v>43</v>
      </c>
      <c r="L47" s="24" t="s">
        <v>38</v>
      </c>
      <c r="M47" s="24" t="s">
        <v>25</v>
      </c>
      <c r="N47" s="24" t="s">
        <v>29</v>
      </c>
      <c r="O47" s="24" t="s">
        <v>79</v>
      </c>
      <c r="P47" s="24" t="s">
        <v>82</v>
      </c>
      <c r="Q47" s="24" t="s">
        <v>27</v>
      </c>
      <c r="R47" s="24" t="s">
        <v>25</v>
      </c>
      <c r="T47" s="8">
        <f t="shared" si="8"/>
        <v>10</v>
      </c>
      <c r="U47" s="8">
        <f t="shared" si="9"/>
        <v>8</v>
      </c>
      <c r="V47" s="8">
        <f t="shared" si="10"/>
        <v>12</v>
      </c>
      <c r="W47" s="8">
        <f t="shared" si="11"/>
        <v>13</v>
      </c>
      <c r="X47" s="8">
        <f t="shared" si="12"/>
        <v>16</v>
      </c>
      <c r="Y47" s="8">
        <f t="shared" si="13"/>
        <v>10</v>
      </c>
      <c r="Z47" s="8">
        <f t="shared" si="14"/>
        <v>8</v>
      </c>
      <c r="AB47" s="25">
        <v>1</v>
      </c>
      <c r="AC47" s="25">
        <v>1</v>
      </c>
      <c r="AD47" s="25">
        <v>1</v>
      </c>
      <c r="AE47" s="25">
        <v>1</v>
      </c>
      <c r="AF47" s="25">
        <v>1</v>
      </c>
      <c r="AG47" s="25">
        <v>1</v>
      </c>
      <c r="AH47" s="7">
        <v>1</v>
      </c>
      <c r="AJ47" s="53" t="s">
        <v>79</v>
      </c>
      <c r="AK47" s="54">
        <v>0</v>
      </c>
      <c r="AL47" s="55">
        <v>2</v>
      </c>
      <c r="AM47" s="55">
        <v>5</v>
      </c>
      <c r="AN47" s="55">
        <v>2</v>
      </c>
      <c r="AO47" s="55">
        <v>4</v>
      </c>
      <c r="AP47" s="55">
        <v>0</v>
      </c>
      <c r="AQ47" s="56">
        <v>0</v>
      </c>
      <c r="AR47" s="57">
        <v>12</v>
      </c>
    </row>
    <row r="48" spans="1:44" ht="16.5" customHeight="1" thickBot="1" x14ac:dyDescent="0.35">
      <c r="A48" s="97" t="s">
        <v>168</v>
      </c>
      <c r="B48" s="102" t="s">
        <v>169</v>
      </c>
      <c r="K48" s="22">
        <v>44</v>
      </c>
      <c r="L48" s="24" t="s">
        <v>28</v>
      </c>
      <c r="M48" s="24" t="s">
        <v>25</v>
      </c>
      <c r="N48" s="24" t="s">
        <v>151</v>
      </c>
      <c r="O48" s="24" t="s">
        <v>24</v>
      </c>
      <c r="P48" s="24" t="s">
        <v>82</v>
      </c>
      <c r="Q48" s="24" t="s">
        <v>28</v>
      </c>
      <c r="R48" s="24" t="s">
        <v>37</v>
      </c>
      <c r="T48" s="8">
        <f t="shared" si="8"/>
        <v>11</v>
      </c>
      <c r="U48" s="8">
        <f t="shared" si="9"/>
        <v>8</v>
      </c>
      <c r="V48" s="8">
        <f t="shared" si="10"/>
        <v>7</v>
      </c>
      <c r="W48" s="8">
        <f t="shared" si="11"/>
        <v>8</v>
      </c>
      <c r="X48" s="8">
        <f t="shared" si="12"/>
        <v>16</v>
      </c>
      <c r="Y48" s="8">
        <f t="shared" si="13"/>
        <v>11</v>
      </c>
      <c r="Z48" s="8">
        <f t="shared" si="14"/>
        <v>9</v>
      </c>
      <c r="AB48" s="25">
        <v>1</v>
      </c>
      <c r="AC48" s="25">
        <v>1</v>
      </c>
      <c r="AD48" s="25">
        <v>1</v>
      </c>
      <c r="AE48" s="25">
        <v>1</v>
      </c>
      <c r="AF48" s="25">
        <v>1</v>
      </c>
      <c r="AG48" s="25">
        <v>1</v>
      </c>
      <c r="AH48" s="7">
        <v>1</v>
      </c>
      <c r="AJ48" s="53" t="s">
        <v>80</v>
      </c>
      <c r="AK48" s="54">
        <v>0</v>
      </c>
      <c r="AL48" s="55">
        <v>2</v>
      </c>
      <c r="AM48" s="55">
        <v>2</v>
      </c>
      <c r="AN48" s="55">
        <v>2</v>
      </c>
      <c r="AO48" s="55">
        <v>2</v>
      </c>
      <c r="AP48" s="55">
        <v>0</v>
      </c>
      <c r="AQ48" s="56">
        <v>0</v>
      </c>
      <c r="AR48" s="57">
        <v>13</v>
      </c>
    </row>
    <row r="49" spans="1:44" ht="16.5" customHeight="1" x14ac:dyDescent="0.3">
      <c r="A49" s="99" t="s">
        <v>78</v>
      </c>
      <c r="B49" s="100">
        <v>0</v>
      </c>
      <c r="K49" s="21">
        <v>45</v>
      </c>
      <c r="L49" s="24" t="s">
        <v>33</v>
      </c>
      <c r="M49" s="24" t="s">
        <v>25</v>
      </c>
      <c r="N49" s="24" t="s">
        <v>151</v>
      </c>
      <c r="O49" s="24" t="s">
        <v>26</v>
      </c>
      <c r="P49" s="24" t="s">
        <v>27</v>
      </c>
      <c r="Q49" s="24" t="s">
        <v>28</v>
      </c>
      <c r="R49" s="24" t="s">
        <v>37</v>
      </c>
      <c r="T49" s="8">
        <f t="shared" si="8"/>
        <v>3</v>
      </c>
      <c r="U49" s="8">
        <f t="shared" si="9"/>
        <v>8</v>
      </c>
      <c r="V49" s="8">
        <f t="shared" si="10"/>
        <v>7</v>
      </c>
      <c r="W49" s="8">
        <f t="shared" si="11"/>
        <v>9</v>
      </c>
      <c r="X49" s="8">
        <f t="shared" si="12"/>
        <v>10</v>
      </c>
      <c r="Y49" s="8">
        <f t="shared" si="13"/>
        <v>11</v>
      </c>
      <c r="Z49" s="8">
        <f t="shared" si="14"/>
        <v>9</v>
      </c>
      <c r="AB49" s="25">
        <v>1</v>
      </c>
      <c r="AC49" s="25">
        <v>1</v>
      </c>
      <c r="AD49" s="25">
        <v>1</v>
      </c>
      <c r="AE49" s="25">
        <v>1</v>
      </c>
      <c r="AF49" s="25">
        <v>1</v>
      </c>
      <c r="AG49" s="25">
        <v>1</v>
      </c>
      <c r="AH49" s="7">
        <v>1</v>
      </c>
      <c r="AJ49" s="53" t="s">
        <v>81</v>
      </c>
      <c r="AK49" s="54">
        <v>0</v>
      </c>
      <c r="AL49" s="55">
        <v>4</v>
      </c>
      <c r="AM49" s="55">
        <v>5</v>
      </c>
      <c r="AN49" s="55">
        <v>2</v>
      </c>
      <c r="AO49" s="55">
        <v>2</v>
      </c>
      <c r="AP49" s="55">
        <v>0</v>
      </c>
      <c r="AQ49" s="56">
        <v>0</v>
      </c>
      <c r="AR49" s="57">
        <v>14</v>
      </c>
    </row>
    <row r="50" spans="1:44" ht="16.5" customHeight="1" x14ac:dyDescent="0.3">
      <c r="A50" s="98" t="s">
        <v>19</v>
      </c>
      <c r="B50" s="101">
        <v>0</v>
      </c>
      <c r="K50" s="22">
        <v>46</v>
      </c>
      <c r="L50" s="24" t="s">
        <v>21</v>
      </c>
      <c r="M50" s="24" t="s">
        <v>34</v>
      </c>
      <c r="N50" s="24" t="s">
        <v>27</v>
      </c>
      <c r="O50" s="24" t="s">
        <v>26</v>
      </c>
      <c r="P50" s="24" t="s">
        <v>17</v>
      </c>
      <c r="Q50" s="24" t="s">
        <v>151</v>
      </c>
      <c r="R50" s="24" t="s">
        <v>37</v>
      </c>
      <c r="T50" s="8">
        <f t="shared" si="8"/>
        <v>3</v>
      </c>
      <c r="U50" s="8">
        <f t="shared" si="9"/>
        <v>4</v>
      </c>
      <c r="V50" s="8">
        <f t="shared" si="10"/>
        <v>10</v>
      </c>
      <c r="W50" s="8">
        <f t="shared" si="11"/>
        <v>9</v>
      </c>
      <c r="X50" s="8">
        <f t="shared" si="12"/>
        <v>4</v>
      </c>
      <c r="Y50" s="8">
        <f t="shared" si="13"/>
        <v>7</v>
      </c>
      <c r="Z50" s="8">
        <f t="shared" si="14"/>
        <v>9</v>
      </c>
      <c r="AB50" s="25">
        <v>1</v>
      </c>
      <c r="AC50" s="25">
        <v>1</v>
      </c>
      <c r="AD50" s="25">
        <v>1</v>
      </c>
      <c r="AE50" s="25">
        <v>1</v>
      </c>
      <c r="AF50" s="25">
        <v>1</v>
      </c>
      <c r="AG50" s="25">
        <v>1</v>
      </c>
      <c r="AH50" s="7">
        <v>1</v>
      </c>
      <c r="AJ50" s="53" t="s">
        <v>82</v>
      </c>
      <c r="AK50" s="54">
        <v>0</v>
      </c>
      <c r="AL50" s="55">
        <v>2</v>
      </c>
      <c r="AM50" s="55">
        <v>2</v>
      </c>
      <c r="AN50" s="55">
        <v>2</v>
      </c>
      <c r="AO50" s="55">
        <v>2</v>
      </c>
      <c r="AP50" s="55">
        <v>0</v>
      </c>
      <c r="AQ50" s="56">
        <v>0</v>
      </c>
      <c r="AR50" s="57">
        <v>15</v>
      </c>
    </row>
    <row r="51" spans="1:44" ht="16.5" customHeight="1" x14ac:dyDescent="0.3">
      <c r="A51" s="98" t="s">
        <v>20</v>
      </c>
      <c r="B51" s="101">
        <v>2</v>
      </c>
      <c r="K51" s="21">
        <v>47</v>
      </c>
      <c r="L51" s="24" t="s">
        <v>35</v>
      </c>
      <c r="M51" s="24" t="s">
        <v>17</v>
      </c>
      <c r="N51" s="24" t="s">
        <v>27</v>
      </c>
      <c r="O51" s="24" t="s">
        <v>26</v>
      </c>
      <c r="P51" s="24" t="s">
        <v>17</v>
      </c>
      <c r="Q51" s="24" t="s">
        <v>26</v>
      </c>
      <c r="R51" s="24" t="s">
        <v>37</v>
      </c>
      <c r="T51" s="8">
        <f t="shared" si="8"/>
        <v>5</v>
      </c>
      <c r="U51" s="8">
        <f t="shared" si="9"/>
        <v>4</v>
      </c>
      <c r="V51" s="8">
        <f t="shared" si="10"/>
        <v>10</v>
      </c>
      <c r="W51" s="8">
        <f t="shared" si="11"/>
        <v>9</v>
      </c>
      <c r="X51" s="8">
        <f t="shared" si="12"/>
        <v>4</v>
      </c>
      <c r="Y51" s="8">
        <f t="shared" si="13"/>
        <v>9</v>
      </c>
      <c r="Z51" s="8">
        <f t="shared" si="14"/>
        <v>9</v>
      </c>
      <c r="AB51" s="25">
        <v>1</v>
      </c>
      <c r="AC51" s="25">
        <v>1</v>
      </c>
      <c r="AD51" s="25">
        <v>1</v>
      </c>
      <c r="AE51" s="25">
        <v>1</v>
      </c>
      <c r="AF51" s="25">
        <v>1</v>
      </c>
      <c r="AG51" s="25">
        <v>1</v>
      </c>
      <c r="AH51" s="7">
        <v>1</v>
      </c>
      <c r="AJ51" s="53" t="s">
        <v>83</v>
      </c>
      <c r="AK51" s="54">
        <v>0</v>
      </c>
      <c r="AL51" s="55">
        <v>4</v>
      </c>
      <c r="AM51" s="55">
        <v>5</v>
      </c>
      <c r="AN51" s="55">
        <v>2</v>
      </c>
      <c r="AO51" s="55">
        <v>4</v>
      </c>
      <c r="AP51" s="55">
        <v>0</v>
      </c>
      <c r="AQ51" s="56">
        <v>0</v>
      </c>
      <c r="AR51" s="57">
        <v>16</v>
      </c>
    </row>
    <row r="52" spans="1:44" ht="16.5" customHeight="1" x14ac:dyDescent="0.3">
      <c r="A52" s="98" t="s">
        <v>21</v>
      </c>
      <c r="B52" s="101">
        <v>3</v>
      </c>
      <c r="K52" s="22">
        <v>48</v>
      </c>
      <c r="L52" s="24" t="s">
        <v>35</v>
      </c>
      <c r="M52" s="24" t="s">
        <v>17</v>
      </c>
      <c r="N52" s="24" t="s">
        <v>21</v>
      </c>
      <c r="O52" s="24" t="s">
        <v>162</v>
      </c>
      <c r="P52" s="24" t="s">
        <v>17</v>
      </c>
      <c r="Q52" s="24" t="s">
        <v>18</v>
      </c>
      <c r="R52" s="24" t="s">
        <v>152</v>
      </c>
      <c r="T52" s="8">
        <f t="shared" si="8"/>
        <v>5</v>
      </c>
      <c r="U52" s="8">
        <f t="shared" si="9"/>
        <v>4</v>
      </c>
      <c r="V52" s="8">
        <f t="shared" si="10"/>
        <v>3</v>
      </c>
      <c r="W52" s="8">
        <f t="shared" si="11"/>
        <v>18</v>
      </c>
      <c r="X52" s="8">
        <f t="shared" si="12"/>
        <v>4</v>
      </c>
      <c r="Y52" s="8">
        <f t="shared" si="13"/>
        <v>5</v>
      </c>
      <c r="Z52" s="8">
        <f t="shared" si="14"/>
        <v>7</v>
      </c>
      <c r="AB52" s="25">
        <v>1</v>
      </c>
      <c r="AC52" s="25">
        <v>1</v>
      </c>
      <c r="AD52" s="25">
        <v>1</v>
      </c>
      <c r="AE52" s="25">
        <v>1</v>
      </c>
      <c r="AF52" s="25">
        <v>1</v>
      </c>
      <c r="AG52" s="25">
        <v>1</v>
      </c>
      <c r="AH52" s="7">
        <v>1</v>
      </c>
      <c r="AJ52" s="53" t="s">
        <v>162</v>
      </c>
      <c r="AK52" s="54">
        <v>0</v>
      </c>
      <c r="AL52" s="55">
        <v>4</v>
      </c>
      <c r="AM52" s="55">
        <v>5</v>
      </c>
      <c r="AN52" s="55">
        <v>2</v>
      </c>
      <c r="AO52" s="55">
        <v>4</v>
      </c>
      <c r="AP52" s="55">
        <v>0</v>
      </c>
      <c r="AQ52" s="56">
        <v>0</v>
      </c>
      <c r="AR52" s="57">
        <v>17</v>
      </c>
    </row>
    <row r="53" spans="1:44" ht="16.5" customHeight="1" x14ac:dyDescent="0.3">
      <c r="A53" s="98" t="s">
        <v>17</v>
      </c>
      <c r="B53" s="101">
        <v>5</v>
      </c>
      <c r="K53" s="21">
        <v>49</v>
      </c>
      <c r="L53" s="24" t="s">
        <v>28</v>
      </c>
      <c r="M53" s="24" t="s">
        <v>151</v>
      </c>
      <c r="N53" s="24" t="s">
        <v>21</v>
      </c>
      <c r="O53" s="24" t="s">
        <v>162</v>
      </c>
      <c r="P53" s="24" t="s">
        <v>74</v>
      </c>
      <c r="Q53" s="24" t="s">
        <v>151</v>
      </c>
      <c r="R53" s="24" t="s">
        <v>152</v>
      </c>
      <c r="T53" s="8">
        <f t="shared" si="8"/>
        <v>11</v>
      </c>
      <c r="U53" s="8">
        <f t="shared" si="9"/>
        <v>7</v>
      </c>
      <c r="V53" s="8">
        <f t="shared" si="10"/>
        <v>3</v>
      </c>
      <c r="W53" s="8">
        <f t="shared" si="11"/>
        <v>18</v>
      </c>
      <c r="X53" s="8">
        <f t="shared" si="12"/>
        <v>6</v>
      </c>
      <c r="Y53" s="8">
        <f t="shared" si="13"/>
        <v>7</v>
      </c>
      <c r="Z53" s="8">
        <f t="shared" si="14"/>
        <v>7</v>
      </c>
      <c r="AB53" s="25">
        <v>1</v>
      </c>
      <c r="AC53" s="25">
        <v>1</v>
      </c>
      <c r="AD53" s="25">
        <v>1</v>
      </c>
      <c r="AE53" s="25">
        <v>1</v>
      </c>
      <c r="AF53" s="25">
        <v>1</v>
      </c>
      <c r="AG53" s="25">
        <v>1</v>
      </c>
      <c r="AH53" s="7">
        <v>1</v>
      </c>
      <c r="AJ53" s="53" t="s">
        <v>84</v>
      </c>
      <c r="AK53" s="54">
        <v>0</v>
      </c>
      <c r="AL53" s="55">
        <v>4</v>
      </c>
      <c r="AM53" s="55">
        <v>2</v>
      </c>
      <c r="AN53" s="55">
        <v>2</v>
      </c>
      <c r="AO53" s="55">
        <v>4</v>
      </c>
      <c r="AP53" s="55">
        <v>0</v>
      </c>
      <c r="AQ53" s="56">
        <v>0</v>
      </c>
      <c r="AR53" s="57">
        <v>17</v>
      </c>
    </row>
    <row r="54" spans="1:44" ht="16.5" customHeight="1" x14ac:dyDescent="0.3">
      <c r="A54" s="98" t="s">
        <v>18</v>
      </c>
      <c r="B54" s="101">
        <v>8</v>
      </c>
      <c r="K54" s="22">
        <v>50</v>
      </c>
      <c r="L54" s="24" t="s">
        <v>75</v>
      </c>
      <c r="M54" s="24" t="s">
        <v>151</v>
      </c>
      <c r="N54" s="24" t="s">
        <v>26</v>
      </c>
      <c r="O54" s="24" t="s">
        <v>17</v>
      </c>
      <c r="P54" s="24" t="s">
        <v>21</v>
      </c>
      <c r="Q54" s="24" t="s">
        <v>27</v>
      </c>
      <c r="R54" s="24" t="s">
        <v>152</v>
      </c>
      <c r="T54" s="8">
        <f t="shared" si="8"/>
        <v>6</v>
      </c>
      <c r="U54" s="8">
        <f t="shared" si="9"/>
        <v>7</v>
      </c>
      <c r="V54" s="8">
        <f t="shared" si="10"/>
        <v>9</v>
      </c>
      <c r="W54" s="8">
        <f t="shared" si="11"/>
        <v>4</v>
      </c>
      <c r="X54" s="8">
        <f t="shared" si="12"/>
        <v>3</v>
      </c>
      <c r="Y54" s="8">
        <f t="shared" si="13"/>
        <v>10</v>
      </c>
      <c r="Z54" s="8">
        <f t="shared" si="14"/>
        <v>7</v>
      </c>
      <c r="AB54" s="25">
        <v>1</v>
      </c>
      <c r="AC54" s="25">
        <v>1</v>
      </c>
      <c r="AD54" s="25">
        <v>1</v>
      </c>
      <c r="AE54" s="25">
        <v>1</v>
      </c>
      <c r="AF54" s="25">
        <v>1</v>
      </c>
      <c r="AG54" s="25">
        <v>1</v>
      </c>
      <c r="AH54" s="7">
        <v>1</v>
      </c>
      <c r="AJ54" s="53" t="s">
        <v>85</v>
      </c>
      <c r="AK54" s="54">
        <v>0</v>
      </c>
      <c r="AL54" s="55">
        <v>4</v>
      </c>
      <c r="AM54" s="55">
        <v>2</v>
      </c>
      <c r="AN54" s="55">
        <v>4</v>
      </c>
      <c r="AO54" s="55">
        <v>2</v>
      </c>
      <c r="AP54" s="55">
        <v>0</v>
      </c>
      <c r="AQ54" s="56">
        <v>0</v>
      </c>
      <c r="AR54" s="57">
        <v>18</v>
      </c>
    </row>
    <row r="55" spans="1:44" ht="16.5" customHeight="1" x14ac:dyDescent="0.3">
      <c r="A55" s="98" t="s">
        <v>74</v>
      </c>
      <c r="B55" s="101">
        <v>12</v>
      </c>
      <c r="K55" s="21">
        <v>51</v>
      </c>
      <c r="L55" s="24" t="s">
        <v>74</v>
      </c>
      <c r="M55" s="24" t="s">
        <v>25</v>
      </c>
      <c r="N55" s="24" t="s">
        <v>26</v>
      </c>
      <c r="O55" s="24" t="s">
        <v>17</v>
      </c>
      <c r="P55" s="24" t="s">
        <v>85</v>
      </c>
      <c r="Q55" s="24" t="s">
        <v>74</v>
      </c>
      <c r="R55" s="24" t="s">
        <v>152</v>
      </c>
      <c r="T55" s="8">
        <f t="shared" si="8"/>
        <v>6</v>
      </c>
      <c r="U55" s="8">
        <f t="shared" si="9"/>
        <v>8</v>
      </c>
      <c r="V55" s="8">
        <f t="shared" si="10"/>
        <v>9</v>
      </c>
      <c r="W55" s="8">
        <f t="shared" si="11"/>
        <v>4</v>
      </c>
      <c r="X55" s="8">
        <f t="shared" si="12"/>
        <v>20</v>
      </c>
      <c r="Y55" s="8">
        <f t="shared" si="13"/>
        <v>6</v>
      </c>
      <c r="Z55" s="8">
        <f t="shared" si="14"/>
        <v>7</v>
      </c>
      <c r="AB55" s="25">
        <v>1</v>
      </c>
      <c r="AC55" s="25">
        <v>1</v>
      </c>
      <c r="AD55" s="25">
        <v>1</v>
      </c>
      <c r="AE55" s="25">
        <v>1</v>
      </c>
      <c r="AF55" s="25">
        <v>1</v>
      </c>
      <c r="AG55" s="25">
        <v>1</v>
      </c>
      <c r="AH55" s="7">
        <v>1</v>
      </c>
      <c r="AJ55" s="53" t="s">
        <v>86</v>
      </c>
      <c r="AK55" s="54">
        <v>0</v>
      </c>
      <c r="AL55" s="55">
        <v>4</v>
      </c>
      <c r="AM55" s="55">
        <v>5</v>
      </c>
      <c r="AN55" s="55">
        <v>2</v>
      </c>
      <c r="AO55" s="55">
        <v>2</v>
      </c>
      <c r="AP55" s="55">
        <v>0</v>
      </c>
      <c r="AQ55" s="56">
        <v>0</v>
      </c>
      <c r="AR55" s="57">
        <v>19</v>
      </c>
    </row>
    <row r="56" spans="1:44" ht="16.5" customHeight="1" x14ac:dyDescent="0.3">
      <c r="A56" s="98" t="s">
        <v>170</v>
      </c>
      <c r="B56" s="101">
        <v>10</v>
      </c>
      <c r="K56" s="22">
        <v>52</v>
      </c>
      <c r="L56" s="24" t="s">
        <v>74</v>
      </c>
      <c r="M56" s="24" t="s">
        <v>81</v>
      </c>
      <c r="N56" s="24" t="s">
        <v>82</v>
      </c>
      <c r="O56" s="24" t="s">
        <v>26</v>
      </c>
      <c r="P56" s="24" t="s">
        <v>85</v>
      </c>
      <c r="Q56" s="24" t="s">
        <v>26</v>
      </c>
      <c r="R56" s="24" t="s">
        <v>25</v>
      </c>
      <c r="T56" s="8">
        <f t="shared" si="8"/>
        <v>6</v>
      </c>
      <c r="U56" s="8">
        <f t="shared" si="9"/>
        <v>15</v>
      </c>
      <c r="V56" s="8">
        <f t="shared" si="10"/>
        <v>16</v>
      </c>
      <c r="W56" s="8">
        <f t="shared" si="11"/>
        <v>9</v>
      </c>
      <c r="X56" s="8">
        <f t="shared" si="12"/>
        <v>20</v>
      </c>
      <c r="Y56" s="8">
        <f t="shared" si="13"/>
        <v>9</v>
      </c>
      <c r="Z56" s="8">
        <f t="shared" si="14"/>
        <v>8</v>
      </c>
      <c r="AB56" s="25">
        <v>1</v>
      </c>
      <c r="AC56" s="25">
        <v>1</v>
      </c>
      <c r="AD56" s="25">
        <v>1</v>
      </c>
      <c r="AE56" s="25">
        <v>1</v>
      </c>
      <c r="AF56" s="25">
        <v>1</v>
      </c>
      <c r="AG56" s="25">
        <v>1</v>
      </c>
      <c r="AH56" s="7">
        <v>1</v>
      </c>
      <c r="AJ56" s="53" t="s">
        <v>87</v>
      </c>
      <c r="AK56" s="54">
        <v>0</v>
      </c>
      <c r="AL56" s="55">
        <v>2</v>
      </c>
      <c r="AM56" s="55">
        <v>7</v>
      </c>
      <c r="AN56" s="55">
        <v>2</v>
      </c>
      <c r="AO56" s="55">
        <v>2</v>
      </c>
      <c r="AP56" s="55">
        <v>0</v>
      </c>
      <c r="AQ56" s="56">
        <v>0</v>
      </c>
      <c r="AR56" s="57">
        <v>20</v>
      </c>
    </row>
    <row r="57" spans="1:44" ht="16.5" customHeight="1" thickBot="1" x14ac:dyDescent="0.35">
      <c r="A57" s="98" t="s">
        <v>171</v>
      </c>
      <c r="B57" s="101">
        <v>10</v>
      </c>
      <c r="K57" s="21">
        <v>53</v>
      </c>
      <c r="L57" s="24" t="s">
        <v>28</v>
      </c>
      <c r="M57" s="24" t="s">
        <v>81</v>
      </c>
      <c r="N57" s="24" t="s">
        <v>82</v>
      </c>
      <c r="O57" s="24" t="s">
        <v>151</v>
      </c>
      <c r="P57" s="24" t="s">
        <v>24</v>
      </c>
      <c r="Q57" s="24" t="s">
        <v>151</v>
      </c>
      <c r="R57" s="24" t="s">
        <v>25</v>
      </c>
      <c r="T57" s="8">
        <f t="shared" si="8"/>
        <v>11</v>
      </c>
      <c r="U57" s="8">
        <f t="shared" si="9"/>
        <v>15</v>
      </c>
      <c r="V57" s="8">
        <f t="shared" si="10"/>
        <v>16</v>
      </c>
      <c r="W57" s="8">
        <f t="shared" si="11"/>
        <v>7</v>
      </c>
      <c r="X57" s="8">
        <f t="shared" si="12"/>
        <v>8</v>
      </c>
      <c r="Y57" s="8">
        <f t="shared" si="13"/>
        <v>7</v>
      </c>
      <c r="Z57" s="8">
        <f t="shared" si="14"/>
        <v>8</v>
      </c>
      <c r="AB57" s="25">
        <v>1</v>
      </c>
      <c r="AC57" s="25">
        <v>1</v>
      </c>
      <c r="AD57" s="25">
        <v>1</v>
      </c>
      <c r="AE57" s="25">
        <v>1</v>
      </c>
      <c r="AF57" s="25">
        <v>1</v>
      </c>
      <c r="AG57" s="25">
        <v>1</v>
      </c>
      <c r="AH57" s="7">
        <v>1</v>
      </c>
      <c r="AJ57" s="59" t="s">
        <v>88</v>
      </c>
      <c r="AK57" s="60">
        <v>0</v>
      </c>
      <c r="AL57" s="61">
        <v>4</v>
      </c>
      <c r="AM57" s="61">
        <v>7</v>
      </c>
      <c r="AN57" s="61">
        <v>2</v>
      </c>
      <c r="AO57" s="61">
        <v>2</v>
      </c>
      <c r="AP57" s="61">
        <v>0</v>
      </c>
      <c r="AQ57" s="62">
        <v>0</v>
      </c>
      <c r="AR57" s="63">
        <v>21</v>
      </c>
    </row>
    <row r="58" spans="1:44" ht="16.5" customHeight="1" x14ac:dyDescent="0.3">
      <c r="A58" s="103" t="s">
        <v>37</v>
      </c>
      <c r="B58" s="124">
        <v>10</v>
      </c>
      <c r="K58" s="22">
        <v>54</v>
      </c>
      <c r="L58" s="24" t="s">
        <v>28</v>
      </c>
      <c r="M58" s="24" t="s">
        <v>37</v>
      </c>
      <c r="N58" s="24" t="s">
        <v>18</v>
      </c>
      <c r="O58" s="24" t="s">
        <v>151</v>
      </c>
      <c r="P58" s="24" t="s">
        <v>151</v>
      </c>
      <c r="Q58" s="24" t="s">
        <v>74</v>
      </c>
      <c r="R58" s="24" t="s">
        <v>25</v>
      </c>
      <c r="T58" s="8">
        <f t="shared" si="8"/>
        <v>11</v>
      </c>
      <c r="U58" s="8">
        <f t="shared" si="9"/>
        <v>9</v>
      </c>
      <c r="V58" s="8">
        <f t="shared" si="10"/>
        <v>5</v>
      </c>
      <c r="W58" s="8">
        <f t="shared" si="11"/>
        <v>7</v>
      </c>
      <c r="X58" s="8">
        <f t="shared" si="12"/>
        <v>7</v>
      </c>
      <c r="Y58" s="8">
        <f t="shared" si="13"/>
        <v>6</v>
      </c>
      <c r="Z58" s="8">
        <f t="shared" si="14"/>
        <v>8</v>
      </c>
      <c r="AB58" s="25">
        <v>1</v>
      </c>
      <c r="AC58" s="25">
        <v>1</v>
      </c>
      <c r="AD58" s="25">
        <v>1</v>
      </c>
      <c r="AE58" s="25">
        <v>1</v>
      </c>
      <c r="AF58" s="25">
        <v>1</v>
      </c>
      <c r="AG58" s="25">
        <v>1</v>
      </c>
      <c r="AH58" s="7">
        <v>1</v>
      </c>
      <c r="AJ58" s="132" t="s">
        <v>176</v>
      </c>
      <c r="AK58" s="133">
        <v>0</v>
      </c>
      <c r="AL58" s="134">
        <v>10</v>
      </c>
      <c r="AM58" s="134">
        <v>10</v>
      </c>
      <c r="AN58" s="134">
        <v>10</v>
      </c>
      <c r="AO58" s="134">
        <v>10</v>
      </c>
      <c r="AP58" s="134">
        <v>0</v>
      </c>
      <c r="AQ58" s="135">
        <v>0</v>
      </c>
      <c r="AR58" s="131">
        <v>24</v>
      </c>
    </row>
    <row r="59" spans="1:44" ht="16.5" customHeight="1" thickBot="1" x14ac:dyDescent="0.35">
      <c r="A59" s="103" t="s">
        <v>38</v>
      </c>
      <c r="B59" s="124">
        <v>10</v>
      </c>
      <c r="K59" s="21">
        <v>55</v>
      </c>
      <c r="L59" s="24" t="s">
        <v>39</v>
      </c>
      <c r="M59" s="24" t="s">
        <v>20</v>
      </c>
      <c r="N59" s="24" t="s">
        <v>26</v>
      </c>
      <c r="O59" s="24" t="s">
        <v>74</v>
      </c>
      <c r="P59" s="24" t="s">
        <v>82</v>
      </c>
      <c r="Q59" s="24" t="s">
        <v>17</v>
      </c>
      <c r="R59" s="24" t="s">
        <v>25</v>
      </c>
      <c r="T59" s="8">
        <f t="shared" si="8"/>
        <v>11</v>
      </c>
      <c r="U59" s="8">
        <f t="shared" si="9"/>
        <v>2</v>
      </c>
      <c r="V59" s="8">
        <f t="shared" si="10"/>
        <v>9</v>
      </c>
      <c r="W59" s="8">
        <f t="shared" si="11"/>
        <v>6</v>
      </c>
      <c r="X59" s="8">
        <f t="shared" si="12"/>
        <v>16</v>
      </c>
      <c r="Y59" s="8">
        <f t="shared" si="13"/>
        <v>4</v>
      </c>
      <c r="Z59" s="8">
        <f t="shared" si="14"/>
        <v>8</v>
      </c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  <c r="AH59" s="7">
        <v>1</v>
      </c>
      <c r="AJ59" s="80" t="s">
        <v>187</v>
      </c>
      <c r="AK59" s="72">
        <v>0</v>
      </c>
      <c r="AL59" s="73">
        <v>1</v>
      </c>
      <c r="AM59" s="73">
        <v>1</v>
      </c>
      <c r="AN59" s="73">
        <v>1</v>
      </c>
      <c r="AO59" s="73">
        <v>1</v>
      </c>
      <c r="AP59" s="73">
        <v>0</v>
      </c>
      <c r="AQ59" s="74">
        <v>0</v>
      </c>
      <c r="AR59" s="63">
        <v>25</v>
      </c>
    </row>
    <row r="60" spans="1:44" ht="16.5" customHeight="1" x14ac:dyDescent="0.3">
      <c r="A60" s="103" t="s">
        <v>39</v>
      </c>
      <c r="B60" s="124">
        <v>10</v>
      </c>
      <c r="K60" s="22">
        <v>56</v>
      </c>
      <c r="L60" s="24" t="s">
        <v>35</v>
      </c>
      <c r="M60" s="24" t="s">
        <v>85</v>
      </c>
      <c r="N60" s="24" t="s">
        <v>26</v>
      </c>
      <c r="O60" s="24" t="s">
        <v>74</v>
      </c>
      <c r="P60" s="24" t="s">
        <v>82</v>
      </c>
      <c r="Q60" s="24" t="s">
        <v>18</v>
      </c>
      <c r="R60" s="24" t="s">
        <v>40</v>
      </c>
      <c r="T60" s="8">
        <f t="shared" si="8"/>
        <v>5</v>
      </c>
      <c r="U60" s="8">
        <f t="shared" si="9"/>
        <v>20</v>
      </c>
      <c r="V60" s="8">
        <f t="shared" si="10"/>
        <v>9</v>
      </c>
      <c r="W60" s="8">
        <f t="shared" si="11"/>
        <v>6</v>
      </c>
      <c r="X60" s="8">
        <f t="shared" si="12"/>
        <v>16</v>
      </c>
      <c r="Y60" s="8">
        <f t="shared" si="13"/>
        <v>5</v>
      </c>
      <c r="Z60" s="8">
        <f t="shared" si="14"/>
        <v>12</v>
      </c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  <c r="AH60" s="7">
        <v>1</v>
      </c>
      <c r="AJ60" s="82"/>
      <c r="AK60" s="82"/>
      <c r="AL60" s="82"/>
      <c r="AM60" s="82"/>
      <c r="AN60" s="82"/>
      <c r="AO60" s="82"/>
      <c r="AP60" s="82"/>
      <c r="AQ60" s="82"/>
      <c r="AR60" s="82"/>
    </row>
    <row r="61" spans="1:44" ht="16.8" thickBot="1" x14ac:dyDescent="0.35">
      <c r="A61" s="104" t="s">
        <v>40</v>
      </c>
      <c r="B61" s="125">
        <v>10</v>
      </c>
      <c r="K61" s="21">
        <v>57</v>
      </c>
      <c r="L61" s="24" t="s">
        <v>38</v>
      </c>
      <c r="M61" s="24" t="s">
        <v>85</v>
      </c>
      <c r="N61" s="24" t="s">
        <v>26</v>
      </c>
      <c r="O61" s="24" t="s">
        <v>74</v>
      </c>
      <c r="P61" s="24" t="s">
        <v>21</v>
      </c>
      <c r="Q61" s="24" t="s">
        <v>27</v>
      </c>
      <c r="R61" s="24" t="s">
        <v>40</v>
      </c>
      <c r="T61" s="8">
        <f t="shared" si="8"/>
        <v>10</v>
      </c>
      <c r="U61" s="8">
        <f t="shared" si="9"/>
        <v>20</v>
      </c>
      <c r="V61" s="8">
        <f t="shared" si="10"/>
        <v>9</v>
      </c>
      <c r="W61" s="8">
        <f t="shared" si="11"/>
        <v>6</v>
      </c>
      <c r="X61" s="8">
        <f t="shared" si="12"/>
        <v>3</v>
      </c>
      <c r="Y61" s="8">
        <f t="shared" si="13"/>
        <v>10</v>
      </c>
      <c r="Z61" s="8">
        <f t="shared" si="14"/>
        <v>12</v>
      </c>
      <c r="AB61" s="25">
        <v>1</v>
      </c>
      <c r="AC61" s="25">
        <v>1</v>
      </c>
      <c r="AD61" s="25">
        <v>1</v>
      </c>
      <c r="AE61" s="25">
        <v>1</v>
      </c>
      <c r="AF61" s="25">
        <v>1</v>
      </c>
      <c r="AG61" s="25">
        <v>1</v>
      </c>
      <c r="AH61" s="7">
        <v>1</v>
      </c>
      <c r="AJ61" s="82"/>
      <c r="AK61" s="245" t="s">
        <v>94</v>
      </c>
      <c r="AL61" s="245"/>
      <c r="AM61" s="245"/>
      <c r="AN61" s="245"/>
      <c r="AO61" s="245"/>
      <c r="AP61" s="245"/>
      <c r="AQ61" s="245"/>
      <c r="AR61" s="245"/>
    </row>
    <row r="62" spans="1:44" ht="16.8" thickBot="1" x14ac:dyDescent="0.35">
      <c r="K62" s="22">
        <v>58</v>
      </c>
      <c r="L62" s="24" t="s">
        <v>38</v>
      </c>
      <c r="M62" s="24" t="s">
        <v>25</v>
      </c>
      <c r="N62" s="24" t="s">
        <v>74</v>
      </c>
      <c r="O62" s="24" t="s">
        <v>81</v>
      </c>
      <c r="P62" s="24" t="s">
        <v>21</v>
      </c>
      <c r="Q62" s="24" t="s">
        <v>74</v>
      </c>
      <c r="R62" s="24" t="s">
        <v>40</v>
      </c>
      <c r="T62" s="8">
        <f t="shared" si="8"/>
        <v>10</v>
      </c>
      <c r="U62" s="8">
        <f t="shared" si="9"/>
        <v>8</v>
      </c>
      <c r="V62" s="8">
        <f t="shared" si="10"/>
        <v>6</v>
      </c>
      <c r="W62" s="8">
        <f t="shared" si="11"/>
        <v>15</v>
      </c>
      <c r="X62" s="8">
        <f t="shared" si="12"/>
        <v>3</v>
      </c>
      <c r="Y62" s="8">
        <f t="shared" si="13"/>
        <v>6</v>
      </c>
      <c r="Z62" s="8">
        <f t="shared" si="14"/>
        <v>12</v>
      </c>
      <c r="AB62" s="25">
        <v>1</v>
      </c>
      <c r="AC62" s="25">
        <v>1</v>
      </c>
      <c r="AD62" s="25">
        <v>1</v>
      </c>
      <c r="AE62" s="25">
        <v>1</v>
      </c>
      <c r="AF62" s="25">
        <v>1</v>
      </c>
      <c r="AG62" s="25">
        <v>1</v>
      </c>
      <c r="AH62" s="7">
        <v>1</v>
      </c>
      <c r="AJ62" s="44" t="s">
        <v>52</v>
      </c>
      <c r="AK62" s="45" t="s">
        <v>12</v>
      </c>
      <c r="AL62" s="45" t="s">
        <v>13</v>
      </c>
      <c r="AM62" s="45" t="s">
        <v>14</v>
      </c>
      <c r="AN62" s="45" t="s">
        <v>15</v>
      </c>
      <c r="AO62" s="45" t="s">
        <v>16</v>
      </c>
      <c r="AP62" s="45" t="s">
        <v>56</v>
      </c>
      <c r="AQ62" s="46" t="s">
        <v>76</v>
      </c>
      <c r="AR62" s="47" t="s">
        <v>3</v>
      </c>
    </row>
    <row r="63" spans="1:44" ht="16.5" customHeight="1" thickBot="1" x14ac:dyDescent="0.35">
      <c r="A63" s="115" t="s">
        <v>177</v>
      </c>
      <c r="B63" s="116" t="s">
        <v>51</v>
      </c>
      <c r="K63" s="21">
        <v>59</v>
      </c>
      <c r="L63" s="24" t="s">
        <v>21</v>
      </c>
      <c r="M63" s="24" t="s">
        <v>151</v>
      </c>
      <c r="N63" s="24" t="s">
        <v>151</v>
      </c>
      <c r="O63" s="24" t="s">
        <v>81</v>
      </c>
      <c r="P63" s="24" t="s">
        <v>26</v>
      </c>
      <c r="Q63" s="24" t="s">
        <v>26</v>
      </c>
      <c r="R63" s="24" t="s">
        <v>40</v>
      </c>
      <c r="T63" s="8">
        <f t="shared" si="8"/>
        <v>3</v>
      </c>
      <c r="U63" s="8">
        <f t="shared" si="9"/>
        <v>7</v>
      </c>
      <c r="V63" s="8">
        <f t="shared" si="10"/>
        <v>7</v>
      </c>
      <c r="W63" s="8">
        <f t="shared" si="11"/>
        <v>15</v>
      </c>
      <c r="X63" s="8">
        <f t="shared" si="12"/>
        <v>9</v>
      </c>
      <c r="Y63" s="8">
        <f t="shared" si="13"/>
        <v>9</v>
      </c>
      <c r="Z63" s="8">
        <f t="shared" si="14"/>
        <v>12</v>
      </c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  <c r="AH63" s="7">
        <v>1</v>
      </c>
      <c r="AJ63" s="48" t="s">
        <v>78</v>
      </c>
      <c r="AK63" s="49">
        <v>0</v>
      </c>
      <c r="AL63" s="50">
        <v>0</v>
      </c>
      <c r="AM63" s="50">
        <v>0</v>
      </c>
      <c r="AN63" s="50">
        <v>0</v>
      </c>
      <c r="AO63" s="50">
        <v>0</v>
      </c>
      <c r="AP63" s="50">
        <v>0</v>
      </c>
      <c r="AQ63" s="51">
        <v>0</v>
      </c>
      <c r="AR63" s="52">
        <v>0</v>
      </c>
    </row>
    <row r="64" spans="1:44" ht="16.5" customHeight="1" x14ac:dyDescent="0.3">
      <c r="A64" s="117">
        <v>0</v>
      </c>
      <c r="B64" s="107">
        <v>0</v>
      </c>
      <c r="K64" s="22">
        <v>60</v>
      </c>
      <c r="L64" s="24" t="s">
        <v>22</v>
      </c>
      <c r="M64" s="24" t="s">
        <v>22</v>
      </c>
      <c r="N64" s="24" t="s">
        <v>22</v>
      </c>
      <c r="O64" s="24" t="s">
        <v>22</v>
      </c>
      <c r="P64" s="24" t="s">
        <v>22</v>
      </c>
      <c r="Q64" s="24" t="s">
        <v>22</v>
      </c>
      <c r="R64" s="24" t="s">
        <v>22</v>
      </c>
      <c r="T64" s="8"/>
      <c r="U64" s="8"/>
      <c r="V64" s="8"/>
      <c r="W64" s="8"/>
      <c r="X64" s="8"/>
      <c r="Y64" s="8"/>
      <c r="Z64" s="8"/>
      <c r="AB64" s="25" t="s">
        <v>22</v>
      </c>
      <c r="AC64" s="25" t="s">
        <v>22</v>
      </c>
      <c r="AD64" s="25" t="s">
        <v>22</v>
      </c>
      <c r="AE64" s="25" t="s">
        <v>22</v>
      </c>
      <c r="AF64" s="25" t="s">
        <v>22</v>
      </c>
      <c r="AG64" s="25" t="s">
        <v>22</v>
      </c>
      <c r="AH64" s="7" t="s">
        <v>22</v>
      </c>
      <c r="AJ64" s="53" t="s">
        <v>19</v>
      </c>
      <c r="AK64" s="69">
        <v>5</v>
      </c>
      <c r="AL64" s="70">
        <v>5</v>
      </c>
      <c r="AM64" s="70">
        <v>5</v>
      </c>
      <c r="AN64" s="70">
        <v>5</v>
      </c>
      <c r="AO64" s="55">
        <v>5</v>
      </c>
      <c r="AP64" s="55">
        <v>5</v>
      </c>
      <c r="AQ64" s="56">
        <v>0</v>
      </c>
      <c r="AR64" s="57">
        <v>1</v>
      </c>
    </row>
    <row r="65" spans="1:44" ht="16.5" customHeight="1" x14ac:dyDescent="0.3">
      <c r="A65" s="118">
        <v>1</v>
      </c>
      <c r="B65" s="108">
        <v>0</v>
      </c>
      <c r="K65" s="21">
        <v>61</v>
      </c>
      <c r="L65" s="24" t="s">
        <v>22</v>
      </c>
      <c r="M65" s="24" t="s">
        <v>22</v>
      </c>
      <c r="N65" s="24" t="s">
        <v>22</v>
      </c>
      <c r="O65" s="24" t="s">
        <v>22</v>
      </c>
      <c r="P65" s="24" t="s">
        <v>22</v>
      </c>
      <c r="Q65" s="24" t="s">
        <v>22</v>
      </c>
      <c r="R65" s="24" t="s">
        <v>22</v>
      </c>
      <c r="T65" s="8"/>
      <c r="U65" s="8"/>
      <c r="V65" s="8"/>
      <c r="W65" s="8"/>
      <c r="X65" s="8"/>
      <c r="Y65" s="8"/>
      <c r="Z65" s="8"/>
      <c r="AB65" s="25" t="s">
        <v>22</v>
      </c>
      <c r="AC65" s="25" t="s">
        <v>22</v>
      </c>
      <c r="AD65" s="25" t="s">
        <v>22</v>
      </c>
      <c r="AE65" s="25" t="s">
        <v>22</v>
      </c>
      <c r="AF65" s="25" t="s">
        <v>22</v>
      </c>
      <c r="AG65" s="25" t="s">
        <v>22</v>
      </c>
      <c r="AH65" s="7" t="s">
        <v>22</v>
      </c>
      <c r="AJ65" s="53" t="s">
        <v>20</v>
      </c>
      <c r="AK65" s="69">
        <v>40</v>
      </c>
      <c r="AL65" s="70">
        <v>1</v>
      </c>
      <c r="AM65" s="70">
        <v>10</v>
      </c>
      <c r="AN65" s="70">
        <v>1</v>
      </c>
      <c r="AO65" s="55">
        <v>40</v>
      </c>
      <c r="AP65" s="55">
        <v>1</v>
      </c>
      <c r="AQ65" s="56">
        <v>0</v>
      </c>
      <c r="AR65" s="57">
        <v>2</v>
      </c>
    </row>
    <row r="66" spans="1:44" ht="16.5" customHeight="1" x14ac:dyDescent="0.3">
      <c r="A66" s="118">
        <v>2</v>
      </c>
      <c r="B66" s="108">
        <v>0</v>
      </c>
      <c r="K66" s="22">
        <v>62</v>
      </c>
      <c r="L66" s="24" t="s">
        <v>22</v>
      </c>
      <c r="M66" s="24" t="s">
        <v>22</v>
      </c>
      <c r="N66" s="24" t="s">
        <v>22</v>
      </c>
      <c r="O66" s="24" t="s">
        <v>22</v>
      </c>
      <c r="P66" s="24" t="s">
        <v>22</v>
      </c>
      <c r="Q66" s="24" t="s">
        <v>22</v>
      </c>
      <c r="R66" s="24" t="s">
        <v>22</v>
      </c>
      <c r="T66" s="8"/>
      <c r="U66" s="8"/>
      <c r="V66" s="8"/>
      <c r="W66" s="8"/>
      <c r="X66" s="8"/>
      <c r="Y66" s="8"/>
      <c r="Z66" s="8"/>
      <c r="AB66" s="25" t="s">
        <v>22</v>
      </c>
      <c r="AC66" s="25" t="s">
        <v>22</v>
      </c>
      <c r="AD66" s="25" t="s">
        <v>22</v>
      </c>
      <c r="AE66" s="25" t="s">
        <v>22</v>
      </c>
      <c r="AF66" s="25" t="s">
        <v>22</v>
      </c>
      <c r="AG66" s="25" t="s">
        <v>22</v>
      </c>
      <c r="AH66" s="7" t="s">
        <v>22</v>
      </c>
      <c r="AJ66" s="53" t="s">
        <v>21</v>
      </c>
      <c r="AK66" s="69">
        <v>1</v>
      </c>
      <c r="AL66" s="70">
        <v>40</v>
      </c>
      <c r="AM66" s="70">
        <v>1</v>
      </c>
      <c r="AN66" s="70">
        <v>40</v>
      </c>
      <c r="AO66" s="55">
        <v>1</v>
      </c>
      <c r="AP66" s="55">
        <v>1</v>
      </c>
      <c r="AQ66" s="56">
        <v>1</v>
      </c>
      <c r="AR66" s="57">
        <v>3</v>
      </c>
    </row>
    <row r="67" spans="1:44" ht="16.5" customHeight="1" x14ac:dyDescent="0.3">
      <c r="A67" s="118">
        <v>3</v>
      </c>
      <c r="B67" s="108">
        <v>0</v>
      </c>
      <c r="K67" s="21">
        <v>63</v>
      </c>
      <c r="L67" s="24" t="s">
        <v>22</v>
      </c>
      <c r="M67" s="24" t="s">
        <v>22</v>
      </c>
      <c r="N67" s="24" t="s">
        <v>22</v>
      </c>
      <c r="O67" s="24" t="s">
        <v>22</v>
      </c>
      <c r="P67" s="24" t="s">
        <v>22</v>
      </c>
      <c r="Q67" s="24" t="s">
        <v>22</v>
      </c>
      <c r="R67" s="24" t="s">
        <v>22</v>
      </c>
      <c r="T67" s="8"/>
      <c r="U67" s="8"/>
      <c r="V67" s="8"/>
      <c r="W67" s="8"/>
      <c r="X67" s="8"/>
      <c r="Y67" s="8"/>
      <c r="Z67" s="8"/>
      <c r="AB67" s="25" t="s">
        <v>22</v>
      </c>
      <c r="AC67" s="25" t="s">
        <v>22</v>
      </c>
      <c r="AD67" s="25" t="s">
        <v>22</v>
      </c>
      <c r="AE67" s="25" t="s">
        <v>22</v>
      </c>
      <c r="AF67" s="25" t="s">
        <v>22</v>
      </c>
      <c r="AG67" s="25" t="s">
        <v>22</v>
      </c>
      <c r="AH67" s="7" t="s">
        <v>22</v>
      </c>
      <c r="AJ67" s="53" t="s">
        <v>17</v>
      </c>
      <c r="AK67" s="69">
        <v>40</v>
      </c>
      <c r="AL67" s="70">
        <v>40</v>
      </c>
      <c r="AM67" s="70">
        <v>40</v>
      </c>
      <c r="AN67" s="70">
        <v>1</v>
      </c>
      <c r="AO67" s="55">
        <v>1</v>
      </c>
      <c r="AP67" s="55">
        <v>40</v>
      </c>
      <c r="AQ67" s="56">
        <v>1</v>
      </c>
      <c r="AR67" s="57">
        <v>4</v>
      </c>
    </row>
    <row r="68" spans="1:44" ht="16.5" customHeight="1" x14ac:dyDescent="0.3">
      <c r="A68" s="118">
        <v>4</v>
      </c>
      <c r="B68" s="108">
        <v>1</v>
      </c>
      <c r="K68" s="22">
        <v>64</v>
      </c>
      <c r="L68" s="24" t="s">
        <v>22</v>
      </c>
      <c r="M68" s="24" t="s">
        <v>22</v>
      </c>
      <c r="N68" s="24" t="s">
        <v>22</v>
      </c>
      <c r="O68" s="24" t="s">
        <v>22</v>
      </c>
      <c r="P68" s="24" t="s">
        <v>22</v>
      </c>
      <c r="Q68" s="24" t="s">
        <v>22</v>
      </c>
      <c r="R68" s="24" t="s">
        <v>22</v>
      </c>
      <c r="T68" s="8"/>
      <c r="U68" s="8"/>
      <c r="V68" s="8"/>
      <c r="W68" s="8"/>
      <c r="X68" s="8"/>
      <c r="Y68" s="8"/>
      <c r="Z68" s="8"/>
      <c r="AB68" s="25" t="s">
        <v>22</v>
      </c>
      <c r="AC68" s="25" t="s">
        <v>22</v>
      </c>
      <c r="AD68" s="25" t="s">
        <v>22</v>
      </c>
      <c r="AE68" s="25" t="s">
        <v>22</v>
      </c>
      <c r="AF68" s="25" t="s">
        <v>22</v>
      </c>
      <c r="AG68" s="25" t="s">
        <v>22</v>
      </c>
      <c r="AH68" s="7" t="s">
        <v>22</v>
      </c>
      <c r="AJ68" s="53" t="s">
        <v>18</v>
      </c>
      <c r="AK68" s="69">
        <v>1</v>
      </c>
      <c r="AL68" s="70">
        <v>40</v>
      </c>
      <c r="AM68" s="70">
        <v>1</v>
      </c>
      <c r="AN68" s="70">
        <v>1</v>
      </c>
      <c r="AO68" s="55">
        <v>1</v>
      </c>
      <c r="AP68" s="55">
        <v>40</v>
      </c>
      <c r="AQ68" s="56">
        <v>1</v>
      </c>
      <c r="AR68" s="57">
        <v>5</v>
      </c>
    </row>
    <row r="69" spans="1:44" ht="16.5" customHeight="1" x14ac:dyDescent="0.3">
      <c r="A69" s="119">
        <v>5</v>
      </c>
      <c r="B69" s="121">
        <v>0</v>
      </c>
      <c r="K69" s="21">
        <v>65</v>
      </c>
      <c r="L69" s="24" t="s">
        <v>22</v>
      </c>
      <c r="M69" s="24" t="s">
        <v>22</v>
      </c>
      <c r="N69" s="24" t="s">
        <v>22</v>
      </c>
      <c r="O69" s="24" t="s">
        <v>22</v>
      </c>
      <c r="P69" s="24" t="s">
        <v>22</v>
      </c>
      <c r="Q69" s="24" t="s">
        <v>22</v>
      </c>
      <c r="R69" s="24" t="s">
        <v>22</v>
      </c>
      <c r="T69" s="8"/>
      <c r="U69" s="8"/>
      <c r="V69" s="8"/>
      <c r="W69" s="8"/>
      <c r="X69" s="8"/>
      <c r="Y69" s="8"/>
      <c r="Z69" s="8"/>
      <c r="AB69" s="25" t="s">
        <v>22</v>
      </c>
      <c r="AC69" s="25" t="s">
        <v>22</v>
      </c>
      <c r="AD69" s="25" t="s">
        <v>22</v>
      </c>
      <c r="AE69" s="25" t="s">
        <v>22</v>
      </c>
      <c r="AF69" s="25" t="s">
        <v>22</v>
      </c>
      <c r="AG69" s="25" t="s">
        <v>22</v>
      </c>
      <c r="AH69" s="7" t="s">
        <v>22</v>
      </c>
      <c r="AJ69" s="53" t="s">
        <v>74</v>
      </c>
      <c r="AK69" s="69">
        <v>1</v>
      </c>
      <c r="AL69" s="70">
        <v>1</v>
      </c>
      <c r="AM69" s="70">
        <v>40</v>
      </c>
      <c r="AN69" s="70">
        <v>1</v>
      </c>
      <c r="AO69" s="55">
        <v>40</v>
      </c>
      <c r="AP69" s="55">
        <v>1</v>
      </c>
      <c r="AQ69" s="56">
        <v>1</v>
      </c>
      <c r="AR69" s="57">
        <v>6</v>
      </c>
    </row>
    <row r="70" spans="1:44" ht="16.5" customHeight="1" x14ac:dyDescent="0.3">
      <c r="A70" s="119">
        <v>6</v>
      </c>
      <c r="B70" s="121">
        <v>0</v>
      </c>
      <c r="K70" s="22">
        <v>66</v>
      </c>
      <c r="L70" s="24" t="s">
        <v>22</v>
      </c>
      <c r="M70" s="24" t="s">
        <v>22</v>
      </c>
      <c r="N70" s="24" t="s">
        <v>22</v>
      </c>
      <c r="O70" s="24" t="s">
        <v>22</v>
      </c>
      <c r="P70" s="24" t="s">
        <v>22</v>
      </c>
      <c r="Q70" s="24" t="s">
        <v>22</v>
      </c>
      <c r="R70" s="24" t="s">
        <v>22</v>
      </c>
      <c r="T70" s="8"/>
      <c r="U70" s="8"/>
      <c r="V70" s="8"/>
      <c r="W70" s="8"/>
      <c r="X70" s="8"/>
      <c r="Y70" s="8"/>
      <c r="Z70" s="8"/>
      <c r="AB70" s="25" t="s">
        <v>22</v>
      </c>
      <c r="AC70" s="25" t="s">
        <v>22</v>
      </c>
      <c r="AD70" s="25" t="s">
        <v>22</v>
      </c>
      <c r="AE70" s="25" t="s">
        <v>22</v>
      </c>
      <c r="AF70" s="25" t="s">
        <v>22</v>
      </c>
      <c r="AG70" s="25" t="s">
        <v>22</v>
      </c>
      <c r="AH70" s="7" t="s">
        <v>22</v>
      </c>
      <c r="AJ70" s="53" t="s">
        <v>151</v>
      </c>
      <c r="AK70" s="69">
        <v>1</v>
      </c>
      <c r="AL70" s="70">
        <v>40</v>
      </c>
      <c r="AM70" s="70">
        <v>1</v>
      </c>
      <c r="AN70" s="70">
        <v>40</v>
      </c>
      <c r="AO70" s="55">
        <v>1</v>
      </c>
      <c r="AP70" s="55">
        <v>1</v>
      </c>
      <c r="AQ70" s="56">
        <v>1</v>
      </c>
      <c r="AR70" s="57">
        <v>7</v>
      </c>
    </row>
    <row r="71" spans="1:44" ht="16.5" customHeight="1" thickBot="1" x14ac:dyDescent="0.35">
      <c r="A71" s="120">
        <v>7</v>
      </c>
      <c r="B71" s="122">
        <v>0</v>
      </c>
      <c r="K71" s="21">
        <v>67</v>
      </c>
      <c r="L71" s="24" t="s">
        <v>22</v>
      </c>
      <c r="M71" s="24" t="s">
        <v>22</v>
      </c>
      <c r="N71" s="24" t="s">
        <v>22</v>
      </c>
      <c r="O71" s="24" t="s">
        <v>22</v>
      </c>
      <c r="P71" s="24" t="s">
        <v>22</v>
      </c>
      <c r="Q71" s="24" t="s">
        <v>22</v>
      </c>
      <c r="R71" s="24" t="s">
        <v>22</v>
      </c>
      <c r="T71" s="8"/>
      <c r="U71" s="8"/>
      <c r="V71" s="8"/>
      <c r="W71" s="8"/>
      <c r="X71" s="8"/>
      <c r="Y71" s="8"/>
      <c r="Z71" s="8"/>
      <c r="AB71" s="25" t="s">
        <v>22</v>
      </c>
      <c r="AC71" s="25" t="s">
        <v>22</v>
      </c>
      <c r="AD71" s="25" t="s">
        <v>22</v>
      </c>
      <c r="AE71" s="25" t="s">
        <v>22</v>
      </c>
      <c r="AF71" s="25" t="s">
        <v>22</v>
      </c>
      <c r="AG71" s="25" t="s">
        <v>22</v>
      </c>
      <c r="AH71" s="7" t="s">
        <v>22</v>
      </c>
      <c r="AJ71" s="53" t="s">
        <v>24</v>
      </c>
      <c r="AK71" s="69">
        <v>1</v>
      </c>
      <c r="AL71" s="70">
        <v>1</v>
      </c>
      <c r="AM71" s="70">
        <v>1</v>
      </c>
      <c r="AN71" s="70">
        <v>1</v>
      </c>
      <c r="AO71" s="55">
        <v>35</v>
      </c>
      <c r="AP71" s="55">
        <v>1</v>
      </c>
      <c r="AQ71" s="56">
        <v>1</v>
      </c>
      <c r="AR71" s="57">
        <v>8</v>
      </c>
    </row>
    <row r="72" spans="1:44" ht="16.5" customHeight="1" x14ac:dyDescent="0.3">
      <c r="K72" s="22">
        <v>68</v>
      </c>
      <c r="L72" s="24" t="s">
        <v>22</v>
      </c>
      <c r="M72" s="24" t="s">
        <v>22</v>
      </c>
      <c r="N72" s="24" t="s">
        <v>22</v>
      </c>
      <c r="O72" s="24" t="s">
        <v>22</v>
      </c>
      <c r="P72" s="24" t="s">
        <v>22</v>
      </c>
      <c r="Q72" s="24" t="s">
        <v>22</v>
      </c>
      <c r="R72" s="24" t="s">
        <v>22</v>
      </c>
      <c r="T72" s="8"/>
      <c r="U72" s="8"/>
      <c r="V72" s="8"/>
      <c r="W72" s="8"/>
      <c r="X72" s="8"/>
      <c r="Y72" s="8"/>
      <c r="Z72" s="8"/>
      <c r="AB72" s="25" t="s">
        <v>22</v>
      </c>
      <c r="AC72" s="25" t="s">
        <v>22</v>
      </c>
      <c r="AD72" s="25" t="s">
        <v>22</v>
      </c>
      <c r="AE72" s="25" t="s">
        <v>22</v>
      </c>
      <c r="AF72" s="25" t="s">
        <v>22</v>
      </c>
      <c r="AG72" s="25" t="s">
        <v>22</v>
      </c>
      <c r="AH72" s="7" t="s">
        <v>22</v>
      </c>
      <c r="AJ72" s="53" t="s">
        <v>26</v>
      </c>
      <c r="AK72" s="69">
        <v>1</v>
      </c>
      <c r="AL72" s="70">
        <v>40</v>
      </c>
      <c r="AM72" s="70">
        <v>1</v>
      </c>
      <c r="AN72" s="70">
        <v>40</v>
      </c>
      <c r="AO72" s="55">
        <v>1</v>
      </c>
      <c r="AP72" s="55">
        <v>40</v>
      </c>
      <c r="AQ72" s="56">
        <v>1</v>
      </c>
      <c r="AR72" s="57">
        <v>9</v>
      </c>
    </row>
    <row r="73" spans="1:44" ht="16.5" customHeight="1" x14ac:dyDescent="0.3">
      <c r="K73" s="21">
        <v>69</v>
      </c>
      <c r="L73" s="24" t="s">
        <v>22</v>
      </c>
      <c r="M73" s="24" t="s">
        <v>22</v>
      </c>
      <c r="N73" s="24" t="s">
        <v>22</v>
      </c>
      <c r="O73" s="24" t="s">
        <v>22</v>
      </c>
      <c r="P73" s="24" t="s">
        <v>22</v>
      </c>
      <c r="Q73" s="24" t="s">
        <v>22</v>
      </c>
      <c r="R73" s="24" t="s">
        <v>22</v>
      </c>
      <c r="T73" s="8"/>
      <c r="U73" s="8"/>
      <c r="V73" s="8"/>
      <c r="W73" s="8"/>
      <c r="X73" s="8"/>
      <c r="Y73" s="8"/>
      <c r="Z73" s="8"/>
      <c r="AB73" s="25" t="s">
        <v>22</v>
      </c>
      <c r="AC73" s="25" t="s">
        <v>22</v>
      </c>
      <c r="AD73" s="25" t="s">
        <v>22</v>
      </c>
      <c r="AE73" s="25" t="s">
        <v>22</v>
      </c>
      <c r="AF73" s="25" t="s">
        <v>22</v>
      </c>
      <c r="AG73" s="25" t="s">
        <v>22</v>
      </c>
      <c r="AH73" s="7" t="s">
        <v>22</v>
      </c>
      <c r="AJ73" s="53" t="s">
        <v>27</v>
      </c>
      <c r="AK73" s="69">
        <v>60</v>
      </c>
      <c r="AL73" s="70">
        <v>40</v>
      </c>
      <c r="AM73" s="70">
        <v>35</v>
      </c>
      <c r="AN73" s="70">
        <v>1</v>
      </c>
      <c r="AO73" s="55">
        <v>1</v>
      </c>
      <c r="AP73" s="55">
        <v>1</v>
      </c>
      <c r="AQ73" s="56">
        <v>1</v>
      </c>
      <c r="AR73" s="57">
        <v>10</v>
      </c>
    </row>
    <row r="74" spans="1:44" ht="16.5" customHeight="1" x14ac:dyDescent="0.3">
      <c r="K74" s="22">
        <v>70</v>
      </c>
      <c r="L74" s="24" t="s">
        <v>22</v>
      </c>
      <c r="M74" s="24" t="s">
        <v>22</v>
      </c>
      <c r="N74" s="24" t="s">
        <v>22</v>
      </c>
      <c r="O74" s="24" t="s">
        <v>22</v>
      </c>
      <c r="P74" s="24" t="s">
        <v>22</v>
      </c>
      <c r="Q74" s="24" t="s">
        <v>22</v>
      </c>
      <c r="R74" s="24" t="s">
        <v>22</v>
      </c>
      <c r="T74" s="8"/>
      <c r="U74" s="8"/>
      <c r="V74" s="8"/>
      <c r="W74" s="8"/>
      <c r="X74" s="8"/>
      <c r="Y74" s="8"/>
      <c r="Z74" s="8"/>
      <c r="AB74" s="25" t="s">
        <v>22</v>
      </c>
      <c r="AC74" s="25" t="s">
        <v>22</v>
      </c>
      <c r="AD74" s="25" t="s">
        <v>22</v>
      </c>
      <c r="AE74" s="25" t="s">
        <v>22</v>
      </c>
      <c r="AF74" s="25" t="s">
        <v>22</v>
      </c>
      <c r="AG74" s="25" t="s">
        <v>22</v>
      </c>
      <c r="AH74" s="7" t="s">
        <v>22</v>
      </c>
      <c r="AJ74" s="53" t="s">
        <v>28</v>
      </c>
      <c r="AK74" s="69">
        <v>1</v>
      </c>
      <c r="AL74" s="70">
        <v>40</v>
      </c>
      <c r="AM74" s="70">
        <v>1</v>
      </c>
      <c r="AN74" s="70">
        <v>1</v>
      </c>
      <c r="AO74" s="55">
        <v>1</v>
      </c>
      <c r="AP74" s="55">
        <v>1</v>
      </c>
      <c r="AQ74" s="56">
        <v>1</v>
      </c>
      <c r="AR74" s="57">
        <v>11</v>
      </c>
    </row>
    <row r="75" spans="1:44" ht="16.5" customHeight="1" x14ac:dyDescent="0.3">
      <c r="K75" s="21">
        <v>71</v>
      </c>
      <c r="L75" s="24" t="s">
        <v>22</v>
      </c>
      <c r="M75" s="24" t="s">
        <v>22</v>
      </c>
      <c r="N75" s="24" t="s">
        <v>22</v>
      </c>
      <c r="O75" s="24" t="s">
        <v>22</v>
      </c>
      <c r="P75" s="24" t="s">
        <v>22</v>
      </c>
      <c r="Q75" s="24" t="s">
        <v>22</v>
      </c>
      <c r="R75" s="24" t="s">
        <v>22</v>
      </c>
      <c r="T75" s="8"/>
      <c r="U75" s="8"/>
      <c r="V75" s="8"/>
      <c r="W75" s="8"/>
      <c r="X75" s="8"/>
      <c r="Y75" s="8"/>
      <c r="Z75" s="8"/>
      <c r="AB75" s="25" t="s">
        <v>22</v>
      </c>
      <c r="AC75" s="25" t="s">
        <v>22</v>
      </c>
      <c r="AD75" s="25" t="s">
        <v>22</v>
      </c>
      <c r="AE75" s="25" t="s">
        <v>22</v>
      </c>
      <c r="AF75" s="25" t="s">
        <v>22</v>
      </c>
      <c r="AG75" s="25" t="s">
        <v>22</v>
      </c>
      <c r="AH75" s="7" t="s">
        <v>22</v>
      </c>
      <c r="AJ75" s="53" t="s">
        <v>29</v>
      </c>
      <c r="AK75" s="69">
        <v>40</v>
      </c>
      <c r="AL75" s="70">
        <v>1</v>
      </c>
      <c r="AM75" s="70">
        <v>1</v>
      </c>
      <c r="AN75" s="70">
        <v>1</v>
      </c>
      <c r="AO75" s="55">
        <v>1</v>
      </c>
      <c r="AP75" s="55">
        <v>1</v>
      </c>
      <c r="AQ75" s="56">
        <v>1</v>
      </c>
      <c r="AR75" s="57">
        <v>12</v>
      </c>
    </row>
    <row r="76" spans="1:44" ht="16.5" customHeight="1" x14ac:dyDescent="0.3">
      <c r="K76" s="22">
        <v>72</v>
      </c>
      <c r="L76" s="24" t="s">
        <v>22</v>
      </c>
      <c r="M76" s="24" t="s">
        <v>22</v>
      </c>
      <c r="N76" s="24" t="s">
        <v>22</v>
      </c>
      <c r="O76" s="24" t="s">
        <v>22</v>
      </c>
      <c r="P76" s="24" t="s">
        <v>22</v>
      </c>
      <c r="Q76" s="24" t="s">
        <v>22</v>
      </c>
      <c r="R76" s="24" t="s">
        <v>22</v>
      </c>
      <c r="T76" s="8"/>
      <c r="U76" s="8"/>
      <c r="V76" s="8"/>
      <c r="W76" s="8"/>
      <c r="X76" s="8"/>
      <c r="Y76" s="8"/>
      <c r="Z76" s="8"/>
      <c r="AB76" s="25" t="s">
        <v>22</v>
      </c>
      <c r="AC76" s="25" t="s">
        <v>22</v>
      </c>
      <c r="AD76" s="25" t="s">
        <v>22</v>
      </c>
      <c r="AE76" s="25" t="s">
        <v>22</v>
      </c>
      <c r="AF76" s="25" t="s">
        <v>22</v>
      </c>
      <c r="AG76" s="25" t="s">
        <v>22</v>
      </c>
      <c r="AH76" s="7" t="s">
        <v>22</v>
      </c>
      <c r="AJ76" s="53" t="s">
        <v>79</v>
      </c>
      <c r="AK76" s="69">
        <v>0</v>
      </c>
      <c r="AL76" s="70">
        <v>2</v>
      </c>
      <c r="AM76" s="70">
        <v>2</v>
      </c>
      <c r="AN76" s="70">
        <v>1</v>
      </c>
      <c r="AO76" s="55">
        <v>2</v>
      </c>
      <c r="AP76" s="55">
        <v>0</v>
      </c>
      <c r="AQ76" s="56">
        <v>0</v>
      </c>
      <c r="AR76" s="57">
        <v>13</v>
      </c>
    </row>
    <row r="77" spans="1:44" ht="16.5" customHeight="1" x14ac:dyDescent="0.3">
      <c r="K77" s="21">
        <v>73</v>
      </c>
      <c r="L77" s="24" t="s">
        <v>22</v>
      </c>
      <c r="M77" s="24" t="s">
        <v>22</v>
      </c>
      <c r="N77" s="24" t="s">
        <v>22</v>
      </c>
      <c r="O77" s="24" t="s">
        <v>22</v>
      </c>
      <c r="P77" s="24" t="s">
        <v>22</v>
      </c>
      <c r="Q77" s="24" t="s">
        <v>22</v>
      </c>
      <c r="R77" s="24" t="s">
        <v>22</v>
      </c>
      <c r="T77" s="8"/>
      <c r="U77" s="8"/>
      <c r="V77" s="8"/>
      <c r="W77" s="8"/>
      <c r="X77" s="8"/>
      <c r="Y77" s="8"/>
      <c r="Z77" s="8"/>
      <c r="AB77" s="25" t="s">
        <v>22</v>
      </c>
      <c r="AC77" s="25" t="s">
        <v>22</v>
      </c>
      <c r="AD77" s="25" t="s">
        <v>22</v>
      </c>
      <c r="AE77" s="25" t="s">
        <v>22</v>
      </c>
      <c r="AF77" s="25" t="s">
        <v>22</v>
      </c>
      <c r="AG77" s="25" t="s">
        <v>22</v>
      </c>
      <c r="AH77" s="7" t="s">
        <v>22</v>
      </c>
      <c r="AJ77" s="53" t="s">
        <v>80</v>
      </c>
      <c r="AK77" s="69">
        <v>0</v>
      </c>
      <c r="AL77" s="70">
        <v>1</v>
      </c>
      <c r="AM77" s="70">
        <v>1</v>
      </c>
      <c r="AN77" s="70">
        <v>2</v>
      </c>
      <c r="AO77" s="55">
        <v>1</v>
      </c>
      <c r="AP77" s="55">
        <v>0</v>
      </c>
      <c r="AQ77" s="56">
        <v>0</v>
      </c>
      <c r="AR77" s="57">
        <v>14</v>
      </c>
    </row>
    <row r="78" spans="1:44" ht="16.5" customHeight="1" x14ac:dyDescent="0.3">
      <c r="K78" s="22">
        <v>74</v>
      </c>
      <c r="L78" s="24" t="s">
        <v>22</v>
      </c>
      <c r="M78" s="24" t="s">
        <v>22</v>
      </c>
      <c r="N78" s="24" t="s">
        <v>22</v>
      </c>
      <c r="O78" s="24" t="s">
        <v>22</v>
      </c>
      <c r="P78" s="24" t="s">
        <v>22</v>
      </c>
      <c r="Q78" s="24" t="s">
        <v>22</v>
      </c>
      <c r="R78" s="24" t="s">
        <v>22</v>
      </c>
      <c r="T78" s="8"/>
      <c r="U78" s="8"/>
      <c r="V78" s="8"/>
      <c r="W78" s="8"/>
      <c r="X78" s="8"/>
      <c r="Y78" s="8"/>
      <c r="Z78" s="8"/>
      <c r="AB78" s="25" t="s">
        <v>22</v>
      </c>
      <c r="AC78" s="25" t="s">
        <v>22</v>
      </c>
      <c r="AD78" s="25" t="s">
        <v>22</v>
      </c>
      <c r="AE78" s="25" t="s">
        <v>22</v>
      </c>
      <c r="AF78" s="25" t="s">
        <v>22</v>
      </c>
      <c r="AG78" s="25" t="s">
        <v>22</v>
      </c>
      <c r="AH78" s="7" t="s">
        <v>22</v>
      </c>
      <c r="AJ78" s="53" t="s">
        <v>81</v>
      </c>
      <c r="AK78" s="69">
        <v>0</v>
      </c>
      <c r="AL78" s="70">
        <v>2</v>
      </c>
      <c r="AM78" s="70">
        <v>2</v>
      </c>
      <c r="AN78" s="70">
        <v>1</v>
      </c>
      <c r="AO78" s="55">
        <v>1</v>
      </c>
      <c r="AP78" s="55">
        <v>0</v>
      </c>
      <c r="AQ78" s="56">
        <v>0</v>
      </c>
      <c r="AR78" s="57">
        <v>15</v>
      </c>
    </row>
    <row r="79" spans="1:44" ht="16.5" customHeight="1" x14ac:dyDescent="0.3">
      <c r="K79" s="21">
        <v>75</v>
      </c>
      <c r="L79" s="24" t="s">
        <v>22</v>
      </c>
      <c r="M79" s="24" t="s">
        <v>22</v>
      </c>
      <c r="N79" s="24" t="s">
        <v>22</v>
      </c>
      <c r="O79" s="24" t="s">
        <v>22</v>
      </c>
      <c r="P79" s="24" t="s">
        <v>22</v>
      </c>
      <c r="Q79" s="24" t="s">
        <v>22</v>
      </c>
      <c r="R79" s="24" t="s">
        <v>22</v>
      </c>
      <c r="T79" s="8"/>
      <c r="U79" s="8"/>
      <c r="V79" s="8"/>
      <c r="W79" s="8"/>
      <c r="X79" s="8"/>
      <c r="Y79" s="8"/>
      <c r="Z79" s="8"/>
      <c r="AB79" s="25" t="s">
        <v>22</v>
      </c>
      <c r="AC79" s="25" t="s">
        <v>22</v>
      </c>
      <c r="AD79" s="25" t="s">
        <v>22</v>
      </c>
      <c r="AE79" s="25" t="s">
        <v>22</v>
      </c>
      <c r="AF79" s="25" t="s">
        <v>22</v>
      </c>
      <c r="AG79" s="25" t="s">
        <v>22</v>
      </c>
      <c r="AH79" s="7" t="s">
        <v>22</v>
      </c>
      <c r="AJ79" s="53" t="s">
        <v>82</v>
      </c>
      <c r="AK79" s="54">
        <v>0</v>
      </c>
      <c r="AL79" s="55">
        <v>1</v>
      </c>
      <c r="AM79" s="55">
        <v>1</v>
      </c>
      <c r="AN79" s="55">
        <v>1</v>
      </c>
      <c r="AO79" s="55">
        <v>1</v>
      </c>
      <c r="AP79" s="55">
        <v>0</v>
      </c>
      <c r="AQ79" s="56">
        <v>0</v>
      </c>
      <c r="AR79" s="57">
        <v>16</v>
      </c>
    </row>
    <row r="80" spans="1:44" ht="16.2" x14ac:dyDescent="0.3">
      <c r="K80" s="22">
        <v>76</v>
      </c>
      <c r="L80" s="24" t="s">
        <v>22</v>
      </c>
      <c r="M80" s="24" t="s">
        <v>22</v>
      </c>
      <c r="N80" s="24" t="s">
        <v>22</v>
      </c>
      <c r="O80" s="24" t="s">
        <v>22</v>
      </c>
      <c r="P80" s="24" t="s">
        <v>22</v>
      </c>
      <c r="Q80" s="24" t="s">
        <v>22</v>
      </c>
      <c r="R80" s="24" t="s">
        <v>22</v>
      </c>
      <c r="T80" s="8"/>
      <c r="U80" s="8"/>
      <c r="V80" s="8"/>
      <c r="W80" s="8"/>
      <c r="X80" s="8"/>
      <c r="Y80" s="8"/>
      <c r="Z80" s="8"/>
      <c r="AB80" s="25" t="s">
        <v>22</v>
      </c>
      <c r="AC80" s="25" t="s">
        <v>22</v>
      </c>
      <c r="AD80" s="25" t="s">
        <v>22</v>
      </c>
      <c r="AE80" s="25" t="s">
        <v>22</v>
      </c>
      <c r="AF80" s="25" t="s">
        <v>22</v>
      </c>
      <c r="AG80" s="25" t="s">
        <v>22</v>
      </c>
      <c r="AH80" s="7" t="s">
        <v>22</v>
      </c>
      <c r="AJ80" s="53" t="s">
        <v>83</v>
      </c>
      <c r="AK80" s="54">
        <v>0</v>
      </c>
      <c r="AL80" s="55">
        <v>2</v>
      </c>
      <c r="AM80" s="55">
        <v>2</v>
      </c>
      <c r="AN80" s="55">
        <v>1</v>
      </c>
      <c r="AO80" s="55">
        <v>2</v>
      </c>
      <c r="AP80" s="55">
        <v>0</v>
      </c>
      <c r="AQ80" s="56">
        <v>0</v>
      </c>
      <c r="AR80" s="57">
        <v>17</v>
      </c>
    </row>
    <row r="81" spans="11:44" ht="16.2" x14ac:dyDescent="0.3">
      <c r="K81" s="21">
        <v>77</v>
      </c>
      <c r="L81" s="24" t="s">
        <v>22</v>
      </c>
      <c r="M81" s="24" t="s">
        <v>22</v>
      </c>
      <c r="N81" s="24" t="s">
        <v>22</v>
      </c>
      <c r="O81" s="24" t="s">
        <v>22</v>
      </c>
      <c r="P81" s="24" t="s">
        <v>22</v>
      </c>
      <c r="Q81" s="24" t="s">
        <v>22</v>
      </c>
      <c r="R81" s="24" t="s">
        <v>22</v>
      </c>
      <c r="T81" s="8"/>
      <c r="U81" s="8"/>
      <c r="V81" s="8"/>
      <c r="W81" s="8"/>
      <c r="X81" s="8"/>
      <c r="Y81" s="8"/>
      <c r="Z81" s="8"/>
      <c r="AB81" s="25" t="s">
        <v>22</v>
      </c>
      <c r="AC81" s="25" t="s">
        <v>22</v>
      </c>
      <c r="AD81" s="25" t="s">
        <v>22</v>
      </c>
      <c r="AE81" s="25" t="s">
        <v>22</v>
      </c>
      <c r="AF81" s="25" t="s">
        <v>22</v>
      </c>
      <c r="AG81" s="25" t="s">
        <v>22</v>
      </c>
      <c r="AH81" s="7" t="s">
        <v>22</v>
      </c>
      <c r="AJ81" s="53" t="s">
        <v>162</v>
      </c>
      <c r="AK81" s="54">
        <v>0</v>
      </c>
      <c r="AL81" s="55">
        <v>2</v>
      </c>
      <c r="AM81" s="55">
        <v>2</v>
      </c>
      <c r="AN81" s="55">
        <v>1</v>
      </c>
      <c r="AO81" s="55">
        <v>2</v>
      </c>
      <c r="AP81" s="55">
        <v>0</v>
      </c>
      <c r="AQ81" s="56">
        <v>0</v>
      </c>
      <c r="AR81" s="57">
        <v>18</v>
      </c>
    </row>
    <row r="82" spans="11:44" ht="16.2" x14ac:dyDescent="0.3">
      <c r="K82" s="22">
        <v>78</v>
      </c>
      <c r="L82" s="24" t="s">
        <v>22</v>
      </c>
      <c r="M82" s="24" t="s">
        <v>22</v>
      </c>
      <c r="N82" s="24" t="s">
        <v>22</v>
      </c>
      <c r="O82" s="24" t="s">
        <v>22</v>
      </c>
      <c r="P82" s="24" t="s">
        <v>22</v>
      </c>
      <c r="Q82" s="24" t="s">
        <v>22</v>
      </c>
      <c r="R82" s="24" t="s">
        <v>22</v>
      </c>
      <c r="T82" s="8"/>
      <c r="U82" s="8"/>
      <c r="V82" s="8"/>
      <c r="W82" s="8"/>
      <c r="X82" s="8"/>
      <c r="Y82" s="8"/>
      <c r="Z82" s="8"/>
      <c r="AB82" s="25" t="s">
        <v>22</v>
      </c>
      <c r="AC82" s="25" t="s">
        <v>22</v>
      </c>
      <c r="AD82" s="25" t="s">
        <v>22</v>
      </c>
      <c r="AE82" s="25" t="s">
        <v>22</v>
      </c>
      <c r="AF82" s="25" t="s">
        <v>22</v>
      </c>
      <c r="AG82" s="25" t="s">
        <v>22</v>
      </c>
      <c r="AH82" s="7" t="s">
        <v>22</v>
      </c>
      <c r="AJ82" s="53" t="s">
        <v>84</v>
      </c>
      <c r="AK82" s="54">
        <v>0</v>
      </c>
      <c r="AL82" s="55">
        <v>2</v>
      </c>
      <c r="AM82" s="55">
        <v>1</v>
      </c>
      <c r="AN82" s="55">
        <v>1</v>
      </c>
      <c r="AO82" s="55">
        <v>7</v>
      </c>
      <c r="AP82" s="55">
        <v>0</v>
      </c>
      <c r="AQ82" s="56">
        <v>0</v>
      </c>
      <c r="AR82" s="57">
        <v>19</v>
      </c>
    </row>
    <row r="83" spans="11:44" ht="16.2" x14ac:dyDescent="0.3">
      <c r="K83" s="21">
        <v>79</v>
      </c>
      <c r="L83" s="24" t="s">
        <v>22</v>
      </c>
      <c r="M83" s="24" t="s">
        <v>22</v>
      </c>
      <c r="N83" s="24" t="s">
        <v>22</v>
      </c>
      <c r="O83" s="24" t="s">
        <v>22</v>
      </c>
      <c r="P83" s="24" t="s">
        <v>22</v>
      </c>
      <c r="Q83" s="24" t="s">
        <v>22</v>
      </c>
      <c r="R83" s="24" t="s">
        <v>22</v>
      </c>
      <c r="T83" s="8"/>
      <c r="U83" s="8"/>
      <c r="V83" s="8"/>
      <c r="W83" s="8"/>
      <c r="X83" s="8"/>
      <c r="Y83" s="8"/>
      <c r="Z83" s="8"/>
      <c r="AB83" s="25" t="s">
        <v>22</v>
      </c>
      <c r="AC83" s="25" t="s">
        <v>22</v>
      </c>
      <c r="AD83" s="25" t="s">
        <v>22</v>
      </c>
      <c r="AE83" s="25" t="s">
        <v>22</v>
      </c>
      <c r="AF83" s="25" t="s">
        <v>22</v>
      </c>
      <c r="AG83" s="25" t="s">
        <v>22</v>
      </c>
      <c r="AH83" s="7" t="s">
        <v>22</v>
      </c>
      <c r="AJ83" s="53" t="s">
        <v>85</v>
      </c>
      <c r="AK83" s="54">
        <v>0</v>
      </c>
      <c r="AL83" s="55">
        <v>2</v>
      </c>
      <c r="AM83" s="55">
        <v>1</v>
      </c>
      <c r="AN83" s="55">
        <v>2</v>
      </c>
      <c r="AO83" s="55">
        <v>1</v>
      </c>
      <c r="AP83" s="55">
        <v>0</v>
      </c>
      <c r="AQ83" s="56">
        <v>0</v>
      </c>
      <c r="AR83" s="57">
        <v>20</v>
      </c>
    </row>
    <row r="84" spans="11:44" ht="16.2" x14ac:dyDescent="0.3">
      <c r="K84" s="22">
        <v>80</v>
      </c>
      <c r="L84" s="24" t="s">
        <v>22</v>
      </c>
      <c r="M84" s="24" t="s">
        <v>22</v>
      </c>
      <c r="N84" s="24" t="s">
        <v>22</v>
      </c>
      <c r="O84" s="24" t="s">
        <v>22</v>
      </c>
      <c r="P84" s="24" t="s">
        <v>22</v>
      </c>
      <c r="Q84" s="24" t="s">
        <v>22</v>
      </c>
      <c r="R84" s="24" t="s">
        <v>22</v>
      </c>
      <c r="T84" s="8"/>
      <c r="U84" s="8"/>
      <c r="V84" s="8"/>
      <c r="W84" s="8"/>
      <c r="X84" s="8"/>
      <c r="Y84" s="8"/>
      <c r="Z84" s="8"/>
      <c r="AB84" s="25" t="s">
        <v>22</v>
      </c>
      <c r="AC84" s="25" t="s">
        <v>22</v>
      </c>
      <c r="AD84" s="25" t="s">
        <v>22</v>
      </c>
      <c r="AE84" s="25" t="s">
        <v>22</v>
      </c>
      <c r="AF84" s="25" t="s">
        <v>22</v>
      </c>
      <c r="AG84" s="25" t="s">
        <v>22</v>
      </c>
      <c r="AH84" s="7" t="s">
        <v>22</v>
      </c>
      <c r="AJ84" s="53" t="s">
        <v>86</v>
      </c>
      <c r="AK84" s="54">
        <v>0</v>
      </c>
      <c r="AL84" s="55">
        <v>2</v>
      </c>
      <c r="AM84" s="55">
        <v>7</v>
      </c>
      <c r="AN84" s="55">
        <v>1</v>
      </c>
      <c r="AO84" s="55">
        <v>1</v>
      </c>
      <c r="AP84" s="55">
        <v>0</v>
      </c>
      <c r="AQ84" s="56">
        <v>0</v>
      </c>
      <c r="AR84" s="57">
        <v>21</v>
      </c>
    </row>
    <row r="85" spans="11:44" ht="16.2" x14ac:dyDescent="0.3">
      <c r="K85" s="21">
        <v>81</v>
      </c>
      <c r="L85" s="24" t="s">
        <v>22</v>
      </c>
      <c r="M85" s="24" t="s">
        <v>22</v>
      </c>
      <c r="N85" s="24" t="s">
        <v>22</v>
      </c>
      <c r="O85" s="24" t="s">
        <v>22</v>
      </c>
      <c r="P85" s="24" t="s">
        <v>22</v>
      </c>
      <c r="Q85" s="24" t="s">
        <v>22</v>
      </c>
      <c r="R85" s="24" t="s">
        <v>22</v>
      </c>
      <c r="T85" s="8"/>
      <c r="U85" s="8"/>
      <c r="V85" s="8"/>
      <c r="W85" s="8"/>
      <c r="X85" s="8"/>
      <c r="Y85" s="8"/>
      <c r="Z85" s="8"/>
      <c r="AB85" s="25" t="s">
        <v>22</v>
      </c>
      <c r="AC85" s="25" t="s">
        <v>22</v>
      </c>
      <c r="AD85" s="25" t="s">
        <v>22</v>
      </c>
      <c r="AE85" s="25" t="s">
        <v>22</v>
      </c>
      <c r="AF85" s="25" t="s">
        <v>22</v>
      </c>
      <c r="AG85" s="25" t="s">
        <v>22</v>
      </c>
      <c r="AH85" s="7" t="s">
        <v>22</v>
      </c>
      <c r="AJ85" s="53" t="s">
        <v>87</v>
      </c>
      <c r="AK85" s="54">
        <v>0</v>
      </c>
      <c r="AL85" s="55">
        <v>1</v>
      </c>
      <c r="AM85" s="55">
        <v>1</v>
      </c>
      <c r="AN85" s="55">
        <v>1</v>
      </c>
      <c r="AO85" s="55">
        <v>1</v>
      </c>
      <c r="AP85" s="55">
        <v>0</v>
      </c>
      <c r="AQ85" s="56">
        <v>0</v>
      </c>
      <c r="AR85" s="57">
        <v>22</v>
      </c>
    </row>
    <row r="86" spans="11:44" ht="16.8" thickBot="1" x14ac:dyDescent="0.35">
      <c r="K86" s="22">
        <v>82</v>
      </c>
      <c r="L86" s="24" t="s">
        <v>22</v>
      </c>
      <c r="M86" s="24" t="s">
        <v>22</v>
      </c>
      <c r="N86" s="24" t="s">
        <v>22</v>
      </c>
      <c r="O86" s="24" t="s">
        <v>22</v>
      </c>
      <c r="P86" s="24" t="s">
        <v>22</v>
      </c>
      <c r="Q86" s="24" t="s">
        <v>22</v>
      </c>
      <c r="R86" s="24" t="s">
        <v>22</v>
      </c>
      <c r="T86" s="8"/>
      <c r="U86" s="8"/>
      <c r="V86" s="8"/>
      <c r="W86" s="8"/>
      <c r="X86" s="8"/>
      <c r="Y86" s="8"/>
      <c r="Z86" s="8"/>
      <c r="AB86" s="25" t="s">
        <v>22</v>
      </c>
      <c r="AC86" s="25" t="s">
        <v>22</v>
      </c>
      <c r="AD86" s="25" t="s">
        <v>22</v>
      </c>
      <c r="AE86" s="25" t="s">
        <v>22</v>
      </c>
      <c r="AF86" s="25" t="s">
        <v>22</v>
      </c>
      <c r="AG86" s="25" t="s">
        <v>22</v>
      </c>
      <c r="AH86" s="7" t="s">
        <v>22</v>
      </c>
      <c r="AJ86" s="59" t="s">
        <v>88</v>
      </c>
      <c r="AK86" s="60">
        <v>0</v>
      </c>
      <c r="AL86" s="61">
        <v>2</v>
      </c>
      <c r="AM86" s="61">
        <v>1</v>
      </c>
      <c r="AN86" s="61">
        <v>1</v>
      </c>
      <c r="AO86" s="61">
        <v>1</v>
      </c>
      <c r="AP86" s="61">
        <v>0</v>
      </c>
      <c r="AQ86" s="62">
        <v>0</v>
      </c>
      <c r="AR86" s="126">
        <v>23</v>
      </c>
    </row>
    <row r="87" spans="11:44" ht="16.2" x14ac:dyDescent="0.3">
      <c r="K87" s="21">
        <v>83</v>
      </c>
      <c r="L87" s="24" t="s">
        <v>22</v>
      </c>
      <c r="M87" s="24" t="s">
        <v>22</v>
      </c>
      <c r="N87" s="24" t="s">
        <v>22</v>
      </c>
      <c r="O87" s="24" t="s">
        <v>22</v>
      </c>
      <c r="P87" s="24" t="s">
        <v>22</v>
      </c>
      <c r="Q87" s="24" t="s">
        <v>22</v>
      </c>
      <c r="R87" s="24" t="s">
        <v>22</v>
      </c>
      <c r="T87" s="8"/>
      <c r="U87" s="8"/>
      <c r="V87" s="8"/>
      <c r="W87" s="8"/>
      <c r="X87" s="8"/>
      <c r="Y87" s="8"/>
      <c r="Z87" s="8"/>
      <c r="AB87" s="25" t="s">
        <v>22</v>
      </c>
      <c r="AC87" s="25" t="s">
        <v>22</v>
      </c>
      <c r="AD87" s="25" t="s">
        <v>22</v>
      </c>
      <c r="AE87" s="25" t="s">
        <v>22</v>
      </c>
      <c r="AF87" s="25" t="s">
        <v>22</v>
      </c>
      <c r="AG87" s="25" t="s">
        <v>22</v>
      </c>
      <c r="AH87" s="7" t="s">
        <v>22</v>
      </c>
      <c r="AJ87" s="132" t="s">
        <v>176</v>
      </c>
      <c r="AK87" s="133">
        <v>0</v>
      </c>
      <c r="AL87" s="134">
        <v>10</v>
      </c>
      <c r="AM87" s="134">
        <v>10</v>
      </c>
      <c r="AN87" s="134">
        <v>10</v>
      </c>
      <c r="AO87" s="134">
        <v>10</v>
      </c>
      <c r="AP87" s="134">
        <v>0</v>
      </c>
      <c r="AQ87" s="135">
        <v>0</v>
      </c>
      <c r="AR87" s="131">
        <v>24</v>
      </c>
    </row>
    <row r="88" spans="11:44" ht="16.8" thickBot="1" x14ac:dyDescent="0.35">
      <c r="K88" s="22">
        <v>84</v>
      </c>
      <c r="L88" s="24" t="s">
        <v>22</v>
      </c>
      <c r="M88" s="24" t="s">
        <v>22</v>
      </c>
      <c r="N88" s="24" t="s">
        <v>22</v>
      </c>
      <c r="O88" s="24" t="s">
        <v>22</v>
      </c>
      <c r="P88" s="24" t="s">
        <v>22</v>
      </c>
      <c r="Q88" s="24" t="s">
        <v>22</v>
      </c>
      <c r="R88" s="24" t="s">
        <v>22</v>
      </c>
      <c r="T88" s="8"/>
      <c r="U88" s="8"/>
      <c r="V88" s="8"/>
      <c r="W88" s="8"/>
      <c r="X88" s="8"/>
      <c r="Y88" s="8"/>
      <c r="Z88" s="8"/>
      <c r="AB88" s="25" t="s">
        <v>22</v>
      </c>
      <c r="AC88" s="25" t="s">
        <v>22</v>
      </c>
      <c r="AD88" s="25" t="s">
        <v>22</v>
      </c>
      <c r="AE88" s="25" t="s">
        <v>22</v>
      </c>
      <c r="AF88" s="25" t="s">
        <v>22</v>
      </c>
      <c r="AG88" s="25" t="s">
        <v>22</v>
      </c>
      <c r="AH88" s="7" t="s">
        <v>22</v>
      </c>
      <c r="AJ88" s="80" t="s">
        <v>187</v>
      </c>
      <c r="AK88" s="72">
        <v>0</v>
      </c>
      <c r="AL88" s="73">
        <v>1</v>
      </c>
      <c r="AM88" s="73">
        <v>1</v>
      </c>
      <c r="AN88" s="73">
        <v>1</v>
      </c>
      <c r="AO88" s="73">
        <v>1</v>
      </c>
      <c r="AP88" s="73">
        <v>0</v>
      </c>
      <c r="AQ88" s="74">
        <v>0</v>
      </c>
      <c r="AR88" s="63">
        <v>25</v>
      </c>
    </row>
    <row r="89" spans="11:44" x14ac:dyDescent="0.3">
      <c r="K89" s="21">
        <v>85</v>
      </c>
      <c r="L89" s="24" t="s">
        <v>22</v>
      </c>
      <c r="M89" s="24" t="s">
        <v>22</v>
      </c>
      <c r="N89" s="24" t="s">
        <v>22</v>
      </c>
      <c r="O89" s="24" t="s">
        <v>22</v>
      </c>
      <c r="P89" s="24" t="s">
        <v>22</v>
      </c>
      <c r="Q89" s="24" t="s">
        <v>22</v>
      </c>
      <c r="R89" s="24" t="s">
        <v>22</v>
      </c>
      <c r="T89" s="8"/>
      <c r="U89" s="8"/>
      <c r="V89" s="8"/>
      <c r="W89" s="8"/>
      <c r="X89" s="8"/>
      <c r="Y89" s="8"/>
      <c r="Z89" s="8"/>
      <c r="AB89" s="25" t="s">
        <v>22</v>
      </c>
      <c r="AC89" s="25" t="s">
        <v>22</v>
      </c>
      <c r="AD89" s="25" t="s">
        <v>22</v>
      </c>
      <c r="AE89" s="25" t="s">
        <v>22</v>
      </c>
      <c r="AF89" s="25" t="s">
        <v>22</v>
      </c>
      <c r="AG89" s="25" t="s">
        <v>22</v>
      </c>
      <c r="AH89" s="7" t="s">
        <v>22</v>
      </c>
      <c r="AJ89" s="82"/>
      <c r="AK89" s="82"/>
      <c r="AL89" s="82"/>
      <c r="AM89" s="82"/>
      <c r="AN89" s="82"/>
      <c r="AO89" s="82"/>
      <c r="AP89" s="82"/>
      <c r="AQ89" s="82"/>
      <c r="AR89" s="82"/>
    </row>
    <row r="90" spans="11:44" ht="16.2" thickBot="1" x14ac:dyDescent="0.35">
      <c r="K90" s="22">
        <v>86</v>
      </c>
      <c r="L90" s="24" t="s">
        <v>22</v>
      </c>
      <c r="M90" s="24" t="s">
        <v>22</v>
      </c>
      <c r="N90" s="24" t="s">
        <v>22</v>
      </c>
      <c r="O90" s="24" t="s">
        <v>22</v>
      </c>
      <c r="P90" s="24" t="s">
        <v>22</v>
      </c>
      <c r="Q90" s="24" t="s">
        <v>22</v>
      </c>
      <c r="R90" s="24" t="s">
        <v>22</v>
      </c>
      <c r="T90" s="8"/>
      <c r="U90" s="8"/>
      <c r="V90" s="8"/>
      <c r="W90" s="8"/>
      <c r="X90" s="8"/>
      <c r="Y90" s="8"/>
      <c r="Z90" s="8"/>
      <c r="AB90" s="25" t="s">
        <v>22</v>
      </c>
      <c r="AC90" s="25" t="s">
        <v>22</v>
      </c>
      <c r="AD90" s="25" t="s">
        <v>22</v>
      </c>
      <c r="AE90" s="25" t="s">
        <v>22</v>
      </c>
      <c r="AF90" s="25" t="s">
        <v>22</v>
      </c>
      <c r="AG90" s="25" t="s">
        <v>22</v>
      </c>
      <c r="AH90" s="7" t="s">
        <v>22</v>
      </c>
      <c r="AJ90" s="82"/>
      <c r="AK90" s="245" t="s">
        <v>95</v>
      </c>
      <c r="AL90" s="245"/>
      <c r="AM90" s="245"/>
      <c r="AN90" s="245"/>
      <c r="AO90" s="245"/>
      <c r="AP90" s="245"/>
      <c r="AQ90" s="245"/>
      <c r="AR90" s="245"/>
    </row>
    <row r="91" spans="11:44" ht="16.8" thickBot="1" x14ac:dyDescent="0.35">
      <c r="K91" s="21">
        <v>87</v>
      </c>
      <c r="L91" s="24" t="s">
        <v>22</v>
      </c>
      <c r="M91" s="24" t="s">
        <v>22</v>
      </c>
      <c r="N91" s="24" t="s">
        <v>22</v>
      </c>
      <c r="O91" s="24" t="s">
        <v>22</v>
      </c>
      <c r="P91" s="24" t="s">
        <v>22</v>
      </c>
      <c r="Q91" s="24" t="s">
        <v>22</v>
      </c>
      <c r="R91" s="24" t="s">
        <v>22</v>
      </c>
      <c r="T91" s="8"/>
      <c r="U91" s="8"/>
      <c r="V91" s="8"/>
      <c r="W91" s="8"/>
      <c r="X91" s="8"/>
      <c r="Y91" s="8"/>
      <c r="Z91" s="8"/>
      <c r="AB91" s="25" t="s">
        <v>22</v>
      </c>
      <c r="AC91" s="25" t="s">
        <v>22</v>
      </c>
      <c r="AD91" s="25" t="s">
        <v>22</v>
      </c>
      <c r="AE91" s="25" t="s">
        <v>22</v>
      </c>
      <c r="AF91" s="25" t="s">
        <v>22</v>
      </c>
      <c r="AG91" s="25" t="s">
        <v>22</v>
      </c>
      <c r="AH91" s="7" t="s">
        <v>22</v>
      </c>
      <c r="AJ91" s="44" t="s">
        <v>52</v>
      </c>
      <c r="AK91" s="45" t="s">
        <v>12</v>
      </c>
      <c r="AL91" s="45" t="s">
        <v>13</v>
      </c>
      <c r="AM91" s="45" t="s">
        <v>14</v>
      </c>
      <c r="AN91" s="45" t="s">
        <v>15</v>
      </c>
      <c r="AO91" s="45" t="s">
        <v>16</v>
      </c>
      <c r="AP91" s="45" t="s">
        <v>56</v>
      </c>
      <c r="AQ91" s="46" t="s">
        <v>76</v>
      </c>
      <c r="AR91" s="47" t="s">
        <v>3</v>
      </c>
    </row>
    <row r="92" spans="11:44" ht="16.2" x14ac:dyDescent="0.3">
      <c r="K92" s="22">
        <v>88</v>
      </c>
      <c r="L92" s="24" t="s">
        <v>22</v>
      </c>
      <c r="M92" s="24" t="s">
        <v>22</v>
      </c>
      <c r="N92" s="24" t="s">
        <v>22</v>
      </c>
      <c r="O92" s="24" t="s">
        <v>22</v>
      </c>
      <c r="P92" s="24" t="s">
        <v>22</v>
      </c>
      <c r="Q92" s="24" t="s">
        <v>22</v>
      </c>
      <c r="R92" s="24" t="s">
        <v>22</v>
      </c>
      <c r="T92" s="8"/>
      <c r="U92" s="8"/>
      <c r="V92" s="8"/>
      <c r="W92" s="8"/>
      <c r="X92" s="8"/>
      <c r="Y92" s="8"/>
      <c r="Z92" s="8"/>
      <c r="AB92" s="25" t="s">
        <v>22</v>
      </c>
      <c r="AC92" s="25" t="s">
        <v>22</v>
      </c>
      <c r="AD92" s="25" t="s">
        <v>22</v>
      </c>
      <c r="AE92" s="25" t="s">
        <v>22</v>
      </c>
      <c r="AF92" s="25" t="s">
        <v>22</v>
      </c>
      <c r="AG92" s="25" t="s">
        <v>22</v>
      </c>
      <c r="AH92" s="7" t="s">
        <v>22</v>
      </c>
      <c r="AJ92" s="48" t="s">
        <v>78</v>
      </c>
      <c r="AK92" s="49">
        <v>0</v>
      </c>
      <c r="AL92" s="50">
        <v>0</v>
      </c>
      <c r="AM92" s="50">
        <v>0</v>
      </c>
      <c r="AN92" s="50">
        <v>0</v>
      </c>
      <c r="AO92" s="50">
        <v>0</v>
      </c>
      <c r="AP92" s="50">
        <v>0</v>
      </c>
      <c r="AQ92" s="51">
        <v>0</v>
      </c>
      <c r="AR92" s="52">
        <v>0</v>
      </c>
    </row>
    <row r="93" spans="11:44" ht="16.2" x14ac:dyDescent="0.3">
      <c r="K93" s="21">
        <v>89</v>
      </c>
      <c r="L93" s="24" t="s">
        <v>22</v>
      </c>
      <c r="M93" s="24" t="s">
        <v>22</v>
      </c>
      <c r="N93" s="24" t="s">
        <v>22</v>
      </c>
      <c r="O93" s="24" t="s">
        <v>22</v>
      </c>
      <c r="P93" s="24" t="s">
        <v>22</v>
      </c>
      <c r="Q93" s="24" t="s">
        <v>22</v>
      </c>
      <c r="R93" s="24" t="s">
        <v>22</v>
      </c>
      <c r="T93" s="8"/>
      <c r="U93" s="8"/>
      <c r="V93" s="8"/>
      <c r="W93" s="8"/>
      <c r="X93" s="8"/>
      <c r="Y93" s="8"/>
      <c r="Z93" s="8"/>
      <c r="AB93" s="25" t="s">
        <v>22</v>
      </c>
      <c r="AC93" s="25" t="s">
        <v>22</v>
      </c>
      <c r="AD93" s="25" t="s">
        <v>22</v>
      </c>
      <c r="AE93" s="25" t="s">
        <v>22</v>
      </c>
      <c r="AF93" s="25" t="s">
        <v>22</v>
      </c>
      <c r="AG93" s="25" t="s">
        <v>22</v>
      </c>
      <c r="AH93" s="7" t="s">
        <v>22</v>
      </c>
      <c r="AJ93" s="53" t="s">
        <v>19</v>
      </c>
      <c r="AK93" s="54">
        <v>5</v>
      </c>
      <c r="AL93" s="55">
        <v>5</v>
      </c>
      <c r="AM93" s="55">
        <v>5</v>
      </c>
      <c r="AN93" s="55">
        <v>5</v>
      </c>
      <c r="AO93" s="55">
        <v>5</v>
      </c>
      <c r="AP93" s="55">
        <v>5</v>
      </c>
      <c r="AQ93" s="56">
        <v>0</v>
      </c>
      <c r="AR93" s="57">
        <v>1</v>
      </c>
    </row>
    <row r="94" spans="11:44" ht="16.2" x14ac:dyDescent="0.3">
      <c r="K94" s="22">
        <v>90</v>
      </c>
      <c r="L94" s="24" t="s">
        <v>22</v>
      </c>
      <c r="M94" s="24" t="s">
        <v>22</v>
      </c>
      <c r="N94" s="24" t="s">
        <v>22</v>
      </c>
      <c r="O94" s="24" t="s">
        <v>22</v>
      </c>
      <c r="P94" s="24" t="s">
        <v>22</v>
      </c>
      <c r="Q94" s="24" t="s">
        <v>22</v>
      </c>
      <c r="R94" s="24" t="s">
        <v>22</v>
      </c>
      <c r="T94" s="8"/>
      <c r="U94" s="8"/>
      <c r="V94" s="8"/>
      <c r="W94" s="8"/>
      <c r="X94" s="8"/>
      <c r="Y94" s="8"/>
      <c r="Z94" s="8"/>
      <c r="AB94" s="25" t="s">
        <v>22</v>
      </c>
      <c r="AC94" s="25" t="s">
        <v>22</v>
      </c>
      <c r="AD94" s="25" t="s">
        <v>22</v>
      </c>
      <c r="AE94" s="25" t="s">
        <v>22</v>
      </c>
      <c r="AF94" s="25" t="s">
        <v>22</v>
      </c>
      <c r="AG94" s="25" t="s">
        <v>22</v>
      </c>
      <c r="AH94" s="7" t="s">
        <v>22</v>
      </c>
      <c r="AJ94" s="53" t="s">
        <v>20</v>
      </c>
      <c r="AK94" s="54">
        <v>20</v>
      </c>
      <c r="AL94" s="55">
        <v>0</v>
      </c>
      <c r="AM94" s="55">
        <v>4</v>
      </c>
      <c r="AN94" s="55">
        <v>1</v>
      </c>
      <c r="AO94" s="55">
        <v>50</v>
      </c>
      <c r="AP94" s="55">
        <v>1</v>
      </c>
      <c r="AQ94" s="56">
        <v>0</v>
      </c>
      <c r="AR94" s="57">
        <v>2</v>
      </c>
    </row>
    <row r="95" spans="11:44" ht="16.2" x14ac:dyDescent="0.3">
      <c r="K95" s="21">
        <v>91</v>
      </c>
      <c r="L95" s="24" t="s">
        <v>22</v>
      </c>
      <c r="M95" s="24" t="s">
        <v>22</v>
      </c>
      <c r="N95" s="24" t="s">
        <v>22</v>
      </c>
      <c r="O95" s="24" t="s">
        <v>22</v>
      </c>
      <c r="P95" s="24" t="s">
        <v>22</v>
      </c>
      <c r="Q95" s="24" t="s">
        <v>22</v>
      </c>
      <c r="R95" s="24" t="s">
        <v>22</v>
      </c>
      <c r="T95" s="8"/>
      <c r="U95" s="8"/>
      <c r="V95" s="8"/>
      <c r="W95" s="8"/>
      <c r="X95" s="8"/>
      <c r="Y95" s="8"/>
      <c r="Z95" s="8"/>
      <c r="AB95" s="25" t="s">
        <v>22</v>
      </c>
      <c r="AC95" s="25" t="s">
        <v>22</v>
      </c>
      <c r="AD95" s="25" t="s">
        <v>22</v>
      </c>
      <c r="AE95" s="25" t="s">
        <v>22</v>
      </c>
      <c r="AF95" s="25" t="s">
        <v>22</v>
      </c>
      <c r="AG95" s="25" t="s">
        <v>22</v>
      </c>
      <c r="AH95" s="7" t="s">
        <v>22</v>
      </c>
      <c r="AJ95" s="53" t="s">
        <v>21</v>
      </c>
      <c r="AK95" s="54">
        <v>1</v>
      </c>
      <c r="AL95" s="55">
        <v>50</v>
      </c>
      <c r="AM95" s="55">
        <v>1</v>
      </c>
      <c r="AN95" s="55">
        <v>50</v>
      </c>
      <c r="AO95" s="55">
        <v>1</v>
      </c>
      <c r="AP95" s="55">
        <v>1</v>
      </c>
      <c r="AQ95" s="56">
        <v>0</v>
      </c>
      <c r="AR95" s="57">
        <v>3</v>
      </c>
    </row>
    <row r="96" spans="11:44" ht="16.2" x14ac:dyDescent="0.3">
      <c r="K96" s="22">
        <v>92</v>
      </c>
      <c r="L96" s="24" t="s">
        <v>22</v>
      </c>
      <c r="M96" s="24" t="s">
        <v>22</v>
      </c>
      <c r="N96" s="24" t="s">
        <v>22</v>
      </c>
      <c r="O96" s="24" t="s">
        <v>22</v>
      </c>
      <c r="P96" s="24" t="s">
        <v>22</v>
      </c>
      <c r="Q96" s="24" t="s">
        <v>22</v>
      </c>
      <c r="R96" s="24" t="s">
        <v>22</v>
      </c>
      <c r="T96" s="8"/>
      <c r="U96" s="8"/>
      <c r="V96" s="8"/>
      <c r="W96" s="8"/>
      <c r="X96" s="8"/>
      <c r="Y96" s="8"/>
      <c r="Z96" s="8"/>
      <c r="AB96" s="25" t="s">
        <v>22</v>
      </c>
      <c r="AC96" s="25" t="s">
        <v>22</v>
      </c>
      <c r="AD96" s="25" t="s">
        <v>22</v>
      </c>
      <c r="AE96" s="25" t="s">
        <v>22</v>
      </c>
      <c r="AF96" s="25" t="s">
        <v>22</v>
      </c>
      <c r="AG96" s="25" t="s">
        <v>22</v>
      </c>
      <c r="AH96" s="7" t="s">
        <v>22</v>
      </c>
      <c r="AJ96" s="53" t="s">
        <v>17</v>
      </c>
      <c r="AK96" s="54">
        <v>50</v>
      </c>
      <c r="AL96" s="55">
        <v>1</v>
      </c>
      <c r="AM96" s="55">
        <v>60</v>
      </c>
      <c r="AN96" s="55">
        <v>0</v>
      </c>
      <c r="AO96" s="55">
        <v>1</v>
      </c>
      <c r="AP96" s="55">
        <v>50</v>
      </c>
      <c r="AQ96" s="56">
        <v>1</v>
      </c>
      <c r="AR96" s="57">
        <v>4</v>
      </c>
    </row>
    <row r="97" spans="11:44" ht="16.2" x14ac:dyDescent="0.3">
      <c r="K97" s="21">
        <v>93</v>
      </c>
      <c r="L97" s="24" t="s">
        <v>22</v>
      </c>
      <c r="M97" s="24" t="s">
        <v>22</v>
      </c>
      <c r="N97" s="24" t="s">
        <v>22</v>
      </c>
      <c r="O97" s="24" t="s">
        <v>22</v>
      </c>
      <c r="P97" s="24" t="s">
        <v>22</v>
      </c>
      <c r="Q97" s="24" t="s">
        <v>22</v>
      </c>
      <c r="R97" s="24" t="s">
        <v>22</v>
      </c>
      <c r="T97" s="8"/>
      <c r="U97" s="8"/>
      <c r="V97" s="8"/>
      <c r="W97" s="8"/>
      <c r="X97" s="8"/>
      <c r="Y97" s="8"/>
      <c r="Z97" s="8"/>
      <c r="AB97" s="25" t="s">
        <v>22</v>
      </c>
      <c r="AC97" s="25" t="s">
        <v>22</v>
      </c>
      <c r="AD97" s="25" t="s">
        <v>22</v>
      </c>
      <c r="AE97" s="25" t="s">
        <v>22</v>
      </c>
      <c r="AF97" s="25" t="s">
        <v>22</v>
      </c>
      <c r="AG97" s="25" t="s">
        <v>22</v>
      </c>
      <c r="AH97" s="7" t="s">
        <v>22</v>
      </c>
      <c r="AJ97" s="53" t="s">
        <v>18</v>
      </c>
      <c r="AK97" s="54">
        <v>1</v>
      </c>
      <c r="AL97" s="55">
        <v>50</v>
      </c>
      <c r="AM97" s="55">
        <v>1</v>
      </c>
      <c r="AN97" s="55">
        <v>1</v>
      </c>
      <c r="AO97" s="55">
        <v>1</v>
      </c>
      <c r="AP97" s="55">
        <v>50</v>
      </c>
      <c r="AQ97" s="56">
        <v>1</v>
      </c>
      <c r="AR97" s="57">
        <v>5</v>
      </c>
    </row>
    <row r="98" spans="11:44" ht="16.2" x14ac:dyDescent="0.3">
      <c r="K98" s="22">
        <v>94</v>
      </c>
      <c r="L98" s="24" t="s">
        <v>22</v>
      </c>
      <c r="M98" s="24" t="s">
        <v>22</v>
      </c>
      <c r="N98" s="24" t="s">
        <v>22</v>
      </c>
      <c r="O98" s="24" t="s">
        <v>22</v>
      </c>
      <c r="P98" s="24" t="s">
        <v>22</v>
      </c>
      <c r="Q98" s="24" t="s">
        <v>22</v>
      </c>
      <c r="R98" s="24" t="s">
        <v>22</v>
      </c>
      <c r="T98" s="8"/>
      <c r="U98" s="8"/>
      <c r="V98" s="8"/>
      <c r="W98" s="8"/>
      <c r="X98" s="8"/>
      <c r="Y98" s="8"/>
      <c r="Z98" s="8"/>
      <c r="AB98" s="25" t="s">
        <v>22</v>
      </c>
      <c r="AC98" s="25" t="s">
        <v>22</v>
      </c>
      <c r="AD98" s="25" t="s">
        <v>22</v>
      </c>
      <c r="AE98" s="25" t="s">
        <v>22</v>
      </c>
      <c r="AF98" s="25" t="s">
        <v>22</v>
      </c>
      <c r="AG98" s="25" t="s">
        <v>22</v>
      </c>
      <c r="AH98" s="7" t="s">
        <v>22</v>
      </c>
      <c r="AJ98" s="53" t="s">
        <v>74</v>
      </c>
      <c r="AK98" s="54">
        <v>60</v>
      </c>
      <c r="AL98" s="55">
        <v>1</v>
      </c>
      <c r="AM98" s="55">
        <v>50</v>
      </c>
      <c r="AN98" s="55">
        <v>1</v>
      </c>
      <c r="AO98" s="55">
        <v>50</v>
      </c>
      <c r="AP98" s="55">
        <v>1</v>
      </c>
      <c r="AQ98" s="56">
        <v>1</v>
      </c>
      <c r="AR98" s="57">
        <v>6</v>
      </c>
    </row>
    <row r="99" spans="11:44" ht="16.2" x14ac:dyDescent="0.3">
      <c r="K99" s="21">
        <v>95</v>
      </c>
      <c r="L99" s="24" t="s">
        <v>22</v>
      </c>
      <c r="M99" s="24" t="s">
        <v>22</v>
      </c>
      <c r="N99" s="24" t="s">
        <v>22</v>
      </c>
      <c r="O99" s="24" t="s">
        <v>22</v>
      </c>
      <c r="P99" s="24" t="s">
        <v>22</v>
      </c>
      <c r="Q99" s="24" t="s">
        <v>22</v>
      </c>
      <c r="R99" s="24" t="s">
        <v>22</v>
      </c>
      <c r="T99" s="8"/>
      <c r="U99" s="8"/>
      <c r="V99" s="8"/>
      <c r="W99" s="8"/>
      <c r="X99" s="8"/>
      <c r="Y99" s="8"/>
      <c r="Z99" s="8"/>
      <c r="AB99" s="25" t="s">
        <v>22</v>
      </c>
      <c r="AC99" s="25" t="s">
        <v>22</v>
      </c>
      <c r="AD99" s="25" t="s">
        <v>22</v>
      </c>
      <c r="AE99" s="25" t="s">
        <v>22</v>
      </c>
      <c r="AF99" s="25" t="s">
        <v>22</v>
      </c>
      <c r="AG99" s="25" t="s">
        <v>22</v>
      </c>
      <c r="AH99" s="7" t="s">
        <v>22</v>
      </c>
      <c r="AJ99" s="53" t="s">
        <v>151</v>
      </c>
      <c r="AK99" s="54">
        <v>1</v>
      </c>
      <c r="AL99" s="55">
        <v>50</v>
      </c>
      <c r="AM99" s="55">
        <v>1</v>
      </c>
      <c r="AN99" s="55">
        <v>1</v>
      </c>
      <c r="AO99" s="55">
        <v>1</v>
      </c>
      <c r="AP99" s="55">
        <v>50</v>
      </c>
      <c r="AQ99" s="56">
        <v>1</v>
      </c>
      <c r="AR99" s="57">
        <v>7</v>
      </c>
    </row>
    <row r="100" spans="11:44" ht="16.2" x14ac:dyDescent="0.3">
      <c r="K100" s="22">
        <v>96</v>
      </c>
      <c r="L100" s="24" t="s">
        <v>22</v>
      </c>
      <c r="M100" s="24" t="s">
        <v>22</v>
      </c>
      <c r="N100" s="24" t="s">
        <v>22</v>
      </c>
      <c r="O100" s="24" t="s">
        <v>22</v>
      </c>
      <c r="P100" s="24" t="s">
        <v>22</v>
      </c>
      <c r="Q100" s="24" t="s">
        <v>22</v>
      </c>
      <c r="R100" s="24" t="s">
        <v>22</v>
      </c>
      <c r="T100" s="8"/>
      <c r="U100" s="8"/>
      <c r="V100" s="8"/>
      <c r="W100" s="8"/>
      <c r="X100" s="8"/>
      <c r="Y100" s="8"/>
      <c r="Z100" s="8"/>
      <c r="AB100" s="25" t="s">
        <v>22</v>
      </c>
      <c r="AC100" s="25" t="s">
        <v>22</v>
      </c>
      <c r="AD100" s="25" t="s">
        <v>22</v>
      </c>
      <c r="AE100" s="25" t="s">
        <v>22</v>
      </c>
      <c r="AF100" s="25" t="s">
        <v>22</v>
      </c>
      <c r="AG100" s="25" t="s">
        <v>22</v>
      </c>
      <c r="AH100" s="7" t="s">
        <v>22</v>
      </c>
      <c r="AJ100" s="53" t="s">
        <v>24</v>
      </c>
      <c r="AK100" s="54">
        <v>0</v>
      </c>
      <c r="AL100" s="55">
        <v>1</v>
      </c>
      <c r="AM100" s="55">
        <v>40</v>
      </c>
      <c r="AN100" s="55">
        <v>1</v>
      </c>
      <c r="AO100" s="55">
        <v>50</v>
      </c>
      <c r="AP100" s="55">
        <v>1</v>
      </c>
      <c r="AQ100" s="56">
        <v>1</v>
      </c>
      <c r="AR100" s="57">
        <v>8</v>
      </c>
    </row>
    <row r="101" spans="11:44" ht="16.2" x14ac:dyDescent="0.3">
      <c r="K101" s="21">
        <v>97</v>
      </c>
      <c r="L101" s="24" t="s">
        <v>22</v>
      </c>
      <c r="M101" s="24" t="s">
        <v>22</v>
      </c>
      <c r="N101" s="24" t="s">
        <v>22</v>
      </c>
      <c r="O101" s="24" t="s">
        <v>22</v>
      </c>
      <c r="P101" s="24" t="s">
        <v>22</v>
      </c>
      <c r="Q101" s="24" t="s">
        <v>22</v>
      </c>
      <c r="R101" s="24" t="s">
        <v>22</v>
      </c>
      <c r="T101" s="8"/>
      <c r="U101" s="8"/>
      <c r="V101" s="8"/>
      <c r="W101" s="8"/>
      <c r="X101" s="8"/>
      <c r="Y101" s="8"/>
      <c r="Z101" s="8"/>
      <c r="AB101" s="25" t="s">
        <v>22</v>
      </c>
      <c r="AC101" s="25" t="s">
        <v>22</v>
      </c>
      <c r="AD101" s="25" t="s">
        <v>22</v>
      </c>
      <c r="AE101" s="25" t="s">
        <v>22</v>
      </c>
      <c r="AF101" s="25" t="s">
        <v>22</v>
      </c>
      <c r="AG101" s="25" t="s">
        <v>22</v>
      </c>
      <c r="AH101" s="7" t="s">
        <v>22</v>
      </c>
      <c r="AJ101" s="53" t="s">
        <v>26</v>
      </c>
      <c r="AK101" s="54">
        <v>1</v>
      </c>
      <c r="AL101" s="55">
        <v>1</v>
      </c>
      <c r="AM101" s="55">
        <v>1</v>
      </c>
      <c r="AN101" s="55">
        <v>50</v>
      </c>
      <c r="AO101" s="55">
        <v>1</v>
      </c>
      <c r="AP101" s="55">
        <v>50</v>
      </c>
      <c r="AQ101" s="56">
        <v>1</v>
      </c>
      <c r="AR101" s="57">
        <v>9</v>
      </c>
    </row>
    <row r="102" spans="11:44" ht="16.2" x14ac:dyDescent="0.3">
      <c r="K102" s="22">
        <v>98</v>
      </c>
      <c r="L102" s="24" t="s">
        <v>22</v>
      </c>
      <c r="M102" s="24" t="s">
        <v>22</v>
      </c>
      <c r="N102" s="24" t="s">
        <v>22</v>
      </c>
      <c r="O102" s="24" t="s">
        <v>22</v>
      </c>
      <c r="P102" s="24" t="s">
        <v>22</v>
      </c>
      <c r="Q102" s="24" t="s">
        <v>22</v>
      </c>
      <c r="R102" s="24" t="s">
        <v>22</v>
      </c>
      <c r="T102" s="8"/>
      <c r="U102" s="8"/>
      <c r="V102" s="8"/>
      <c r="W102" s="8"/>
      <c r="X102" s="8"/>
      <c r="Y102" s="8"/>
      <c r="Z102" s="8"/>
      <c r="AB102" s="25" t="s">
        <v>22</v>
      </c>
      <c r="AC102" s="25" t="s">
        <v>22</v>
      </c>
      <c r="AD102" s="25" t="s">
        <v>22</v>
      </c>
      <c r="AE102" s="25" t="s">
        <v>22</v>
      </c>
      <c r="AF102" s="25" t="s">
        <v>22</v>
      </c>
      <c r="AG102" s="25" t="s">
        <v>22</v>
      </c>
      <c r="AH102" s="7" t="s">
        <v>22</v>
      </c>
      <c r="AJ102" s="53" t="s">
        <v>27</v>
      </c>
      <c r="AK102" s="54">
        <v>20</v>
      </c>
      <c r="AL102" s="55">
        <v>1</v>
      </c>
      <c r="AM102" s="55">
        <v>15</v>
      </c>
      <c r="AN102" s="55">
        <v>1</v>
      </c>
      <c r="AO102" s="55">
        <v>1</v>
      </c>
      <c r="AP102" s="55">
        <v>1</v>
      </c>
      <c r="AQ102" s="56">
        <v>2</v>
      </c>
      <c r="AR102" s="57">
        <v>10</v>
      </c>
    </row>
    <row r="103" spans="11:44" ht="16.2" x14ac:dyDescent="0.3">
      <c r="K103" s="21">
        <v>99</v>
      </c>
      <c r="L103" s="24" t="s">
        <v>22</v>
      </c>
      <c r="M103" s="24" t="s">
        <v>22</v>
      </c>
      <c r="N103" s="24" t="s">
        <v>22</v>
      </c>
      <c r="O103" s="24" t="s">
        <v>22</v>
      </c>
      <c r="P103" s="24" t="s">
        <v>22</v>
      </c>
      <c r="Q103" s="24" t="s">
        <v>22</v>
      </c>
      <c r="R103" s="24" t="s">
        <v>22</v>
      </c>
      <c r="T103" s="8"/>
      <c r="U103" s="8"/>
      <c r="V103" s="8"/>
      <c r="W103" s="8"/>
      <c r="X103" s="8"/>
      <c r="Y103" s="8"/>
      <c r="Z103" s="8"/>
      <c r="AB103" s="25" t="s">
        <v>22</v>
      </c>
      <c r="AC103" s="25" t="s">
        <v>22</v>
      </c>
      <c r="AD103" s="25" t="s">
        <v>22</v>
      </c>
      <c r="AE103" s="25" t="s">
        <v>22</v>
      </c>
      <c r="AF103" s="25" t="s">
        <v>22</v>
      </c>
      <c r="AG103" s="25" t="s">
        <v>22</v>
      </c>
      <c r="AH103" s="7" t="s">
        <v>22</v>
      </c>
      <c r="AJ103" s="53" t="s">
        <v>28</v>
      </c>
      <c r="AK103" s="54">
        <v>1</v>
      </c>
      <c r="AL103" s="55">
        <v>50</v>
      </c>
      <c r="AM103" s="55">
        <v>1</v>
      </c>
      <c r="AN103" s="55">
        <v>1</v>
      </c>
      <c r="AO103" s="55">
        <v>1</v>
      </c>
      <c r="AP103" s="55">
        <v>1</v>
      </c>
      <c r="AQ103" s="56">
        <v>1</v>
      </c>
      <c r="AR103" s="57">
        <v>11</v>
      </c>
    </row>
    <row r="104" spans="11:44" ht="16.2" x14ac:dyDescent="0.3">
      <c r="K104" s="22">
        <v>100</v>
      </c>
      <c r="L104" s="24" t="s">
        <v>22</v>
      </c>
      <c r="M104" s="24" t="s">
        <v>22</v>
      </c>
      <c r="N104" s="24" t="s">
        <v>22</v>
      </c>
      <c r="O104" s="24" t="s">
        <v>22</v>
      </c>
      <c r="P104" s="24" t="s">
        <v>22</v>
      </c>
      <c r="Q104" s="24" t="s">
        <v>22</v>
      </c>
      <c r="R104" s="24" t="s">
        <v>22</v>
      </c>
      <c r="T104" s="8"/>
      <c r="U104" s="8"/>
      <c r="V104" s="8"/>
      <c r="W104" s="8"/>
      <c r="X104" s="8"/>
      <c r="Y104" s="8"/>
      <c r="Z104" s="8"/>
      <c r="AB104" s="25" t="s">
        <v>22</v>
      </c>
      <c r="AC104" s="25" t="s">
        <v>22</v>
      </c>
      <c r="AD104" s="25" t="s">
        <v>22</v>
      </c>
      <c r="AE104" s="25" t="s">
        <v>22</v>
      </c>
      <c r="AF104" s="25" t="s">
        <v>22</v>
      </c>
      <c r="AG104" s="25" t="s">
        <v>22</v>
      </c>
      <c r="AH104" s="7" t="s">
        <v>22</v>
      </c>
      <c r="AJ104" s="53" t="s">
        <v>29</v>
      </c>
      <c r="AK104" s="54">
        <v>50</v>
      </c>
      <c r="AL104" s="55">
        <v>1</v>
      </c>
      <c r="AM104" s="55">
        <v>1</v>
      </c>
      <c r="AN104" s="55">
        <v>1</v>
      </c>
      <c r="AO104" s="55">
        <v>1</v>
      </c>
      <c r="AP104" s="55">
        <v>1</v>
      </c>
      <c r="AQ104" s="56">
        <v>1</v>
      </c>
      <c r="AR104" s="57">
        <v>12</v>
      </c>
    </row>
    <row r="105" spans="11:44" ht="16.2" x14ac:dyDescent="0.3">
      <c r="K105" s="21">
        <v>101</v>
      </c>
      <c r="L105" s="24" t="s">
        <v>22</v>
      </c>
      <c r="M105" s="24" t="s">
        <v>22</v>
      </c>
      <c r="N105" s="24" t="s">
        <v>22</v>
      </c>
      <c r="O105" s="24" t="s">
        <v>22</v>
      </c>
      <c r="P105" s="24" t="s">
        <v>22</v>
      </c>
      <c r="Q105" s="24" t="s">
        <v>22</v>
      </c>
      <c r="R105" s="24" t="s">
        <v>22</v>
      </c>
      <c r="T105" s="8"/>
      <c r="U105" s="8"/>
      <c r="V105" s="8"/>
      <c r="W105" s="8"/>
      <c r="X105" s="8"/>
      <c r="Y105" s="8"/>
      <c r="Z105" s="8"/>
      <c r="AB105" s="25" t="s">
        <v>22</v>
      </c>
      <c r="AC105" s="25" t="s">
        <v>22</v>
      </c>
      <c r="AD105" s="25" t="s">
        <v>22</v>
      </c>
      <c r="AE105" s="25" t="s">
        <v>22</v>
      </c>
      <c r="AF105" s="25" t="s">
        <v>22</v>
      </c>
      <c r="AG105" s="25" t="s">
        <v>22</v>
      </c>
      <c r="AH105" s="7" t="s">
        <v>22</v>
      </c>
      <c r="AJ105" s="53" t="s">
        <v>79</v>
      </c>
      <c r="AK105" s="54">
        <v>0</v>
      </c>
      <c r="AL105" s="55">
        <v>2</v>
      </c>
      <c r="AM105" s="55">
        <v>2</v>
      </c>
      <c r="AN105" s="55">
        <v>1</v>
      </c>
      <c r="AO105" s="55">
        <v>2</v>
      </c>
      <c r="AP105" s="55">
        <v>0</v>
      </c>
      <c r="AQ105" s="56">
        <v>0</v>
      </c>
      <c r="AR105" s="57">
        <v>13</v>
      </c>
    </row>
    <row r="106" spans="11:44" ht="16.2" x14ac:dyDescent="0.3">
      <c r="K106" s="22">
        <v>102</v>
      </c>
      <c r="L106" s="24" t="s">
        <v>22</v>
      </c>
      <c r="M106" s="24" t="s">
        <v>22</v>
      </c>
      <c r="N106" s="24" t="s">
        <v>22</v>
      </c>
      <c r="O106" s="24" t="s">
        <v>22</v>
      </c>
      <c r="P106" s="24" t="s">
        <v>22</v>
      </c>
      <c r="Q106" s="24" t="s">
        <v>22</v>
      </c>
      <c r="R106" s="24" t="s">
        <v>22</v>
      </c>
      <c r="T106" s="8"/>
      <c r="U106" s="8"/>
      <c r="V106" s="8"/>
      <c r="W106" s="8"/>
      <c r="X106" s="8"/>
      <c r="Y106" s="8"/>
      <c r="Z106" s="8"/>
      <c r="AB106" s="25" t="s">
        <v>22</v>
      </c>
      <c r="AC106" s="25" t="s">
        <v>22</v>
      </c>
      <c r="AD106" s="25" t="s">
        <v>22</v>
      </c>
      <c r="AE106" s="25" t="s">
        <v>22</v>
      </c>
      <c r="AF106" s="25" t="s">
        <v>22</v>
      </c>
      <c r="AG106" s="25" t="s">
        <v>22</v>
      </c>
      <c r="AH106" s="7" t="s">
        <v>22</v>
      </c>
      <c r="AJ106" s="53" t="s">
        <v>80</v>
      </c>
      <c r="AK106" s="54">
        <v>0</v>
      </c>
      <c r="AL106" s="55">
        <v>1</v>
      </c>
      <c r="AM106" s="55">
        <v>1</v>
      </c>
      <c r="AN106" s="55">
        <v>2</v>
      </c>
      <c r="AO106" s="55">
        <v>1</v>
      </c>
      <c r="AP106" s="55">
        <v>0</v>
      </c>
      <c r="AQ106" s="56">
        <v>0</v>
      </c>
      <c r="AR106" s="57">
        <v>14</v>
      </c>
    </row>
    <row r="107" spans="11:44" ht="16.2" x14ac:dyDescent="0.3">
      <c r="K107" s="21">
        <v>103</v>
      </c>
      <c r="L107" s="24" t="s">
        <v>22</v>
      </c>
      <c r="M107" s="24" t="s">
        <v>22</v>
      </c>
      <c r="N107" s="24" t="s">
        <v>22</v>
      </c>
      <c r="O107" s="24" t="s">
        <v>22</v>
      </c>
      <c r="P107" s="24" t="s">
        <v>22</v>
      </c>
      <c r="Q107" s="24" t="s">
        <v>22</v>
      </c>
      <c r="R107" s="24" t="s">
        <v>22</v>
      </c>
      <c r="T107" s="8"/>
      <c r="U107" s="8"/>
      <c r="V107" s="8"/>
      <c r="W107" s="8"/>
      <c r="X107" s="8"/>
      <c r="Y107" s="8"/>
      <c r="Z107" s="8"/>
      <c r="AB107" s="25" t="s">
        <v>22</v>
      </c>
      <c r="AC107" s="25" t="s">
        <v>22</v>
      </c>
      <c r="AD107" s="25" t="s">
        <v>22</v>
      </c>
      <c r="AE107" s="25" t="s">
        <v>22</v>
      </c>
      <c r="AF107" s="25" t="s">
        <v>22</v>
      </c>
      <c r="AG107" s="25" t="s">
        <v>22</v>
      </c>
      <c r="AH107" s="7" t="s">
        <v>22</v>
      </c>
      <c r="AJ107" s="53" t="s">
        <v>81</v>
      </c>
      <c r="AK107" s="54">
        <v>0</v>
      </c>
      <c r="AL107" s="55">
        <v>2</v>
      </c>
      <c r="AM107" s="55">
        <v>2</v>
      </c>
      <c r="AN107" s="55">
        <v>1</v>
      </c>
      <c r="AO107" s="55">
        <v>1</v>
      </c>
      <c r="AP107" s="55">
        <v>0</v>
      </c>
      <c r="AQ107" s="56">
        <v>0</v>
      </c>
      <c r="AR107" s="57">
        <v>15</v>
      </c>
    </row>
    <row r="108" spans="11:44" ht="16.2" x14ac:dyDescent="0.3">
      <c r="K108" s="22">
        <v>104</v>
      </c>
      <c r="L108" s="24" t="s">
        <v>22</v>
      </c>
      <c r="M108" s="24" t="s">
        <v>22</v>
      </c>
      <c r="N108" s="24" t="s">
        <v>22</v>
      </c>
      <c r="O108" s="24" t="s">
        <v>22</v>
      </c>
      <c r="P108" s="24" t="s">
        <v>22</v>
      </c>
      <c r="Q108" s="24" t="s">
        <v>22</v>
      </c>
      <c r="R108" s="24" t="s">
        <v>22</v>
      </c>
      <c r="T108" s="8"/>
      <c r="U108" s="8"/>
      <c r="V108" s="8"/>
      <c r="W108" s="8"/>
      <c r="X108" s="8"/>
      <c r="Y108" s="8"/>
      <c r="Z108" s="8"/>
      <c r="AB108" s="25" t="s">
        <v>22</v>
      </c>
      <c r="AC108" s="25" t="s">
        <v>22</v>
      </c>
      <c r="AD108" s="25" t="s">
        <v>22</v>
      </c>
      <c r="AE108" s="25" t="s">
        <v>22</v>
      </c>
      <c r="AF108" s="25" t="s">
        <v>22</v>
      </c>
      <c r="AG108" s="25" t="s">
        <v>22</v>
      </c>
      <c r="AH108" s="7" t="s">
        <v>22</v>
      </c>
      <c r="AJ108" s="53" t="s">
        <v>82</v>
      </c>
      <c r="AK108" s="54">
        <v>0</v>
      </c>
      <c r="AL108" s="55">
        <v>1</v>
      </c>
      <c r="AM108" s="55">
        <v>1</v>
      </c>
      <c r="AN108" s="55">
        <v>1</v>
      </c>
      <c r="AO108" s="55">
        <v>1</v>
      </c>
      <c r="AP108" s="55">
        <v>0</v>
      </c>
      <c r="AQ108" s="56">
        <v>0</v>
      </c>
      <c r="AR108" s="57">
        <v>16</v>
      </c>
    </row>
    <row r="109" spans="11:44" ht="16.2" x14ac:dyDescent="0.3">
      <c r="K109" s="21">
        <v>105</v>
      </c>
      <c r="L109" s="24" t="s">
        <v>22</v>
      </c>
      <c r="M109" s="24" t="s">
        <v>22</v>
      </c>
      <c r="N109" s="24" t="s">
        <v>22</v>
      </c>
      <c r="O109" s="24" t="s">
        <v>22</v>
      </c>
      <c r="P109" s="24" t="s">
        <v>22</v>
      </c>
      <c r="Q109" s="24" t="s">
        <v>22</v>
      </c>
      <c r="R109" s="24" t="s">
        <v>22</v>
      </c>
      <c r="T109" s="8"/>
      <c r="U109" s="8"/>
      <c r="V109" s="8"/>
      <c r="W109" s="8"/>
      <c r="X109" s="8"/>
      <c r="Y109" s="8"/>
      <c r="Z109" s="8"/>
      <c r="AB109" s="25" t="s">
        <v>22</v>
      </c>
      <c r="AC109" s="25" t="s">
        <v>22</v>
      </c>
      <c r="AD109" s="25" t="s">
        <v>22</v>
      </c>
      <c r="AE109" s="25" t="s">
        <v>22</v>
      </c>
      <c r="AF109" s="25" t="s">
        <v>22</v>
      </c>
      <c r="AG109" s="25" t="s">
        <v>22</v>
      </c>
      <c r="AH109" s="7" t="s">
        <v>22</v>
      </c>
      <c r="AJ109" s="53" t="s">
        <v>83</v>
      </c>
      <c r="AK109" s="54">
        <v>0</v>
      </c>
      <c r="AL109" s="55">
        <v>2</v>
      </c>
      <c r="AM109" s="55">
        <v>2</v>
      </c>
      <c r="AN109" s="55">
        <v>1</v>
      </c>
      <c r="AO109" s="55">
        <v>2</v>
      </c>
      <c r="AP109" s="55">
        <v>0</v>
      </c>
      <c r="AQ109" s="56">
        <v>0</v>
      </c>
      <c r="AR109" s="57">
        <v>17</v>
      </c>
    </row>
    <row r="110" spans="11:44" ht="16.2" x14ac:dyDescent="0.3">
      <c r="K110" s="22">
        <v>106</v>
      </c>
      <c r="L110" s="24" t="s">
        <v>22</v>
      </c>
      <c r="M110" s="24" t="s">
        <v>22</v>
      </c>
      <c r="N110" s="24" t="s">
        <v>22</v>
      </c>
      <c r="O110" s="24" t="s">
        <v>22</v>
      </c>
      <c r="P110" s="24" t="s">
        <v>22</v>
      </c>
      <c r="Q110" s="24" t="s">
        <v>22</v>
      </c>
      <c r="R110" s="24" t="s">
        <v>22</v>
      </c>
      <c r="T110" s="8"/>
      <c r="U110" s="8"/>
      <c r="V110" s="8"/>
      <c r="W110" s="8"/>
      <c r="X110" s="8"/>
      <c r="Y110" s="8"/>
      <c r="Z110" s="8"/>
      <c r="AB110" s="25" t="s">
        <v>22</v>
      </c>
      <c r="AC110" s="25" t="s">
        <v>22</v>
      </c>
      <c r="AD110" s="25" t="s">
        <v>22</v>
      </c>
      <c r="AE110" s="25" t="s">
        <v>22</v>
      </c>
      <c r="AF110" s="25" t="s">
        <v>22</v>
      </c>
      <c r="AG110" s="25" t="s">
        <v>22</v>
      </c>
      <c r="AH110" s="7" t="s">
        <v>22</v>
      </c>
      <c r="AJ110" s="53" t="s">
        <v>162</v>
      </c>
      <c r="AK110" s="54">
        <v>0</v>
      </c>
      <c r="AL110" s="55">
        <v>2</v>
      </c>
      <c r="AM110" s="55">
        <v>2</v>
      </c>
      <c r="AN110" s="55">
        <v>1</v>
      </c>
      <c r="AO110" s="55">
        <v>2</v>
      </c>
      <c r="AP110" s="55">
        <v>0</v>
      </c>
      <c r="AQ110" s="56">
        <v>0</v>
      </c>
      <c r="AR110" s="57">
        <v>18</v>
      </c>
    </row>
    <row r="111" spans="11:44" ht="16.2" x14ac:dyDescent="0.3">
      <c r="K111" s="21">
        <v>107</v>
      </c>
      <c r="L111" s="24" t="s">
        <v>22</v>
      </c>
      <c r="M111" s="24" t="s">
        <v>22</v>
      </c>
      <c r="N111" s="24" t="s">
        <v>22</v>
      </c>
      <c r="O111" s="24" t="s">
        <v>22</v>
      </c>
      <c r="P111" s="24" t="s">
        <v>22</v>
      </c>
      <c r="Q111" s="24" t="s">
        <v>22</v>
      </c>
      <c r="R111" s="24" t="s">
        <v>22</v>
      </c>
      <c r="T111" s="8"/>
      <c r="U111" s="8"/>
      <c r="V111" s="8"/>
      <c r="W111" s="8"/>
      <c r="X111" s="8"/>
      <c r="Y111" s="8"/>
      <c r="Z111" s="8"/>
      <c r="AB111" s="25" t="s">
        <v>22</v>
      </c>
      <c r="AC111" s="25" t="s">
        <v>22</v>
      </c>
      <c r="AD111" s="25" t="s">
        <v>22</v>
      </c>
      <c r="AE111" s="25" t="s">
        <v>22</v>
      </c>
      <c r="AF111" s="25" t="s">
        <v>22</v>
      </c>
      <c r="AG111" s="25" t="s">
        <v>22</v>
      </c>
      <c r="AH111" s="7" t="s">
        <v>22</v>
      </c>
      <c r="AJ111" s="53" t="s">
        <v>84</v>
      </c>
      <c r="AK111" s="54">
        <v>0</v>
      </c>
      <c r="AL111" s="55">
        <v>2</v>
      </c>
      <c r="AM111" s="55">
        <v>1</v>
      </c>
      <c r="AN111" s="55">
        <v>1</v>
      </c>
      <c r="AO111" s="55">
        <v>2</v>
      </c>
      <c r="AP111" s="55">
        <v>0</v>
      </c>
      <c r="AQ111" s="56">
        <v>0</v>
      </c>
      <c r="AR111" s="57">
        <v>19</v>
      </c>
    </row>
    <row r="112" spans="11:44" ht="16.2" x14ac:dyDescent="0.3">
      <c r="K112" s="22">
        <v>108</v>
      </c>
      <c r="L112" s="24" t="s">
        <v>22</v>
      </c>
      <c r="M112" s="24" t="s">
        <v>22</v>
      </c>
      <c r="N112" s="24" t="s">
        <v>22</v>
      </c>
      <c r="O112" s="24" t="s">
        <v>22</v>
      </c>
      <c r="P112" s="24" t="s">
        <v>22</v>
      </c>
      <c r="Q112" s="24" t="s">
        <v>22</v>
      </c>
      <c r="R112" s="24" t="s">
        <v>22</v>
      </c>
      <c r="T112" s="8"/>
      <c r="U112" s="8"/>
      <c r="V112" s="8"/>
      <c r="W112" s="8"/>
      <c r="X112" s="8"/>
      <c r="Y112" s="8"/>
      <c r="Z112" s="8"/>
      <c r="AB112" s="25" t="s">
        <v>22</v>
      </c>
      <c r="AC112" s="25" t="s">
        <v>22</v>
      </c>
      <c r="AD112" s="25" t="s">
        <v>22</v>
      </c>
      <c r="AE112" s="25" t="s">
        <v>22</v>
      </c>
      <c r="AF112" s="25" t="s">
        <v>22</v>
      </c>
      <c r="AG112" s="25" t="s">
        <v>22</v>
      </c>
      <c r="AH112" s="7" t="s">
        <v>22</v>
      </c>
      <c r="AJ112" s="53" t="s">
        <v>85</v>
      </c>
      <c r="AK112" s="54">
        <v>0</v>
      </c>
      <c r="AL112" s="55">
        <v>2</v>
      </c>
      <c r="AM112" s="55">
        <v>1</v>
      </c>
      <c r="AN112" s="55">
        <v>2</v>
      </c>
      <c r="AO112" s="55">
        <v>1</v>
      </c>
      <c r="AP112" s="55">
        <v>0</v>
      </c>
      <c r="AQ112" s="56">
        <v>0</v>
      </c>
      <c r="AR112" s="57">
        <v>20</v>
      </c>
    </row>
    <row r="113" spans="11:44" ht="16.2" x14ac:dyDescent="0.3">
      <c r="K113" s="21">
        <v>109</v>
      </c>
      <c r="L113" s="24" t="s">
        <v>22</v>
      </c>
      <c r="M113" s="24" t="s">
        <v>22</v>
      </c>
      <c r="N113" s="24" t="s">
        <v>22</v>
      </c>
      <c r="O113" s="24" t="s">
        <v>22</v>
      </c>
      <c r="P113" s="24" t="s">
        <v>22</v>
      </c>
      <c r="Q113" s="24" t="s">
        <v>22</v>
      </c>
      <c r="R113" s="24" t="s">
        <v>22</v>
      </c>
      <c r="T113" s="8"/>
      <c r="U113" s="8"/>
      <c r="V113" s="8"/>
      <c r="W113" s="8"/>
      <c r="X113" s="8"/>
      <c r="Y113" s="8"/>
      <c r="Z113" s="8"/>
      <c r="AB113" s="25" t="s">
        <v>22</v>
      </c>
      <c r="AC113" s="25" t="s">
        <v>22</v>
      </c>
      <c r="AD113" s="25" t="s">
        <v>22</v>
      </c>
      <c r="AE113" s="25" t="s">
        <v>22</v>
      </c>
      <c r="AF113" s="25" t="s">
        <v>22</v>
      </c>
      <c r="AG113" s="25" t="s">
        <v>22</v>
      </c>
      <c r="AH113" s="7" t="s">
        <v>22</v>
      </c>
      <c r="AJ113" s="53" t="s">
        <v>86</v>
      </c>
      <c r="AK113" s="54">
        <v>0</v>
      </c>
      <c r="AL113" s="55">
        <v>2</v>
      </c>
      <c r="AM113" s="55">
        <v>2</v>
      </c>
      <c r="AN113" s="55">
        <v>1</v>
      </c>
      <c r="AO113" s="55">
        <v>1</v>
      </c>
      <c r="AP113" s="55">
        <v>0</v>
      </c>
      <c r="AQ113" s="56">
        <v>0</v>
      </c>
      <c r="AR113" s="57">
        <v>21</v>
      </c>
    </row>
    <row r="114" spans="11:44" ht="16.2" x14ac:dyDescent="0.3">
      <c r="K114" s="22">
        <v>110</v>
      </c>
      <c r="L114" s="24" t="s">
        <v>22</v>
      </c>
      <c r="M114" s="24" t="s">
        <v>22</v>
      </c>
      <c r="N114" s="24" t="s">
        <v>22</v>
      </c>
      <c r="O114" s="24" t="s">
        <v>22</v>
      </c>
      <c r="P114" s="24" t="s">
        <v>22</v>
      </c>
      <c r="Q114" s="24" t="s">
        <v>22</v>
      </c>
      <c r="R114" s="24" t="s">
        <v>22</v>
      </c>
      <c r="T114" s="8"/>
      <c r="U114" s="8"/>
      <c r="V114" s="8"/>
      <c r="W114" s="8"/>
      <c r="X114" s="8"/>
      <c r="Y114" s="8"/>
      <c r="Z114" s="8"/>
      <c r="AB114" s="25" t="s">
        <v>22</v>
      </c>
      <c r="AC114" s="25" t="s">
        <v>22</v>
      </c>
      <c r="AD114" s="25" t="s">
        <v>22</v>
      </c>
      <c r="AE114" s="25" t="s">
        <v>22</v>
      </c>
      <c r="AF114" s="25" t="s">
        <v>22</v>
      </c>
      <c r="AG114" s="25" t="s">
        <v>22</v>
      </c>
      <c r="AH114" s="7" t="s">
        <v>22</v>
      </c>
      <c r="AJ114" s="53" t="s">
        <v>87</v>
      </c>
      <c r="AK114" s="54">
        <v>0</v>
      </c>
      <c r="AL114" s="55">
        <v>1</v>
      </c>
      <c r="AM114" s="55">
        <v>1</v>
      </c>
      <c r="AN114" s="55">
        <v>1</v>
      </c>
      <c r="AO114" s="55">
        <v>1</v>
      </c>
      <c r="AP114" s="55">
        <v>0</v>
      </c>
      <c r="AQ114" s="56">
        <v>0</v>
      </c>
      <c r="AR114" s="57">
        <v>22</v>
      </c>
    </row>
    <row r="115" spans="11:44" ht="16.8" thickBot="1" x14ac:dyDescent="0.35">
      <c r="K115" s="21">
        <v>111</v>
      </c>
      <c r="L115" s="24" t="s">
        <v>22</v>
      </c>
      <c r="M115" s="24" t="s">
        <v>22</v>
      </c>
      <c r="N115" s="24" t="s">
        <v>22</v>
      </c>
      <c r="O115" s="24" t="s">
        <v>22</v>
      </c>
      <c r="P115" s="24" t="s">
        <v>22</v>
      </c>
      <c r="Q115" s="24" t="s">
        <v>22</v>
      </c>
      <c r="R115" s="24" t="s">
        <v>22</v>
      </c>
      <c r="T115" s="8"/>
      <c r="U115" s="8"/>
      <c r="V115" s="8"/>
      <c r="W115" s="8"/>
      <c r="X115" s="8"/>
      <c r="Y115" s="8"/>
      <c r="Z115" s="8"/>
      <c r="AB115" s="25" t="s">
        <v>22</v>
      </c>
      <c r="AC115" s="25" t="s">
        <v>22</v>
      </c>
      <c r="AD115" s="25" t="s">
        <v>22</v>
      </c>
      <c r="AE115" s="25" t="s">
        <v>22</v>
      </c>
      <c r="AF115" s="25" t="s">
        <v>22</v>
      </c>
      <c r="AG115" s="25" t="s">
        <v>22</v>
      </c>
      <c r="AH115" s="7" t="s">
        <v>22</v>
      </c>
      <c r="AJ115" s="59" t="s">
        <v>88</v>
      </c>
      <c r="AK115" s="60">
        <v>0</v>
      </c>
      <c r="AL115" s="61">
        <v>2</v>
      </c>
      <c r="AM115" s="61">
        <v>1</v>
      </c>
      <c r="AN115" s="61">
        <v>1</v>
      </c>
      <c r="AO115" s="61">
        <v>1</v>
      </c>
      <c r="AP115" s="61">
        <v>0</v>
      </c>
      <c r="AQ115" s="62">
        <v>0</v>
      </c>
      <c r="AR115" s="126">
        <v>23</v>
      </c>
    </row>
    <row r="116" spans="11:44" ht="16.2" x14ac:dyDescent="0.3">
      <c r="K116" s="22">
        <v>112</v>
      </c>
      <c r="L116" s="24" t="s">
        <v>22</v>
      </c>
      <c r="M116" s="24" t="s">
        <v>22</v>
      </c>
      <c r="N116" s="24" t="s">
        <v>22</v>
      </c>
      <c r="O116" s="24" t="s">
        <v>22</v>
      </c>
      <c r="P116" s="24" t="s">
        <v>22</v>
      </c>
      <c r="Q116" s="24" t="s">
        <v>22</v>
      </c>
      <c r="R116" s="24" t="s">
        <v>22</v>
      </c>
      <c r="T116" s="8"/>
      <c r="U116" s="8"/>
      <c r="V116" s="8"/>
      <c r="W116" s="8"/>
      <c r="X116" s="8"/>
      <c r="Y116" s="8"/>
      <c r="Z116" s="8"/>
      <c r="AB116" s="25" t="s">
        <v>22</v>
      </c>
      <c r="AC116" s="25" t="s">
        <v>22</v>
      </c>
      <c r="AD116" s="25" t="s">
        <v>22</v>
      </c>
      <c r="AE116" s="25" t="s">
        <v>22</v>
      </c>
      <c r="AF116" s="25" t="s">
        <v>22</v>
      </c>
      <c r="AG116" s="25" t="s">
        <v>22</v>
      </c>
      <c r="AH116" s="7" t="s">
        <v>22</v>
      </c>
      <c r="AJ116" s="132" t="s">
        <v>176</v>
      </c>
      <c r="AK116" s="133">
        <v>0</v>
      </c>
      <c r="AL116" s="134">
        <v>10</v>
      </c>
      <c r="AM116" s="134">
        <v>10</v>
      </c>
      <c r="AN116" s="134">
        <v>10</v>
      </c>
      <c r="AO116" s="134">
        <v>10</v>
      </c>
      <c r="AP116" s="134">
        <v>0</v>
      </c>
      <c r="AQ116" s="135">
        <v>0</v>
      </c>
      <c r="AR116" s="131">
        <v>24</v>
      </c>
    </row>
    <row r="117" spans="11:44" ht="16.8" thickBot="1" x14ac:dyDescent="0.35">
      <c r="K117" s="21">
        <v>113</v>
      </c>
      <c r="L117" s="24" t="s">
        <v>22</v>
      </c>
      <c r="M117" s="24" t="s">
        <v>22</v>
      </c>
      <c r="N117" s="24" t="s">
        <v>22</v>
      </c>
      <c r="O117" s="24" t="s">
        <v>22</v>
      </c>
      <c r="P117" s="24" t="s">
        <v>22</v>
      </c>
      <c r="Q117" s="24" t="s">
        <v>22</v>
      </c>
      <c r="R117" s="24" t="s">
        <v>22</v>
      </c>
      <c r="T117" s="8"/>
      <c r="U117" s="8"/>
      <c r="V117" s="8"/>
      <c r="W117" s="8"/>
      <c r="X117" s="8"/>
      <c r="Y117" s="8"/>
      <c r="Z117" s="8"/>
      <c r="AB117" s="25" t="s">
        <v>22</v>
      </c>
      <c r="AC117" s="25" t="s">
        <v>22</v>
      </c>
      <c r="AD117" s="25" t="s">
        <v>22</v>
      </c>
      <c r="AE117" s="25" t="s">
        <v>22</v>
      </c>
      <c r="AF117" s="25" t="s">
        <v>22</v>
      </c>
      <c r="AG117" s="25" t="s">
        <v>22</v>
      </c>
      <c r="AH117" s="7" t="s">
        <v>22</v>
      </c>
      <c r="AJ117" s="80" t="s">
        <v>187</v>
      </c>
      <c r="AK117" s="72">
        <v>0</v>
      </c>
      <c r="AL117" s="73">
        <v>1</v>
      </c>
      <c r="AM117" s="73">
        <v>1</v>
      </c>
      <c r="AN117" s="73">
        <v>1</v>
      </c>
      <c r="AO117" s="73">
        <v>1</v>
      </c>
      <c r="AP117" s="73">
        <v>0</v>
      </c>
      <c r="AQ117" s="74">
        <v>0</v>
      </c>
      <c r="AR117" s="63">
        <v>25</v>
      </c>
    </row>
    <row r="118" spans="11:44" x14ac:dyDescent="0.3">
      <c r="K118" s="22">
        <v>114</v>
      </c>
      <c r="L118" s="24" t="s">
        <v>22</v>
      </c>
      <c r="M118" s="24" t="s">
        <v>22</v>
      </c>
      <c r="N118" s="24" t="s">
        <v>22</v>
      </c>
      <c r="O118" s="24" t="s">
        <v>22</v>
      </c>
      <c r="P118" s="24" t="s">
        <v>22</v>
      </c>
      <c r="Q118" s="24" t="s">
        <v>22</v>
      </c>
      <c r="R118" s="24" t="s">
        <v>22</v>
      </c>
      <c r="T118" s="8"/>
      <c r="U118" s="8"/>
      <c r="V118" s="8"/>
      <c r="W118" s="8"/>
      <c r="X118" s="8"/>
      <c r="Y118" s="8"/>
      <c r="Z118" s="8"/>
      <c r="AB118" s="25" t="s">
        <v>22</v>
      </c>
      <c r="AC118" s="25" t="s">
        <v>22</v>
      </c>
      <c r="AD118" s="25" t="s">
        <v>22</v>
      </c>
      <c r="AE118" s="25" t="s">
        <v>22</v>
      </c>
      <c r="AF118" s="25" t="s">
        <v>22</v>
      </c>
      <c r="AG118" s="25" t="s">
        <v>22</v>
      </c>
      <c r="AH118" s="7" t="s">
        <v>22</v>
      </c>
      <c r="AJ118" s="82"/>
      <c r="AK118" s="82"/>
      <c r="AL118" s="82"/>
      <c r="AM118" s="82"/>
      <c r="AN118" s="82"/>
      <c r="AO118" s="82"/>
      <c r="AP118" s="82"/>
      <c r="AQ118" s="82"/>
      <c r="AR118" s="82"/>
    </row>
    <row r="119" spans="11:44" ht="16.2" thickBot="1" x14ac:dyDescent="0.35">
      <c r="K119" s="21">
        <v>115</v>
      </c>
      <c r="L119" s="24" t="s">
        <v>22</v>
      </c>
      <c r="M119" s="24" t="s">
        <v>22</v>
      </c>
      <c r="N119" s="24" t="s">
        <v>22</v>
      </c>
      <c r="O119" s="24" t="s">
        <v>22</v>
      </c>
      <c r="P119" s="24" t="s">
        <v>22</v>
      </c>
      <c r="Q119" s="24" t="s">
        <v>22</v>
      </c>
      <c r="R119" s="24" t="s">
        <v>22</v>
      </c>
      <c r="T119" s="8"/>
      <c r="U119" s="8"/>
      <c r="V119" s="8"/>
      <c r="W119" s="8"/>
      <c r="X119" s="8"/>
      <c r="Y119" s="8"/>
      <c r="Z119" s="8"/>
      <c r="AB119" s="25" t="s">
        <v>22</v>
      </c>
      <c r="AC119" s="25" t="s">
        <v>22</v>
      </c>
      <c r="AD119" s="25" t="s">
        <v>22</v>
      </c>
      <c r="AE119" s="25" t="s">
        <v>22</v>
      </c>
      <c r="AF119" s="25" t="s">
        <v>22</v>
      </c>
      <c r="AG119" s="25" t="s">
        <v>22</v>
      </c>
      <c r="AH119" s="7" t="s">
        <v>22</v>
      </c>
      <c r="AJ119" s="82"/>
      <c r="AK119" s="245" t="s">
        <v>164</v>
      </c>
      <c r="AL119" s="245"/>
      <c r="AM119" s="245"/>
      <c r="AN119" s="245"/>
      <c r="AO119" s="245"/>
      <c r="AP119" s="245"/>
      <c r="AQ119" s="245"/>
      <c r="AR119" s="245"/>
    </row>
    <row r="120" spans="11:44" ht="16.8" thickBot="1" x14ac:dyDescent="0.35">
      <c r="K120" s="22">
        <v>116</v>
      </c>
      <c r="L120" s="24" t="s">
        <v>22</v>
      </c>
      <c r="M120" s="24" t="s">
        <v>22</v>
      </c>
      <c r="N120" s="24" t="s">
        <v>22</v>
      </c>
      <c r="O120" s="24" t="s">
        <v>22</v>
      </c>
      <c r="P120" s="24" t="s">
        <v>22</v>
      </c>
      <c r="Q120" s="24" t="s">
        <v>22</v>
      </c>
      <c r="R120" s="24" t="s">
        <v>22</v>
      </c>
      <c r="T120" s="8"/>
      <c r="U120" s="8"/>
      <c r="V120" s="8"/>
      <c r="W120" s="8"/>
      <c r="X120" s="8"/>
      <c r="Y120" s="8"/>
      <c r="Z120" s="8"/>
      <c r="AB120" s="25" t="s">
        <v>22</v>
      </c>
      <c r="AC120" s="25" t="s">
        <v>22</v>
      </c>
      <c r="AD120" s="25" t="s">
        <v>22</v>
      </c>
      <c r="AE120" s="25" t="s">
        <v>22</v>
      </c>
      <c r="AF120" s="25" t="s">
        <v>22</v>
      </c>
      <c r="AG120" s="25" t="s">
        <v>22</v>
      </c>
      <c r="AH120" s="7" t="s">
        <v>22</v>
      </c>
      <c r="AJ120" s="44" t="s">
        <v>52</v>
      </c>
      <c r="AK120" s="45" t="s">
        <v>12</v>
      </c>
      <c r="AL120" s="45" t="s">
        <v>13</v>
      </c>
      <c r="AM120" s="45" t="s">
        <v>14</v>
      </c>
      <c r="AN120" s="45" t="s">
        <v>15</v>
      </c>
      <c r="AO120" s="45" t="s">
        <v>16</v>
      </c>
      <c r="AP120" s="45" t="s">
        <v>56</v>
      </c>
      <c r="AQ120" s="46" t="s">
        <v>76</v>
      </c>
      <c r="AR120" s="47" t="s">
        <v>3</v>
      </c>
    </row>
    <row r="121" spans="11:44" ht="16.2" x14ac:dyDescent="0.3">
      <c r="K121" s="21">
        <v>117</v>
      </c>
      <c r="L121" s="24" t="s">
        <v>22</v>
      </c>
      <c r="M121" s="24" t="s">
        <v>22</v>
      </c>
      <c r="N121" s="24" t="s">
        <v>22</v>
      </c>
      <c r="O121" s="24" t="s">
        <v>22</v>
      </c>
      <c r="P121" s="24" t="s">
        <v>22</v>
      </c>
      <c r="Q121" s="24" t="s">
        <v>22</v>
      </c>
      <c r="R121" s="24" t="s">
        <v>22</v>
      </c>
      <c r="T121" s="8"/>
      <c r="U121" s="8"/>
      <c r="V121" s="8"/>
      <c r="W121" s="8"/>
      <c r="X121" s="8"/>
      <c r="Y121" s="8"/>
      <c r="Z121" s="8"/>
      <c r="AB121" s="25" t="s">
        <v>22</v>
      </c>
      <c r="AC121" s="25" t="s">
        <v>22</v>
      </c>
      <c r="AD121" s="25" t="s">
        <v>22</v>
      </c>
      <c r="AE121" s="25" t="s">
        <v>22</v>
      </c>
      <c r="AF121" s="25" t="s">
        <v>22</v>
      </c>
      <c r="AG121" s="25" t="s">
        <v>22</v>
      </c>
      <c r="AH121" s="7" t="s">
        <v>22</v>
      </c>
      <c r="AJ121" s="48" t="s">
        <v>78</v>
      </c>
      <c r="AK121" s="49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1">
        <v>0</v>
      </c>
      <c r="AR121" s="52">
        <v>0</v>
      </c>
    </row>
    <row r="122" spans="11:44" ht="16.2" x14ac:dyDescent="0.3">
      <c r="K122" s="22">
        <v>118</v>
      </c>
      <c r="L122" s="24" t="s">
        <v>22</v>
      </c>
      <c r="M122" s="24" t="s">
        <v>22</v>
      </c>
      <c r="N122" s="24" t="s">
        <v>22</v>
      </c>
      <c r="O122" s="24" t="s">
        <v>22</v>
      </c>
      <c r="P122" s="24" t="s">
        <v>22</v>
      </c>
      <c r="Q122" s="24" t="s">
        <v>22</v>
      </c>
      <c r="R122" s="24" t="s">
        <v>22</v>
      </c>
      <c r="T122" s="8"/>
      <c r="U122" s="8"/>
      <c r="V122" s="8"/>
      <c r="W122" s="8"/>
      <c r="X122" s="8"/>
      <c r="Y122" s="8"/>
      <c r="Z122" s="8"/>
      <c r="AB122" s="25" t="s">
        <v>22</v>
      </c>
      <c r="AC122" s="25" t="s">
        <v>22</v>
      </c>
      <c r="AD122" s="25" t="s">
        <v>22</v>
      </c>
      <c r="AE122" s="25" t="s">
        <v>22</v>
      </c>
      <c r="AF122" s="25" t="s">
        <v>22</v>
      </c>
      <c r="AG122" s="25" t="s">
        <v>22</v>
      </c>
      <c r="AH122" s="7" t="s">
        <v>22</v>
      </c>
      <c r="AJ122" s="53" t="s">
        <v>19</v>
      </c>
      <c r="AK122" s="54">
        <v>5</v>
      </c>
      <c r="AL122" s="55">
        <v>5</v>
      </c>
      <c r="AM122" s="55">
        <v>5</v>
      </c>
      <c r="AN122" s="55">
        <v>5</v>
      </c>
      <c r="AO122" s="55">
        <v>5</v>
      </c>
      <c r="AP122" s="55">
        <v>5</v>
      </c>
      <c r="AQ122" s="56">
        <v>0</v>
      </c>
      <c r="AR122" s="57">
        <v>1</v>
      </c>
    </row>
    <row r="123" spans="11:44" ht="16.2" x14ac:dyDescent="0.3">
      <c r="K123" s="21">
        <v>119</v>
      </c>
      <c r="L123" s="24" t="s">
        <v>22</v>
      </c>
      <c r="M123" s="24" t="s">
        <v>22</v>
      </c>
      <c r="N123" s="24" t="s">
        <v>22</v>
      </c>
      <c r="O123" s="24" t="s">
        <v>22</v>
      </c>
      <c r="P123" s="24" t="s">
        <v>22</v>
      </c>
      <c r="Q123" s="24" t="s">
        <v>22</v>
      </c>
      <c r="R123" s="24" t="s">
        <v>22</v>
      </c>
      <c r="T123" s="8"/>
      <c r="U123" s="8"/>
      <c r="V123" s="8"/>
      <c r="W123" s="8"/>
      <c r="X123" s="8"/>
      <c r="Y123" s="8"/>
      <c r="Z123" s="8"/>
      <c r="AB123" s="25" t="s">
        <v>22</v>
      </c>
      <c r="AC123" s="25" t="s">
        <v>22</v>
      </c>
      <c r="AD123" s="25" t="s">
        <v>22</v>
      </c>
      <c r="AE123" s="25" t="s">
        <v>22</v>
      </c>
      <c r="AF123" s="25" t="s">
        <v>22</v>
      </c>
      <c r="AG123" s="25" t="s">
        <v>22</v>
      </c>
      <c r="AH123" s="7" t="s">
        <v>22</v>
      </c>
      <c r="AJ123" s="53" t="s">
        <v>20</v>
      </c>
      <c r="AK123" s="54">
        <v>40</v>
      </c>
      <c r="AL123" s="55">
        <v>0</v>
      </c>
      <c r="AM123" s="55">
        <v>1</v>
      </c>
      <c r="AN123" s="55">
        <v>1</v>
      </c>
      <c r="AO123" s="55">
        <v>70</v>
      </c>
      <c r="AP123" s="55">
        <v>1</v>
      </c>
      <c r="AQ123" s="56">
        <v>0</v>
      </c>
      <c r="AR123" s="57">
        <v>2</v>
      </c>
    </row>
    <row r="124" spans="11:44" ht="16.2" x14ac:dyDescent="0.3">
      <c r="K124" s="22">
        <v>120</v>
      </c>
      <c r="L124" s="24" t="s">
        <v>22</v>
      </c>
      <c r="M124" s="24" t="s">
        <v>22</v>
      </c>
      <c r="N124" s="24" t="s">
        <v>22</v>
      </c>
      <c r="O124" s="24" t="s">
        <v>22</v>
      </c>
      <c r="P124" s="24" t="s">
        <v>22</v>
      </c>
      <c r="Q124" s="24" t="s">
        <v>22</v>
      </c>
      <c r="R124" s="24" t="s">
        <v>22</v>
      </c>
      <c r="T124" s="8"/>
      <c r="U124" s="8"/>
      <c r="V124" s="8"/>
      <c r="W124" s="8"/>
      <c r="X124" s="8"/>
      <c r="Y124" s="8"/>
      <c r="Z124" s="8"/>
      <c r="AB124" s="25" t="s">
        <v>22</v>
      </c>
      <c r="AC124" s="25" t="s">
        <v>22</v>
      </c>
      <c r="AD124" s="25" t="s">
        <v>22</v>
      </c>
      <c r="AE124" s="25" t="s">
        <v>22</v>
      </c>
      <c r="AF124" s="25" t="s">
        <v>22</v>
      </c>
      <c r="AG124" s="25" t="s">
        <v>22</v>
      </c>
      <c r="AH124" s="7" t="s">
        <v>22</v>
      </c>
      <c r="AJ124" s="53" t="s">
        <v>21</v>
      </c>
      <c r="AK124" s="54">
        <v>1</v>
      </c>
      <c r="AL124" s="55">
        <v>70</v>
      </c>
      <c r="AM124" s="55">
        <v>1</v>
      </c>
      <c r="AN124" s="55">
        <v>70</v>
      </c>
      <c r="AO124" s="55">
        <v>1</v>
      </c>
      <c r="AP124" s="55">
        <v>1</v>
      </c>
      <c r="AQ124" s="56">
        <v>0</v>
      </c>
      <c r="AR124" s="57">
        <v>3</v>
      </c>
    </row>
    <row r="125" spans="11:44" ht="16.2" x14ac:dyDescent="0.3">
      <c r="K125" s="21">
        <v>121</v>
      </c>
      <c r="L125" s="24" t="s">
        <v>22</v>
      </c>
      <c r="M125" s="24" t="s">
        <v>22</v>
      </c>
      <c r="N125" s="24" t="s">
        <v>22</v>
      </c>
      <c r="O125" s="24" t="s">
        <v>22</v>
      </c>
      <c r="P125" s="24" t="s">
        <v>22</v>
      </c>
      <c r="Q125" s="24" t="s">
        <v>22</v>
      </c>
      <c r="R125" s="24" t="s">
        <v>22</v>
      </c>
      <c r="T125" s="8"/>
      <c r="U125" s="8"/>
      <c r="V125" s="8"/>
      <c r="W125" s="8"/>
      <c r="X125" s="8"/>
      <c r="Y125" s="8"/>
      <c r="Z125" s="8"/>
      <c r="AB125" s="25" t="s">
        <v>22</v>
      </c>
      <c r="AC125" s="25" t="s">
        <v>22</v>
      </c>
      <c r="AD125" s="25" t="s">
        <v>22</v>
      </c>
      <c r="AE125" s="25" t="s">
        <v>22</v>
      </c>
      <c r="AF125" s="25" t="s">
        <v>22</v>
      </c>
      <c r="AG125" s="25" t="s">
        <v>22</v>
      </c>
      <c r="AH125" s="7" t="s">
        <v>22</v>
      </c>
      <c r="AJ125" s="53" t="s">
        <v>17</v>
      </c>
      <c r="AK125" s="54">
        <v>0</v>
      </c>
      <c r="AL125" s="55">
        <v>1</v>
      </c>
      <c r="AM125" s="55">
        <v>5</v>
      </c>
      <c r="AN125" s="55">
        <v>0</v>
      </c>
      <c r="AO125" s="55">
        <v>1</v>
      </c>
      <c r="AP125" s="55">
        <v>70</v>
      </c>
      <c r="AQ125" s="56">
        <v>1</v>
      </c>
      <c r="AR125" s="57">
        <v>4</v>
      </c>
    </row>
    <row r="126" spans="11:44" ht="16.2" x14ac:dyDescent="0.3">
      <c r="K126" s="22">
        <v>122</v>
      </c>
      <c r="L126" s="24" t="s">
        <v>22</v>
      </c>
      <c r="M126" s="24" t="s">
        <v>22</v>
      </c>
      <c r="N126" s="24" t="s">
        <v>22</v>
      </c>
      <c r="O126" s="24" t="s">
        <v>22</v>
      </c>
      <c r="P126" s="24" t="s">
        <v>22</v>
      </c>
      <c r="Q126" s="24" t="s">
        <v>22</v>
      </c>
      <c r="R126" s="24" t="s">
        <v>22</v>
      </c>
      <c r="T126" s="8"/>
      <c r="U126" s="8"/>
      <c r="V126" s="8"/>
      <c r="W126" s="8"/>
      <c r="X126" s="8"/>
      <c r="Y126" s="8"/>
      <c r="Z126" s="8"/>
      <c r="AB126" s="25" t="s">
        <v>22</v>
      </c>
      <c r="AC126" s="25" t="s">
        <v>22</v>
      </c>
      <c r="AD126" s="25" t="s">
        <v>22</v>
      </c>
      <c r="AE126" s="25" t="s">
        <v>22</v>
      </c>
      <c r="AF126" s="25" t="s">
        <v>22</v>
      </c>
      <c r="AG126" s="25" t="s">
        <v>22</v>
      </c>
      <c r="AH126" s="7" t="s">
        <v>22</v>
      </c>
      <c r="AJ126" s="53" t="s">
        <v>18</v>
      </c>
      <c r="AK126" s="54">
        <v>1</v>
      </c>
      <c r="AL126" s="55">
        <v>70</v>
      </c>
      <c r="AM126" s="55">
        <v>1</v>
      </c>
      <c r="AN126" s="55">
        <v>1</v>
      </c>
      <c r="AO126" s="55">
        <v>1</v>
      </c>
      <c r="AP126" s="55">
        <v>70</v>
      </c>
      <c r="AQ126" s="56">
        <v>1</v>
      </c>
      <c r="AR126" s="57">
        <v>5</v>
      </c>
    </row>
    <row r="127" spans="11:44" ht="16.2" x14ac:dyDescent="0.3">
      <c r="K127" s="21">
        <v>123</v>
      </c>
      <c r="L127" s="24" t="s">
        <v>22</v>
      </c>
      <c r="M127" s="24" t="s">
        <v>22</v>
      </c>
      <c r="N127" s="24" t="s">
        <v>22</v>
      </c>
      <c r="O127" s="24" t="s">
        <v>22</v>
      </c>
      <c r="P127" s="24" t="s">
        <v>22</v>
      </c>
      <c r="Q127" s="24" t="s">
        <v>22</v>
      </c>
      <c r="R127" s="24" t="s">
        <v>22</v>
      </c>
      <c r="T127" s="8"/>
      <c r="U127" s="8"/>
      <c r="V127" s="8"/>
      <c r="W127" s="8"/>
      <c r="X127" s="8"/>
      <c r="Y127" s="8"/>
      <c r="Z127" s="8"/>
      <c r="AB127" s="25" t="s">
        <v>22</v>
      </c>
      <c r="AC127" s="25" t="s">
        <v>22</v>
      </c>
      <c r="AD127" s="25" t="s">
        <v>22</v>
      </c>
      <c r="AE127" s="25" t="s">
        <v>22</v>
      </c>
      <c r="AF127" s="25" t="s">
        <v>22</v>
      </c>
      <c r="AG127" s="25" t="s">
        <v>22</v>
      </c>
      <c r="AH127" s="7" t="s">
        <v>22</v>
      </c>
      <c r="AJ127" s="53" t="s">
        <v>74</v>
      </c>
      <c r="AK127" s="54">
        <v>5</v>
      </c>
      <c r="AL127" s="55">
        <v>1</v>
      </c>
      <c r="AM127" s="55">
        <v>70</v>
      </c>
      <c r="AN127" s="55">
        <v>1</v>
      </c>
      <c r="AO127" s="55">
        <v>70</v>
      </c>
      <c r="AP127" s="55">
        <v>1</v>
      </c>
      <c r="AQ127" s="56">
        <v>1</v>
      </c>
      <c r="AR127" s="57">
        <v>6</v>
      </c>
    </row>
    <row r="128" spans="11:44" ht="16.2" x14ac:dyDescent="0.3">
      <c r="K128" s="22">
        <v>124</v>
      </c>
      <c r="L128" s="24" t="s">
        <v>22</v>
      </c>
      <c r="M128" s="24" t="s">
        <v>22</v>
      </c>
      <c r="N128" s="24" t="s">
        <v>22</v>
      </c>
      <c r="O128" s="24" t="s">
        <v>22</v>
      </c>
      <c r="P128" s="24" t="s">
        <v>22</v>
      </c>
      <c r="Q128" s="24" t="s">
        <v>22</v>
      </c>
      <c r="R128" s="24" t="s">
        <v>22</v>
      </c>
      <c r="T128" s="8"/>
      <c r="U128" s="8"/>
      <c r="V128" s="8"/>
      <c r="W128" s="8"/>
      <c r="X128" s="8"/>
      <c r="Y128" s="8"/>
      <c r="Z128" s="8"/>
      <c r="AB128" s="25" t="s">
        <v>22</v>
      </c>
      <c r="AC128" s="25" t="s">
        <v>22</v>
      </c>
      <c r="AD128" s="25" t="s">
        <v>22</v>
      </c>
      <c r="AE128" s="25" t="s">
        <v>22</v>
      </c>
      <c r="AF128" s="25" t="s">
        <v>22</v>
      </c>
      <c r="AG128" s="25" t="s">
        <v>22</v>
      </c>
      <c r="AH128" s="7" t="s">
        <v>22</v>
      </c>
      <c r="AJ128" s="53" t="s">
        <v>151</v>
      </c>
      <c r="AK128" s="54">
        <v>1</v>
      </c>
      <c r="AL128" s="55">
        <v>70</v>
      </c>
      <c r="AM128" s="55">
        <v>1</v>
      </c>
      <c r="AN128" s="55">
        <v>1</v>
      </c>
      <c r="AO128" s="55">
        <v>1</v>
      </c>
      <c r="AP128" s="55">
        <v>70</v>
      </c>
      <c r="AQ128" s="56">
        <v>1</v>
      </c>
      <c r="AR128" s="57">
        <v>7</v>
      </c>
    </row>
    <row r="129" spans="11:44" ht="16.2" x14ac:dyDescent="0.3">
      <c r="K129" s="21">
        <v>125</v>
      </c>
      <c r="L129" s="24" t="s">
        <v>22</v>
      </c>
      <c r="M129" s="24" t="s">
        <v>22</v>
      </c>
      <c r="N129" s="24" t="s">
        <v>22</v>
      </c>
      <c r="O129" s="24" t="s">
        <v>22</v>
      </c>
      <c r="P129" s="24" t="s">
        <v>22</v>
      </c>
      <c r="Q129" s="24" t="s">
        <v>22</v>
      </c>
      <c r="R129" s="24" t="s">
        <v>22</v>
      </c>
      <c r="T129" s="8"/>
      <c r="U129" s="8"/>
      <c r="V129" s="8"/>
      <c r="W129" s="8"/>
      <c r="X129" s="8"/>
      <c r="Y129" s="8"/>
      <c r="Z129" s="8"/>
      <c r="AB129" s="25" t="s">
        <v>22</v>
      </c>
      <c r="AC129" s="25" t="s">
        <v>22</v>
      </c>
      <c r="AD129" s="25" t="s">
        <v>22</v>
      </c>
      <c r="AE129" s="25" t="s">
        <v>22</v>
      </c>
      <c r="AF129" s="25" t="s">
        <v>22</v>
      </c>
      <c r="AG129" s="25" t="s">
        <v>22</v>
      </c>
      <c r="AH129" s="7" t="s">
        <v>22</v>
      </c>
      <c r="AJ129" s="53" t="s">
        <v>24</v>
      </c>
      <c r="AK129" s="54">
        <v>0</v>
      </c>
      <c r="AL129" s="55">
        <v>1</v>
      </c>
      <c r="AM129" s="55">
        <v>1</v>
      </c>
      <c r="AN129" s="55">
        <v>1</v>
      </c>
      <c r="AO129" s="55">
        <v>70</v>
      </c>
      <c r="AP129" s="55">
        <v>1</v>
      </c>
      <c r="AQ129" s="56">
        <v>1</v>
      </c>
      <c r="AR129" s="57">
        <v>8</v>
      </c>
    </row>
    <row r="130" spans="11:44" ht="16.2" x14ac:dyDescent="0.3">
      <c r="K130" s="22">
        <v>126</v>
      </c>
      <c r="L130" s="24" t="s">
        <v>22</v>
      </c>
      <c r="M130" s="24" t="s">
        <v>22</v>
      </c>
      <c r="N130" s="24" t="s">
        <v>22</v>
      </c>
      <c r="O130" s="24" t="s">
        <v>22</v>
      </c>
      <c r="P130" s="24" t="s">
        <v>22</v>
      </c>
      <c r="Q130" s="24" t="s">
        <v>22</v>
      </c>
      <c r="R130" s="24" t="s">
        <v>22</v>
      </c>
      <c r="T130" s="8"/>
      <c r="U130" s="8"/>
      <c r="V130" s="8"/>
      <c r="W130" s="8"/>
      <c r="X130" s="8"/>
      <c r="Y130" s="8"/>
      <c r="Z130" s="8"/>
      <c r="AB130" s="25" t="s">
        <v>22</v>
      </c>
      <c r="AC130" s="25" t="s">
        <v>22</v>
      </c>
      <c r="AD130" s="25" t="s">
        <v>22</v>
      </c>
      <c r="AE130" s="25" t="s">
        <v>22</v>
      </c>
      <c r="AF130" s="25" t="s">
        <v>22</v>
      </c>
      <c r="AG130" s="25" t="s">
        <v>22</v>
      </c>
      <c r="AH130" s="7" t="s">
        <v>22</v>
      </c>
      <c r="AJ130" s="53" t="s">
        <v>26</v>
      </c>
      <c r="AK130" s="54">
        <v>1</v>
      </c>
      <c r="AL130" s="55">
        <v>1</v>
      </c>
      <c r="AM130" s="55">
        <v>1</v>
      </c>
      <c r="AN130" s="55">
        <v>70</v>
      </c>
      <c r="AO130" s="55">
        <v>1</v>
      </c>
      <c r="AP130" s="55">
        <v>70</v>
      </c>
      <c r="AQ130" s="56">
        <v>1</v>
      </c>
      <c r="AR130" s="57">
        <v>9</v>
      </c>
    </row>
    <row r="131" spans="11:44" ht="16.2" x14ac:dyDescent="0.3">
      <c r="K131" s="21">
        <v>127</v>
      </c>
      <c r="L131" s="24" t="s">
        <v>22</v>
      </c>
      <c r="M131" s="24" t="s">
        <v>22</v>
      </c>
      <c r="N131" s="24" t="s">
        <v>22</v>
      </c>
      <c r="O131" s="24" t="s">
        <v>22</v>
      </c>
      <c r="P131" s="24" t="s">
        <v>22</v>
      </c>
      <c r="Q131" s="24" t="s">
        <v>22</v>
      </c>
      <c r="R131" s="24" t="s">
        <v>22</v>
      </c>
      <c r="T131" s="8"/>
      <c r="U131" s="8"/>
      <c r="V131" s="8"/>
      <c r="W131" s="8"/>
      <c r="X131" s="8"/>
      <c r="Y131" s="8"/>
      <c r="Z131" s="8"/>
      <c r="AB131" s="25" t="s">
        <v>22</v>
      </c>
      <c r="AC131" s="25" t="s">
        <v>22</v>
      </c>
      <c r="AD131" s="25" t="s">
        <v>22</v>
      </c>
      <c r="AE131" s="25" t="s">
        <v>22</v>
      </c>
      <c r="AF131" s="25" t="s">
        <v>22</v>
      </c>
      <c r="AG131" s="25" t="s">
        <v>22</v>
      </c>
      <c r="AH131" s="7" t="s">
        <v>22</v>
      </c>
      <c r="AJ131" s="53" t="s">
        <v>27</v>
      </c>
      <c r="AK131" s="54">
        <v>0</v>
      </c>
      <c r="AL131" s="55">
        <v>1</v>
      </c>
      <c r="AM131" s="55">
        <v>5</v>
      </c>
      <c r="AN131" s="55">
        <v>1</v>
      </c>
      <c r="AO131" s="55">
        <v>1</v>
      </c>
      <c r="AP131" s="55">
        <v>1</v>
      </c>
      <c r="AQ131" s="56">
        <v>3</v>
      </c>
      <c r="AR131" s="57">
        <v>10</v>
      </c>
    </row>
    <row r="132" spans="11:44" ht="16.2" x14ac:dyDescent="0.3">
      <c r="K132" s="22">
        <v>128</v>
      </c>
      <c r="L132" s="24" t="s">
        <v>22</v>
      </c>
      <c r="M132" s="24" t="s">
        <v>22</v>
      </c>
      <c r="N132" s="24" t="s">
        <v>22</v>
      </c>
      <c r="O132" s="24" t="s">
        <v>22</v>
      </c>
      <c r="P132" s="24" t="s">
        <v>22</v>
      </c>
      <c r="Q132" s="24" t="s">
        <v>22</v>
      </c>
      <c r="R132" s="24" t="s">
        <v>22</v>
      </c>
      <c r="T132" s="8"/>
      <c r="U132" s="8"/>
      <c r="V132" s="8"/>
      <c r="W132" s="8"/>
      <c r="X132" s="8"/>
      <c r="Y132" s="8"/>
      <c r="Z132" s="8"/>
      <c r="AB132" s="25" t="s">
        <v>22</v>
      </c>
      <c r="AC132" s="25" t="s">
        <v>22</v>
      </c>
      <c r="AD132" s="25" t="s">
        <v>22</v>
      </c>
      <c r="AE132" s="25" t="s">
        <v>22</v>
      </c>
      <c r="AF132" s="25" t="s">
        <v>22</v>
      </c>
      <c r="AG132" s="25" t="s">
        <v>22</v>
      </c>
      <c r="AH132" s="7" t="s">
        <v>22</v>
      </c>
      <c r="AJ132" s="53" t="s">
        <v>28</v>
      </c>
      <c r="AK132" s="54">
        <v>1</v>
      </c>
      <c r="AL132" s="55">
        <v>70</v>
      </c>
      <c r="AM132" s="55">
        <v>1</v>
      </c>
      <c r="AN132" s="55">
        <v>1</v>
      </c>
      <c r="AO132" s="55">
        <v>1</v>
      </c>
      <c r="AP132" s="55">
        <v>1</v>
      </c>
      <c r="AQ132" s="56">
        <v>1</v>
      </c>
      <c r="AR132" s="57">
        <v>11</v>
      </c>
    </row>
    <row r="133" spans="11:44" ht="16.2" x14ac:dyDescent="0.3">
      <c r="K133" s="21">
        <v>129</v>
      </c>
      <c r="L133" s="24" t="s">
        <v>22</v>
      </c>
      <c r="M133" s="24" t="s">
        <v>22</v>
      </c>
      <c r="N133" s="24" t="s">
        <v>22</v>
      </c>
      <c r="O133" s="24" t="s">
        <v>22</v>
      </c>
      <c r="P133" s="24" t="s">
        <v>22</v>
      </c>
      <c r="Q133" s="24" t="s">
        <v>22</v>
      </c>
      <c r="R133" s="24" t="s">
        <v>22</v>
      </c>
      <c r="T133" s="8"/>
      <c r="U133" s="8"/>
      <c r="V133" s="8"/>
      <c r="W133" s="8"/>
      <c r="X133" s="8"/>
      <c r="Y133" s="8"/>
      <c r="Z133" s="8"/>
      <c r="AB133" s="25" t="s">
        <v>22</v>
      </c>
      <c r="AC133" s="25" t="s">
        <v>22</v>
      </c>
      <c r="AD133" s="25" t="s">
        <v>22</v>
      </c>
      <c r="AE133" s="25" t="s">
        <v>22</v>
      </c>
      <c r="AF133" s="25" t="s">
        <v>22</v>
      </c>
      <c r="AG133" s="25" t="s">
        <v>22</v>
      </c>
      <c r="AH133" s="7" t="s">
        <v>22</v>
      </c>
      <c r="AJ133" s="53" t="s">
        <v>29</v>
      </c>
      <c r="AK133" s="54">
        <v>70</v>
      </c>
      <c r="AL133" s="55">
        <v>1</v>
      </c>
      <c r="AM133" s="55">
        <v>1</v>
      </c>
      <c r="AN133" s="55">
        <v>1</v>
      </c>
      <c r="AO133" s="55">
        <v>1</v>
      </c>
      <c r="AP133" s="55">
        <v>1</v>
      </c>
      <c r="AQ133" s="56">
        <v>1</v>
      </c>
      <c r="AR133" s="57">
        <v>12</v>
      </c>
    </row>
    <row r="134" spans="11:44" ht="16.2" x14ac:dyDescent="0.3">
      <c r="K134" s="22">
        <v>130</v>
      </c>
      <c r="L134" s="24" t="s">
        <v>22</v>
      </c>
      <c r="M134" s="24" t="s">
        <v>22</v>
      </c>
      <c r="N134" s="24" t="s">
        <v>22</v>
      </c>
      <c r="O134" s="24" t="s">
        <v>22</v>
      </c>
      <c r="P134" s="24" t="s">
        <v>22</v>
      </c>
      <c r="Q134" s="24" t="s">
        <v>22</v>
      </c>
      <c r="R134" s="24" t="s">
        <v>22</v>
      </c>
      <c r="T134" s="8"/>
      <c r="U134" s="8"/>
      <c r="V134" s="8"/>
      <c r="W134" s="8"/>
      <c r="X134" s="8"/>
      <c r="Y134" s="8"/>
      <c r="Z134" s="8"/>
      <c r="AB134" s="25" t="s">
        <v>22</v>
      </c>
      <c r="AC134" s="25" t="s">
        <v>22</v>
      </c>
      <c r="AD134" s="25" t="s">
        <v>22</v>
      </c>
      <c r="AE134" s="25" t="s">
        <v>22</v>
      </c>
      <c r="AF134" s="25" t="s">
        <v>22</v>
      </c>
      <c r="AG134" s="25" t="s">
        <v>22</v>
      </c>
      <c r="AH134" s="7" t="s">
        <v>22</v>
      </c>
      <c r="AJ134" s="53" t="s">
        <v>79</v>
      </c>
      <c r="AK134" s="54">
        <v>0</v>
      </c>
      <c r="AL134" s="55">
        <v>1</v>
      </c>
      <c r="AM134" s="55">
        <v>0</v>
      </c>
      <c r="AN134" s="55">
        <v>1</v>
      </c>
      <c r="AO134" s="55">
        <v>1</v>
      </c>
      <c r="AP134" s="55">
        <v>0</v>
      </c>
      <c r="AQ134" s="56">
        <v>0</v>
      </c>
      <c r="AR134" s="57">
        <v>13</v>
      </c>
    </row>
    <row r="135" spans="11:44" ht="16.2" x14ac:dyDescent="0.3">
      <c r="K135" s="21">
        <v>131</v>
      </c>
      <c r="L135" s="24" t="s">
        <v>22</v>
      </c>
      <c r="M135" s="24" t="s">
        <v>22</v>
      </c>
      <c r="N135" s="24" t="s">
        <v>22</v>
      </c>
      <c r="O135" s="24" t="s">
        <v>22</v>
      </c>
      <c r="P135" s="24" t="s">
        <v>22</v>
      </c>
      <c r="Q135" s="24" t="s">
        <v>22</v>
      </c>
      <c r="R135" s="24" t="s">
        <v>22</v>
      </c>
      <c r="T135" s="8"/>
      <c r="U135" s="8"/>
      <c r="V135" s="8"/>
      <c r="W135" s="8"/>
      <c r="X135" s="8"/>
      <c r="Y135" s="8"/>
      <c r="Z135" s="8"/>
      <c r="AB135" s="25" t="s">
        <v>22</v>
      </c>
      <c r="AC135" s="25" t="s">
        <v>22</v>
      </c>
      <c r="AD135" s="25" t="s">
        <v>22</v>
      </c>
      <c r="AE135" s="25" t="s">
        <v>22</v>
      </c>
      <c r="AF135" s="25" t="s">
        <v>22</v>
      </c>
      <c r="AG135" s="25" t="s">
        <v>22</v>
      </c>
      <c r="AH135" s="7" t="s">
        <v>22</v>
      </c>
      <c r="AJ135" s="53" t="s">
        <v>80</v>
      </c>
      <c r="AK135" s="54">
        <v>0</v>
      </c>
      <c r="AL135" s="55">
        <v>2</v>
      </c>
      <c r="AM135" s="55">
        <v>1</v>
      </c>
      <c r="AN135" s="55">
        <v>2</v>
      </c>
      <c r="AO135" s="55">
        <v>1</v>
      </c>
      <c r="AP135" s="55">
        <v>0</v>
      </c>
      <c r="AQ135" s="56">
        <v>0</v>
      </c>
      <c r="AR135" s="57">
        <v>14</v>
      </c>
    </row>
    <row r="136" spans="11:44" ht="16.2" x14ac:dyDescent="0.3">
      <c r="K136" s="22">
        <v>132</v>
      </c>
      <c r="L136" s="24" t="s">
        <v>22</v>
      </c>
      <c r="M136" s="24" t="s">
        <v>22</v>
      </c>
      <c r="N136" s="24" t="s">
        <v>22</v>
      </c>
      <c r="O136" s="24" t="s">
        <v>22</v>
      </c>
      <c r="P136" s="24" t="s">
        <v>22</v>
      </c>
      <c r="Q136" s="24" t="s">
        <v>22</v>
      </c>
      <c r="R136" s="24" t="s">
        <v>22</v>
      </c>
      <c r="T136" s="8"/>
      <c r="U136" s="8"/>
      <c r="V136" s="8"/>
      <c r="W136" s="8"/>
      <c r="X136" s="8"/>
      <c r="Y136" s="8"/>
      <c r="Z136" s="8"/>
      <c r="AB136" s="25" t="s">
        <v>22</v>
      </c>
      <c r="AC136" s="25" t="s">
        <v>22</v>
      </c>
      <c r="AD136" s="25" t="s">
        <v>22</v>
      </c>
      <c r="AE136" s="25" t="s">
        <v>22</v>
      </c>
      <c r="AF136" s="25" t="s">
        <v>22</v>
      </c>
      <c r="AG136" s="25" t="s">
        <v>22</v>
      </c>
      <c r="AH136" s="7" t="s">
        <v>22</v>
      </c>
      <c r="AJ136" s="53" t="s">
        <v>81</v>
      </c>
      <c r="AK136" s="54">
        <v>0</v>
      </c>
      <c r="AL136" s="55">
        <v>1</v>
      </c>
      <c r="AM136" s="55">
        <v>2</v>
      </c>
      <c r="AN136" s="55">
        <v>1</v>
      </c>
      <c r="AO136" s="55">
        <v>1</v>
      </c>
      <c r="AP136" s="55">
        <v>0</v>
      </c>
      <c r="AQ136" s="56">
        <v>0</v>
      </c>
      <c r="AR136" s="57">
        <v>15</v>
      </c>
    </row>
    <row r="137" spans="11:44" ht="16.2" x14ac:dyDescent="0.3">
      <c r="K137" s="21">
        <v>133</v>
      </c>
      <c r="L137" s="24" t="s">
        <v>22</v>
      </c>
      <c r="M137" s="24" t="s">
        <v>22</v>
      </c>
      <c r="N137" s="24" t="s">
        <v>22</v>
      </c>
      <c r="O137" s="24" t="s">
        <v>22</v>
      </c>
      <c r="P137" s="24" t="s">
        <v>22</v>
      </c>
      <c r="Q137" s="24" t="s">
        <v>22</v>
      </c>
      <c r="R137" s="24" t="s">
        <v>22</v>
      </c>
      <c r="T137" s="8"/>
      <c r="U137" s="8"/>
      <c r="V137" s="8"/>
      <c r="W137" s="8"/>
      <c r="X137" s="8"/>
      <c r="Y137" s="8"/>
      <c r="Z137" s="8"/>
      <c r="AB137" s="25" t="s">
        <v>22</v>
      </c>
      <c r="AC137" s="25" t="s">
        <v>22</v>
      </c>
      <c r="AD137" s="25" t="s">
        <v>22</v>
      </c>
      <c r="AE137" s="25" t="s">
        <v>22</v>
      </c>
      <c r="AF137" s="25" t="s">
        <v>22</v>
      </c>
      <c r="AG137" s="25" t="s">
        <v>22</v>
      </c>
      <c r="AH137" s="7" t="s">
        <v>22</v>
      </c>
      <c r="AJ137" s="53" t="s">
        <v>82</v>
      </c>
      <c r="AK137" s="54">
        <v>0</v>
      </c>
      <c r="AL137" s="55">
        <v>2</v>
      </c>
      <c r="AM137" s="55">
        <v>1</v>
      </c>
      <c r="AN137" s="55">
        <v>1</v>
      </c>
      <c r="AO137" s="55">
        <v>1</v>
      </c>
      <c r="AP137" s="55">
        <v>0</v>
      </c>
      <c r="AQ137" s="56">
        <v>0</v>
      </c>
      <c r="AR137" s="57">
        <v>16</v>
      </c>
    </row>
    <row r="138" spans="11:44" ht="16.2" x14ac:dyDescent="0.3">
      <c r="K138" s="22">
        <v>134</v>
      </c>
      <c r="L138" s="24" t="s">
        <v>22</v>
      </c>
      <c r="M138" s="24" t="s">
        <v>22</v>
      </c>
      <c r="N138" s="24" t="s">
        <v>22</v>
      </c>
      <c r="O138" s="24" t="s">
        <v>22</v>
      </c>
      <c r="P138" s="24" t="s">
        <v>22</v>
      </c>
      <c r="Q138" s="24" t="s">
        <v>22</v>
      </c>
      <c r="R138" s="24" t="s">
        <v>22</v>
      </c>
      <c r="T138" s="8"/>
      <c r="U138" s="8"/>
      <c r="V138" s="8"/>
      <c r="W138" s="8"/>
      <c r="X138" s="8"/>
      <c r="Y138" s="8"/>
      <c r="Z138" s="8"/>
      <c r="AB138" s="25" t="s">
        <v>22</v>
      </c>
      <c r="AC138" s="25" t="s">
        <v>22</v>
      </c>
      <c r="AD138" s="25" t="s">
        <v>22</v>
      </c>
      <c r="AE138" s="25" t="s">
        <v>22</v>
      </c>
      <c r="AF138" s="25" t="s">
        <v>22</v>
      </c>
      <c r="AG138" s="25" t="s">
        <v>22</v>
      </c>
      <c r="AH138" s="7" t="s">
        <v>22</v>
      </c>
      <c r="AJ138" s="53" t="s">
        <v>83</v>
      </c>
      <c r="AK138" s="54">
        <v>0</v>
      </c>
      <c r="AL138" s="55">
        <v>0</v>
      </c>
      <c r="AM138" s="55">
        <v>2</v>
      </c>
      <c r="AN138" s="55">
        <v>1</v>
      </c>
      <c r="AO138" s="55">
        <v>2</v>
      </c>
      <c r="AP138" s="55">
        <v>0</v>
      </c>
      <c r="AQ138" s="56">
        <v>0</v>
      </c>
      <c r="AR138" s="57">
        <v>17</v>
      </c>
    </row>
    <row r="139" spans="11:44" ht="16.2" x14ac:dyDescent="0.3">
      <c r="K139" s="21">
        <v>135</v>
      </c>
      <c r="L139" s="24" t="s">
        <v>22</v>
      </c>
      <c r="M139" s="24" t="s">
        <v>22</v>
      </c>
      <c r="N139" s="24" t="s">
        <v>22</v>
      </c>
      <c r="O139" s="24" t="s">
        <v>22</v>
      </c>
      <c r="P139" s="24" t="s">
        <v>22</v>
      </c>
      <c r="Q139" s="24" t="s">
        <v>22</v>
      </c>
      <c r="R139" s="24" t="s">
        <v>22</v>
      </c>
      <c r="T139" s="8"/>
      <c r="U139" s="8"/>
      <c r="V139" s="8"/>
      <c r="W139" s="8"/>
      <c r="X139" s="8"/>
      <c r="Y139" s="8"/>
      <c r="Z139" s="8"/>
      <c r="AB139" s="25" t="s">
        <v>22</v>
      </c>
      <c r="AC139" s="25" t="s">
        <v>22</v>
      </c>
      <c r="AD139" s="25" t="s">
        <v>22</v>
      </c>
      <c r="AE139" s="25" t="s">
        <v>22</v>
      </c>
      <c r="AF139" s="25" t="s">
        <v>22</v>
      </c>
      <c r="AG139" s="25" t="s">
        <v>22</v>
      </c>
      <c r="AH139" s="7" t="s">
        <v>22</v>
      </c>
      <c r="AJ139" s="53" t="s">
        <v>162</v>
      </c>
      <c r="AK139" s="54">
        <v>0</v>
      </c>
      <c r="AL139" s="55">
        <v>2</v>
      </c>
      <c r="AM139" s="55">
        <v>1</v>
      </c>
      <c r="AN139" s="55">
        <v>1</v>
      </c>
      <c r="AO139" s="55">
        <v>2</v>
      </c>
      <c r="AP139" s="55">
        <v>0</v>
      </c>
      <c r="AQ139" s="56">
        <v>0</v>
      </c>
      <c r="AR139" s="57">
        <v>18</v>
      </c>
    </row>
    <row r="140" spans="11:44" ht="16.2" x14ac:dyDescent="0.3">
      <c r="K140" s="22">
        <v>136</v>
      </c>
      <c r="L140" s="24" t="s">
        <v>22</v>
      </c>
      <c r="M140" s="24" t="s">
        <v>22</v>
      </c>
      <c r="N140" s="24" t="s">
        <v>22</v>
      </c>
      <c r="O140" s="24" t="s">
        <v>22</v>
      </c>
      <c r="P140" s="24" t="s">
        <v>22</v>
      </c>
      <c r="Q140" s="24" t="s">
        <v>22</v>
      </c>
      <c r="R140" s="24" t="s">
        <v>22</v>
      </c>
      <c r="T140" s="8"/>
      <c r="U140" s="8"/>
      <c r="V140" s="8"/>
      <c r="W140" s="8"/>
      <c r="X140" s="8"/>
      <c r="Y140" s="8"/>
      <c r="Z140" s="8"/>
      <c r="AB140" s="25" t="s">
        <v>22</v>
      </c>
      <c r="AC140" s="25" t="s">
        <v>22</v>
      </c>
      <c r="AD140" s="25" t="s">
        <v>22</v>
      </c>
      <c r="AE140" s="25" t="s">
        <v>22</v>
      </c>
      <c r="AF140" s="25" t="s">
        <v>22</v>
      </c>
      <c r="AG140" s="25" t="s">
        <v>22</v>
      </c>
      <c r="AH140" s="7" t="s">
        <v>22</v>
      </c>
      <c r="AJ140" s="53" t="s">
        <v>84</v>
      </c>
      <c r="AK140" s="54">
        <v>0</v>
      </c>
      <c r="AL140" s="55">
        <v>2</v>
      </c>
      <c r="AM140" s="55">
        <v>1</v>
      </c>
      <c r="AN140" s="55">
        <v>1</v>
      </c>
      <c r="AO140" s="55">
        <v>2</v>
      </c>
      <c r="AP140" s="55">
        <v>0</v>
      </c>
      <c r="AQ140" s="56">
        <v>0</v>
      </c>
      <c r="AR140" s="57">
        <v>19</v>
      </c>
    </row>
    <row r="141" spans="11:44" ht="16.2" x14ac:dyDescent="0.3">
      <c r="K141" s="21">
        <v>137</v>
      </c>
      <c r="L141" s="24" t="s">
        <v>22</v>
      </c>
      <c r="M141" s="24" t="s">
        <v>22</v>
      </c>
      <c r="N141" s="24" t="s">
        <v>22</v>
      </c>
      <c r="O141" s="24" t="s">
        <v>22</v>
      </c>
      <c r="P141" s="24" t="s">
        <v>22</v>
      </c>
      <c r="Q141" s="24" t="s">
        <v>22</v>
      </c>
      <c r="R141" s="24" t="s">
        <v>22</v>
      </c>
      <c r="T141" s="8"/>
      <c r="U141" s="8"/>
      <c r="V141" s="8"/>
      <c r="W141" s="8"/>
      <c r="X141" s="8"/>
      <c r="Y141" s="8"/>
      <c r="Z141" s="8"/>
      <c r="AB141" s="25" t="s">
        <v>22</v>
      </c>
      <c r="AC141" s="25" t="s">
        <v>22</v>
      </c>
      <c r="AD141" s="25" t="s">
        <v>22</v>
      </c>
      <c r="AE141" s="25" t="s">
        <v>22</v>
      </c>
      <c r="AF141" s="25" t="s">
        <v>22</v>
      </c>
      <c r="AG141" s="25" t="s">
        <v>22</v>
      </c>
      <c r="AH141" s="7" t="s">
        <v>22</v>
      </c>
      <c r="AJ141" s="53" t="s">
        <v>85</v>
      </c>
      <c r="AK141" s="54">
        <v>0</v>
      </c>
      <c r="AL141" s="55">
        <v>2</v>
      </c>
      <c r="AM141" s="55">
        <v>1</v>
      </c>
      <c r="AN141" s="55">
        <v>2</v>
      </c>
      <c r="AO141" s="55">
        <v>1</v>
      </c>
      <c r="AP141" s="55">
        <v>0</v>
      </c>
      <c r="AQ141" s="56">
        <v>0</v>
      </c>
      <c r="AR141" s="57">
        <v>20</v>
      </c>
    </row>
    <row r="142" spans="11:44" ht="16.2" x14ac:dyDescent="0.3">
      <c r="K142" s="22">
        <v>138</v>
      </c>
      <c r="L142" s="24" t="s">
        <v>22</v>
      </c>
      <c r="M142" s="24" t="s">
        <v>22</v>
      </c>
      <c r="N142" s="24" t="s">
        <v>22</v>
      </c>
      <c r="O142" s="24" t="s">
        <v>22</v>
      </c>
      <c r="P142" s="24" t="s">
        <v>22</v>
      </c>
      <c r="Q142" s="24" t="s">
        <v>22</v>
      </c>
      <c r="R142" s="24" t="s">
        <v>22</v>
      </c>
      <c r="T142" s="8"/>
      <c r="U142" s="8"/>
      <c r="V142" s="8"/>
      <c r="W142" s="8"/>
      <c r="X142" s="8"/>
      <c r="Y142" s="8"/>
      <c r="Z142" s="8"/>
      <c r="AB142" s="25" t="s">
        <v>22</v>
      </c>
      <c r="AC142" s="25" t="s">
        <v>22</v>
      </c>
      <c r="AD142" s="25" t="s">
        <v>22</v>
      </c>
      <c r="AE142" s="25" t="s">
        <v>22</v>
      </c>
      <c r="AF142" s="25" t="s">
        <v>22</v>
      </c>
      <c r="AG142" s="25" t="s">
        <v>22</v>
      </c>
      <c r="AH142" s="7" t="s">
        <v>22</v>
      </c>
      <c r="AJ142" s="53" t="s">
        <v>86</v>
      </c>
      <c r="AK142" s="54">
        <v>0</v>
      </c>
      <c r="AL142" s="55">
        <v>0</v>
      </c>
      <c r="AM142" s="55">
        <v>2</v>
      </c>
      <c r="AN142" s="55">
        <v>1</v>
      </c>
      <c r="AO142" s="55">
        <v>1</v>
      </c>
      <c r="AP142" s="55">
        <v>0</v>
      </c>
      <c r="AQ142" s="56">
        <v>0</v>
      </c>
      <c r="AR142" s="57">
        <v>21</v>
      </c>
    </row>
    <row r="143" spans="11:44" ht="16.2" x14ac:dyDescent="0.3">
      <c r="K143" s="21">
        <v>139</v>
      </c>
      <c r="L143" s="24" t="s">
        <v>22</v>
      </c>
      <c r="M143" s="24" t="s">
        <v>22</v>
      </c>
      <c r="N143" s="24" t="s">
        <v>22</v>
      </c>
      <c r="O143" s="24" t="s">
        <v>22</v>
      </c>
      <c r="P143" s="24" t="s">
        <v>22</v>
      </c>
      <c r="Q143" s="24" t="s">
        <v>22</v>
      </c>
      <c r="R143" s="24" t="s">
        <v>22</v>
      </c>
      <c r="T143" s="8"/>
      <c r="U143" s="8"/>
      <c r="V143" s="8"/>
      <c r="W143" s="8"/>
      <c r="X143" s="8"/>
      <c r="Y143" s="8"/>
      <c r="Z143" s="8"/>
      <c r="AB143" s="25" t="s">
        <v>22</v>
      </c>
      <c r="AC143" s="25" t="s">
        <v>22</v>
      </c>
      <c r="AD143" s="25" t="s">
        <v>22</v>
      </c>
      <c r="AE143" s="25" t="s">
        <v>22</v>
      </c>
      <c r="AF143" s="25" t="s">
        <v>22</v>
      </c>
      <c r="AG143" s="25" t="s">
        <v>22</v>
      </c>
      <c r="AH143" s="7" t="s">
        <v>22</v>
      </c>
      <c r="AJ143" s="53" t="s">
        <v>87</v>
      </c>
      <c r="AK143" s="54">
        <v>0</v>
      </c>
      <c r="AL143" s="55">
        <v>4</v>
      </c>
      <c r="AM143" s="55">
        <v>1</v>
      </c>
      <c r="AN143" s="55">
        <v>1</v>
      </c>
      <c r="AO143" s="55">
        <v>1</v>
      </c>
      <c r="AP143" s="55">
        <v>0</v>
      </c>
      <c r="AQ143" s="56">
        <v>0</v>
      </c>
      <c r="AR143" s="57">
        <v>22</v>
      </c>
    </row>
    <row r="144" spans="11:44" ht="16.8" thickBot="1" x14ac:dyDescent="0.35">
      <c r="K144" s="22">
        <v>140</v>
      </c>
      <c r="L144" s="24" t="s">
        <v>22</v>
      </c>
      <c r="M144" s="24" t="s">
        <v>22</v>
      </c>
      <c r="N144" s="24" t="s">
        <v>22</v>
      </c>
      <c r="O144" s="24" t="s">
        <v>22</v>
      </c>
      <c r="P144" s="24" t="s">
        <v>22</v>
      </c>
      <c r="Q144" s="24" t="s">
        <v>22</v>
      </c>
      <c r="R144" s="24" t="s">
        <v>22</v>
      </c>
      <c r="T144" s="8"/>
      <c r="U144" s="8"/>
      <c r="V144" s="8"/>
      <c r="W144" s="8"/>
      <c r="X144" s="8"/>
      <c r="Y144" s="8"/>
      <c r="Z144" s="8"/>
      <c r="AB144" s="25" t="s">
        <v>22</v>
      </c>
      <c r="AC144" s="25" t="s">
        <v>22</v>
      </c>
      <c r="AD144" s="25" t="s">
        <v>22</v>
      </c>
      <c r="AE144" s="25" t="s">
        <v>22</v>
      </c>
      <c r="AF144" s="25" t="s">
        <v>22</v>
      </c>
      <c r="AG144" s="25" t="s">
        <v>22</v>
      </c>
      <c r="AH144" s="7" t="s">
        <v>22</v>
      </c>
      <c r="AJ144" s="59" t="s">
        <v>88</v>
      </c>
      <c r="AK144" s="60">
        <v>0</v>
      </c>
      <c r="AL144" s="61">
        <v>1</v>
      </c>
      <c r="AM144" s="61">
        <v>1</v>
      </c>
      <c r="AN144" s="61">
        <v>1</v>
      </c>
      <c r="AO144" s="61">
        <v>1</v>
      </c>
      <c r="AP144" s="61">
        <v>0</v>
      </c>
      <c r="AQ144" s="62">
        <v>0</v>
      </c>
      <c r="AR144" s="126">
        <v>23</v>
      </c>
    </row>
    <row r="145" spans="11:44" ht="16.2" x14ac:dyDescent="0.3">
      <c r="K145" s="21">
        <v>141</v>
      </c>
      <c r="L145" s="24" t="s">
        <v>22</v>
      </c>
      <c r="M145" s="24" t="s">
        <v>22</v>
      </c>
      <c r="N145" s="24" t="s">
        <v>22</v>
      </c>
      <c r="O145" s="24" t="s">
        <v>22</v>
      </c>
      <c r="P145" s="24" t="s">
        <v>22</v>
      </c>
      <c r="Q145" s="24" t="s">
        <v>22</v>
      </c>
      <c r="R145" s="24" t="s">
        <v>22</v>
      </c>
      <c r="T145" s="8"/>
      <c r="U145" s="8"/>
      <c r="V145" s="8"/>
      <c r="W145" s="8"/>
      <c r="X145" s="8"/>
      <c r="Y145" s="8"/>
      <c r="Z145" s="8"/>
      <c r="AB145" s="25" t="s">
        <v>22</v>
      </c>
      <c r="AC145" s="25" t="s">
        <v>22</v>
      </c>
      <c r="AD145" s="25" t="s">
        <v>22</v>
      </c>
      <c r="AE145" s="25" t="s">
        <v>22</v>
      </c>
      <c r="AF145" s="25" t="s">
        <v>22</v>
      </c>
      <c r="AG145" s="25" t="s">
        <v>22</v>
      </c>
      <c r="AH145" s="7" t="s">
        <v>22</v>
      </c>
      <c r="AJ145" s="132" t="s">
        <v>176</v>
      </c>
      <c r="AK145" s="133">
        <v>0</v>
      </c>
      <c r="AL145" s="134">
        <v>10</v>
      </c>
      <c r="AM145" s="134">
        <v>10</v>
      </c>
      <c r="AN145" s="134">
        <v>10</v>
      </c>
      <c r="AO145" s="134">
        <v>10</v>
      </c>
      <c r="AP145" s="134">
        <v>0</v>
      </c>
      <c r="AQ145" s="135">
        <v>0</v>
      </c>
      <c r="AR145" s="131">
        <v>24</v>
      </c>
    </row>
    <row r="146" spans="11:44" ht="16.8" thickBot="1" x14ac:dyDescent="0.35">
      <c r="K146" s="22">
        <v>142</v>
      </c>
      <c r="L146" s="24" t="s">
        <v>22</v>
      </c>
      <c r="M146" s="24" t="s">
        <v>22</v>
      </c>
      <c r="N146" s="24" t="s">
        <v>22</v>
      </c>
      <c r="O146" s="24" t="s">
        <v>22</v>
      </c>
      <c r="P146" s="24" t="s">
        <v>22</v>
      </c>
      <c r="Q146" s="24" t="s">
        <v>22</v>
      </c>
      <c r="R146" s="24" t="s">
        <v>22</v>
      </c>
      <c r="T146" s="8"/>
      <c r="U146" s="8"/>
      <c r="V146" s="8"/>
      <c r="W146" s="8"/>
      <c r="X146" s="8"/>
      <c r="Y146" s="8"/>
      <c r="Z146" s="8"/>
      <c r="AB146" s="25" t="s">
        <v>22</v>
      </c>
      <c r="AC146" s="25" t="s">
        <v>22</v>
      </c>
      <c r="AD146" s="25" t="s">
        <v>22</v>
      </c>
      <c r="AE146" s="25" t="s">
        <v>22</v>
      </c>
      <c r="AF146" s="25" t="s">
        <v>22</v>
      </c>
      <c r="AG146" s="25" t="s">
        <v>22</v>
      </c>
      <c r="AH146" s="7" t="s">
        <v>22</v>
      </c>
      <c r="AJ146" s="80" t="s">
        <v>187</v>
      </c>
      <c r="AK146" s="72">
        <v>0</v>
      </c>
      <c r="AL146" s="73">
        <v>1</v>
      </c>
      <c r="AM146" s="73">
        <v>1</v>
      </c>
      <c r="AN146" s="73">
        <v>1</v>
      </c>
      <c r="AO146" s="73">
        <v>1</v>
      </c>
      <c r="AP146" s="73">
        <v>0</v>
      </c>
      <c r="AQ146" s="74">
        <v>0</v>
      </c>
      <c r="AR146" s="63">
        <v>25</v>
      </c>
    </row>
    <row r="147" spans="11:44" x14ac:dyDescent="0.3">
      <c r="K147" s="21">
        <v>143</v>
      </c>
      <c r="L147" s="24" t="s">
        <v>22</v>
      </c>
      <c r="M147" s="24" t="s">
        <v>22</v>
      </c>
      <c r="N147" s="24" t="s">
        <v>22</v>
      </c>
      <c r="O147" s="24" t="s">
        <v>22</v>
      </c>
      <c r="P147" s="24" t="s">
        <v>22</v>
      </c>
      <c r="Q147" s="24" t="s">
        <v>22</v>
      </c>
      <c r="R147" s="24" t="s">
        <v>22</v>
      </c>
      <c r="T147" s="8"/>
      <c r="U147" s="8"/>
      <c r="V147" s="8"/>
      <c r="W147" s="8"/>
      <c r="X147" s="8"/>
      <c r="Y147" s="8"/>
      <c r="Z147" s="8"/>
      <c r="AB147" s="25" t="s">
        <v>22</v>
      </c>
      <c r="AC147" s="25" t="s">
        <v>22</v>
      </c>
      <c r="AD147" s="25" t="s">
        <v>22</v>
      </c>
      <c r="AE147" s="25" t="s">
        <v>22</v>
      </c>
      <c r="AF147" s="25" t="s">
        <v>22</v>
      </c>
      <c r="AG147" s="25" t="s">
        <v>22</v>
      </c>
      <c r="AH147" s="7" t="s">
        <v>22</v>
      </c>
      <c r="AN147" s="14"/>
      <c r="AO147" s="14"/>
      <c r="AP147" s="14"/>
      <c r="AQ147" s="14"/>
      <c r="AR147" s="14"/>
    </row>
    <row r="148" spans="11:44" x14ac:dyDescent="0.3">
      <c r="K148" s="22">
        <v>144</v>
      </c>
      <c r="L148" s="24" t="s">
        <v>22</v>
      </c>
      <c r="M148" s="24" t="s">
        <v>22</v>
      </c>
      <c r="N148" s="24" t="s">
        <v>22</v>
      </c>
      <c r="O148" s="24" t="s">
        <v>22</v>
      </c>
      <c r="P148" s="24" t="s">
        <v>22</v>
      </c>
      <c r="Q148" s="24" t="s">
        <v>22</v>
      </c>
      <c r="R148" s="24" t="s">
        <v>22</v>
      </c>
      <c r="T148" s="8"/>
      <c r="U148" s="8"/>
      <c r="V148" s="8"/>
      <c r="W148" s="8"/>
      <c r="X148" s="8"/>
      <c r="Y148" s="8"/>
      <c r="Z148" s="8"/>
      <c r="AB148" s="25" t="s">
        <v>22</v>
      </c>
      <c r="AC148" s="25" t="s">
        <v>22</v>
      </c>
      <c r="AD148" s="25" t="s">
        <v>22</v>
      </c>
      <c r="AE148" s="25" t="s">
        <v>22</v>
      </c>
      <c r="AF148" s="25" t="s">
        <v>22</v>
      </c>
      <c r="AG148" s="25" t="s">
        <v>22</v>
      </c>
      <c r="AH148" s="7" t="s">
        <v>22</v>
      </c>
      <c r="AN148" s="14"/>
      <c r="AO148" s="14"/>
      <c r="AP148" s="14"/>
      <c r="AQ148" s="14"/>
      <c r="AR148" s="14"/>
    </row>
    <row r="149" spans="11:44" x14ac:dyDescent="0.3">
      <c r="K149" s="21">
        <v>145</v>
      </c>
      <c r="L149" s="24" t="s">
        <v>22</v>
      </c>
      <c r="M149" s="24" t="s">
        <v>22</v>
      </c>
      <c r="N149" s="24" t="s">
        <v>22</v>
      </c>
      <c r="O149" s="24" t="s">
        <v>22</v>
      </c>
      <c r="P149" s="24" t="s">
        <v>22</v>
      </c>
      <c r="Q149" s="24" t="s">
        <v>22</v>
      </c>
      <c r="R149" s="24" t="s">
        <v>22</v>
      </c>
      <c r="T149" s="8"/>
      <c r="U149" s="8"/>
      <c r="V149" s="8"/>
      <c r="W149" s="8"/>
      <c r="X149" s="8"/>
      <c r="Y149" s="8"/>
      <c r="Z149" s="8"/>
      <c r="AB149" s="25" t="s">
        <v>22</v>
      </c>
      <c r="AC149" s="25" t="s">
        <v>22</v>
      </c>
      <c r="AD149" s="25" t="s">
        <v>22</v>
      </c>
      <c r="AE149" s="25" t="s">
        <v>22</v>
      </c>
      <c r="AF149" s="25" t="s">
        <v>22</v>
      </c>
      <c r="AG149" s="25" t="s">
        <v>22</v>
      </c>
      <c r="AH149" s="7" t="s">
        <v>22</v>
      </c>
      <c r="AN149" s="14"/>
      <c r="AO149" s="14"/>
      <c r="AP149" s="14"/>
      <c r="AQ149" s="14"/>
      <c r="AR149" s="14"/>
    </row>
    <row r="150" spans="11:44" x14ac:dyDescent="0.3">
      <c r="K150" s="22">
        <v>146</v>
      </c>
      <c r="L150" s="24" t="s">
        <v>22</v>
      </c>
      <c r="M150" s="24" t="s">
        <v>22</v>
      </c>
      <c r="N150" s="24" t="s">
        <v>22</v>
      </c>
      <c r="O150" s="24" t="s">
        <v>22</v>
      </c>
      <c r="P150" s="24" t="s">
        <v>22</v>
      </c>
      <c r="Q150" s="24" t="s">
        <v>22</v>
      </c>
      <c r="R150" s="24" t="s">
        <v>22</v>
      </c>
      <c r="T150" s="8"/>
      <c r="U150" s="8"/>
      <c r="V150" s="8"/>
      <c r="W150" s="8"/>
      <c r="X150" s="8"/>
      <c r="Y150" s="8"/>
      <c r="Z150" s="8"/>
      <c r="AB150" s="25" t="s">
        <v>22</v>
      </c>
      <c r="AC150" s="25" t="s">
        <v>22</v>
      </c>
      <c r="AD150" s="25" t="s">
        <v>22</v>
      </c>
      <c r="AE150" s="25" t="s">
        <v>22</v>
      </c>
      <c r="AF150" s="25" t="s">
        <v>22</v>
      </c>
      <c r="AG150" s="25" t="s">
        <v>22</v>
      </c>
      <c r="AH150" s="7" t="s">
        <v>22</v>
      </c>
      <c r="AN150" s="14"/>
      <c r="AO150" s="14"/>
      <c r="AP150" s="14"/>
      <c r="AQ150" s="14"/>
      <c r="AR150" s="14"/>
    </row>
    <row r="151" spans="11:44" x14ac:dyDescent="0.3">
      <c r="K151" s="21">
        <v>147</v>
      </c>
      <c r="L151" s="24" t="s">
        <v>22</v>
      </c>
      <c r="M151" s="24" t="s">
        <v>22</v>
      </c>
      <c r="N151" s="24" t="s">
        <v>22</v>
      </c>
      <c r="O151" s="24" t="s">
        <v>22</v>
      </c>
      <c r="P151" s="24" t="s">
        <v>22</v>
      </c>
      <c r="Q151" s="24" t="s">
        <v>22</v>
      </c>
      <c r="R151" s="24" t="s">
        <v>22</v>
      </c>
      <c r="T151" s="8"/>
      <c r="U151" s="8"/>
      <c r="V151" s="8"/>
      <c r="W151" s="8"/>
      <c r="X151" s="8"/>
      <c r="Y151" s="8"/>
      <c r="Z151" s="8"/>
      <c r="AB151" s="25" t="s">
        <v>22</v>
      </c>
      <c r="AC151" s="25" t="s">
        <v>22</v>
      </c>
      <c r="AD151" s="25" t="s">
        <v>22</v>
      </c>
      <c r="AE151" s="25" t="s">
        <v>22</v>
      </c>
      <c r="AF151" s="25" t="s">
        <v>22</v>
      </c>
      <c r="AG151" s="25" t="s">
        <v>22</v>
      </c>
      <c r="AH151" s="7" t="s">
        <v>22</v>
      </c>
      <c r="AN151" s="14"/>
      <c r="AO151" s="14"/>
      <c r="AP151" s="14"/>
      <c r="AQ151" s="14"/>
      <c r="AR151" s="14"/>
    </row>
    <row r="152" spans="11:44" x14ac:dyDescent="0.3">
      <c r="K152" s="22">
        <v>148</v>
      </c>
      <c r="L152" s="24" t="s">
        <v>22</v>
      </c>
      <c r="M152" s="24" t="s">
        <v>22</v>
      </c>
      <c r="N152" s="24" t="s">
        <v>22</v>
      </c>
      <c r="O152" s="24" t="s">
        <v>22</v>
      </c>
      <c r="P152" s="24" t="s">
        <v>22</v>
      </c>
      <c r="Q152" s="24" t="s">
        <v>22</v>
      </c>
      <c r="R152" s="24" t="s">
        <v>22</v>
      </c>
      <c r="T152" s="8"/>
      <c r="U152" s="8"/>
      <c r="V152" s="8"/>
      <c r="W152" s="8"/>
      <c r="X152" s="8"/>
      <c r="Y152" s="8"/>
      <c r="Z152" s="8"/>
      <c r="AB152" s="25" t="s">
        <v>22</v>
      </c>
      <c r="AC152" s="25" t="s">
        <v>22</v>
      </c>
      <c r="AD152" s="25" t="s">
        <v>22</v>
      </c>
      <c r="AE152" s="25" t="s">
        <v>22</v>
      </c>
      <c r="AF152" s="25" t="s">
        <v>22</v>
      </c>
      <c r="AG152" s="25" t="s">
        <v>22</v>
      </c>
      <c r="AH152" s="7" t="s">
        <v>22</v>
      </c>
      <c r="AN152" s="14"/>
      <c r="AO152" s="14"/>
      <c r="AP152" s="14"/>
      <c r="AQ152" s="14"/>
      <c r="AR152" s="14"/>
    </row>
    <row r="153" spans="11:44" x14ac:dyDescent="0.3">
      <c r="K153" s="21">
        <v>149</v>
      </c>
      <c r="L153" s="24" t="s">
        <v>22</v>
      </c>
      <c r="M153" s="24" t="s">
        <v>22</v>
      </c>
      <c r="N153" s="24" t="s">
        <v>22</v>
      </c>
      <c r="O153" s="24" t="s">
        <v>22</v>
      </c>
      <c r="P153" s="24" t="s">
        <v>22</v>
      </c>
      <c r="Q153" s="24" t="s">
        <v>22</v>
      </c>
      <c r="R153" s="24" t="s">
        <v>22</v>
      </c>
      <c r="T153" s="8"/>
      <c r="U153" s="8"/>
      <c r="V153" s="8"/>
      <c r="W153" s="8"/>
      <c r="X153" s="8"/>
      <c r="Y153" s="8"/>
      <c r="Z153" s="8"/>
      <c r="AB153" s="25" t="s">
        <v>22</v>
      </c>
      <c r="AC153" s="25" t="s">
        <v>22</v>
      </c>
      <c r="AD153" s="25" t="s">
        <v>22</v>
      </c>
      <c r="AE153" s="25" t="s">
        <v>22</v>
      </c>
      <c r="AF153" s="25" t="s">
        <v>22</v>
      </c>
      <c r="AG153" s="25" t="s">
        <v>22</v>
      </c>
      <c r="AH153" s="7" t="s">
        <v>22</v>
      </c>
      <c r="AN153" s="14"/>
      <c r="AO153" s="14"/>
      <c r="AP153" s="14"/>
      <c r="AQ153" s="14"/>
      <c r="AR153" s="14"/>
    </row>
    <row r="154" spans="11:44" x14ac:dyDescent="0.3">
      <c r="K154" s="22">
        <v>150</v>
      </c>
      <c r="L154" s="24" t="s">
        <v>22</v>
      </c>
      <c r="M154" s="24" t="s">
        <v>22</v>
      </c>
      <c r="N154" s="24" t="s">
        <v>22</v>
      </c>
      <c r="O154" s="24" t="s">
        <v>22</v>
      </c>
      <c r="P154" s="24" t="s">
        <v>22</v>
      </c>
      <c r="Q154" s="24" t="s">
        <v>22</v>
      </c>
      <c r="R154" s="24" t="s">
        <v>22</v>
      </c>
      <c r="T154" s="8"/>
      <c r="U154" s="8"/>
      <c r="V154" s="8"/>
      <c r="W154" s="8"/>
      <c r="X154" s="8"/>
      <c r="Y154" s="8"/>
      <c r="Z154" s="8"/>
      <c r="AB154" s="25" t="s">
        <v>22</v>
      </c>
      <c r="AC154" s="25" t="s">
        <v>22</v>
      </c>
      <c r="AD154" s="25" t="s">
        <v>22</v>
      </c>
      <c r="AE154" s="25" t="s">
        <v>22</v>
      </c>
      <c r="AF154" s="25" t="s">
        <v>22</v>
      </c>
      <c r="AG154" s="25" t="s">
        <v>22</v>
      </c>
      <c r="AH154" s="7" t="s">
        <v>22</v>
      </c>
      <c r="AN154" s="14"/>
      <c r="AO154" s="14"/>
      <c r="AP154" s="14"/>
      <c r="AQ154" s="14"/>
      <c r="AR154" s="14"/>
    </row>
    <row r="155" spans="11:44" x14ac:dyDescent="0.3">
      <c r="K155" s="21">
        <v>151</v>
      </c>
      <c r="L155" s="24" t="s">
        <v>22</v>
      </c>
      <c r="M155" s="24" t="s">
        <v>22</v>
      </c>
      <c r="N155" s="24" t="s">
        <v>22</v>
      </c>
      <c r="O155" s="24" t="s">
        <v>22</v>
      </c>
      <c r="P155" s="24" t="s">
        <v>22</v>
      </c>
      <c r="Q155" s="24" t="s">
        <v>22</v>
      </c>
      <c r="R155" s="24" t="s">
        <v>22</v>
      </c>
      <c r="T155" s="8"/>
      <c r="U155" s="8"/>
      <c r="V155" s="8"/>
      <c r="W155" s="8"/>
      <c r="X155" s="8"/>
      <c r="Y155" s="8"/>
      <c r="Z155" s="8"/>
      <c r="AB155" s="25" t="s">
        <v>22</v>
      </c>
      <c r="AC155" s="25" t="s">
        <v>22</v>
      </c>
      <c r="AD155" s="25" t="s">
        <v>22</v>
      </c>
      <c r="AE155" s="25" t="s">
        <v>22</v>
      </c>
      <c r="AF155" s="25" t="s">
        <v>22</v>
      </c>
      <c r="AG155" s="25" t="s">
        <v>22</v>
      </c>
      <c r="AH155" s="7" t="s">
        <v>22</v>
      </c>
      <c r="AN155" s="14"/>
      <c r="AO155" s="14"/>
      <c r="AP155" s="14"/>
      <c r="AQ155" s="14"/>
      <c r="AR155" s="14"/>
    </row>
    <row r="156" spans="11:44" x14ac:dyDescent="0.3">
      <c r="K156" s="22">
        <v>152</v>
      </c>
      <c r="L156" s="24" t="s">
        <v>22</v>
      </c>
      <c r="M156" s="24" t="s">
        <v>22</v>
      </c>
      <c r="N156" s="24" t="s">
        <v>22</v>
      </c>
      <c r="O156" s="24" t="s">
        <v>22</v>
      </c>
      <c r="P156" s="24" t="s">
        <v>22</v>
      </c>
      <c r="Q156" s="24" t="s">
        <v>22</v>
      </c>
      <c r="R156" s="24" t="s">
        <v>22</v>
      </c>
      <c r="T156" s="8"/>
      <c r="U156" s="8"/>
      <c r="V156" s="8"/>
      <c r="W156" s="8"/>
      <c r="X156" s="8"/>
      <c r="Y156" s="8"/>
      <c r="Z156" s="8"/>
      <c r="AB156" s="25" t="s">
        <v>22</v>
      </c>
      <c r="AC156" s="25" t="s">
        <v>22</v>
      </c>
      <c r="AD156" s="25" t="s">
        <v>22</v>
      </c>
      <c r="AE156" s="25" t="s">
        <v>22</v>
      </c>
      <c r="AF156" s="25" t="s">
        <v>22</v>
      </c>
      <c r="AG156" s="25" t="s">
        <v>22</v>
      </c>
      <c r="AH156" s="7" t="s">
        <v>22</v>
      </c>
      <c r="AN156" s="14"/>
      <c r="AO156" s="14"/>
      <c r="AP156" s="14"/>
      <c r="AQ156" s="14"/>
      <c r="AR156" s="14"/>
    </row>
    <row r="157" spans="11:44" x14ac:dyDescent="0.3">
      <c r="K157" s="21">
        <v>153</v>
      </c>
      <c r="L157" s="24" t="s">
        <v>22</v>
      </c>
      <c r="M157" s="24" t="s">
        <v>22</v>
      </c>
      <c r="N157" s="24" t="s">
        <v>22</v>
      </c>
      <c r="O157" s="24" t="s">
        <v>22</v>
      </c>
      <c r="P157" s="24" t="s">
        <v>22</v>
      </c>
      <c r="Q157" s="24" t="s">
        <v>22</v>
      </c>
      <c r="R157" s="24" t="s">
        <v>22</v>
      </c>
      <c r="T157" s="8"/>
      <c r="U157" s="8"/>
      <c r="V157" s="8"/>
      <c r="W157" s="8"/>
      <c r="X157" s="8"/>
      <c r="Y157" s="8"/>
      <c r="Z157" s="8"/>
      <c r="AB157" s="25" t="s">
        <v>22</v>
      </c>
      <c r="AC157" s="25" t="s">
        <v>22</v>
      </c>
      <c r="AD157" s="25" t="s">
        <v>22</v>
      </c>
      <c r="AE157" s="25" t="s">
        <v>22</v>
      </c>
      <c r="AF157" s="25" t="s">
        <v>22</v>
      </c>
      <c r="AG157" s="25" t="s">
        <v>22</v>
      </c>
      <c r="AH157" s="7" t="s">
        <v>22</v>
      </c>
      <c r="AN157" s="14"/>
      <c r="AO157" s="14"/>
      <c r="AP157" s="14"/>
      <c r="AQ157" s="14"/>
      <c r="AR157" s="14"/>
    </row>
    <row r="158" spans="11:44" x14ac:dyDescent="0.3">
      <c r="K158" s="22">
        <v>154</v>
      </c>
      <c r="L158" s="24" t="s">
        <v>22</v>
      </c>
      <c r="M158" s="24" t="s">
        <v>22</v>
      </c>
      <c r="N158" s="24" t="s">
        <v>22</v>
      </c>
      <c r="O158" s="24" t="s">
        <v>22</v>
      </c>
      <c r="P158" s="24" t="s">
        <v>22</v>
      </c>
      <c r="Q158" s="24" t="s">
        <v>22</v>
      </c>
      <c r="R158" s="24" t="s">
        <v>22</v>
      </c>
      <c r="T158" s="8"/>
      <c r="U158" s="8"/>
      <c r="V158" s="8"/>
      <c r="W158" s="8"/>
      <c r="X158" s="8"/>
      <c r="Y158" s="8"/>
      <c r="Z158" s="8"/>
      <c r="AB158" s="25" t="s">
        <v>22</v>
      </c>
      <c r="AC158" s="25" t="s">
        <v>22</v>
      </c>
      <c r="AD158" s="25" t="s">
        <v>22</v>
      </c>
      <c r="AE158" s="25" t="s">
        <v>22</v>
      </c>
      <c r="AF158" s="25" t="s">
        <v>22</v>
      </c>
      <c r="AG158" s="25" t="s">
        <v>22</v>
      </c>
      <c r="AH158" s="7" t="s">
        <v>22</v>
      </c>
      <c r="AN158" s="14"/>
      <c r="AO158" s="14"/>
      <c r="AP158" s="14"/>
      <c r="AQ158" s="14"/>
      <c r="AR158" s="14"/>
    </row>
    <row r="159" spans="11:44" x14ac:dyDescent="0.3">
      <c r="K159" s="21">
        <v>155</v>
      </c>
      <c r="L159" s="24" t="s">
        <v>22</v>
      </c>
      <c r="M159" s="24" t="s">
        <v>22</v>
      </c>
      <c r="N159" s="24" t="s">
        <v>22</v>
      </c>
      <c r="O159" s="24" t="s">
        <v>22</v>
      </c>
      <c r="P159" s="24" t="s">
        <v>22</v>
      </c>
      <c r="Q159" s="24" t="s">
        <v>22</v>
      </c>
      <c r="R159" s="24" t="s">
        <v>22</v>
      </c>
      <c r="T159" s="8"/>
      <c r="U159" s="8"/>
      <c r="V159" s="8"/>
      <c r="W159" s="8"/>
      <c r="X159" s="8"/>
      <c r="Y159" s="8"/>
      <c r="Z159" s="8"/>
      <c r="AB159" s="25" t="s">
        <v>22</v>
      </c>
      <c r="AC159" s="25" t="s">
        <v>22</v>
      </c>
      <c r="AD159" s="25" t="s">
        <v>22</v>
      </c>
      <c r="AE159" s="25" t="s">
        <v>22</v>
      </c>
      <c r="AF159" s="25" t="s">
        <v>22</v>
      </c>
      <c r="AG159" s="25" t="s">
        <v>22</v>
      </c>
      <c r="AH159" s="7" t="s">
        <v>22</v>
      </c>
      <c r="AN159" s="14"/>
      <c r="AO159" s="14"/>
      <c r="AP159" s="14"/>
      <c r="AQ159" s="14"/>
      <c r="AR159" s="14"/>
    </row>
    <row r="160" spans="11:44" x14ac:dyDescent="0.3">
      <c r="K160" s="22">
        <v>156</v>
      </c>
      <c r="L160" s="24" t="s">
        <v>22</v>
      </c>
      <c r="M160" s="24" t="s">
        <v>22</v>
      </c>
      <c r="N160" s="24" t="s">
        <v>22</v>
      </c>
      <c r="O160" s="24" t="s">
        <v>22</v>
      </c>
      <c r="P160" s="24" t="s">
        <v>22</v>
      </c>
      <c r="Q160" s="24" t="s">
        <v>22</v>
      </c>
      <c r="R160" s="24" t="s">
        <v>22</v>
      </c>
      <c r="T160" s="8"/>
      <c r="U160" s="8"/>
      <c r="V160" s="8"/>
      <c r="W160" s="8"/>
      <c r="X160" s="8"/>
      <c r="Y160" s="8"/>
      <c r="Z160" s="8"/>
      <c r="AB160" s="25" t="s">
        <v>22</v>
      </c>
      <c r="AC160" s="25" t="s">
        <v>22</v>
      </c>
      <c r="AD160" s="25" t="s">
        <v>22</v>
      </c>
      <c r="AE160" s="25" t="s">
        <v>22</v>
      </c>
      <c r="AF160" s="25" t="s">
        <v>22</v>
      </c>
      <c r="AG160" s="25" t="s">
        <v>22</v>
      </c>
      <c r="AH160" s="7" t="s">
        <v>22</v>
      </c>
      <c r="AN160" s="14"/>
      <c r="AO160" s="14"/>
      <c r="AP160" s="14"/>
      <c r="AQ160" s="14"/>
      <c r="AR160" s="14"/>
    </row>
    <row r="161" spans="11:44" x14ac:dyDescent="0.3">
      <c r="K161" s="21">
        <v>157</v>
      </c>
      <c r="L161" s="24" t="s">
        <v>22</v>
      </c>
      <c r="M161" s="24" t="s">
        <v>22</v>
      </c>
      <c r="N161" s="24" t="s">
        <v>22</v>
      </c>
      <c r="O161" s="24" t="s">
        <v>22</v>
      </c>
      <c r="P161" s="24" t="s">
        <v>22</v>
      </c>
      <c r="Q161" s="24" t="s">
        <v>22</v>
      </c>
      <c r="R161" s="24" t="s">
        <v>22</v>
      </c>
      <c r="T161" s="8"/>
      <c r="U161" s="8"/>
      <c r="V161" s="8"/>
      <c r="W161" s="8"/>
      <c r="X161" s="8"/>
      <c r="Y161" s="8"/>
      <c r="Z161" s="8"/>
      <c r="AB161" s="25" t="s">
        <v>22</v>
      </c>
      <c r="AC161" s="25" t="s">
        <v>22</v>
      </c>
      <c r="AD161" s="25" t="s">
        <v>22</v>
      </c>
      <c r="AE161" s="25" t="s">
        <v>22</v>
      </c>
      <c r="AF161" s="25" t="s">
        <v>22</v>
      </c>
      <c r="AG161" s="25" t="s">
        <v>22</v>
      </c>
      <c r="AH161" s="7" t="s">
        <v>22</v>
      </c>
      <c r="AN161" s="14"/>
      <c r="AO161" s="14"/>
      <c r="AP161" s="14"/>
      <c r="AQ161" s="14"/>
      <c r="AR161" s="14"/>
    </row>
    <row r="162" spans="11:44" x14ac:dyDescent="0.3">
      <c r="K162" s="22">
        <v>158</v>
      </c>
      <c r="L162" s="24" t="s">
        <v>22</v>
      </c>
      <c r="M162" s="24" t="s">
        <v>22</v>
      </c>
      <c r="N162" s="24" t="s">
        <v>22</v>
      </c>
      <c r="O162" s="24" t="s">
        <v>22</v>
      </c>
      <c r="P162" s="24" t="s">
        <v>22</v>
      </c>
      <c r="Q162" s="24" t="s">
        <v>22</v>
      </c>
      <c r="R162" s="24" t="s">
        <v>22</v>
      </c>
      <c r="T162" s="8"/>
      <c r="U162" s="8"/>
      <c r="V162" s="8"/>
      <c r="W162" s="8"/>
      <c r="X162" s="8"/>
      <c r="Y162" s="8"/>
      <c r="Z162" s="8"/>
      <c r="AB162" s="25" t="s">
        <v>22</v>
      </c>
      <c r="AC162" s="25" t="s">
        <v>22</v>
      </c>
      <c r="AD162" s="25" t="s">
        <v>22</v>
      </c>
      <c r="AE162" s="25" t="s">
        <v>22</v>
      </c>
      <c r="AF162" s="25" t="s">
        <v>22</v>
      </c>
      <c r="AG162" s="25" t="s">
        <v>22</v>
      </c>
      <c r="AH162" s="7" t="s">
        <v>22</v>
      </c>
      <c r="AN162" s="14"/>
      <c r="AO162" s="14"/>
      <c r="AP162" s="14"/>
      <c r="AQ162" s="14"/>
      <c r="AR162" s="14"/>
    </row>
    <row r="163" spans="11:44" x14ac:dyDescent="0.3">
      <c r="K163" s="21">
        <v>159</v>
      </c>
      <c r="L163" s="24" t="s">
        <v>22</v>
      </c>
      <c r="M163" s="24" t="s">
        <v>22</v>
      </c>
      <c r="N163" s="24" t="s">
        <v>22</v>
      </c>
      <c r="O163" s="24" t="s">
        <v>22</v>
      </c>
      <c r="P163" s="24" t="s">
        <v>22</v>
      </c>
      <c r="Q163" s="24" t="s">
        <v>22</v>
      </c>
      <c r="R163" s="24" t="s">
        <v>22</v>
      </c>
      <c r="T163" s="8"/>
      <c r="U163" s="8"/>
      <c r="V163" s="8"/>
      <c r="W163" s="8"/>
      <c r="X163" s="8"/>
      <c r="Y163" s="8"/>
      <c r="Z163" s="8"/>
      <c r="AB163" s="25" t="s">
        <v>22</v>
      </c>
      <c r="AC163" s="25" t="s">
        <v>22</v>
      </c>
      <c r="AD163" s="25" t="s">
        <v>22</v>
      </c>
      <c r="AE163" s="25" t="s">
        <v>22</v>
      </c>
      <c r="AF163" s="25" t="s">
        <v>22</v>
      </c>
      <c r="AG163" s="25" t="s">
        <v>22</v>
      </c>
      <c r="AH163" s="7" t="s">
        <v>22</v>
      </c>
      <c r="AN163" s="14"/>
      <c r="AO163" s="14"/>
      <c r="AP163" s="14"/>
      <c r="AQ163" s="14"/>
      <c r="AR163" s="14"/>
    </row>
    <row r="164" spans="11:44" x14ac:dyDescent="0.3">
      <c r="K164" s="22">
        <v>160</v>
      </c>
      <c r="L164" s="24" t="s">
        <v>22</v>
      </c>
      <c r="M164" s="24" t="s">
        <v>22</v>
      </c>
      <c r="N164" s="24" t="s">
        <v>22</v>
      </c>
      <c r="O164" s="24" t="s">
        <v>22</v>
      </c>
      <c r="P164" s="24" t="s">
        <v>22</v>
      </c>
      <c r="Q164" s="24" t="s">
        <v>22</v>
      </c>
      <c r="R164" s="24" t="s">
        <v>22</v>
      </c>
      <c r="T164" s="8"/>
      <c r="U164" s="8"/>
      <c r="V164" s="8"/>
      <c r="W164" s="8"/>
      <c r="X164" s="8"/>
      <c r="Y164" s="8"/>
      <c r="Z164" s="8"/>
      <c r="AB164" s="25" t="s">
        <v>22</v>
      </c>
      <c r="AC164" s="25" t="s">
        <v>22</v>
      </c>
      <c r="AD164" s="25" t="s">
        <v>22</v>
      </c>
      <c r="AE164" s="25" t="s">
        <v>22</v>
      </c>
      <c r="AF164" s="25" t="s">
        <v>22</v>
      </c>
      <c r="AG164" s="25" t="s">
        <v>22</v>
      </c>
      <c r="AH164" s="7" t="s">
        <v>22</v>
      </c>
      <c r="AN164" s="14"/>
      <c r="AO164" s="14"/>
      <c r="AP164" s="14"/>
      <c r="AQ164" s="14"/>
      <c r="AR164" s="14"/>
    </row>
    <row r="165" spans="11:44" x14ac:dyDescent="0.3">
      <c r="K165" s="21">
        <v>161</v>
      </c>
      <c r="L165" s="24" t="s">
        <v>22</v>
      </c>
      <c r="M165" s="24" t="s">
        <v>22</v>
      </c>
      <c r="N165" s="24" t="s">
        <v>22</v>
      </c>
      <c r="O165" s="24" t="s">
        <v>22</v>
      </c>
      <c r="P165" s="24" t="s">
        <v>22</v>
      </c>
      <c r="Q165" s="24" t="s">
        <v>22</v>
      </c>
      <c r="R165" s="24" t="s">
        <v>22</v>
      </c>
      <c r="T165" s="8"/>
      <c r="U165" s="8"/>
      <c r="V165" s="8"/>
      <c r="W165" s="8"/>
      <c r="X165" s="8"/>
      <c r="Y165" s="8"/>
      <c r="Z165" s="8"/>
      <c r="AB165" s="25" t="s">
        <v>22</v>
      </c>
      <c r="AC165" s="25" t="s">
        <v>22</v>
      </c>
      <c r="AD165" s="25" t="s">
        <v>22</v>
      </c>
      <c r="AE165" s="25" t="s">
        <v>22</v>
      </c>
      <c r="AF165" s="25" t="s">
        <v>22</v>
      </c>
      <c r="AG165" s="25" t="s">
        <v>22</v>
      </c>
      <c r="AH165" s="7" t="s">
        <v>22</v>
      </c>
      <c r="AN165" s="14"/>
      <c r="AO165" s="14"/>
      <c r="AP165" s="14"/>
      <c r="AQ165" s="14"/>
      <c r="AR165" s="14"/>
    </row>
    <row r="166" spans="11:44" x14ac:dyDescent="0.3">
      <c r="K166" s="22">
        <v>162</v>
      </c>
      <c r="L166" s="24" t="s">
        <v>22</v>
      </c>
      <c r="M166" s="24" t="s">
        <v>22</v>
      </c>
      <c r="N166" s="24" t="s">
        <v>22</v>
      </c>
      <c r="O166" s="24" t="s">
        <v>22</v>
      </c>
      <c r="P166" s="24" t="s">
        <v>22</v>
      </c>
      <c r="Q166" s="24" t="s">
        <v>22</v>
      </c>
      <c r="R166" s="24" t="s">
        <v>22</v>
      </c>
      <c r="T166" s="8"/>
      <c r="U166" s="8"/>
      <c r="V166" s="8"/>
      <c r="W166" s="8"/>
      <c r="X166" s="8"/>
      <c r="Y166" s="8"/>
      <c r="Z166" s="8"/>
      <c r="AB166" s="25" t="s">
        <v>22</v>
      </c>
      <c r="AC166" s="25" t="s">
        <v>22</v>
      </c>
      <c r="AD166" s="25" t="s">
        <v>22</v>
      </c>
      <c r="AE166" s="25" t="s">
        <v>22</v>
      </c>
      <c r="AF166" s="25" t="s">
        <v>22</v>
      </c>
      <c r="AG166" s="25" t="s">
        <v>22</v>
      </c>
      <c r="AH166" s="7" t="s">
        <v>22</v>
      </c>
      <c r="AN166" s="14"/>
      <c r="AO166" s="14"/>
      <c r="AP166" s="14"/>
      <c r="AQ166" s="14"/>
      <c r="AR166" s="14"/>
    </row>
    <row r="167" spans="11:44" x14ac:dyDescent="0.3">
      <c r="K167" s="21">
        <v>163</v>
      </c>
      <c r="L167" s="24" t="s">
        <v>22</v>
      </c>
      <c r="M167" s="24" t="s">
        <v>22</v>
      </c>
      <c r="N167" s="24" t="s">
        <v>22</v>
      </c>
      <c r="O167" s="24" t="s">
        <v>22</v>
      </c>
      <c r="P167" s="24" t="s">
        <v>22</v>
      </c>
      <c r="Q167" s="24" t="s">
        <v>22</v>
      </c>
      <c r="R167" s="24" t="s">
        <v>22</v>
      </c>
      <c r="T167" s="8"/>
      <c r="U167" s="8"/>
      <c r="V167" s="8"/>
      <c r="W167" s="8"/>
      <c r="X167" s="8"/>
      <c r="Y167" s="8"/>
      <c r="Z167" s="8"/>
      <c r="AB167" s="25" t="s">
        <v>22</v>
      </c>
      <c r="AC167" s="25" t="s">
        <v>22</v>
      </c>
      <c r="AD167" s="25" t="s">
        <v>22</v>
      </c>
      <c r="AE167" s="25" t="s">
        <v>22</v>
      </c>
      <c r="AF167" s="25" t="s">
        <v>22</v>
      </c>
      <c r="AG167" s="25" t="s">
        <v>22</v>
      </c>
      <c r="AH167" s="7" t="s">
        <v>22</v>
      </c>
      <c r="AN167" s="14"/>
      <c r="AO167" s="14"/>
      <c r="AP167" s="14"/>
      <c r="AQ167" s="14"/>
      <c r="AR167" s="14"/>
    </row>
    <row r="168" spans="11:44" x14ac:dyDescent="0.3">
      <c r="K168" s="22">
        <v>164</v>
      </c>
      <c r="L168" s="24" t="s">
        <v>22</v>
      </c>
      <c r="M168" s="24" t="s">
        <v>22</v>
      </c>
      <c r="N168" s="24" t="s">
        <v>22</v>
      </c>
      <c r="O168" s="24" t="s">
        <v>22</v>
      </c>
      <c r="P168" s="24" t="s">
        <v>22</v>
      </c>
      <c r="Q168" s="24" t="s">
        <v>22</v>
      </c>
      <c r="R168" s="24" t="s">
        <v>22</v>
      </c>
      <c r="T168" s="8"/>
      <c r="U168" s="8"/>
      <c r="V168" s="8"/>
      <c r="W168" s="8"/>
      <c r="X168" s="8"/>
      <c r="Y168" s="8"/>
      <c r="Z168" s="8"/>
      <c r="AB168" s="25" t="s">
        <v>22</v>
      </c>
      <c r="AC168" s="25" t="s">
        <v>22</v>
      </c>
      <c r="AD168" s="25" t="s">
        <v>22</v>
      </c>
      <c r="AE168" s="25" t="s">
        <v>22</v>
      </c>
      <c r="AF168" s="25" t="s">
        <v>22</v>
      </c>
      <c r="AG168" s="25" t="s">
        <v>22</v>
      </c>
      <c r="AH168" s="7" t="s">
        <v>22</v>
      </c>
      <c r="AN168" s="14"/>
      <c r="AO168" s="14"/>
      <c r="AP168" s="14"/>
      <c r="AQ168" s="14"/>
      <c r="AR168" s="14"/>
    </row>
    <row r="169" spans="11:44" x14ac:dyDescent="0.3">
      <c r="K169" s="21">
        <v>165</v>
      </c>
      <c r="L169" s="24" t="s">
        <v>22</v>
      </c>
      <c r="M169" s="24" t="s">
        <v>22</v>
      </c>
      <c r="N169" s="24" t="s">
        <v>22</v>
      </c>
      <c r="O169" s="24" t="s">
        <v>22</v>
      </c>
      <c r="P169" s="24" t="s">
        <v>22</v>
      </c>
      <c r="Q169" s="24" t="s">
        <v>22</v>
      </c>
      <c r="R169" s="24" t="s">
        <v>22</v>
      </c>
      <c r="T169" s="8"/>
      <c r="U169" s="8"/>
      <c r="V169" s="8"/>
      <c r="W169" s="8"/>
      <c r="X169" s="8"/>
      <c r="Y169" s="8"/>
      <c r="Z169" s="8"/>
      <c r="AB169" s="25" t="s">
        <v>22</v>
      </c>
      <c r="AC169" s="25" t="s">
        <v>22</v>
      </c>
      <c r="AD169" s="25" t="s">
        <v>22</v>
      </c>
      <c r="AE169" s="25" t="s">
        <v>22</v>
      </c>
      <c r="AF169" s="25" t="s">
        <v>22</v>
      </c>
      <c r="AG169" s="25" t="s">
        <v>22</v>
      </c>
      <c r="AH169" s="7" t="s">
        <v>22</v>
      </c>
      <c r="AN169" s="14"/>
      <c r="AO169" s="14"/>
      <c r="AP169" s="14"/>
      <c r="AQ169" s="14"/>
      <c r="AR169" s="14"/>
    </row>
    <row r="170" spans="11:44" x14ac:dyDescent="0.3">
      <c r="K170" s="22">
        <v>166</v>
      </c>
      <c r="L170" s="24" t="s">
        <v>22</v>
      </c>
      <c r="M170" s="24" t="s">
        <v>22</v>
      </c>
      <c r="N170" s="24" t="s">
        <v>22</v>
      </c>
      <c r="O170" s="24" t="s">
        <v>22</v>
      </c>
      <c r="P170" s="24" t="s">
        <v>22</v>
      </c>
      <c r="Q170" s="24" t="s">
        <v>22</v>
      </c>
      <c r="R170" s="24" t="s">
        <v>22</v>
      </c>
      <c r="T170" s="8"/>
      <c r="U170" s="8"/>
      <c r="V170" s="8"/>
      <c r="W170" s="8"/>
      <c r="X170" s="8"/>
      <c r="Y170" s="8"/>
      <c r="Z170" s="8"/>
      <c r="AB170" s="25" t="s">
        <v>22</v>
      </c>
      <c r="AC170" s="25" t="s">
        <v>22</v>
      </c>
      <c r="AD170" s="25" t="s">
        <v>22</v>
      </c>
      <c r="AE170" s="25" t="s">
        <v>22</v>
      </c>
      <c r="AF170" s="25" t="s">
        <v>22</v>
      </c>
      <c r="AG170" s="25" t="s">
        <v>22</v>
      </c>
      <c r="AH170" s="7" t="s">
        <v>22</v>
      </c>
      <c r="AN170" s="14"/>
      <c r="AO170" s="14"/>
      <c r="AP170" s="14"/>
      <c r="AQ170" s="14"/>
      <c r="AR170" s="14"/>
    </row>
    <row r="171" spans="11:44" x14ac:dyDescent="0.3">
      <c r="K171" s="21">
        <v>167</v>
      </c>
      <c r="L171" s="24" t="s">
        <v>22</v>
      </c>
      <c r="M171" s="24" t="s">
        <v>22</v>
      </c>
      <c r="N171" s="24" t="s">
        <v>22</v>
      </c>
      <c r="O171" s="24" t="s">
        <v>22</v>
      </c>
      <c r="P171" s="24" t="s">
        <v>22</v>
      </c>
      <c r="Q171" s="24" t="s">
        <v>22</v>
      </c>
      <c r="R171" s="24" t="s">
        <v>22</v>
      </c>
      <c r="T171" s="8"/>
      <c r="U171" s="8"/>
      <c r="V171" s="8"/>
      <c r="W171" s="8"/>
      <c r="X171" s="8"/>
      <c r="Y171" s="8"/>
      <c r="Z171" s="8"/>
      <c r="AB171" s="25" t="s">
        <v>22</v>
      </c>
      <c r="AC171" s="25" t="s">
        <v>22</v>
      </c>
      <c r="AD171" s="25" t="s">
        <v>22</v>
      </c>
      <c r="AE171" s="25" t="s">
        <v>22</v>
      </c>
      <c r="AF171" s="25" t="s">
        <v>22</v>
      </c>
      <c r="AG171" s="25" t="s">
        <v>22</v>
      </c>
      <c r="AH171" s="7" t="s">
        <v>22</v>
      </c>
      <c r="AN171" s="14"/>
      <c r="AO171" s="14"/>
      <c r="AP171" s="14"/>
      <c r="AQ171" s="14"/>
      <c r="AR171" s="14"/>
    </row>
    <row r="172" spans="11:44" x14ac:dyDescent="0.3">
      <c r="K172" s="22">
        <v>168</v>
      </c>
      <c r="L172" s="24" t="s">
        <v>22</v>
      </c>
      <c r="M172" s="24" t="s">
        <v>22</v>
      </c>
      <c r="N172" s="24" t="s">
        <v>22</v>
      </c>
      <c r="O172" s="24" t="s">
        <v>22</v>
      </c>
      <c r="P172" s="24" t="s">
        <v>22</v>
      </c>
      <c r="Q172" s="24" t="s">
        <v>22</v>
      </c>
      <c r="R172" s="24" t="s">
        <v>22</v>
      </c>
      <c r="T172" s="8"/>
      <c r="U172" s="8"/>
      <c r="V172" s="8"/>
      <c r="W172" s="8"/>
      <c r="X172" s="8"/>
      <c r="Y172" s="8"/>
      <c r="Z172" s="8"/>
      <c r="AB172" s="25" t="s">
        <v>22</v>
      </c>
      <c r="AC172" s="25" t="s">
        <v>22</v>
      </c>
      <c r="AD172" s="25" t="s">
        <v>22</v>
      </c>
      <c r="AE172" s="25" t="s">
        <v>22</v>
      </c>
      <c r="AF172" s="25" t="s">
        <v>22</v>
      </c>
      <c r="AG172" s="25" t="s">
        <v>22</v>
      </c>
      <c r="AH172" s="7" t="s">
        <v>22</v>
      </c>
      <c r="AN172" s="14"/>
      <c r="AO172" s="14"/>
      <c r="AP172" s="14"/>
      <c r="AQ172" s="14"/>
      <c r="AR172" s="14"/>
    </row>
    <row r="173" spans="11:44" x14ac:dyDescent="0.3">
      <c r="K173" s="21">
        <v>169</v>
      </c>
      <c r="L173" s="24" t="s">
        <v>22</v>
      </c>
      <c r="M173" s="24" t="s">
        <v>22</v>
      </c>
      <c r="N173" s="24" t="s">
        <v>22</v>
      </c>
      <c r="O173" s="24" t="s">
        <v>22</v>
      </c>
      <c r="P173" s="24" t="s">
        <v>22</v>
      </c>
      <c r="Q173" s="24" t="s">
        <v>22</v>
      </c>
      <c r="R173" s="24" t="s">
        <v>22</v>
      </c>
      <c r="T173" s="8"/>
      <c r="U173" s="8"/>
      <c r="V173" s="8"/>
      <c r="W173" s="8"/>
      <c r="X173" s="8"/>
      <c r="Y173" s="8"/>
      <c r="Z173" s="8"/>
      <c r="AB173" s="25" t="s">
        <v>22</v>
      </c>
      <c r="AC173" s="25" t="s">
        <v>22</v>
      </c>
      <c r="AD173" s="25" t="s">
        <v>22</v>
      </c>
      <c r="AE173" s="25" t="s">
        <v>22</v>
      </c>
      <c r="AF173" s="25" t="s">
        <v>22</v>
      </c>
      <c r="AG173" s="25" t="s">
        <v>22</v>
      </c>
      <c r="AH173" s="7" t="s">
        <v>22</v>
      </c>
      <c r="AN173" s="14"/>
      <c r="AO173" s="14"/>
      <c r="AP173" s="14"/>
      <c r="AQ173" s="14"/>
      <c r="AR173" s="14"/>
    </row>
    <row r="174" spans="11:44" x14ac:dyDescent="0.3">
      <c r="K174" s="22">
        <v>170</v>
      </c>
      <c r="L174" s="24" t="s">
        <v>22</v>
      </c>
      <c r="M174" s="24" t="s">
        <v>22</v>
      </c>
      <c r="N174" s="24" t="s">
        <v>22</v>
      </c>
      <c r="O174" s="24" t="s">
        <v>22</v>
      </c>
      <c r="P174" s="24" t="s">
        <v>22</v>
      </c>
      <c r="Q174" s="24" t="s">
        <v>22</v>
      </c>
      <c r="R174" s="24" t="s">
        <v>22</v>
      </c>
      <c r="T174" s="8"/>
      <c r="U174" s="8"/>
      <c r="V174" s="8"/>
      <c r="W174" s="8"/>
      <c r="X174" s="8"/>
      <c r="Y174" s="8"/>
      <c r="Z174" s="8"/>
      <c r="AB174" s="25" t="s">
        <v>22</v>
      </c>
      <c r="AC174" s="25" t="s">
        <v>22</v>
      </c>
      <c r="AD174" s="25" t="s">
        <v>22</v>
      </c>
      <c r="AE174" s="25" t="s">
        <v>22</v>
      </c>
      <c r="AF174" s="25" t="s">
        <v>22</v>
      </c>
      <c r="AG174" s="25" t="s">
        <v>22</v>
      </c>
      <c r="AH174" s="7" t="s">
        <v>22</v>
      </c>
      <c r="AN174" s="14"/>
      <c r="AO174" s="14"/>
      <c r="AP174" s="14"/>
      <c r="AQ174" s="14"/>
      <c r="AR174" s="14"/>
    </row>
    <row r="175" spans="11:44" x14ac:dyDescent="0.3">
      <c r="K175" s="21">
        <v>171</v>
      </c>
      <c r="L175" s="24" t="s">
        <v>22</v>
      </c>
      <c r="M175" s="24" t="s">
        <v>22</v>
      </c>
      <c r="N175" s="24" t="s">
        <v>22</v>
      </c>
      <c r="O175" s="24" t="s">
        <v>22</v>
      </c>
      <c r="P175" s="24" t="s">
        <v>22</v>
      </c>
      <c r="Q175" s="24" t="s">
        <v>22</v>
      </c>
      <c r="R175" s="24" t="s">
        <v>22</v>
      </c>
      <c r="T175" s="8"/>
      <c r="U175" s="8"/>
      <c r="V175" s="8"/>
      <c r="W175" s="8"/>
      <c r="X175" s="8"/>
      <c r="Y175" s="8"/>
      <c r="Z175" s="8"/>
      <c r="AB175" s="25" t="s">
        <v>22</v>
      </c>
      <c r="AC175" s="25" t="s">
        <v>22</v>
      </c>
      <c r="AD175" s="25" t="s">
        <v>22</v>
      </c>
      <c r="AE175" s="25" t="s">
        <v>22</v>
      </c>
      <c r="AF175" s="25" t="s">
        <v>22</v>
      </c>
      <c r="AG175" s="25" t="s">
        <v>22</v>
      </c>
      <c r="AH175" s="7" t="s">
        <v>22</v>
      </c>
      <c r="AN175" s="14"/>
      <c r="AO175" s="14"/>
      <c r="AP175" s="14"/>
      <c r="AQ175" s="14"/>
      <c r="AR175" s="14"/>
    </row>
    <row r="176" spans="11:44" x14ac:dyDescent="0.3">
      <c r="K176" s="22">
        <v>172</v>
      </c>
      <c r="L176" s="24" t="s">
        <v>22</v>
      </c>
      <c r="M176" s="24" t="s">
        <v>22</v>
      </c>
      <c r="N176" s="24" t="s">
        <v>22</v>
      </c>
      <c r="O176" s="24" t="s">
        <v>22</v>
      </c>
      <c r="P176" s="24" t="s">
        <v>22</v>
      </c>
      <c r="Q176" s="24" t="s">
        <v>22</v>
      </c>
      <c r="R176" s="24" t="s">
        <v>22</v>
      </c>
      <c r="T176" s="8"/>
      <c r="U176" s="8"/>
      <c r="V176" s="8"/>
      <c r="W176" s="8"/>
      <c r="X176" s="8"/>
      <c r="Y176" s="8"/>
      <c r="Z176" s="8"/>
      <c r="AB176" s="25" t="s">
        <v>22</v>
      </c>
      <c r="AC176" s="25" t="s">
        <v>22</v>
      </c>
      <c r="AD176" s="25" t="s">
        <v>22</v>
      </c>
      <c r="AE176" s="25" t="s">
        <v>22</v>
      </c>
      <c r="AF176" s="25" t="s">
        <v>22</v>
      </c>
      <c r="AG176" s="25" t="s">
        <v>22</v>
      </c>
      <c r="AH176" s="7" t="s">
        <v>22</v>
      </c>
      <c r="AN176" s="14"/>
      <c r="AO176" s="14"/>
      <c r="AP176" s="14"/>
      <c r="AQ176" s="14"/>
      <c r="AR176" s="14"/>
    </row>
    <row r="177" spans="11:44" x14ac:dyDescent="0.3">
      <c r="K177" s="21">
        <v>173</v>
      </c>
      <c r="L177" s="24" t="s">
        <v>22</v>
      </c>
      <c r="M177" s="24" t="s">
        <v>22</v>
      </c>
      <c r="N177" s="24" t="s">
        <v>22</v>
      </c>
      <c r="O177" s="24" t="s">
        <v>22</v>
      </c>
      <c r="P177" s="24" t="s">
        <v>22</v>
      </c>
      <c r="Q177" s="24" t="s">
        <v>22</v>
      </c>
      <c r="R177" s="24" t="s">
        <v>22</v>
      </c>
      <c r="T177" s="8"/>
      <c r="U177" s="8"/>
      <c r="V177" s="8"/>
      <c r="W177" s="8"/>
      <c r="X177" s="8"/>
      <c r="Y177" s="8"/>
      <c r="Z177" s="8"/>
      <c r="AB177" s="25" t="s">
        <v>22</v>
      </c>
      <c r="AC177" s="25" t="s">
        <v>22</v>
      </c>
      <c r="AD177" s="25" t="s">
        <v>22</v>
      </c>
      <c r="AE177" s="25" t="s">
        <v>22</v>
      </c>
      <c r="AF177" s="25" t="s">
        <v>22</v>
      </c>
      <c r="AG177" s="25" t="s">
        <v>22</v>
      </c>
      <c r="AH177" s="7" t="s">
        <v>22</v>
      </c>
      <c r="AN177" s="14"/>
      <c r="AO177" s="14"/>
      <c r="AP177" s="14"/>
      <c r="AQ177" s="14"/>
      <c r="AR177" s="14"/>
    </row>
    <row r="178" spans="11:44" x14ac:dyDescent="0.3">
      <c r="K178" s="22">
        <v>174</v>
      </c>
      <c r="L178" s="24" t="s">
        <v>22</v>
      </c>
      <c r="M178" s="24" t="s">
        <v>22</v>
      </c>
      <c r="N178" s="24" t="s">
        <v>22</v>
      </c>
      <c r="O178" s="24" t="s">
        <v>22</v>
      </c>
      <c r="P178" s="24" t="s">
        <v>22</v>
      </c>
      <c r="Q178" s="24" t="s">
        <v>22</v>
      </c>
      <c r="R178" s="24" t="s">
        <v>22</v>
      </c>
      <c r="T178" s="8"/>
      <c r="U178" s="8"/>
      <c r="V178" s="8"/>
      <c r="W178" s="8"/>
      <c r="X178" s="8"/>
      <c r="Y178" s="8"/>
      <c r="Z178" s="8"/>
      <c r="AB178" s="25" t="s">
        <v>22</v>
      </c>
      <c r="AC178" s="25" t="s">
        <v>22</v>
      </c>
      <c r="AD178" s="25" t="s">
        <v>22</v>
      </c>
      <c r="AE178" s="25" t="s">
        <v>22</v>
      </c>
      <c r="AF178" s="25" t="s">
        <v>22</v>
      </c>
      <c r="AG178" s="25" t="s">
        <v>22</v>
      </c>
      <c r="AH178" s="7" t="s">
        <v>22</v>
      </c>
      <c r="AN178" s="14"/>
      <c r="AO178" s="14"/>
      <c r="AP178" s="14"/>
      <c r="AQ178" s="14"/>
      <c r="AR178" s="14"/>
    </row>
    <row r="179" spans="11:44" x14ac:dyDescent="0.3">
      <c r="K179" s="21">
        <v>175</v>
      </c>
      <c r="L179" s="24" t="s">
        <v>22</v>
      </c>
      <c r="M179" s="24" t="s">
        <v>22</v>
      </c>
      <c r="N179" s="24" t="s">
        <v>22</v>
      </c>
      <c r="O179" s="24" t="s">
        <v>22</v>
      </c>
      <c r="P179" s="24" t="s">
        <v>22</v>
      </c>
      <c r="Q179" s="24" t="s">
        <v>22</v>
      </c>
      <c r="R179" s="24" t="s">
        <v>22</v>
      </c>
      <c r="T179" s="8"/>
      <c r="U179" s="8"/>
      <c r="V179" s="8"/>
      <c r="W179" s="8"/>
      <c r="X179" s="8"/>
      <c r="Y179" s="8"/>
      <c r="Z179" s="8"/>
      <c r="AB179" s="25" t="s">
        <v>22</v>
      </c>
      <c r="AC179" s="25" t="s">
        <v>22</v>
      </c>
      <c r="AD179" s="25" t="s">
        <v>22</v>
      </c>
      <c r="AE179" s="25" t="s">
        <v>22</v>
      </c>
      <c r="AF179" s="25" t="s">
        <v>22</v>
      </c>
      <c r="AG179" s="25" t="s">
        <v>22</v>
      </c>
      <c r="AH179" s="7" t="s">
        <v>22</v>
      </c>
      <c r="AN179" s="14"/>
      <c r="AO179" s="14"/>
      <c r="AP179" s="14"/>
      <c r="AQ179" s="14"/>
      <c r="AR179" s="14"/>
    </row>
    <row r="180" spans="11:44" x14ac:dyDescent="0.3">
      <c r="K180" s="22">
        <v>176</v>
      </c>
      <c r="L180" s="24" t="s">
        <v>22</v>
      </c>
      <c r="M180" s="24" t="s">
        <v>22</v>
      </c>
      <c r="N180" s="24" t="s">
        <v>22</v>
      </c>
      <c r="O180" s="24" t="s">
        <v>22</v>
      </c>
      <c r="P180" s="24" t="s">
        <v>22</v>
      </c>
      <c r="Q180" s="24" t="s">
        <v>22</v>
      </c>
      <c r="R180" s="24" t="s">
        <v>22</v>
      </c>
      <c r="T180" s="8"/>
      <c r="U180" s="8"/>
      <c r="V180" s="8"/>
      <c r="W180" s="8"/>
      <c r="X180" s="8"/>
      <c r="Y180" s="8"/>
      <c r="Z180" s="8"/>
      <c r="AB180" s="25" t="s">
        <v>22</v>
      </c>
      <c r="AC180" s="25" t="s">
        <v>22</v>
      </c>
      <c r="AD180" s="25" t="s">
        <v>22</v>
      </c>
      <c r="AE180" s="25" t="s">
        <v>22</v>
      </c>
      <c r="AF180" s="25" t="s">
        <v>22</v>
      </c>
      <c r="AG180" s="25" t="s">
        <v>22</v>
      </c>
      <c r="AH180" s="7" t="s">
        <v>22</v>
      </c>
      <c r="AN180" s="14"/>
      <c r="AO180" s="14"/>
      <c r="AP180" s="14"/>
      <c r="AQ180" s="14"/>
      <c r="AR180" s="14"/>
    </row>
    <row r="181" spans="11:44" x14ac:dyDescent="0.3">
      <c r="K181" s="21">
        <v>177</v>
      </c>
      <c r="L181" s="24" t="s">
        <v>22</v>
      </c>
      <c r="M181" s="24" t="s">
        <v>22</v>
      </c>
      <c r="N181" s="24" t="s">
        <v>22</v>
      </c>
      <c r="O181" s="24" t="s">
        <v>22</v>
      </c>
      <c r="P181" s="24" t="s">
        <v>22</v>
      </c>
      <c r="Q181" s="24" t="s">
        <v>22</v>
      </c>
      <c r="R181" s="24" t="s">
        <v>22</v>
      </c>
      <c r="T181" s="8"/>
      <c r="U181" s="8"/>
      <c r="V181" s="8"/>
      <c r="W181" s="8"/>
      <c r="X181" s="8"/>
      <c r="Y181" s="8"/>
      <c r="Z181" s="8"/>
      <c r="AB181" s="25" t="s">
        <v>22</v>
      </c>
      <c r="AC181" s="25" t="s">
        <v>22</v>
      </c>
      <c r="AD181" s="25" t="s">
        <v>22</v>
      </c>
      <c r="AE181" s="25" t="s">
        <v>22</v>
      </c>
      <c r="AF181" s="25" t="s">
        <v>22</v>
      </c>
      <c r="AG181" s="25" t="s">
        <v>22</v>
      </c>
      <c r="AH181" s="7" t="s">
        <v>22</v>
      </c>
      <c r="AN181" s="14"/>
      <c r="AO181" s="14"/>
      <c r="AP181" s="14"/>
      <c r="AQ181" s="14"/>
      <c r="AR181" s="14"/>
    </row>
    <row r="182" spans="11:44" x14ac:dyDescent="0.3">
      <c r="K182" s="22">
        <v>178</v>
      </c>
      <c r="L182" s="24" t="s">
        <v>22</v>
      </c>
      <c r="M182" s="24" t="s">
        <v>22</v>
      </c>
      <c r="N182" s="24" t="s">
        <v>22</v>
      </c>
      <c r="O182" s="24" t="s">
        <v>22</v>
      </c>
      <c r="P182" s="24" t="s">
        <v>22</v>
      </c>
      <c r="Q182" s="24" t="s">
        <v>22</v>
      </c>
      <c r="R182" s="24" t="s">
        <v>22</v>
      </c>
      <c r="T182" s="8"/>
      <c r="U182" s="8"/>
      <c r="V182" s="8"/>
      <c r="W182" s="8"/>
      <c r="X182" s="8"/>
      <c r="Y182" s="8"/>
      <c r="Z182" s="8"/>
      <c r="AB182" s="25" t="s">
        <v>22</v>
      </c>
      <c r="AC182" s="25" t="s">
        <v>22</v>
      </c>
      <c r="AD182" s="25" t="s">
        <v>22</v>
      </c>
      <c r="AE182" s="25" t="s">
        <v>22</v>
      </c>
      <c r="AF182" s="25" t="s">
        <v>22</v>
      </c>
      <c r="AG182" s="25" t="s">
        <v>22</v>
      </c>
      <c r="AH182" s="7" t="s">
        <v>22</v>
      </c>
      <c r="AN182" s="14"/>
      <c r="AO182" s="14"/>
      <c r="AP182" s="14"/>
      <c r="AQ182" s="14"/>
      <c r="AR182" s="14"/>
    </row>
    <row r="183" spans="11:44" x14ac:dyDescent="0.3">
      <c r="K183" s="21">
        <v>179</v>
      </c>
      <c r="L183" s="24" t="s">
        <v>22</v>
      </c>
      <c r="M183" s="24" t="s">
        <v>22</v>
      </c>
      <c r="N183" s="24" t="s">
        <v>22</v>
      </c>
      <c r="O183" s="24" t="s">
        <v>22</v>
      </c>
      <c r="P183" s="24" t="s">
        <v>22</v>
      </c>
      <c r="Q183" s="24" t="s">
        <v>22</v>
      </c>
      <c r="R183" s="24" t="s">
        <v>22</v>
      </c>
      <c r="T183" s="8"/>
      <c r="U183" s="8"/>
      <c r="V183" s="8"/>
      <c r="W183" s="8"/>
      <c r="X183" s="8"/>
      <c r="Y183" s="8"/>
      <c r="Z183" s="8"/>
      <c r="AB183" s="25" t="s">
        <v>22</v>
      </c>
      <c r="AC183" s="25" t="s">
        <v>22</v>
      </c>
      <c r="AD183" s="25" t="s">
        <v>22</v>
      </c>
      <c r="AE183" s="25" t="s">
        <v>22</v>
      </c>
      <c r="AF183" s="25" t="s">
        <v>22</v>
      </c>
      <c r="AG183" s="25" t="s">
        <v>22</v>
      </c>
      <c r="AH183" s="7" t="s">
        <v>22</v>
      </c>
      <c r="AN183" s="14"/>
      <c r="AO183" s="14"/>
      <c r="AP183" s="14"/>
      <c r="AQ183" s="14"/>
      <c r="AR183" s="14"/>
    </row>
    <row r="184" spans="11:44" x14ac:dyDescent="0.3">
      <c r="K184" s="22">
        <v>180</v>
      </c>
      <c r="L184" s="24" t="s">
        <v>22</v>
      </c>
      <c r="M184" s="24" t="s">
        <v>22</v>
      </c>
      <c r="N184" s="24" t="s">
        <v>22</v>
      </c>
      <c r="O184" s="24" t="s">
        <v>22</v>
      </c>
      <c r="P184" s="24" t="s">
        <v>22</v>
      </c>
      <c r="Q184" s="24" t="s">
        <v>22</v>
      </c>
      <c r="R184" s="24" t="s">
        <v>22</v>
      </c>
      <c r="T184" s="8"/>
      <c r="U184" s="8"/>
      <c r="V184" s="8"/>
      <c r="W184" s="8"/>
      <c r="X184" s="8"/>
      <c r="Y184" s="8"/>
      <c r="Z184" s="8"/>
      <c r="AB184" s="25" t="s">
        <v>22</v>
      </c>
      <c r="AC184" s="25" t="s">
        <v>22</v>
      </c>
      <c r="AD184" s="25" t="s">
        <v>22</v>
      </c>
      <c r="AE184" s="25" t="s">
        <v>22</v>
      </c>
      <c r="AF184" s="25" t="s">
        <v>22</v>
      </c>
      <c r="AG184" s="25" t="s">
        <v>22</v>
      </c>
      <c r="AH184" s="7" t="s">
        <v>22</v>
      </c>
      <c r="AN184" s="14"/>
      <c r="AO184" s="14"/>
      <c r="AP184" s="14"/>
      <c r="AQ184" s="14"/>
      <c r="AR184" s="14"/>
    </row>
    <row r="185" spans="11:44" x14ac:dyDescent="0.3">
      <c r="K185" s="21">
        <v>181</v>
      </c>
      <c r="L185" s="24" t="s">
        <v>22</v>
      </c>
      <c r="M185" s="24" t="s">
        <v>22</v>
      </c>
      <c r="N185" s="24" t="s">
        <v>22</v>
      </c>
      <c r="O185" s="24" t="s">
        <v>22</v>
      </c>
      <c r="P185" s="24" t="s">
        <v>22</v>
      </c>
      <c r="Q185" s="24" t="s">
        <v>22</v>
      </c>
      <c r="R185" s="24" t="s">
        <v>22</v>
      </c>
      <c r="T185" s="8"/>
      <c r="U185" s="8"/>
      <c r="V185" s="8"/>
      <c r="W185" s="8"/>
      <c r="X185" s="8"/>
      <c r="Y185" s="8"/>
      <c r="Z185" s="8"/>
      <c r="AB185" s="25" t="s">
        <v>22</v>
      </c>
      <c r="AC185" s="25" t="s">
        <v>22</v>
      </c>
      <c r="AD185" s="25" t="s">
        <v>22</v>
      </c>
      <c r="AE185" s="25" t="s">
        <v>22</v>
      </c>
      <c r="AF185" s="25" t="s">
        <v>22</v>
      </c>
      <c r="AG185" s="25" t="s">
        <v>22</v>
      </c>
      <c r="AH185" s="7" t="s">
        <v>22</v>
      </c>
      <c r="AN185" s="14"/>
      <c r="AO185" s="14"/>
      <c r="AP185" s="14"/>
      <c r="AQ185" s="14"/>
      <c r="AR185" s="14"/>
    </row>
    <row r="186" spans="11:44" x14ac:dyDescent="0.3">
      <c r="K186" s="22">
        <v>182</v>
      </c>
      <c r="L186" s="24" t="s">
        <v>22</v>
      </c>
      <c r="M186" s="24" t="s">
        <v>22</v>
      </c>
      <c r="N186" s="24" t="s">
        <v>22</v>
      </c>
      <c r="O186" s="24" t="s">
        <v>22</v>
      </c>
      <c r="P186" s="24" t="s">
        <v>22</v>
      </c>
      <c r="Q186" s="24" t="s">
        <v>22</v>
      </c>
      <c r="R186" s="24" t="s">
        <v>22</v>
      </c>
      <c r="T186" s="8"/>
      <c r="U186" s="8"/>
      <c r="V186" s="8"/>
      <c r="W186" s="8"/>
      <c r="X186" s="8"/>
      <c r="Y186" s="8"/>
      <c r="Z186" s="8"/>
      <c r="AB186" s="25" t="s">
        <v>22</v>
      </c>
      <c r="AC186" s="25" t="s">
        <v>22</v>
      </c>
      <c r="AD186" s="25" t="s">
        <v>22</v>
      </c>
      <c r="AE186" s="25" t="s">
        <v>22</v>
      </c>
      <c r="AF186" s="25" t="s">
        <v>22</v>
      </c>
      <c r="AG186" s="25" t="s">
        <v>22</v>
      </c>
      <c r="AH186" s="7" t="s">
        <v>22</v>
      </c>
      <c r="AN186" s="14"/>
      <c r="AO186" s="14"/>
      <c r="AP186" s="14"/>
      <c r="AQ186" s="14"/>
      <c r="AR186" s="14"/>
    </row>
    <row r="187" spans="11:44" x14ac:dyDescent="0.3">
      <c r="K187" s="21">
        <v>183</v>
      </c>
      <c r="L187" s="24" t="s">
        <v>22</v>
      </c>
      <c r="M187" s="24" t="s">
        <v>22</v>
      </c>
      <c r="N187" s="24" t="s">
        <v>22</v>
      </c>
      <c r="O187" s="24" t="s">
        <v>22</v>
      </c>
      <c r="P187" s="24" t="s">
        <v>22</v>
      </c>
      <c r="Q187" s="24" t="s">
        <v>22</v>
      </c>
      <c r="R187" s="24" t="s">
        <v>22</v>
      </c>
      <c r="T187" s="8"/>
      <c r="U187" s="8"/>
      <c r="V187" s="8"/>
      <c r="W187" s="8"/>
      <c r="X187" s="8"/>
      <c r="Y187" s="8"/>
      <c r="Z187" s="8"/>
      <c r="AB187" s="25" t="s">
        <v>22</v>
      </c>
      <c r="AC187" s="25" t="s">
        <v>22</v>
      </c>
      <c r="AD187" s="25" t="s">
        <v>22</v>
      </c>
      <c r="AE187" s="25" t="s">
        <v>22</v>
      </c>
      <c r="AF187" s="25" t="s">
        <v>22</v>
      </c>
      <c r="AG187" s="25" t="s">
        <v>22</v>
      </c>
      <c r="AH187" s="7" t="s">
        <v>22</v>
      </c>
      <c r="AN187" s="14"/>
      <c r="AO187" s="14"/>
      <c r="AP187" s="14"/>
      <c r="AQ187" s="14"/>
      <c r="AR187" s="14"/>
    </row>
    <row r="188" spans="11:44" x14ac:dyDescent="0.3">
      <c r="K188" s="22">
        <v>184</v>
      </c>
      <c r="L188" s="24" t="s">
        <v>22</v>
      </c>
      <c r="M188" s="24" t="s">
        <v>22</v>
      </c>
      <c r="N188" s="24" t="s">
        <v>22</v>
      </c>
      <c r="O188" s="24" t="s">
        <v>22</v>
      </c>
      <c r="P188" s="24" t="s">
        <v>22</v>
      </c>
      <c r="Q188" s="24" t="s">
        <v>22</v>
      </c>
      <c r="R188" s="24" t="s">
        <v>22</v>
      </c>
      <c r="T188" s="8"/>
      <c r="U188" s="8"/>
      <c r="V188" s="8"/>
      <c r="W188" s="8"/>
      <c r="X188" s="8"/>
      <c r="Y188" s="8"/>
      <c r="Z188" s="8"/>
      <c r="AB188" s="25" t="s">
        <v>22</v>
      </c>
      <c r="AC188" s="25" t="s">
        <v>22</v>
      </c>
      <c r="AD188" s="25" t="s">
        <v>22</v>
      </c>
      <c r="AE188" s="25" t="s">
        <v>22</v>
      </c>
      <c r="AF188" s="25" t="s">
        <v>22</v>
      </c>
      <c r="AG188" s="25" t="s">
        <v>22</v>
      </c>
      <c r="AH188" s="7" t="s">
        <v>22</v>
      </c>
      <c r="AN188" s="14"/>
      <c r="AO188" s="14"/>
      <c r="AP188" s="14"/>
      <c r="AQ188" s="14"/>
      <c r="AR188" s="14"/>
    </row>
    <row r="189" spans="11:44" x14ac:dyDescent="0.3">
      <c r="K189" s="21">
        <v>185</v>
      </c>
      <c r="L189" s="24" t="s">
        <v>22</v>
      </c>
      <c r="M189" s="24" t="s">
        <v>22</v>
      </c>
      <c r="N189" s="24" t="s">
        <v>22</v>
      </c>
      <c r="O189" s="24" t="s">
        <v>22</v>
      </c>
      <c r="P189" s="24" t="s">
        <v>22</v>
      </c>
      <c r="Q189" s="24" t="s">
        <v>22</v>
      </c>
      <c r="R189" s="24" t="s">
        <v>22</v>
      </c>
      <c r="T189" s="8"/>
      <c r="U189" s="8"/>
      <c r="V189" s="8"/>
      <c r="W189" s="8"/>
      <c r="X189" s="8"/>
      <c r="Y189" s="8"/>
      <c r="Z189" s="8"/>
      <c r="AB189" s="25" t="s">
        <v>22</v>
      </c>
      <c r="AC189" s="25" t="s">
        <v>22</v>
      </c>
      <c r="AD189" s="25" t="s">
        <v>22</v>
      </c>
      <c r="AE189" s="25" t="s">
        <v>22</v>
      </c>
      <c r="AF189" s="25" t="s">
        <v>22</v>
      </c>
      <c r="AG189" s="25" t="s">
        <v>22</v>
      </c>
      <c r="AH189" s="7" t="s">
        <v>22</v>
      </c>
      <c r="AN189" s="14"/>
      <c r="AO189" s="14"/>
      <c r="AP189" s="14"/>
      <c r="AQ189" s="14"/>
      <c r="AR189" s="14"/>
    </row>
    <row r="190" spans="11:44" x14ac:dyDescent="0.3">
      <c r="K190" s="22">
        <v>186</v>
      </c>
      <c r="L190" s="24" t="s">
        <v>22</v>
      </c>
      <c r="M190" s="24" t="s">
        <v>22</v>
      </c>
      <c r="N190" s="24" t="s">
        <v>22</v>
      </c>
      <c r="O190" s="24" t="s">
        <v>22</v>
      </c>
      <c r="P190" s="24" t="s">
        <v>22</v>
      </c>
      <c r="Q190" s="24" t="s">
        <v>22</v>
      </c>
      <c r="R190" s="24" t="s">
        <v>22</v>
      </c>
      <c r="T190" s="8"/>
      <c r="U190" s="8"/>
      <c r="V190" s="8"/>
      <c r="W190" s="8"/>
      <c r="X190" s="8"/>
      <c r="Y190" s="8"/>
      <c r="Z190" s="8"/>
      <c r="AB190" s="25" t="s">
        <v>22</v>
      </c>
      <c r="AC190" s="25" t="s">
        <v>22</v>
      </c>
      <c r="AD190" s="25" t="s">
        <v>22</v>
      </c>
      <c r="AE190" s="25" t="s">
        <v>22</v>
      </c>
      <c r="AF190" s="25" t="s">
        <v>22</v>
      </c>
      <c r="AG190" s="25" t="s">
        <v>22</v>
      </c>
      <c r="AH190" s="7" t="s">
        <v>22</v>
      </c>
      <c r="AN190" s="14"/>
      <c r="AO190" s="14"/>
      <c r="AP190" s="14"/>
      <c r="AQ190" s="14"/>
      <c r="AR190" s="14"/>
    </row>
    <row r="191" spans="11:44" x14ac:dyDescent="0.3">
      <c r="K191" s="21">
        <v>187</v>
      </c>
      <c r="L191" s="24" t="s">
        <v>22</v>
      </c>
      <c r="M191" s="24" t="s">
        <v>22</v>
      </c>
      <c r="N191" s="24" t="s">
        <v>22</v>
      </c>
      <c r="O191" s="24" t="s">
        <v>22</v>
      </c>
      <c r="P191" s="24" t="s">
        <v>22</v>
      </c>
      <c r="Q191" s="24" t="s">
        <v>22</v>
      </c>
      <c r="R191" s="24" t="s">
        <v>22</v>
      </c>
      <c r="T191" s="8"/>
      <c r="U191" s="8"/>
      <c r="V191" s="8"/>
      <c r="W191" s="8"/>
      <c r="X191" s="8"/>
      <c r="Y191" s="8"/>
      <c r="Z191" s="8"/>
      <c r="AB191" s="25" t="s">
        <v>22</v>
      </c>
      <c r="AC191" s="25" t="s">
        <v>22</v>
      </c>
      <c r="AD191" s="25" t="s">
        <v>22</v>
      </c>
      <c r="AE191" s="25" t="s">
        <v>22</v>
      </c>
      <c r="AF191" s="25" t="s">
        <v>22</v>
      </c>
      <c r="AG191" s="25" t="s">
        <v>22</v>
      </c>
      <c r="AH191" s="7" t="s">
        <v>22</v>
      </c>
      <c r="AN191" s="14"/>
      <c r="AO191" s="14"/>
      <c r="AP191" s="14"/>
      <c r="AQ191" s="14"/>
      <c r="AR191" s="14"/>
    </row>
    <row r="192" spans="11:44" x14ac:dyDescent="0.3">
      <c r="K192" s="22">
        <v>188</v>
      </c>
      <c r="L192" s="24" t="s">
        <v>22</v>
      </c>
      <c r="M192" s="24" t="s">
        <v>22</v>
      </c>
      <c r="N192" s="24" t="s">
        <v>22</v>
      </c>
      <c r="O192" s="24" t="s">
        <v>22</v>
      </c>
      <c r="P192" s="24" t="s">
        <v>22</v>
      </c>
      <c r="Q192" s="24" t="s">
        <v>22</v>
      </c>
      <c r="R192" s="24" t="s">
        <v>22</v>
      </c>
      <c r="T192" s="8"/>
      <c r="U192" s="8"/>
      <c r="V192" s="8"/>
      <c r="W192" s="8"/>
      <c r="X192" s="8"/>
      <c r="Y192" s="8"/>
      <c r="Z192" s="8"/>
      <c r="AB192" s="25" t="s">
        <v>22</v>
      </c>
      <c r="AC192" s="25" t="s">
        <v>22</v>
      </c>
      <c r="AD192" s="25" t="s">
        <v>22</v>
      </c>
      <c r="AE192" s="25" t="s">
        <v>22</v>
      </c>
      <c r="AF192" s="25" t="s">
        <v>22</v>
      </c>
      <c r="AG192" s="25" t="s">
        <v>22</v>
      </c>
      <c r="AH192" s="7" t="s">
        <v>22</v>
      </c>
      <c r="AN192" s="14"/>
      <c r="AO192" s="14"/>
      <c r="AP192" s="14"/>
      <c r="AQ192" s="14"/>
      <c r="AR192" s="14"/>
    </row>
    <row r="193" spans="11:44" x14ac:dyDescent="0.3">
      <c r="K193" s="21">
        <v>189</v>
      </c>
      <c r="L193" s="24" t="s">
        <v>22</v>
      </c>
      <c r="M193" s="24" t="s">
        <v>22</v>
      </c>
      <c r="N193" s="24" t="s">
        <v>22</v>
      </c>
      <c r="O193" s="24" t="s">
        <v>22</v>
      </c>
      <c r="P193" s="24" t="s">
        <v>22</v>
      </c>
      <c r="Q193" s="24" t="s">
        <v>22</v>
      </c>
      <c r="R193" s="24" t="s">
        <v>22</v>
      </c>
      <c r="T193" s="8"/>
      <c r="U193" s="8"/>
      <c r="V193" s="8"/>
      <c r="W193" s="8"/>
      <c r="X193" s="8"/>
      <c r="Y193" s="8"/>
      <c r="Z193" s="8"/>
      <c r="AB193" s="25" t="s">
        <v>22</v>
      </c>
      <c r="AC193" s="25" t="s">
        <v>22</v>
      </c>
      <c r="AD193" s="25" t="s">
        <v>22</v>
      </c>
      <c r="AE193" s="25" t="s">
        <v>22</v>
      </c>
      <c r="AF193" s="25" t="s">
        <v>22</v>
      </c>
      <c r="AG193" s="25" t="s">
        <v>22</v>
      </c>
      <c r="AH193" s="7" t="s">
        <v>22</v>
      </c>
      <c r="AN193" s="14"/>
      <c r="AO193" s="14"/>
      <c r="AP193" s="14"/>
      <c r="AQ193" s="14"/>
      <c r="AR193" s="14"/>
    </row>
    <row r="194" spans="11:44" x14ac:dyDescent="0.3">
      <c r="K194" s="22">
        <v>190</v>
      </c>
      <c r="L194" s="24" t="s">
        <v>22</v>
      </c>
      <c r="M194" s="24" t="s">
        <v>22</v>
      </c>
      <c r="N194" s="24" t="s">
        <v>22</v>
      </c>
      <c r="O194" s="24" t="s">
        <v>22</v>
      </c>
      <c r="P194" s="24" t="s">
        <v>22</v>
      </c>
      <c r="Q194" s="24" t="s">
        <v>22</v>
      </c>
      <c r="R194" s="24" t="s">
        <v>22</v>
      </c>
      <c r="T194" s="8"/>
      <c r="U194" s="8"/>
      <c r="V194" s="8"/>
      <c r="W194" s="8"/>
      <c r="X194" s="8"/>
      <c r="Y194" s="8"/>
      <c r="Z194" s="8"/>
      <c r="AB194" s="25" t="s">
        <v>22</v>
      </c>
      <c r="AC194" s="25" t="s">
        <v>22</v>
      </c>
      <c r="AD194" s="25" t="s">
        <v>22</v>
      </c>
      <c r="AE194" s="25" t="s">
        <v>22</v>
      </c>
      <c r="AF194" s="25" t="s">
        <v>22</v>
      </c>
      <c r="AG194" s="25" t="s">
        <v>22</v>
      </c>
      <c r="AH194" s="7" t="s">
        <v>22</v>
      </c>
      <c r="AN194" s="14"/>
      <c r="AO194" s="14"/>
      <c r="AP194" s="14"/>
      <c r="AQ194" s="14"/>
      <c r="AR194" s="14"/>
    </row>
    <row r="195" spans="11:44" x14ac:dyDescent="0.3">
      <c r="K195" s="21">
        <v>191</v>
      </c>
      <c r="L195" s="24" t="s">
        <v>22</v>
      </c>
      <c r="M195" s="24" t="s">
        <v>22</v>
      </c>
      <c r="N195" s="24" t="s">
        <v>22</v>
      </c>
      <c r="O195" s="24" t="s">
        <v>22</v>
      </c>
      <c r="P195" s="24" t="s">
        <v>22</v>
      </c>
      <c r="Q195" s="24" t="s">
        <v>22</v>
      </c>
      <c r="R195" s="24" t="s">
        <v>22</v>
      </c>
      <c r="T195" s="8"/>
      <c r="U195" s="8"/>
      <c r="V195" s="8"/>
      <c r="W195" s="8"/>
      <c r="X195" s="8"/>
      <c r="Y195" s="8"/>
      <c r="Z195" s="8"/>
      <c r="AB195" s="25" t="s">
        <v>22</v>
      </c>
      <c r="AC195" s="25" t="s">
        <v>22</v>
      </c>
      <c r="AD195" s="25" t="s">
        <v>22</v>
      </c>
      <c r="AE195" s="25" t="s">
        <v>22</v>
      </c>
      <c r="AF195" s="25" t="s">
        <v>22</v>
      </c>
      <c r="AG195" s="25" t="s">
        <v>22</v>
      </c>
      <c r="AH195" s="7" t="s">
        <v>22</v>
      </c>
      <c r="AN195" s="14"/>
      <c r="AO195" s="14"/>
      <c r="AP195" s="14"/>
      <c r="AQ195" s="14"/>
      <c r="AR195" s="14"/>
    </row>
    <row r="196" spans="11:44" x14ac:dyDescent="0.3">
      <c r="K196" s="22">
        <v>192</v>
      </c>
      <c r="L196" s="24" t="s">
        <v>22</v>
      </c>
      <c r="M196" s="24" t="s">
        <v>22</v>
      </c>
      <c r="N196" s="24" t="s">
        <v>22</v>
      </c>
      <c r="O196" s="24" t="s">
        <v>22</v>
      </c>
      <c r="P196" s="24" t="s">
        <v>22</v>
      </c>
      <c r="Q196" s="24" t="s">
        <v>22</v>
      </c>
      <c r="R196" s="24" t="s">
        <v>22</v>
      </c>
      <c r="T196" s="8"/>
      <c r="U196" s="8"/>
      <c r="V196" s="8"/>
      <c r="W196" s="8"/>
      <c r="X196" s="8"/>
      <c r="Y196" s="8"/>
      <c r="Z196" s="8"/>
      <c r="AB196" s="25" t="s">
        <v>22</v>
      </c>
      <c r="AC196" s="25" t="s">
        <v>22</v>
      </c>
      <c r="AD196" s="25" t="s">
        <v>22</v>
      </c>
      <c r="AE196" s="25" t="s">
        <v>22</v>
      </c>
      <c r="AF196" s="25" t="s">
        <v>22</v>
      </c>
      <c r="AG196" s="25" t="s">
        <v>22</v>
      </c>
      <c r="AH196" s="7" t="s">
        <v>22</v>
      </c>
      <c r="AN196" s="14"/>
      <c r="AO196" s="14"/>
      <c r="AP196" s="14"/>
      <c r="AQ196" s="14"/>
      <c r="AR196" s="14"/>
    </row>
    <row r="197" spans="11:44" x14ac:dyDescent="0.3">
      <c r="K197" s="21">
        <v>193</v>
      </c>
      <c r="L197" s="24" t="s">
        <v>22</v>
      </c>
      <c r="M197" s="24" t="s">
        <v>22</v>
      </c>
      <c r="N197" s="24" t="s">
        <v>22</v>
      </c>
      <c r="O197" s="24" t="s">
        <v>22</v>
      </c>
      <c r="P197" s="24" t="s">
        <v>22</v>
      </c>
      <c r="Q197" s="24" t="s">
        <v>22</v>
      </c>
      <c r="R197" s="24" t="s">
        <v>22</v>
      </c>
      <c r="T197" s="8"/>
      <c r="U197" s="8"/>
      <c r="V197" s="8"/>
      <c r="W197" s="8"/>
      <c r="X197" s="8"/>
      <c r="Y197" s="8"/>
      <c r="Z197" s="8"/>
      <c r="AB197" s="25" t="s">
        <v>22</v>
      </c>
      <c r="AC197" s="25" t="s">
        <v>22</v>
      </c>
      <c r="AD197" s="25" t="s">
        <v>22</v>
      </c>
      <c r="AE197" s="25" t="s">
        <v>22</v>
      </c>
      <c r="AF197" s="25" t="s">
        <v>22</v>
      </c>
      <c r="AG197" s="25" t="s">
        <v>22</v>
      </c>
      <c r="AH197" s="7" t="s">
        <v>22</v>
      </c>
      <c r="AN197" s="14"/>
      <c r="AO197" s="14"/>
      <c r="AP197" s="14"/>
      <c r="AQ197" s="14"/>
      <c r="AR197" s="14"/>
    </row>
    <row r="198" spans="11:44" x14ac:dyDescent="0.3">
      <c r="K198" s="22">
        <v>194</v>
      </c>
      <c r="L198" s="24" t="s">
        <v>22</v>
      </c>
      <c r="M198" s="24" t="s">
        <v>22</v>
      </c>
      <c r="N198" s="24" t="s">
        <v>22</v>
      </c>
      <c r="O198" s="24" t="s">
        <v>22</v>
      </c>
      <c r="P198" s="24" t="s">
        <v>22</v>
      </c>
      <c r="Q198" s="24" t="s">
        <v>22</v>
      </c>
      <c r="R198" s="24" t="s">
        <v>22</v>
      </c>
      <c r="T198" s="8"/>
      <c r="U198" s="8"/>
      <c r="V198" s="8"/>
      <c r="W198" s="8"/>
      <c r="X198" s="8"/>
      <c r="Y198" s="8"/>
      <c r="Z198" s="8"/>
      <c r="AB198" s="7" t="s">
        <v>22</v>
      </c>
      <c r="AC198" s="7" t="s">
        <v>22</v>
      </c>
      <c r="AD198" s="7" t="s">
        <v>22</v>
      </c>
      <c r="AE198" s="7" t="s">
        <v>22</v>
      </c>
      <c r="AF198" s="7" t="s">
        <v>22</v>
      </c>
      <c r="AG198" s="7" t="s">
        <v>22</v>
      </c>
      <c r="AH198" s="7" t="s">
        <v>22</v>
      </c>
      <c r="AN198" s="14"/>
      <c r="AO198" s="14"/>
      <c r="AP198" s="14"/>
      <c r="AQ198" s="14"/>
      <c r="AR198" s="14"/>
    </row>
    <row r="199" spans="11:44" x14ac:dyDescent="0.3">
      <c r="K199" s="21">
        <v>195</v>
      </c>
      <c r="L199" s="24" t="s">
        <v>22</v>
      </c>
      <c r="M199" s="24" t="s">
        <v>22</v>
      </c>
      <c r="N199" s="24" t="s">
        <v>22</v>
      </c>
      <c r="O199" s="24" t="s">
        <v>22</v>
      </c>
      <c r="P199" s="24" t="s">
        <v>22</v>
      </c>
      <c r="Q199" s="24" t="s">
        <v>22</v>
      </c>
      <c r="R199" s="24" t="s">
        <v>22</v>
      </c>
      <c r="T199" s="8"/>
      <c r="U199" s="8"/>
      <c r="V199" s="8"/>
      <c r="W199" s="8"/>
      <c r="X199" s="8"/>
      <c r="Y199" s="8"/>
      <c r="Z199" s="8"/>
      <c r="AB199" s="7" t="s">
        <v>22</v>
      </c>
      <c r="AC199" s="7" t="s">
        <v>22</v>
      </c>
      <c r="AD199" s="7" t="s">
        <v>22</v>
      </c>
      <c r="AE199" s="7" t="s">
        <v>22</v>
      </c>
      <c r="AF199" s="7" t="s">
        <v>22</v>
      </c>
      <c r="AG199" s="7" t="s">
        <v>22</v>
      </c>
      <c r="AH199" s="7" t="s">
        <v>22</v>
      </c>
      <c r="AN199" s="14"/>
      <c r="AO199" s="14"/>
      <c r="AP199" s="14"/>
      <c r="AQ199" s="14"/>
      <c r="AR199" s="14"/>
    </row>
    <row r="200" spans="11:44" x14ac:dyDescent="0.3">
      <c r="K200" s="22">
        <v>196</v>
      </c>
      <c r="L200" s="24" t="s">
        <v>22</v>
      </c>
      <c r="M200" s="24" t="s">
        <v>22</v>
      </c>
      <c r="N200" s="24" t="s">
        <v>22</v>
      </c>
      <c r="O200" s="24" t="s">
        <v>22</v>
      </c>
      <c r="P200" s="24" t="s">
        <v>22</v>
      </c>
      <c r="Q200" s="24" t="s">
        <v>22</v>
      </c>
      <c r="R200" s="24" t="s">
        <v>22</v>
      </c>
      <c r="T200" s="8"/>
      <c r="U200" s="8"/>
      <c r="V200" s="8"/>
      <c r="W200" s="8"/>
      <c r="X200" s="8"/>
      <c r="Y200" s="8"/>
      <c r="Z200" s="8"/>
      <c r="AB200" s="7" t="s">
        <v>22</v>
      </c>
      <c r="AC200" s="7" t="s">
        <v>22</v>
      </c>
      <c r="AD200" s="7" t="s">
        <v>22</v>
      </c>
      <c r="AE200" s="7" t="s">
        <v>22</v>
      </c>
      <c r="AF200" s="7" t="s">
        <v>22</v>
      </c>
      <c r="AG200" s="7" t="s">
        <v>22</v>
      </c>
      <c r="AH200" s="7" t="s">
        <v>22</v>
      </c>
      <c r="AN200" s="14"/>
      <c r="AO200" s="14"/>
      <c r="AP200" s="14"/>
      <c r="AQ200" s="14"/>
      <c r="AR200" s="14"/>
    </row>
    <row r="201" spans="11:44" x14ac:dyDescent="0.3">
      <c r="K201" s="21">
        <v>197</v>
      </c>
      <c r="L201" s="24" t="s">
        <v>22</v>
      </c>
      <c r="M201" s="24" t="s">
        <v>22</v>
      </c>
      <c r="N201" s="24" t="s">
        <v>22</v>
      </c>
      <c r="O201" s="24" t="s">
        <v>22</v>
      </c>
      <c r="P201" s="24" t="s">
        <v>22</v>
      </c>
      <c r="Q201" s="24" t="s">
        <v>22</v>
      </c>
      <c r="R201" s="24" t="s">
        <v>22</v>
      </c>
      <c r="T201" s="8"/>
      <c r="U201" s="8"/>
      <c r="V201" s="8"/>
      <c r="W201" s="8"/>
      <c r="X201" s="8"/>
      <c r="Y201" s="8"/>
      <c r="Z201" s="8"/>
      <c r="AB201" s="7" t="s">
        <v>22</v>
      </c>
      <c r="AC201" s="7" t="s">
        <v>22</v>
      </c>
      <c r="AD201" s="7" t="s">
        <v>22</v>
      </c>
      <c r="AE201" s="7" t="s">
        <v>22</v>
      </c>
      <c r="AF201" s="7" t="s">
        <v>22</v>
      </c>
      <c r="AG201" s="7" t="s">
        <v>22</v>
      </c>
      <c r="AH201" s="7" t="s">
        <v>22</v>
      </c>
      <c r="AN201" s="14"/>
      <c r="AO201" s="14"/>
      <c r="AP201" s="14"/>
      <c r="AQ201" s="14"/>
      <c r="AR201" s="14"/>
    </row>
    <row r="202" spans="11:44" x14ac:dyDescent="0.3">
      <c r="K202" s="22">
        <v>198</v>
      </c>
      <c r="L202" s="24" t="s">
        <v>22</v>
      </c>
      <c r="M202" s="24" t="s">
        <v>22</v>
      </c>
      <c r="N202" s="24" t="s">
        <v>22</v>
      </c>
      <c r="O202" s="24" t="s">
        <v>22</v>
      </c>
      <c r="P202" s="24" t="s">
        <v>22</v>
      </c>
      <c r="Q202" s="24" t="s">
        <v>22</v>
      </c>
      <c r="R202" s="24" t="s">
        <v>22</v>
      </c>
      <c r="T202" s="8"/>
      <c r="U202" s="8"/>
      <c r="V202" s="8"/>
      <c r="W202" s="8"/>
      <c r="X202" s="8"/>
      <c r="Y202" s="8"/>
      <c r="Z202" s="8"/>
      <c r="AB202" s="7" t="s">
        <v>22</v>
      </c>
      <c r="AC202" s="7" t="s">
        <v>22</v>
      </c>
      <c r="AD202" s="7" t="s">
        <v>22</v>
      </c>
      <c r="AE202" s="7" t="s">
        <v>22</v>
      </c>
      <c r="AF202" s="7" t="s">
        <v>22</v>
      </c>
      <c r="AG202" s="7" t="s">
        <v>22</v>
      </c>
      <c r="AH202" s="7" t="s">
        <v>22</v>
      </c>
      <c r="AN202" s="14"/>
      <c r="AO202" s="14"/>
      <c r="AP202" s="14"/>
      <c r="AQ202" s="14"/>
      <c r="AR202" s="14"/>
    </row>
    <row r="203" spans="11:44" x14ac:dyDescent="0.3">
      <c r="K203" s="21">
        <v>199</v>
      </c>
      <c r="L203" s="24" t="s">
        <v>22</v>
      </c>
      <c r="M203" s="24" t="s">
        <v>22</v>
      </c>
      <c r="N203" s="24" t="s">
        <v>22</v>
      </c>
      <c r="O203" s="24" t="s">
        <v>22</v>
      </c>
      <c r="P203" s="24" t="s">
        <v>22</v>
      </c>
      <c r="Q203" s="24" t="s">
        <v>22</v>
      </c>
      <c r="R203" s="24" t="s">
        <v>22</v>
      </c>
      <c r="T203" s="8"/>
      <c r="U203" s="8"/>
      <c r="V203" s="8"/>
      <c r="W203" s="8"/>
      <c r="X203" s="8"/>
      <c r="Y203" s="8"/>
      <c r="Z203" s="8"/>
      <c r="AB203" s="7" t="s">
        <v>22</v>
      </c>
      <c r="AC203" s="7" t="s">
        <v>22</v>
      </c>
      <c r="AD203" s="7" t="s">
        <v>22</v>
      </c>
      <c r="AE203" s="7" t="s">
        <v>22</v>
      </c>
      <c r="AF203" s="7" t="s">
        <v>22</v>
      </c>
      <c r="AG203" s="7" t="s">
        <v>22</v>
      </c>
      <c r="AH203" s="7" t="s">
        <v>22</v>
      </c>
      <c r="AN203" s="14"/>
      <c r="AO203" s="14"/>
      <c r="AP203" s="14"/>
      <c r="AQ203" s="14"/>
      <c r="AR203" s="14"/>
    </row>
    <row r="204" spans="11:44" x14ac:dyDescent="0.3">
      <c r="K204" s="22">
        <v>200</v>
      </c>
      <c r="L204" s="24" t="s">
        <v>22</v>
      </c>
      <c r="M204" s="24" t="s">
        <v>22</v>
      </c>
      <c r="N204" s="24" t="s">
        <v>22</v>
      </c>
      <c r="O204" s="24" t="s">
        <v>22</v>
      </c>
      <c r="P204" s="24" t="s">
        <v>22</v>
      </c>
      <c r="Q204" s="24" t="s">
        <v>22</v>
      </c>
      <c r="R204" s="24" t="s">
        <v>22</v>
      </c>
      <c r="T204" s="8"/>
      <c r="U204" s="8"/>
      <c r="V204" s="8"/>
      <c r="W204" s="8"/>
      <c r="X204" s="8"/>
      <c r="Y204" s="8"/>
      <c r="Z204" s="8"/>
      <c r="AB204" s="7" t="s">
        <v>22</v>
      </c>
      <c r="AC204" s="7" t="s">
        <v>22</v>
      </c>
      <c r="AD204" s="7" t="s">
        <v>22</v>
      </c>
      <c r="AE204" s="7" t="s">
        <v>22</v>
      </c>
      <c r="AF204" s="7" t="s">
        <v>22</v>
      </c>
      <c r="AG204" s="7" t="s">
        <v>22</v>
      </c>
      <c r="AH204" s="7" t="s">
        <v>22</v>
      </c>
      <c r="AN204" s="14"/>
      <c r="AO204" s="14"/>
      <c r="AP204" s="14"/>
      <c r="AQ204" s="14"/>
      <c r="AR204" s="14"/>
    </row>
    <row r="205" spans="11:44" x14ac:dyDescent="0.3">
      <c r="K205" s="21">
        <v>201</v>
      </c>
      <c r="L205" s="24" t="s">
        <v>22</v>
      </c>
      <c r="M205" s="24" t="s">
        <v>22</v>
      </c>
      <c r="N205" s="24" t="s">
        <v>22</v>
      </c>
      <c r="O205" s="24" t="s">
        <v>22</v>
      </c>
      <c r="P205" s="24" t="s">
        <v>22</v>
      </c>
      <c r="Q205" s="24" t="s">
        <v>22</v>
      </c>
      <c r="R205" s="24" t="s">
        <v>22</v>
      </c>
      <c r="T205" s="8"/>
      <c r="U205" s="8"/>
      <c r="V205" s="8"/>
      <c r="W205" s="8"/>
      <c r="X205" s="8"/>
      <c r="Y205" s="8"/>
      <c r="Z205" s="8"/>
      <c r="AB205" s="7" t="s">
        <v>22</v>
      </c>
      <c r="AC205" s="7" t="s">
        <v>22</v>
      </c>
      <c r="AD205" s="7" t="s">
        <v>22</v>
      </c>
      <c r="AE205" s="7" t="s">
        <v>22</v>
      </c>
      <c r="AF205" s="7" t="s">
        <v>22</v>
      </c>
      <c r="AG205" s="7" t="s">
        <v>22</v>
      </c>
      <c r="AH205" s="7" t="s">
        <v>22</v>
      </c>
      <c r="AN205" s="14"/>
      <c r="AO205" s="14"/>
      <c r="AP205" s="14"/>
      <c r="AQ205" s="14"/>
      <c r="AR205" s="14"/>
    </row>
    <row r="206" spans="11:44" x14ac:dyDescent="0.3">
      <c r="K206" s="22">
        <v>202</v>
      </c>
      <c r="L206" s="24" t="s">
        <v>22</v>
      </c>
      <c r="M206" s="24" t="s">
        <v>22</v>
      </c>
      <c r="N206" s="24" t="s">
        <v>22</v>
      </c>
      <c r="O206" s="24" t="s">
        <v>22</v>
      </c>
      <c r="P206" s="24" t="s">
        <v>22</v>
      </c>
      <c r="Q206" s="24" t="s">
        <v>22</v>
      </c>
      <c r="R206" s="24" t="s">
        <v>22</v>
      </c>
      <c r="T206" s="8"/>
      <c r="U206" s="8"/>
      <c r="V206" s="8"/>
      <c r="W206" s="8"/>
      <c r="X206" s="8"/>
      <c r="Y206" s="8"/>
      <c r="Z206" s="8"/>
      <c r="AB206" s="7" t="s">
        <v>22</v>
      </c>
      <c r="AC206" s="7" t="s">
        <v>22</v>
      </c>
      <c r="AD206" s="7" t="s">
        <v>22</v>
      </c>
      <c r="AE206" s="7" t="s">
        <v>22</v>
      </c>
      <c r="AF206" s="7" t="s">
        <v>22</v>
      </c>
      <c r="AG206" s="7" t="s">
        <v>22</v>
      </c>
      <c r="AH206" s="7" t="s">
        <v>22</v>
      </c>
      <c r="AN206" s="14"/>
      <c r="AO206" s="14"/>
      <c r="AP206" s="14"/>
      <c r="AQ206" s="14"/>
      <c r="AR206" s="14"/>
    </row>
    <row r="207" spans="11:44" x14ac:dyDescent="0.3">
      <c r="K207" s="21">
        <v>203</v>
      </c>
      <c r="L207" s="24" t="s">
        <v>22</v>
      </c>
      <c r="M207" s="24" t="s">
        <v>22</v>
      </c>
      <c r="N207" s="24" t="s">
        <v>22</v>
      </c>
      <c r="O207" s="24" t="s">
        <v>22</v>
      </c>
      <c r="P207" s="24" t="s">
        <v>22</v>
      </c>
      <c r="Q207" s="24" t="s">
        <v>22</v>
      </c>
      <c r="R207" s="24" t="s">
        <v>22</v>
      </c>
      <c r="T207" s="8"/>
      <c r="U207" s="8"/>
      <c r="V207" s="8"/>
      <c r="W207" s="8"/>
      <c r="X207" s="8"/>
      <c r="Y207" s="8"/>
      <c r="Z207" s="8"/>
      <c r="AB207" s="7" t="s">
        <v>22</v>
      </c>
      <c r="AC207" s="7" t="s">
        <v>22</v>
      </c>
      <c r="AD207" s="7" t="s">
        <v>22</v>
      </c>
      <c r="AE207" s="7" t="s">
        <v>22</v>
      </c>
      <c r="AF207" s="7" t="s">
        <v>22</v>
      </c>
      <c r="AG207" s="7" t="s">
        <v>22</v>
      </c>
      <c r="AH207" s="7" t="s">
        <v>22</v>
      </c>
      <c r="AN207" s="14"/>
      <c r="AO207" s="14"/>
      <c r="AP207" s="14"/>
      <c r="AQ207" s="14"/>
      <c r="AR207" s="14"/>
    </row>
    <row r="208" spans="11:44" x14ac:dyDescent="0.3">
      <c r="K208" s="22">
        <v>204</v>
      </c>
      <c r="L208" s="24" t="s">
        <v>22</v>
      </c>
      <c r="M208" s="24" t="s">
        <v>22</v>
      </c>
      <c r="N208" s="24" t="s">
        <v>22</v>
      </c>
      <c r="O208" s="24" t="s">
        <v>22</v>
      </c>
      <c r="P208" s="24" t="s">
        <v>22</v>
      </c>
      <c r="Q208" s="24" t="s">
        <v>22</v>
      </c>
      <c r="R208" s="24" t="s">
        <v>22</v>
      </c>
      <c r="T208" s="8"/>
      <c r="U208" s="8"/>
      <c r="V208" s="8"/>
      <c r="W208" s="8"/>
      <c r="X208" s="8"/>
      <c r="Y208" s="8"/>
      <c r="Z208" s="8"/>
      <c r="AB208" s="7" t="s">
        <v>22</v>
      </c>
      <c r="AC208" s="7" t="s">
        <v>22</v>
      </c>
      <c r="AD208" s="7" t="s">
        <v>22</v>
      </c>
      <c r="AE208" s="7" t="s">
        <v>22</v>
      </c>
      <c r="AF208" s="7" t="s">
        <v>22</v>
      </c>
      <c r="AG208" s="7" t="s">
        <v>22</v>
      </c>
      <c r="AH208" s="7" t="s">
        <v>22</v>
      </c>
      <c r="AN208" s="14"/>
      <c r="AO208" s="14"/>
      <c r="AP208" s="14"/>
      <c r="AQ208" s="14"/>
      <c r="AR208" s="14"/>
    </row>
    <row r="209" spans="11:44" x14ac:dyDescent="0.3">
      <c r="K209" s="21">
        <v>205</v>
      </c>
      <c r="L209" s="24" t="s">
        <v>22</v>
      </c>
      <c r="M209" s="24" t="s">
        <v>22</v>
      </c>
      <c r="N209" s="24" t="s">
        <v>22</v>
      </c>
      <c r="O209" s="24" t="s">
        <v>22</v>
      </c>
      <c r="P209" s="24" t="s">
        <v>22</v>
      </c>
      <c r="Q209" s="24" t="s">
        <v>22</v>
      </c>
      <c r="R209" s="24" t="s">
        <v>22</v>
      </c>
      <c r="T209" s="8"/>
      <c r="U209" s="8"/>
      <c r="V209" s="8"/>
      <c r="W209" s="8"/>
      <c r="X209" s="8"/>
      <c r="Y209" s="8"/>
      <c r="Z209" s="8"/>
      <c r="AB209" s="7" t="s">
        <v>22</v>
      </c>
      <c r="AC209" s="7" t="s">
        <v>22</v>
      </c>
      <c r="AD209" s="7" t="s">
        <v>22</v>
      </c>
      <c r="AE209" s="7" t="s">
        <v>22</v>
      </c>
      <c r="AF209" s="7" t="s">
        <v>22</v>
      </c>
      <c r="AG209" s="7" t="s">
        <v>22</v>
      </c>
      <c r="AH209" s="7" t="s">
        <v>22</v>
      </c>
      <c r="AN209" s="14"/>
      <c r="AO209" s="14"/>
      <c r="AP209" s="14"/>
      <c r="AQ209" s="14"/>
      <c r="AR209" s="14"/>
    </row>
    <row r="210" spans="11:44" x14ac:dyDescent="0.3">
      <c r="K210" s="22">
        <v>206</v>
      </c>
      <c r="L210" s="24" t="s">
        <v>22</v>
      </c>
      <c r="M210" s="24" t="s">
        <v>22</v>
      </c>
      <c r="N210" s="24" t="s">
        <v>22</v>
      </c>
      <c r="O210" s="24" t="s">
        <v>22</v>
      </c>
      <c r="P210" s="24" t="s">
        <v>22</v>
      </c>
      <c r="Q210" s="24" t="s">
        <v>22</v>
      </c>
      <c r="R210" s="24" t="s">
        <v>22</v>
      </c>
      <c r="T210" s="8"/>
      <c r="U210" s="8"/>
      <c r="V210" s="8"/>
      <c r="W210" s="8"/>
      <c r="X210" s="8"/>
      <c r="Y210" s="8"/>
      <c r="Z210" s="8"/>
      <c r="AB210" s="7" t="s">
        <v>22</v>
      </c>
      <c r="AC210" s="7" t="s">
        <v>22</v>
      </c>
      <c r="AD210" s="7" t="s">
        <v>22</v>
      </c>
      <c r="AE210" s="7" t="s">
        <v>22</v>
      </c>
      <c r="AF210" s="7" t="s">
        <v>22</v>
      </c>
      <c r="AG210" s="7" t="s">
        <v>22</v>
      </c>
      <c r="AH210" s="7" t="s">
        <v>22</v>
      </c>
      <c r="AN210" s="14"/>
      <c r="AO210" s="14"/>
      <c r="AP210" s="14"/>
      <c r="AQ210" s="14"/>
      <c r="AR210" s="14"/>
    </row>
    <row r="211" spans="11:44" x14ac:dyDescent="0.3">
      <c r="K211" s="21">
        <v>207</v>
      </c>
      <c r="L211" s="24" t="s">
        <v>22</v>
      </c>
      <c r="M211" s="24" t="s">
        <v>22</v>
      </c>
      <c r="N211" s="24" t="s">
        <v>22</v>
      </c>
      <c r="O211" s="24" t="s">
        <v>22</v>
      </c>
      <c r="P211" s="24" t="s">
        <v>22</v>
      </c>
      <c r="Q211" s="24" t="s">
        <v>22</v>
      </c>
      <c r="R211" s="24" t="s">
        <v>22</v>
      </c>
      <c r="T211" s="8"/>
      <c r="U211" s="8"/>
      <c r="V211" s="8"/>
      <c r="W211" s="8"/>
      <c r="X211" s="8"/>
      <c r="Y211" s="8"/>
      <c r="Z211" s="8"/>
      <c r="AB211" s="7" t="s">
        <v>22</v>
      </c>
      <c r="AC211" s="7" t="s">
        <v>22</v>
      </c>
      <c r="AD211" s="7" t="s">
        <v>22</v>
      </c>
      <c r="AE211" s="7" t="s">
        <v>22</v>
      </c>
      <c r="AF211" s="7" t="s">
        <v>22</v>
      </c>
      <c r="AG211" s="7" t="s">
        <v>22</v>
      </c>
      <c r="AH211" s="7" t="s">
        <v>22</v>
      </c>
      <c r="AN211" s="14"/>
      <c r="AO211" s="14"/>
      <c r="AP211" s="14"/>
      <c r="AQ211" s="14"/>
      <c r="AR211" s="14"/>
    </row>
    <row r="212" spans="11:44" x14ac:dyDescent="0.3">
      <c r="K212" s="22">
        <v>208</v>
      </c>
      <c r="L212" s="24" t="s">
        <v>22</v>
      </c>
      <c r="M212" s="24" t="s">
        <v>22</v>
      </c>
      <c r="N212" s="24" t="s">
        <v>22</v>
      </c>
      <c r="O212" s="24" t="s">
        <v>22</v>
      </c>
      <c r="P212" s="24" t="s">
        <v>22</v>
      </c>
      <c r="Q212" s="24" t="s">
        <v>22</v>
      </c>
      <c r="R212" s="24" t="s">
        <v>22</v>
      </c>
      <c r="T212" s="8"/>
      <c r="U212" s="8"/>
      <c r="V212" s="8"/>
      <c r="W212" s="8"/>
      <c r="X212" s="8"/>
      <c r="Y212" s="8"/>
      <c r="Z212" s="8"/>
      <c r="AB212" s="7" t="s">
        <v>22</v>
      </c>
      <c r="AC212" s="7" t="s">
        <v>22</v>
      </c>
      <c r="AD212" s="7" t="s">
        <v>22</v>
      </c>
      <c r="AE212" s="7" t="s">
        <v>22</v>
      </c>
      <c r="AF212" s="7" t="s">
        <v>22</v>
      </c>
      <c r="AG212" s="7" t="s">
        <v>22</v>
      </c>
      <c r="AH212" s="7" t="s">
        <v>22</v>
      </c>
      <c r="AN212" s="14"/>
      <c r="AO212" s="14"/>
      <c r="AP212" s="14"/>
      <c r="AQ212" s="14"/>
      <c r="AR212" s="14"/>
    </row>
    <row r="213" spans="11:44" x14ac:dyDescent="0.3">
      <c r="K213" s="21">
        <v>209</v>
      </c>
      <c r="L213" s="24" t="s">
        <v>22</v>
      </c>
      <c r="M213" s="24" t="s">
        <v>22</v>
      </c>
      <c r="N213" s="24" t="s">
        <v>22</v>
      </c>
      <c r="O213" s="24" t="s">
        <v>22</v>
      </c>
      <c r="P213" s="24" t="s">
        <v>22</v>
      </c>
      <c r="Q213" s="24" t="s">
        <v>22</v>
      </c>
      <c r="R213" s="24" t="s">
        <v>22</v>
      </c>
      <c r="T213" s="8"/>
      <c r="U213" s="8"/>
      <c r="V213" s="8"/>
      <c r="W213" s="8"/>
      <c r="X213" s="8"/>
      <c r="Y213" s="8"/>
      <c r="Z213" s="8"/>
      <c r="AB213" s="7" t="s">
        <v>22</v>
      </c>
      <c r="AC213" s="7" t="s">
        <v>22</v>
      </c>
      <c r="AD213" s="7" t="s">
        <v>22</v>
      </c>
      <c r="AE213" s="7" t="s">
        <v>22</v>
      </c>
      <c r="AF213" s="7" t="s">
        <v>22</v>
      </c>
      <c r="AG213" s="7" t="s">
        <v>22</v>
      </c>
      <c r="AH213" s="7" t="s">
        <v>22</v>
      </c>
      <c r="AN213" s="14"/>
      <c r="AO213" s="14"/>
      <c r="AP213" s="14"/>
      <c r="AQ213" s="14"/>
      <c r="AR213" s="14"/>
    </row>
    <row r="214" spans="11:44" x14ac:dyDescent="0.3">
      <c r="K214" s="22">
        <v>210</v>
      </c>
      <c r="L214" s="24" t="s">
        <v>22</v>
      </c>
      <c r="M214" s="24" t="s">
        <v>22</v>
      </c>
      <c r="N214" s="24" t="s">
        <v>22</v>
      </c>
      <c r="O214" s="24" t="s">
        <v>22</v>
      </c>
      <c r="P214" s="24" t="s">
        <v>22</v>
      </c>
      <c r="Q214" s="24" t="s">
        <v>22</v>
      </c>
      <c r="R214" s="24" t="s">
        <v>22</v>
      </c>
      <c r="T214" s="8"/>
      <c r="U214" s="8"/>
      <c r="V214" s="8"/>
      <c r="W214" s="8"/>
      <c r="X214" s="8"/>
      <c r="Y214" s="8"/>
      <c r="Z214" s="8"/>
      <c r="AB214" s="7" t="s">
        <v>22</v>
      </c>
      <c r="AC214" s="7" t="s">
        <v>22</v>
      </c>
      <c r="AD214" s="7" t="s">
        <v>22</v>
      </c>
      <c r="AE214" s="7" t="s">
        <v>22</v>
      </c>
      <c r="AF214" s="7" t="s">
        <v>22</v>
      </c>
      <c r="AG214" s="7" t="s">
        <v>22</v>
      </c>
      <c r="AH214" s="7" t="s">
        <v>22</v>
      </c>
      <c r="AN214" s="14"/>
      <c r="AO214" s="14"/>
      <c r="AP214" s="14"/>
      <c r="AQ214" s="14"/>
      <c r="AR214" s="14"/>
    </row>
    <row r="215" spans="11:44" x14ac:dyDescent="0.3">
      <c r="K215" s="21">
        <v>211</v>
      </c>
      <c r="L215" s="24" t="s">
        <v>22</v>
      </c>
      <c r="M215" s="24" t="s">
        <v>22</v>
      </c>
      <c r="N215" s="24" t="s">
        <v>22</v>
      </c>
      <c r="O215" s="24" t="s">
        <v>22</v>
      </c>
      <c r="P215" s="24" t="s">
        <v>22</v>
      </c>
      <c r="Q215" s="24" t="s">
        <v>22</v>
      </c>
      <c r="R215" s="24" t="s">
        <v>22</v>
      </c>
      <c r="T215" s="8"/>
      <c r="U215" s="8"/>
      <c r="V215" s="8"/>
      <c r="W215" s="8"/>
      <c r="X215" s="8"/>
      <c r="Y215" s="8"/>
      <c r="Z215" s="8"/>
      <c r="AB215" s="7" t="s">
        <v>22</v>
      </c>
      <c r="AC215" s="7" t="s">
        <v>22</v>
      </c>
      <c r="AD215" s="7" t="s">
        <v>22</v>
      </c>
      <c r="AE215" s="7" t="s">
        <v>22</v>
      </c>
      <c r="AF215" s="7" t="s">
        <v>22</v>
      </c>
      <c r="AG215" s="7" t="s">
        <v>22</v>
      </c>
      <c r="AH215" s="7" t="s">
        <v>22</v>
      </c>
      <c r="AN215" s="14"/>
      <c r="AO215" s="14"/>
      <c r="AP215" s="14"/>
      <c r="AQ215" s="14"/>
      <c r="AR215" s="14"/>
    </row>
    <row r="216" spans="11:44" x14ac:dyDescent="0.3">
      <c r="K216" s="22">
        <v>212</v>
      </c>
      <c r="L216" s="24" t="s">
        <v>22</v>
      </c>
      <c r="M216" s="24" t="s">
        <v>22</v>
      </c>
      <c r="N216" s="24" t="s">
        <v>22</v>
      </c>
      <c r="O216" s="24" t="s">
        <v>22</v>
      </c>
      <c r="P216" s="24" t="s">
        <v>22</v>
      </c>
      <c r="Q216" s="24" t="s">
        <v>22</v>
      </c>
      <c r="R216" s="24" t="s">
        <v>22</v>
      </c>
      <c r="T216" s="8"/>
      <c r="U216" s="8"/>
      <c r="V216" s="8"/>
      <c r="W216" s="8"/>
      <c r="X216" s="8"/>
      <c r="Y216" s="8"/>
      <c r="Z216" s="8"/>
      <c r="AB216" s="7" t="s">
        <v>22</v>
      </c>
      <c r="AC216" s="7" t="s">
        <v>22</v>
      </c>
      <c r="AD216" s="7" t="s">
        <v>22</v>
      </c>
      <c r="AE216" s="7" t="s">
        <v>22</v>
      </c>
      <c r="AF216" s="7" t="s">
        <v>22</v>
      </c>
      <c r="AG216" s="7" t="s">
        <v>22</v>
      </c>
      <c r="AH216" s="7" t="s">
        <v>22</v>
      </c>
      <c r="AN216" s="14"/>
      <c r="AO216" s="14"/>
      <c r="AP216" s="14"/>
      <c r="AQ216" s="14"/>
      <c r="AR216" s="14"/>
    </row>
    <row r="217" spans="11:44" x14ac:dyDescent="0.3">
      <c r="K217" s="21">
        <v>213</v>
      </c>
      <c r="L217" s="24" t="s">
        <v>22</v>
      </c>
      <c r="M217" s="24" t="s">
        <v>22</v>
      </c>
      <c r="N217" s="24" t="s">
        <v>22</v>
      </c>
      <c r="O217" s="24" t="s">
        <v>22</v>
      </c>
      <c r="P217" s="24" t="s">
        <v>22</v>
      </c>
      <c r="Q217" s="24" t="s">
        <v>22</v>
      </c>
      <c r="R217" s="24" t="s">
        <v>22</v>
      </c>
      <c r="T217" s="8"/>
      <c r="U217" s="8"/>
      <c r="V217" s="8"/>
      <c r="W217" s="8"/>
      <c r="X217" s="8"/>
      <c r="Y217" s="8"/>
      <c r="Z217" s="8"/>
      <c r="AB217" s="7" t="s">
        <v>22</v>
      </c>
      <c r="AC217" s="7" t="s">
        <v>22</v>
      </c>
      <c r="AD217" s="7" t="s">
        <v>22</v>
      </c>
      <c r="AE217" s="7" t="s">
        <v>22</v>
      </c>
      <c r="AF217" s="7" t="s">
        <v>22</v>
      </c>
      <c r="AG217" s="7" t="s">
        <v>22</v>
      </c>
      <c r="AH217" s="7" t="s">
        <v>22</v>
      </c>
      <c r="AN217" s="14"/>
      <c r="AO217" s="14"/>
      <c r="AP217" s="14"/>
      <c r="AQ217" s="14"/>
      <c r="AR217" s="14"/>
    </row>
    <row r="218" spans="11:44" x14ac:dyDescent="0.3">
      <c r="K218" s="22">
        <v>214</v>
      </c>
      <c r="L218" s="24" t="s">
        <v>22</v>
      </c>
      <c r="M218" s="24" t="s">
        <v>22</v>
      </c>
      <c r="N218" s="24" t="s">
        <v>22</v>
      </c>
      <c r="O218" s="24" t="s">
        <v>22</v>
      </c>
      <c r="P218" s="24" t="s">
        <v>22</v>
      </c>
      <c r="Q218" s="24" t="s">
        <v>22</v>
      </c>
      <c r="R218" s="24" t="s">
        <v>22</v>
      </c>
      <c r="T218" s="8"/>
      <c r="U218" s="8"/>
      <c r="V218" s="8"/>
      <c r="W218" s="8"/>
      <c r="X218" s="8"/>
      <c r="Y218" s="8"/>
      <c r="Z218" s="8"/>
      <c r="AB218" s="7" t="s">
        <v>22</v>
      </c>
      <c r="AC218" s="7" t="s">
        <v>22</v>
      </c>
      <c r="AD218" s="7" t="s">
        <v>22</v>
      </c>
      <c r="AE218" s="7" t="s">
        <v>22</v>
      </c>
      <c r="AF218" s="7" t="s">
        <v>22</v>
      </c>
      <c r="AG218" s="7" t="s">
        <v>22</v>
      </c>
      <c r="AH218" s="7" t="s">
        <v>22</v>
      </c>
      <c r="AN218" s="14"/>
      <c r="AO218" s="14"/>
      <c r="AP218" s="14"/>
      <c r="AQ218" s="14"/>
      <c r="AR218" s="14"/>
    </row>
    <row r="219" spans="11:44" x14ac:dyDescent="0.3">
      <c r="K219" s="21">
        <v>215</v>
      </c>
      <c r="L219" s="24" t="s">
        <v>22</v>
      </c>
      <c r="M219" s="24" t="s">
        <v>22</v>
      </c>
      <c r="N219" s="24" t="s">
        <v>22</v>
      </c>
      <c r="O219" s="24" t="s">
        <v>22</v>
      </c>
      <c r="P219" s="24" t="s">
        <v>22</v>
      </c>
      <c r="Q219" s="24" t="s">
        <v>22</v>
      </c>
      <c r="R219" s="24" t="s">
        <v>22</v>
      </c>
      <c r="T219" s="8"/>
      <c r="U219" s="8"/>
      <c r="V219" s="8"/>
      <c r="W219" s="8"/>
      <c r="X219" s="8"/>
      <c r="Y219" s="8"/>
      <c r="Z219" s="8"/>
      <c r="AB219" s="7" t="s">
        <v>22</v>
      </c>
      <c r="AC219" s="7" t="s">
        <v>22</v>
      </c>
      <c r="AD219" s="7" t="s">
        <v>22</v>
      </c>
      <c r="AE219" s="7" t="s">
        <v>22</v>
      </c>
      <c r="AF219" s="7" t="s">
        <v>22</v>
      </c>
      <c r="AG219" s="7" t="s">
        <v>22</v>
      </c>
      <c r="AH219" s="7" t="s">
        <v>22</v>
      </c>
      <c r="AN219" s="14"/>
      <c r="AO219" s="14"/>
      <c r="AP219" s="14"/>
      <c r="AQ219" s="14"/>
      <c r="AR219" s="14"/>
    </row>
    <row r="220" spans="11:44" x14ac:dyDescent="0.3">
      <c r="K220" s="22">
        <v>216</v>
      </c>
      <c r="L220" s="24" t="s">
        <v>22</v>
      </c>
      <c r="M220" s="24" t="s">
        <v>22</v>
      </c>
      <c r="N220" s="24" t="s">
        <v>22</v>
      </c>
      <c r="O220" s="24" t="s">
        <v>22</v>
      </c>
      <c r="P220" s="24" t="s">
        <v>22</v>
      </c>
      <c r="Q220" s="24" t="s">
        <v>22</v>
      </c>
      <c r="R220" s="24" t="s">
        <v>22</v>
      </c>
      <c r="T220" s="8"/>
      <c r="U220" s="8"/>
      <c r="V220" s="8"/>
      <c r="W220" s="8"/>
      <c r="X220" s="8"/>
      <c r="Y220" s="8"/>
      <c r="Z220" s="8"/>
      <c r="AB220" s="7" t="s">
        <v>22</v>
      </c>
      <c r="AC220" s="7" t="s">
        <v>22</v>
      </c>
      <c r="AD220" s="7" t="s">
        <v>22</v>
      </c>
      <c r="AE220" s="7" t="s">
        <v>22</v>
      </c>
      <c r="AF220" s="7" t="s">
        <v>22</v>
      </c>
      <c r="AG220" s="7" t="s">
        <v>22</v>
      </c>
      <c r="AH220" s="7" t="s">
        <v>22</v>
      </c>
      <c r="AN220" s="14"/>
      <c r="AO220" s="14"/>
      <c r="AP220" s="14"/>
      <c r="AQ220" s="14"/>
      <c r="AR220" s="14"/>
    </row>
    <row r="221" spans="11:44" x14ac:dyDescent="0.3">
      <c r="K221" s="21">
        <v>217</v>
      </c>
      <c r="L221" s="24" t="s">
        <v>22</v>
      </c>
      <c r="M221" s="24" t="s">
        <v>22</v>
      </c>
      <c r="N221" s="24" t="s">
        <v>22</v>
      </c>
      <c r="O221" s="24" t="s">
        <v>22</v>
      </c>
      <c r="P221" s="24" t="s">
        <v>22</v>
      </c>
      <c r="Q221" s="24" t="s">
        <v>22</v>
      </c>
      <c r="R221" s="24" t="s">
        <v>22</v>
      </c>
      <c r="T221" s="8"/>
      <c r="U221" s="8"/>
      <c r="V221" s="8"/>
      <c r="W221" s="8"/>
      <c r="X221" s="8"/>
      <c r="Y221" s="8"/>
      <c r="Z221" s="8"/>
      <c r="AB221" s="7" t="s">
        <v>22</v>
      </c>
      <c r="AC221" s="7" t="s">
        <v>22</v>
      </c>
      <c r="AD221" s="7" t="s">
        <v>22</v>
      </c>
      <c r="AE221" s="7" t="s">
        <v>22</v>
      </c>
      <c r="AF221" s="7" t="s">
        <v>22</v>
      </c>
      <c r="AG221" s="7" t="s">
        <v>22</v>
      </c>
      <c r="AH221" s="7" t="s">
        <v>22</v>
      </c>
      <c r="AN221" s="14"/>
      <c r="AO221" s="14"/>
      <c r="AP221" s="14"/>
      <c r="AQ221" s="14"/>
      <c r="AR221" s="14"/>
    </row>
    <row r="222" spans="11:44" x14ac:dyDescent="0.3">
      <c r="K222" s="22">
        <v>218</v>
      </c>
      <c r="L222" s="24" t="s">
        <v>22</v>
      </c>
      <c r="M222" s="24" t="s">
        <v>22</v>
      </c>
      <c r="N222" s="24" t="s">
        <v>22</v>
      </c>
      <c r="O222" s="24" t="s">
        <v>22</v>
      </c>
      <c r="P222" s="24" t="s">
        <v>22</v>
      </c>
      <c r="Q222" s="24" t="s">
        <v>22</v>
      </c>
      <c r="R222" s="24" t="s">
        <v>22</v>
      </c>
      <c r="T222" s="8"/>
      <c r="U222" s="8"/>
      <c r="V222" s="8"/>
      <c r="W222" s="8"/>
      <c r="X222" s="8"/>
      <c r="Y222" s="8"/>
      <c r="Z222" s="8"/>
      <c r="AB222" s="7" t="s">
        <v>22</v>
      </c>
      <c r="AC222" s="7" t="s">
        <v>22</v>
      </c>
      <c r="AD222" s="7" t="s">
        <v>22</v>
      </c>
      <c r="AE222" s="7" t="s">
        <v>22</v>
      </c>
      <c r="AF222" s="7" t="s">
        <v>22</v>
      </c>
      <c r="AG222" s="7" t="s">
        <v>22</v>
      </c>
      <c r="AH222" s="7" t="s">
        <v>22</v>
      </c>
      <c r="AN222" s="14"/>
      <c r="AO222" s="14"/>
      <c r="AP222" s="14"/>
      <c r="AQ222" s="14"/>
      <c r="AR222" s="14"/>
    </row>
    <row r="223" spans="11:44" x14ac:dyDescent="0.3">
      <c r="K223" s="21">
        <v>219</v>
      </c>
      <c r="L223" s="24" t="s">
        <v>22</v>
      </c>
      <c r="M223" s="24" t="s">
        <v>22</v>
      </c>
      <c r="N223" s="24" t="s">
        <v>22</v>
      </c>
      <c r="O223" s="24" t="s">
        <v>22</v>
      </c>
      <c r="P223" s="24" t="s">
        <v>22</v>
      </c>
      <c r="Q223" s="24" t="s">
        <v>22</v>
      </c>
      <c r="R223" s="24" t="s">
        <v>22</v>
      </c>
      <c r="T223" s="8"/>
      <c r="U223" s="8"/>
      <c r="V223" s="8"/>
      <c r="W223" s="8"/>
      <c r="X223" s="8"/>
      <c r="Y223" s="8"/>
      <c r="Z223" s="8"/>
      <c r="AB223" s="7" t="s">
        <v>22</v>
      </c>
      <c r="AC223" s="7" t="s">
        <v>22</v>
      </c>
      <c r="AD223" s="7" t="s">
        <v>22</v>
      </c>
      <c r="AE223" s="7" t="s">
        <v>22</v>
      </c>
      <c r="AF223" s="7" t="s">
        <v>22</v>
      </c>
      <c r="AG223" s="7" t="s">
        <v>22</v>
      </c>
      <c r="AH223" s="7" t="s">
        <v>22</v>
      </c>
      <c r="AN223" s="14"/>
      <c r="AO223" s="14"/>
      <c r="AP223" s="14"/>
      <c r="AQ223" s="14"/>
      <c r="AR223" s="14"/>
    </row>
    <row r="224" spans="11:44" x14ac:dyDescent="0.3">
      <c r="K224" s="22">
        <v>220</v>
      </c>
      <c r="L224" s="24" t="s">
        <v>22</v>
      </c>
      <c r="M224" s="24" t="s">
        <v>22</v>
      </c>
      <c r="N224" s="24" t="s">
        <v>22</v>
      </c>
      <c r="O224" s="24" t="s">
        <v>22</v>
      </c>
      <c r="P224" s="24" t="s">
        <v>22</v>
      </c>
      <c r="Q224" s="24" t="s">
        <v>22</v>
      </c>
      <c r="R224" s="24" t="s">
        <v>22</v>
      </c>
      <c r="T224" s="8"/>
      <c r="U224" s="8"/>
      <c r="V224" s="8"/>
      <c r="W224" s="8"/>
      <c r="X224" s="8"/>
      <c r="Y224" s="8"/>
      <c r="Z224" s="8"/>
      <c r="AB224" s="7" t="s">
        <v>22</v>
      </c>
      <c r="AC224" s="7" t="s">
        <v>22</v>
      </c>
      <c r="AD224" s="7" t="s">
        <v>22</v>
      </c>
      <c r="AE224" s="7" t="s">
        <v>22</v>
      </c>
      <c r="AF224" s="7" t="s">
        <v>22</v>
      </c>
      <c r="AG224" s="7" t="s">
        <v>22</v>
      </c>
      <c r="AH224" s="7" t="s">
        <v>22</v>
      </c>
      <c r="AN224" s="14"/>
      <c r="AO224" s="14"/>
      <c r="AP224" s="14"/>
      <c r="AQ224" s="14"/>
      <c r="AR224" s="14"/>
    </row>
    <row r="225" spans="11:44" x14ac:dyDescent="0.3">
      <c r="K225" s="21">
        <v>221</v>
      </c>
      <c r="L225" s="24" t="s">
        <v>22</v>
      </c>
      <c r="M225" s="24" t="s">
        <v>22</v>
      </c>
      <c r="N225" s="24" t="s">
        <v>22</v>
      </c>
      <c r="O225" s="24" t="s">
        <v>22</v>
      </c>
      <c r="P225" s="24" t="s">
        <v>22</v>
      </c>
      <c r="Q225" s="24" t="s">
        <v>22</v>
      </c>
      <c r="R225" s="24" t="s">
        <v>22</v>
      </c>
      <c r="T225" s="8"/>
      <c r="U225" s="8"/>
      <c r="V225" s="8"/>
      <c r="W225" s="8"/>
      <c r="X225" s="8"/>
      <c r="Y225" s="8"/>
      <c r="Z225" s="8"/>
      <c r="AB225" s="7" t="s">
        <v>22</v>
      </c>
      <c r="AC225" s="7" t="s">
        <v>22</v>
      </c>
      <c r="AD225" s="7" t="s">
        <v>22</v>
      </c>
      <c r="AE225" s="7" t="s">
        <v>22</v>
      </c>
      <c r="AF225" s="7" t="s">
        <v>22</v>
      </c>
      <c r="AG225" s="7" t="s">
        <v>22</v>
      </c>
      <c r="AH225" s="7" t="s">
        <v>22</v>
      </c>
      <c r="AN225" s="14"/>
      <c r="AO225" s="14"/>
      <c r="AP225" s="14"/>
      <c r="AQ225" s="14"/>
      <c r="AR225" s="14"/>
    </row>
    <row r="226" spans="11:44" x14ac:dyDescent="0.3">
      <c r="K226" s="22">
        <v>222</v>
      </c>
      <c r="L226" s="24" t="s">
        <v>22</v>
      </c>
      <c r="M226" s="24" t="s">
        <v>22</v>
      </c>
      <c r="N226" s="24" t="s">
        <v>22</v>
      </c>
      <c r="O226" s="24" t="s">
        <v>22</v>
      </c>
      <c r="P226" s="24" t="s">
        <v>22</v>
      </c>
      <c r="Q226" s="24" t="s">
        <v>22</v>
      </c>
      <c r="R226" s="24" t="s">
        <v>22</v>
      </c>
      <c r="T226" s="8"/>
      <c r="U226" s="8"/>
      <c r="V226" s="8"/>
      <c r="W226" s="8"/>
      <c r="X226" s="8"/>
      <c r="Y226" s="8"/>
      <c r="Z226" s="8"/>
      <c r="AB226" s="7" t="s">
        <v>22</v>
      </c>
      <c r="AC226" s="7" t="s">
        <v>22</v>
      </c>
      <c r="AD226" s="7" t="s">
        <v>22</v>
      </c>
      <c r="AE226" s="7" t="s">
        <v>22</v>
      </c>
      <c r="AF226" s="7" t="s">
        <v>22</v>
      </c>
      <c r="AG226" s="7" t="s">
        <v>22</v>
      </c>
      <c r="AH226" s="7" t="s">
        <v>22</v>
      </c>
      <c r="AN226" s="14"/>
      <c r="AO226" s="14"/>
      <c r="AP226" s="14"/>
      <c r="AQ226" s="14"/>
      <c r="AR226" s="14"/>
    </row>
    <row r="227" spans="11:44" x14ac:dyDescent="0.3">
      <c r="K227" s="21">
        <v>223</v>
      </c>
      <c r="L227" s="24" t="s">
        <v>22</v>
      </c>
      <c r="M227" s="24" t="s">
        <v>22</v>
      </c>
      <c r="N227" s="24" t="s">
        <v>22</v>
      </c>
      <c r="O227" s="24" t="s">
        <v>22</v>
      </c>
      <c r="P227" s="24" t="s">
        <v>22</v>
      </c>
      <c r="Q227" s="24" t="s">
        <v>22</v>
      </c>
      <c r="R227" s="24" t="s">
        <v>22</v>
      </c>
      <c r="T227" s="8"/>
      <c r="U227" s="8"/>
      <c r="V227" s="8"/>
      <c r="W227" s="8"/>
      <c r="X227" s="8"/>
      <c r="Y227" s="8"/>
      <c r="Z227" s="8"/>
      <c r="AB227" s="7" t="s">
        <v>22</v>
      </c>
      <c r="AC227" s="7" t="s">
        <v>22</v>
      </c>
      <c r="AD227" s="7" t="s">
        <v>22</v>
      </c>
      <c r="AE227" s="7" t="s">
        <v>22</v>
      </c>
      <c r="AF227" s="7" t="s">
        <v>22</v>
      </c>
      <c r="AG227" s="7" t="s">
        <v>22</v>
      </c>
      <c r="AH227" s="7" t="s">
        <v>22</v>
      </c>
      <c r="AN227" s="14"/>
      <c r="AO227" s="14"/>
      <c r="AP227" s="14"/>
      <c r="AQ227" s="14"/>
      <c r="AR227" s="14"/>
    </row>
    <row r="228" spans="11:44" x14ac:dyDescent="0.3">
      <c r="K228" s="22">
        <v>224</v>
      </c>
      <c r="L228" s="24" t="s">
        <v>22</v>
      </c>
      <c r="M228" s="24" t="s">
        <v>22</v>
      </c>
      <c r="N228" s="24" t="s">
        <v>22</v>
      </c>
      <c r="O228" s="24" t="s">
        <v>22</v>
      </c>
      <c r="P228" s="24" t="s">
        <v>22</v>
      </c>
      <c r="Q228" s="24" t="s">
        <v>22</v>
      </c>
      <c r="R228" s="24" t="s">
        <v>22</v>
      </c>
      <c r="T228" s="8"/>
      <c r="U228" s="8"/>
      <c r="V228" s="8"/>
      <c r="W228" s="8"/>
      <c r="X228" s="8"/>
      <c r="Y228" s="8"/>
      <c r="Z228" s="8"/>
      <c r="AB228" s="7" t="s">
        <v>22</v>
      </c>
      <c r="AC228" s="7" t="s">
        <v>22</v>
      </c>
      <c r="AD228" s="7" t="s">
        <v>22</v>
      </c>
      <c r="AE228" s="7" t="s">
        <v>22</v>
      </c>
      <c r="AF228" s="7" t="s">
        <v>22</v>
      </c>
      <c r="AG228" s="7" t="s">
        <v>22</v>
      </c>
      <c r="AH228" s="7" t="s">
        <v>22</v>
      </c>
      <c r="AN228" s="14"/>
      <c r="AO228" s="14"/>
      <c r="AP228" s="14"/>
      <c r="AQ228" s="14"/>
      <c r="AR228" s="14"/>
    </row>
    <row r="229" spans="11:44" x14ac:dyDescent="0.3">
      <c r="K229" s="21">
        <v>225</v>
      </c>
      <c r="L229" s="24" t="s">
        <v>22</v>
      </c>
      <c r="M229" s="24" t="s">
        <v>22</v>
      </c>
      <c r="N229" s="24" t="s">
        <v>22</v>
      </c>
      <c r="O229" s="24" t="s">
        <v>22</v>
      </c>
      <c r="P229" s="24" t="s">
        <v>22</v>
      </c>
      <c r="Q229" s="24" t="s">
        <v>22</v>
      </c>
      <c r="R229" s="24" t="s">
        <v>22</v>
      </c>
      <c r="T229" s="8"/>
      <c r="U229" s="8"/>
      <c r="V229" s="8"/>
      <c r="W229" s="8"/>
      <c r="X229" s="8"/>
      <c r="Y229" s="8"/>
      <c r="Z229" s="8"/>
      <c r="AB229" s="7" t="s">
        <v>22</v>
      </c>
      <c r="AC229" s="7" t="s">
        <v>22</v>
      </c>
      <c r="AD229" s="7" t="s">
        <v>22</v>
      </c>
      <c r="AE229" s="7" t="s">
        <v>22</v>
      </c>
      <c r="AF229" s="7" t="s">
        <v>22</v>
      </c>
      <c r="AG229" s="7" t="s">
        <v>22</v>
      </c>
      <c r="AH229" s="7" t="s">
        <v>22</v>
      </c>
      <c r="AN229" s="14"/>
      <c r="AO229" s="14"/>
      <c r="AP229" s="14"/>
      <c r="AQ229" s="14"/>
      <c r="AR229" s="14"/>
    </row>
    <row r="230" spans="11:44" x14ac:dyDescent="0.3">
      <c r="K230" s="22">
        <v>226</v>
      </c>
      <c r="L230" s="24" t="s">
        <v>22</v>
      </c>
      <c r="M230" s="24" t="s">
        <v>22</v>
      </c>
      <c r="N230" s="24" t="s">
        <v>22</v>
      </c>
      <c r="O230" s="24" t="s">
        <v>22</v>
      </c>
      <c r="P230" s="24" t="s">
        <v>22</v>
      </c>
      <c r="Q230" s="24" t="s">
        <v>22</v>
      </c>
      <c r="R230" s="24" t="s">
        <v>22</v>
      </c>
      <c r="T230" s="8"/>
      <c r="U230" s="8"/>
      <c r="V230" s="8"/>
      <c r="W230" s="8"/>
      <c r="X230" s="8"/>
      <c r="Y230" s="8"/>
      <c r="Z230" s="8"/>
      <c r="AB230" s="7" t="s">
        <v>22</v>
      </c>
      <c r="AC230" s="7" t="s">
        <v>22</v>
      </c>
      <c r="AD230" s="7" t="s">
        <v>22</v>
      </c>
      <c r="AE230" s="7" t="s">
        <v>22</v>
      </c>
      <c r="AF230" s="7" t="s">
        <v>22</v>
      </c>
      <c r="AG230" s="7" t="s">
        <v>22</v>
      </c>
      <c r="AH230" s="7" t="s">
        <v>22</v>
      </c>
      <c r="AN230" s="14"/>
      <c r="AO230" s="14"/>
      <c r="AP230" s="14"/>
      <c r="AQ230" s="14"/>
      <c r="AR230" s="14"/>
    </row>
    <row r="231" spans="11:44" x14ac:dyDescent="0.3">
      <c r="K231" s="21">
        <v>227</v>
      </c>
      <c r="L231" s="24" t="s">
        <v>22</v>
      </c>
      <c r="M231" s="24" t="s">
        <v>22</v>
      </c>
      <c r="N231" s="24" t="s">
        <v>22</v>
      </c>
      <c r="O231" s="24" t="s">
        <v>22</v>
      </c>
      <c r="P231" s="24" t="s">
        <v>22</v>
      </c>
      <c r="Q231" s="24" t="s">
        <v>22</v>
      </c>
      <c r="R231" s="24" t="s">
        <v>22</v>
      </c>
      <c r="T231" s="8"/>
      <c r="U231" s="8"/>
      <c r="V231" s="8"/>
      <c r="W231" s="8"/>
      <c r="X231" s="8"/>
      <c r="Y231" s="8"/>
      <c r="Z231" s="8"/>
      <c r="AB231" s="7" t="s">
        <v>22</v>
      </c>
      <c r="AC231" s="7" t="s">
        <v>22</v>
      </c>
      <c r="AD231" s="7" t="s">
        <v>22</v>
      </c>
      <c r="AE231" s="7" t="s">
        <v>22</v>
      </c>
      <c r="AF231" s="7" t="s">
        <v>22</v>
      </c>
      <c r="AG231" s="7" t="s">
        <v>22</v>
      </c>
      <c r="AH231" s="7" t="s">
        <v>22</v>
      </c>
      <c r="AN231" s="14"/>
      <c r="AO231" s="14"/>
      <c r="AP231" s="14"/>
      <c r="AQ231" s="14"/>
      <c r="AR231" s="14"/>
    </row>
    <row r="232" spans="11:44" x14ac:dyDescent="0.3">
      <c r="K232" s="22">
        <v>228</v>
      </c>
      <c r="L232" s="24" t="s">
        <v>22</v>
      </c>
      <c r="M232" s="24" t="s">
        <v>22</v>
      </c>
      <c r="N232" s="24" t="s">
        <v>22</v>
      </c>
      <c r="O232" s="24" t="s">
        <v>22</v>
      </c>
      <c r="P232" s="24" t="s">
        <v>22</v>
      </c>
      <c r="Q232" s="24" t="s">
        <v>22</v>
      </c>
      <c r="R232" s="24" t="s">
        <v>22</v>
      </c>
      <c r="T232" s="8"/>
      <c r="U232" s="8"/>
      <c r="V232" s="8"/>
      <c r="W232" s="8"/>
      <c r="X232" s="8"/>
      <c r="Y232" s="8"/>
      <c r="Z232" s="8"/>
      <c r="AB232" s="7" t="s">
        <v>22</v>
      </c>
      <c r="AC232" s="7" t="s">
        <v>22</v>
      </c>
      <c r="AD232" s="7" t="s">
        <v>22</v>
      </c>
      <c r="AE232" s="7" t="s">
        <v>22</v>
      </c>
      <c r="AF232" s="7" t="s">
        <v>22</v>
      </c>
      <c r="AG232" s="7" t="s">
        <v>22</v>
      </c>
      <c r="AH232" s="7" t="s">
        <v>22</v>
      </c>
      <c r="AN232" s="14"/>
      <c r="AO232" s="14"/>
      <c r="AP232" s="14"/>
      <c r="AQ232" s="14"/>
      <c r="AR232" s="14"/>
    </row>
    <row r="233" spans="11:44" x14ac:dyDescent="0.3">
      <c r="K233" s="21">
        <v>229</v>
      </c>
      <c r="L233" s="24" t="s">
        <v>22</v>
      </c>
      <c r="M233" s="24" t="s">
        <v>22</v>
      </c>
      <c r="N233" s="24" t="s">
        <v>22</v>
      </c>
      <c r="O233" s="24" t="s">
        <v>22</v>
      </c>
      <c r="P233" s="24" t="s">
        <v>22</v>
      </c>
      <c r="Q233" s="24" t="s">
        <v>22</v>
      </c>
      <c r="R233" s="24" t="s">
        <v>22</v>
      </c>
      <c r="T233" s="8"/>
      <c r="U233" s="8"/>
      <c r="V233" s="8"/>
      <c r="W233" s="8"/>
      <c r="X233" s="8"/>
      <c r="Y233" s="8"/>
      <c r="Z233" s="8"/>
      <c r="AB233" s="7" t="s">
        <v>22</v>
      </c>
      <c r="AC233" s="7" t="s">
        <v>22</v>
      </c>
      <c r="AD233" s="7" t="s">
        <v>22</v>
      </c>
      <c r="AE233" s="7" t="s">
        <v>22</v>
      </c>
      <c r="AF233" s="7" t="s">
        <v>22</v>
      </c>
      <c r="AG233" s="7" t="s">
        <v>22</v>
      </c>
      <c r="AH233" s="7" t="s">
        <v>22</v>
      </c>
      <c r="AN233" s="14"/>
      <c r="AO233" s="14"/>
      <c r="AP233" s="14"/>
      <c r="AQ233" s="14"/>
      <c r="AR233" s="14"/>
    </row>
    <row r="234" spans="11:44" x14ac:dyDescent="0.3">
      <c r="K234" s="22">
        <v>230</v>
      </c>
      <c r="L234" s="24" t="s">
        <v>22</v>
      </c>
      <c r="M234" s="24" t="s">
        <v>22</v>
      </c>
      <c r="N234" s="24" t="s">
        <v>22</v>
      </c>
      <c r="O234" s="24" t="s">
        <v>22</v>
      </c>
      <c r="P234" s="24" t="s">
        <v>22</v>
      </c>
      <c r="Q234" s="24" t="s">
        <v>22</v>
      </c>
      <c r="R234" s="24" t="s">
        <v>22</v>
      </c>
      <c r="T234" s="8"/>
      <c r="U234" s="8"/>
      <c r="V234" s="8"/>
      <c r="W234" s="8"/>
      <c r="X234" s="8"/>
      <c r="Y234" s="8"/>
      <c r="Z234" s="8"/>
      <c r="AB234" s="7" t="s">
        <v>22</v>
      </c>
      <c r="AC234" s="7" t="s">
        <v>22</v>
      </c>
      <c r="AD234" s="7" t="s">
        <v>22</v>
      </c>
      <c r="AE234" s="7" t="s">
        <v>22</v>
      </c>
      <c r="AF234" s="7" t="s">
        <v>22</v>
      </c>
      <c r="AG234" s="7" t="s">
        <v>22</v>
      </c>
      <c r="AH234" s="7" t="s">
        <v>22</v>
      </c>
      <c r="AN234" s="14"/>
      <c r="AO234" s="14"/>
      <c r="AP234" s="14"/>
      <c r="AQ234" s="14"/>
      <c r="AR234" s="14"/>
    </row>
    <row r="235" spans="11:44" x14ac:dyDescent="0.3">
      <c r="K235" s="21">
        <v>231</v>
      </c>
      <c r="L235" s="24" t="s">
        <v>22</v>
      </c>
      <c r="M235" s="24" t="s">
        <v>22</v>
      </c>
      <c r="N235" s="24" t="s">
        <v>22</v>
      </c>
      <c r="O235" s="24" t="s">
        <v>22</v>
      </c>
      <c r="P235" s="24" t="s">
        <v>22</v>
      </c>
      <c r="Q235" s="24" t="s">
        <v>22</v>
      </c>
      <c r="R235" s="24" t="s">
        <v>22</v>
      </c>
      <c r="T235" s="8"/>
      <c r="U235" s="8"/>
      <c r="V235" s="8"/>
      <c r="W235" s="8"/>
      <c r="X235" s="8"/>
      <c r="Y235" s="8"/>
      <c r="Z235" s="8"/>
      <c r="AB235" s="7" t="s">
        <v>22</v>
      </c>
      <c r="AC235" s="7" t="s">
        <v>22</v>
      </c>
      <c r="AD235" s="7" t="s">
        <v>22</v>
      </c>
      <c r="AE235" s="7" t="s">
        <v>22</v>
      </c>
      <c r="AF235" s="7" t="s">
        <v>22</v>
      </c>
      <c r="AG235" s="7" t="s">
        <v>22</v>
      </c>
      <c r="AH235" s="7" t="s">
        <v>22</v>
      </c>
      <c r="AN235" s="14"/>
      <c r="AO235" s="14"/>
      <c r="AP235" s="14"/>
      <c r="AQ235" s="14"/>
      <c r="AR235" s="14"/>
    </row>
    <row r="236" spans="11:44" x14ac:dyDescent="0.3">
      <c r="K236" s="22">
        <v>232</v>
      </c>
      <c r="L236" s="24" t="s">
        <v>22</v>
      </c>
      <c r="M236" s="24" t="s">
        <v>22</v>
      </c>
      <c r="N236" s="24" t="s">
        <v>22</v>
      </c>
      <c r="O236" s="24" t="s">
        <v>22</v>
      </c>
      <c r="P236" s="24" t="s">
        <v>22</v>
      </c>
      <c r="Q236" s="24" t="s">
        <v>22</v>
      </c>
      <c r="R236" s="24" t="s">
        <v>22</v>
      </c>
      <c r="T236" s="8"/>
      <c r="U236" s="8"/>
      <c r="V236" s="8"/>
      <c r="W236" s="8"/>
      <c r="X236" s="8"/>
      <c r="Y236" s="8"/>
      <c r="Z236" s="8"/>
      <c r="AB236" s="7" t="s">
        <v>22</v>
      </c>
      <c r="AC236" s="7" t="s">
        <v>22</v>
      </c>
      <c r="AD236" s="7" t="s">
        <v>22</v>
      </c>
      <c r="AE236" s="7" t="s">
        <v>22</v>
      </c>
      <c r="AF236" s="7" t="s">
        <v>22</v>
      </c>
      <c r="AG236" s="7" t="s">
        <v>22</v>
      </c>
      <c r="AH236" s="7" t="s">
        <v>22</v>
      </c>
      <c r="AN236" s="14"/>
      <c r="AO236" s="14"/>
      <c r="AP236" s="14"/>
      <c r="AQ236" s="14"/>
      <c r="AR236" s="14"/>
    </row>
    <row r="237" spans="11:44" x14ac:dyDescent="0.3">
      <c r="K237" s="21">
        <v>233</v>
      </c>
      <c r="L237" s="24" t="s">
        <v>22</v>
      </c>
      <c r="M237" s="24" t="s">
        <v>22</v>
      </c>
      <c r="N237" s="24" t="s">
        <v>22</v>
      </c>
      <c r="O237" s="24" t="s">
        <v>22</v>
      </c>
      <c r="P237" s="24" t="s">
        <v>22</v>
      </c>
      <c r="Q237" s="24" t="s">
        <v>22</v>
      </c>
      <c r="R237" s="24" t="s">
        <v>22</v>
      </c>
      <c r="T237" s="8"/>
      <c r="U237" s="8"/>
      <c r="V237" s="8"/>
      <c r="W237" s="8"/>
      <c r="X237" s="8"/>
      <c r="Y237" s="8"/>
      <c r="Z237" s="8"/>
      <c r="AB237" s="7" t="s">
        <v>22</v>
      </c>
      <c r="AC237" s="7" t="s">
        <v>22</v>
      </c>
      <c r="AD237" s="7" t="s">
        <v>22</v>
      </c>
      <c r="AE237" s="7" t="s">
        <v>22</v>
      </c>
      <c r="AF237" s="7" t="s">
        <v>22</v>
      </c>
      <c r="AG237" s="7" t="s">
        <v>22</v>
      </c>
      <c r="AH237" s="7" t="s">
        <v>22</v>
      </c>
      <c r="AN237" s="14"/>
      <c r="AO237" s="14"/>
      <c r="AP237" s="14"/>
      <c r="AQ237" s="14"/>
      <c r="AR237" s="14"/>
    </row>
    <row r="238" spans="11:44" x14ac:dyDescent="0.3">
      <c r="K238" s="22">
        <v>234</v>
      </c>
      <c r="L238" s="24" t="s">
        <v>22</v>
      </c>
      <c r="M238" s="24" t="s">
        <v>22</v>
      </c>
      <c r="N238" s="24" t="s">
        <v>22</v>
      </c>
      <c r="O238" s="24" t="s">
        <v>22</v>
      </c>
      <c r="P238" s="24" t="s">
        <v>22</v>
      </c>
      <c r="Q238" s="24" t="s">
        <v>22</v>
      </c>
      <c r="R238" s="24" t="s">
        <v>22</v>
      </c>
      <c r="T238" s="8"/>
      <c r="U238" s="8"/>
      <c r="V238" s="8"/>
      <c r="W238" s="8"/>
      <c r="X238" s="8"/>
      <c r="Y238" s="8"/>
      <c r="Z238" s="8"/>
      <c r="AB238" s="7" t="s">
        <v>22</v>
      </c>
      <c r="AC238" s="7" t="s">
        <v>22</v>
      </c>
      <c r="AD238" s="7" t="s">
        <v>22</v>
      </c>
      <c r="AE238" s="7" t="s">
        <v>22</v>
      </c>
      <c r="AF238" s="7" t="s">
        <v>22</v>
      </c>
      <c r="AG238" s="7" t="s">
        <v>22</v>
      </c>
      <c r="AH238" s="7" t="s">
        <v>22</v>
      </c>
      <c r="AN238" s="14"/>
      <c r="AO238" s="14"/>
      <c r="AP238" s="14"/>
      <c r="AQ238" s="14"/>
      <c r="AR238" s="14"/>
    </row>
    <row r="239" spans="11:44" x14ac:dyDescent="0.3">
      <c r="K239" s="21">
        <v>235</v>
      </c>
      <c r="L239" s="24" t="s">
        <v>22</v>
      </c>
      <c r="M239" s="24" t="s">
        <v>22</v>
      </c>
      <c r="N239" s="24" t="s">
        <v>22</v>
      </c>
      <c r="O239" s="24" t="s">
        <v>22</v>
      </c>
      <c r="P239" s="24" t="s">
        <v>22</v>
      </c>
      <c r="Q239" s="24" t="s">
        <v>22</v>
      </c>
      <c r="R239" s="24" t="s">
        <v>22</v>
      </c>
      <c r="T239" s="8"/>
      <c r="U239" s="8"/>
      <c r="V239" s="8"/>
      <c r="W239" s="8"/>
      <c r="X239" s="8"/>
      <c r="Y239" s="8"/>
      <c r="Z239" s="8"/>
      <c r="AB239" s="7" t="s">
        <v>22</v>
      </c>
      <c r="AC239" s="7" t="s">
        <v>22</v>
      </c>
      <c r="AD239" s="7" t="s">
        <v>22</v>
      </c>
      <c r="AE239" s="7" t="s">
        <v>22</v>
      </c>
      <c r="AF239" s="7" t="s">
        <v>22</v>
      </c>
      <c r="AG239" s="7" t="s">
        <v>22</v>
      </c>
      <c r="AH239" s="7" t="s">
        <v>22</v>
      </c>
      <c r="AN239" s="14"/>
      <c r="AO239" s="14"/>
      <c r="AP239" s="14"/>
      <c r="AQ239" s="14"/>
      <c r="AR239" s="14"/>
    </row>
    <row r="240" spans="11:44" x14ac:dyDescent="0.3">
      <c r="K240" s="22">
        <v>236</v>
      </c>
      <c r="L240" s="24" t="s">
        <v>22</v>
      </c>
      <c r="M240" s="24" t="s">
        <v>22</v>
      </c>
      <c r="N240" s="24" t="s">
        <v>22</v>
      </c>
      <c r="O240" s="24" t="s">
        <v>22</v>
      </c>
      <c r="P240" s="24" t="s">
        <v>22</v>
      </c>
      <c r="Q240" s="24" t="s">
        <v>22</v>
      </c>
      <c r="R240" s="24" t="s">
        <v>22</v>
      </c>
      <c r="T240" s="8"/>
      <c r="U240" s="8"/>
      <c r="V240" s="8"/>
      <c r="W240" s="8"/>
      <c r="X240" s="8"/>
      <c r="Y240" s="8"/>
      <c r="Z240" s="8"/>
      <c r="AB240" s="7" t="s">
        <v>22</v>
      </c>
      <c r="AC240" s="7" t="s">
        <v>22</v>
      </c>
      <c r="AD240" s="7" t="s">
        <v>22</v>
      </c>
      <c r="AE240" s="7" t="s">
        <v>22</v>
      </c>
      <c r="AF240" s="7" t="s">
        <v>22</v>
      </c>
      <c r="AG240" s="7" t="s">
        <v>22</v>
      </c>
      <c r="AH240" s="7" t="s">
        <v>22</v>
      </c>
      <c r="AN240" s="14"/>
      <c r="AO240" s="14"/>
      <c r="AP240" s="14"/>
      <c r="AQ240" s="14"/>
      <c r="AR240" s="14"/>
    </row>
    <row r="241" spans="11:44" x14ac:dyDescent="0.3">
      <c r="K241" s="21">
        <v>237</v>
      </c>
      <c r="L241" s="24" t="s">
        <v>22</v>
      </c>
      <c r="M241" s="24" t="s">
        <v>22</v>
      </c>
      <c r="N241" s="24" t="s">
        <v>22</v>
      </c>
      <c r="O241" s="24" t="s">
        <v>22</v>
      </c>
      <c r="P241" s="24" t="s">
        <v>22</v>
      </c>
      <c r="Q241" s="24" t="s">
        <v>22</v>
      </c>
      <c r="R241" s="24" t="s">
        <v>22</v>
      </c>
      <c r="T241" s="8"/>
      <c r="U241" s="8"/>
      <c r="V241" s="8"/>
      <c r="W241" s="8"/>
      <c r="X241" s="8"/>
      <c r="Y241" s="8"/>
      <c r="Z241" s="8"/>
      <c r="AB241" s="7" t="s">
        <v>22</v>
      </c>
      <c r="AC241" s="7" t="s">
        <v>22</v>
      </c>
      <c r="AD241" s="7" t="s">
        <v>22</v>
      </c>
      <c r="AE241" s="7" t="s">
        <v>22</v>
      </c>
      <c r="AF241" s="7" t="s">
        <v>22</v>
      </c>
      <c r="AG241" s="7" t="s">
        <v>22</v>
      </c>
      <c r="AH241" s="7" t="s">
        <v>22</v>
      </c>
      <c r="AN241" s="14"/>
      <c r="AO241" s="14"/>
      <c r="AP241" s="14"/>
      <c r="AQ241" s="14"/>
      <c r="AR241" s="14"/>
    </row>
    <row r="242" spans="11:44" x14ac:dyDescent="0.3">
      <c r="K242" s="22">
        <v>238</v>
      </c>
      <c r="L242" s="24" t="s">
        <v>22</v>
      </c>
      <c r="M242" s="24" t="s">
        <v>22</v>
      </c>
      <c r="N242" s="24" t="s">
        <v>22</v>
      </c>
      <c r="O242" s="24" t="s">
        <v>22</v>
      </c>
      <c r="P242" s="24" t="s">
        <v>22</v>
      </c>
      <c r="Q242" s="24" t="s">
        <v>22</v>
      </c>
      <c r="R242" s="24" t="s">
        <v>22</v>
      </c>
      <c r="T242" s="8"/>
      <c r="U242" s="8"/>
      <c r="V242" s="8"/>
      <c r="W242" s="8"/>
      <c r="X242" s="8"/>
      <c r="Y242" s="8"/>
      <c r="Z242" s="8"/>
      <c r="AB242" s="7" t="s">
        <v>22</v>
      </c>
      <c r="AC242" s="7" t="s">
        <v>22</v>
      </c>
      <c r="AD242" s="7" t="s">
        <v>22</v>
      </c>
      <c r="AE242" s="7" t="s">
        <v>22</v>
      </c>
      <c r="AF242" s="7" t="s">
        <v>22</v>
      </c>
      <c r="AG242" s="7" t="s">
        <v>22</v>
      </c>
      <c r="AH242" s="7" t="s">
        <v>22</v>
      </c>
      <c r="AN242" s="14"/>
      <c r="AO242" s="14"/>
      <c r="AP242" s="14"/>
      <c r="AQ242" s="14"/>
      <c r="AR242" s="14"/>
    </row>
    <row r="243" spans="11:44" x14ac:dyDescent="0.3">
      <c r="K243" s="21">
        <v>239</v>
      </c>
      <c r="L243" s="24" t="s">
        <v>22</v>
      </c>
      <c r="M243" s="24" t="s">
        <v>22</v>
      </c>
      <c r="N243" s="24" t="s">
        <v>22</v>
      </c>
      <c r="O243" s="24" t="s">
        <v>22</v>
      </c>
      <c r="P243" s="24" t="s">
        <v>22</v>
      </c>
      <c r="Q243" s="24" t="s">
        <v>22</v>
      </c>
      <c r="R243" s="24" t="s">
        <v>22</v>
      </c>
      <c r="T243" s="8"/>
      <c r="U243" s="8"/>
      <c r="V243" s="8"/>
      <c r="W243" s="8"/>
      <c r="X243" s="8"/>
      <c r="Y243" s="8"/>
      <c r="Z243" s="8"/>
      <c r="AB243" s="7" t="s">
        <v>22</v>
      </c>
      <c r="AC243" s="7" t="s">
        <v>22</v>
      </c>
      <c r="AD243" s="7" t="s">
        <v>22</v>
      </c>
      <c r="AE243" s="7" t="s">
        <v>22</v>
      </c>
      <c r="AF243" s="7" t="s">
        <v>22</v>
      </c>
      <c r="AG243" s="7" t="s">
        <v>22</v>
      </c>
      <c r="AH243" s="7" t="s">
        <v>22</v>
      </c>
      <c r="AN243" s="14"/>
      <c r="AO243" s="14"/>
      <c r="AP243" s="14"/>
      <c r="AQ243" s="14"/>
      <c r="AR243" s="14"/>
    </row>
    <row r="244" spans="11:44" x14ac:dyDescent="0.3">
      <c r="K244" s="22">
        <v>240</v>
      </c>
      <c r="L244" s="24" t="s">
        <v>22</v>
      </c>
      <c r="M244" s="24" t="s">
        <v>22</v>
      </c>
      <c r="N244" s="24" t="s">
        <v>22</v>
      </c>
      <c r="O244" s="24" t="s">
        <v>22</v>
      </c>
      <c r="P244" s="24" t="s">
        <v>22</v>
      </c>
      <c r="Q244" s="24" t="s">
        <v>22</v>
      </c>
      <c r="R244" s="24" t="s">
        <v>22</v>
      </c>
      <c r="T244" s="8"/>
      <c r="U244" s="8"/>
      <c r="V244" s="8"/>
      <c r="W244" s="8"/>
      <c r="X244" s="8"/>
      <c r="Y244" s="8"/>
      <c r="Z244" s="8"/>
      <c r="AB244" s="7" t="s">
        <v>22</v>
      </c>
      <c r="AC244" s="7" t="s">
        <v>22</v>
      </c>
      <c r="AD244" s="7" t="s">
        <v>22</v>
      </c>
      <c r="AE244" s="7" t="s">
        <v>22</v>
      </c>
      <c r="AF244" s="7" t="s">
        <v>22</v>
      </c>
      <c r="AG244" s="7" t="s">
        <v>22</v>
      </c>
      <c r="AH244" s="7" t="s">
        <v>22</v>
      </c>
      <c r="AN244" s="14"/>
      <c r="AO244" s="14"/>
      <c r="AP244" s="14"/>
      <c r="AQ244" s="14"/>
      <c r="AR244" s="14"/>
    </row>
    <row r="245" spans="11:44" x14ac:dyDescent="0.3">
      <c r="K245" s="21">
        <v>241</v>
      </c>
      <c r="L245" s="24" t="s">
        <v>22</v>
      </c>
      <c r="M245" s="24" t="s">
        <v>22</v>
      </c>
      <c r="N245" s="24" t="s">
        <v>22</v>
      </c>
      <c r="O245" s="24" t="s">
        <v>22</v>
      </c>
      <c r="P245" s="24" t="s">
        <v>22</v>
      </c>
      <c r="Q245" s="24" t="s">
        <v>22</v>
      </c>
      <c r="R245" s="24" t="s">
        <v>22</v>
      </c>
      <c r="T245" s="8"/>
      <c r="U245" s="8"/>
      <c r="V245" s="8"/>
      <c r="W245" s="8"/>
      <c r="X245" s="8"/>
      <c r="Y245" s="8"/>
      <c r="Z245" s="8"/>
      <c r="AB245" s="7" t="s">
        <v>22</v>
      </c>
      <c r="AC245" s="7" t="s">
        <v>22</v>
      </c>
      <c r="AD245" s="7" t="s">
        <v>22</v>
      </c>
      <c r="AE245" s="7" t="s">
        <v>22</v>
      </c>
      <c r="AF245" s="7" t="s">
        <v>22</v>
      </c>
      <c r="AG245" s="7" t="s">
        <v>22</v>
      </c>
      <c r="AH245" s="7" t="s">
        <v>22</v>
      </c>
      <c r="AN245" s="14"/>
      <c r="AO245" s="14"/>
      <c r="AP245" s="14"/>
      <c r="AQ245" s="14"/>
      <c r="AR245" s="14"/>
    </row>
    <row r="246" spans="11:44" x14ac:dyDescent="0.3">
      <c r="K246" s="22">
        <v>242</v>
      </c>
      <c r="L246" s="24" t="s">
        <v>22</v>
      </c>
      <c r="M246" s="24" t="s">
        <v>22</v>
      </c>
      <c r="N246" s="24" t="s">
        <v>22</v>
      </c>
      <c r="O246" s="24" t="s">
        <v>22</v>
      </c>
      <c r="P246" s="24" t="s">
        <v>22</v>
      </c>
      <c r="Q246" s="24" t="s">
        <v>22</v>
      </c>
      <c r="R246" s="24" t="s">
        <v>22</v>
      </c>
      <c r="T246" s="8"/>
      <c r="U246" s="8"/>
      <c r="V246" s="8"/>
      <c r="W246" s="8"/>
      <c r="X246" s="8"/>
      <c r="Y246" s="8"/>
      <c r="Z246" s="8"/>
      <c r="AB246" s="7" t="s">
        <v>22</v>
      </c>
      <c r="AC246" s="7" t="s">
        <v>22</v>
      </c>
      <c r="AD246" s="7" t="s">
        <v>22</v>
      </c>
      <c r="AE246" s="7" t="s">
        <v>22</v>
      </c>
      <c r="AF246" s="7" t="s">
        <v>22</v>
      </c>
      <c r="AG246" s="7" t="s">
        <v>22</v>
      </c>
      <c r="AH246" s="7" t="s">
        <v>22</v>
      </c>
      <c r="AN246" s="14"/>
      <c r="AO246" s="14"/>
      <c r="AP246" s="14"/>
      <c r="AQ246" s="14"/>
      <c r="AR246" s="14"/>
    </row>
    <row r="247" spans="11:44" x14ac:dyDescent="0.3">
      <c r="K247" s="21">
        <v>243</v>
      </c>
      <c r="L247" s="24" t="s">
        <v>22</v>
      </c>
      <c r="M247" s="24" t="s">
        <v>22</v>
      </c>
      <c r="N247" s="24" t="s">
        <v>22</v>
      </c>
      <c r="O247" s="24" t="s">
        <v>22</v>
      </c>
      <c r="P247" s="24" t="s">
        <v>22</v>
      </c>
      <c r="Q247" s="24" t="s">
        <v>22</v>
      </c>
      <c r="R247" s="24" t="s">
        <v>22</v>
      </c>
      <c r="T247" s="8"/>
      <c r="U247" s="8"/>
      <c r="V247" s="8"/>
      <c r="W247" s="8"/>
      <c r="X247" s="8"/>
      <c r="Y247" s="8"/>
      <c r="Z247" s="8"/>
      <c r="AB247" s="7" t="s">
        <v>22</v>
      </c>
      <c r="AC247" s="7" t="s">
        <v>22</v>
      </c>
      <c r="AD247" s="7" t="s">
        <v>22</v>
      </c>
      <c r="AE247" s="7" t="s">
        <v>22</v>
      </c>
      <c r="AF247" s="7" t="s">
        <v>22</v>
      </c>
      <c r="AG247" s="7" t="s">
        <v>22</v>
      </c>
      <c r="AH247" s="7" t="s">
        <v>22</v>
      </c>
      <c r="AN247" s="14"/>
      <c r="AO247" s="14"/>
      <c r="AP247" s="14"/>
      <c r="AQ247" s="14"/>
      <c r="AR247" s="14"/>
    </row>
    <row r="248" spans="11:44" x14ac:dyDescent="0.3">
      <c r="K248" s="22">
        <v>244</v>
      </c>
      <c r="L248" s="24" t="s">
        <v>22</v>
      </c>
      <c r="M248" s="24" t="s">
        <v>22</v>
      </c>
      <c r="N248" s="24" t="s">
        <v>22</v>
      </c>
      <c r="O248" s="24" t="s">
        <v>22</v>
      </c>
      <c r="P248" s="24" t="s">
        <v>22</v>
      </c>
      <c r="Q248" s="24" t="s">
        <v>22</v>
      </c>
      <c r="R248" s="24" t="s">
        <v>22</v>
      </c>
      <c r="T248" s="8"/>
      <c r="U248" s="8"/>
      <c r="V248" s="8"/>
      <c r="W248" s="8"/>
      <c r="X248" s="8"/>
      <c r="Y248" s="8"/>
      <c r="Z248" s="8"/>
      <c r="AB248" s="7" t="s">
        <v>22</v>
      </c>
      <c r="AC248" s="7" t="s">
        <v>22</v>
      </c>
      <c r="AD248" s="7" t="s">
        <v>22</v>
      </c>
      <c r="AE248" s="7" t="s">
        <v>22</v>
      </c>
      <c r="AF248" s="7" t="s">
        <v>22</v>
      </c>
      <c r="AG248" s="7" t="s">
        <v>22</v>
      </c>
      <c r="AH248" s="7" t="s">
        <v>22</v>
      </c>
      <c r="AN248" s="14"/>
      <c r="AO248" s="14"/>
      <c r="AP248" s="14"/>
      <c r="AQ248" s="14"/>
      <c r="AR248" s="14"/>
    </row>
    <row r="249" spans="11:44" x14ac:dyDescent="0.3">
      <c r="K249" s="21">
        <v>245</v>
      </c>
      <c r="L249" s="24" t="s">
        <v>22</v>
      </c>
      <c r="M249" s="24" t="s">
        <v>22</v>
      </c>
      <c r="N249" s="24" t="s">
        <v>22</v>
      </c>
      <c r="O249" s="24" t="s">
        <v>22</v>
      </c>
      <c r="P249" s="24" t="s">
        <v>22</v>
      </c>
      <c r="Q249" s="24" t="s">
        <v>22</v>
      </c>
      <c r="R249" s="24" t="s">
        <v>22</v>
      </c>
      <c r="T249" s="8"/>
      <c r="U249" s="8"/>
      <c r="V249" s="8"/>
      <c r="W249" s="8"/>
      <c r="X249" s="8"/>
      <c r="Y249" s="8"/>
      <c r="Z249" s="8"/>
      <c r="AB249" s="7" t="s">
        <v>22</v>
      </c>
      <c r="AC249" s="7" t="s">
        <v>22</v>
      </c>
      <c r="AD249" s="7" t="s">
        <v>22</v>
      </c>
      <c r="AE249" s="7" t="s">
        <v>22</v>
      </c>
      <c r="AF249" s="7" t="s">
        <v>22</v>
      </c>
      <c r="AG249" s="7" t="s">
        <v>22</v>
      </c>
      <c r="AH249" s="7" t="s">
        <v>22</v>
      </c>
      <c r="AN249" s="14"/>
      <c r="AO249" s="14"/>
      <c r="AP249" s="14"/>
      <c r="AQ249" s="14"/>
      <c r="AR249" s="14"/>
    </row>
    <row r="250" spans="11:44" x14ac:dyDescent="0.3">
      <c r="K250" s="22">
        <v>246</v>
      </c>
      <c r="L250" s="24" t="s">
        <v>22</v>
      </c>
      <c r="M250" s="24" t="s">
        <v>22</v>
      </c>
      <c r="N250" s="24" t="s">
        <v>22</v>
      </c>
      <c r="O250" s="24" t="s">
        <v>22</v>
      </c>
      <c r="P250" s="24" t="s">
        <v>22</v>
      </c>
      <c r="Q250" s="24" t="s">
        <v>22</v>
      </c>
      <c r="R250" s="24" t="s">
        <v>22</v>
      </c>
      <c r="T250" s="8"/>
      <c r="U250" s="8"/>
      <c r="V250" s="8"/>
      <c r="W250" s="8"/>
      <c r="X250" s="8"/>
      <c r="Y250" s="8"/>
      <c r="Z250" s="8"/>
      <c r="AB250" s="7" t="s">
        <v>22</v>
      </c>
      <c r="AC250" s="7" t="s">
        <v>22</v>
      </c>
      <c r="AD250" s="7" t="s">
        <v>22</v>
      </c>
      <c r="AE250" s="7" t="s">
        <v>22</v>
      </c>
      <c r="AF250" s="7" t="s">
        <v>22</v>
      </c>
      <c r="AG250" s="7" t="s">
        <v>22</v>
      </c>
      <c r="AH250" s="7" t="s">
        <v>22</v>
      </c>
      <c r="AN250" s="14"/>
      <c r="AO250" s="14"/>
      <c r="AP250" s="14"/>
      <c r="AQ250" s="14"/>
      <c r="AR250" s="14"/>
    </row>
    <row r="251" spans="11:44" x14ac:dyDescent="0.3">
      <c r="K251" s="21">
        <v>247</v>
      </c>
      <c r="L251" s="24" t="s">
        <v>22</v>
      </c>
      <c r="M251" s="24" t="s">
        <v>22</v>
      </c>
      <c r="N251" s="24" t="s">
        <v>22</v>
      </c>
      <c r="O251" s="24" t="s">
        <v>22</v>
      </c>
      <c r="P251" s="24" t="s">
        <v>22</v>
      </c>
      <c r="Q251" s="24" t="s">
        <v>22</v>
      </c>
      <c r="R251" s="24" t="s">
        <v>22</v>
      </c>
      <c r="T251" s="8"/>
      <c r="U251" s="8"/>
      <c r="V251" s="8"/>
      <c r="W251" s="8"/>
      <c r="X251" s="8"/>
      <c r="Y251" s="8"/>
      <c r="Z251" s="8"/>
      <c r="AB251" s="7" t="s">
        <v>22</v>
      </c>
      <c r="AC251" s="7" t="s">
        <v>22</v>
      </c>
      <c r="AD251" s="7" t="s">
        <v>22</v>
      </c>
      <c r="AE251" s="7" t="s">
        <v>22</v>
      </c>
      <c r="AF251" s="7" t="s">
        <v>22</v>
      </c>
      <c r="AG251" s="7" t="s">
        <v>22</v>
      </c>
      <c r="AH251" s="7" t="s">
        <v>22</v>
      </c>
      <c r="AN251" s="14"/>
      <c r="AO251" s="14"/>
      <c r="AP251" s="14"/>
      <c r="AQ251" s="14"/>
      <c r="AR251" s="14"/>
    </row>
    <row r="252" spans="11:44" x14ac:dyDescent="0.3">
      <c r="K252" s="22">
        <v>248</v>
      </c>
      <c r="L252" s="24" t="s">
        <v>22</v>
      </c>
      <c r="M252" s="24" t="s">
        <v>22</v>
      </c>
      <c r="N252" s="24" t="s">
        <v>22</v>
      </c>
      <c r="O252" s="24" t="s">
        <v>22</v>
      </c>
      <c r="P252" s="24" t="s">
        <v>22</v>
      </c>
      <c r="Q252" s="24" t="s">
        <v>22</v>
      </c>
      <c r="R252" s="24" t="s">
        <v>22</v>
      </c>
      <c r="T252" s="8"/>
      <c r="U252" s="8"/>
      <c r="V252" s="8"/>
      <c r="W252" s="8"/>
      <c r="X252" s="8"/>
      <c r="Y252" s="8"/>
      <c r="Z252" s="8"/>
      <c r="AB252" s="7" t="s">
        <v>22</v>
      </c>
      <c r="AC252" s="7" t="s">
        <v>22</v>
      </c>
      <c r="AD252" s="7" t="s">
        <v>22</v>
      </c>
      <c r="AE252" s="7" t="s">
        <v>22</v>
      </c>
      <c r="AF252" s="7" t="s">
        <v>22</v>
      </c>
      <c r="AG252" s="7" t="s">
        <v>22</v>
      </c>
      <c r="AH252" s="7" t="s">
        <v>22</v>
      </c>
      <c r="AN252" s="14"/>
      <c r="AO252" s="14"/>
      <c r="AP252" s="14"/>
      <c r="AQ252" s="14"/>
      <c r="AR252" s="14"/>
    </row>
    <row r="253" spans="11:44" x14ac:dyDescent="0.3">
      <c r="K253" s="21">
        <v>249</v>
      </c>
      <c r="L253" s="24" t="s">
        <v>22</v>
      </c>
      <c r="M253" s="24" t="s">
        <v>22</v>
      </c>
      <c r="N253" s="24" t="s">
        <v>22</v>
      </c>
      <c r="O253" s="24" t="s">
        <v>22</v>
      </c>
      <c r="P253" s="24" t="s">
        <v>22</v>
      </c>
      <c r="Q253" s="24" t="s">
        <v>22</v>
      </c>
      <c r="R253" s="24" t="s">
        <v>22</v>
      </c>
      <c r="T253" s="8"/>
      <c r="U253" s="8"/>
      <c r="V253" s="8"/>
      <c r="W253" s="8"/>
      <c r="X253" s="8"/>
      <c r="Y253" s="8"/>
      <c r="Z253" s="8"/>
      <c r="AB253" s="7" t="s">
        <v>22</v>
      </c>
      <c r="AC253" s="7" t="s">
        <v>22</v>
      </c>
      <c r="AD253" s="7" t="s">
        <v>22</v>
      </c>
      <c r="AE253" s="7" t="s">
        <v>22</v>
      </c>
      <c r="AF253" s="7" t="s">
        <v>22</v>
      </c>
      <c r="AG253" s="7" t="s">
        <v>22</v>
      </c>
      <c r="AH253" s="7" t="s">
        <v>22</v>
      </c>
      <c r="AN253" s="14"/>
      <c r="AO253" s="14"/>
      <c r="AP253" s="14"/>
      <c r="AQ253" s="14"/>
      <c r="AR253" s="14"/>
    </row>
    <row r="254" spans="11:44" x14ac:dyDescent="0.3">
      <c r="K254" s="22">
        <v>250</v>
      </c>
      <c r="L254" s="24" t="s">
        <v>22</v>
      </c>
      <c r="M254" s="24" t="s">
        <v>22</v>
      </c>
      <c r="N254" s="24" t="s">
        <v>22</v>
      </c>
      <c r="O254" s="24" t="s">
        <v>22</v>
      </c>
      <c r="P254" s="24" t="s">
        <v>22</v>
      </c>
      <c r="Q254" s="24" t="s">
        <v>22</v>
      </c>
      <c r="R254" s="24" t="s">
        <v>22</v>
      </c>
      <c r="T254" s="8"/>
      <c r="U254" s="8"/>
      <c r="V254" s="8"/>
      <c r="W254" s="8"/>
      <c r="X254" s="8"/>
      <c r="Y254" s="8"/>
      <c r="Z254" s="8"/>
      <c r="AB254" s="7" t="s">
        <v>22</v>
      </c>
      <c r="AC254" s="7" t="s">
        <v>22</v>
      </c>
      <c r="AD254" s="7" t="s">
        <v>22</v>
      </c>
      <c r="AE254" s="7" t="s">
        <v>22</v>
      </c>
      <c r="AF254" s="7" t="s">
        <v>22</v>
      </c>
      <c r="AG254" s="7" t="s">
        <v>22</v>
      </c>
      <c r="AH254" s="7" t="s">
        <v>22</v>
      </c>
      <c r="AN254" s="14"/>
      <c r="AO254" s="14"/>
      <c r="AP254" s="14"/>
      <c r="AQ254" s="14"/>
      <c r="AR254" s="14"/>
    </row>
    <row r="255" spans="11:44" x14ac:dyDescent="0.3">
      <c r="K255" s="21">
        <v>251</v>
      </c>
      <c r="L255" s="24" t="s">
        <v>22</v>
      </c>
      <c r="M255" s="24" t="s">
        <v>22</v>
      </c>
      <c r="N255" s="24" t="s">
        <v>22</v>
      </c>
      <c r="O255" s="24" t="s">
        <v>22</v>
      </c>
      <c r="P255" s="24" t="s">
        <v>22</v>
      </c>
      <c r="Q255" s="24" t="s">
        <v>22</v>
      </c>
      <c r="R255" s="24" t="s">
        <v>22</v>
      </c>
      <c r="T255" s="8"/>
      <c r="U255" s="8"/>
      <c r="V255" s="8"/>
      <c r="W255" s="8"/>
      <c r="X255" s="8"/>
      <c r="Y255" s="8"/>
      <c r="Z255" s="8"/>
      <c r="AB255" s="7" t="s">
        <v>22</v>
      </c>
      <c r="AC255" s="7" t="s">
        <v>22</v>
      </c>
      <c r="AD255" s="7" t="s">
        <v>22</v>
      </c>
      <c r="AE255" s="7" t="s">
        <v>22</v>
      </c>
      <c r="AF255" s="7" t="s">
        <v>22</v>
      </c>
      <c r="AG255" s="7" t="s">
        <v>22</v>
      </c>
      <c r="AH255" s="7" t="s">
        <v>22</v>
      </c>
      <c r="AN255" s="14"/>
      <c r="AO255" s="14"/>
      <c r="AP255" s="14"/>
      <c r="AQ255" s="14"/>
      <c r="AR255" s="14"/>
    </row>
    <row r="256" spans="11:44" x14ac:dyDescent="0.3">
      <c r="K256" s="22">
        <v>252</v>
      </c>
      <c r="L256" s="24" t="s">
        <v>22</v>
      </c>
      <c r="M256" s="24" t="s">
        <v>22</v>
      </c>
      <c r="N256" s="24" t="s">
        <v>22</v>
      </c>
      <c r="O256" s="24" t="s">
        <v>22</v>
      </c>
      <c r="P256" s="24" t="s">
        <v>22</v>
      </c>
      <c r="Q256" s="24" t="s">
        <v>22</v>
      </c>
      <c r="R256" s="24" t="s">
        <v>22</v>
      </c>
      <c r="T256" s="8"/>
      <c r="U256" s="8"/>
      <c r="V256" s="8"/>
      <c r="W256" s="8"/>
      <c r="X256" s="8"/>
      <c r="Y256" s="8"/>
      <c r="Z256" s="8"/>
      <c r="AB256" s="7" t="s">
        <v>22</v>
      </c>
      <c r="AC256" s="7" t="s">
        <v>22</v>
      </c>
      <c r="AD256" s="7" t="s">
        <v>22</v>
      </c>
      <c r="AE256" s="7" t="s">
        <v>22</v>
      </c>
      <c r="AF256" s="7" t="s">
        <v>22</v>
      </c>
      <c r="AG256" s="7" t="s">
        <v>22</v>
      </c>
      <c r="AH256" s="7" t="s">
        <v>22</v>
      </c>
      <c r="AN256" s="14"/>
      <c r="AO256" s="14"/>
      <c r="AP256" s="14"/>
      <c r="AQ256" s="14"/>
      <c r="AR256" s="14"/>
    </row>
    <row r="257" spans="11:44" x14ac:dyDescent="0.3">
      <c r="K257" s="21">
        <v>253</v>
      </c>
      <c r="L257" s="24" t="s">
        <v>22</v>
      </c>
      <c r="M257" s="24" t="s">
        <v>22</v>
      </c>
      <c r="N257" s="24" t="s">
        <v>22</v>
      </c>
      <c r="O257" s="24" t="s">
        <v>22</v>
      </c>
      <c r="P257" s="24" t="s">
        <v>22</v>
      </c>
      <c r="Q257" s="24" t="s">
        <v>22</v>
      </c>
      <c r="R257" s="24" t="s">
        <v>22</v>
      </c>
      <c r="T257" s="8"/>
      <c r="U257" s="8"/>
      <c r="V257" s="8"/>
      <c r="W257" s="8"/>
      <c r="X257" s="8"/>
      <c r="Y257" s="8"/>
      <c r="Z257" s="8"/>
      <c r="AB257" s="7" t="s">
        <v>22</v>
      </c>
      <c r="AC257" s="7" t="s">
        <v>22</v>
      </c>
      <c r="AD257" s="7" t="s">
        <v>22</v>
      </c>
      <c r="AE257" s="7" t="s">
        <v>22</v>
      </c>
      <c r="AF257" s="7" t="s">
        <v>22</v>
      </c>
      <c r="AG257" s="7" t="s">
        <v>22</v>
      </c>
      <c r="AH257" s="7" t="s">
        <v>22</v>
      </c>
      <c r="AN257" s="14"/>
      <c r="AO257" s="14"/>
      <c r="AP257" s="14"/>
      <c r="AQ257" s="14"/>
      <c r="AR257" s="14"/>
    </row>
    <row r="258" spans="11:44" x14ac:dyDescent="0.3">
      <c r="K258" s="22">
        <v>254</v>
      </c>
      <c r="L258" s="24" t="s">
        <v>22</v>
      </c>
      <c r="M258" s="24" t="s">
        <v>22</v>
      </c>
      <c r="N258" s="24" t="s">
        <v>22</v>
      </c>
      <c r="O258" s="24" t="s">
        <v>22</v>
      </c>
      <c r="P258" s="24" t="s">
        <v>22</v>
      </c>
      <c r="Q258" s="24" t="s">
        <v>22</v>
      </c>
      <c r="R258" s="24" t="s">
        <v>22</v>
      </c>
      <c r="T258" s="8"/>
      <c r="U258" s="8"/>
      <c r="V258" s="8"/>
      <c r="W258" s="8"/>
      <c r="X258" s="8"/>
      <c r="Y258" s="8"/>
      <c r="Z258" s="8"/>
      <c r="AB258" s="7" t="s">
        <v>22</v>
      </c>
      <c r="AC258" s="7" t="s">
        <v>22</v>
      </c>
      <c r="AD258" s="7" t="s">
        <v>22</v>
      </c>
      <c r="AE258" s="7" t="s">
        <v>22</v>
      </c>
      <c r="AF258" s="7" t="s">
        <v>22</v>
      </c>
      <c r="AG258" s="7" t="s">
        <v>22</v>
      </c>
      <c r="AH258" s="7" t="s">
        <v>22</v>
      </c>
      <c r="AN258" s="14"/>
      <c r="AO258" s="14"/>
      <c r="AP258" s="14"/>
      <c r="AQ258" s="14"/>
      <c r="AR258" s="14"/>
    </row>
    <row r="259" spans="11:44" x14ac:dyDescent="0.3">
      <c r="K259" s="21">
        <v>255</v>
      </c>
      <c r="L259" s="24" t="s">
        <v>22</v>
      </c>
      <c r="M259" s="24" t="s">
        <v>22</v>
      </c>
      <c r="N259" s="24" t="s">
        <v>22</v>
      </c>
      <c r="O259" s="24" t="s">
        <v>22</v>
      </c>
      <c r="P259" s="24" t="s">
        <v>22</v>
      </c>
      <c r="Q259" s="24" t="s">
        <v>22</v>
      </c>
      <c r="R259" s="24" t="s">
        <v>22</v>
      </c>
      <c r="T259" s="8"/>
      <c r="U259" s="8"/>
      <c r="V259" s="8"/>
      <c r="W259" s="8"/>
      <c r="X259" s="8"/>
      <c r="Y259" s="8"/>
      <c r="Z259" s="8"/>
      <c r="AB259" s="7" t="s">
        <v>22</v>
      </c>
      <c r="AC259" s="7" t="s">
        <v>22</v>
      </c>
      <c r="AD259" s="7" t="s">
        <v>22</v>
      </c>
      <c r="AE259" s="7" t="s">
        <v>22</v>
      </c>
      <c r="AF259" s="7" t="s">
        <v>22</v>
      </c>
      <c r="AG259" s="7" t="s">
        <v>22</v>
      </c>
      <c r="AH259" s="7" t="s">
        <v>22</v>
      </c>
      <c r="AN259" s="14"/>
      <c r="AO259" s="14"/>
      <c r="AP259" s="14"/>
      <c r="AQ259" s="14"/>
      <c r="AR259" s="14"/>
    </row>
    <row r="260" spans="11:44" x14ac:dyDescent="0.3">
      <c r="K260" s="22">
        <v>256</v>
      </c>
      <c r="L260" s="24" t="s">
        <v>22</v>
      </c>
      <c r="M260" s="24" t="s">
        <v>22</v>
      </c>
      <c r="N260" s="24" t="s">
        <v>22</v>
      </c>
      <c r="O260" s="24" t="s">
        <v>22</v>
      </c>
      <c r="P260" s="24" t="s">
        <v>22</v>
      </c>
      <c r="Q260" s="24" t="s">
        <v>22</v>
      </c>
      <c r="R260" s="24" t="s">
        <v>22</v>
      </c>
      <c r="T260" s="8"/>
      <c r="U260" s="8"/>
      <c r="V260" s="8"/>
      <c r="W260" s="8"/>
      <c r="X260" s="8"/>
      <c r="Y260" s="8"/>
      <c r="Z260" s="8"/>
      <c r="AB260" s="7" t="s">
        <v>22</v>
      </c>
      <c r="AC260" s="7" t="s">
        <v>22</v>
      </c>
      <c r="AD260" s="7" t="s">
        <v>22</v>
      </c>
      <c r="AE260" s="7" t="s">
        <v>22</v>
      </c>
      <c r="AF260" s="7" t="s">
        <v>22</v>
      </c>
      <c r="AG260" s="7" t="s">
        <v>22</v>
      </c>
      <c r="AH260" s="7" t="s">
        <v>22</v>
      </c>
      <c r="AN260" s="14"/>
      <c r="AO260" s="14"/>
      <c r="AP260" s="14"/>
      <c r="AQ260" s="14"/>
      <c r="AR260" s="14"/>
    </row>
    <row r="261" spans="11:44" x14ac:dyDescent="0.3">
      <c r="K261" s="21">
        <v>257</v>
      </c>
      <c r="L261" s="24" t="s">
        <v>22</v>
      </c>
      <c r="M261" s="24" t="s">
        <v>22</v>
      </c>
      <c r="N261" s="24" t="s">
        <v>22</v>
      </c>
      <c r="O261" s="24" t="s">
        <v>22</v>
      </c>
      <c r="P261" s="24" t="s">
        <v>22</v>
      </c>
      <c r="Q261" s="24" t="s">
        <v>22</v>
      </c>
      <c r="R261" s="24" t="s">
        <v>22</v>
      </c>
      <c r="T261" s="8"/>
      <c r="U261" s="8"/>
      <c r="V261" s="8"/>
      <c r="W261" s="8"/>
      <c r="X261" s="8"/>
      <c r="Y261" s="8"/>
      <c r="Z261" s="8"/>
      <c r="AB261" s="7" t="s">
        <v>22</v>
      </c>
      <c r="AC261" s="7" t="s">
        <v>22</v>
      </c>
      <c r="AD261" s="7" t="s">
        <v>22</v>
      </c>
      <c r="AE261" s="7" t="s">
        <v>22</v>
      </c>
      <c r="AF261" s="7" t="s">
        <v>22</v>
      </c>
      <c r="AG261" s="7" t="s">
        <v>22</v>
      </c>
      <c r="AH261" s="7" t="s">
        <v>22</v>
      </c>
      <c r="AN261" s="14"/>
      <c r="AO261" s="14"/>
      <c r="AP261" s="14"/>
      <c r="AQ261" s="14"/>
      <c r="AR261" s="14"/>
    </row>
    <row r="262" spans="11:44" x14ac:dyDescent="0.3">
      <c r="K262" s="22">
        <v>258</v>
      </c>
      <c r="L262" s="24" t="s">
        <v>22</v>
      </c>
      <c r="M262" s="24" t="s">
        <v>22</v>
      </c>
      <c r="N262" s="24" t="s">
        <v>22</v>
      </c>
      <c r="O262" s="24" t="s">
        <v>22</v>
      </c>
      <c r="P262" s="24" t="s">
        <v>22</v>
      </c>
      <c r="Q262" s="24" t="s">
        <v>22</v>
      </c>
      <c r="R262" s="24" t="s">
        <v>22</v>
      </c>
      <c r="T262" s="8"/>
      <c r="U262" s="8"/>
      <c r="V262" s="8"/>
      <c r="W262" s="8"/>
      <c r="X262" s="8"/>
      <c r="Y262" s="8"/>
      <c r="Z262" s="8"/>
      <c r="AB262" s="7" t="s">
        <v>22</v>
      </c>
      <c r="AC262" s="7" t="s">
        <v>22</v>
      </c>
      <c r="AD262" s="7" t="s">
        <v>22</v>
      </c>
      <c r="AE262" s="7" t="s">
        <v>22</v>
      </c>
      <c r="AF262" s="7" t="s">
        <v>22</v>
      </c>
      <c r="AG262" s="7" t="s">
        <v>22</v>
      </c>
      <c r="AH262" s="7" t="s">
        <v>22</v>
      </c>
      <c r="AN262" s="14"/>
      <c r="AO262" s="14"/>
      <c r="AP262" s="14"/>
      <c r="AQ262" s="14"/>
      <c r="AR262" s="14"/>
    </row>
    <row r="263" spans="11:44" x14ac:dyDescent="0.3">
      <c r="K263" s="21">
        <v>259</v>
      </c>
      <c r="L263" s="24" t="s">
        <v>22</v>
      </c>
      <c r="M263" s="24" t="s">
        <v>22</v>
      </c>
      <c r="N263" s="24" t="s">
        <v>22</v>
      </c>
      <c r="O263" s="24" t="s">
        <v>22</v>
      </c>
      <c r="P263" s="24" t="s">
        <v>22</v>
      </c>
      <c r="Q263" s="24" t="s">
        <v>22</v>
      </c>
      <c r="R263" s="24" t="s">
        <v>22</v>
      </c>
      <c r="T263" s="8"/>
      <c r="U263" s="8"/>
      <c r="V263" s="8"/>
      <c r="W263" s="8"/>
      <c r="X263" s="8"/>
      <c r="Y263" s="8"/>
      <c r="Z263" s="8"/>
      <c r="AB263" s="7" t="s">
        <v>22</v>
      </c>
      <c r="AC263" s="7" t="s">
        <v>22</v>
      </c>
      <c r="AD263" s="7" t="s">
        <v>22</v>
      </c>
      <c r="AE263" s="7" t="s">
        <v>22</v>
      </c>
      <c r="AF263" s="7" t="s">
        <v>22</v>
      </c>
      <c r="AG263" s="7" t="s">
        <v>22</v>
      </c>
      <c r="AH263" s="7" t="s">
        <v>22</v>
      </c>
      <c r="AN263" s="14"/>
      <c r="AO263" s="14"/>
      <c r="AP263" s="14"/>
      <c r="AQ263" s="14"/>
      <c r="AR263" s="14"/>
    </row>
    <row r="264" spans="11:44" x14ac:dyDescent="0.3">
      <c r="K264" s="22">
        <v>260</v>
      </c>
      <c r="L264" s="24" t="s">
        <v>22</v>
      </c>
      <c r="M264" s="24" t="s">
        <v>22</v>
      </c>
      <c r="N264" s="24" t="s">
        <v>22</v>
      </c>
      <c r="O264" s="24" t="s">
        <v>22</v>
      </c>
      <c r="P264" s="24" t="s">
        <v>22</v>
      </c>
      <c r="Q264" s="24" t="s">
        <v>22</v>
      </c>
      <c r="R264" s="24" t="s">
        <v>22</v>
      </c>
      <c r="T264" s="8"/>
      <c r="U264" s="8"/>
      <c r="V264" s="8"/>
      <c r="W264" s="8"/>
      <c r="X264" s="8"/>
      <c r="Y264" s="8"/>
      <c r="Z264" s="8"/>
      <c r="AB264" s="7" t="s">
        <v>22</v>
      </c>
      <c r="AC264" s="7" t="s">
        <v>22</v>
      </c>
      <c r="AD264" s="7" t="s">
        <v>22</v>
      </c>
      <c r="AE264" s="7" t="s">
        <v>22</v>
      </c>
      <c r="AF264" s="7" t="s">
        <v>22</v>
      </c>
      <c r="AG264" s="7" t="s">
        <v>22</v>
      </c>
      <c r="AH264" s="7" t="s">
        <v>22</v>
      </c>
      <c r="AN264" s="14"/>
      <c r="AO264" s="14"/>
      <c r="AP264" s="14"/>
      <c r="AQ264" s="14"/>
      <c r="AR264" s="14"/>
    </row>
    <row r="265" spans="11:44" x14ac:dyDescent="0.3">
      <c r="K265" s="21">
        <v>261</v>
      </c>
      <c r="L265" s="24" t="s">
        <v>22</v>
      </c>
      <c r="M265" s="24" t="s">
        <v>22</v>
      </c>
      <c r="N265" s="24" t="s">
        <v>22</v>
      </c>
      <c r="O265" s="24" t="s">
        <v>22</v>
      </c>
      <c r="P265" s="24" t="s">
        <v>22</v>
      </c>
      <c r="Q265" s="24" t="s">
        <v>22</v>
      </c>
      <c r="R265" s="24" t="s">
        <v>22</v>
      </c>
      <c r="T265" s="8"/>
      <c r="U265" s="8"/>
      <c r="V265" s="8"/>
      <c r="W265" s="8"/>
      <c r="X265" s="8"/>
      <c r="Y265" s="8"/>
      <c r="Z265" s="8"/>
      <c r="AB265" s="7" t="s">
        <v>22</v>
      </c>
      <c r="AC265" s="7" t="s">
        <v>22</v>
      </c>
      <c r="AD265" s="7" t="s">
        <v>22</v>
      </c>
      <c r="AE265" s="7" t="s">
        <v>22</v>
      </c>
      <c r="AF265" s="7" t="s">
        <v>22</v>
      </c>
      <c r="AG265" s="7" t="s">
        <v>22</v>
      </c>
      <c r="AH265" s="7" t="s">
        <v>22</v>
      </c>
      <c r="AN265" s="14"/>
      <c r="AO265" s="14"/>
      <c r="AP265" s="14"/>
      <c r="AQ265" s="14"/>
      <c r="AR265" s="14"/>
    </row>
    <row r="266" spans="11:44" x14ac:dyDescent="0.3">
      <c r="K266" s="22">
        <v>262</v>
      </c>
      <c r="L266" s="24" t="s">
        <v>22</v>
      </c>
      <c r="M266" s="24" t="s">
        <v>22</v>
      </c>
      <c r="N266" s="24" t="s">
        <v>22</v>
      </c>
      <c r="O266" s="24" t="s">
        <v>22</v>
      </c>
      <c r="P266" s="24" t="s">
        <v>22</v>
      </c>
      <c r="Q266" s="24" t="s">
        <v>22</v>
      </c>
      <c r="R266" s="24" t="s">
        <v>22</v>
      </c>
      <c r="T266" s="8"/>
      <c r="U266" s="8"/>
      <c r="V266" s="8"/>
      <c r="W266" s="8"/>
      <c r="X266" s="8"/>
      <c r="Y266" s="8"/>
      <c r="Z266" s="8"/>
      <c r="AB266" s="7" t="s">
        <v>22</v>
      </c>
      <c r="AC266" s="7" t="s">
        <v>22</v>
      </c>
      <c r="AD266" s="7" t="s">
        <v>22</v>
      </c>
      <c r="AE266" s="7" t="s">
        <v>22</v>
      </c>
      <c r="AF266" s="7" t="s">
        <v>22</v>
      </c>
      <c r="AG266" s="7" t="s">
        <v>22</v>
      </c>
      <c r="AH266" s="7" t="s">
        <v>22</v>
      </c>
      <c r="AN266" s="14"/>
      <c r="AO266" s="14"/>
      <c r="AP266" s="14"/>
      <c r="AQ266" s="14"/>
      <c r="AR266" s="14"/>
    </row>
    <row r="267" spans="11:44" x14ac:dyDescent="0.3">
      <c r="K267" s="21">
        <v>263</v>
      </c>
      <c r="L267" s="24" t="s">
        <v>22</v>
      </c>
      <c r="M267" s="24" t="s">
        <v>22</v>
      </c>
      <c r="N267" s="24" t="s">
        <v>22</v>
      </c>
      <c r="O267" s="24" t="s">
        <v>22</v>
      </c>
      <c r="P267" s="24" t="s">
        <v>22</v>
      </c>
      <c r="Q267" s="24" t="s">
        <v>22</v>
      </c>
      <c r="R267" s="24" t="s">
        <v>22</v>
      </c>
      <c r="T267" s="8"/>
      <c r="U267" s="8"/>
      <c r="V267" s="8"/>
      <c r="W267" s="8"/>
      <c r="X267" s="8"/>
      <c r="Y267" s="8"/>
      <c r="Z267" s="8"/>
      <c r="AB267" s="7" t="s">
        <v>22</v>
      </c>
      <c r="AC267" s="7" t="s">
        <v>22</v>
      </c>
      <c r="AD267" s="7" t="s">
        <v>22</v>
      </c>
      <c r="AE267" s="7" t="s">
        <v>22</v>
      </c>
      <c r="AF267" s="7" t="s">
        <v>22</v>
      </c>
      <c r="AG267" s="7" t="s">
        <v>22</v>
      </c>
      <c r="AH267" s="7" t="s">
        <v>22</v>
      </c>
      <c r="AN267" s="14"/>
      <c r="AO267" s="14"/>
      <c r="AP267" s="14"/>
      <c r="AQ267" s="14"/>
      <c r="AR267" s="14"/>
    </row>
    <row r="268" spans="11:44" x14ac:dyDescent="0.3">
      <c r="K268" s="22">
        <v>264</v>
      </c>
      <c r="L268" s="24" t="s">
        <v>22</v>
      </c>
      <c r="M268" s="24" t="s">
        <v>22</v>
      </c>
      <c r="N268" s="24" t="s">
        <v>22</v>
      </c>
      <c r="O268" s="24" t="s">
        <v>22</v>
      </c>
      <c r="P268" s="24" t="s">
        <v>22</v>
      </c>
      <c r="Q268" s="24" t="s">
        <v>22</v>
      </c>
      <c r="R268" s="24" t="s">
        <v>22</v>
      </c>
      <c r="T268" s="8"/>
      <c r="U268" s="8"/>
      <c r="V268" s="8"/>
      <c r="W268" s="8"/>
      <c r="X268" s="8"/>
      <c r="Y268" s="8"/>
      <c r="Z268" s="8"/>
      <c r="AB268" s="7" t="s">
        <v>22</v>
      </c>
      <c r="AC268" s="7" t="s">
        <v>22</v>
      </c>
      <c r="AD268" s="7" t="s">
        <v>22</v>
      </c>
      <c r="AE268" s="7" t="s">
        <v>22</v>
      </c>
      <c r="AF268" s="7" t="s">
        <v>22</v>
      </c>
      <c r="AG268" s="7" t="s">
        <v>22</v>
      </c>
      <c r="AH268" s="7" t="s">
        <v>22</v>
      </c>
      <c r="AN268" s="14"/>
      <c r="AO268" s="14"/>
      <c r="AP268" s="14"/>
      <c r="AQ268" s="14"/>
      <c r="AR268" s="14"/>
    </row>
    <row r="269" spans="11:44" x14ac:dyDescent="0.3">
      <c r="K269" s="21">
        <v>265</v>
      </c>
      <c r="L269" s="24" t="s">
        <v>22</v>
      </c>
      <c r="M269" s="24" t="s">
        <v>22</v>
      </c>
      <c r="N269" s="24" t="s">
        <v>22</v>
      </c>
      <c r="O269" s="24" t="s">
        <v>22</v>
      </c>
      <c r="P269" s="24" t="s">
        <v>22</v>
      </c>
      <c r="Q269" s="24" t="s">
        <v>22</v>
      </c>
      <c r="R269" s="24" t="s">
        <v>22</v>
      </c>
      <c r="T269" s="8"/>
      <c r="U269" s="8"/>
      <c r="V269" s="8"/>
      <c r="W269" s="8"/>
      <c r="X269" s="8"/>
      <c r="Y269" s="8"/>
      <c r="Z269" s="8"/>
      <c r="AB269" s="7" t="s">
        <v>22</v>
      </c>
      <c r="AC269" s="7" t="s">
        <v>22</v>
      </c>
      <c r="AD269" s="7" t="s">
        <v>22</v>
      </c>
      <c r="AE269" s="7" t="s">
        <v>22</v>
      </c>
      <c r="AF269" s="7" t="s">
        <v>22</v>
      </c>
      <c r="AG269" s="7" t="s">
        <v>22</v>
      </c>
      <c r="AH269" s="7" t="s">
        <v>22</v>
      </c>
      <c r="AN269" s="14"/>
      <c r="AO269" s="14"/>
      <c r="AP269" s="14"/>
      <c r="AQ269" s="14"/>
      <c r="AR269" s="14"/>
    </row>
    <row r="270" spans="11:44" x14ac:dyDescent="0.3">
      <c r="K270" s="22">
        <v>266</v>
      </c>
      <c r="L270" s="24" t="s">
        <v>22</v>
      </c>
      <c r="M270" s="24" t="s">
        <v>22</v>
      </c>
      <c r="N270" s="24" t="s">
        <v>22</v>
      </c>
      <c r="O270" s="24" t="s">
        <v>22</v>
      </c>
      <c r="P270" s="24" t="s">
        <v>22</v>
      </c>
      <c r="Q270" s="24" t="s">
        <v>22</v>
      </c>
      <c r="R270" s="24" t="s">
        <v>22</v>
      </c>
      <c r="T270" s="8"/>
      <c r="U270" s="8"/>
      <c r="V270" s="8"/>
      <c r="W270" s="8"/>
      <c r="X270" s="8"/>
      <c r="Y270" s="8"/>
      <c r="Z270" s="8"/>
      <c r="AB270" s="7" t="s">
        <v>22</v>
      </c>
      <c r="AC270" s="7" t="s">
        <v>22</v>
      </c>
      <c r="AD270" s="7" t="s">
        <v>22</v>
      </c>
      <c r="AE270" s="7" t="s">
        <v>22</v>
      </c>
      <c r="AF270" s="7" t="s">
        <v>22</v>
      </c>
      <c r="AG270" s="7" t="s">
        <v>22</v>
      </c>
      <c r="AH270" s="7" t="s">
        <v>22</v>
      </c>
      <c r="AN270" s="14"/>
      <c r="AO270" s="14"/>
      <c r="AP270" s="14"/>
      <c r="AQ270" s="14"/>
      <c r="AR270" s="14"/>
    </row>
    <row r="271" spans="11:44" x14ac:dyDescent="0.3">
      <c r="K271" s="21">
        <v>267</v>
      </c>
      <c r="L271" s="24" t="s">
        <v>22</v>
      </c>
      <c r="M271" s="24" t="s">
        <v>22</v>
      </c>
      <c r="N271" s="24" t="s">
        <v>22</v>
      </c>
      <c r="O271" s="24" t="s">
        <v>22</v>
      </c>
      <c r="P271" s="24" t="s">
        <v>22</v>
      </c>
      <c r="Q271" s="24" t="s">
        <v>22</v>
      </c>
      <c r="R271" s="24" t="s">
        <v>22</v>
      </c>
      <c r="T271" s="8"/>
      <c r="U271" s="8"/>
      <c r="V271" s="8"/>
      <c r="W271" s="8"/>
      <c r="X271" s="8"/>
      <c r="Y271" s="8"/>
      <c r="Z271" s="8"/>
      <c r="AB271" s="7" t="s">
        <v>22</v>
      </c>
      <c r="AC271" s="7" t="s">
        <v>22</v>
      </c>
      <c r="AD271" s="7" t="s">
        <v>22</v>
      </c>
      <c r="AE271" s="7" t="s">
        <v>22</v>
      </c>
      <c r="AF271" s="7" t="s">
        <v>22</v>
      </c>
      <c r="AG271" s="7" t="s">
        <v>22</v>
      </c>
      <c r="AH271" s="7" t="s">
        <v>22</v>
      </c>
      <c r="AN271" s="14"/>
      <c r="AO271" s="14"/>
      <c r="AP271" s="14"/>
      <c r="AQ271" s="14"/>
      <c r="AR271" s="14"/>
    </row>
    <row r="272" spans="11:44" x14ac:dyDescent="0.3">
      <c r="K272" s="22">
        <v>268</v>
      </c>
      <c r="L272" s="24" t="s">
        <v>22</v>
      </c>
      <c r="M272" s="24" t="s">
        <v>22</v>
      </c>
      <c r="N272" s="24" t="s">
        <v>22</v>
      </c>
      <c r="O272" s="24" t="s">
        <v>22</v>
      </c>
      <c r="P272" s="24" t="s">
        <v>22</v>
      </c>
      <c r="Q272" s="24" t="s">
        <v>22</v>
      </c>
      <c r="R272" s="24" t="s">
        <v>22</v>
      </c>
      <c r="T272" s="8"/>
      <c r="U272" s="8"/>
      <c r="V272" s="8"/>
      <c r="W272" s="8"/>
      <c r="X272" s="8"/>
      <c r="Y272" s="8"/>
      <c r="Z272" s="8"/>
      <c r="AB272" s="7" t="s">
        <v>22</v>
      </c>
      <c r="AC272" s="7" t="s">
        <v>22</v>
      </c>
      <c r="AD272" s="7" t="s">
        <v>22</v>
      </c>
      <c r="AE272" s="7" t="s">
        <v>22</v>
      </c>
      <c r="AF272" s="7" t="s">
        <v>22</v>
      </c>
      <c r="AG272" s="7" t="s">
        <v>22</v>
      </c>
      <c r="AH272" s="7" t="s">
        <v>22</v>
      </c>
      <c r="AN272" s="14"/>
      <c r="AO272" s="14"/>
      <c r="AP272" s="14"/>
      <c r="AQ272" s="14"/>
      <c r="AR272" s="14"/>
    </row>
    <row r="273" spans="11:44" x14ac:dyDescent="0.3">
      <c r="K273" s="21">
        <v>269</v>
      </c>
      <c r="L273" s="24" t="s">
        <v>22</v>
      </c>
      <c r="M273" s="24" t="s">
        <v>22</v>
      </c>
      <c r="N273" s="24" t="s">
        <v>22</v>
      </c>
      <c r="O273" s="24" t="s">
        <v>22</v>
      </c>
      <c r="P273" s="24" t="s">
        <v>22</v>
      </c>
      <c r="Q273" s="24" t="s">
        <v>22</v>
      </c>
      <c r="R273" s="24" t="s">
        <v>22</v>
      </c>
      <c r="T273" s="8"/>
      <c r="U273" s="8"/>
      <c r="V273" s="8"/>
      <c r="W273" s="8"/>
      <c r="X273" s="8"/>
      <c r="Y273" s="8"/>
      <c r="Z273" s="8"/>
      <c r="AB273" s="7" t="s">
        <v>22</v>
      </c>
      <c r="AC273" s="7" t="s">
        <v>22</v>
      </c>
      <c r="AD273" s="7" t="s">
        <v>22</v>
      </c>
      <c r="AE273" s="7" t="s">
        <v>22</v>
      </c>
      <c r="AF273" s="7" t="s">
        <v>22</v>
      </c>
      <c r="AG273" s="7" t="s">
        <v>22</v>
      </c>
      <c r="AH273" s="7" t="s">
        <v>22</v>
      </c>
      <c r="AN273" s="14"/>
      <c r="AO273" s="14"/>
      <c r="AP273" s="14"/>
      <c r="AQ273" s="14"/>
      <c r="AR273" s="14"/>
    </row>
    <row r="274" spans="11:44" x14ac:dyDescent="0.3">
      <c r="K274" s="22">
        <v>270</v>
      </c>
      <c r="L274" s="24" t="s">
        <v>22</v>
      </c>
      <c r="M274" s="24" t="s">
        <v>22</v>
      </c>
      <c r="N274" s="24" t="s">
        <v>22</v>
      </c>
      <c r="O274" s="24" t="s">
        <v>22</v>
      </c>
      <c r="P274" s="24" t="s">
        <v>22</v>
      </c>
      <c r="Q274" s="24" t="s">
        <v>22</v>
      </c>
      <c r="R274" s="24" t="s">
        <v>22</v>
      </c>
      <c r="T274" s="8"/>
      <c r="U274" s="8"/>
      <c r="V274" s="8"/>
      <c r="W274" s="8"/>
      <c r="X274" s="8"/>
      <c r="Y274" s="8"/>
      <c r="Z274" s="8"/>
      <c r="AB274" s="7" t="s">
        <v>22</v>
      </c>
      <c r="AC274" s="7" t="s">
        <v>22</v>
      </c>
      <c r="AD274" s="7" t="s">
        <v>22</v>
      </c>
      <c r="AE274" s="7" t="s">
        <v>22</v>
      </c>
      <c r="AF274" s="7" t="s">
        <v>22</v>
      </c>
      <c r="AG274" s="7" t="s">
        <v>22</v>
      </c>
      <c r="AH274" s="7" t="s">
        <v>22</v>
      </c>
      <c r="AN274" s="14"/>
      <c r="AO274" s="14"/>
      <c r="AP274" s="14"/>
      <c r="AQ274" s="14"/>
      <c r="AR274" s="14"/>
    </row>
    <row r="275" spans="11:44" x14ac:dyDescent="0.3">
      <c r="K275" s="21">
        <v>271</v>
      </c>
      <c r="L275" s="24" t="s">
        <v>22</v>
      </c>
      <c r="M275" s="24" t="s">
        <v>22</v>
      </c>
      <c r="N275" s="24" t="s">
        <v>22</v>
      </c>
      <c r="O275" s="24" t="s">
        <v>22</v>
      </c>
      <c r="P275" s="24" t="s">
        <v>22</v>
      </c>
      <c r="Q275" s="24" t="s">
        <v>22</v>
      </c>
      <c r="R275" s="24" t="s">
        <v>22</v>
      </c>
      <c r="T275" s="8"/>
      <c r="U275" s="8"/>
      <c r="V275" s="8"/>
      <c r="W275" s="8"/>
      <c r="X275" s="8"/>
      <c r="Y275" s="8"/>
      <c r="Z275" s="8"/>
      <c r="AB275" s="7" t="s">
        <v>22</v>
      </c>
      <c r="AC275" s="7" t="s">
        <v>22</v>
      </c>
      <c r="AD275" s="7" t="s">
        <v>22</v>
      </c>
      <c r="AE275" s="7" t="s">
        <v>22</v>
      </c>
      <c r="AF275" s="7" t="s">
        <v>22</v>
      </c>
      <c r="AG275" s="7" t="s">
        <v>22</v>
      </c>
      <c r="AH275" s="7" t="s">
        <v>22</v>
      </c>
      <c r="AN275" s="14"/>
      <c r="AO275" s="14"/>
      <c r="AP275" s="14"/>
      <c r="AQ275" s="14"/>
      <c r="AR275" s="14"/>
    </row>
    <row r="276" spans="11:44" x14ac:dyDescent="0.3">
      <c r="K276" s="22">
        <v>272</v>
      </c>
      <c r="L276" s="24" t="s">
        <v>22</v>
      </c>
      <c r="M276" s="24" t="s">
        <v>22</v>
      </c>
      <c r="N276" s="24" t="s">
        <v>22</v>
      </c>
      <c r="O276" s="24" t="s">
        <v>22</v>
      </c>
      <c r="P276" s="24" t="s">
        <v>22</v>
      </c>
      <c r="Q276" s="24" t="s">
        <v>22</v>
      </c>
      <c r="R276" s="24" t="s">
        <v>22</v>
      </c>
      <c r="T276" s="8"/>
      <c r="U276" s="8"/>
      <c r="V276" s="8"/>
      <c r="W276" s="8"/>
      <c r="X276" s="8"/>
      <c r="Y276" s="8"/>
      <c r="Z276" s="8"/>
      <c r="AB276" s="7" t="s">
        <v>22</v>
      </c>
      <c r="AC276" s="7" t="s">
        <v>22</v>
      </c>
      <c r="AD276" s="7" t="s">
        <v>22</v>
      </c>
      <c r="AE276" s="7" t="s">
        <v>22</v>
      </c>
      <c r="AF276" s="7" t="s">
        <v>22</v>
      </c>
      <c r="AG276" s="7" t="s">
        <v>22</v>
      </c>
      <c r="AH276" s="7" t="s">
        <v>22</v>
      </c>
      <c r="AN276" s="14"/>
      <c r="AO276" s="14"/>
      <c r="AP276" s="14"/>
      <c r="AQ276" s="14"/>
      <c r="AR276" s="14"/>
    </row>
    <row r="277" spans="11:44" x14ac:dyDescent="0.3">
      <c r="K277" s="21">
        <v>273</v>
      </c>
      <c r="L277" s="24" t="s">
        <v>22</v>
      </c>
      <c r="M277" s="24" t="s">
        <v>22</v>
      </c>
      <c r="N277" s="24" t="s">
        <v>22</v>
      </c>
      <c r="O277" s="24" t="s">
        <v>22</v>
      </c>
      <c r="P277" s="24" t="s">
        <v>22</v>
      </c>
      <c r="Q277" s="24" t="s">
        <v>22</v>
      </c>
      <c r="R277" s="24" t="s">
        <v>22</v>
      </c>
      <c r="T277" s="8"/>
      <c r="U277" s="8"/>
      <c r="V277" s="8"/>
      <c r="W277" s="8"/>
      <c r="X277" s="8"/>
      <c r="Y277" s="8"/>
      <c r="Z277" s="8"/>
      <c r="AB277" s="7" t="s">
        <v>22</v>
      </c>
      <c r="AC277" s="7" t="s">
        <v>22</v>
      </c>
      <c r="AD277" s="7" t="s">
        <v>22</v>
      </c>
      <c r="AE277" s="7" t="s">
        <v>22</v>
      </c>
      <c r="AF277" s="7" t="s">
        <v>22</v>
      </c>
      <c r="AG277" s="7" t="s">
        <v>22</v>
      </c>
      <c r="AH277" s="7" t="s">
        <v>22</v>
      </c>
      <c r="AN277" s="14"/>
      <c r="AO277" s="14"/>
      <c r="AP277" s="14"/>
      <c r="AQ277" s="14"/>
      <c r="AR277" s="14"/>
    </row>
    <row r="278" spans="11:44" x14ac:dyDescent="0.3">
      <c r="K278" s="22">
        <v>274</v>
      </c>
      <c r="L278" s="24" t="s">
        <v>22</v>
      </c>
      <c r="M278" s="24" t="s">
        <v>22</v>
      </c>
      <c r="N278" s="24" t="s">
        <v>22</v>
      </c>
      <c r="O278" s="24" t="s">
        <v>22</v>
      </c>
      <c r="P278" s="24" t="s">
        <v>22</v>
      </c>
      <c r="Q278" s="24" t="s">
        <v>22</v>
      </c>
      <c r="R278" s="24" t="s">
        <v>22</v>
      </c>
      <c r="T278" s="8"/>
      <c r="U278" s="8"/>
      <c r="V278" s="8"/>
      <c r="W278" s="8"/>
      <c r="X278" s="8"/>
      <c r="Y278" s="8"/>
      <c r="Z278" s="8"/>
      <c r="AB278" s="7" t="s">
        <v>22</v>
      </c>
      <c r="AC278" s="7" t="s">
        <v>22</v>
      </c>
      <c r="AD278" s="7" t="s">
        <v>22</v>
      </c>
      <c r="AE278" s="7" t="s">
        <v>22</v>
      </c>
      <c r="AF278" s="7" t="s">
        <v>22</v>
      </c>
      <c r="AG278" s="7" t="s">
        <v>22</v>
      </c>
      <c r="AH278" s="7" t="s">
        <v>22</v>
      </c>
      <c r="AN278" s="14"/>
      <c r="AO278" s="14"/>
      <c r="AP278" s="14"/>
      <c r="AQ278" s="14"/>
      <c r="AR278" s="14"/>
    </row>
    <row r="279" spans="11:44" x14ac:dyDescent="0.3">
      <c r="K279" s="21">
        <v>275</v>
      </c>
      <c r="L279" s="24" t="s">
        <v>22</v>
      </c>
      <c r="M279" s="24" t="s">
        <v>22</v>
      </c>
      <c r="N279" s="24" t="s">
        <v>22</v>
      </c>
      <c r="O279" s="24" t="s">
        <v>22</v>
      </c>
      <c r="P279" s="24" t="s">
        <v>22</v>
      </c>
      <c r="Q279" s="24" t="s">
        <v>22</v>
      </c>
      <c r="R279" s="24" t="s">
        <v>22</v>
      </c>
      <c r="T279" s="8"/>
      <c r="U279" s="8"/>
      <c r="V279" s="8"/>
      <c r="W279" s="8"/>
      <c r="X279" s="8"/>
      <c r="Y279" s="8"/>
      <c r="Z279" s="8"/>
      <c r="AB279" s="7" t="s">
        <v>22</v>
      </c>
      <c r="AC279" s="7" t="s">
        <v>22</v>
      </c>
      <c r="AD279" s="7" t="s">
        <v>22</v>
      </c>
      <c r="AE279" s="7" t="s">
        <v>22</v>
      </c>
      <c r="AF279" s="7" t="s">
        <v>22</v>
      </c>
      <c r="AG279" s="7" t="s">
        <v>22</v>
      </c>
      <c r="AH279" s="7" t="s">
        <v>22</v>
      </c>
      <c r="AN279" s="14"/>
      <c r="AO279" s="14"/>
      <c r="AP279" s="14"/>
      <c r="AQ279" s="14"/>
      <c r="AR279" s="14"/>
    </row>
    <row r="280" spans="11:44" x14ac:dyDescent="0.3">
      <c r="K280" s="22">
        <v>276</v>
      </c>
      <c r="L280" s="24" t="s">
        <v>22</v>
      </c>
      <c r="M280" s="24" t="s">
        <v>22</v>
      </c>
      <c r="N280" s="24" t="s">
        <v>22</v>
      </c>
      <c r="O280" s="24" t="s">
        <v>22</v>
      </c>
      <c r="P280" s="24" t="s">
        <v>22</v>
      </c>
      <c r="Q280" s="24" t="s">
        <v>22</v>
      </c>
      <c r="R280" s="24" t="s">
        <v>22</v>
      </c>
      <c r="T280" s="8"/>
      <c r="U280" s="8"/>
      <c r="V280" s="8"/>
      <c r="W280" s="8"/>
      <c r="X280" s="8"/>
      <c r="Y280" s="8"/>
      <c r="Z280" s="8"/>
      <c r="AB280" s="7" t="s">
        <v>22</v>
      </c>
      <c r="AC280" s="7" t="s">
        <v>22</v>
      </c>
      <c r="AD280" s="7" t="s">
        <v>22</v>
      </c>
      <c r="AE280" s="7" t="s">
        <v>22</v>
      </c>
      <c r="AF280" s="7" t="s">
        <v>22</v>
      </c>
      <c r="AG280" s="7" t="s">
        <v>22</v>
      </c>
      <c r="AH280" s="7" t="s">
        <v>22</v>
      </c>
      <c r="AN280" s="14"/>
      <c r="AO280" s="14"/>
      <c r="AP280" s="14"/>
      <c r="AQ280" s="14"/>
      <c r="AR280" s="14"/>
    </row>
    <row r="281" spans="11:44" x14ac:dyDescent="0.3">
      <c r="K281" s="21">
        <v>277</v>
      </c>
      <c r="L281" s="24" t="s">
        <v>22</v>
      </c>
      <c r="M281" s="24" t="s">
        <v>22</v>
      </c>
      <c r="N281" s="24" t="s">
        <v>22</v>
      </c>
      <c r="O281" s="24" t="s">
        <v>22</v>
      </c>
      <c r="P281" s="24" t="s">
        <v>22</v>
      </c>
      <c r="Q281" s="24" t="s">
        <v>22</v>
      </c>
      <c r="R281" s="24" t="s">
        <v>22</v>
      </c>
      <c r="T281" s="8"/>
      <c r="U281" s="8"/>
      <c r="V281" s="8"/>
      <c r="W281" s="8"/>
      <c r="X281" s="8"/>
      <c r="Y281" s="8"/>
      <c r="Z281" s="8"/>
      <c r="AB281" s="7" t="s">
        <v>22</v>
      </c>
      <c r="AC281" s="7" t="s">
        <v>22</v>
      </c>
      <c r="AD281" s="7" t="s">
        <v>22</v>
      </c>
      <c r="AE281" s="7" t="s">
        <v>22</v>
      </c>
      <c r="AF281" s="7" t="s">
        <v>22</v>
      </c>
      <c r="AG281" s="7" t="s">
        <v>22</v>
      </c>
      <c r="AH281" s="7" t="s">
        <v>22</v>
      </c>
      <c r="AN281" s="14"/>
      <c r="AO281" s="14"/>
      <c r="AP281" s="14"/>
      <c r="AQ281" s="14"/>
      <c r="AR281" s="14"/>
    </row>
    <row r="282" spans="11:44" x14ac:dyDescent="0.3">
      <c r="K282" s="22">
        <v>278</v>
      </c>
      <c r="L282" s="24" t="s">
        <v>22</v>
      </c>
      <c r="M282" s="24" t="s">
        <v>22</v>
      </c>
      <c r="N282" s="24" t="s">
        <v>22</v>
      </c>
      <c r="O282" s="24" t="s">
        <v>22</v>
      </c>
      <c r="P282" s="24" t="s">
        <v>22</v>
      </c>
      <c r="Q282" s="24" t="s">
        <v>22</v>
      </c>
      <c r="R282" s="24" t="s">
        <v>22</v>
      </c>
      <c r="T282" s="8"/>
      <c r="U282" s="8"/>
      <c r="V282" s="8"/>
      <c r="W282" s="8"/>
      <c r="X282" s="8"/>
      <c r="Y282" s="8"/>
      <c r="Z282" s="8"/>
      <c r="AB282" s="7" t="s">
        <v>22</v>
      </c>
      <c r="AC282" s="7" t="s">
        <v>22</v>
      </c>
      <c r="AD282" s="7" t="s">
        <v>22</v>
      </c>
      <c r="AE282" s="7" t="s">
        <v>22</v>
      </c>
      <c r="AF282" s="7" t="s">
        <v>22</v>
      </c>
      <c r="AG282" s="7" t="s">
        <v>22</v>
      </c>
      <c r="AH282" s="7" t="s">
        <v>22</v>
      </c>
      <c r="AN282" s="14"/>
      <c r="AO282" s="14"/>
      <c r="AP282" s="14"/>
      <c r="AQ282" s="14"/>
      <c r="AR282" s="14"/>
    </row>
    <row r="283" spans="11:44" x14ac:dyDescent="0.3">
      <c r="K283" s="21">
        <v>279</v>
      </c>
      <c r="L283" s="24" t="s">
        <v>22</v>
      </c>
      <c r="M283" s="24" t="s">
        <v>22</v>
      </c>
      <c r="N283" s="24" t="s">
        <v>22</v>
      </c>
      <c r="O283" s="24" t="s">
        <v>22</v>
      </c>
      <c r="P283" s="24" t="s">
        <v>22</v>
      </c>
      <c r="Q283" s="24" t="s">
        <v>22</v>
      </c>
      <c r="R283" s="24" t="s">
        <v>22</v>
      </c>
      <c r="T283" s="8"/>
      <c r="U283" s="8"/>
      <c r="V283" s="8"/>
      <c r="W283" s="8"/>
      <c r="X283" s="8"/>
      <c r="Y283" s="8"/>
      <c r="Z283" s="8"/>
      <c r="AB283" s="7" t="s">
        <v>22</v>
      </c>
      <c r="AC283" s="7" t="s">
        <v>22</v>
      </c>
      <c r="AD283" s="7" t="s">
        <v>22</v>
      </c>
      <c r="AE283" s="7" t="s">
        <v>22</v>
      </c>
      <c r="AF283" s="7" t="s">
        <v>22</v>
      </c>
      <c r="AG283" s="7" t="s">
        <v>22</v>
      </c>
      <c r="AH283" s="7" t="s">
        <v>22</v>
      </c>
      <c r="AN283" s="14"/>
      <c r="AO283" s="14"/>
      <c r="AP283" s="14"/>
      <c r="AQ283" s="14"/>
      <c r="AR283" s="14"/>
    </row>
    <row r="284" spans="11:44" x14ac:dyDescent="0.3">
      <c r="K284" s="22">
        <v>280</v>
      </c>
      <c r="L284" s="24" t="s">
        <v>22</v>
      </c>
      <c r="M284" s="24" t="s">
        <v>22</v>
      </c>
      <c r="N284" s="24" t="s">
        <v>22</v>
      </c>
      <c r="O284" s="24" t="s">
        <v>22</v>
      </c>
      <c r="P284" s="24" t="s">
        <v>22</v>
      </c>
      <c r="Q284" s="24" t="s">
        <v>22</v>
      </c>
      <c r="R284" s="24" t="s">
        <v>22</v>
      </c>
      <c r="T284" s="8"/>
      <c r="U284" s="8"/>
      <c r="V284" s="8"/>
      <c r="W284" s="8"/>
      <c r="X284" s="8"/>
      <c r="Y284" s="8"/>
      <c r="Z284" s="8"/>
      <c r="AB284" s="7" t="s">
        <v>22</v>
      </c>
      <c r="AC284" s="7" t="s">
        <v>22</v>
      </c>
      <c r="AD284" s="7" t="s">
        <v>22</v>
      </c>
      <c r="AE284" s="7" t="s">
        <v>22</v>
      </c>
      <c r="AF284" s="7" t="s">
        <v>22</v>
      </c>
      <c r="AG284" s="7" t="s">
        <v>22</v>
      </c>
      <c r="AH284" s="7" t="s">
        <v>22</v>
      </c>
      <c r="AN284" s="14"/>
      <c r="AO284" s="14"/>
      <c r="AP284" s="14"/>
      <c r="AQ284" s="14"/>
      <c r="AR284" s="14"/>
    </row>
    <row r="285" spans="11:44" x14ac:dyDescent="0.3">
      <c r="K285" s="21">
        <v>281</v>
      </c>
      <c r="L285" s="24" t="s">
        <v>22</v>
      </c>
      <c r="M285" s="24" t="s">
        <v>22</v>
      </c>
      <c r="N285" s="24" t="s">
        <v>22</v>
      </c>
      <c r="O285" s="24" t="s">
        <v>22</v>
      </c>
      <c r="P285" s="24" t="s">
        <v>22</v>
      </c>
      <c r="Q285" s="24" t="s">
        <v>22</v>
      </c>
      <c r="R285" s="24" t="s">
        <v>22</v>
      </c>
      <c r="T285" s="8"/>
      <c r="U285" s="8"/>
      <c r="V285" s="8"/>
      <c r="W285" s="8"/>
      <c r="X285" s="8"/>
      <c r="Y285" s="8"/>
      <c r="Z285" s="8"/>
      <c r="AB285" s="7" t="s">
        <v>22</v>
      </c>
      <c r="AC285" s="7" t="s">
        <v>22</v>
      </c>
      <c r="AD285" s="7" t="s">
        <v>22</v>
      </c>
      <c r="AE285" s="7" t="s">
        <v>22</v>
      </c>
      <c r="AF285" s="7" t="s">
        <v>22</v>
      </c>
      <c r="AG285" s="7" t="s">
        <v>22</v>
      </c>
      <c r="AH285" s="7" t="s">
        <v>22</v>
      </c>
      <c r="AN285" s="14"/>
      <c r="AO285" s="14"/>
      <c r="AP285" s="14"/>
      <c r="AQ285" s="14"/>
      <c r="AR285" s="14"/>
    </row>
    <row r="286" spans="11:44" x14ac:dyDescent="0.3">
      <c r="K286" s="22">
        <v>282</v>
      </c>
      <c r="L286" s="24" t="s">
        <v>22</v>
      </c>
      <c r="M286" s="24" t="s">
        <v>22</v>
      </c>
      <c r="N286" s="24" t="s">
        <v>22</v>
      </c>
      <c r="O286" s="24" t="s">
        <v>22</v>
      </c>
      <c r="P286" s="24" t="s">
        <v>22</v>
      </c>
      <c r="Q286" s="24" t="s">
        <v>22</v>
      </c>
      <c r="R286" s="24" t="s">
        <v>22</v>
      </c>
      <c r="T286" s="8"/>
      <c r="U286" s="8"/>
      <c r="V286" s="8"/>
      <c r="W286" s="8"/>
      <c r="X286" s="8"/>
      <c r="Y286" s="8"/>
      <c r="Z286" s="8"/>
      <c r="AB286" s="7" t="s">
        <v>22</v>
      </c>
      <c r="AC286" s="7" t="s">
        <v>22</v>
      </c>
      <c r="AD286" s="7" t="s">
        <v>22</v>
      </c>
      <c r="AE286" s="7" t="s">
        <v>22</v>
      </c>
      <c r="AF286" s="7" t="s">
        <v>22</v>
      </c>
      <c r="AG286" s="7" t="s">
        <v>22</v>
      </c>
      <c r="AH286" s="7" t="s">
        <v>22</v>
      </c>
      <c r="AN286" s="14"/>
      <c r="AO286" s="14"/>
      <c r="AP286" s="14"/>
      <c r="AQ286" s="14"/>
      <c r="AR286" s="14"/>
    </row>
    <row r="287" spans="11:44" x14ac:dyDescent="0.3">
      <c r="K287" s="21">
        <v>283</v>
      </c>
      <c r="L287" s="24" t="s">
        <v>22</v>
      </c>
      <c r="M287" s="24" t="s">
        <v>22</v>
      </c>
      <c r="N287" s="24" t="s">
        <v>22</v>
      </c>
      <c r="O287" s="24" t="s">
        <v>22</v>
      </c>
      <c r="P287" s="24" t="s">
        <v>22</v>
      </c>
      <c r="Q287" s="24" t="s">
        <v>22</v>
      </c>
      <c r="R287" s="24" t="s">
        <v>22</v>
      </c>
      <c r="T287" s="8"/>
      <c r="U287" s="8"/>
      <c r="V287" s="8"/>
      <c r="W287" s="8"/>
      <c r="X287" s="8"/>
      <c r="Y287" s="8"/>
      <c r="Z287" s="8"/>
      <c r="AB287" s="7" t="s">
        <v>22</v>
      </c>
      <c r="AC287" s="7" t="s">
        <v>22</v>
      </c>
      <c r="AD287" s="7" t="s">
        <v>22</v>
      </c>
      <c r="AE287" s="7" t="s">
        <v>22</v>
      </c>
      <c r="AF287" s="7" t="s">
        <v>22</v>
      </c>
      <c r="AG287" s="7" t="s">
        <v>22</v>
      </c>
      <c r="AH287" s="7" t="s">
        <v>22</v>
      </c>
      <c r="AN287" s="14"/>
      <c r="AO287" s="14"/>
      <c r="AP287" s="14"/>
      <c r="AQ287" s="14"/>
      <c r="AR287" s="14"/>
    </row>
    <row r="288" spans="11:44" x14ac:dyDescent="0.3">
      <c r="K288" s="22">
        <v>284</v>
      </c>
      <c r="L288" s="24" t="s">
        <v>22</v>
      </c>
      <c r="M288" s="24" t="s">
        <v>22</v>
      </c>
      <c r="N288" s="24" t="s">
        <v>22</v>
      </c>
      <c r="O288" s="24" t="s">
        <v>22</v>
      </c>
      <c r="P288" s="24" t="s">
        <v>22</v>
      </c>
      <c r="Q288" s="24" t="s">
        <v>22</v>
      </c>
      <c r="R288" s="24" t="s">
        <v>22</v>
      </c>
      <c r="T288" s="8"/>
      <c r="U288" s="8"/>
      <c r="V288" s="8"/>
      <c r="W288" s="8"/>
      <c r="X288" s="8"/>
      <c r="Y288" s="8"/>
      <c r="Z288" s="8"/>
      <c r="AB288" s="7" t="s">
        <v>22</v>
      </c>
      <c r="AC288" s="7" t="s">
        <v>22</v>
      </c>
      <c r="AD288" s="7" t="s">
        <v>22</v>
      </c>
      <c r="AE288" s="7" t="s">
        <v>22</v>
      </c>
      <c r="AF288" s="7" t="s">
        <v>22</v>
      </c>
      <c r="AG288" s="7" t="s">
        <v>22</v>
      </c>
      <c r="AH288" s="7" t="s">
        <v>22</v>
      </c>
      <c r="AN288" s="14"/>
      <c r="AO288" s="14"/>
      <c r="AP288" s="14"/>
      <c r="AQ288" s="14"/>
      <c r="AR288" s="14"/>
    </row>
    <row r="289" spans="11:44" x14ac:dyDescent="0.3">
      <c r="K289" s="21">
        <v>285</v>
      </c>
      <c r="L289" s="24" t="s">
        <v>22</v>
      </c>
      <c r="M289" s="24" t="s">
        <v>22</v>
      </c>
      <c r="N289" s="24" t="s">
        <v>22</v>
      </c>
      <c r="O289" s="24" t="s">
        <v>22</v>
      </c>
      <c r="P289" s="24" t="s">
        <v>22</v>
      </c>
      <c r="Q289" s="24" t="s">
        <v>22</v>
      </c>
      <c r="R289" s="24" t="s">
        <v>22</v>
      </c>
      <c r="T289" s="8"/>
      <c r="U289" s="8"/>
      <c r="V289" s="8"/>
      <c r="W289" s="8"/>
      <c r="X289" s="8"/>
      <c r="Y289" s="8"/>
      <c r="Z289" s="8"/>
      <c r="AB289" s="7" t="s">
        <v>22</v>
      </c>
      <c r="AC289" s="7" t="s">
        <v>22</v>
      </c>
      <c r="AD289" s="7" t="s">
        <v>22</v>
      </c>
      <c r="AE289" s="7" t="s">
        <v>22</v>
      </c>
      <c r="AF289" s="7" t="s">
        <v>22</v>
      </c>
      <c r="AG289" s="7" t="s">
        <v>22</v>
      </c>
      <c r="AH289" s="7" t="s">
        <v>22</v>
      </c>
      <c r="AN289" s="14"/>
      <c r="AO289" s="14"/>
      <c r="AP289" s="14"/>
      <c r="AQ289" s="14"/>
      <c r="AR289" s="14"/>
    </row>
    <row r="290" spans="11:44" x14ac:dyDescent="0.3">
      <c r="K290" s="22">
        <v>286</v>
      </c>
      <c r="L290" s="24" t="s">
        <v>22</v>
      </c>
      <c r="M290" s="24" t="s">
        <v>22</v>
      </c>
      <c r="N290" s="24" t="s">
        <v>22</v>
      </c>
      <c r="O290" s="24" t="s">
        <v>22</v>
      </c>
      <c r="P290" s="24" t="s">
        <v>22</v>
      </c>
      <c r="Q290" s="24" t="s">
        <v>22</v>
      </c>
      <c r="R290" s="24" t="s">
        <v>22</v>
      </c>
      <c r="T290" s="8"/>
      <c r="U290" s="8"/>
      <c r="V290" s="8"/>
      <c r="W290" s="8"/>
      <c r="X290" s="8"/>
      <c r="Y290" s="8"/>
      <c r="Z290" s="8"/>
      <c r="AB290" s="7" t="s">
        <v>22</v>
      </c>
      <c r="AC290" s="7" t="s">
        <v>22</v>
      </c>
      <c r="AD290" s="7" t="s">
        <v>22</v>
      </c>
      <c r="AE290" s="7" t="s">
        <v>22</v>
      </c>
      <c r="AF290" s="7" t="s">
        <v>22</v>
      </c>
      <c r="AG290" s="7" t="s">
        <v>22</v>
      </c>
      <c r="AH290" s="7" t="s">
        <v>22</v>
      </c>
      <c r="AN290" s="14"/>
      <c r="AO290" s="14"/>
      <c r="AP290" s="14"/>
      <c r="AQ290" s="14"/>
      <c r="AR290" s="14"/>
    </row>
    <row r="291" spans="11:44" x14ac:dyDescent="0.3">
      <c r="K291" s="21">
        <v>287</v>
      </c>
      <c r="L291" s="24" t="s">
        <v>22</v>
      </c>
      <c r="M291" s="24" t="s">
        <v>22</v>
      </c>
      <c r="N291" s="24" t="s">
        <v>22</v>
      </c>
      <c r="O291" s="24" t="s">
        <v>22</v>
      </c>
      <c r="P291" s="24" t="s">
        <v>22</v>
      </c>
      <c r="Q291" s="24" t="s">
        <v>22</v>
      </c>
      <c r="R291" s="24" t="s">
        <v>22</v>
      </c>
      <c r="T291" s="8"/>
      <c r="U291" s="8"/>
      <c r="V291" s="8"/>
      <c r="W291" s="8"/>
      <c r="X291" s="8"/>
      <c r="Y291" s="8"/>
      <c r="Z291" s="8"/>
      <c r="AB291" s="7" t="s">
        <v>22</v>
      </c>
      <c r="AC291" s="7" t="s">
        <v>22</v>
      </c>
      <c r="AD291" s="7" t="s">
        <v>22</v>
      </c>
      <c r="AE291" s="7" t="s">
        <v>22</v>
      </c>
      <c r="AF291" s="7" t="s">
        <v>22</v>
      </c>
      <c r="AG291" s="7" t="s">
        <v>22</v>
      </c>
      <c r="AH291" s="7" t="s">
        <v>22</v>
      </c>
      <c r="AN291" s="14"/>
      <c r="AO291" s="14"/>
      <c r="AP291" s="14"/>
      <c r="AQ291" s="14"/>
      <c r="AR291" s="14"/>
    </row>
    <row r="292" spans="11:44" x14ac:dyDescent="0.3">
      <c r="K292" s="22">
        <v>288</v>
      </c>
      <c r="L292" s="24" t="s">
        <v>22</v>
      </c>
      <c r="M292" s="24" t="s">
        <v>22</v>
      </c>
      <c r="N292" s="24" t="s">
        <v>22</v>
      </c>
      <c r="O292" s="24" t="s">
        <v>22</v>
      </c>
      <c r="P292" s="24" t="s">
        <v>22</v>
      </c>
      <c r="Q292" s="24" t="s">
        <v>22</v>
      </c>
      <c r="R292" s="24" t="s">
        <v>22</v>
      </c>
      <c r="T292" s="8"/>
      <c r="U292" s="8"/>
      <c r="V292" s="8"/>
      <c r="W292" s="8"/>
      <c r="X292" s="8"/>
      <c r="Y292" s="8"/>
      <c r="Z292" s="8"/>
      <c r="AB292" s="7" t="s">
        <v>22</v>
      </c>
      <c r="AC292" s="7" t="s">
        <v>22</v>
      </c>
      <c r="AD292" s="7" t="s">
        <v>22</v>
      </c>
      <c r="AE292" s="7" t="s">
        <v>22</v>
      </c>
      <c r="AF292" s="7" t="s">
        <v>22</v>
      </c>
      <c r="AG292" s="7" t="s">
        <v>22</v>
      </c>
      <c r="AH292" s="7" t="s">
        <v>22</v>
      </c>
      <c r="AN292" s="14"/>
      <c r="AO292" s="14"/>
      <c r="AP292" s="14"/>
      <c r="AQ292" s="14"/>
      <c r="AR292" s="14"/>
    </row>
    <row r="293" spans="11:44" x14ac:dyDescent="0.3">
      <c r="K293" s="21">
        <v>289</v>
      </c>
      <c r="L293" s="24" t="s">
        <v>22</v>
      </c>
      <c r="M293" s="24" t="s">
        <v>22</v>
      </c>
      <c r="N293" s="24" t="s">
        <v>22</v>
      </c>
      <c r="O293" s="24" t="s">
        <v>22</v>
      </c>
      <c r="P293" s="24" t="s">
        <v>22</v>
      </c>
      <c r="Q293" s="24" t="s">
        <v>22</v>
      </c>
      <c r="R293" s="24" t="s">
        <v>22</v>
      </c>
      <c r="T293" s="8"/>
      <c r="U293" s="8"/>
      <c r="V293" s="8"/>
      <c r="W293" s="8"/>
      <c r="X293" s="8"/>
      <c r="Y293" s="8"/>
      <c r="Z293" s="8"/>
      <c r="AB293" s="7" t="s">
        <v>22</v>
      </c>
      <c r="AC293" s="7" t="s">
        <v>22</v>
      </c>
      <c r="AD293" s="7" t="s">
        <v>22</v>
      </c>
      <c r="AE293" s="7" t="s">
        <v>22</v>
      </c>
      <c r="AF293" s="7" t="s">
        <v>22</v>
      </c>
      <c r="AG293" s="7" t="s">
        <v>22</v>
      </c>
      <c r="AH293" s="7" t="s">
        <v>22</v>
      </c>
      <c r="AN293" s="14"/>
      <c r="AO293" s="14"/>
      <c r="AP293" s="14"/>
      <c r="AQ293" s="14"/>
      <c r="AR293" s="14"/>
    </row>
    <row r="294" spans="11:44" x14ac:dyDescent="0.3">
      <c r="K294" s="22">
        <v>290</v>
      </c>
      <c r="L294" s="24" t="s">
        <v>22</v>
      </c>
      <c r="M294" s="24" t="s">
        <v>22</v>
      </c>
      <c r="N294" s="24" t="s">
        <v>22</v>
      </c>
      <c r="O294" s="24" t="s">
        <v>22</v>
      </c>
      <c r="P294" s="24" t="s">
        <v>22</v>
      </c>
      <c r="Q294" s="24" t="s">
        <v>22</v>
      </c>
      <c r="R294" s="24" t="s">
        <v>22</v>
      </c>
      <c r="T294" s="8"/>
      <c r="U294" s="8"/>
      <c r="V294" s="8"/>
      <c r="W294" s="8"/>
      <c r="X294" s="8"/>
      <c r="Y294" s="8"/>
      <c r="Z294" s="8"/>
      <c r="AB294" s="7" t="s">
        <v>22</v>
      </c>
      <c r="AC294" s="7" t="s">
        <v>22</v>
      </c>
      <c r="AD294" s="7" t="s">
        <v>22</v>
      </c>
      <c r="AE294" s="7" t="s">
        <v>22</v>
      </c>
      <c r="AF294" s="7" t="s">
        <v>22</v>
      </c>
      <c r="AG294" s="7" t="s">
        <v>22</v>
      </c>
      <c r="AH294" s="7" t="s">
        <v>22</v>
      </c>
      <c r="AN294" s="14"/>
      <c r="AO294" s="14"/>
      <c r="AP294" s="14"/>
      <c r="AQ294" s="14"/>
      <c r="AR294" s="14"/>
    </row>
    <row r="295" spans="11:44" x14ac:dyDescent="0.3">
      <c r="K295" s="21">
        <v>291</v>
      </c>
      <c r="L295" s="24" t="s">
        <v>22</v>
      </c>
      <c r="M295" s="24" t="s">
        <v>22</v>
      </c>
      <c r="N295" s="24" t="s">
        <v>22</v>
      </c>
      <c r="O295" s="24" t="s">
        <v>22</v>
      </c>
      <c r="P295" s="24" t="s">
        <v>22</v>
      </c>
      <c r="Q295" s="24" t="s">
        <v>22</v>
      </c>
      <c r="R295" s="24" t="s">
        <v>22</v>
      </c>
      <c r="T295" s="8"/>
      <c r="U295" s="8"/>
      <c r="V295" s="8"/>
      <c r="W295" s="8"/>
      <c r="X295" s="8"/>
      <c r="Y295" s="8"/>
      <c r="Z295" s="8"/>
      <c r="AB295" s="7" t="s">
        <v>22</v>
      </c>
      <c r="AC295" s="7" t="s">
        <v>22</v>
      </c>
      <c r="AD295" s="7" t="s">
        <v>22</v>
      </c>
      <c r="AE295" s="7" t="s">
        <v>22</v>
      </c>
      <c r="AF295" s="7" t="s">
        <v>22</v>
      </c>
      <c r="AG295" s="7" t="s">
        <v>22</v>
      </c>
      <c r="AH295" s="7" t="s">
        <v>22</v>
      </c>
      <c r="AN295" s="14"/>
      <c r="AO295" s="14"/>
      <c r="AP295" s="14"/>
      <c r="AQ295" s="14"/>
      <c r="AR295" s="14"/>
    </row>
    <row r="296" spans="11:44" x14ac:dyDescent="0.3">
      <c r="K296" s="22">
        <v>292</v>
      </c>
      <c r="L296" s="24" t="s">
        <v>22</v>
      </c>
      <c r="M296" s="24" t="s">
        <v>22</v>
      </c>
      <c r="N296" s="24" t="s">
        <v>22</v>
      </c>
      <c r="O296" s="24" t="s">
        <v>22</v>
      </c>
      <c r="P296" s="24" t="s">
        <v>22</v>
      </c>
      <c r="Q296" s="24" t="s">
        <v>22</v>
      </c>
      <c r="R296" s="24" t="s">
        <v>22</v>
      </c>
      <c r="T296" s="8"/>
      <c r="U296" s="8"/>
      <c r="V296" s="8"/>
      <c r="W296" s="8"/>
      <c r="X296" s="8"/>
      <c r="Y296" s="8"/>
      <c r="Z296" s="8"/>
      <c r="AB296" s="7" t="s">
        <v>22</v>
      </c>
      <c r="AC296" s="7" t="s">
        <v>22</v>
      </c>
      <c r="AD296" s="7" t="s">
        <v>22</v>
      </c>
      <c r="AE296" s="7" t="s">
        <v>22</v>
      </c>
      <c r="AF296" s="7" t="s">
        <v>22</v>
      </c>
      <c r="AG296" s="7" t="s">
        <v>22</v>
      </c>
      <c r="AH296" s="7" t="s">
        <v>22</v>
      </c>
      <c r="AN296" s="14"/>
      <c r="AO296" s="14"/>
      <c r="AP296" s="14"/>
      <c r="AQ296" s="14"/>
      <c r="AR296" s="14"/>
    </row>
    <row r="297" spans="11:44" x14ac:dyDescent="0.3">
      <c r="K297" s="21">
        <v>293</v>
      </c>
      <c r="L297" s="24" t="s">
        <v>22</v>
      </c>
      <c r="M297" s="24" t="s">
        <v>22</v>
      </c>
      <c r="N297" s="24" t="s">
        <v>22</v>
      </c>
      <c r="O297" s="24" t="s">
        <v>22</v>
      </c>
      <c r="P297" s="24" t="s">
        <v>22</v>
      </c>
      <c r="Q297" s="24" t="s">
        <v>22</v>
      </c>
      <c r="R297" s="24" t="s">
        <v>22</v>
      </c>
      <c r="T297" s="8"/>
      <c r="U297" s="8"/>
      <c r="V297" s="8"/>
      <c r="W297" s="8"/>
      <c r="X297" s="8"/>
      <c r="Y297" s="8"/>
      <c r="Z297" s="8"/>
      <c r="AB297" s="7" t="s">
        <v>22</v>
      </c>
      <c r="AC297" s="7" t="s">
        <v>22</v>
      </c>
      <c r="AD297" s="7" t="s">
        <v>22</v>
      </c>
      <c r="AE297" s="7" t="s">
        <v>22</v>
      </c>
      <c r="AF297" s="7" t="s">
        <v>22</v>
      </c>
      <c r="AG297" s="7" t="s">
        <v>22</v>
      </c>
      <c r="AH297" s="7" t="s">
        <v>22</v>
      </c>
      <c r="AN297" s="14"/>
      <c r="AO297" s="14"/>
      <c r="AP297" s="14"/>
      <c r="AQ297" s="14"/>
      <c r="AR297" s="14"/>
    </row>
    <row r="298" spans="11:44" x14ac:dyDescent="0.3">
      <c r="K298" s="22">
        <v>294</v>
      </c>
      <c r="L298" s="24" t="s">
        <v>22</v>
      </c>
      <c r="M298" s="24" t="s">
        <v>22</v>
      </c>
      <c r="N298" s="24" t="s">
        <v>22</v>
      </c>
      <c r="O298" s="24" t="s">
        <v>22</v>
      </c>
      <c r="P298" s="24" t="s">
        <v>22</v>
      </c>
      <c r="Q298" s="24" t="s">
        <v>22</v>
      </c>
      <c r="R298" s="24" t="s">
        <v>22</v>
      </c>
      <c r="T298" s="8"/>
      <c r="U298" s="8"/>
      <c r="V298" s="8"/>
      <c r="W298" s="8"/>
      <c r="X298" s="8"/>
      <c r="Y298" s="8"/>
      <c r="Z298" s="8"/>
      <c r="AB298" s="7" t="s">
        <v>22</v>
      </c>
      <c r="AC298" s="7" t="s">
        <v>22</v>
      </c>
      <c r="AD298" s="7" t="s">
        <v>22</v>
      </c>
      <c r="AE298" s="7" t="s">
        <v>22</v>
      </c>
      <c r="AF298" s="7" t="s">
        <v>22</v>
      </c>
      <c r="AG298" s="7" t="s">
        <v>22</v>
      </c>
      <c r="AH298" s="7" t="s">
        <v>22</v>
      </c>
      <c r="AN298" s="14"/>
      <c r="AO298" s="14"/>
      <c r="AP298" s="14"/>
      <c r="AQ298" s="14"/>
      <c r="AR298" s="14"/>
    </row>
    <row r="299" spans="11:44" x14ac:dyDescent="0.3">
      <c r="K299" s="21">
        <v>295</v>
      </c>
      <c r="L299" s="24" t="s">
        <v>22</v>
      </c>
      <c r="M299" s="24" t="s">
        <v>22</v>
      </c>
      <c r="N299" s="24" t="s">
        <v>22</v>
      </c>
      <c r="O299" s="24" t="s">
        <v>22</v>
      </c>
      <c r="P299" s="24" t="s">
        <v>22</v>
      </c>
      <c r="Q299" s="24" t="s">
        <v>22</v>
      </c>
      <c r="R299" s="24" t="s">
        <v>22</v>
      </c>
      <c r="T299" s="8"/>
      <c r="U299" s="8"/>
      <c r="V299" s="8"/>
      <c r="W299" s="8"/>
      <c r="X299" s="8"/>
      <c r="Y299" s="8"/>
      <c r="Z299" s="8"/>
      <c r="AB299" s="7" t="s">
        <v>22</v>
      </c>
      <c r="AC299" s="7" t="s">
        <v>22</v>
      </c>
      <c r="AD299" s="7" t="s">
        <v>22</v>
      </c>
      <c r="AE299" s="7" t="s">
        <v>22</v>
      </c>
      <c r="AF299" s="7" t="s">
        <v>22</v>
      </c>
      <c r="AG299" s="7" t="s">
        <v>22</v>
      </c>
      <c r="AH299" s="7" t="s">
        <v>22</v>
      </c>
      <c r="AN299" s="14"/>
      <c r="AO299" s="14"/>
      <c r="AP299" s="14"/>
      <c r="AQ299" s="14"/>
      <c r="AR299" s="14"/>
    </row>
    <row r="300" spans="11:44" x14ac:dyDescent="0.3">
      <c r="K300" s="22">
        <v>296</v>
      </c>
      <c r="L300" s="24" t="s">
        <v>22</v>
      </c>
      <c r="M300" s="24" t="s">
        <v>22</v>
      </c>
      <c r="N300" s="24" t="s">
        <v>22</v>
      </c>
      <c r="O300" s="24" t="s">
        <v>22</v>
      </c>
      <c r="P300" s="24" t="s">
        <v>22</v>
      </c>
      <c r="Q300" s="24" t="s">
        <v>22</v>
      </c>
      <c r="R300" s="24" t="s">
        <v>22</v>
      </c>
      <c r="T300" s="8"/>
      <c r="U300" s="8"/>
      <c r="V300" s="8"/>
      <c r="W300" s="8"/>
      <c r="X300" s="8"/>
      <c r="Y300" s="8"/>
      <c r="Z300" s="8"/>
      <c r="AB300" s="7" t="s">
        <v>22</v>
      </c>
      <c r="AC300" s="7" t="s">
        <v>22</v>
      </c>
      <c r="AD300" s="7" t="s">
        <v>22</v>
      </c>
      <c r="AE300" s="7" t="s">
        <v>22</v>
      </c>
      <c r="AF300" s="7" t="s">
        <v>22</v>
      </c>
      <c r="AG300" s="7" t="s">
        <v>22</v>
      </c>
      <c r="AH300" s="7" t="s">
        <v>22</v>
      </c>
      <c r="AN300" s="14"/>
      <c r="AO300" s="14"/>
      <c r="AP300" s="14"/>
      <c r="AQ300" s="14"/>
      <c r="AR300" s="14"/>
    </row>
    <row r="301" spans="11:44" x14ac:dyDescent="0.3">
      <c r="K301" s="21">
        <v>297</v>
      </c>
      <c r="L301" s="24" t="s">
        <v>22</v>
      </c>
      <c r="M301" s="24" t="s">
        <v>22</v>
      </c>
      <c r="N301" s="24" t="s">
        <v>22</v>
      </c>
      <c r="O301" s="24" t="s">
        <v>22</v>
      </c>
      <c r="P301" s="24" t="s">
        <v>22</v>
      </c>
      <c r="Q301" s="24" t="s">
        <v>22</v>
      </c>
      <c r="R301" s="24" t="s">
        <v>22</v>
      </c>
      <c r="T301" s="8"/>
      <c r="U301" s="8"/>
      <c r="V301" s="8"/>
      <c r="W301" s="8"/>
      <c r="X301" s="8"/>
      <c r="Y301" s="8"/>
      <c r="Z301" s="8"/>
      <c r="AB301" s="7" t="s">
        <v>22</v>
      </c>
      <c r="AC301" s="7" t="s">
        <v>22</v>
      </c>
      <c r="AD301" s="7" t="s">
        <v>22</v>
      </c>
      <c r="AE301" s="7" t="s">
        <v>22</v>
      </c>
      <c r="AF301" s="7" t="s">
        <v>22</v>
      </c>
      <c r="AG301" s="7" t="s">
        <v>22</v>
      </c>
      <c r="AH301" s="7" t="s">
        <v>22</v>
      </c>
      <c r="AN301" s="14"/>
      <c r="AO301" s="14"/>
      <c r="AP301" s="14"/>
      <c r="AQ301" s="14"/>
      <c r="AR301" s="14"/>
    </row>
    <row r="302" spans="11:44" x14ac:dyDescent="0.3">
      <c r="K302" s="22">
        <v>298</v>
      </c>
      <c r="L302" s="24" t="s">
        <v>22</v>
      </c>
      <c r="M302" s="24" t="s">
        <v>22</v>
      </c>
      <c r="N302" s="24" t="s">
        <v>22</v>
      </c>
      <c r="O302" s="24" t="s">
        <v>22</v>
      </c>
      <c r="P302" s="24" t="s">
        <v>22</v>
      </c>
      <c r="Q302" s="24" t="s">
        <v>22</v>
      </c>
      <c r="R302" s="24" t="s">
        <v>22</v>
      </c>
      <c r="T302" s="8"/>
      <c r="U302" s="8"/>
      <c r="V302" s="8"/>
      <c r="W302" s="8"/>
      <c r="X302" s="8"/>
      <c r="Y302" s="8"/>
      <c r="Z302" s="8"/>
      <c r="AB302" s="7" t="s">
        <v>22</v>
      </c>
      <c r="AC302" s="7" t="s">
        <v>22</v>
      </c>
      <c r="AD302" s="7" t="s">
        <v>22</v>
      </c>
      <c r="AE302" s="7" t="s">
        <v>22</v>
      </c>
      <c r="AF302" s="7" t="s">
        <v>22</v>
      </c>
      <c r="AG302" s="7" t="s">
        <v>22</v>
      </c>
      <c r="AH302" s="7" t="s">
        <v>22</v>
      </c>
      <c r="AN302" s="14"/>
      <c r="AO302" s="14"/>
      <c r="AP302" s="14"/>
      <c r="AQ302" s="14"/>
      <c r="AR302" s="14"/>
    </row>
    <row r="303" spans="11:44" x14ac:dyDescent="0.3">
      <c r="K303" s="21">
        <v>299</v>
      </c>
      <c r="L303" s="24" t="s">
        <v>22</v>
      </c>
      <c r="M303" s="24" t="s">
        <v>22</v>
      </c>
      <c r="N303" s="24" t="s">
        <v>22</v>
      </c>
      <c r="O303" s="24" t="s">
        <v>22</v>
      </c>
      <c r="P303" s="24" t="s">
        <v>22</v>
      </c>
      <c r="Q303" s="24" t="s">
        <v>22</v>
      </c>
      <c r="R303" s="24" t="s">
        <v>22</v>
      </c>
      <c r="T303" s="8"/>
      <c r="U303" s="8"/>
      <c r="V303" s="8"/>
      <c r="W303" s="8"/>
      <c r="X303" s="8"/>
      <c r="Y303" s="8"/>
      <c r="Z303" s="8"/>
      <c r="AB303" s="7" t="s">
        <v>22</v>
      </c>
      <c r="AC303" s="7" t="s">
        <v>22</v>
      </c>
      <c r="AD303" s="7" t="s">
        <v>22</v>
      </c>
      <c r="AE303" s="7" t="s">
        <v>22</v>
      </c>
      <c r="AF303" s="7" t="s">
        <v>22</v>
      </c>
      <c r="AG303" s="7" t="s">
        <v>22</v>
      </c>
      <c r="AH303" s="7" t="s">
        <v>22</v>
      </c>
      <c r="AN303" s="14"/>
      <c r="AO303" s="14"/>
      <c r="AP303" s="14"/>
      <c r="AQ303" s="14"/>
      <c r="AR303" s="14"/>
    </row>
    <row r="304" spans="11:44" s="32" customFormat="1" x14ac:dyDescent="0.3">
      <c r="K304" s="22">
        <v>300</v>
      </c>
      <c r="L304" s="24" t="s">
        <v>22</v>
      </c>
      <c r="M304" s="24" t="s">
        <v>22</v>
      </c>
      <c r="N304" s="24" t="s">
        <v>22</v>
      </c>
      <c r="O304" s="24" t="s">
        <v>22</v>
      </c>
      <c r="P304" s="24" t="s">
        <v>22</v>
      </c>
      <c r="Q304" s="24" t="s">
        <v>22</v>
      </c>
      <c r="R304" s="24" t="s">
        <v>22</v>
      </c>
      <c r="T304" s="8"/>
      <c r="U304" s="8"/>
      <c r="V304" s="8"/>
      <c r="W304" s="8"/>
      <c r="X304" s="8"/>
      <c r="Y304" s="8"/>
      <c r="Z304" s="8"/>
      <c r="AB304" s="7" t="s">
        <v>22</v>
      </c>
      <c r="AC304" s="7" t="s">
        <v>22</v>
      </c>
      <c r="AD304" s="7" t="s">
        <v>22</v>
      </c>
      <c r="AE304" s="7" t="s">
        <v>22</v>
      </c>
      <c r="AF304" s="7" t="s">
        <v>22</v>
      </c>
      <c r="AG304" s="7" t="s">
        <v>22</v>
      </c>
      <c r="AH304" s="7" t="s">
        <v>22</v>
      </c>
      <c r="AJ304" s="1"/>
      <c r="AK304" s="1"/>
      <c r="AL304" s="1"/>
      <c r="AM304" s="1"/>
      <c r="AN304" s="14"/>
      <c r="AO304" s="14"/>
      <c r="AP304" s="14"/>
      <c r="AQ304" s="14"/>
      <c r="AR304" s="14"/>
    </row>
    <row r="305" spans="11:34" x14ac:dyDescent="0.3">
      <c r="K305" s="21">
        <v>301</v>
      </c>
      <c r="L305" s="24" t="s">
        <v>22</v>
      </c>
      <c r="M305" s="24" t="s">
        <v>22</v>
      </c>
      <c r="N305" s="24" t="s">
        <v>22</v>
      </c>
      <c r="O305" s="24" t="s">
        <v>22</v>
      </c>
      <c r="P305" s="24" t="s">
        <v>22</v>
      </c>
      <c r="Q305" s="24" t="s">
        <v>22</v>
      </c>
      <c r="R305" s="24" t="s">
        <v>22</v>
      </c>
      <c r="T305" s="8"/>
      <c r="U305" s="8"/>
      <c r="V305" s="8"/>
      <c r="W305" s="8"/>
      <c r="X305" s="8"/>
      <c r="Y305" s="8"/>
      <c r="Z305" s="8"/>
      <c r="AB305" s="7" t="s">
        <v>22</v>
      </c>
      <c r="AC305" s="7" t="s">
        <v>22</v>
      </c>
      <c r="AD305" s="7" t="s">
        <v>22</v>
      </c>
      <c r="AE305" s="7" t="s">
        <v>22</v>
      </c>
      <c r="AF305" s="7" t="s">
        <v>22</v>
      </c>
      <c r="AG305" s="7" t="s">
        <v>22</v>
      </c>
      <c r="AH305" s="7" t="s">
        <v>22</v>
      </c>
    </row>
    <row r="306" spans="11:34" x14ac:dyDescent="0.3">
      <c r="K306" s="22">
        <v>302</v>
      </c>
      <c r="L306" s="24" t="s">
        <v>22</v>
      </c>
      <c r="M306" s="24" t="s">
        <v>22</v>
      </c>
      <c r="N306" s="24" t="s">
        <v>22</v>
      </c>
      <c r="O306" s="24" t="s">
        <v>22</v>
      </c>
      <c r="P306" s="24" t="s">
        <v>22</v>
      </c>
      <c r="Q306" s="24" t="s">
        <v>22</v>
      </c>
      <c r="R306" s="24" t="s">
        <v>22</v>
      </c>
      <c r="T306" s="8"/>
      <c r="U306" s="8"/>
      <c r="V306" s="8"/>
      <c r="W306" s="8"/>
      <c r="X306" s="8"/>
      <c r="Y306" s="8"/>
      <c r="Z306" s="8"/>
      <c r="AB306" s="7" t="s">
        <v>22</v>
      </c>
      <c r="AC306" s="7" t="s">
        <v>22</v>
      </c>
      <c r="AD306" s="7" t="s">
        <v>22</v>
      </c>
      <c r="AE306" s="7" t="s">
        <v>22</v>
      </c>
      <c r="AF306" s="7" t="s">
        <v>22</v>
      </c>
      <c r="AG306" s="7" t="s">
        <v>22</v>
      </c>
      <c r="AH306" s="7" t="s">
        <v>22</v>
      </c>
    </row>
    <row r="307" spans="11:34" x14ac:dyDescent="0.3">
      <c r="K307" s="21">
        <v>303</v>
      </c>
      <c r="L307" s="24" t="s">
        <v>22</v>
      </c>
      <c r="M307" s="24" t="s">
        <v>22</v>
      </c>
      <c r="N307" s="24" t="s">
        <v>22</v>
      </c>
      <c r="O307" s="24" t="s">
        <v>22</v>
      </c>
      <c r="P307" s="24" t="s">
        <v>22</v>
      </c>
      <c r="Q307" s="24" t="s">
        <v>22</v>
      </c>
      <c r="R307" s="24" t="s">
        <v>22</v>
      </c>
      <c r="T307" s="8"/>
      <c r="U307" s="8"/>
      <c r="V307" s="8"/>
      <c r="W307" s="8"/>
      <c r="X307" s="8"/>
      <c r="Y307" s="8"/>
      <c r="Z307" s="8"/>
      <c r="AB307" s="7" t="s">
        <v>22</v>
      </c>
      <c r="AC307" s="7" t="s">
        <v>22</v>
      </c>
      <c r="AD307" s="7" t="s">
        <v>22</v>
      </c>
      <c r="AE307" s="7" t="s">
        <v>22</v>
      </c>
      <c r="AF307" s="7" t="s">
        <v>22</v>
      </c>
      <c r="AG307" s="7" t="s">
        <v>22</v>
      </c>
      <c r="AH307" s="7" t="s">
        <v>22</v>
      </c>
    </row>
    <row r="308" spans="11:34" x14ac:dyDescent="0.3">
      <c r="K308" s="22">
        <v>304</v>
      </c>
      <c r="L308" s="24" t="s">
        <v>22</v>
      </c>
      <c r="M308" s="24" t="s">
        <v>22</v>
      </c>
      <c r="N308" s="24" t="s">
        <v>22</v>
      </c>
      <c r="O308" s="24" t="s">
        <v>22</v>
      </c>
      <c r="P308" s="24" t="s">
        <v>22</v>
      </c>
      <c r="Q308" s="24" t="s">
        <v>22</v>
      </c>
      <c r="R308" s="24" t="s">
        <v>22</v>
      </c>
      <c r="T308" s="8"/>
      <c r="U308" s="8"/>
      <c r="V308" s="8"/>
      <c r="W308" s="8"/>
      <c r="X308" s="8"/>
      <c r="Y308" s="8"/>
      <c r="Z308" s="8"/>
      <c r="AB308" s="7" t="s">
        <v>22</v>
      </c>
      <c r="AC308" s="7" t="s">
        <v>22</v>
      </c>
      <c r="AD308" s="7" t="s">
        <v>22</v>
      </c>
      <c r="AE308" s="7" t="s">
        <v>22</v>
      </c>
      <c r="AF308" s="7" t="s">
        <v>22</v>
      </c>
      <c r="AG308" s="7" t="s">
        <v>22</v>
      </c>
      <c r="AH308" s="7" t="s">
        <v>22</v>
      </c>
    </row>
    <row r="309" spans="11:34" x14ac:dyDescent="0.3">
      <c r="K309" s="21">
        <v>305</v>
      </c>
      <c r="L309" s="24" t="s">
        <v>22</v>
      </c>
      <c r="M309" s="24" t="s">
        <v>22</v>
      </c>
      <c r="N309" s="24" t="s">
        <v>22</v>
      </c>
      <c r="O309" s="24" t="s">
        <v>22</v>
      </c>
      <c r="P309" s="24" t="s">
        <v>22</v>
      </c>
      <c r="Q309" s="24" t="s">
        <v>22</v>
      </c>
      <c r="R309" s="24" t="s">
        <v>22</v>
      </c>
      <c r="T309" s="8"/>
      <c r="U309" s="8"/>
      <c r="V309" s="8"/>
      <c r="W309" s="8"/>
      <c r="X309" s="8"/>
      <c r="Y309" s="8"/>
      <c r="Z309" s="8"/>
      <c r="AB309" s="7" t="s">
        <v>22</v>
      </c>
      <c r="AC309" s="7" t="s">
        <v>22</v>
      </c>
      <c r="AD309" s="7" t="s">
        <v>22</v>
      </c>
      <c r="AE309" s="7" t="s">
        <v>22</v>
      </c>
      <c r="AF309" s="7" t="s">
        <v>22</v>
      </c>
      <c r="AG309" s="7" t="s">
        <v>22</v>
      </c>
      <c r="AH309" s="7" t="s">
        <v>22</v>
      </c>
    </row>
    <row r="310" spans="11:34" x14ac:dyDescent="0.3">
      <c r="K310" s="22">
        <v>306</v>
      </c>
      <c r="L310" s="24" t="s">
        <v>22</v>
      </c>
      <c r="M310" s="24" t="s">
        <v>22</v>
      </c>
      <c r="N310" s="24" t="s">
        <v>22</v>
      </c>
      <c r="O310" s="24" t="s">
        <v>22</v>
      </c>
      <c r="P310" s="24" t="s">
        <v>22</v>
      </c>
      <c r="Q310" s="24" t="s">
        <v>22</v>
      </c>
      <c r="R310" s="24" t="s">
        <v>22</v>
      </c>
      <c r="T310" s="8"/>
      <c r="U310" s="8"/>
      <c r="V310" s="8"/>
      <c r="W310" s="8"/>
      <c r="X310" s="8"/>
      <c r="Y310" s="8"/>
      <c r="Z310" s="8"/>
      <c r="AB310" s="7" t="s">
        <v>22</v>
      </c>
      <c r="AC310" s="7" t="s">
        <v>22</v>
      </c>
      <c r="AD310" s="7" t="s">
        <v>22</v>
      </c>
      <c r="AE310" s="7" t="s">
        <v>22</v>
      </c>
      <c r="AF310" s="7" t="s">
        <v>22</v>
      </c>
      <c r="AG310" s="7" t="s">
        <v>22</v>
      </c>
      <c r="AH310" s="7" t="s">
        <v>22</v>
      </c>
    </row>
    <row r="311" spans="11:34" x14ac:dyDescent="0.3">
      <c r="K311" s="21">
        <v>307</v>
      </c>
      <c r="L311" s="24" t="s">
        <v>22</v>
      </c>
      <c r="M311" s="24" t="s">
        <v>22</v>
      </c>
      <c r="N311" s="24" t="s">
        <v>22</v>
      </c>
      <c r="O311" s="24" t="s">
        <v>22</v>
      </c>
      <c r="P311" s="24" t="s">
        <v>22</v>
      </c>
      <c r="Q311" s="24" t="s">
        <v>22</v>
      </c>
      <c r="R311" s="24" t="s">
        <v>22</v>
      </c>
      <c r="T311" s="8"/>
      <c r="U311" s="8"/>
      <c r="V311" s="8"/>
      <c r="W311" s="8"/>
      <c r="X311" s="8"/>
      <c r="Y311" s="8"/>
      <c r="Z311" s="8"/>
      <c r="AB311" s="7" t="s">
        <v>22</v>
      </c>
      <c r="AC311" s="7" t="s">
        <v>22</v>
      </c>
      <c r="AD311" s="7" t="s">
        <v>22</v>
      </c>
      <c r="AE311" s="7" t="s">
        <v>22</v>
      </c>
      <c r="AF311" s="7" t="s">
        <v>22</v>
      </c>
      <c r="AG311" s="7" t="s">
        <v>22</v>
      </c>
      <c r="AH311" s="7" t="s">
        <v>22</v>
      </c>
    </row>
    <row r="312" spans="11:34" x14ac:dyDescent="0.3">
      <c r="K312" s="22">
        <v>308</v>
      </c>
      <c r="L312" s="24" t="s">
        <v>22</v>
      </c>
      <c r="M312" s="24" t="s">
        <v>22</v>
      </c>
      <c r="N312" s="24" t="s">
        <v>22</v>
      </c>
      <c r="O312" s="24" t="s">
        <v>22</v>
      </c>
      <c r="P312" s="24" t="s">
        <v>22</v>
      </c>
      <c r="Q312" s="24" t="s">
        <v>22</v>
      </c>
      <c r="R312" s="24" t="s">
        <v>22</v>
      </c>
      <c r="T312" s="8"/>
      <c r="U312" s="8"/>
      <c r="V312" s="8"/>
      <c r="W312" s="8"/>
      <c r="X312" s="8"/>
      <c r="Y312" s="8"/>
      <c r="Z312" s="8"/>
      <c r="AB312" s="7" t="s">
        <v>22</v>
      </c>
      <c r="AC312" s="7" t="s">
        <v>22</v>
      </c>
      <c r="AD312" s="7" t="s">
        <v>22</v>
      </c>
      <c r="AE312" s="7" t="s">
        <v>22</v>
      </c>
      <c r="AF312" s="7" t="s">
        <v>22</v>
      </c>
      <c r="AG312" s="7" t="s">
        <v>22</v>
      </c>
      <c r="AH312" s="7" t="s">
        <v>22</v>
      </c>
    </row>
    <row r="313" spans="11:34" x14ac:dyDescent="0.3">
      <c r="K313" s="21">
        <v>309</v>
      </c>
      <c r="L313" s="24" t="s">
        <v>22</v>
      </c>
      <c r="M313" s="24" t="s">
        <v>22</v>
      </c>
      <c r="N313" s="24" t="s">
        <v>22</v>
      </c>
      <c r="O313" s="24" t="s">
        <v>22</v>
      </c>
      <c r="P313" s="24" t="s">
        <v>22</v>
      </c>
      <c r="Q313" s="24" t="s">
        <v>22</v>
      </c>
      <c r="R313" s="24" t="s">
        <v>22</v>
      </c>
      <c r="T313" s="8"/>
      <c r="U313" s="8"/>
      <c r="V313" s="8"/>
      <c r="W313" s="8"/>
      <c r="X313" s="8"/>
      <c r="Y313" s="8"/>
      <c r="Z313" s="8"/>
      <c r="AB313" s="7" t="s">
        <v>22</v>
      </c>
      <c r="AC313" s="7" t="s">
        <v>22</v>
      </c>
      <c r="AD313" s="7" t="s">
        <v>22</v>
      </c>
      <c r="AE313" s="7" t="s">
        <v>22</v>
      </c>
      <c r="AF313" s="7" t="s">
        <v>22</v>
      </c>
      <c r="AG313" s="7" t="s">
        <v>22</v>
      </c>
      <c r="AH313" s="7" t="s">
        <v>22</v>
      </c>
    </row>
    <row r="314" spans="11:34" x14ac:dyDescent="0.3">
      <c r="K314" s="22">
        <v>310</v>
      </c>
      <c r="L314" s="24" t="s">
        <v>22</v>
      </c>
      <c r="M314" s="24" t="s">
        <v>22</v>
      </c>
      <c r="N314" s="24" t="s">
        <v>22</v>
      </c>
      <c r="O314" s="24" t="s">
        <v>22</v>
      </c>
      <c r="P314" s="24" t="s">
        <v>22</v>
      </c>
      <c r="Q314" s="24" t="s">
        <v>22</v>
      </c>
      <c r="R314" s="24" t="s">
        <v>22</v>
      </c>
      <c r="T314" s="8"/>
      <c r="U314" s="8"/>
      <c r="V314" s="8"/>
      <c r="W314" s="8"/>
      <c r="X314" s="8"/>
      <c r="Y314" s="8"/>
      <c r="Z314" s="8"/>
      <c r="AB314" s="7" t="s">
        <v>22</v>
      </c>
      <c r="AC314" s="7" t="s">
        <v>22</v>
      </c>
      <c r="AD314" s="7" t="s">
        <v>22</v>
      </c>
      <c r="AE314" s="7" t="s">
        <v>22</v>
      </c>
      <c r="AF314" s="7" t="s">
        <v>22</v>
      </c>
      <c r="AG314" s="7" t="s">
        <v>22</v>
      </c>
      <c r="AH314" s="7" t="s">
        <v>22</v>
      </c>
    </row>
    <row r="315" spans="11:34" x14ac:dyDescent="0.3">
      <c r="K315" s="21">
        <v>311</v>
      </c>
      <c r="L315" s="24" t="s">
        <v>22</v>
      </c>
      <c r="M315" s="24" t="s">
        <v>22</v>
      </c>
      <c r="N315" s="24" t="s">
        <v>22</v>
      </c>
      <c r="O315" s="24" t="s">
        <v>22</v>
      </c>
      <c r="P315" s="24" t="s">
        <v>22</v>
      </c>
      <c r="Q315" s="24" t="s">
        <v>22</v>
      </c>
      <c r="R315" s="24" t="s">
        <v>22</v>
      </c>
      <c r="T315" s="8"/>
      <c r="U315" s="8"/>
      <c r="V315" s="8"/>
      <c r="W315" s="8"/>
      <c r="X315" s="8"/>
      <c r="Y315" s="8"/>
      <c r="Z315" s="8"/>
      <c r="AB315" s="7" t="s">
        <v>22</v>
      </c>
      <c r="AC315" s="7" t="s">
        <v>22</v>
      </c>
      <c r="AD315" s="7" t="s">
        <v>22</v>
      </c>
      <c r="AE315" s="7" t="s">
        <v>22</v>
      </c>
      <c r="AF315" s="7" t="s">
        <v>22</v>
      </c>
      <c r="AG315" s="7" t="s">
        <v>22</v>
      </c>
      <c r="AH315" s="7" t="s">
        <v>22</v>
      </c>
    </row>
    <row r="316" spans="11:34" x14ac:dyDescent="0.3">
      <c r="K316" s="22">
        <v>312</v>
      </c>
      <c r="L316" s="24" t="s">
        <v>22</v>
      </c>
      <c r="M316" s="24" t="s">
        <v>22</v>
      </c>
      <c r="N316" s="24" t="s">
        <v>22</v>
      </c>
      <c r="O316" s="24" t="s">
        <v>22</v>
      </c>
      <c r="P316" s="24" t="s">
        <v>22</v>
      </c>
      <c r="Q316" s="24" t="s">
        <v>22</v>
      </c>
      <c r="R316" s="24" t="s">
        <v>22</v>
      </c>
      <c r="T316" s="8"/>
      <c r="U316" s="8"/>
      <c r="V316" s="8"/>
      <c r="W316" s="8"/>
      <c r="X316" s="8"/>
      <c r="Y316" s="8"/>
      <c r="Z316" s="8"/>
      <c r="AB316" s="7" t="s">
        <v>22</v>
      </c>
      <c r="AC316" s="7" t="s">
        <v>22</v>
      </c>
      <c r="AD316" s="7" t="s">
        <v>22</v>
      </c>
      <c r="AE316" s="7" t="s">
        <v>22</v>
      </c>
      <c r="AF316" s="7" t="s">
        <v>22</v>
      </c>
      <c r="AG316" s="7" t="s">
        <v>22</v>
      </c>
      <c r="AH316" s="7" t="s">
        <v>22</v>
      </c>
    </row>
    <row r="317" spans="11:34" x14ac:dyDescent="0.3">
      <c r="K317" s="21">
        <v>313</v>
      </c>
      <c r="L317" s="24" t="s">
        <v>22</v>
      </c>
      <c r="M317" s="24" t="s">
        <v>22</v>
      </c>
      <c r="N317" s="24" t="s">
        <v>22</v>
      </c>
      <c r="O317" s="24" t="s">
        <v>22</v>
      </c>
      <c r="P317" s="24" t="s">
        <v>22</v>
      </c>
      <c r="Q317" s="24" t="s">
        <v>22</v>
      </c>
      <c r="R317" s="24" t="s">
        <v>22</v>
      </c>
      <c r="T317" s="8"/>
      <c r="U317" s="8"/>
      <c r="V317" s="8"/>
      <c r="W317" s="8"/>
      <c r="X317" s="8"/>
      <c r="Y317" s="8"/>
      <c r="Z317" s="8"/>
      <c r="AB317" s="7" t="s">
        <v>22</v>
      </c>
      <c r="AC317" s="7" t="s">
        <v>22</v>
      </c>
      <c r="AD317" s="7" t="s">
        <v>22</v>
      </c>
      <c r="AE317" s="7" t="s">
        <v>22</v>
      </c>
      <c r="AF317" s="7" t="s">
        <v>22</v>
      </c>
      <c r="AG317" s="7" t="s">
        <v>22</v>
      </c>
      <c r="AH317" s="7" t="s">
        <v>22</v>
      </c>
    </row>
    <row r="318" spans="11:34" x14ac:dyDescent="0.3">
      <c r="K318" s="22">
        <v>314</v>
      </c>
      <c r="L318" s="24" t="s">
        <v>22</v>
      </c>
      <c r="M318" s="24" t="s">
        <v>22</v>
      </c>
      <c r="N318" s="24" t="s">
        <v>22</v>
      </c>
      <c r="O318" s="24" t="s">
        <v>22</v>
      </c>
      <c r="P318" s="24" t="s">
        <v>22</v>
      </c>
      <c r="Q318" s="24" t="s">
        <v>22</v>
      </c>
      <c r="R318" s="24" t="s">
        <v>22</v>
      </c>
      <c r="T318" s="8"/>
      <c r="U318" s="8"/>
      <c r="V318" s="8"/>
      <c r="W318" s="8"/>
      <c r="X318" s="8"/>
      <c r="Y318" s="8"/>
      <c r="Z318" s="8"/>
      <c r="AB318" s="7" t="s">
        <v>22</v>
      </c>
      <c r="AC318" s="7" t="s">
        <v>22</v>
      </c>
      <c r="AD318" s="7" t="s">
        <v>22</v>
      </c>
      <c r="AE318" s="7" t="s">
        <v>22</v>
      </c>
      <c r="AF318" s="7" t="s">
        <v>22</v>
      </c>
      <c r="AG318" s="7" t="s">
        <v>22</v>
      </c>
      <c r="AH318" s="7" t="s">
        <v>22</v>
      </c>
    </row>
    <row r="319" spans="11:34" x14ac:dyDescent="0.3">
      <c r="K319" s="21">
        <v>315</v>
      </c>
      <c r="L319" s="24" t="s">
        <v>22</v>
      </c>
      <c r="M319" s="24" t="s">
        <v>22</v>
      </c>
      <c r="N319" s="24" t="s">
        <v>22</v>
      </c>
      <c r="O319" s="24" t="s">
        <v>22</v>
      </c>
      <c r="P319" s="24" t="s">
        <v>22</v>
      </c>
      <c r="Q319" s="24" t="s">
        <v>22</v>
      </c>
      <c r="R319" s="24" t="s">
        <v>22</v>
      </c>
      <c r="T319" s="8"/>
      <c r="U319" s="8"/>
      <c r="V319" s="8"/>
      <c r="W319" s="8"/>
      <c r="X319" s="8"/>
      <c r="Y319" s="8"/>
      <c r="Z319" s="8"/>
      <c r="AB319" s="7" t="s">
        <v>22</v>
      </c>
      <c r="AC319" s="7" t="s">
        <v>22</v>
      </c>
      <c r="AD319" s="7" t="s">
        <v>22</v>
      </c>
      <c r="AE319" s="7" t="s">
        <v>22</v>
      </c>
      <c r="AF319" s="7" t="s">
        <v>22</v>
      </c>
      <c r="AG319" s="7" t="s">
        <v>22</v>
      </c>
      <c r="AH319" s="7" t="s">
        <v>22</v>
      </c>
    </row>
    <row r="320" spans="11:34" x14ac:dyDescent="0.3">
      <c r="K320" s="22">
        <v>316</v>
      </c>
      <c r="L320" s="24" t="s">
        <v>22</v>
      </c>
      <c r="M320" s="24" t="s">
        <v>22</v>
      </c>
      <c r="N320" s="24" t="s">
        <v>22</v>
      </c>
      <c r="O320" s="24" t="s">
        <v>22</v>
      </c>
      <c r="P320" s="24" t="s">
        <v>22</v>
      </c>
      <c r="Q320" s="24" t="s">
        <v>22</v>
      </c>
      <c r="R320" s="24" t="s">
        <v>22</v>
      </c>
      <c r="T320" s="8"/>
      <c r="U320" s="8"/>
      <c r="V320" s="8"/>
      <c r="W320" s="8"/>
      <c r="X320" s="8"/>
      <c r="Y320" s="8"/>
      <c r="Z320" s="8"/>
      <c r="AB320" s="7" t="s">
        <v>22</v>
      </c>
      <c r="AC320" s="7" t="s">
        <v>22</v>
      </c>
      <c r="AD320" s="7" t="s">
        <v>22</v>
      </c>
      <c r="AE320" s="7" t="s">
        <v>22</v>
      </c>
      <c r="AF320" s="7" t="s">
        <v>22</v>
      </c>
      <c r="AG320" s="7" t="s">
        <v>22</v>
      </c>
      <c r="AH320" s="7" t="s">
        <v>22</v>
      </c>
    </row>
    <row r="321" spans="11:44" x14ac:dyDescent="0.3">
      <c r="K321" s="21">
        <v>317</v>
      </c>
      <c r="L321" s="24" t="s">
        <v>22</v>
      </c>
      <c r="M321" s="24" t="s">
        <v>22</v>
      </c>
      <c r="N321" s="24" t="s">
        <v>22</v>
      </c>
      <c r="O321" s="24" t="s">
        <v>22</v>
      </c>
      <c r="P321" s="24" t="s">
        <v>22</v>
      </c>
      <c r="Q321" s="24" t="s">
        <v>22</v>
      </c>
      <c r="R321" s="24" t="s">
        <v>22</v>
      </c>
      <c r="T321" s="8"/>
      <c r="U321" s="8"/>
      <c r="V321" s="8"/>
      <c r="W321" s="8"/>
      <c r="X321" s="8"/>
      <c r="Y321" s="8"/>
      <c r="Z321" s="8"/>
      <c r="AB321" s="7" t="s">
        <v>22</v>
      </c>
      <c r="AC321" s="7" t="s">
        <v>22</v>
      </c>
      <c r="AD321" s="7" t="s">
        <v>22</v>
      </c>
      <c r="AE321" s="7" t="s">
        <v>22</v>
      </c>
      <c r="AF321" s="7" t="s">
        <v>22</v>
      </c>
      <c r="AG321" s="7" t="s">
        <v>22</v>
      </c>
      <c r="AH321" s="7" t="s">
        <v>22</v>
      </c>
    </row>
    <row r="322" spans="11:44" x14ac:dyDescent="0.3">
      <c r="K322" s="22">
        <v>318</v>
      </c>
      <c r="L322" s="24" t="s">
        <v>22</v>
      </c>
      <c r="M322" s="24" t="s">
        <v>22</v>
      </c>
      <c r="N322" s="24" t="s">
        <v>22</v>
      </c>
      <c r="O322" s="24" t="s">
        <v>22</v>
      </c>
      <c r="P322" s="24" t="s">
        <v>22</v>
      </c>
      <c r="Q322" s="24" t="s">
        <v>22</v>
      </c>
      <c r="R322" s="24" t="s">
        <v>22</v>
      </c>
      <c r="T322" s="8"/>
      <c r="U322" s="8"/>
      <c r="V322" s="8"/>
      <c r="W322" s="8"/>
      <c r="X322" s="8"/>
      <c r="Y322" s="8"/>
      <c r="Z322" s="8"/>
      <c r="AB322" s="7" t="s">
        <v>22</v>
      </c>
      <c r="AC322" s="7" t="s">
        <v>22</v>
      </c>
      <c r="AD322" s="7" t="s">
        <v>22</v>
      </c>
      <c r="AE322" s="7" t="s">
        <v>22</v>
      </c>
      <c r="AF322" s="7" t="s">
        <v>22</v>
      </c>
      <c r="AG322" s="7" t="s">
        <v>22</v>
      </c>
      <c r="AH322" s="7" t="s">
        <v>22</v>
      </c>
      <c r="AJ322" s="32"/>
      <c r="AK322" s="32"/>
      <c r="AL322" s="32"/>
      <c r="AM322" s="32"/>
      <c r="AN322" s="32"/>
      <c r="AO322" s="32"/>
      <c r="AP322" s="32"/>
      <c r="AQ322" s="32"/>
      <c r="AR322" s="32"/>
    </row>
    <row r="323" spans="11:44" x14ac:dyDescent="0.3">
      <c r="K323" s="21">
        <v>319</v>
      </c>
      <c r="L323" s="24" t="s">
        <v>22</v>
      </c>
      <c r="M323" s="24" t="s">
        <v>22</v>
      </c>
      <c r="N323" s="24" t="s">
        <v>22</v>
      </c>
      <c r="O323" s="24" t="s">
        <v>22</v>
      </c>
      <c r="P323" s="24" t="s">
        <v>22</v>
      </c>
      <c r="Q323" s="24" t="s">
        <v>22</v>
      </c>
      <c r="R323" s="24" t="s">
        <v>22</v>
      </c>
      <c r="T323" s="8"/>
      <c r="U323" s="8"/>
      <c r="V323" s="8"/>
      <c r="W323" s="8"/>
      <c r="X323" s="8"/>
      <c r="Y323" s="8"/>
      <c r="Z323" s="8"/>
      <c r="AB323" s="7" t="s">
        <v>22</v>
      </c>
      <c r="AC323" s="7" t="s">
        <v>22</v>
      </c>
      <c r="AD323" s="7" t="s">
        <v>22</v>
      </c>
      <c r="AE323" s="7" t="s">
        <v>22</v>
      </c>
      <c r="AF323" s="7" t="s">
        <v>22</v>
      </c>
      <c r="AG323" s="7" t="s">
        <v>22</v>
      </c>
      <c r="AH323" s="7" t="s">
        <v>22</v>
      </c>
    </row>
    <row r="324" spans="11:44" x14ac:dyDescent="0.3">
      <c r="K324" s="22">
        <v>320</v>
      </c>
      <c r="L324" s="24" t="s">
        <v>22</v>
      </c>
      <c r="M324" s="24" t="s">
        <v>22</v>
      </c>
      <c r="N324" s="24" t="s">
        <v>22</v>
      </c>
      <c r="O324" s="24" t="s">
        <v>22</v>
      </c>
      <c r="P324" s="24" t="s">
        <v>22</v>
      </c>
      <c r="Q324" s="24" t="s">
        <v>22</v>
      </c>
      <c r="R324" s="24" t="s">
        <v>22</v>
      </c>
      <c r="T324" s="8"/>
      <c r="U324" s="8"/>
      <c r="V324" s="8"/>
      <c r="W324" s="8"/>
      <c r="X324" s="8"/>
      <c r="Y324" s="8"/>
      <c r="Z324" s="8"/>
      <c r="AB324" s="7" t="s">
        <v>22</v>
      </c>
      <c r="AC324" s="7" t="s">
        <v>22</v>
      </c>
      <c r="AD324" s="7" t="s">
        <v>22</v>
      </c>
      <c r="AE324" s="7" t="s">
        <v>22</v>
      </c>
      <c r="AF324" s="7" t="s">
        <v>22</v>
      </c>
      <c r="AG324" s="7" t="s">
        <v>22</v>
      </c>
      <c r="AH324" s="7" t="s">
        <v>22</v>
      </c>
    </row>
    <row r="325" spans="11:44" x14ac:dyDescent="0.3">
      <c r="K325" s="21">
        <v>321</v>
      </c>
      <c r="L325" s="24" t="s">
        <v>22</v>
      </c>
      <c r="M325" s="24" t="s">
        <v>22</v>
      </c>
      <c r="N325" s="24" t="s">
        <v>22</v>
      </c>
      <c r="O325" s="24" t="s">
        <v>22</v>
      </c>
      <c r="P325" s="24" t="s">
        <v>22</v>
      </c>
      <c r="Q325" s="24" t="s">
        <v>22</v>
      </c>
      <c r="R325" s="24" t="s">
        <v>22</v>
      </c>
      <c r="T325" s="8"/>
      <c r="U325" s="8"/>
      <c r="V325" s="8"/>
      <c r="W325" s="8"/>
      <c r="X325" s="8"/>
      <c r="Y325" s="8"/>
      <c r="Z325" s="8"/>
      <c r="AB325" s="7" t="s">
        <v>22</v>
      </c>
      <c r="AC325" s="7" t="s">
        <v>22</v>
      </c>
      <c r="AD325" s="7" t="s">
        <v>22</v>
      </c>
      <c r="AE325" s="7" t="s">
        <v>22</v>
      </c>
      <c r="AF325" s="7" t="s">
        <v>22</v>
      </c>
      <c r="AG325" s="7" t="s">
        <v>22</v>
      </c>
      <c r="AH325" s="7" t="s">
        <v>22</v>
      </c>
    </row>
    <row r="326" spans="11:44" x14ac:dyDescent="0.3">
      <c r="K326" s="22">
        <v>322</v>
      </c>
      <c r="L326" s="24" t="s">
        <v>22</v>
      </c>
      <c r="M326" s="24" t="s">
        <v>22</v>
      </c>
      <c r="N326" s="24" t="s">
        <v>22</v>
      </c>
      <c r="O326" s="24" t="s">
        <v>22</v>
      </c>
      <c r="P326" s="24" t="s">
        <v>22</v>
      </c>
      <c r="Q326" s="24" t="s">
        <v>22</v>
      </c>
      <c r="R326" s="24" t="s">
        <v>22</v>
      </c>
      <c r="T326" s="8"/>
      <c r="U326" s="8"/>
      <c r="V326" s="8"/>
      <c r="W326" s="8"/>
      <c r="X326" s="8"/>
      <c r="Y326" s="8"/>
      <c r="Z326" s="8"/>
      <c r="AB326" s="7" t="s">
        <v>22</v>
      </c>
      <c r="AC326" s="7" t="s">
        <v>22</v>
      </c>
      <c r="AD326" s="7" t="s">
        <v>22</v>
      </c>
      <c r="AE326" s="7" t="s">
        <v>22</v>
      </c>
      <c r="AF326" s="7" t="s">
        <v>22</v>
      </c>
      <c r="AG326" s="7" t="s">
        <v>22</v>
      </c>
      <c r="AH326" s="7" t="s">
        <v>22</v>
      </c>
    </row>
    <row r="327" spans="11:44" x14ac:dyDescent="0.3">
      <c r="K327" s="21">
        <v>323</v>
      </c>
      <c r="L327" s="24" t="s">
        <v>22</v>
      </c>
      <c r="M327" s="24" t="s">
        <v>22</v>
      </c>
      <c r="N327" s="24" t="s">
        <v>22</v>
      </c>
      <c r="O327" s="24" t="s">
        <v>22</v>
      </c>
      <c r="P327" s="24" t="s">
        <v>22</v>
      </c>
      <c r="Q327" s="24" t="s">
        <v>22</v>
      </c>
      <c r="R327" s="24" t="s">
        <v>22</v>
      </c>
      <c r="T327" s="8"/>
      <c r="U327" s="8"/>
      <c r="V327" s="8"/>
      <c r="W327" s="8"/>
      <c r="X327" s="8"/>
      <c r="Y327" s="8"/>
      <c r="Z327" s="8"/>
      <c r="AB327" s="7" t="s">
        <v>22</v>
      </c>
      <c r="AC327" s="7" t="s">
        <v>22</v>
      </c>
      <c r="AD327" s="7" t="s">
        <v>22</v>
      </c>
      <c r="AE327" s="7" t="s">
        <v>22</v>
      </c>
      <c r="AF327" s="7" t="s">
        <v>22</v>
      </c>
      <c r="AG327" s="7" t="s">
        <v>22</v>
      </c>
      <c r="AH327" s="7" t="s">
        <v>22</v>
      </c>
    </row>
    <row r="328" spans="11:44" x14ac:dyDescent="0.3">
      <c r="K328" s="22">
        <v>324</v>
      </c>
      <c r="L328" s="24" t="s">
        <v>22</v>
      </c>
      <c r="M328" s="24" t="s">
        <v>22</v>
      </c>
      <c r="N328" s="24" t="s">
        <v>22</v>
      </c>
      <c r="O328" s="24" t="s">
        <v>22</v>
      </c>
      <c r="P328" s="24" t="s">
        <v>22</v>
      </c>
      <c r="Q328" s="24" t="s">
        <v>22</v>
      </c>
      <c r="R328" s="24" t="s">
        <v>22</v>
      </c>
      <c r="T328" s="8"/>
      <c r="U328" s="8"/>
      <c r="V328" s="8"/>
      <c r="W328" s="8"/>
      <c r="X328" s="8"/>
      <c r="Y328" s="8"/>
      <c r="Z328" s="8"/>
      <c r="AB328" s="7" t="s">
        <v>22</v>
      </c>
      <c r="AC328" s="7" t="s">
        <v>22</v>
      </c>
      <c r="AD328" s="7" t="s">
        <v>22</v>
      </c>
      <c r="AE328" s="7" t="s">
        <v>22</v>
      </c>
      <c r="AF328" s="7" t="s">
        <v>22</v>
      </c>
      <c r="AG328" s="7" t="s">
        <v>22</v>
      </c>
      <c r="AH328" s="7" t="s">
        <v>22</v>
      </c>
    </row>
    <row r="329" spans="11:44" x14ac:dyDescent="0.3">
      <c r="K329" s="21">
        <v>325</v>
      </c>
      <c r="L329" s="24" t="s">
        <v>22</v>
      </c>
      <c r="M329" s="24" t="s">
        <v>22</v>
      </c>
      <c r="N329" s="24" t="s">
        <v>22</v>
      </c>
      <c r="O329" s="24" t="s">
        <v>22</v>
      </c>
      <c r="P329" s="24" t="s">
        <v>22</v>
      </c>
      <c r="Q329" s="24" t="s">
        <v>22</v>
      </c>
      <c r="R329" s="24" t="s">
        <v>22</v>
      </c>
      <c r="T329" s="8"/>
      <c r="U329" s="8"/>
      <c r="V329" s="8"/>
      <c r="W329" s="8"/>
      <c r="X329" s="8"/>
      <c r="Y329" s="8"/>
      <c r="Z329" s="8"/>
      <c r="AB329" s="7" t="s">
        <v>22</v>
      </c>
      <c r="AC329" s="7" t="s">
        <v>22</v>
      </c>
      <c r="AD329" s="7" t="s">
        <v>22</v>
      </c>
      <c r="AE329" s="7" t="s">
        <v>22</v>
      </c>
      <c r="AF329" s="7" t="s">
        <v>22</v>
      </c>
      <c r="AG329" s="7" t="s">
        <v>22</v>
      </c>
      <c r="AH329" s="7" t="s">
        <v>22</v>
      </c>
    </row>
    <row r="330" spans="11:44" x14ac:dyDescent="0.3">
      <c r="K330" s="22">
        <v>326</v>
      </c>
      <c r="L330" s="24" t="s">
        <v>22</v>
      </c>
      <c r="M330" s="24" t="s">
        <v>22</v>
      </c>
      <c r="N330" s="24" t="s">
        <v>22</v>
      </c>
      <c r="O330" s="24" t="s">
        <v>22</v>
      </c>
      <c r="P330" s="24" t="s">
        <v>22</v>
      </c>
      <c r="Q330" s="24" t="s">
        <v>22</v>
      </c>
      <c r="R330" s="24" t="s">
        <v>22</v>
      </c>
      <c r="T330" s="8"/>
      <c r="U330" s="8"/>
      <c r="V330" s="8"/>
      <c r="W330" s="8"/>
      <c r="X330" s="8"/>
      <c r="Y330" s="8"/>
      <c r="Z330" s="8"/>
      <c r="AB330" s="7" t="s">
        <v>22</v>
      </c>
      <c r="AC330" s="7" t="s">
        <v>22</v>
      </c>
      <c r="AD330" s="7" t="s">
        <v>22</v>
      </c>
      <c r="AE330" s="7" t="s">
        <v>22</v>
      </c>
      <c r="AF330" s="7" t="s">
        <v>22</v>
      </c>
      <c r="AG330" s="7" t="s">
        <v>22</v>
      </c>
      <c r="AH330" s="7" t="s">
        <v>22</v>
      </c>
    </row>
    <row r="331" spans="11:44" x14ac:dyDescent="0.3">
      <c r="K331" s="21">
        <v>327</v>
      </c>
      <c r="L331" s="24" t="s">
        <v>22</v>
      </c>
      <c r="M331" s="24" t="s">
        <v>22</v>
      </c>
      <c r="N331" s="24" t="s">
        <v>22</v>
      </c>
      <c r="O331" s="24" t="s">
        <v>22</v>
      </c>
      <c r="P331" s="24" t="s">
        <v>22</v>
      </c>
      <c r="Q331" s="24" t="s">
        <v>22</v>
      </c>
      <c r="R331" s="24" t="s">
        <v>22</v>
      </c>
      <c r="T331" s="8"/>
      <c r="U331" s="8"/>
      <c r="V331" s="8"/>
      <c r="W331" s="8"/>
      <c r="X331" s="8"/>
      <c r="Y331" s="8"/>
      <c r="Z331" s="8"/>
      <c r="AB331" s="7" t="s">
        <v>22</v>
      </c>
      <c r="AC331" s="7" t="s">
        <v>22</v>
      </c>
      <c r="AD331" s="7" t="s">
        <v>22</v>
      </c>
      <c r="AE331" s="7" t="s">
        <v>22</v>
      </c>
      <c r="AF331" s="7" t="s">
        <v>22</v>
      </c>
      <c r="AG331" s="7" t="s">
        <v>22</v>
      </c>
      <c r="AH331" s="7" t="s">
        <v>22</v>
      </c>
    </row>
    <row r="332" spans="11:44" x14ac:dyDescent="0.3">
      <c r="K332" s="22">
        <v>328</v>
      </c>
      <c r="L332" s="24" t="s">
        <v>22</v>
      </c>
      <c r="M332" s="24" t="s">
        <v>22</v>
      </c>
      <c r="N332" s="24" t="s">
        <v>22</v>
      </c>
      <c r="O332" s="24" t="s">
        <v>22</v>
      </c>
      <c r="P332" s="24" t="s">
        <v>22</v>
      </c>
      <c r="Q332" s="24" t="s">
        <v>22</v>
      </c>
      <c r="R332" s="24" t="s">
        <v>22</v>
      </c>
      <c r="T332" s="8"/>
      <c r="U332" s="8"/>
      <c r="V332" s="8"/>
      <c r="W332" s="8"/>
      <c r="X332" s="8"/>
      <c r="Y332" s="8"/>
      <c r="Z332" s="8"/>
      <c r="AB332" s="7" t="s">
        <v>22</v>
      </c>
      <c r="AC332" s="7" t="s">
        <v>22</v>
      </c>
      <c r="AD332" s="7" t="s">
        <v>22</v>
      </c>
      <c r="AE332" s="7" t="s">
        <v>22</v>
      </c>
      <c r="AF332" s="7" t="s">
        <v>22</v>
      </c>
      <c r="AG332" s="7" t="s">
        <v>22</v>
      </c>
      <c r="AH332" s="7" t="s">
        <v>22</v>
      </c>
    </row>
    <row r="333" spans="11:44" x14ac:dyDescent="0.3">
      <c r="K333" s="21">
        <v>329</v>
      </c>
      <c r="L333" s="24" t="s">
        <v>22</v>
      </c>
      <c r="M333" s="24" t="s">
        <v>22</v>
      </c>
      <c r="N333" s="24" t="s">
        <v>22</v>
      </c>
      <c r="O333" s="24" t="s">
        <v>22</v>
      </c>
      <c r="P333" s="24" t="s">
        <v>22</v>
      </c>
      <c r="Q333" s="24" t="s">
        <v>22</v>
      </c>
      <c r="R333" s="24" t="s">
        <v>22</v>
      </c>
      <c r="T333" s="8"/>
      <c r="U333" s="8"/>
      <c r="V333" s="8"/>
      <c r="W333" s="8"/>
      <c r="X333" s="8"/>
      <c r="Y333" s="8"/>
      <c r="Z333" s="8"/>
      <c r="AB333" s="7" t="s">
        <v>22</v>
      </c>
      <c r="AC333" s="7" t="s">
        <v>22</v>
      </c>
      <c r="AD333" s="7" t="s">
        <v>22</v>
      </c>
      <c r="AE333" s="7" t="s">
        <v>22</v>
      </c>
      <c r="AF333" s="7" t="s">
        <v>22</v>
      </c>
      <c r="AG333" s="7" t="s">
        <v>22</v>
      </c>
      <c r="AH333" s="7" t="s">
        <v>22</v>
      </c>
    </row>
    <row r="334" spans="11:44" x14ac:dyDescent="0.3">
      <c r="K334" s="22">
        <v>330</v>
      </c>
      <c r="L334" s="24" t="s">
        <v>22</v>
      </c>
      <c r="M334" s="24" t="s">
        <v>22</v>
      </c>
      <c r="N334" s="24" t="s">
        <v>22</v>
      </c>
      <c r="O334" s="24" t="s">
        <v>22</v>
      </c>
      <c r="P334" s="24" t="s">
        <v>22</v>
      </c>
      <c r="Q334" s="24" t="s">
        <v>22</v>
      </c>
      <c r="R334" s="24" t="s">
        <v>22</v>
      </c>
      <c r="T334" s="8"/>
      <c r="U334" s="8"/>
      <c r="V334" s="8"/>
      <c r="W334" s="8"/>
      <c r="X334" s="8"/>
      <c r="Y334" s="8"/>
      <c r="Z334" s="8"/>
      <c r="AB334" s="7" t="s">
        <v>22</v>
      </c>
      <c r="AC334" s="7" t="s">
        <v>22</v>
      </c>
      <c r="AD334" s="7" t="s">
        <v>22</v>
      </c>
      <c r="AE334" s="7" t="s">
        <v>22</v>
      </c>
      <c r="AF334" s="7" t="s">
        <v>22</v>
      </c>
      <c r="AG334" s="7" t="s">
        <v>22</v>
      </c>
      <c r="AH334" s="7" t="s">
        <v>22</v>
      </c>
    </row>
    <row r="335" spans="11:44" x14ac:dyDescent="0.3">
      <c r="K335" s="21">
        <v>331</v>
      </c>
      <c r="L335" s="24" t="s">
        <v>22</v>
      </c>
      <c r="M335" s="24" t="s">
        <v>22</v>
      </c>
      <c r="N335" s="24" t="s">
        <v>22</v>
      </c>
      <c r="O335" s="24" t="s">
        <v>22</v>
      </c>
      <c r="P335" s="24" t="s">
        <v>22</v>
      </c>
      <c r="Q335" s="24" t="s">
        <v>22</v>
      </c>
      <c r="R335" s="24" t="s">
        <v>22</v>
      </c>
      <c r="T335" s="8"/>
      <c r="U335" s="8"/>
      <c r="V335" s="8"/>
      <c r="W335" s="8"/>
      <c r="X335" s="8"/>
      <c r="Y335" s="8"/>
      <c r="Z335" s="8"/>
      <c r="AB335" s="7" t="s">
        <v>22</v>
      </c>
      <c r="AC335" s="7" t="s">
        <v>22</v>
      </c>
      <c r="AD335" s="7" t="s">
        <v>22</v>
      </c>
      <c r="AE335" s="7" t="s">
        <v>22</v>
      </c>
      <c r="AF335" s="7" t="s">
        <v>22</v>
      </c>
      <c r="AG335" s="7" t="s">
        <v>22</v>
      </c>
      <c r="AH335" s="7" t="s">
        <v>22</v>
      </c>
    </row>
    <row r="336" spans="11:44" x14ac:dyDescent="0.3">
      <c r="K336" s="22">
        <v>332</v>
      </c>
      <c r="L336" s="24" t="s">
        <v>22</v>
      </c>
      <c r="M336" s="24" t="s">
        <v>22</v>
      </c>
      <c r="N336" s="24" t="s">
        <v>22</v>
      </c>
      <c r="O336" s="24" t="s">
        <v>22</v>
      </c>
      <c r="P336" s="24" t="s">
        <v>22</v>
      </c>
      <c r="Q336" s="24" t="s">
        <v>22</v>
      </c>
      <c r="R336" s="24" t="s">
        <v>22</v>
      </c>
      <c r="T336" s="8"/>
      <c r="U336" s="8"/>
      <c r="V336" s="8"/>
      <c r="W336" s="8"/>
      <c r="X336" s="8"/>
      <c r="Y336" s="8"/>
      <c r="Z336" s="8"/>
      <c r="AB336" s="7" t="s">
        <v>22</v>
      </c>
      <c r="AC336" s="7" t="s">
        <v>22</v>
      </c>
      <c r="AD336" s="7" t="s">
        <v>22</v>
      </c>
      <c r="AE336" s="7" t="s">
        <v>22</v>
      </c>
      <c r="AF336" s="7" t="s">
        <v>22</v>
      </c>
      <c r="AG336" s="7" t="s">
        <v>22</v>
      </c>
      <c r="AH336" s="7" t="s">
        <v>22</v>
      </c>
    </row>
    <row r="337" spans="11:34" x14ac:dyDescent="0.3">
      <c r="K337" s="21">
        <v>333</v>
      </c>
      <c r="L337" s="24" t="s">
        <v>22</v>
      </c>
      <c r="M337" s="24" t="s">
        <v>22</v>
      </c>
      <c r="N337" s="24" t="s">
        <v>22</v>
      </c>
      <c r="O337" s="24" t="s">
        <v>22</v>
      </c>
      <c r="P337" s="24" t="s">
        <v>22</v>
      </c>
      <c r="Q337" s="24" t="s">
        <v>22</v>
      </c>
      <c r="R337" s="24" t="s">
        <v>22</v>
      </c>
      <c r="T337" s="8"/>
      <c r="U337" s="8"/>
      <c r="V337" s="8"/>
      <c r="W337" s="8"/>
      <c r="X337" s="8"/>
      <c r="Y337" s="8"/>
      <c r="Z337" s="8"/>
      <c r="AB337" s="7" t="s">
        <v>22</v>
      </c>
      <c r="AC337" s="7" t="s">
        <v>22</v>
      </c>
      <c r="AD337" s="7" t="s">
        <v>22</v>
      </c>
      <c r="AE337" s="7" t="s">
        <v>22</v>
      </c>
      <c r="AF337" s="7" t="s">
        <v>22</v>
      </c>
      <c r="AG337" s="7" t="s">
        <v>22</v>
      </c>
      <c r="AH337" s="7" t="s">
        <v>22</v>
      </c>
    </row>
    <row r="338" spans="11:34" x14ac:dyDescent="0.3">
      <c r="K338" s="22">
        <v>334</v>
      </c>
      <c r="L338" s="24" t="s">
        <v>22</v>
      </c>
      <c r="M338" s="24" t="s">
        <v>22</v>
      </c>
      <c r="N338" s="24" t="s">
        <v>22</v>
      </c>
      <c r="O338" s="24" t="s">
        <v>22</v>
      </c>
      <c r="P338" s="24" t="s">
        <v>22</v>
      </c>
      <c r="Q338" s="24" t="s">
        <v>22</v>
      </c>
      <c r="R338" s="24" t="s">
        <v>22</v>
      </c>
      <c r="T338" s="8"/>
      <c r="U338" s="8"/>
      <c r="V338" s="8"/>
      <c r="W338" s="8"/>
      <c r="X338" s="8"/>
      <c r="Y338" s="8"/>
      <c r="Z338" s="8"/>
      <c r="AB338" s="7" t="s">
        <v>22</v>
      </c>
      <c r="AC338" s="7" t="s">
        <v>22</v>
      </c>
      <c r="AD338" s="7" t="s">
        <v>22</v>
      </c>
      <c r="AE338" s="7" t="s">
        <v>22</v>
      </c>
      <c r="AF338" s="7" t="s">
        <v>22</v>
      </c>
      <c r="AG338" s="7" t="s">
        <v>22</v>
      </c>
      <c r="AH338" s="7" t="s">
        <v>22</v>
      </c>
    </row>
    <row r="339" spans="11:34" x14ac:dyDescent="0.3">
      <c r="K339" s="21">
        <v>335</v>
      </c>
      <c r="L339" s="24" t="s">
        <v>22</v>
      </c>
      <c r="M339" s="24" t="s">
        <v>22</v>
      </c>
      <c r="N339" s="24" t="s">
        <v>22</v>
      </c>
      <c r="O339" s="24" t="s">
        <v>22</v>
      </c>
      <c r="P339" s="24" t="s">
        <v>22</v>
      </c>
      <c r="Q339" s="24" t="s">
        <v>22</v>
      </c>
      <c r="R339" s="24" t="s">
        <v>22</v>
      </c>
      <c r="T339" s="8"/>
      <c r="U339" s="8"/>
      <c r="V339" s="8"/>
      <c r="W339" s="8"/>
      <c r="X339" s="8"/>
      <c r="Y339" s="8"/>
      <c r="Z339" s="8"/>
      <c r="AB339" s="7" t="s">
        <v>22</v>
      </c>
      <c r="AC339" s="7" t="s">
        <v>22</v>
      </c>
      <c r="AD339" s="7" t="s">
        <v>22</v>
      </c>
      <c r="AE339" s="7" t="s">
        <v>22</v>
      </c>
      <c r="AF339" s="7" t="s">
        <v>22</v>
      </c>
      <c r="AG339" s="7" t="s">
        <v>22</v>
      </c>
      <c r="AH339" s="7" t="s">
        <v>22</v>
      </c>
    </row>
    <row r="340" spans="11:34" x14ac:dyDescent="0.3">
      <c r="K340" s="22">
        <v>336</v>
      </c>
      <c r="L340" s="24" t="s">
        <v>22</v>
      </c>
      <c r="M340" s="24" t="s">
        <v>22</v>
      </c>
      <c r="N340" s="24" t="s">
        <v>22</v>
      </c>
      <c r="O340" s="24" t="s">
        <v>22</v>
      </c>
      <c r="P340" s="24" t="s">
        <v>22</v>
      </c>
      <c r="Q340" s="24" t="s">
        <v>22</v>
      </c>
      <c r="R340" s="24" t="s">
        <v>22</v>
      </c>
      <c r="T340" s="8"/>
      <c r="U340" s="8"/>
      <c r="V340" s="8"/>
      <c r="W340" s="8"/>
      <c r="X340" s="8"/>
      <c r="Y340" s="8"/>
      <c r="Z340" s="8"/>
      <c r="AB340" s="7" t="s">
        <v>22</v>
      </c>
      <c r="AC340" s="7" t="s">
        <v>22</v>
      </c>
      <c r="AD340" s="7" t="s">
        <v>22</v>
      </c>
      <c r="AE340" s="7" t="s">
        <v>22</v>
      </c>
      <c r="AF340" s="7" t="s">
        <v>22</v>
      </c>
      <c r="AG340" s="7" t="s">
        <v>22</v>
      </c>
      <c r="AH340" s="7" t="s">
        <v>22</v>
      </c>
    </row>
    <row r="341" spans="11:34" x14ac:dyDescent="0.3">
      <c r="K341" s="21">
        <v>337</v>
      </c>
      <c r="L341" s="24" t="s">
        <v>22</v>
      </c>
      <c r="M341" s="24" t="s">
        <v>22</v>
      </c>
      <c r="N341" s="24" t="s">
        <v>22</v>
      </c>
      <c r="O341" s="24" t="s">
        <v>22</v>
      </c>
      <c r="P341" s="24" t="s">
        <v>22</v>
      </c>
      <c r="Q341" s="24" t="s">
        <v>22</v>
      </c>
      <c r="R341" s="24" t="s">
        <v>22</v>
      </c>
      <c r="T341" s="8"/>
      <c r="U341" s="8"/>
      <c r="V341" s="8"/>
      <c r="W341" s="8"/>
      <c r="X341" s="8"/>
      <c r="Y341" s="8"/>
      <c r="Z341" s="8"/>
      <c r="AB341" s="7" t="s">
        <v>22</v>
      </c>
      <c r="AC341" s="7" t="s">
        <v>22</v>
      </c>
      <c r="AD341" s="7" t="s">
        <v>22</v>
      </c>
      <c r="AE341" s="7" t="s">
        <v>22</v>
      </c>
      <c r="AF341" s="7" t="s">
        <v>22</v>
      </c>
      <c r="AG341" s="7" t="s">
        <v>22</v>
      </c>
      <c r="AH341" s="7" t="s">
        <v>22</v>
      </c>
    </row>
    <row r="342" spans="11:34" x14ac:dyDescent="0.3">
      <c r="K342" s="22">
        <v>338</v>
      </c>
      <c r="L342" s="24" t="s">
        <v>22</v>
      </c>
      <c r="M342" s="24" t="s">
        <v>22</v>
      </c>
      <c r="N342" s="24" t="s">
        <v>22</v>
      </c>
      <c r="O342" s="24" t="s">
        <v>22</v>
      </c>
      <c r="P342" s="24" t="s">
        <v>22</v>
      </c>
      <c r="Q342" s="24" t="s">
        <v>22</v>
      </c>
      <c r="R342" s="24" t="s">
        <v>22</v>
      </c>
      <c r="T342" s="8"/>
      <c r="U342" s="8"/>
      <c r="V342" s="8"/>
      <c r="W342" s="8"/>
      <c r="X342" s="8"/>
      <c r="Y342" s="8"/>
      <c r="Z342" s="8"/>
      <c r="AB342" s="7" t="s">
        <v>22</v>
      </c>
      <c r="AC342" s="7" t="s">
        <v>22</v>
      </c>
      <c r="AD342" s="7" t="s">
        <v>22</v>
      </c>
      <c r="AE342" s="7" t="s">
        <v>22</v>
      </c>
      <c r="AF342" s="7" t="s">
        <v>22</v>
      </c>
      <c r="AG342" s="7" t="s">
        <v>22</v>
      </c>
      <c r="AH342" s="7" t="s">
        <v>22</v>
      </c>
    </row>
    <row r="343" spans="11:34" x14ac:dyDescent="0.3">
      <c r="K343" s="21">
        <v>339</v>
      </c>
      <c r="L343" s="24" t="s">
        <v>22</v>
      </c>
      <c r="M343" s="24" t="s">
        <v>22</v>
      </c>
      <c r="N343" s="24" t="s">
        <v>22</v>
      </c>
      <c r="O343" s="24" t="s">
        <v>22</v>
      </c>
      <c r="P343" s="24" t="s">
        <v>22</v>
      </c>
      <c r="Q343" s="24" t="s">
        <v>22</v>
      </c>
      <c r="R343" s="24" t="s">
        <v>22</v>
      </c>
      <c r="T343" s="8"/>
      <c r="U343" s="8"/>
      <c r="V343" s="8"/>
      <c r="W343" s="8"/>
      <c r="X343" s="8"/>
      <c r="Y343" s="8"/>
      <c r="Z343" s="8"/>
      <c r="AB343" s="7" t="s">
        <v>22</v>
      </c>
      <c r="AC343" s="7" t="s">
        <v>22</v>
      </c>
      <c r="AD343" s="7" t="s">
        <v>22</v>
      </c>
      <c r="AE343" s="7" t="s">
        <v>22</v>
      </c>
      <c r="AF343" s="7" t="s">
        <v>22</v>
      </c>
      <c r="AG343" s="7" t="s">
        <v>22</v>
      </c>
      <c r="AH343" s="7" t="s">
        <v>22</v>
      </c>
    </row>
    <row r="344" spans="11:34" x14ac:dyDescent="0.3">
      <c r="K344" s="22">
        <v>340</v>
      </c>
      <c r="L344" s="24" t="s">
        <v>22</v>
      </c>
      <c r="M344" s="24" t="s">
        <v>22</v>
      </c>
      <c r="N344" s="24" t="s">
        <v>22</v>
      </c>
      <c r="O344" s="24" t="s">
        <v>22</v>
      </c>
      <c r="P344" s="24" t="s">
        <v>22</v>
      </c>
      <c r="Q344" s="24" t="s">
        <v>22</v>
      </c>
      <c r="R344" s="24" t="s">
        <v>22</v>
      </c>
      <c r="T344" s="8"/>
      <c r="U344" s="8"/>
      <c r="V344" s="8"/>
      <c r="W344" s="8"/>
      <c r="X344" s="8"/>
      <c r="Y344" s="8"/>
      <c r="Z344" s="8"/>
      <c r="AB344" s="7" t="s">
        <v>22</v>
      </c>
      <c r="AC344" s="7" t="s">
        <v>22</v>
      </c>
      <c r="AD344" s="7" t="s">
        <v>22</v>
      </c>
      <c r="AE344" s="7" t="s">
        <v>22</v>
      </c>
      <c r="AF344" s="7" t="s">
        <v>22</v>
      </c>
      <c r="AG344" s="7" t="s">
        <v>22</v>
      </c>
      <c r="AH344" s="7" t="s">
        <v>22</v>
      </c>
    </row>
    <row r="345" spans="11:34" x14ac:dyDescent="0.3">
      <c r="K345" s="21">
        <v>341</v>
      </c>
      <c r="L345" s="24" t="s">
        <v>22</v>
      </c>
      <c r="M345" s="24" t="s">
        <v>22</v>
      </c>
      <c r="N345" s="24" t="s">
        <v>22</v>
      </c>
      <c r="O345" s="24" t="s">
        <v>22</v>
      </c>
      <c r="P345" s="24" t="s">
        <v>22</v>
      </c>
      <c r="Q345" s="24" t="s">
        <v>22</v>
      </c>
      <c r="R345" s="24" t="s">
        <v>22</v>
      </c>
      <c r="T345" s="8"/>
      <c r="U345" s="8"/>
      <c r="V345" s="8"/>
      <c r="W345" s="8"/>
      <c r="X345" s="8"/>
      <c r="Y345" s="8"/>
      <c r="Z345" s="8"/>
      <c r="AB345" s="7" t="s">
        <v>22</v>
      </c>
      <c r="AC345" s="7" t="s">
        <v>22</v>
      </c>
      <c r="AD345" s="7" t="s">
        <v>22</v>
      </c>
      <c r="AE345" s="7" t="s">
        <v>22</v>
      </c>
      <c r="AF345" s="7" t="s">
        <v>22</v>
      </c>
      <c r="AG345" s="7" t="s">
        <v>22</v>
      </c>
      <c r="AH345" s="7" t="s">
        <v>22</v>
      </c>
    </row>
    <row r="346" spans="11:34" x14ac:dyDescent="0.3">
      <c r="K346" s="22">
        <v>342</v>
      </c>
      <c r="L346" s="24" t="s">
        <v>22</v>
      </c>
      <c r="M346" s="24" t="s">
        <v>22</v>
      </c>
      <c r="N346" s="24" t="s">
        <v>22</v>
      </c>
      <c r="O346" s="24" t="s">
        <v>22</v>
      </c>
      <c r="P346" s="24" t="s">
        <v>22</v>
      </c>
      <c r="Q346" s="24" t="s">
        <v>22</v>
      </c>
      <c r="R346" s="24" t="s">
        <v>22</v>
      </c>
      <c r="T346" s="8"/>
      <c r="U346" s="8"/>
      <c r="V346" s="8"/>
      <c r="W346" s="8"/>
      <c r="X346" s="8"/>
      <c r="Y346" s="8"/>
      <c r="Z346" s="8"/>
      <c r="AB346" s="7" t="s">
        <v>22</v>
      </c>
      <c r="AC346" s="7" t="s">
        <v>22</v>
      </c>
      <c r="AD346" s="7" t="s">
        <v>22</v>
      </c>
      <c r="AE346" s="7" t="s">
        <v>22</v>
      </c>
      <c r="AF346" s="7" t="s">
        <v>22</v>
      </c>
      <c r="AG346" s="7" t="s">
        <v>22</v>
      </c>
      <c r="AH346" s="7" t="s">
        <v>22</v>
      </c>
    </row>
    <row r="347" spans="11:34" x14ac:dyDescent="0.3">
      <c r="K347" s="21">
        <v>343</v>
      </c>
      <c r="L347" s="24" t="s">
        <v>22</v>
      </c>
      <c r="M347" s="24" t="s">
        <v>22</v>
      </c>
      <c r="N347" s="24" t="s">
        <v>22</v>
      </c>
      <c r="O347" s="24" t="s">
        <v>22</v>
      </c>
      <c r="P347" s="24" t="s">
        <v>22</v>
      </c>
      <c r="Q347" s="24" t="s">
        <v>22</v>
      </c>
      <c r="R347" s="24" t="s">
        <v>22</v>
      </c>
      <c r="T347" s="8"/>
      <c r="U347" s="8"/>
      <c r="V347" s="8"/>
      <c r="W347" s="8"/>
      <c r="X347" s="8"/>
      <c r="Y347" s="8"/>
      <c r="Z347" s="8"/>
      <c r="AB347" s="7" t="s">
        <v>22</v>
      </c>
      <c r="AC347" s="7" t="s">
        <v>22</v>
      </c>
      <c r="AD347" s="7" t="s">
        <v>22</v>
      </c>
      <c r="AE347" s="7" t="s">
        <v>22</v>
      </c>
      <c r="AF347" s="7" t="s">
        <v>22</v>
      </c>
      <c r="AG347" s="7" t="s">
        <v>22</v>
      </c>
      <c r="AH347" s="7" t="s">
        <v>22</v>
      </c>
    </row>
    <row r="348" spans="11:34" x14ac:dyDescent="0.3">
      <c r="K348" s="22">
        <v>344</v>
      </c>
      <c r="L348" s="24" t="s">
        <v>22</v>
      </c>
      <c r="M348" s="24" t="s">
        <v>22</v>
      </c>
      <c r="N348" s="24" t="s">
        <v>22</v>
      </c>
      <c r="O348" s="24" t="s">
        <v>22</v>
      </c>
      <c r="P348" s="24" t="s">
        <v>22</v>
      </c>
      <c r="Q348" s="24" t="s">
        <v>22</v>
      </c>
      <c r="R348" s="24" t="s">
        <v>22</v>
      </c>
      <c r="T348" s="8"/>
      <c r="U348" s="8"/>
      <c r="V348" s="8"/>
      <c r="W348" s="8"/>
      <c r="X348" s="8"/>
      <c r="Y348" s="8"/>
      <c r="Z348" s="8"/>
      <c r="AB348" s="7" t="s">
        <v>22</v>
      </c>
      <c r="AC348" s="7" t="s">
        <v>22</v>
      </c>
      <c r="AD348" s="7" t="s">
        <v>22</v>
      </c>
      <c r="AE348" s="7" t="s">
        <v>22</v>
      </c>
      <c r="AF348" s="7" t="s">
        <v>22</v>
      </c>
      <c r="AG348" s="7" t="s">
        <v>22</v>
      </c>
      <c r="AH348" s="7" t="s">
        <v>22</v>
      </c>
    </row>
    <row r="349" spans="11:34" x14ac:dyDescent="0.3">
      <c r="K349" s="21">
        <v>345</v>
      </c>
      <c r="L349" s="24" t="s">
        <v>22</v>
      </c>
      <c r="M349" s="24" t="s">
        <v>22</v>
      </c>
      <c r="N349" s="24" t="s">
        <v>22</v>
      </c>
      <c r="O349" s="24" t="s">
        <v>22</v>
      </c>
      <c r="P349" s="24" t="s">
        <v>22</v>
      </c>
      <c r="Q349" s="24" t="s">
        <v>22</v>
      </c>
      <c r="R349" s="24" t="s">
        <v>22</v>
      </c>
      <c r="T349" s="8"/>
      <c r="U349" s="8"/>
      <c r="V349" s="8"/>
      <c r="W349" s="8"/>
      <c r="X349" s="8"/>
      <c r="Y349" s="8"/>
      <c r="Z349" s="8"/>
      <c r="AB349" s="7" t="s">
        <v>22</v>
      </c>
      <c r="AC349" s="7" t="s">
        <v>22</v>
      </c>
      <c r="AD349" s="7" t="s">
        <v>22</v>
      </c>
      <c r="AE349" s="7" t="s">
        <v>22</v>
      </c>
      <c r="AF349" s="7" t="s">
        <v>22</v>
      </c>
      <c r="AG349" s="7" t="s">
        <v>22</v>
      </c>
      <c r="AH349" s="7" t="s">
        <v>22</v>
      </c>
    </row>
    <row r="350" spans="11:34" x14ac:dyDescent="0.3">
      <c r="K350" s="22">
        <v>346</v>
      </c>
      <c r="L350" s="24" t="s">
        <v>22</v>
      </c>
      <c r="M350" s="24" t="s">
        <v>22</v>
      </c>
      <c r="N350" s="24" t="s">
        <v>22</v>
      </c>
      <c r="O350" s="24" t="s">
        <v>22</v>
      </c>
      <c r="P350" s="24" t="s">
        <v>22</v>
      </c>
      <c r="Q350" s="24" t="s">
        <v>22</v>
      </c>
      <c r="R350" s="24" t="s">
        <v>22</v>
      </c>
      <c r="T350" s="8"/>
      <c r="U350" s="8"/>
      <c r="V350" s="8"/>
      <c r="W350" s="8"/>
      <c r="X350" s="8"/>
      <c r="Y350" s="8"/>
      <c r="Z350" s="8"/>
      <c r="AB350" s="7" t="s">
        <v>22</v>
      </c>
      <c r="AC350" s="7" t="s">
        <v>22</v>
      </c>
      <c r="AD350" s="7" t="s">
        <v>22</v>
      </c>
      <c r="AE350" s="7" t="s">
        <v>22</v>
      </c>
      <c r="AF350" s="7" t="s">
        <v>22</v>
      </c>
      <c r="AG350" s="7" t="s">
        <v>22</v>
      </c>
      <c r="AH350" s="7" t="s">
        <v>22</v>
      </c>
    </row>
    <row r="351" spans="11:34" x14ac:dyDescent="0.3">
      <c r="K351" s="21">
        <v>347</v>
      </c>
      <c r="L351" s="24" t="s">
        <v>22</v>
      </c>
      <c r="M351" s="24" t="s">
        <v>22</v>
      </c>
      <c r="N351" s="24" t="s">
        <v>22</v>
      </c>
      <c r="O351" s="24" t="s">
        <v>22</v>
      </c>
      <c r="P351" s="24" t="s">
        <v>22</v>
      </c>
      <c r="Q351" s="24" t="s">
        <v>22</v>
      </c>
      <c r="R351" s="24" t="s">
        <v>22</v>
      </c>
      <c r="T351" s="8"/>
      <c r="U351" s="8"/>
      <c r="V351" s="8"/>
      <c r="W351" s="8"/>
      <c r="X351" s="8"/>
      <c r="Y351" s="8"/>
      <c r="Z351" s="8"/>
      <c r="AB351" s="7" t="s">
        <v>22</v>
      </c>
      <c r="AC351" s="7" t="s">
        <v>22</v>
      </c>
      <c r="AD351" s="7" t="s">
        <v>22</v>
      </c>
      <c r="AE351" s="7" t="s">
        <v>22</v>
      </c>
      <c r="AF351" s="7" t="s">
        <v>22</v>
      </c>
      <c r="AG351" s="7" t="s">
        <v>22</v>
      </c>
      <c r="AH351" s="7" t="s">
        <v>22</v>
      </c>
    </row>
    <row r="352" spans="11:34" x14ac:dyDescent="0.3">
      <c r="K352" s="22">
        <v>348</v>
      </c>
      <c r="L352" s="24" t="s">
        <v>22</v>
      </c>
      <c r="M352" s="24" t="s">
        <v>22</v>
      </c>
      <c r="N352" s="24" t="s">
        <v>22</v>
      </c>
      <c r="O352" s="24" t="s">
        <v>22</v>
      </c>
      <c r="P352" s="24" t="s">
        <v>22</v>
      </c>
      <c r="Q352" s="24" t="s">
        <v>22</v>
      </c>
      <c r="R352" s="24" t="s">
        <v>22</v>
      </c>
      <c r="T352" s="8"/>
      <c r="U352" s="8"/>
      <c r="V352" s="8"/>
      <c r="W352" s="8"/>
      <c r="X352" s="8"/>
      <c r="Y352" s="8"/>
      <c r="Z352" s="8"/>
      <c r="AB352" s="7" t="s">
        <v>22</v>
      </c>
      <c r="AC352" s="7" t="s">
        <v>22</v>
      </c>
      <c r="AD352" s="7" t="s">
        <v>22</v>
      </c>
      <c r="AE352" s="7" t="s">
        <v>22</v>
      </c>
      <c r="AF352" s="7" t="s">
        <v>22</v>
      </c>
      <c r="AG352" s="7" t="s">
        <v>22</v>
      </c>
      <c r="AH352" s="7" t="s">
        <v>22</v>
      </c>
    </row>
    <row r="353" spans="11:34" x14ac:dyDescent="0.3">
      <c r="K353" s="21">
        <v>349</v>
      </c>
      <c r="L353" s="24" t="s">
        <v>22</v>
      </c>
      <c r="M353" s="24" t="s">
        <v>22</v>
      </c>
      <c r="N353" s="24" t="s">
        <v>22</v>
      </c>
      <c r="O353" s="24" t="s">
        <v>22</v>
      </c>
      <c r="P353" s="24" t="s">
        <v>22</v>
      </c>
      <c r="Q353" s="24" t="s">
        <v>22</v>
      </c>
      <c r="R353" s="24" t="s">
        <v>22</v>
      </c>
      <c r="T353" s="8"/>
      <c r="U353" s="8"/>
      <c r="V353" s="8"/>
      <c r="W353" s="8"/>
      <c r="X353" s="8"/>
      <c r="Y353" s="8"/>
      <c r="Z353" s="8"/>
      <c r="AB353" s="7" t="s">
        <v>22</v>
      </c>
      <c r="AC353" s="7" t="s">
        <v>22</v>
      </c>
      <c r="AD353" s="7" t="s">
        <v>22</v>
      </c>
      <c r="AE353" s="7" t="s">
        <v>22</v>
      </c>
      <c r="AF353" s="7" t="s">
        <v>22</v>
      </c>
      <c r="AG353" s="7" t="s">
        <v>22</v>
      </c>
      <c r="AH353" s="7" t="s">
        <v>22</v>
      </c>
    </row>
    <row r="354" spans="11:34" x14ac:dyDescent="0.3">
      <c r="K354" s="22">
        <v>350</v>
      </c>
      <c r="L354" s="24" t="s">
        <v>22</v>
      </c>
      <c r="M354" s="24" t="s">
        <v>22</v>
      </c>
      <c r="N354" s="24" t="s">
        <v>22</v>
      </c>
      <c r="O354" s="24" t="s">
        <v>22</v>
      </c>
      <c r="P354" s="24" t="s">
        <v>22</v>
      </c>
      <c r="Q354" s="24" t="s">
        <v>22</v>
      </c>
      <c r="R354" s="24" t="s">
        <v>22</v>
      </c>
      <c r="T354" s="8"/>
      <c r="U354" s="8"/>
      <c r="V354" s="8"/>
      <c r="W354" s="8"/>
      <c r="X354" s="8"/>
      <c r="Y354" s="8"/>
      <c r="Z354" s="8"/>
      <c r="AB354" s="7" t="s">
        <v>22</v>
      </c>
      <c r="AC354" s="7" t="s">
        <v>22</v>
      </c>
      <c r="AD354" s="7" t="s">
        <v>22</v>
      </c>
      <c r="AE354" s="7" t="s">
        <v>22</v>
      </c>
      <c r="AF354" s="7" t="s">
        <v>22</v>
      </c>
      <c r="AG354" s="7" t="s">
        <v>22</v>
      </c>
      <c r="AH354" s="7" t="s">
        <v>22</v>
      </c>
    </row>
    <row r="355" spans="11:34" x14ac:dyDescent="0.3">
      <c r="K355" s="21">
        <v>351</v>
      </c>
      <c r="L355" s="24" t="s">
        <v>22</v>
      </c>
      <c r="M355" s="24" t="s">
        <v>22</v>
      </c>
      <c r="N355" s="24" t="s">
        <v>22</v>
      </c>
      <c r="O355" s="24" t="s">
        <v>22</v>
      </c>
      <c r="P355" s="24" t="s">
        <v>22</v>
      </c>
      <c r="Q355" s="24" t="s">
        <v>22</v>
      </c>
      <c r="R355" s="24" t="s">
        <v>22</v>
      </c>
      <c r="T355" s="8"/>
      <c r="U355" s="8"/>
      <c r="V355" s="8"/>
      <c r="W355" s="8"/>
      <c r="X355" s="8"/>
      <c r="Y355" s="8"/>
      <c r="Z355" s="8"/>
      <c r="AB355" s="7" t="s">
        <v>22</v>
      </c>
      <c r="AC355" s="7" t="s">
        <v>22</v>
      </c>
      <c r="AD355" s="7" t="s">
        <v>22</v>
      </c>
      <c r="AE355" s="7" t="s">
        <v>22</v>
      </c>
      <c r="AF355" s="7" t="s">
        <v>22</v>
      </c>
      <c r="AG355" s="7" t="s">
        <v>22</v>
      </c>
      <c r="AH355" s="7" t="s">
        <v>22</v>
      </c>
    </row>
    <row r="356" spans="11:34" x14ac:dyDescent="0.3">
      <c r="K356" s="22">
        <v>352</v>
      </c>
      <c r="L356" s="24" t="s">
        <v>22</v>
      </c>
      <c r="M356" s="24" t="s">
        <v>22</v>
      </c>
      <c r="N356" s="24" t="s">
        <v>22</v>
      </c>
      <c r="O356" s="24" t="s">
        <v>22</v>
      </c>
      <c r="P356" s="24" t="s">
        <v>22</v>
      </c>
      <c r="Q356" s="24" t="s">
        <v>22</v>
      </c>
      <c r="R356" s="24" t="s">
        <v>22</v>
      </c>
      <c r="T356" s="8"/>
      <c r="U356" s="8"/>
      <c r="V356" s="8"/>
      <c r="W356" s="8"/>
      <c r="X356" s="8"/>
      <c r="Y356" s="8"/>
      <c r="Z356" s="8"/>
      <c r="AB356" s="7" t="s">
        <v>22</v>
      </c>
      <c r="AC356" s="7" t="s">
        <v>22</v>
      </c>
      <c r="AD356" s="7" t="s">
        <v>22</v>
      </c>
      <c r="AE356" s="7" t="s">
        <v>22</v>
      </c>
      <c r="AF356" s="7" t="s">
        <v>22</v>
      </c>
      <c r="AG356" s="7" t="s">
        <v>22</v>
      </c>
      <c r="AH356" s="7" t="s">
        <v>22</v>
      </c>
    </row>
    <row r="357" spans="11:34" x14ac:dyDescent="0.3">
      <c r="K357" s="21">
        <v>353</v>
      </c>
      <c r="L357" s="24" t="s">
        <v>22</v>
      </c>
      <c r="M357" s="24" t="s">
        <v>22</v>
      </c>
      <c r="N357" s="24" t="s">
        <v>22</v>
      </c>
      <c r="O357" s="24" t="s">
        <v>22</v>
      </c>
      <c r="P357" s="24" t="s">
        <v>22</v>
      </c>
      <c r="Q357" s="24" t="s">
        <v>22</v>
      </c>
      <c r="R357" s="24" t="s">
        <v>22</v>
      </c>
      <c r="T357" s="8"/>
      <c r="U357" s="8"/>
      <c r="V357" s="8"/>
      <c r="W357" s="8"/>
      <c r="X357" s="8"/>
      <c r="Y357" s="8"/>
      <c r="Z357" s="8"/>
      <c r="AB357" s="7" t="s">
        <v>22</v>
      </c>
      <c r="AC357" s="7" t="s">
        <v>22</v>
      </c>
      <c r="AD357" s="7" t="s">
        <v>22</v>
      </c>
      <c r="AE357" s="7" t="s">
        <v>22</v>
      </c>
      <c r="AF357" s="7" t="s">
        <v>22</v>
      </c>
      <c r="AG357" s="7" t="s">
        <v>22</v>
      </c>
      <c r="AH357" s="7" t="s">
        <v>22</v>
      </c>
    </row>
    <row r="358" spans="11:34" x14ac:dyDescent="0.3">
      <c r="K358" s="22">
        <v>354</v>
      </c>
      <c r="L358" s="24" t="s">
        <v>22</v>
      </c>
      <c r="M358" s="24" t="s">
        <v>22</v>
      </c>
      <c r="N358" s="24" t="s">
        <v>22</v>
      </c>
      <c r="O358" s="24" t="s">
        <v>22</v>
      </c>
      <c r="P358" s="24" t="s">
        <v>22</v>
      </c>
      <c r="Q358" s="24" t="s">
        <v>22</v>
      </c>
      <c r="R358" s="24" t="s">
        <v>22</v>
      </c>
      <c r="T358" s="8"/>
      <c r="U358" s="8"/>
      <c r="V358" s="8"/>
      <c r="W358" s="8"/>
      <c r="X358" s="8"/>
      <c r="Y358" s="8"/>
      <c r="Z358" s="8"/>
      <c r="AB358" s="7" t="s">
        <v>22</v>
      </c>
      <c r="AC358" s="7" t="s">
        <v>22</v>
      </c>
      <c r="AD358" s="7" t="s">
        <v>22</v>
      </c>
      <c r="AE358" s="7" t="s">
        <v>22</v>
      </c>
      <c r="AF358" s="7" t="s">
        <v>22</v>
      </c>
      <c r="AG358" s="7" t="s">
        <v>22</v>
      </c>
      <c r="AH358" s="7" t="s">
        <v>22</v>
      </c>
    </row>
    <row r="359" spans="11:34" x14ac:dyDescent="0.3">
      <c r="K359" s="21">
        <v>355</v>
      </c>
      <c r="L359" s="24" t="s">
        <v>22</v>
      </c>
      <c r="M359" s="24" t="s">
        <v>22</v>
      </c>
      <c r="N359" s="24" t="s">
        <v>22</v>
      </c>
      <c r="O359" s="24" t="s">
        <v>22</v>
      </c>
      <c r="P359" s="24" t="s">
        <v>22</v>
      </c>
      <c r="Q359" s="24" t="s">
        <v>22</v>
      </c>
      <c r="R359" s="24" t="s">
        <v>22</v>
      </c>
      <c r="T359" s="8"/>
      <c r="U359" s="8"/>
      <c r="V359" s="8"/>
      <c r="W359" s="8"/>
      <c r="X359" s="8"/>
      <c r="Y359" s="8"/>
      <c r="Z359" s="8"/>
      <c r="AB359" s="7" t="s">
        <v>22</v>
      </c>
      <c r="AC359" s="7" t="s">
        <v>22</v>
      </c>
      <c r="AD359" s="7" t="s">
        <v>22</v>
      </c>
      <c r="AE359" s="7" t="s">
        <v>22</v>
      </c>
      <c r="AF359" s="7" t="s">
        <v>22</v>
      </c>
      <c r="AG359" s="7" t="s">
        <v>22</v>
      </c>
      <c r="AH359" s="7" t="s">
        <v>22</v>
      </c>
    </row>
    <row r="360" spans="11:34" x14ac:dyDescent="0.3">
      <c r="K360" s="22">
        <v>356</v>
      </c>
      <c r="L360" s="24" t="s">
        <v>22</v>
      </c>
      <c r="M360" s="24" t="s">
        <v>22</v>
      </c>
      <c r="N360" s="24" t="s">
        <v>22</v>
      </c>
      <c r="O360" s="24" t="s">
        <v>22</v>
      </c>
      <c r="P360" s="24" t="s">
        <v>22</v>
      </c>
      <c r="Q360" s="24" t="s">
        <v>22</v>
      </c>
      <c r="R360" s="24" t="s">
        <v>22</v>
      </c>
      <c r="T360" s="8"/>
      <c r="U360" s="8"/>
      <c r="V360" s="8"/>
      <c r="W360" s="8"/>
      <c r="X360" s="8"/>
      <c r="Y360" s="8"/>
      <c r="Z360" s="8"/>
      <c r="AB360" s="7" t="s">
        <v>22</v>
      </c>
      <c r="AC360" s="7" t="s">
        <v>22</v>
      </c>
      <c r="AD360" s="7" t="s">
        <v>22</v>
      </c>
      <c r="AE360" s="7" t="s">
        <v>22</v>
      </c>
      <c r="AF360" s="7" t="s">
        <v>22</v>
      </c>
      <c r="AG360" s="7" t="s">
        <v>22</v>
      </c>
      <c r="AH360" s="7" t="s">
        <v>22</v>
      </c>
    </row>
    <row r="361" spans="11:34" x14ac:dyDescent="0.3">
      <c r="K361" s="21">
        <v>357</v>
      </c>
      <c r="L361" s="24" t="s">
        <v>22</v>
      </c>
      <c r="M361" s="24" t="s">
        <v>22</v>
      </c>
      <c r="N361" s="24" t="s">
        <v>22</v>
      </c>
      <c r="O361" s="24" t="s">
        <v>22</v>
      </c>
      <c r="P361" s="24" t="s">
        <v>22</v>
      </c>
      <c r="Q361" s="24" t="s">
        <v>22</v>
      </c>
      <c r="R361" s="24" t="s">
        <v>22</v>
      </c>
      <c r="T361" s="8"/>
      <c r="U361" s="8"/>
      <c r="V361" s="8"/>
      <c r="W361" s="8"/>
      <c r="X361" s="8"/>
      <c r="Y361" s="8"/>
      <c r="Z361" s="8"/>
      <c r="AB361" s="7" t="s">
        <v>22</v>
      </c>
      <c r="AC361" s="7" t="s">
        <v>22</v>
      </c>
      <c r="AD361" s="7" t="s">
        <v>22</v>
      </c>
      <c r="AE361" s="7" t="s">
        <v>22</v>
      </c>
      <c r="AF361" s="7" t="s">
        <v>22</v>
      </c>
      <c r="AG361" s="7" t="s">
        <v>22</v>
      </c>
      <c r="AH361" s="7" t="s">
        <v>22</v>
      </c>
    </row>
    <row r="362" spans="11:34" x14ac:dyDescent="0.3">
      <c r="K362" s="22">
        <v>358</v>
      </c>
      <c r="L362" s="24" t="s">
        <v>22</v>
      </c>
      <c r="M362" s="24" t="s">
        <v>22</v>
      </c>
      <c r="N362" s="24" t="s">
        <v>22</v>
      </c>
      <c r="O362" s="24" t="s">
        <v>22</v>
      </c>
      <c r="P362" s="24" t="s">
        <v>22</v>
      </c>
      <c r="Q362" s="24" t="s">
        <v>22</v>
      </c>
      <c r="R362" s="24" t="s">
        <v>22</v>
      </c>
      <c r="T362" s="8"/>
      <c r="U362" s="8"/>
      <c r="V362" s="8"/>
      <c r="W362" s="8"/>
      <c r="X362" s="8"/>
      <c r="Y362" s="8"/>
      <c r="Z362" s="8"/>
      <c r="AB362" s="7" t="s">
        <v>22</v>
      </c>
      <c r="AC362" s="7" t="s">
        <v>22</v>
      </c>
      <c r="AD362" s="7" t="s">
        <v>22</v>
      </c>
      <c r="AE362" s="7" t="s">
        <v>22</v>
      </c>
      <c r="AF362" s="7" t="s">
        <v>22</v>
      </c>
      <c r="AG362" s="7" t="s">
        <v>22</v>
      </c>
      <c r="AH362" s="7" t="s">
        <v>22</v>
      </c>
    </row>
    <row r="363" spans="11:34" x14ac:dyDescent="0.3">
      <c r="K363" s="21">
        <v>359</v>
      </c>
      <c r="L363" s="24" t="s">
        <v>22</v>
      </c>
      <c r="M363" s="24" t="s">
        <v>22</v>
      </c>
      <c r="N363" s="24" t="s">
        <v>22</v>
      </c>
      <c r="O363" s="24" t="s">
        <v>22</v>
      </c>
      <c r="P363" s="24" t="s">
        <v>22</v>
      </c>
      <c r="Q363" s="24" t="s">
        <v>22</v>
      </c>
      <c r="R363" s="24" t="s">
        <v>22</v>
      </c>
      <c r="T363" s="8"/>
      <c r="U363" s="8"/>
      <c r="V363" s="8"/>
      <c r="W363" s="8"/>
      <c r="X363" s="8"/>
      <c r="Y363" s="8"/>
      <c r="Z363" s="8"/>
      <c r="AB363" s="7" t="s">
        <v>22</v>
      </c>
      <c r="AC363" s="7" t="s">
        <v>22</v>
      </c>
      <c r="AD363" s="7" t="s">
        <v>22</v>
      </c>
      <c r="AE363" s="7" t="s">
        <v>22</v>
      </c>
      <c r="AF363" s="7" t="s">
        <v>22</v>
      </c>
      <c r="AG363" s="7" t="s">
        <v>22</v>
      </c>
      <c r="AH363" s="7" t="s">
        <v>22</v>
      </c>
    </row>
    <row r="364" spans="11:34" x14ac:dyDescent="0.3">
      <c r="K364" s="22">
        <v>360</v>
      </c>
      <c r="L364" s="24" t="s">
        <v>22</v>
      </c>
      <c r="M364" s="24" t="s">
        <v>22</v>
      </c>
      <c r="N364" s="24" t="s">
        <v>22</v>
      </c>
      <c r="O364" s="24" t="s">
        <v>22</v>
      </c>
      <c r="P364" s="24" t="s">
        <v>22</v>
      </c>
      <c r="Q364" s="24" t="s">
        <v>22</v>
      </c>
      <c r="R364" s="24" t="s">
        <v>22</v>
      </c>
      <c r="T364" s="8"/>
      <c r="U364" s="8"/>
      <c r="V364" s="8"/>
      <c r="W364" s="8"/>
      <c r="X364" s="8"/>
      <c r="Y364" s="8"/>
      <c r="Z364" s="8"/>
      <c r="AB364" s="7" t="s">
        <v>22</v>
      </c>
      <c r="AC364" s="7" t="s">
        <v>22</v>
      </c>
      <c r="AD364" s="7" t="s">
        <v>22</v>
      </c>
      <c r="AE364" s="7" t="s">
        <v>22</v>
      </c>
      <c r="AF364" s="7" t="s">
        <v>22</v>
      </c>
      <c r="AG364" s="7" t="s">
        <v>22</v>
      </c>
      <c r="AH364" s="7" t="s">
        <v>22</v>
      </c>
    </row>
    <row r="365" spans="11:34" x14ac:dyDescent="0.3">
      <c r="K365" s="21">
        <v>361</v>
      </c>
      <c r="L365" s="24" t="s">
        <v>22</v>
      </c>
      <c r="M365" s="24" t="s">
        <v>22</v>
      </c>
      <c r="N365" s="24" t="s">
        <v>22</v>
      </c>
      <c r="O365" s="24" t="s">
        <v>22</v>
      </c>
      <c r="P365" s="24" t="s">
        <v>22</v>
      </c>
      <c r="Q365" s="24" t="s">
        <v>22</v>
      </c>
      <c r="R365" s="24" t="s">
        <v>22</v>
      </c>
      <c r="T365" s="8"/>
      <c r="U365" s="8"/>
      <c r="V365" s="8"/>
      <c r="W365" s="8"/>
      <c r="X365" s="8"/>
      <c r="Y365" s="8"/>
      <c r="Z365" s="8"/>
      <c r="AB365" s="7" t="s">
        <v>22</v>
      </c>
      <c r="AC365" s="7" t="s">
        <v>22</v>
      </c>
      <c r="AD365" s="7" t="s">
        <v>22</v>
      </c>
      <c r="AE365" s="7" t="s">
        <v>22</v>
      </c>
      <c r="AF365" s="7" t="s">
        <v>22</v>
      </c>
      <c r="AG365" s="7" t="s">
        <v>22</v>
      </c>
      <c r="AH365" s="7" t="s">
        <v>22</v>
      </c>
    </row>
    <row r="366" spans="11:34" x14ac:dyDescent="0.3">
      <c r="K366" s="22">
        <v>362</v>
      </c>
      <c r="L366" s="24" t="s">
        <v>22</v>
      </c>
      <c r="M366" s="24" t="s">
        <v>22</v>
      </c>
      <c r="N366" s="24" t="s">
        <v>22</v>
      </c>
      <c r="O366" s="24" t="s">
        <v>22</v>
      </c>
      <c r="P366" s="24" t="s">
        <v>22</v>
      </c>
      <c r="Q366" s="24" t="s">
        <v>22</v>
      </c>
      <c r="R366" s="24" t="s">
        <v>22</v>
      </c>
      <c r="T366" s="8"/>
      <c r="U366" s="8"/>
      <c r="V366" s="8"/>
      <c r="W366" s="8"/>
      <c r="X366" s="8"/>
      <c r="Y366" s="8"/>
      <c r="Z366" s="8"/>
      <c r="AB366" s="7" t="s">
        <v>22</v>
      </c>
      <c r="AC366" s="7" t="s">
        <v>22</v>
      </c>
      <c r="AD366" s="7" t="s">
        <v>22</v>
      </c>
      <c r="AE366" s="7" t="s">
        <v>22</v>
      </c>
      <c r="AF366" s="7" t="s">
        <v>22</v>
      </c>
      <c r="AG366" s="7" t="s">
        <v>22</v>
      </c>
      <c r="AH366" s="7" t="s">
        <v>22</v>
      </c>
    </row>
    <row r="367" spans="11:34" x14ac:dyDescent="0.3">
      <c r="K367" s="21">
        <v>363</v>
      </c>
      <c r="L367" s="24" t="s">
        <v>22</v>
      </c>
      <c r="M367" s="24" t="s">
        <v>22</v>
      </c>
      <c r="N367" s="24" t="s">
        <v>22</v>
      </c>
      <c r="O367" s="24" t="s">
        <v>22</v>
      </c>
      <c r="P367" s="24" t="s">
        <v>22</v>
      </c>
      <c r="Q367" s="24" t="s">
        <v>22</v>
      </c>
      <c r="R367" s="24" t="s">
        <v>22</v>
      </c>
      <c r="T367" s="8"/>
      <c r="U367" s="8"/>
      <c r="V367" s="8"/>
      <c r="W367" s="8"/>
      <c r="X367" s="8"/>
      <c r="Y367" s="8"/>
      <c r="Z367" s="8"/>
      <c r="AB367" s="7" t="s">
        <v>22</v>
      </c>
      <c r="AC367" s="7" t="s">
        <v>22</v>
      </c>
      <c r="AD367" s="7" t="s">
        <v>22</v>
      </c>
      <c r="AE367" s="7" t="s">
        <v>22</v>
      </c>
      <c r="AF367" s="7" t="s">
        <v>22</v>
      </c>
      <c r="AG367" s="7" t="s">
        <v>22</v>
      </c>
      <c r="AH367" s="7" t="s">
        <v>22</v>
      </c>
    </row>
    <row r="368" spans="11:34" x14ac:dyDescent="0.3">
      <c r="K368" s="22">
        <v>364</v>
      </c>
      <c r="L368" s="24" t="s">
        <v>22</v>
      </c>
      <c r="M368" s="24" t="s">
        <v>22</v>
      </c>
      <c r="N368" s="24" t="s">
        <v>22</v>
      </c>
      <c r="O368" s="24" t="s">
        <v>22</v>
      </c>
      <c r="P368" s="24" t="s">
        <v>22</v>
      </c>
      <c r="Q368" s="24" t="s">
        <v>22</v>
      </c>
      <c r="R368" s="24" t="s">
        <v>22</v>
      </c>
      <c r="T368" s="8"/>
      <c r="U368" s="8"/>
      <c r="V368" s="8"/>
      <c r="W368" s="8"/>
      <c r="X368" s="8"/>
      <c r="Y368" s="8"/>
      <c r="Z368" s="8"/>
      <c r="AB368" s="7" t="s">
        <v>22</v>
      </c>
      <c r="AC368" s="7" t="s">
        <v>22</v>
      </c>
      <c r="AD368" s="7" t="s">
        <v>22</v>
      </c>
      <c r="AE368" s="7" t="s">
        <v>22</v>
      </c>
      <c r="AF368" s="7" t="s">
        <v>22</v>
      </c>
      <c r="AG368" s="7" t="s">
        <v>22</v>
      </c>
      <c r="AH368" s="7" t="s">
        <v>22</v>
      </c>
    </row>
    <row r="369" spans="11:34" x14ac:dyDescent="0.3">
      <c r="K369" s="21">
        <v>365</v>
      </c>
      <c r="L369" s="24" t="s">
        <v>22</v>
      </c>
      <c r="M369" s="24" t="s">
        <v>22</v>
      </c>
      <c r="N369" s="24" t="s">
        <v>22</v>
      </c>
      <c r="O369" s="24" t="s">
        <v>22</v>
      </c>
      <c r="P369" s="24" t="s">
        <v>22</v>
      </c>
      <c r="Q369" s="24" t="s">
        <v>22</v>
      </c>
      <c r="R369" s="24" t="s">
        <v>22</v>
      </c>
      <c r="T369" s="8"/>
      <c r="U369" s="8"/>
      <c r="V369" s="8"/>
      <c r="W369" s="8"/>
      <c r="X369" s="8"/>
      <c r="Y369" s="8"/>
      <c r="Z369" s="8"/>
      <c r="AB369" s="7" t="s">
        <v>22</v>
      </c>
      <c r="AC369" s="7" t="s">
        <v>22</v>
      </c>
      <c r="AD369" s="7" t="s">
        <v>22</v>
      </c>
      <c r="AE369" s="7" t="s">
        <v>22</v>
      </c>
      <c r="AF369" s="7" t="s">
        <v>22</v>
      </c>
      <c r="AG369" s="7" t="s">
        <v>22</v>
      </c>
      <c r="AH369" s="7" t="s">
        <v>22</v>
      </c>
    </row>
    <row r="370" spans="11:34" x14ac:dyDescent="0.3">
      <c r="K370" s="22">
        <v>366</v>
      </c>
      <c r="L370" s="24" t="s">
        <v>22</v>
      </c>
      <c r="M370" s="24" t="s">
        <v>22</v>
      </c>
      <c r="N370" s="24" t="s">
        <v>22</v>
      </c>
      <c r="O370" s="24" t="s">
        <v>22</v>
      </c>
      <c r="P370" s="24" t="s">
        <v>22</v>
      </c>
      <c r="Q370" s="24" t="s">
        <v>22</v>
      </c>
      <c r="R370" s="24" t="s">
        <v>22</v>
      </c>
      <c r="T370" s="8"/>
      <c r="U370" s="8"/>
      <c r="V370" s="8"/>
      <c r="W370" s="8"/>
      <c r="X370" s="8"/>
      <c r="Y370" s="8"/>
      <c r="Z370" s="8"/>
      <c r="AB370" s="7" t="s">
        <v>22</v>
      </c>
      <c r="AC370" s="7" t="s">
        <v>22</v>
      </c>
      <c r="AD370" s="7" t="s">
        <v>22</v>
      </c>
      <c r="AE370" s="7" t="s">
        <v>22</v>
      </c>
      <c r="AF370" s="7" t="s">
        <v>22</v>
      </c>
      <c r="AG370" s="7" t="s">
        <v>22</v>
      </c>
      <c r="AH370" s="7" t="s">
        <v>22</v>
      </c>
    </row>
    <row r="371" spans="11:34" x14ac:dyDescent="0.3">
      <c r="K371" s="21">
        <v>367</v>
      </c>
      <c r="L371" s="24" t="s">
        <v>22</v>
      </c>
      <c r="M371" s="24" t="s">
        <v>22</v>
      </c>
      <c r="N371" s="24" t="s">
        <v>22</v>
      </c>
      <c r="O371" s="24" t="s">
        <v>22</v>
      </c>
      <c r="P371" s="24" t="s">
        <v>22</v>
      </c>
      <c r="Q371" s="24" t="s">
        <v>22</v>
      </c>
      <c r="R371" s="24" t="s">
        <v>22</v>
      </c>
      <c r="T371" s="8"/>
      <c r="U371" s="8"/>
      <c r="V371" s="8"/>
      <c r="W371" s="8"/>
      <c r="X371" s="8"/>
      <c r="Y371" s="8"/>
      <c r="Z371" s="8"/>
      <c r="AB371" s="7" t="s">
        <v>22</v>
      </c>
      <c r="AC371" s="7" t="s">
        <v>22</v>
      </c>
      <c r="AD371" s="7" t="s">
        <v>22</v>
      </c>
      <c r="AE371" s="7" t="s">
        <v>22</v>
      </c>
      <c r="AF371" s="7" t="s">
        <v>22</v>
      </c>
      <c r="AG371" s="7" t="s">
        <v>22</v>
      </c>
      <c r="AH371" s="7" t="s">
        <v>22</v>
      </c>
    </row>
    <row r="372" spans="11:34" x14ac:dyDescent="0.3">
      <c r="K372" s="22">
        <v>368</v>
      </c>
      <c r="L372" s="24" t="s">
        <v>22</v>
      </c>
      <c r="M372" s="24" t="s">
        <v>22</v>
      </c>
      <c r="N372" s="24" t="s">
        <v>22</v>
      </c>
      <c r="O372" s="24" t="s">
        <v>22</v>
      </c>
      <c r="P372" s="24" t="s">
        <v>22</v>
      </c>
      <c r="Q372" s="24" t="s">
        <v>22</v>
      </c>
      <c r="R372" s="24" t="s">
        <v>22</v>
      </c>
      <c r="T372" s="8"/>
      <c r="U372" s="8"/>
      <c r="V372" s="8"/>
      <c r="W372" s="8"/>
      <c r="X372" s="8"/>
      <c r="Y372" s="8"/>
      <c r="Z372" s="8"/>
      <c r="AB372" s="7" t="s">
        <v>22</v>
      </c>
      <c r="AC372" s="7" t="s">
        <v>22</v>
      </c>
      <c r="AD372" s="7" t="s">
        <v>22</v>
      </c>
      <c r="AE372" s="7" t="s">
        <v>22</v>
      </c>
      <c r="AF372" s="7" t="s">
        <v>22</v>
      </c>
      <c r="AG372" s="7" t="s">
        <v>22</v>
      </c>
      <c r="AH372" s="7" t="s">
        <v>22</v>
      </c>
    </row>
    <row r="373" spans="11:34" x14ac:dyDescent="0.3">
      <c r="K373" s="21">
        <v>369</v>
      </c>
      <c r="L373" s="24" t="s">
        <v>22</v>
      </c>
      <c r="M373" s="24" t="s">
        <v>22</v>
      </c>
      <c r="N373" s="24" t="s">
        <v>22</v>
      </c>
      <c r="O373" s="24" t="s">
        <v>22</v>
      </c>
      <c r="P373" s="24" t="s">
        <v>22</v>
      </c>
      <c r="Q373" s="24" t="s">
        <v>22</v>
      </c>
      <c r="R373" s="24" t="s">
        <v>22</v>
      </c>
      <c r="T373" s="8"/>
      <c r="U373" s="8"/>
      <c r="V373" s="8"/>
      <c r="W373" s="8"/>
      <c r="X373" s="8"/>
      <c r="Y373" s="8"/>
      <c r="Z373" s="8"/>
      <c r="AB373" s="7" t="s">
        <v>22</v>
      </c>
      <c r="AC373" s="7" t="s">
        <v>22</v>
      </c>
      <c r="AD373" s="7" t="s">
        <v>22</v>
      </c>
      <c r="AE373" s="7" t="s">
        <v>22</v>
      </c>
      <c r="AF373" s="7" t="s">
        <v>22</v>
      </c>
      <c r="AG373" s="7" t="s">
        <v>22</v>
      </c>
      <c r="AH373" s="7" t="s">
        <v>22</v>
      </c>
    </row>
    <row r="374" spans="11:34" x14ac:dyDescent="0.3">
      <c r="K374" s="22">
        <v>370</v>
      </c>
      <c r="L374" s="24" t="s">
        <v>22</v>
      </c>
      <c r="M374" s="24" t="s">
        <v>22</v>
      </c>
      <c r="N374" s="24" t="s">
        <v>22</v>
      </c>
      <c r="O374" s="24" t="s">
        <v>22</v>
      </c>
      <c r="P374" s="24" t="s">
        <v>22</v>
      </c>
      <c r="Q374" s="24" t="s">
        <v>22</v>
      </c>
      <c r="R374" s="24" t="s">
        <v>22</v>
      </c>
      <c r="T374" s="8"/>
      <c r="U374" s="8"/>
      <c r="V374" s="8"/>
      <c r="W374" s="8"/>
      <c r="X374" s="8"/>
      <c r="Y374" s="8"/>
      <c r="Z374" s="8"/>
      <c r="AB374" s="7" t="s">
        <v>22</v>
      </c>
      <c r="AC374" s="7" t="s">
        <v>22</v>
      </c>
      <c r="AD374" s="7" t="s">
        <v>22</v>
      </c>
      <c r="AE374" s="7" t="s">
        <v>22</v>
      </c>
      <c r="AF374" s="7" t="s">
        <v>22</v>
      </c>
      <c r="AG374" s="7" t="s">
        <v>22</v>
      </c>
      <c r="AH374" s="7" t="s">
        <v>22</v>
      </c>
    </row>
    <row r="375" spans="11:34" x14ac:dyDescent="0.3">
      <c r="K375" s="21">
        <v>371</v>
      </c>
      <c r="L375" s="24" t="s">
        <v>22</v>
      </c>
      <c r="M375" s="24" t="s">
        <v>22</v>
      </c>
      <c r="N375" s="24" t="s">
        <v>22</v>
      </c>
      <c r="O375" s="24" t="s">
        <v>22</v>
      </c>
      <c r="P375" s="24" t="s">
        <v>22</v>
      </c>
      <c r="Q375" s="24" t="s">
        <v>22</v>
      </c>
      <c r="R375" s="24" t="s">
        <v>22</v>
      </c>
      <c r="T375" s="8"/>
      <c r="U375" s="8"/>
      <c r="V375" s="8"/>
      <c r="W375" s="8"/>
      <c r="X375" s="8"/>
      <c r="Y375" s="8"/>
      <c r="Z375" s="8"/>
      <c r="AB375" s="7" t="s">
        <v>22</v>
      </c>
      <c r="AC375" s="7" t="s">
        <v>22</v>
      </c>
      <c r="AD375" s="7" t="s">
        <v>22</v>
      </c>
      <c r="AE375" s="7" t="s">
        <v>22</v>
      </c>
      <c r="AF375" s="7" t="s">
        <v>22</v>
      </c>
      <c r="AG375" s="7" t="s">
        <v>22</v>
      </c>
      <c r="AH375" s="7" t="s">
        <v>22</v>
      </c>
    </row>
    <row r="376" spans="11:34" x14ac:dyDescent="0.3">
      <c r="K376" s="22">
        <v>372</v>
      </c>
      <c r="L376" s="24" t="s">
        <v>22</v>
      </c>
      <c r="M376" s="24" t="s">
        <v>22</v>
      </c>
      <c r="N376" s="24" t="s">
        <v>22</v>
      </c>
      <c r="O376" s="24" t="s">
        <v>22</v>
      </c>
      <c r="P376" s="24" t="s">
        <v>22</v>
      </c>
      <c r="Q376" s="24" t="s">
        <v>22</v>
      </c>
      <c r="R376" s="24" t="s">
        <v>22</v>
      </c>
      <c r="T376" s="8"/>
      <c r="U376" s="8"/>
      <c r="V376" s="8"/>
      <c r="W376" s="8"/>
      <c r="X376" s="8"/>
      <c r="Y376" s="8"/>
      <c r="Z376" s="8"/>
      <c r="AB376" s="7" t="s">
        <v>22</v>
      </c>
      <c r="AC376" s="7" t="s">
        <v>22</v>
      </c>
      <c r="AD376" s="7" t="s">
        <v>22</v>
      </c>
      <c r="AE376" s="7" t="s">
        <v>22</v>
      </c>
      <c r="AF376" s="7" t="s">
        <v>22</v>
      </c>
      <c r="AG376" s="7" t="s">
        <v>22</v>
      </c>
      <c r="AH376" s="7" t="s">
        <v>22</v>
      </c>
    </row>
    <row r="377" spans="11:34" x14ac:dyDescent="0.3">
      <c r="K377" s="21">
        <v>373</v>
      </c>
      <c r="L377" s="24" t="s">
        <v>22</v>
      </c>
      <c r="M377" s="24" t="s">
        <v>22</v>
      </c>
      <c r="N377" s="24" t="s">
        <v>22</v>
      </c>
      <c r="O377" s="24" t="s">
        <v>22</v>
      </c>
      <c r="P377" s="24" t="s">
        <v>22</v>
      </c>
      <c r="Q377" s="24" t="s">
        <v>22</v>
      </c>
      <c r="R377" s="24" t="s">
        <v>22</v>
      </c>
      <c r="T377" s="8"/>
      <c r="U377" s="8"/>
      <c r="V377" s="8"/>
      <c r="W377" s="8"/>
      <c r="X377" s="8"/>
      <c r="Y377" s="8"/>
      <c r="Z377" s="8"/>
      <c r="AB377" s="7" t="s">
        <v>22</v>
      </c>
      <c r="AC377" s="7" t="s">
        <v>22</v>
      </c>
      <c r="AD377" s="7" t="s">
        <v>22</v>
      </c>
      <c r="AE377" s="7" t="s">
        <v>22</v>
      </c>
      <c r="AF377" s="7" t="s">
        <v>22</v>
      </c>
      <c r="AG377" s="7" t="s">
        <v>22</v>
      </c>
      <c r="AH377" s="7" t="s">
        <v>22</v>
      </c>
    </row>
    <row r="378" spans="11:34" x14ac:dyDescent="0.3">
      <c r="K378" s="22">
        <v>374</v>
      </c>
      <c r="L378" s="24" t="s">
        <v>22</v>
      </c>
      <c r="M378" s="24" t="s">
        <v>22</v>
      </c>
      <c r="N378" s="24" t="s">
        <v>22</v>
      </c>
      <c r="O378" s="24" t="s">
        <v>22</v>
      </c>
      <c r="P378" s="24" t="s">
        <v>22</v>
      </c>
      <c r="Q378" s="24" t="s">
        <v>22</v>
      </c>
      <c r="R378" s="24" t="s">
        <v>22</v>
      </c>
      <c r="T378" s="8"/>
      <c r="U378" s="8"/>
      <c r="V378" s="8"/>
      <c r="W378" s="8"/>
      <c r="X378" s="8"/>
      <c r="Y378" s="8"/>
      <c r="Z378" s="8"/>
      <c r="AB378" s="7" t="s">
        <v>22</v>
      </c>
      <c r="AC378" s="7" t="s">
        <v>22</v>
      </c>
      <c r="AD378" s="7" t="s">
        <v>22</v>
      </c>
      <c r="AE378" s="7" t="s">
        <v>22</v>
      </c>
      <c r="AF378" s="7" t="s">
        <v>22</v>
      </c>
      <c r="AG378" s="7" t="s">
        <v>22</v>
      </c>
      <c r="AH378" s="7" t="s">
        <v>22</v>
      </c>
    </row>
    <row r="379" spans="11:34" x14ac:dyDescent="0.3">
      <c r="K379" s="21">
        <v>375</v>
      </c>
      <c r="L379" s="24" t="s">
        <v>22</v>
      </c>
      <c r="M379" s="24" t="s">
        <v>22</v>
      </c>
      <c r="N379" s="24" t="s">
        <v>22</v>
      </c>
      <c r="O379" s="24" t="s">
        <v>22</v>
      </c>
      <c r="P379" s="24" t="s">
        <v>22</v>
      </c>
      <c r="Q379" s="24" t="s">
        <v>22</v>
      </c>
      <c r="R379" s="24" t="s">
        <v>22</v>
      </c>
      <c r="T379" s="8"/>
      <c r="U379" s="8"/>
      <c r="V379" s="8"/>
      <c r="W379" s="8"/>
      <c r="X379" s="8"/>
      <c r="Y379" s="8"/>
      <c r="Z379" s="8"/>
      <c r="AB379" s="7" t="s">
        <v>22</v>
      </c>
      <c r="AC379" s="7" t="s">
        <v>22</v>
      </c>
      <c r="AD379" s="7" t="s">
        <v>22</v>
      </c>
      <c r="AE379" s="7" t="s">
        <v>22</v>
      </c>
      <c r="AF379" s="7" t="s">
        <v>22</v>
      </c>
      <c r="AG379" s="7" t="s">
        <v>22</v>
      </c>
      <c r="AH379" s="7" t="s">
        <v>22</v>
      </c>
    </row>
    <row r="380" spans="11:34" x14ac:dyDescent="0.3">
      <c r="K380" s="22">
        <v>376</v>
      </c>
      <c r="L380" s="24" t="s">
        <v>22</v>
      </c>
      <c r="M380" s="24" t="s">
        <v>22</v>
      </c>
      <c r="N380" s="24" t="s">
        <v>22</v>
      </c>
      <c r="O380" s="24" t="s">
        <v>22</v>
      </c>
      <c r="P380" s="24" t="s">
        <v>22</v>
      </c>
      <c r="Q380" s="24" t="s">
        <v>22</v>
      </c>
      <c r="R380" s="24" t="s">
        <v>22</v>
      </c>
      <c r="T380" s="8"/>
      <c r="U380" s="8"/>
      <c r="V380" s="8"/>
      <c r="W380" s="8"/>
      <c r="X380" s="8"/>
      <c r="Y380" s="8"/>
      <c r="Z380" s="8"/>
      <c r="AB380" s="7" t="s">
        <v>22</v>
      </c>
      <c r="AC380" s="7" t="s">
        <v>22</v>
      </c>
      <c r="AD380" s="7" t="s">
        <v>22</v>
      </c>
      <c r="AE380" s="7" t="s">
        <v>22</v>
      </c>
      <c r="AF380" s="7" t="s">
        <v>22</v>
      </c>
      <c r="AG380" s="7" t="s">
        <v>22</v>
      </c>
      <c r="AH380" s="7" t="s">
        <v>22</v>
      </c>
    </row>
    <row r="381" spans="11:34" x14ac:dyDescent="0.3">
      <c r="K381" s="21">
        <v>377</v>
      </c>
      <c r="L381" s="24" t="s">
        <v>22</v>
      </c>
      <c r="M381" s="24" t="s">
        <v>22</v>
      </c>
      <c r="N381" s="24" t="s">
        <v>22</v>
      </c>
      <c r="O381" s="24" t="s">
        <v>22</v>
      </c>
      <c r="P381" s="24" t="s">
        <v>22</v>
      </c>
      <c r="Q381" s="24" t="s">
        <v>22</v>
      </c>
      <c r="R381" s="24" t="s">
        <v>22</v>
      </c>
      <c r="T381" s="8"/>
      <c r="U381" s="8"/>
      <c r="V381" s="8"/>
      <c r="W381" s="8"/>
      <c r="X381" s="8"/>
      <c r="Y381" s="8"/>
      <c r="Z381" s="8"/>
      <c r="AB381" s="7" t="s">
        <v>22</v>
      </c>
      <c r="AC381" s="7" t="s">
        <v>22</v>
      </c>
      <c r="AD381" s="7" t="s">
        <v>22</v>
      </c>
      <c r="AE381" s="7" t="s">
        <v>22</v>
      </c>
      <c r="AF381" s="7" t="s">
        <v>22</v>
      </c>
      <c r="AG381" s="7" t="s">
        <v>22</v>
      </c>
      <c r="AH381" s="7" t="s">
        <v>22</v>
      </c>
    </row>
    <row r="382" spans="11:34" x14ac:dyDescent="0.3">
      <c r="K382" s="22">
        <v>378</v>
      </c>
      <c r="L382" s="24" t="s">
        <v>22</v>
      </c>
      <c r="M382" s="24" t="s">
        <v>22</v>
      </c>
      <c r="N382" s="24" t="s">
        <v>22</v>
      </c>
      <c r="O382" s="24" t="s">
        <v>22</v>
      </c>
      <c r="P382" s="24" t="s">
        <v>22</v>
      </c>
      <c r="Q382" s="24" t="s">
        <v>22</v>
      </c>
      <c r="R382" s="24" t="s">
        <v>22</v>
      </c>
      <c r="T382" s="8"/>
      <c r="U382" s="8"/>
      <c r="V382" s="8"/>
      <c r="W382" s="8"/>
      <c r="X382" s="8"/>
      <c r="Y382" s="8"/>
      <c r="Z382" s="8"/>
      <c r="AB382" s="7" t="s">
        <v>22</v>
      </c>
      <c r="AC382" s="7" t="s">
        <v>22</v>
      </c>
      <c r="AD382" s="7" t="s">
        <v>22</v>
      </c>
      <c r="AE382" s="7" t="s">
        <v>22</v>
      </c>
      <c r="AF382" s="7" t="s">
        <v>22</v>
      </c>
      <c r="AG382" s="7" t="s">
        <v>22</v>
      </c>
      <c r="AH382" s="7" t="s">
        <v>22</v>
      </c>
    </row>
    <row r="383" spans="11:34" x14ac:dyDescent="0.3">
      <c r="K383" s="21">
        <v>379</v>
      </c>
      <c r="L383" s="24" t="s">
        <v>22</v>
      </c>
      <c r="M383" s="24" t="s">
        <v>22</v>
      </c>
      <c r="N383" s="24" t="s">
        <v>22</v>
      </c>
      <c r="O383" s="24" t="s">
        <v>22</v>
      </c>
      <c r="P383" s="24" t="s">
        <v>22</v>
      </c>
      <c r="Q383" s="24" t="s">
        <v>22</v>
      </c>
      <c r="R383" s="24" t="s">
        <v>22</v>
      </c>
      <c r="T383" s="8"/>
      <c r="U383" s="8"/>
      <c r="V383" s="8"/>
      <c r="W383" s="8"/>
      <c r="X383" s="8"/>
      <c r="Y383" s="8"/>
      <c r="Z383" s="8"/>
      <c r="AB383" s="7" t="s">
        <v>22</v>
      </c>
      <c r="AC383" s="7" t="s">
        <v>22</v>
      </c>
      <c r="AD383" s="7" t="s">
        <v>22</v>
      </c>
      <c r="AE383" s="7" t="s">
        <v>22</v>
      </c>
      <c r="AF383" s="7" t="s">
        <v>22</v>
      </c>
      <c r="AG383" s="7" t="s">
        <v>22</v>
      </c>
      <c r="AH383" s="7" t="s">
        <v>22</v>
      </c>
    </row>
    <row r="384" spans="11:34" x14ac:dyDescent="0.3">
      <c r="K384" s="22">
        <v>380</v>
      </c>
      <c r="L384" s="24" t="s">
        <v>22</v>
      </c>
      <c r="M384" s="24" t="s">
        <v>22</v>
      </c>
      <c r="N384" s="24" t="s">
        <v>22</v>
      </c>
      <c r="O384" s="24" t="s">
        <v>22</v>
      </c>
      <c r="P384" s="24" t="s">
        <v>22</v>
      </c>
      <c r="Q384" s="24" t="s">
        <v>22</v>
      </c>
      <c r="R384" s="24" t="s">
        <v>22</v>
      </c>
      <c r="T384" s="8"/>
      <c r="U384" s="8"/>
      <c r="V384" s="8"/>
      <c r="W384" s="8"/>
      <c r="X384" s="8"/>
      <c r="Y384" s="8"/>
      <c r="Z384" s="8"/>
      <c r="AB384" s="7" t="s">
        <v>22</v>
      </c>
      <c r="AC384" s="7" t="s">
        <v>22</v>
      </c>
      <c r="AD384" s="7" t="s">
        <v>22</v>
      </c>
      <c r="AE384" s="7" t="s">
        <v>22</v>
      </c>
      <c r="AF384" s="7" t="s">
        <v>22</v>
      </c>
      <c r="AG384" s="7" t="s">
        <v>22</v>
      </c>
      <c r="AH384" s="7" t="s">
        <v>22</v>
      </c>
    </row>
    <row r="385" spans="11:34" x14ac:dyDescent="0.3">
      <c r="K385" s="21">
        <v>381</v>
      </c>
      <c r="L385" s="24" t="s">
        <v>22</v>
      </c>
      <c r="M385" s="24" t="s">
        <v>22</v>
      </c>
      <c r="N385" s="24" t="s">
        <v>22</v>
      </c>
      <c r="O385" s="24" t="s">
        <v>22</v>
      </c>
      <c r="P385" s="24" t="s">
        <v>22</v>
      </c>
      <c r="Q385" s="24" t="s">
        <v>22</v>
      </c>
      <c r="R385" s="24" t="s">
        <v>22</v>
      </c>
      <c r="T385" s="8"/>
      <c r="U385" s="8"/>
      <c r="V385" s="8"/>
      <c r="W385" s="8"/>
      <c r="X385" s="8"/>
      <c r="Y385" s="8"/>
      <c r="Z385" s="8"/>
      <c r="AB385" s="7" t="s">
        <v>22</v>
      </c>
      <c r="AC385" s="7" t="s">
        <v>22</v>
      </c>
      <c r="AD385" s="7" t="s">
        <v>22</v>
      </c>
      <c r="AE385" s="7" t="s">
        <v>22</v>
      </c>
      <c r="AF385" s="7" t="s">
        <v>22</v>
      </c>
      <c r="AG385" s="7" t="s">
        <v>22</v>
      </c>
      <c r="AH385" s="7" t="s">
        <v>22</v>
      </c>
    </row>
    <row r="386" spans="11:34" x14ac:dyDescent="0.3">
      <c r="K386" s="22">
        <v>382</v>
      </c>
      <c r="L386" s="24" t="s">
        <v>22</v>
      </c>
      <c r="M386" s="24" t="s">
        <v>22</v>
      </c>
      <c r="N386" s="24" t="s">
        <v>22</v>
      </c>
      <c r="O386" s="24" t="s">
        <v>22</v>
      </c>
      <c r="P386" s="24" t="s">
        <v>22</v>
      </c>
      <c r="Q386" s="24" t="s">
        <v>22</v>
      </c>
      <c r="R386" s="24" t="s">
        <v>22</v>
      </c>
      <c r="T386" s="8"/>
      <c r="U386" s="8"/>
      <c r="V386" s="8"/>
      <c r="W386" s="8"/>
      <c r="X386" s="8"/>
      <c r="Y386" s="8"/>
      <c r="Z386" s="8"/>
      <c r="AB386" s="7" t="s">
        <v>22</v>
      </c>
      <c r="AC386" s="7" t="s">
        <v>22</v>
      </c>
      <c r="AD386" s="7" t="s">
        <v>22</v>
      </c>
      <c r="AE386" s="7" t="s">
        <v>22</v>
      </c>
      <c r="AF386" s="7" t="s">
        <v>22</v>
      </c>
      <c r="AG386" s="7" t="s">
        <v>22</v>
      </c>
      <c r="AH386" s="7" t="s">
        <v>22</v>
      </c>
    </row>
    <row r="387" spans="11:34" x14ac:dyDescent="0.3">
      <c r="K387" s="21">
        <v>383</v>
      </c>
      <c r="L387" s="24" t="s">
        <v>22</v>
      </c>
      <c r="M387" s="24" t="s">
        <v>22</v>
      </c>
      <c r="N387" s="24" t="s">
        <v>22</v>
      </c>
      <c r="O387" s="24" t="s">
        <v>22</v>
      </c>
      <c r="P387" s="24" t="s">
        <v>22</v>
      </c>
      <c r="Q387" s="24" t="s">
        <v>22</v>
      </c>
      <c r="R387" s="24" t="s">
        <v>22</v>
      </c>
      <c r="T387" s="8"/>
      <c r="U387" s="8"/>
      <c r="V387" s="8"/>
      <c r="W387" s="8"/>
      <c r="X387" s="8"/>
      <c r="Y387" s="8"/>
      <c r="Z387" s="8"/>
      <c r="AB387" s="7" t="s">
        <v>22</v>
      </c>
      <c r="AC387" s="7" t="s">
        <v>22</v>
      </c>
      <c r="AD387" s="7" t="s">
        <v>22</v>
      </c>
      <c r="AE387" s="7" t="s">
        <v>22</v>
      </c>
      <c r="AF387" s="7" t="s">
        <v>22</v>
      </c>
      <c r="AG387" s="7" t="s">
        <v>22</v>
      </c>
      <c r="AH387" s="7" t="s">
        <v>22</v>
      </c>
    </row>
    <row r="388" spans="11:34" x14ac:dyDescent="0.3">
      <c r="K388" s="22">
        <v>384</v>
      </c>
      <c r="L388" s="24" t="s">
        <v>22</v>
      </c>
      <c r="M388" s="24" t="s">
        <v>22</v>
      </c>
      <c r="N388" s="24" t="s">
        <v>22</v>
      </c>
      <c r="O388" s="24" t="s">
        <v>22</v>
      </c>
      <c r="P388" s="24" t="s">
        <v>22</v>
      </c>
      <c r="Q388" s="24" t="s">
        <v>22</v>
      </c>
      <c r="R388" s="24" t="s">
        <v>22</v>
      </c>
      <c r="T388" s="8"/>
      <c r="U388" s="8"/>
      <c r="V388" s="8"/>
      <c r="W388" s="8"/>
      <c r="X388" s="8"/>
      <c r="Y388" s="8"/>
      <c r="Z388" s="8"/>
      <c r="AB388" s="7" t="s">
        <v>22</v>
      </c>
      <c r="AC388" s="7" t="s">
        <v>22</v>
      </c>
      <c r="AD388" s="7" t="s">
        <v>22</v>
      </c>
      <c r="AE388" s="7" t="s">
        <v>22</v>
      </c>
      <c r="AF388" s="7" t="s">
        <v>22</v>
      </c>
      <c r="AG388" s="7" t="s">
        <v>22</v>
      </c>
      <c r="AH388" s="7" t="s">
        <v>22</v>
      </c>
    </row>
    <row r="389" spans="11:34" x14ac:dyDescent="0.3">
      <c r="K389" s="21">
        <v>385</v>
      </c>
      <c r="L389" s="24" t="s">
        <v>22</v>
      </c>
      <c r="M389" s="24" t="s">
        <v>22</v>
      </c>
      <c r="N389" s="24" t="s">
        <v>22</v>
      </c>
      <c r="O389" s="24" t="s">
        <v>22</v>
      </c>
      <c r="P389" s="24" t="s">
        <v>22</v>
      </c>
      <c r="Q389" s="24" t="s">
        <v>22</v>
      </c>
      <c r="R389" s="24" t="s">
        <v>22</v>
      </c>
      <c r="T389" s="8"/>
      <c r="U389" s="8"/>
      <c r="V389" s="8"/>
      <c r="W389" s="8"/>
      <c r="X389" s="8"/>
      <c r="Y389" s="8"/>
      <c r="Z389" s="8"/>
      <c r="AB389" s="7" t="s">
        <v>22</v>
      </c>
      <c r="AC389" s="7" t="s">
        <v>22</v>
      </c>
      <c r="AD389" s="7" t="s">
        <v>22</v>
      </c>
      <c r="AE389" s="7" t="s">
        <v>22</v>
      </c>
      <c r="AF389" s="7" t="s">
        <v>22</v>
      </c>
      <c r="AG389" s="7" t="s">
        <v>22</v>
      </c>
      <c r="AH389" s="7" t="s">
        <v>22</v>
      </c>
    </row>
    <row r="390" spans="11:34" x14ac:dyDescent="0.3">
      <c r="K390" s="22">
        <v>386</v>
      </c>
      <c r="L390" s="24" t="s">
        <v>22</v>
      </c>
      <c r="M390" s="24" t="s">
        <v>22</v>
      </c>
      <c r="N390" s="24" t="s">
        <v>22</v>
      </c>
      <c r="O390" s="24" t="s">
        <v>22</v>
      </c>
      <c r="P390" s="24" t="s">
        <v>22</v>
      </c>
      <c r="Q390" s="24" t="s">
        <v>22</v>
      </c>
      <c r="R390" s="24" t="s">
        <v>22</v>
      </c>
      <c r="T390" s="8"/>
      <c r="U390" s="8"/>
      <c r="V390" s="8"/>
      <c r="W390" s="8"/>
      <c r="X390" s="8"/>
      <c r="Y390" s="8"/>
      <c r="Z390" s="8"/>
      <c r="AB390" s="7" t="s">
        <v>22</v>
      </c>
      <c r="AC390" s="7" t="s">
        <v>22</v>
      </c>
      <c r="AD390" s="7" t="s">
        <v>22</v>
      </c>
      <c r="AE390" s="7" t="s">
        <v>22</v>
      </c>
      <c r="AF390" s="7" t="s">
        <v>22</v>
      </c>
      <c r="AG390" s="7" t="s">
        <v>22</v>
      </c>
      <c r="AH390" s="7" t="s">
        <v>22</v>
      </c>
    </row>
    <row r="391" spans="11:34" x14ac:dyDescent="0.3">
      <c r="K391" s="21">
        <v>387</v>
      </c>
      <c r="L391" s="24" t="s">
        <v>22</v>
      </c>
      <c r="M391" s="24" t="s">
        <v>22</v>
      </c>
      <c r="N391" s="24" t="s">
        <v>22</v>
      </c>
      <c r="O391" s="24" t="s">
        <v>22</v>
      </c>
      <c r="P391" s="24" t="s">
        <v>22</v>
      </c>
      <c r="Q391" s="24" t="s">
        <v>22</v>
      </c>
      <c r="R391" s="24" t="s">
        <v>22</v>
      </c>
      <c r="T391" s="8"/>
      <c r="U391" s="8"/>
      <c r="V391" s="8"/>
      <c r="W391" s="8"/>
      <c r="X391" s="8"/>
      <c r="Y391" s="8"/>
      <c r="Z391" s="8"/>
      <c r="AB391" s="7" t="s">
        <v>22</v>
      </c>
      <c r="AC391" s="7" t="s">
        <v>22</v>
      </c>
      <c r="AD391" s="7" t="s">
        <v>22</v>
      </c>
      <c r="AE391" s="7" t="s">
        <v>22</v>
      </c>
      <c r="AF391" s="7" t="s">
        <v>22</v>
      </c>
      <c r="AG391" s="7" t="s">
        <v>22</v>
      </c>
      <c r="AH391" s="7" t="s">
        <v>22</v>
      </c>
    </row>
    <row r="392" spans="11:34" x14ac:dyDescent="0.3">
      <c r="K392" s="22">
        <v>388</v>
      </c>
      <c r="L392" s="24" t="s">
        <v>22</v>
      </c>
      <c r="M392" s="24" t="s">
        <v>22</v>
      </c>
      <c r="N392" s="24" t="s">
        <v>22</v>
      </c>
      <c r="O392" s="24" t="s">
        <v>22</v>
      </c>
      <c r="P392" s="24" t="s">
        <v>22</v>
      </c>
      <c r="Q392" s="24" t="s">
        <v>22</v>
      </c>
      <c r="R392" s="24" t="s">
        <v>22</v>
      </c>
      <c r="T392" s="8"/>
      <c r="U392" s="8"/>
      <c r="V392" s="8"/>
      <c r="W392" s="8"/>
      <c r="X392" s="8"/>
      <c r="Y392" s="8"/>
      <c r="Z392" s="8"/>
      <c r="AB392" s="7" t="s">
        <v>22</v>
      </c>
      <c r="AC392" s="7" t="s">
        <v>22</v>
      </c>
      <c r="AD392" s="7" t="s">
        <v>22</v>
      </c>
      <c r="AE392" s="7" t="s">
        <v>22</v>
      </c>
      <c r="AF392" s="7" t="s">
        <v>22</v>
      </c>
      <c r="AG392" s="7" t="s">
        <v>22</v>
      </c>
      <c r="AH392" s="7" t="s">
        <v>22</v>
      </c>
    </row>
    <row r="393" spans="11:34" x14ac:dyDescent="0.3">
      <c r="K393" s="21">
        <v>389</v>
      </c>
      <c r="L393" s="24" t="s">
        <v>22</v>
      </c>
      <c r="M393" s="24" t="s">
        <v>22</v>
      </c>
      <c r="N393" s="24" t="s">
        <v>22</v>
      </c>
      <c r="O393" s="24" t="s">
        <v>22</v>
      </c>
      <c r="P393" s="24" t="s">
        <v>22</v>
      </c>
      <c r="Q393" s="24" t="s">
        <v>22</v>
      </c>
      <c r="R393" s="24" t="s">
        <v>22</v>
      </c>
      <c r="T393" s="8"/>
      <c r="U393" s="8"/>
      <c r="V393" s="8"/>
      <c r="W393" s="8"/>
      <c r="X393" s="8"/>
      <c r="Y393" s="8"/>
      <c r="Z393" s="8"/>
      <c r="AB393" s="7" t="s">
        <v>22</v>
      </c>
      <c r="AC393" s="7" t="s">
        <v>22</v>
      </c>
      <c r="AD393" s="7" t="s">
        <v>22</v>
      </c>
      <c r="AE393" s="7" t="s">
        <v>22</v>
      </c>
      <c r="AF393" s="7" t="s">
        <v>22</v>
      </c>
      <c r="AG393" s="7" t="s">
        <v>22</v>
      </c>
      <c r="AH393" s="7" t="s">
        <v>22</v>
      </c>
    </row>
    <row r="394" spans="11:34" x14ac:dyDescent="0.3">
      <c r="K394" s="22">
        <v>390</v>
      </c>
      <c r="L394" s="24" t="s">
        <v>22</v>
      </c>
      <c r="M394" s="24" t="s">
        <v>22</v>
      </c>
      <c r="N394" s="24" t="s">
        <v>22</v>
      </c>
      <c r="O394" s="24" t="s">
        <v>22</v>
      </c>
      <c r="P394" s="24" t="s">
        <v>22</v>
      </c>
      <c r="Q394" s="24" t="s">
        <v>22</v>
      </c>
      <c r="R394" s="24" t="s">
        <v>22</v>
      </c>
      <c r="T394" s="8"/>
      <c r="U394" s="8"/>
      <c r="V394" s="8"/>
      <c r="W394" s="8"/>
      <c r="X394" s="8"/>
      <c r="Y394" s="8"/>
      <c r="Z394" s="8"/>
      <c r="AB394" s="7" t="s">
        <v>22</v>
      </c>
      <c r="AC394" s="7" t="s">
        <v>22</v>
      </c>
      <c r="AD394" s="7" t="s">
        <v>22</v>
      </c>
      <c r="AE394" s="7" t="s">
        <v>22</v>
      </c>
      <c r="AF394" s="7" t="s">
        <v>22</v>
      </c>
      <c r="AG394" s="7" t="s">
        <v>22</v>
      </c>
      <c r="AH394" s="7" t="s">
        <v>22</v>
      </c>
    </row>
    <row r="395" spans="11:34" x14ac:dyDescent="0.3">
      <c r="K395" s="21">
        <v>391</v>
      </c>
      <c r="L395" s="24" t="s">
        <v>22</v>
      </c>
      <c r="M395" s="24" t="s">
        <v>22</v>
      </c>
      <c r="N395" s="24" t="s">
        <v>22</v>
      </c>
      <c r="O395" s="24" t="s">
        <v>22</v>
      </c>
      <c r="P395" s="24" t="s">
        <v>22</v>
      </c>
      <c r="Q395" s="24" t="s">
        <v>22</v>
      </c>
      <c r="R395" s="24" t="s">
        <v>22</v>
      </c>
      <c r="T395" s="8"/>
      <c r="U395" s="8"/>
      <c r="V395" s="8"/>
      <c r="W395" s="8"/>
      <c r="X395" s="8"/>
      <c r="Y395" s="8"/>
      <c r="Z395" s="8"/>
      <c r="AB395" s="7" t="s">
        <v>22</v>
      </c>
      <c r="AC395" s="7" t="s">
        <v>22</v>
      </c>
      <c r="AD395" s="7" t="s">
        <v>22</v>
      </c>
      <c r="AE395" s="7" t="s">
        <v>22</v>
      </c>
      <c r="AF395" s="7" t="s">
        <v>22</v>
      </c>
      <c r="AG395" s="7" t="s">
        <v>22</v>
      </c>
      <c r="AH395" s="7" t="s">
        <v>22</v>
      </c>
    </row>
    <row r="396" spans="11:34" x14ac:dyDescent="0.3">
      <c r="K396" s="22">
        <v>392</v>
      </c>
      <c r="L396" s="24" t="s">
        <v>22</v>
      </c>
      <c r="M396" s="24" t="s">
        <v>22</v>
      </c>
      <c r="N396" s="24" t="s">
        <v>22</v>
      </c>
      <c r="O396" s="24" t="s">
        <v>22</v>
      </c>
      <c r="P396" s="24" t="s">
        <v>22</v>
      </c>
      <c r="Q396" s="24" t="s">
        <v>22</v>
      </c>
      <c r="R396" s="24" t="s">
        <v>22</v>
      </c>
      <c r="T396" s="8"/>
      <c r="U396" s="8"/>
      <c r="V396" s="8"/>
      <c r="W396" s="8"/>
      <c r="X396" s="8"/>
      <c r="Y396" s="8"/>
      <c r="Z396" s="8"/>
      <c r="AB396" s="7" t="s">
        <v>22</v>
      </c>
      <c r="AC396" s="7" t="s">
        <v>22</v>
      </c>
      <c r="AD396" s="7" t="s">
        <v>22</v>
      </c>
      <c r="AE396" s="7" t="s">
        <v>22</v>
      </c>
      <c r="AF396" s="7" t="s">
        <v>22</v>
      </c>
      <c r="AG396" s="7" t="s">
        <v>22</v>
      </c>
      <c r="AH396" s="7" t="s">
        <v>22</v>
      </c>
    </row>
    <row r="397" spans="11:34" x14ac:dyDescent="0.3">
      <c r="K397" s="21">
        <v>393</v>
      </c>
      <c r="L397" s="24" t="s">
        <v>22</v>
      </c>
      <c r="M397" s="24" t="s">
        <v>22</v>
      </c>
      <c r="N397" s="24" t="s">
        <v>22</v>
      </c>
      <c r="O397" s="24" t="s">
        <v>22</v>
      </c>
      <c r="P397" s="24" t="s">
        <v>22</v>
      </c>
      <c r="Q397" s="24" t="s">
        <v>22</v>
      </c>
      <c r="R397" s="24" t="s">
        <v>22</v>
      </c>
      <c r="T397" s="8"/>
      <c r="U397" s="8"/>
      <c r="V397" s="8"/>
      <c r="W397" s="8"/>
      <c r="X397" s="8"/>
      <c r="Y397" s="8"/>
      <c r="Z397" s="8"/>
      <c r="AB397" s="7" t="s">
        <v>22</v>
      </c>
      <c r="AC397" s="7" t="s">
        <v>22</v>
      </c>
      <c r="AD397" s="7" t="s">
        <v>22</v>
      </c>
      <c r="AE397" s="7" t="s">
        <v>22</v>
      </c>
      <c r="AF397" s="7" t="s">
        <v>22</v>
      </c>
      <c r="AG397" s="7" t="s">
        <v>22</v>
      </c>
      <c r="AH397" s="7" t="s">
        <v>22</v>
      </c>
    </row>
    <row r="398" spans="11:34" x14ac:dyDescent="0.3">
      <c r="K398" s="22">
        <v>394</v>
      </c>
      <c r="L398" s="24" t="s">
        <v>22</v>
      </c>
      <c r="M398" s="24" t="s">
        <v>22</v>
      </c>
      <c r="N398" s="24" t="s">
        <v>22</v>
      </c>
      <c r="O398" s="24" t="s">
        <v>22</v>
      </c>
      <c r="P398" s="24" t="s">
        <v>22</v>
      </c>
      <c r="Q398" s="24" t="s">
        <v>22</v>
      </c>
      <c r="R398" s="24" t="s">
        <v>22</v>
      </c>
      <c r="T398" s="8"/>
      <c r="U398" s="8"/>
      <c r="V398" s="8"/>
      <c r="W398" s="8"/>
      <c r="X398" s="8"/>
      <c r="Y398" s="8"/>
      <c r="Z398" s="8"/>
      <c r="AB398" s="7" t="s">
        <v>22</v>
      </c>
      <c r="AC398" s="7" t="s">
        <v>22</v>
      </c>
      <c r="AD398" s="7" t="s">
        <v>22</v>
      </c>
      <c r="AE398" s="7" t="s">
        <v>22</v>
      </c>
      <c r="AF398" s="7" t="s">
        <v>22</v>
      </c>
      <c r="AG398" s="7" t="s">
        <v>22</v>
      </c>
      <c r="AH398" s="7" t="s">
        <v>22</v>
      </c>
    </row>
    <row r="399" spans="11:34" x14ac:dyDescent="0.3">
      <c r="K399" s="21">
        <v>395</v>
      </c>
      <c r="L399" s="24" t="s">
        <v>22</v>
      </c>
      <c r="M399" s="24" t="s">
        <v>22</v>
      </c>
      <c r="N399" s="24" t="s">
        <v>22</v>
      </c>
      <c r="O399" s="24" t="s">
        <v>22</v>
      </c>
      <c r="P399" s="24" t="s">
        <v>22</v>
      </c>
      <c r="Q399" s="24" t="s">
        <v>22</v>
      </c>
      <c r="R399" s="24" t="s">
        <v>22</v>
      </c>
      <c r="T399" s="8"/>
      <c r="U399" s="8"/>
      <c r="V399" s="8"/>
      <c r="W399" s="8"/>
      <c r="X399" s="8"/>
      <c r="Y399" s="8"/>
      <c r="Z399" s="8"/>
      <c r="AB399" s="7" t="s">
        <v>22</v>
      </c>
      <c r="AC399" s="7" t="s">
        <v>22</v>
      </c>
      <c r="AD399" s="7" t="s">
        <v>22</v>
      </c>
      <c r="AE399" s="7" t="s">
        <v>22</v>
      </c>
      <c r="AF399" s="7" t="s">
        <v>22</v>
      </c>
      <c r="AG399" s="7" t="s">
        <v>22</v>
      </c>
      <c r="AH399" s="7" t="s">
        <v>22</v>
      </c>
    </row>
    <row r="400" spans="11:34" x14ac:dyDescent="0.3">
      <c r="K400" s="22">
        <v>396</v>
      </c>
      <c r="L400" s="24" t="s">
        <v>22</v>
      </c>
      <c r="M400" s="24" t="s">
        <v>22</v>
      </c>
      <c r="N400" s="24" t="s">
        <v>22</v>
      </c>
      <c r="O400" s="24" t="s">
        <v>22</v>
      </c>
      <c r="P400" s="24" t="s">
        <v>22</v>
      </c>
      <c r="Q400" s="24" t="s">
        <v>22</v>
      </c>
      <c r="R400" s="24" t="s">
        <v>22</v>
      </c>
      <c r="T400" s="8"/>
      <c r="U400" s="8"/>
      <c r="V400" s="8"/>
      <c r="W400" s="8"/>
      <c r="X400" s="8"/>
      <c r="Y400" s="8"/>
      <c r="Z400" s="8"/>
      <c r="AB400" s="7" t="s">
        <v>22</v>
      </c>
      <c r="AC400" s="7" t="s">
        <v>22</v>
      </c>
      <c r="AD400" s="7" t="s">
        <v>22</v>
      </c>
      <c r="AE400" s="7" t="s">
        <v>22</v>
      </c>
      <c r="AF400" s="7" t="s">
        <v>22</v>
      </c>
      <c r="AG400" s="7" t="s">
        <v>22</v>
      </c>
      <c r="AH400" s="7" t="s">
        <v>22</v>
      </c>
    </row>
    <row r="401" spans="11:34" x14ac:dyDescent="0.3">
      <c r="K401" s="21">
        <v>397</v>
      </c>
      <c r="L401" s="24" t="s">
        <v>22</v>
      </c>
      <c r="M401" s="24" t="s">
        <v>22</v>
      </c>
      <c r="N401" s="24" t="s">
        <v>22</v>
      </c>
      <c r="O401" s="24" t="s">
        <v>22</v>
      </c>
      <c r="P401" s="24" t="s">
        <v>22</v>
      </c>
      <c r="Q401" s="24" t="s">
        <v>22</v>
      </c>
      <c r="R401" s="24" t="s">
        <v>22</v>
      </c>
      <c r="T401" s="8"/>
      <c r="U401" s="8"/>
      <c r="V401" s="8"/>
      <c r="W401" s="8"/>
      <c r="X401" s="8"/>
      <c r="Y401" s="8"/>
      <c r="Z401" s="8"/>
      <c r="AB401" s="7" t="s">
        <v>22</v>
      </c>
      <c r="AC401" s="7" t="s">
        <v>22</v>
      </c>
      <c r="AD401" s="7" t="s">
        <v>22</v>
      </c>
      <c r="AE401" s="7" t="s">
        <v>22</v>
      </c>
      <c r="AF401" s="7" t="s">
        <v>22</v>
      </c>
      <c r="AG401" s="7" t="s">
        <v>22</v>
      </c>
      <c r="AH401" s="7" t="s">
        <v>22</v>
      </c>
    </row>
    <row r="402" spans="11:34" x14ac:dyDescent="0.3">
      <c r="K402" s="22">
        <v>398</v>
      </c>
      <c r="L402" s="24" t="s">
        <v>22</v>
      </c>
      <c r="M402" s="24" t="s">
        <v>22</v>
      </c>
      <c r="N402" s="24" t="s">
        <v>22</v>
      </c>
      <c r="O402" s="24" t="s">
        <v>22</v>
      </c>
      <c r="P402" s="24" t="s">
        <v>22</v>
      </c>
      <c r="Q402" s="24" t="s">
        <v>22</v>
      </c>
      <c r="R402" s="24" t="s">
        <v>22</v>
      </c>
      <c r="T402" s="8"/>
      <c r="U402" s="8"/>
      <c r="V402" s="8"/>
      <c r="W402" s="8"/>
      <c r="X402" s="8"/>
      <c r="Y402" s="8"/>
      <c r="Z402" s="8"/>
      <c r="AB402" s="7" t="s">
        <v>22</v>
      </c>
      <c r="AC402" s="7" t="s">
        <v>22</v>
      </c>
      <c r="AD402" s="7" t="s">
        <v>22</v>
      </c>
      <c r="AE402" s="7" t="s">
        <v>22</v>
      </c>
      <c r="AF402" s="7" t="s">
        <v>22</v>
      </c>
      <c r="AG402" s="7" t="s">
        <v>22</v>
      </c>
      <c r="AH402" s="7" t="s">
        <v>22</v>
      </c>
    </row>
    <row r="403" spans="11:34" x14ac:dyDescent="0.3">
      <c r="K403" s="21">
        <v>399</v>
      </c>
      <c r="L403" s="24" t="s">
        <v>22</v>
      </c>
      <c r="M403" s="24" t="s">
        <v>22</v>
      </c>
      <c r="N403" s="24" t="s">
        <v>22</v>
      </c>
      <c r="O403" s="24" t="s">
        <v>22</v>
      </c>
      <c r="P403" s="24" t="s">
        <v>22</v>
      </c>
      <c r="Q403" s="24" t="s">
        <v>22</v>
      </c>
      <c r="R403" s="24" t="s">
        <v>22</v>
      </c>
      <c r="T403" s="8"/>
      <c r="U403" s="8"/>
      <c r="V403" s="8"/>
      <c r="W403" s="8"/>
      <c r="X403" s="8"/>
      <c r="Y403" s="8"/>
      <c r="Z403" s="8"/>
      <c r="AB403" s="7" t="s">
        <v>22</v>
      </c>
      <c r="AC403" s="7" t="s">
        <v>22</v>
      </c>
      <c r="AD403" s="7" t="s">
        <v>22</v>
      </c>
      <c r="AE403" s="7" t="s">
        <v>22</v>
      </c>
      <c r="AF403" s="7" t="s">
        <v>22</v>
      </c>
      <c r="AG403" s="7" t="s">
        <v>22</v>
      </c>
      <c r="AH403" s="7" t="s">
        <v>22</v>
      </c>
    </row>
    <row r="404" spans="11:34" x14ac:dyDescent="0.3">
      <c r="T404" s="8"/>
      <c r="U404" s="8"/>
      <c r="V404" s="8"/>
      <c r="W404" s="8"/>
      <c r="X404" s="8"/>
      <c r="Y404" s="8"/>
      <c r="Z404" s="8"/>
      <c r="AB404" s="7" t="s">
        <v>22</v>
      </c>
      <c r="AC404" s="7" t="s">
        <v>22</v>
      </c>
      <c r="AD404" s="7" t="s">
        <v>22</v>
      </c>
      <c r="AE404" s="7" t="s">
        <v>22</v>
      </c>
      <c r="AF404" s="7" t="s">
        <v>22</v>
      </c>
      <c r="AG404" s="7" t="s">
        <v>22</v>
      </c>
      <c r="AH404" s="7" t="s">
        <v>22</v>
      </c>
    </row>
  </sheetData>
  <mergeCells count="9">
    <mergeCell ref="T1:Z1"/>
    <mergeCell ref="K2:R2"/>
    <mergeCell ref="T2:Z2"/>
    <mergeCell ref="AK3:AR3"/>
    <mergeCell ref="AK119:AR119"/>
    <mergeCell ref="AJ2:AR2"/>
    <mergeCell ref="AK32:AR32"/>
    <mergeCell ref="AK61:AR61"/>
    <mergeCell ref="AK90:AR90"/>
  </mergeCells>
  <phoneticPr fontId="20" type="noConversion"/>
  <conditionalFormatting sqref="L404:R1048576">
    <cfRule type="cellIs" dxfId="84" priority="19" operator="equal">
      <formula>"TE"</formula>
    </cfRule>
    <cfRule type="cellIs" dxfId="83" priority="20" operator="equal">
      <formula>"J"</formula>
    </cfRule>
    <cfRule type="cellIs" dxfId="82" priority="21" operator="equal">
      <formula>"Q"</formula>
    </cfRule>
    <cfRule type="cellIs" dxfId="81" priority="22" operator="equal">
      <formula>"K"</formula>
    </cfRule>
    <cfRule type="cellIs" dxfId="80" priority="23" operator="equal">
      <formula>"A"</formula>
    </cfRule>
    <cfRule type="cellIs" dxfId="79" priority="24" operator="equal">
      <formula>"M4"</formula>
    </cfRule>
    <cfRule type="cellIs" dxfId="78" priority="25" operator="equal">
      <formula>"M3"</formula>
    </cfRule>
    <cfRule type="cellIs" dxfId="77" priority="26" operator="equal">
      <formula>"M2"</formula>
    </cfRule>
    <cfRule type="cellIs" dxfId="76" priority="27" operator="equal">
      <formula>"M1"</formula>
    </cfRule>
  </conditionalFormatting>
  <conditionalFormatting sqref="L1:R1">
    <cfRule type="cellIs" dxfId="75" priority="1" operator="equal">
      <formula>"TE"</formula>
    </cfRule>
    <cfRule type="cellIs" dxfId="74" priority="2" operator="equal">
      <formula>"J"</formula>
    </cfRule>
    <cfRule type="cellIs" dxfId="73" priority="3" operator="equal">
      <formula>"Q"</formula>
    </cfRule>
    <cfRule type="cellIs" dxfId="72" priority="4" operator="equal">
      <formula>"K"</formula>
    </cfRule>
    <cfRule type="cellIs" dxfId="71" priority="5" operator="equal">
      <formula>"A"</formula>
    </cfRule>
    <cfRule type="cellIs" dxfId="70" priority="6" operator="equal">
      <formula>"M4"</formula>
    </cfRule>
    <cfRule type="cellIs" dxfId="69" priority="7" operator="equal">
      <formula>"M3"</formula>
    </cfRule>
    <cfRule type="cellIs" dxfId="68" priority="8" operator="equal">
      <formula>"M2"</formula>
    </cfRule>
    <cfRule type="cellIs" dxfId="67" priority="9" operator="equal">
      <formula>"M1"</formula>
    </cfRule>
  </conditionalFormatting>
  <conditionalFormatting sqref="L4:R304">
    <cfRule type="containsText" dxfId="66" priority="28" operator="containsText" text="M1">
      <formula>NOT(ISERROR(SEARCH("M1",L4)))</formula>
    </cfRule>
  </conditionalFormatting>
  <conditionalFormatting sqref="L4:R304">
    <cfRule type="containsText" dxfId="65" priority="29" operator="containsText" text="M2">
      <formula>NOT(ISERROR(SEARCH("M2",L4)))</formula>
    </cfRule>
  </conditionalFormatting>
  <conditionalFormatting sqref="L4:R304">
    <cfRule type="containsText" dxfId="64" priority="30" operator="containsText" text="M3">
      <formula>NOT(ISERROR(SEARCH("M3",L4)))</formula>
    </cfRule>
  </conditionalFormatting>
  <conditionalFormatting sqref="L4:R304">
    <cfRule type="containsText" dxfId="63" priority="31" operator="containsText" text="M4">
      <formula>NOT(ISERROR(SEARCH("M4",L4)))</formula>
    </cfRule>
  </conditionalFormatting>
  <conditionalFormatting sqref="L4:R304">
    <cfRule type="containsText" dxfId="62" priority="32" operator="containsText" text="M5">
      <formula>NOT(ISERROR(SEARCH("M5",L4)))</formula>
    </cfRule>
  </conditionalFormatting>
  <conditionalFormatting sqref="L4:R304">
    <cfRule type="containsText" dxfId="61" priority="33" operator="containsText" text="M6">
      <formula>NOT(ISERROR(SEARCH("M6",L4)))</formula>
    </cfRule>
  </conditionalFormatting>
  <conditionalFormatting sqref="L4:R304">
    <cfRule type="containsText" dxfId="60" priority="34" operator="containsText" text="A">
      <formula>NOT(ISERROR(SEARCH("A",L4)))</formula>
    </cfRule>
  </conditionalFormatting>
  <conditionalFormatting sqref="L4:R304">
    <cfRule type="containsText" dxfId="59" priority="35" operator="containsText" text="K">
      <formula>NOT(ISERROR(SEARCH("K",L4)))</formula>
    </cfRule>
  </conditionalFormatting>
  <conditionalFormatting sqref="L4:R304">
    <cfRule type="containsText" dxfId="58" priority="36" operator="containsText" text="Q">
      <formula>NOT(ISERROR(SEARCH("Q",L4)))</formula>
    </cfRule>
  </conditionalFormatting>
  <conditionalFormatting sqref="L4:R304">
    <cfRule type="containsText" dxfId="57" priority="37" operator="containsText" text="J">
      <formula>NOT(ISERROR(SEARCH("J",L4)))</formula>
    </cfRule>
  </conditionalFormatting>
  <conditionalFormatting sqref="L4:R304">
    <cfRule type="containsText" dxfId="56" priority="38" operator="containsText" text="TE">
      <formula>NOT(ISERROR(SEARCH("TE",L4)))</formula>
    </cfRule>
  </conditionalFormatting>
  <conditionalFormatting sqref="L4:R304">
    <cfRule type="containsText" dxfId="55" priority="39" operator="containsText" text="MY">
      <formula>NOT(ISERROR(SEARCH("MY",L4)))</formula>
    </cfRule>
  </conditionalFormatting>
  <conditionalFormatting sqref="A4:A29">
    <cfRule type="containsText" dxfId="54" priority="52" operator="containsText" text="M1">
      <formula>NOT(ISERROR(SEARCH("M1",A4)))</formula>
    </cfRule>
  </conditionalFormatting>
  <conditionalFormatting sqref="A4:A29">
    <cfRule type="containsText" dxfId="53" priority="53" operator="containsText" text="M2">
      <formula>NOT(ISERROR(SEARCH("M2",A4)))</formula>
    </cfRule>
  </conditionalFormatting>
  <conditionalFormatting sqref="A4:A29">
    <cfRule type="containsText" dxfId="52" priority="54" operator="containsText" text="M3">
      <formula>NOT(ISERROR(SEARCH("M3",A4)))</formula>
    </cfRule>
  </conditionalFormatting>
  <conditionalFormatting sqref="A4:A29">
    <cfRule type="containsText" dxfId="51" priority="55" operator="containsText" text="M4">
      <formula>NOT(ISERROR(SEARCH("M4",A4)))</formula>
    </cfRule>
  </conditionalFormatting>
  <conditionalFormatting sqref="A4:A29">
    <cfRule type="containsText" dxfId="50" priority="56" operator="containsText" text="M5">
      <formula>NOT(ISERROR(SEARCH("M5",A4)))</formula>
    </cfRule>
  </conditionalFormatting>
  <conditionalFormatting sqref="A4:A29">
    <cfRule type="containsText" dxfId="49" priority="57" operator="containsText" text="M6">
      <formula>NOT(ISERROR(SEARCH("M6",A4)))</formula>
    </cfRule>
  </conditionalFormatting>
  <conditionalFormatting sqref="A4:A29">
    <cfRule type="containsText" dxfId="48" priority="58" operator="containsText" text="A">
      <formula>NOT(ISERROR(SEARCH("A",A4)))</formula>
    </cfRule>
  </conditionalFormatting>
  <conditionalFormatting sqref="A4:A29">
    <cfRule type="containsText" dxfId="47" priority="59" operator="containsText" text="K">
      <formula>NOT(ISERROR(SEARCH("K",A4)))</formula>
    </cfRule>
  </conditionalFormatting>
  <conditionalFormatting sqref="A4:A29">
    <cfRule type="containsText" dxfId="46" priority="60" operator="containsText" text="Q">
      <formula>NOT(ISERROR(SEARCH("Q",A4)))</formula>
    </cfRule>
  </conditionalFormatting>
  <conditionalFormatting sqref="A4:A29">
    <cfRule type="containsText" dxfId="45" priority="61" operator="containsText" text="J">
      <formula>NOT(ISERROR(SEARCH("J",A4)))</formula>
    </cfRule>
  </conditionalFormatting>
  <conditionalFormatting sqref="A4:A29">
    <cfRule type="containsText" dxfId="44" priority="62" operator="containsText" text="TE">
      <formula>NOT(ISERROR(SEARCH("TE",A4)))</formula>
    </cfRule>
  </conditionalFormatting>
  <conditionalFormatting sqref="A4:A29">
    <cfRule type="containsText" dxfId="43" priority="63" operator="containsText" text="MY">
      <formula>NOT(ISERROR(SEARCH("MY",A4)))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dimension ref="A1:AX404"/>
  <sheetViews>
    <sheetView workbookViewId="0">
      <selection activeCell="V26" sqref="V26"/>
    </sheetView>
  </sheetViews>
  <sheetFormatPr defaultRowHeight="16.2" x14ac:dyDescent="0.3"/>
  <cols>
    <col min="9" max="9" width="4.77734375" style="1" customWidth="1"/>
    <col min="11" max="11" width="9.21875" style="1" bestFit="1" customWidth="1"/>
    <col min="12" max="12" width="4.6640625" style="145" bestFit="1" customWidth="1"/>
    <col min="13" max="14" width="7.44140625" style="145" bestFit="1" customWidth="1"/>
    <col min="15" max="15" width="7.44140625" style="145" customWidth="1"/>
    <col min="16" max="16" width="7.44140625" style="145" bestFit="1" customWidth="1"/>
    <col min="17" max="17" width="4.6640625" style="145" bestFit="1" customWidth="1"/>
    <col min="18" max="18" width="4.6640625" style="145" customWidth="1"/>
    <col min="19" max="19" width="8.88671875" style="1" customWidth="1"/>
    <col min="20" max="20" width="4.77734375" style="1" customWidth="1"/>
    <col min="21" max="25" width="4.77734375" style="145" customWidth="1"/>
    <col min="26" max="26" width="4.6640625" style="1" bestFit="1" customWidth="1"/>
    <col min="27" max="27" width="8.88671875" style="1" customWidth="1"/>
    <col min="28" max="32" width="4.77734375" style="145" customWidth="1"/>
    <col min="33" max="33" width="4.6640625" style="145" customWidth="1"/>
    <col min="34" max="34" width="4.6640625" style="1" bestFit="1" customWidth="1"/>
    <col min="35" max="35" width="9" style="1"/>
    <col min="36" max="36" width="4.88671875" style="1" customWidth="1"/>
    <col min="37" max="42" width="4.6640625" style="1" bestFit="1" customWidth="1"/>
    <col min="44" max="50" width="9" style="1"/>
  </cols>
  <sheetData>
    <row r="1" spans="1:50" x14ac:dyDescent="0.3">
      <c r="A1" s="1"/>
      <c r="B1" s="1"/>
      <c r="C1" s="1"/>
      <c r="D1" s="1"/>
      <c r="E1" s="1"/>
      <c r="F1" s="1"/>
      <c r="G1" s="1"/>
      <c r="H1" s="1"/>
      <c r="J1" s="128"/>
      <c r="K1" s="3"/>
    </row>
    <row r="2" spans="1:50" x14ac:dyDescent="0.3">
      <c r="A2" s="14"/>
      <c r="B2" s="14"/>
      <c r="C2" s="14"/>
      <c r="D2" s="14"/>
      <c r="E2" s="14"/>
      <c r="F2" s="14"/>
      <c r="G2" s="14"/>
      <c r="H2" s="14"/>
      <c r="I2" s="14"/>
      <c r="J2" s="128"/>
      <c r="K2" s="252" t="s">
        <v>2</v>
      </c>
      <c r="L2" s="252"/>
      <c r="M2" s="252"/>
      <c r="N2" s="252"/>
      <c r="O2" s="252"/>
      <c r="P2" s="252"/>
      <c r="Q2" s="252"/>
      <c r="R2" s="252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 t="s">
        <v>91</v>
      </c>
      <c r="AC2" s="14"/>
      <c r="AD2" s="14"/>
      <c r="AE2" s="14"/>
      <c r="AF2" s="14"/>
      <c r="AG2" s="14"/>
      <c r="AH2" s="14"/>
      <c r="AI2" s="14"/>
      <c r="AJ2" s="14" t="s">
        <v>197</v>
      </c>
      <c r="AK2" s="14"/>
      <c r="AL2" s="14"/>
      <c r="AM2" s="14"/>
      <c r="AN2" s="14"/>
      <c r="AO2" s="14"/>
      <c r="AP2" s="14"/>
      <c r="AR2" s="14"/>
      <c r="AS2" s="14"/>
      <c r="AT2" s="14"/>
      <c r="AU2" s="14"/>
      <c r="AV2" s="14"/>
      <c r="AW2" s="14"/>
      <c r="AX2" s="14"/>
    </row>
    <row r="3" spans="1:50" ht="16.8" x14ac:dyDescent="0.3">
      <c r="A3" s="19" t="s">
        <v>2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30</v>
      </c>
      <c r="H3" s="20" t="s">
        <v>77</v>
      </c>
      <c r="I3" s="19" t="s">
        <v>10</v>
      </c>
      <c r="J3" s="129"/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23</v>
      </c>
      <c r="R3" s="23" t="s">
        <v>76</v>
      </c>
      <c r="S3" s="145"/>
      <c r="T3" s="23" t="s">
        <v>12</v>
      </c>
      <c r="U3" s="23" t="s">
        <v>13</v>
      </c>
      <c r="V3" s="23" t="s">
        <v>14</v>
      </c>
      <c r="W3" s="23" t="s">
        <v>15</v>
      </c>
      <c r="X3" s="23" t="s">
        <v>16</v>
      </c>
      <c r="Y3" s="23" t="s">
        <v>23</v>
      </c>
      <c r="Z3" s="23" t="s">
        <v>76</v>
      </c>
      <c r="AB3" s="78" t="s">
        <v>41</v>
      </c>
      <c r="AC3" s="78" t="s">
        <v>42</v>
      </c>
      <c r="AD3" s="78" t="s">
        <v>43</v>
      </c>
      <c r="AE3" s="78" t="s">
        <v>44</v>
      </c>
      <c r="AF3" s="78" t="s">
        <v>45</v>
      </c>
      <c r="AG3" s="78" t="s">
        <v>23</v>
      </c>
      <c r="AH3" s="78" t="s">
        <v>76</v>
      </c>
      <c r="AJ3" s="78" t="s">
        <v>41</v>
      </c>
      <c r="AK3" s="78" t="s">
        <v>42</v>
      </c>
      <c r="AL3" s="78" t="s">
        <v>43</v>
      </c>
      <c r="AM3" s="78" t="s">
        <v>44</v>
      </c>
      <c r="AN3" s="78" t="s">
        <v>45</v>
      </c>
      <c r="AO3" s="78" t="s">
        <v>23</v>
      </c>
      <c r="AP3" s="78" t="s">
        <v>76</v>
      </c>
    </row>
    <row r="4" spans="1:50" ht="16.8" x14ac:dyDescent="0.3">
      <c r="A4" s="7" t="s">
        <v>78</v>
      </c>
      <c r="B4" s="15">
        <f>COUNTIF(L$4:L$304,$A4)</f>
        <v>0</v>
      </c>
      <c r="C4" s="15">
        <f t="shared" ref="C4:H4" si="0">COUNTIF(M$4:M$304,$A4)</f>
        <v>0</v>
      </c>
      <c r="D4" s="15">
        <f t="shared" si="0"/>
        <v>0</v>
      </c>
      <c r="E4" s="15">
        <f t="shared" si="0"/>
        <v>0</v>
      </c>
      <c r="F4" s="15">
        <f t="shared" si="0"/>
        <v>0</v>
      </c>
      <c r="G4" s="15">
        <f t="shared" si="0"/>
        <v>0</v>
      </c>
      <c r="H4" s="15">
        <f t="shared" si="0"/>
        <v>0</v>
      </c>
      <c r="I4" s="7">
        <v>0</v>
      </c>
      <c r="J4" s="129"/>
      <c r="K4" s="22">
        <v>0</v>
      </c>
      <c r="L4" s="24" t="s">
        <v>32</v>
      </c>
      <c r="M4" s="24" t="s">
        <v>35</v>
      </c>
      <c r="N4" s="24" t="s">
        <v>32</v>
      </c>
      <c r="O4" s="24" t="s">
        <v>32</v>
      </c>
      <c r="P4" s="24" t="s">
        <v>81</v>
      </c>
      <c r="Q4" s="24" t="s">
        <v>24</v>
      </c>
      <c r="R4" s="24" t="s">
        <v>20</v>
      </c>
      <c r="T4" s="8">
        <f>VLOOKUP(L4, $A$4:$I$29, 9, 0)</f>
        <v>2</v>
      </c>
      <c r="U4" s="8">
        <f t="shared" ref="U4:Z4" si="1">VLOOKUP(M4, $A$4:$I$29, 9, 0)</f>
        <v>5</v>
      </c>
      <c r="V4" s="8">
        <f t="shared" si="1"/>
        <v>2</v>
      </c>
      <c r="W4" s="8">
        <f t="shared" si="1"/>
        <v>2</v>
      </c>
      <c r="X4" s="8">
        <f t="shared" si="1"/>
        <v>15</v>
      </c>
      <c r="Y4" s="8">
        <f t="shared" si="1"/>
        <v>8</v>
      </c>
      <c r="Z4" s="8">
        <f t="shared" si="1"/>
        <v>2</v>
      </c>
      <c r="AB4" s="25">
        <v>5</v>
      </c>
      <c r="AC4" s="25">
        <v>5</v>
      </c>
      <c r="AD4" s="25">
        <v>5</v>
      </c>
      <c r="AE4" s="25">
        <v>5</v>
      </c>
      <c r="AF4" s="25">
        <v>6</v>
      </c>
      <c r="AG4" s="25">
        <v>5</v>
      </c>
      <c r="AH4" s="25">
        <v>5</v>
      </c>
      <c r="AJ4" s="7">
        <v>1</v>
      </c>
      <c r="AK4" s="7">
        <v>3</v>
      </c>
      <c r="AL4" s="7">
        <v>1</v>
      </c>
      <c r="AM4" s="7">
        <v>1</v>
      </c>
      <c r="AN4" s="7">
        <v>3</v>
      </c>
      <c r="AO4" s="7">
        <v>1</v>
      </c>
      <c r="AP4" s="7">
        <v>1</v>
      </c>
    </row>
    <row r="5" spans="1:50" ht="16.8" x14ac:dyDescent="0.3">
      <c r="A5" s="7" t="s">
        <v>19</v>
      </c>
      <c r="B5" s="15">
        <f t="shared" ref="B5:B29" si="2">COUNTIF(L$4:L$304,$A5)</f>
        <v>6</v>
      </c>
      <c r="C5" s="15">
        <f t="shared" ref="C5:C29" si="3">COUNTIF(M$4:M$304,$A5)</f>
        <v>8</v>
      </c>
      <c r="D5" s="15">
        <f t="shared" ref="D5:D29" si="4">COUNTIF(N$4:N$304,$A5)</f>
        <v>14</v>
      </c>
      <c r="E5" s="15">
        <f t="shared" ref="E5:E29" si="5">COUNTIF(O$4:O$304,$A5)</f>
        <v>22</v>
      </c>
      <c r="F5" s="15">
        <f t="shared" ref="F5:F29" si="6">COUNTIF(P$4:P$304,$A5)</f>
        <v>10</v>
      </c>
      <c r="G5" s="15">
        <f t="shared" ref="G5:G29" si="7">COUNTIF(Q$4:Q$304,$A5)</f>
        <v>4</v>
      </c>
      <c r="H5" s="15">
        <f t="shared" ref="H5:H29" si="8">COUNTIF(R$4:R$304,$A5)</f>
        <v>6</v>
      </c>
      <c r="I5" s="7">
        <v>1</v>
      </c>
      <c r="J5" s="129"/>
      <c r="K5" s="21">
        <v>1</v>
      </c>
      <c r="L5" s="24" t="s">
        <v>26</v>
      </c>
      <c r="M5" s="24" t="s">
        <v>35</v>
      </c>
      <c r="N5" s="24" t="s">
        <v>34</v>
      </c>
      <c r="O5" s="24" t="s">
        <v>80</v>
      </c>
      <c r="P5" s="24" t="s">
        <v>81</v>
      </c>
      <c r="Q5" s="24" t="s">
        <v>26</v>
      </c>
      <c r="R5" s="24" t="s">
        <v>24</v>
      </c>
      <c r="T5" s="8">
        <f t="shared" ref="T5:T63" si="9">VLOOKUP(L5, $A$4:$I$29, 9, 0)</f>
        <v>9</v>
      </c>
      <c r="U5" s="8">
        <f t="shared" ref="U5:U63" si="10">VLOOKUP(M5, $A$4:$I$29, 9, 0)</f>
        <v>5</v>
      </c>
      <c r="V5" s="8">
        <f t="shared" ref="V5:V63" si="11">VLOOKUP(N5, $A$4:$I$29, 9, 0)</f>
        <v>4</v>
      </c>
      <c r="W5" s="8">
        <f t="shared" ref="W5:W63" si="12">VLOOKUP(O5, $A$4:$I$29, 9, 0)</f>
        <v>14</v>
      </c>
      <c r="X5" s="8">
        <f t="shared" ref="X5:X63" si="13">VLOOKUP(P5, $A$4:$I$29, 9, 0)</f>
        <v>15</v>
      </c>
      <c r="Y5" s="8">
        <f t="shared" ref="Y5:Y63" si="14">VLOOKUP(Q5, $A$4:$I$29, 9, 0)</f>
        <v>9</v>
      </c>
      <c r="Z5" s="8">
        <f t="shared" ref="Z5:Z63" si="15">VLOOKUP(R5, $A$4:$I$29, 9, 0)</f>
        <v>8</v>
      </c>
      <c r="AB5" s="25">
        <v>5</v>
      </c>
      <c r="AC5" s="25">
        <v>0</v>
      </c>
      <c r="AD5" s="25">
        <v>0</v>
      </c>
      <c r="AE5" s="25">
        <v>0</v>
      </c>
      <c r="AF5" s="25">
        <v>0</v>
      </c>
      <c r="AG5" s="25">
        <v>5</v>
      </c>
      <c r="AH5" s="25">
        <v>5</v>
      </c>
      <c r="AJ5" s="7">
        <v>1</v>
      </c>
      <c r="AK5" s="7">
        <v>0</v>
      </c>
      <c r="AL5" s="7">
        <v>3</v>
      </c>
      <c r="AM5" s="7">
        <v>3</v>
      </c>
      <c r="AN5" s="7">
        <v>0</v>
      </c>
      <c r="AO5" s="7">
        <v>1</v>
      </c>
      <c r="AP5" s="7">
        <v>1</v>
      </c>
    </row>
    <row r="6" spans="1:50" ht="16.8" x14ac:dyDescent="0.3">
      <c r="A6" s="7" t="s">
        <v>20</v>
      </c>
      <c r="B6" s="15">
        <f t="shared" si="2"/>
        <v>6</v>
      </c>
      <c r="C6" s="15">
        <f t="shared" si="3"/>
        <v>6</v>
      </c>
      <c r="D6" s="15">
        <f t="shared" si="4"/>
        <v>2</v>
      </c>
      <c r="E6" s="15">
        <f t="shared" si="5"/>
        <v>4</v>
      </c>
      <c r="F6" s="15">
        <f t="shared" si="6"/>
        <v>4</v>
      </c>
      <c r="G6" s="15">
        <f t="shared" si="7"/>
        <v>4</v>
      </c>
      <c r="H6" s="15">
        <f t="shared" si="8"/>
        <v>12</v>
      </c>
      <c r="I6" s="7">
        <v>2</v>
      </c>
      <c r="J6" s="129"/>
      <c r="K6" s="22">
        <v>2</v>
      </c>
      <c r="L6" s="24" t="s">
        <v>27</v>
      </c>
      <c r="M6" s="24" t="s">
        <v>35</v>
      </c>
      <c r="N6" s="24" t="s">
        <v>34</v>
      </c>
      <c r="O6" s="24" t="s">
        <v>80</v>
      </c>
      <c r="P6" s="24" t="s">
        <v>81</v>
      </c>
      <c r="Q6" s="24" t="s">
        <v>18</v>
      </c>
      <c r="R6" s="24" t="s">
        <v>24</v>
      </c>
      <c r="T6" s="8">
        <f t="shared" si="9"/>
        <v>10</v>
      </c>
      <c r="U6" s="8">
        <f t="shared" si="10"/>
        <v>5</v>
      </c>
      <c r="V6" s="8">
        <f t="shared" si="11"/>
        <v>4</v>
      </c>
      <c r="W6" s="8">
        <f t="shared" si="12"/>
        <v>14</v>
      </c>
      <c r="X6" s="8">
        <f t="shared" si="13"/>
        <v>15</v>
      </c>
      <c r="Y6" s="8">
        <f t="shared" si="14"/>
        <v>5</v>
      </c>
      <c r="Z6" s="8">
        <f t="shared" si="15"/>
        <v>8</v>
      </c>
      <c r="AB6" s="25">
        <v>5</v>
      </c>
      <c r="AC6" s="25">
        <v>0</v>
      </c>
      <c r="AD6" s="25">
        <v>0</v>
      </c>
      <c r="AE6" s="25">
        <v>0</v>
      </c>
      <c r="AF6" s="25">
        <v>0</v>
      </c>
      <c r="AG6" s="25">
        <v>5</v>
      </c>
      <c r="AH6" s="25">
        <v>5</v>
      </c>
      <c r="AJ6" s="7">
        <v>1</v>
      </c>
      <c r="AK6" s="7">
        <v>0</v>
      </c>
      <c r="AL6" s="7">
        <v>0</v>
      </c>
      <c r="AM6" s="7">
        <v>0</v>
      </c>
      <c r="AN6" s="7">
        <v>0</v>
      </c>
      <c r="AO6" s="7">
        <v>1</v>
      </c>
      <c r="AP6" s="7">
        <v>1</v>
      </c>
    </row>
    <row r="7" spans="1:50" ht="16.8" x14ac:dyDescent="0.3">
      <c r="A7" s="26" t="s">
        <v>21</v>
      </c>
      <c r="B7" s="15">
        <f t="shared" si="2"/>
        <v>12</v>
      </c>
      <c r="C7" s="15">
        <f t="shared" si="3"/>
        <v>6</v>
      </c>
      <c r="D7" s="15">
        <f t="shared" si="4"/>
        <v>6</v>
      </c>
      <c r="E7" s="15">
        <f t="shared" si="5"/>
        <v>4</v>
      </c>
      <c r="F7" s="15">
        <f t="shared" si="6"/>
        <v>18</v>
      </c>
      <c r="G7" s="15">
        <f t="shared" si="7"/>
        <v>2</v>
      </c>
      <c r="H7" s="15">
        <f t="shared" si="8"/>
        <v>2</v>
      </c>
      <c r="I7" s="7">
        <v>3</v>
      </c>
      <c r="J7" s="129"/>
      <c r="K7" s="21">
        <v>3</v>
      </c>
      <c r="L7" s="24" t="s">
        <v>27</v>
      </c>
      <c r="M7" s="24" t="s">
        <v>33</v>
      </c>
      <c r="N7" s="24" t="s">
        <v>34</v>
      </c>
      <c r="O7" s="24" t="s">
        <v>80</v>
      </c>
      <c r="P7" s="24" t="s">
        <v>83</v>
      </c>
      <c r="Q7" s="24" t="s">
        <v>28</v>
      </c>
      <c r="R7" s="24" t="s">
        <v>24</v>
      </c>
      <c r="T7" s="8">
        <f t="shared" si="9"/>
        <v>10</v>
      </c>
      <c r="U7" s="8">
        <f t="shared" si="10"/>
        <v>3</v>
      </c>
      <c r="V7" s="8">
        <f t="shared" si="11"/>
        <v>4</v>
      </c>
      <c r="W7" s="8">
        <f t="shared" si="12"/>
        <v>14</v>
      </c>
      <c r="X7" s="8">
        <f t="shared" si="13"/>
        <v>17</v>
      </c>
      <c r="Y7" s="8">
        <f t="shared" si="14"/>
        <v>11</v>
      </c>
      <c r="Z7" s="8">
        <f t="shared" si="15"/>
        <v>8</v>
      </c>
      <c r="AB7" s="25">
        <v>5</v>
      </c>
      <c r="AC7" s="25">
        <v>0</v>
      </c>
      <c r="AD7" s="25">
        <v>0</v>
      </c>
      <c r="AE7" s="25">
        <v>0</v>
      </c>
      <c r="AF7" s="25">
        <v>0</v>
      </c>
      <c r="AG7" s="25">
        <v>5</v>
      </c>
      <c r="AH7" s="25">
        <v>5</v>
      </c>
      <c r="AJ7" s="7">
        <v>1</v>
      </c>
      <c r="AK7" s="7">
        <v>2</v>
      </c>
      <c r="AL7" s="7">
        <v>0</v>
      </c>
      <c r="AM7" s="7">
        <v>0</v>
      </c>
      <c r="AN7" s="7">
        <v>2</v>
      </c>
      <c r="AO7" s="7">
        <v>1</v>
      </c>
      <c r="AP7" s="7">
        <v>1</v>
      </c>
    </row>
    <row r="8" spans="1:50" ht="16.8" x14ac:dyDescent="0.3">
      <c r="A8" s="27" t="s">
        <v>17</v>
      </c>
      <c r="B8" s="15">
        <f t="shared" si="2"/>
        <v>8</v>
      </c>
      <c r="C8" s="15">
        <f t="shared" si="3"/>
        <v>12</v>
      </c>
      <c r="D8" s="15">
        <f t="shared" si="4"/>
        <v>6</v>
      </c>
      <c r="E8" s="15">
        <f t="shared" si="5"/>
        <v>12</v>
      </c>
      <c r="F8" s="15">
        <f t="shared" si="6"/>
        <v>18</v>
      </c>
      <c r="G8" s="15">
        <f t="shared" si="7"/>
        <v>4</v>
      </c>
      <c r="H8" s="15">
        <f t="shared" si="8"/>
        <v>25</v>
      </c>
      <c r="I8" s="7">
        <v>4</v>
      </c>
      <c r="J8" s="129"/>
      <c r="K8" s="22">
        <v>4</v>
      </c>
      <c r="L8" s="24" t="s">
        <v>29</v>
      </c>
      <c r="M8" s="24" t="s">
        <v>33</v>
      </c>
      <c r="N8" s="24" t="s">
        <v>24</v>
      </c>
      <c r="O8" s="24" t="s">
        <v>26</v>
      </c>
      <c r="P8" s="24" t="s">
        <v>83</v>
      </c>
      <c r="Q8" s="24" t="s">
        <v>29</v>
      </c>
      <c r="R8" s="24" t="s">
        <v>17</v>
      </c>
      <c r="T8" s="8">
        <f t="shared" si="9"/>
        <v>12</v>
      </c>
      <c r="U8" s="8">
        <f t="shared" si="10"/>
        <v>3</v>
      </c>
      <c r="V8" s="8">
        <f t="shared" si="11"/>
        <v>8</v>
      </c>
      <c r="W8" s="8">
        <f t="shared" si="12"/>
        <v>9</v>
      </c>
      <c r="X8" s="8">
        <f t="shared" si="13"/>
        <v>17</v>
      </c>
      <c r="Y8" s="8">
        <f t="shared" si="14"/>
        <v>12</v>
      </c>
      <c r="Z8" s="8">
        <f t="shared" si="15"/>
        <v>4</v>
      </c>
      <c r="AB8" s="25">
        <v>5</v>
      </c>
      <c r="AC8" s="25">
        <v>0</v>
      </c>
      <c r="AD8" s="25">
        <v>0</v>
      </c>
      <c r="AE8" s="25">
        <v>0</v>
      </c>
      <c r="AF8" s="25">
        <v>0</v>
      </c>
      <c r="AG8" s="25">
        <v>5</v>
      </c>
      <c r="AH8" s="25">
        <v>5</v>
      </c>
      <c r="AJ8" s="7">
        <v>1</v>
      </c>
      <c r="AK8" s="7">
        <v>0</v>
      </c>
      <c r="AL8" s="7">
        <v>1</v>
      </c>
      <c r="AM8" s="7">
        <v>1</v>
      </c>
      <c r="AN8" s="7">
        <v>0</v>
      </c>
      <c r="AO8" s="7">
        <v>1</v>
      </c>
      <c r="AP8" s="7">
        <v>1</v>
      </c>
    </row>
    <row r="9" spans="1:50" ht="16.8" x14ac:dyDescent="0.3">
      <c r="A9" s="28" t="s">
        <v>18</v>
      </c>
      <c r="B9" s="15">
        <f t="shared" si="2"/>
        <v>4</v>
      </c>
      <c r="C9" s="15">
        <f t="shared" si="3"/>
        <v>6</v>
      </c>
      <c r="D9" s="15">
        <f t="shared" si="4"/>
        <v>6</v>
      </c>
      <c r="E9" s="15">
        <f t="shared" si="5"/>
        <v>0</v>
      </c>
      <c r="F9" s="15">
        <f t="shared" si="6"/>
        <v>6</v>
      </c>
      <c r="G9" s="15">
        <f t="shared" si="7"/>
        <v>18</v>
      </c>
      <c r="H9" s="15">
        <f t="shared" si="8"/>
        <v>12</v>
      </c>
      <c r="I9" s="7">
        <v>5</v>
      </c>
      <c r="J9" s="129"/>
      <c r="K9" s="21">
        <v>5</v>
      </c>
      <c r="L9" s="24" t="s">
        <v>32</v>
      </c>
      <c r="M9" s="24" t="s">
        <v>33</v>
      </c>
      <c r="N9" s="24" t="s">
        <v>24</v>
      </c>
      <c r="O9" s="24" t="s">
        <v>27</v>
      </c>
      <c r="P9" s="24" t="s">
        <v>36</v>
      </c>
      <c r="Q9" s="24" t="s">
        <v>29</v>
      </c>
      <c r="R9" s="24" t="s">
        <v>17</v>
      </c>
      <c r="T9" s="8">
        <f t="shared" si="9"/>
        <v>2</v>
      </c>
      <c r="U9" s="8">
        <f t="shared" si="10"/>
        <v>3</v>
      </c>
      <c r="V9" s="8">
        <f t="shared" si="11"/>
        <v>8</v>
      </c>
      <c r="W9" s="8">
        <f t="shared" si="12"/>
        <v>10</v>
      </c>
      <c r="X9" s="8">
        <f t="shared" si="13"/>
        <v>1</v>
      </c>
      <c r="Y9" s="8">
        <f t="shared" si="14"/>
        <v>12</v>
      </c>
      <c r="Z9" s="8">
        <f t="shared" si="15"/>
        <v>4</v>
      </c>
      <c r="AB9" s="25">
        <v>5</v>
      </c>
      <c r="AC9" s="25">
        <v>5</v>
      </c>
      <c r="AD9" s="25">
        <v>5</v>
      </c>
      <c r="AE9" s="25">
        <v>5</v>
      </c>
      <c r="AF9" s="25">
        <v>4</v>
      </c>
      <c r="AG9" s="25">
        <v>5</v>
      </c>
      <c r="AH9" s="25">
        <v>5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</row>
    <row r="10" spans="1:50" ht="16.8" x14ac:dyDescent="0.3">
      <c r="A10" s="29" t="s">
        <v>74</v>
      </c>
      <c r="B10" s="15">
        <f t="shared" si="2"/>
        <v>12</v>
      </c>
      <c r="C10" s="15">
        <f t="shared" si="3"/>
        <v>6</v>
      </c>
      <c r="D10" s="15">
        <f t="shared" si="4"/>
        <v>6</v>
      </c>
      <c r="E10" s="15">
        <f t="shared" si="5"/>
        <v>8</v>
      </c>
      <c r="F10" s="15">
        <f t="shared" si="6"/>
        <v>4</v>
      </c>
      <c r="G10" s="15">
        <f t="shared" si="7"/>
        <v>18</v>
      </c>
      <c r="H10" s="15">
        <f t="shared" si="8"/>
        <v>20</v>
      </c>
      <c r="I10" s="7">
        <v>6</v>
      </c>
      <c r="J10" s="129"/>
      <c r="K10" s="22">
        <v>6</v>
      </c>
      <c r="L10" s="24" t="s">
        <v>21</v>
      </c>
      <c r="M10" s="24" t="s">
        <v>74</v>
      </c>
      <c r="N10" s="24" t="s">
        <v>28</v>
      </c>
      <c r="O10" s="24" t="s">
        <v>27</v>
      </c>
      <c r="P10" s="24" t="s">
        <v>17</v>
      </c>
      <c r="Q10" s="24" t="s">
        <v>24</v>
      </c>
      <c r="R10" s="24" t="s">
        <v>17</v>
      </c>
      <c r="T10" s="8">
        <f t="shared" si="9"/>
        <v>3</v>
      </c>
      <c r="U10" s="8">
        <f t="shared" si="10"/>
        <v>6</v>
      </c>
      <c r="V10" s="8">
        <f t="shared" si="11"/>
        <v>11</v>
      </c>
      <c r="W10" s="8">
        <f t="shared" si="12"/>
        <v>10</v>
      </c>
      <c r="X10" s="8">
        <f t="shared" si="13"/>
        <v>4</v>
      </c>
      <c r="Y10" s="8">
        <f t="shared" si="14"/>
        <v>8</v>
      </c>
      <c r="Z10" s="8">
        <f t="shared" si="15"/>
        <v>4</v>
      </c>
      <c r="AB10" s="25">
        <v>5</v>
      </c>
      <c r="AC10" s="25">
        <v>0</v>
      </c>
      <c r="AD10" s="25">
        <v>0</v>
      </c>
      <c r="AE10" s="25">
        <v>0</v>
      </c>
      <c r="AF10" s="25">
        <v>1</v>
      </c>
      <c r="AG10" s="25">
        <v>5</v>
      </c>
      <c r="AH10" s="25">
        <v>5</v>
      </c>
      <c r="AJ10" s="7">
        <v>1</v>
      </c>
      <c r="AK10" s="7">
        <v>1</v>
      </c>
      <c r="AL10" s="7">
        <v>1</v>
      </c>
      <c r="AM10" s="7">
        <v>1</v>
      </c>
      <c r="AN10" s="7">
        <v>3</v>
      </c>
      <c r="AO10" s="7">
        <v>1</v>
      </c>
      <c r="AP10" s="7">
        <v>1</v>
      </c>
    </row>
    <row r="11" spans="1:50" ht="16.8" x14ac:dyDescent="0.3">
      <c r="A11" s="29" t="s">
        <v>151</v>
      </c>
      <c r="B11" s="15">
        <f t="shared" si="2"/>
        <v>6</v>
      </c>
      <c r="C11" s="15">
        <f t="shared" si="3"/>
        <v>6</v>
      </c>
      <c r="D11" s="15">
        <f t="shared" si="4"/>
        <v>8</v>
      </c>
      <c r="E11" s="15">
        <f t="shared" si="5"/>
        <v>0</v>
      </c>
      <c r="F11" s="15">
        <f t="shared" si="6"/>
        <v>0</v>
      </c>
      <c r="G11" s="15">
        <f t="shared" si="7"/>
        <v>0</v>
      </c>
      <c r="H11" s="15">
        <f t="shared" si="8"/>
        <v>0</v>
      </c>
      <c r="I11" s="7">
        <v>7</v>
      </c>
      <c r="J11" s="129"/>
      <c r="K11" s="21">
        <v>7</v>
      </c>
      <c r="L11" s="24" t="s">
        <v>36</v>
      </c>
      <c r="M11" s="24" t="s">
        <v>17</v>
      </c>
      <c r="N11" s="24" t="s">
        <v>28</v>
      </c>
      <c r="O11" s="24" t="s">
        <v>37</v>
      </c>
      <c r="P11" s="24" t="s">
        <v>17</v>
      </c>
      <c r="Q11" s="24" t="s">
        <v>27</v>
      </c>
      <c r="R11" s="24" t="s">
        <v>74</v>
      </c>
      <c r="T11" s="8">
        <f t="shared" si="9"/>
        <v>1</v>
      </c>
      <c r="U11" s="8">
        <f t="shared" si="10"/>
        <v>4</v>
      </c>
      <c r="V11" s="8">
        <f t="shared" si="11"/>
        <v>11</v>
      </c>
      <c r="W11" s="8">
        <f t="shared" si="12"/>
        <v>9</v>
      </c>
      <c r="X11" s="8">
        <f t="shared" si="13"/>
        <v>4</v>
      </c>
      <c r="Y11" s="8">
        <f t="shared" si="14"/>
        <v>10</v>
      </c>
      <c r="Z11" s="8">
        <f t="shared" si="15"/>
        <v>6</v>
      </c>
      <c r="AB11" s="25">
        <v>5</v>
      </c>
      <c r="AC11" s="25">
        <v>0</v>
      </c>
      <c r="AD11" s="25">
        <v>0</v>
      </c>
      <c r="AE11" s="25">
        <v>0</v>
      </c>
      <c r="AF11" s="25">
        <v>0</v>
      </c>
      <c r="AG11" s="25">
        <v>5</v>
      </c>
      <c r="AH11" s="25">
        <v>5</v>
      </c>
      <c r="AJ11" s="7">
        <v>1</v>
      </c>
      <c r="AK11" s="7">
        <v>2</v>
      </c>
      <c r="AL11" s="7">
        <v>1</v>
      </c>
      <c r="AM11" s="7">
        <v>1</v>
      </c>
      <c r="AN11" s="7">
        <v>0</v>
      </c>
      <c r="AO11" s="7">
        <v>1</v>
      </c>
      <c r="AP11" s="7">
        <v>1</v>
      </c>
    </row>
    <row r="12" spans="1:50" ht="16.8" x14ac:dyDescent="0.3">
      <c r="A12" s="26" t="s">
        <v>24</v>
      </c>
      <c r="B12" s="15">
        <f t="shared" si="2"/>
        <v>4</v>
      </c>
      <c r="C12" s="15">
        <f t="shared" si="3"/>
        <v>16</v>
      </c>
      <c r="D12" s="15">
        <f t="shared" si="4"/>
        <v>19</v>
      </c>
      <c r="E12" s="15">
        <f t="shared" si="5"/>
        <v>6</v>
      </c>
      <c r="F12" s="15">
        <f t="shared" si="6"/>
        <v>4</v>
      </c>
      <c r="G12" s="15">
        <f t="shared" si="7"/>
        <v>24</v>
      </c>
      <c r="H12" s="15">
        <f t="shared" si="8"/>
        <v>20</v>
      </c>
      <c r="I12" s="7">
        <v>8</v>
      </c>
      <c r="J12" s="129"/>
      <c r="K12" s="22">
        <v>8</v>
      </c>
      <c r="L12" s="24" t="s">
        <v>152</v>
      </c>
      <c r="M12" s="24" t="s">
        <v>17</v>
      </c>
      <c r="N12" s="24" t="s">
        <v>152</v>
      </c>
      <c r="O12" s="24" t="s">
        <v>36</v>
      </c>
      <c r="P12" s="24" t="s">
        <v>17</v>
      </c>
      <c r="Q12" s="24" t="s">
        <v>18</v>
      </c>
      <c r="R12" s="24" t="s">
        <v>74</v>
      </c>
      <c r="T12" s="8">
        <f t="shared" si="9"/>
        <v>7</v>
      </c>
      <c r="U12" s="8">
        <f t="shared" si="10"/>
        <v>4</v>
      </c>
      <c r="V12" s="8">
        <f t="shared" si="11"/>
        <v>7</v>
      </c>
      <c r="W12" s="8">
        <f t="shared" si="12"/>
        <v>1</v>
      </c>
      <c r="X12" s="8">
        <f t="shared" si="13"/>
        <v>4</v>
      </c>
      <c r="Y12" s="8">
        <f t="shared" si="14"/>
        <v>5</v>
      </c>
      <c r="Z12" s="8">
        <f t="shared" si="15"/>
        <v>6</v>
      </c>
      <c r="AB12" s="25">
        <v>5</v>
      </c>
      <c r="AC12" s="25">
        <v>0</v>
      </c>
      <c r="AD12" s="25">
        <v>0</v>
      </c>
      <c r="AE12" s="25">
        <v>0</v>
      </c>
      <c r="AF12" s="25">
        <v>0</v>
      </c>
      <c r="AG12" s="25">
        <v>5</v>
      </c>
      <c r="AH12" s="25">
        <v>5</v>
      </c>
      <c r="AJ12" s="7">
        <v>1</v>
      </c>
      <c r="AK12" s="7">
        <v>0</v>
      </c>
      <c r="AL12" s="7">
        <v>1</v>
      </c>
      <c r="AM12" s="7">
        <v>2</v>
      </c>
      <c r="AN12" s="7">
        <v>0</v>
      </c>
      <c r="AO12" s="7">
        <v>1</v>
      </c>
      <c r="AP12" s="7">
        <v>1</v>
      </c>
    </row>
    <row r="13" spans="1:50" ht="16.8" x14ac:dyDescent="0.3">
      <c r="A13" s="27" t="s">
        <v>26</v>
      </c>
      <c r="B13" s="15">
        <f t="shared" si="2"/>
        <v>18</v>
      </c>
      <c r="C13" s="15">
        <f t="shared" si="3"/>
        <v>2</v>
      </c>
      <c r="D13" s="15">
        <f t="shared" si="4"/>
        <v>0</v>
      </c>
      <c r="E13" s="15">
        <f t="shared" si="5"/>
        <v>9</v>
      </c>
      <c r="F13" s="15">
        <f t="shared" si="6"/>
        <v>4</v>
      </c>
      <c r="G13" s="15">
        <f t="shared" si="7"/>
        <v>6</v>
      </c>
      <c r="H13" s="15">
        <f t="shared" si="8"/>
        <v>0</v>
      </c>
      <c r="I13" s="7">
        <v>9</v>
      </c>
      <c r="J13" s="129"/>
      <c r="K13" s="21">
        <v>9</v>
      </c>
      <c r="L13" s="24" t="s">
        <v>29</v>
      </c>
      <c r="M13" s="24" t="s">
        <v>24</v>
      </c>
      <c r="N13" s="24" t="s">
        <v>21</v>
      </c>
      <c r="O13" s="24" t="s">
        <v>36</v>
      </c>
      <c r="P13" s="24" t="s">
        <v>32</v>
      </c>
      <c r="Q13" s="24" t="s">
        <v>24</v>
      </c>
      <c r="R13" s="24" t="s">
        <v>74</v>
      </c>
      <c r="T13" s="8">
        <f t="shared" si="9"/>
        <v>12</v>
      </c>
      <c r="U13" s="8">
        <f t="shared" si="10"/>
        <v>8</v>
      </c>
      <c r="V13" s="8">
        <f t="shared" si="11"/>
        <v>3</v>
      </c>
      <c r="W13" s="8">
        <f t="shared" si="12"/>
        <v>1</v>
      </c>
      <c r="X13" s="8">
        <f t="shared" si="13"/>
        <v>2</v>
      </c>
      <c r="Y13" s="8">
        <f t="shared" si="14"/>
        <v>8</v>
      </c>
      <c r="Z13" s="8">
        <f t="shared" si="15"/>
        <v>6</v>
      </c>
      <c r="AB13" s="25">
        <v>5</v>
      </c>
      <c r="AC13" s="25">
        <v>0</v>
      </c>
      <c r="AD13" s="25">
        <v>0</v>
      </c>
      <c r="AE13" s="25">
        <v>0</v>
      </c>
      <c r="AF13" s="25">
        <v>1</v>
      </c>
      <c r="AG13" s="25">
        <v>5</v>
      </c>
      <c r="AH13" s="25">
        <v>5</v>
      </c>
      <c r="AJ13" s="7">
        <v>1</v>
      </c>
      <c r="AK13" s="7">
        <v>1</v>
      </c>
      <c r="AL13" s="7">
        <v>1</v>
      </c>
      <c r="AM13" s="7">
        <v>0</v>
      </c>
      <c r="AN13" s="7">
        <v>1</v>
      </c>
      <c r="AO13" s="7">
        <v>1</v>
      </c>
      <c r="AP13" s="7">
        <v>1</v>
      </c>
    </row>
    <row r="14" spans="1:50" ht="16.8" x14ac:dyDescent="0.3">
      <c r="A14" s="28" t="s">
        <v>27</v>
      </c>
      <c r="B14" s="15">
        <f t="shared" si="2"/>
        <v>16</v>
      </c>
      <c r="C14" s="15">
        <f t="shared" si="3"/>
        <v>0</v>
      </c>
      <c r="D14" s="15">
        <f t="shared" si="4"/>
        <v>18</v>
      </c>
      <c r="E14" s="15">
        <f t="shared" si="5"/>
        <v>18</v>
      </c>
      <c r="F14" s="15">
        <f t="shared" si="6"/>
        <v>4</v>
      </c>
      <c r="G14" s="15">
        <f t="shared" si="7"/>
        <v>16</v>
      </c>
      <c r="H14" s="15">
        <f t="shared" si="8"/>
        <v>0</v>
      </c>
      <c r="I14" s="7">
        <v>10</v>
      </c>
      <c r="J14" s="129"/>
      <c r="K14" s="22">
        <v>10</v>
      </c>
      <c r="L14" s="24" t="s">
        <v>39</v>
      </c>
      <c r="M14" s="24" t="s">
        <v>24</v>
      </c>
      <c r="N14" s="24" t="s">
        <v>27</v>
      </c>
      <c r="O14" s="24" t="s">
        <v>17</v>
      </c>
      <c r="P14" s="24" t="s">
        <v>21</v>
      </c>
      <c r="Q14" s="24" t="s">
        <v>32</v>
      </c>
      <c r="R14" s="24" t="s">
        <v>28</v>
      </c>
      <c r="T14" s="8">
        <f t="shared" si="9"/>
        <v>11</v>
      </c>
      <c r="U14" s="8">
        <f t="shared" si="10"/>
        <v>8</v>
      </c>
      <c r="V14" s="8">
        <f t="shared" si="11"/>
        <v>10</v>
      </c>
      <c r="W14" s="8">
        <f t="shared" si="12"/>
        <v>4</v>
      </c>
      <c r="X14" s="8">
        <f t="shared" si="13"/>
        <v>3</v>
      </c>
      <c r="Y14" s="8">
        <f t="shared" si="14"/>
        <v>2</v>
      </c>
      <c r="Z14" s="8">
        <f t="shared" si="15"/>
        <v>11</v>
      </c>
      <c r="AB14" s="25">
        <v>5</v>
      </c>
      <c r="AC14" s="25">
        <v>5</v>
      </c>
      <c r="AD14" s="25">
        <v>5</v>
      </c>
      <c r="AE14" s="25">
        <v>5</v>
      </c>
      <c r="AF14" s="25">
        <v>5</v>
      </c>
      <c r="AG14" s="25">
        <v>5</v>
      </c>
      <c r="AH14" s="25">
        <v>5</v>
      </c>
      <c r="AJ14" s="7">
        <v>1</v>
      </c>
      <c r="AK14" s="7">
        <v>1</v>
      </c>
      <c r="AL14" s="7">
        <v>1</v>
      </c>
      <c r="AM14" s="7">
        <v>2</v>
      </c>
      <c r="AN14" s="7">
        <v>1</v>
      </c>
      <c r="AO14" s="7">
        <v>1</v>
      </c>
      <c r="AP14" s="7">
        <v>1</v>
      </c>
    </row>
    <row r="15" spans="1:50" x14ac:dyDescent="0.3">
      <c r="A15" s="29" t="s">
        <v>28</v>
      </c>
      <c r="B15" s="15">
        <f t="shared" si="2"/>
        <v>6</v>
      </c>
      <c r="C15" s="15">
        <f t="shared" si="3"/>
        <v>6</v>
      </c>
      <c r="D15" s="15">
        <f t="shared" si="4"/>
        <v>12</v>
      </c>
      <c r="E15" s="15">
        <f t="shared" si="5"/>
        <v>0</v>
      </c>
      <c r="F15" s="15">
        <f t="shared" si="6"/>
        <v>4</v>
      </c>
      <c r="G15" s="15">
        <f t="shared" si="7"/>
        <v>16</v>
      </c>
      <c r="H15" s="15">
        <f t="shared" si="8"/>
        <v>18</v>
      </c>
      <c r="I15" s="7">
        <v>11</v>
      </c>
      <c r="K15" s="21">
        <v>11</v>
      </c>
      <c r="L15" s="24" t="s">
        <v>74</v>
      </c>
      <c r="M15" s="24" t="s">
        <v>19</v>
      </c>
      <c r="N15" s="24" t="s">
        <v>152</v>
      </c>
      <c r="O15" s="24" t="s">
        <v>17</v>
      </c>
      <c r="P15" s="24" t="s">
        <v>87</v>
      </c>
      <c r="Q15" s="24" t="s">
        <v>74</v>
      </c>
      <c r="R15" s="24" t="s">
        <v>28</v>
      </c>
      <c r="T15" s="8">
        <f t="shared" si="9"/>
        <v>6</v>
      </c>
      <c r="U15" s="8">
        <f t="shared" si="10"/>
        <v>1</v>
      </c>
      <c r="V15" s="8">
        <f t="shared" si="11"/>
        <v>7</v>
      </c>
      <c r="W15" s="8">
        <f t="shared" si="12"/>
        <v>4</v>
      </c>
      <c r="X15" s="8">
        <f t="shared" si="13"/>
        <v>22</v>
      </c>
      <c r="Y15" s="8">
        <f t="shared" si="14"/>
        <v>6</v>
      </c>
      <c r="Z15" s="8">
        <f t="shared" si="15"/>
        <v>11</v>
      </c>
      <c r="AB15" s="25">
        <v>5</v>
      </c>
      <c r="AC15" s="25">
        <v>0</v>
      </c>
      <c r="AD15" s="25">
        <v>0</v>
      </c>
      <c r="AE15" s="25">
        <v>0</v>
      </c>
      <c r="AF15" s="25">
        <v>0</v>
      </c>
      <c r="AG15" s="25">
        <v>5</v>
      </c>
      <c r="AH15" s="25">
        <v>5</v>
      </c>
      <c r="AJ15" s="7">
        <v>1</v>
      </c>
      <c r="AK15" s="7">
        <v>1</v>
      </c>
      <c r="AL15" s="7">
        <v>1</v>
      </c>
      <c r="AM15" s="7">
        <v>0</v>
      </c>
      <c r="AN15" s="7">
        <v>2</v>
      </c>
      <c r="AO15" s="7">
        <v>1</v>
      </c>
      <c r="AP15" s="7">
        <v>1</v>
      </c>
    </row>
    <row r="16" spans="1:50" x14ac:dyDescent="0.3">
      <c r="A16" s="30" t="s">
        <v>29</v>
      </c>
      <c r="B16" s="15">
        <f t="shared" si="2"/>
        <v>23</v>
      </c>
      <c r="C16" s="15">
        <f t="shared" si="3"/>
        <v>7</v>
      </c>
      <c r="D16" s="15">
        <f t="shared" si="4"/>
        <v>0</v>
      </c>
      <c r="E16" s="15">
        <f t="shared" si="5"/>
        <v>0</v>
      </c>
      <c r="F16" s="15">
        <f t="shared" si="6"/>
        <v>0</v>
      </c>
      <c r="G16" s="15">
        <f t="shared" si="7"/>
        <v>9</v>
      </c>
      <c r="H16" s="15">
        <f t="shared" si="8"/>
        <v>6</v>
      </c>
      <c r="I16" s="7">
        <v>12</v>
      </c>
      <c r="K16" s="22">
        <v>12</v>
      </c>
      <c r="L16" s="24" t="s">
        <v>74</v>
      </c>
      <c r="M16" s="24" t="s">
        <v>82</v>
      </c>
      <c r="N16" s="24" t="s">
        <v>83</v>
      </c>
      <c r="O16" s="24" t="s">
        <v>27</v>
      </c>
      <c r="P16" s="24" t="s">
        <v>87</v>
      </c>
      <c r="Q16" s="24" t="s">
        <v>27</v>
      </c>
      <c r="R16" s="24" t="s">
        <v>28</v>
      </c>
      <c r="T16" s="8">
        <f t="shared" si="9"/>
        <v>6</v>
      </c>
      <c r="U16" s="8">
        <f t="shared" si="10"/>
        <v>16</v>
      </c>
      <c r="V16" s="8">
        <f t="shared" si="11"/>
        <v>17</v>
      </c>
      <c r="W16" s="8">
        <f t="shared" si="12"/>
        <v>10</v>
      </c>
      <c r="X16" s="8">
        <f t="shared" si="13"/>
        <v>22</v>
      </c>
      <c r="Y16" s="8">
        <f t="shared" si="14"/>
        <v>10</v>
      </c>
      <c r="Z16" s="8">
        <f t="shared" si="15"/>
        <v>11</v>
      </c>
      <c r="AB16" s="25">
        <v>5</v>
      </c>
      <c r="AC16" s="25">
        <v>0</v>
      </c>
      <c r="AD16" s="25">
        <v>0</v>
      </c>
      <c r="AE16" s="25">
        <v>0</v>
      </c>
      <c r="AF16" s="25">
        <v>0</v>
      </c>
      <c r="AG16" s="25">
        <v>5</v>
      </c>
      <c r="AH16" s="25">
        <v>5</v>
      </c>
      <c r="AJ16" s="7">
        <v>1</v>
      </c>
      <c r="AK16" s="7">
        <v>2</v>
      </c>
      <c r="AL16" s="7">
        <v>2</v>
      </c>
      <c r="AM16" s="7">
        <v>1</v>
      </c>
      <c r="AN16" s="7">
        <v>0</v>
      </c>
      <c r="AO16" s="7">
        <v>1</v>
      </c>
      <c r="AP16" s="7">
        <v>1</v>
      </c>
    </row>
    <row r="17" spans="1:42" x14ac:dyDescent="0.3">
      <c r="A17" s="30" t="s">
        <v>79</v>
      </c>
      <c r="B17" s="15">
        <f t="shared" si="2"/>
        <v>0</v>
      </c>
      <c r="C17" s="15">
        <f t="shared" si="3"/>
        <v>2</v>
      </c>
      <c r="D17" s="15">
        <f t="shared" si="4"/>
        <v>12</v>
      </c>
      <c r="E17" s="15">
        <f t="shared" si="5"/>
        <v>0</v>
      </c>
      <c r="F17" s="15">
        <f t="shared" si="6"/>
        <v>0</v>
      </c>
      <c r="G17" s="15">
        <f t="shared" si="7"/>
        <v>0</v>
      </c>
      <c r="H17" s="15">
        <f t="shared" si="8"/>
        <v>0</v>
      </c>
      <c r="I17" s="7">
        <v>13</v>
      </c>
      <c r="K17" s="21">
        <v>13</v>
      </c>
      <c r="L17" s="24" t="s">
        <v>29</v>
      </c>
      <c r="M17" s="24" t="s">
        <v>82</v>
      </c>
      <c r="N17" s="24" t="s">
        <v>83</v>
      </c>
      <c r="O17" s="24" t="s">
        <v>32</v>
      </c>
      <c r="P17" s="24" t="s">
        <v>26</v>
      </c>
      <c r="Q17" s="24" t="s">
        <v>24</v>
      </c>
      <c r="R17" s="24" t="s">
        <v>33</v>
      </c>
      <c r="T17" s="8">
        <f t="shared" si="9"/>
        <v>12</v>
      </c>
      <c r="U17" s="8">
        <f t="shared" si="10"/>
        <v>16</v>
      </c>
      <c r="V17" s="8">
        <f t="shared" si="11"/>
        <v>17</v>
      </c>
      <c r="W17" s="8">
        <f t="shared" si="12"/>
        <v>2</v>
      </c>
      <c r="X17" s="8">
        <f t="shared" si="13"/>
        <v>9</v>
      </c>
      <c r="Y17" s="8">
        <f t="shared" si="14"/>
        <v>8</v>
      </c>
      <c r="Z17" s="8">
        <f t="shared" si="15"/>
        <v>3</v>
      </c>
      <c r="AB17" s="25">
        <v>5</v>
      </c>
      <c r="AC17" s="25">
        <v>0</v>
      </c>
      <c r="AD17" s="25">
        <v>0</v>
      </c>
      <c r="AE17" s="25">
        <v>0</v>
      </c>
      <c r="AF17" s="25">
        <v>0</v>
      </c>
      <c r="AG17" s="25">
        <v>5</v>
      </c>
      <c r="AH17" s="25">
        <v>5</v>
      </c>
      <c r="AJ17" s="7">
        <v>1</v>
      </c>
      <c r="AK17" s="7">
        <v>0</v>
      </c>
      <c r="AL17" s="7">
        <v>0</v>
      </c>
      <c r="AM17" s="7">
        <v>1</v>
      </c>
      <c r="AN17" s="7">
        <v>1</v>
      </c>
      <c r="AO17" s="7">
        <v>1</v>
      </c>
      <c r="AP17" s="7">
        <v>1</v>
      </c>
    </row>
    <row r="18" spans="1:42" x14ac:dyDescent="0.3">
      <c r="A18" s="30" t="s">
        <v>80</v>
      </c>
      <c r="B18" s="15">
        <f t="shared" si="2"/>
        <v>0</v>
      </c>
      <c r="C18" s="15">
        <f t="shared" si="3"/>
        <v>0</v>
      </c>
      <c r="D18" s="15">
        <f t="shared" si="4"/>
        <v>0</v>
      </c>
      <c r="E18" s="15">
        <f t="shared" si="5"/>
        <v>18</v>
      </c>
      <c r="F18" s="15">
        <f t="shared" si="6"/>
        <v>0</v>
      </c>
      <c r="G18" s="15">
        <f t="shared" si="7"/>
        <v>0</v>
      </c>
      <c r="H18" s="15">
        <f t="shared" si="8"/>
        <v>0</v>
      </c>
      <c r="I18" s="7">
        <v>14</v>
      </c>
      <c r="K18" s="22">
        <v>14</v>
      </c>
      <c r="L18" s="24" t="s">
        <v>29</v>
      </c>
      <c r="M18" s="24" t="s">
        <v>28</v>
      </c>
      <c r="N18" s="24" t="s">
        <v>18</v>
      </c>
      <c r="O18" s="24" t="s">
        <v>24</v>
      </c>
      <c r="P18" s="24" t="s">
        <v>36</v>
      </c>
      <c r="Q18" s="24" t="s">
        <v>74</v>
      </c>
      <c r="R18" s="24" t="s">
        <v>18</v>
      </c>
      <c r="S18" s="145"/>
      <c r="T18" s="8">
        <f t="shared" si="9"/>
        <v>12</v>
      </c>
      <c r="U18" s="8">
        <f t="shared" si="10"/>
        <v>11</v>
      </c>
      <c r="V18" s="8">
        <f t="shared" si="11"/>
        <v>5</v>
      </c>
      <c r="W18" s="8">
        <f t="shared" si="12"/>
        <v>8</v>
      </c>
      <c r="X18" s="8">
        <f t="shared" si="13"/>
        <v>1</v>
      </c>
      <c r="Y18" s="8">
        <f t="shared" si="14"/>
        <v>6</v>
      </c>
      <c r="Z18" s="8">
        <f t="shared" si="15"/>
        <v>5</v>
      </c>
      <c r="AA18" s="145"/>
      <c r="AB18" s="25">
        <v>5</v>
      </c>
      <c r="AC18" s="25">
        <v>0</v>
      </c>
      <c r="AD18" s="25">
        <v>0</v>
      </c>
      <c r="AE18" s="25">
        <v>0</v>
      </c>
      <c r="AF18" s="25">
        <v>1</v>
      </c>
      <c r="AG18" s="25">
        <v>5</v>
      </c>
      <c r="AH18" s="25">
        <v>5</v>
      </c>
      <c r="AI18" s="145"/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</row>
    <row r="19" spans="1:42" x14ac:dyDescent="0.3">
      <c r="A19" s="30" t="s">
        <v>81</v>
      </c>
      <c r="B19" s="15">
        <f t="shared" si="2"/>
        <v>0</v>
      </c>
      <c r="C19" s="15">
        <f t="shared" si="3"/>
        <v>0</v>
      </c>
      <c r="D19" s="15">
        <f t="shared" si="4"/>
        <v>0</v>
      </c>
      <c r="E19" s="15">
        <f t="shared" si="5"/>
        <v>0</v>
      </c>
      <c r="F19" s="15">
        <f t="shared" si="6"/>
        <v>12</v>
      </c>
      <c r="G19" s="15">
        <f t="shared" si="7"/>
        <v>0</v>
      </c>
      <c r="H19" s="15">
        <f t="shared" si="8"/>
        <v>0</v>
      </c>
      <c r="I19" s="7">
        <v>15</v>
      </c>
      <c r="K19" s="21">
        <v>15</v>
      </c>
      <c r="L19" s="24" t="s">
        <v>32</v>
      </c>
      <c r="M19" s="24" t="s">
        <v>20</v>
      </c>
      <c r="N19" s="24" t="s">
        <v>27</v>
      </c>
      <c r="O19" s="24" t="s">
        <v>33</v>
      </c>
      <c r="P19" s="24" t="s">
        <v>83</v>
      </c>
      <c r="Q19" s="24" t="s">
        <v>33</v>
      </c>
      <c r="R19" s="24" t="s">
        <v>18</v>
      </c>
      <c r="T19" s="8">
        <f t="shared" si="9"/>
        <v>2</v>
      </c>
      <c r="U19" s="8">
        <f t="shared" si="10"/>
        <v>2</v>
      </c>
      <c r="V19" s="8">
        <f t="shared" si="11"/>
        <v>10</v>
      </c>
      <c r="W19" s="8">
        <f t="shared" si="12"/>
        <v>3</v>
      </c>
      <c r="X19" s="8">
        <f t="shared" si="13"/>
        <v>17</v>
      </c>
      <c r="Y19" s="8">
        <f t="shared" si="14"/>
        <v>3</v>
      </c>
      <c r="Z19" s="8">
        <f t="shared" si="15"/>
        <v>5</v>
      </c>
      <c r="AB19" s="25">
        <v>5</v>
      </c>
      <c r="AC19" s="25">
        <v>5</v>
      </c>
      <c r="AD19" s="25">
        <v>5</v>
      </c>
      <c r="AE19" s="25">
        <v>5</v>
      </c>
      <c r="AF19" s="25">
        <v>6</v>
      </c>
      <c r="AG19" s="25">
        <v>5</v>
      </c>
      <c r="AH19" s="25">
        <v>5</v>
      </c>
      <c r="AJ19" s="7">
        <v>1</v>
      </c>
      <c r="AK19" s="7">
        <v>1</v>
      </c>
      <c r="AL19" s="7">
        <v>1</v>
      </c>
      <c r="AM19" s="7">
        <v>2</v>
      </c>
      <c r="AN19" s="7">
        <v>2</v>
      </c>
      <c r="AO19" s="7">
        <v>1</v>
      </c>
      <c r="AP19" s="7">
        <v>1</v>
      </c>
    </row>
    <row r="20" spans="1:42" x14ac:dyDescent="0.3">
      <c r="A20" s="30" t="s">
        <v>82</v>
      </c>
      <c r="B20" s="15">
        <f t="shared" si="2"/>
        <v>0</v>
      </c>
      <c r="C20" s="15">
        <f t="shared" si="3"/>
        <v>12</v>
      </c>
      <c r="D20" s="15">
        <f t="shared" si="4"/>
        <v>0</v>
      </c>
      <c r="E20" s="15">
        <f t="shared" si="5"/>
        <v>12</v>
      </c>
      <c r="F20" s="15">
        <f t="shared" si="6"/>
        <v>0</v>
      </c>
      <c r="G20" s="15">
        <f t="shared" si="7"/>
        <v>0</v>
      </c>
      <c r="H20" s="15">
        <f t="shared" si="8"/>
        <v>0</v>
      </c>
      <c r="I20" s="7">
        <v>16</v>
      </c>
      <c r="K20" s="22">
        <v>16</v>
      </c>
      <c r="L20" s="24" t="s">
        <v>26</v>
      </c>
      <c r="M20" s="24" t="s">
        <v>87</v>
      </c>
      <c r="N20" s="24" t="s">
        <v>27</v>
      </c>
      <c r="O20" s="24" t="s">
        <v>33</v>
      </c>
      <c r="P20" s="24" t="s">
        <v>83</v>
      </c>
      <c r="Q20" s="24" t="s">
        <v>18</v>
      </c>
      <c r="R20" s="24" t="s">
        <v>36</v>
      </c>
      <c r="T20" s="8">
        <f t="shared" si="9"/>
        <v>9</v>
      </c>
      <c r="U20" s="8">
        <f t="shared" si="10"/>
        <v>22</v>
      </c>
      <c r="V20" s="8">
        <f t="shared" si="11"/>
        <v>10</v>
      </c>
      <c r="W20" s="8">
        <f t="shared" si="12"/>
        <v>3</v>
      </c>
      <c r="X20" s="8">
        <f t="shared" si="13"/>
        <v>17</v>
      </c>
      <c r="Y20" s="8">
        <f t="shared" si="14"/>
        <v>5</v>
      </c>
      <c r="Z20" s="8">
        <f t="shared" si="15"/>
        <v>1</v>
      </c>
      <c r="AB20" s="25">
        <v>5</v>
      </c>
      <c r="AC20" s="25">
        <v>0</v>
      </c>
      <c r="AD20" s="25">
        <v>0</v>
      </c>
      <c r="AE20" s="25">
        <v>0</v>
      </c>
      <c r="AF20" s="25">
        <v>0</v>
      </c>
      <c r="AG20" s="25">
        <v>5</v>
      </c>
      <c r="AH20" s="25">
        <v>5</v>
      </c>
      <c r="AJ20" s="7">
        <v>1</v>
      </c>
      <c r="AK20" s="7">
        <v>2</v>
      </c>
      <c r="AL20" s="7">
        <v>1</v>
      </c>
      <c r="AM20" s="7">
        <v>0</v>
      </c>
      <c r="AN20" s="7">
        <v>0</v>
      </c>
      <c r="AO20" s="7">
        <v>1</v>
      </c>
      <c r="AP20" s="7">
        <v>1</v>
      </c>
    </row>
    <row r="21" spans="1:42" x14ac:dyDescent="0.3">
      <c r="A21" s="30" t="s">
        <v>83</v>
      </c>
      <c r="B21" s="15">
        <f t="shared" si="2"/>
        <v>0</v>
      </c>
      <c r="C21" s="15">
        <f t="shared" si="3"/>
        <v>0</v>
      </c>
      <c r="D21" s="15">
        <f t="shared" si="4"/>
        <v>12</v>
      </c>
      <c r="E21" s="15">
        <f t="shared" si="5"/>
        <v>0</v>
      </c>
      <c r="F21" s="15">
        <f t="shared" si="6"/>
        <v>21</v>
      </c>
      <c r="G21" s="15">
        <f t="shared" si="7"/>
        <v>0</v>
      </c>
      <c r="H21" s="15">
        <f t="shared" si="8"/>
        <v>0</v>
      </c>
      <c r="I21" s="7">
        <v>17</v>
      </c>
      <c r="K21" s="21">
        <v>17</v>
      </c>
      <c r="L21" s="24" t="s">
        <v>27</v>
      </c>
      <c r="M21" s="24" t="s">
        <v>87</v>
      </c>
      <c r="N21" s="24" t="s">
        <v>152</v>
      </c>
      <c r="O21" s="24" t="s">
        <v>19</v>
      </c>
      <c r="P21" s="24" t="s">
        <v>21</v>
      </c>
      <c r="Q21" s="24" t="s">
        <v>28</v>
      </c>
      <c r="R21" s="24" t="s">
        <v>29</v>
      </c>
      <c r="T21" s="8">
        <f t="shared" si="9"/>
        <v>10</v>
      </c>
      <c r="U21" s="8">
        <f t="shared" si="10"/>
        <v>22</v>
      </c>
      <c r="V21" s="8">
        <f>VLOOKUP(N21, $A$4:$I$29, 9, 0)</f>
        <v>7</v>
      </c>
      <c r="W21" s="8">
        <f t="shared" si="12"/>
        <v>1</v>
      </c>
      <c r="X21" s="8">
        <f t="shared" si="13"/>
        <v>3</v>
      </c>
      <c r="Y21" s="8">
        <f t="shared" si="14"/>
        <v>11</v>
      </c>
      <c r="Z21" s="8">
        <f t="shared" si="15"/>
        <v>12</v>
      </c>
      <c r="AB21" s="25">
        <v>5</v>
      </c>
      <c r="AC21" s="25">
        <v>0</v>
      </c>
      <c r="AD21" s="25">
        <v>0</v>
      </c>
      <c r="AE21" s="25">
        <v>0</v>
      </c>
      <c r="AF21" s="25">
        <v>0</v>
      </c>
      <c r="AG21" s="25">
        <v>5</v>
      </c>
      <c r="AH21" s="25">
        <v>5</v>
      </c>
      <c r="AJ21" s="7">
        <v>1</v>
      </c>
      <c r="AK21" s="7">
        <v>0</v>
      </c>
      <c r="AL21" s="7">
        <v>1</v>
      </c>
      <c r="AM21" s="7">
        <v>1</v>
      </c>
      <c r="AN21" s="7">
        <v>2</v>
      </c>
      <c r="AO21" s="7">
        <v>1</v>
      </c>
      <c r="AP21" s="7">
        <v>1</v>
      </c>
    </row>
    <row r="22" spans="1:42" x14ac:dyDescent="0.3">
      <c r="A22" s="30" t="s">
        <v>162</v>
      </c>
      <c r="B22" s="15">
        <f t="shared" si="2"/>
        <v>0</v>
      </c>
      <c r="C22" s="15">
        <f t="shared" si="3"/>
        <v>0</v>
      </c>
      <c r="D22" s="15">
        <f t="shared" si="4"/>
        <v>0</v>
      </c>
      <c r="E22" s="15">
        <f t="shared" si="5"/>
        <v>0</v>
      </c>
      <c r="F22" s="15">
        <f t="shared" si="6"/>
        <v>0</v>
      </c>
      <c r="G22" s="15">
        <f t="shared" si="7"/>
        <v>0</v>
      </c>
      <c r="H22" s="15">
        <f t="shared" si="8"/>
        <v>0</v>
      </c>
      <c r="I22" s="7">
        <v>18</v>
      </c>
      <c r="K22" s="22">
        <v>18</v>
      </c>
      <c r="L22" s="24" t="s">
        <v>27</v>
      </c>
      <c r="M22" s="24" t="s">
        <v>19</v>
      </c>
      <c r="N22" s="24" t="s">
        <v>74</v>
      </c>
      <c r="O22" s="24" t="s">
        <v>82</v>
      </c>
      <c r="P22" s="24" t="s">
        <v>21</v>
      </c>
      <c r="Q22" s="24" t="s">
        <v>74</v>
      </c>
      <c r="R22" s="24" t="s">
        <v>17</v>
      </c>
      <c r="T22" s="8">
        <f t="shared" si="9"/>
        <v>10</v>
      </c>
      <c r="U22" s="8">
        <f t="shared" si="10"/>
        <v>1</v>
      </c>
      <c r="V22" s="8">
        <f t="shared" si="11"/>
        <v>6</v>
      </c>
      <c r="W22" s="8">
        <f t="shared" si="12"/>
        <v>16</v>
      </c>
      <c r="X22" s="8">
        <f t="shared" si="13"/>
        <v>3</v>
      </c>
      <c r="Y22" s="8">
        <f t="shared" si="14"/>
        <v>6</v>
      </c>
      <c r="Z22" s="8">
        <f t="shared" si="15"/>
        <v>4</v>
      </c>
      <c r="AB22" s="25">
        <v>5</v>
      </c>
      <c r="AC22" s="25">
        <v>0</v>
      </c>
      <c r="AD22" s="25">
        <v>0</v>
      </c>
      <c r="AE22" s="25">
        <v>0</v>
      </c>
      <c r="AF22" s="25">
        <v>0</v>
      </c>
      <c r="AG22" s="25">
        <v>5</v>
      </c>
      <c r="AH22" s="25">
        <v>5</v>
      </c>
      <c r="AJ22" s="7">
        <v>1</v>
      </c>
      <c r="AK22" s="7">
        <v>1</v>
      </c>
      <c r="AL22" s="7">
        <v>1</v>
      </c>
      <c r="AM22" s="7">
        <v>2</v>
      </c>
      <c r="AN22" s="7">
        <v>0</v>
      </c>
      <c r="AO22" s="7">
        <v>1</v>
      </c>
      <c r="AP22" s="7">
        <v>1</v>
      </c>
    </row>
    <row r="23" spans="1:42" x14ac:dyDescent="0.3">
      <c r="A23" s="30" t="s">
        <v>84</v>
      </c>
      <c r="B23" s="15">
        <f t="shared" si="2"/>
        <v>0</v>
      </c>
      <c r="C23" s="15">
        <f t="shared" si="3"/>
        <v>12</v>
      </c>
      <c r="D23" s="15">
        <f t="shared" si="4"/>
        <v>0</v>
      </c>
      <c r="E23" s="15">
        <f t="shared" si="5"/>
        <v>0</v>
      </c>
      <c r="F23" s="15">
        <f t="shared" si="6"/>
        <v>0</v>
      </c>
      <c r="G23" s="15">
        <f t="shared" si="7"/>
        <v>0</v>
      </c>
      <c r="H23" s="15">
        <f t="shared" si="8"/>
        <v>0</v>
      </c>
      <c r="I23" s="7">
        <v>19</v>
      </c>
      <c r="K23" s="21">
        <v>19</v>
      </c>
      <c r="L23" s="24" t="s">
        <v>21</v>
      </c>
      <c r="M23" s="24" t="s">
        <v>37</v>
      </c>
      <c r="N23" s="24" t="s">
        <v>24</v>
      </c>
      <c r="O23" s="24" t="s">
        <v>82</v>
      </c>
      <c r="P23" s="24" t="s">
        <v>32</v>
      </c>
      <c r="Q23" s="24" t="s">
        <v>32</v>
      </c>
      <c r="R23" s="24" t="s">
        <v>20</v>
      </c>
      <c r="T23" s="8">
        <f t="shared" si="9"/>
        <v>3</v>
      </c>
      <c r="U23" s="8">
        <f t="shared" si="10"/>
        <v>9</v>
      </c>
      <c r="V23" s="8">
        <f t="shared" si="11"/>
        <v>8</v>
      </c>
      <c r="W23" s="8">
        <f t="shared" si="12"/>
        <v>16</v>
      </c>
      <c r="X23" s="8">
        <f t="shared" si="13"/>
        <v>2</v>
      </c>
      <c r="Y23" s="8">
        <f t="shared" si="14"/>
        <v>2</v>
      </c>
      <c r="Z23" s="8">
        <f t="shared" si="15"/>
        <v>2</v>
      </c>
      <c r="AB23" s="25">
        <v>5</v>
      </c>
      <c r="AC23" s="25">
        <v>0</v>
      </c>
      <c r="AD23" s="25">
        <v>0</v>
      </c>
      <c r="AE23" s="25">
        <v>0</v>
      </c>
      <c r="AF23" s="25">
        <v>0</v>
      </c>
      <c r="AG23" s="25">
        <v>5</v>
      </c>
      <c r="AH23" s="25">
        <v>5</v>
      </c>
      <c r="AJ23" s="7">
        <v>1</v>
      </c>
      <c r="AK23" s="7">
        <v>1</v>
      </c>
      <c r="AL23" s="7">
        <v>1</v>
      </c>
      <c r="AM23" s="7">
        <v>0</v>
      </c>
      <c r="AN23" s="7">
        <v>1</v>
      </c>
      <c r="AO23" s="7">
        <v>1</v>
      </c>
      <c r="AP23" s="7">
        <v>1</v>
      </c>
    </row>
    <row r="24" spans="1:42" x14ac:dyDescent="0.3">
      <c r="A24" s="30" t="s">
        <v>85</v>
      </c>
      <c r="B24" s="15">
        <f t="shared" si="2"/>
        <v>0</v>
      </c>
      <c r="C24" s="15">
        <f t="shared" si="3"/>
        <v>2</v>
      </c>
      <c r="D24" s="15">
        <f t="shared" si="4"/>
        <v>0</v>
      </c>
      <c r="E24" s="15">
        <f t="shared" si="5"/>
        <v>8</v>
      </c>
      <c r="F24" s="15">
        <f t="shared" si="6"/>
        <v>0</v>
      </c>
      <c r="G24" s="15">
        <f t="shared" si="7"/>
        <v>0</v>
      </c>
      <c r="H24" s="15">
        <f t="shared" si="8"/>
        <v>0</v>
      </c>
      <c r="I24" s="7">
        <v>20</v>
      </c>
      <c r="K24" s="22">
        <v>20</v>
      </c>
      <c r="L24" s="24" t="s">
        <v>34</v>
      </c>
      <c r="M24" s="24" t="s">
        <v>84</v>
      </c>
      <c r="N24" s="24" t="s">
        <v>152</v>
      </c>
      <c r="O24" s="24" t="s">
        <v>19</v>
      </c>
      <c r="P24" s="24" t="s">
        <v>35</v>
      </c>
      <c r="Q24" s="24" t="s">
        <v>24</v>
      </c>
      <c r="R24" s="24" t="s">
        <v>20</v>
      </c>
      <c r="T24" s="8">
        <f t="shared" si="9"/>
        <v>4</v>
      </c>
      <c r="U24" s="8">
        <f t="shared" si="10"/>
        <v>19</v>
      </c>
      <c r="V24" s="8">
        <f t="shared" si="11"/>
        <v>7</v>
      </c>
      <c r="W24" s="8">
        <f t="shared" si="12"/>
        <v>1</v>
      </c>
      <c r="X24" s="8">
        <f t="shared" si="13"/>
        <v>5</v>
      </c>
      <c r="Y24" s="8">
        <f t="shared" si="14"/>
        <v>8</v>
      </c>
      <c r="Z24" s="8">
        <f t="shared" si="15"/>
        <v>2</v>
      </c>
      <c r="AB24" s="25">
        <v>5</v>
      </c>
      <c r="AC24" s="25">
        <v>5</v>
      </c>
      <c r="AD24" s="25">
        <v>5</v>
      </c>
      <c r="AE24" s="25">
        <v>5</v>
      </c>
      <c r="AF24" s="25">
        <v>6</v>
      </c>
      <c r="AG24" s="25">
        <v>5</v>
      </c>
      <c r="AH24" s="25">
        <v>5</v>
      </c>
      <c r="AJ24" s="7">
        <v>1</v>
      </c>
      <c r="AK24" s="7">
        <v>3</v>
      </c>
      <c r="AL24" s="7">
        <v>1</v>
      </c>
      <c r="AM24" s="7">
        <v>1</v>
      </c>
      <c r="AN24" s="7">
        <v>3</v>
      </c>
      <c r="AO24" s="7">
        <v>1</v>
      </c>
      <c r="AP24" s="7">
        <v>1</v>
      </c>
    </row>
    <row r="25" spans="1:42" x14ac:dyDescent="0.3">
      <c r="A25" s="30" t="s">
        <v>86</v>
      </c>
      <c r="B25" s="15">
        <f t="shared" si="2"/>
        <v>0</v>
      </c>
      <c r="C25" s="15">
        <f t="shared" si="3"/>
        <v>0</v>
      </c>
      <c r="D25" s="15">
        <f t="shared" si="4"/>
        <v>0</v>
      </c>
      <c r="E25" s="15">
        <f t="shared" si="5"/>
        <v>0</v>
      </c>
      <c r="F25" s="15">
        <f t="shared" si="6"/>
        <v>0</v>
      </c>
      <c r="G25" s="15">
        <f t="shared" si="7"/>
        <v>0</v>
      </c>
      <c r="H25" s="15">
        <f t="shared" si="8"/>
        <v>0</v>
      </c>
      <c r="I25" s="7">
        <v>21</v>
      </c>
      <c r="K25" s="21">
        <v>21</v>
      </c>
      <c r="L25" s="24" t="s">
        <v>26</v>
      </c>
      <c r="M25" s="24" t="s">
        <v>84</v>
      </c>
      <c r="N25" s="24" t="s">
        <v>79</v>
      </c>
      <c r="O25" s="24" t="s">
        <v>80</v>
      </c>
      <c r="P25" s="24" t="s">
        <v>35</v>
      </c>
      <c r="Q25" s="24" t="s">
        <v>26</v>
      </c>
      <c r="R25" s="24" t="s">
        <v>24</v>
      </c>
      <c r="T25" s="8">
        <f t="shared" si="9"/>
        <v>9</v>
      </c>
      <c r="U25" s="8">
        <f t="shared" si="10"/>
        <v>19</v>
      </c>
      <c r="V25" s="8">
        <f t="shared" si="11"/>
        <v>13</v>
      </c>
      <c r="W25" s="8">
        <f t="shared" si="12"/>
        <v>14</v>
      </c>
      <c r="X25" s="8">
        <f t="shared" si="13"/>
        <v>5</v>
      </c>
      <c r="Y25" s="8">
        <f t="shared" si="14"/>
        <v>9</v>
      </c>
      <c r="Z25" s="8">
        <f t="shared" si="15"/>
        <v>8</v>
      </c>
      <c r="AB25" s="25">
        <v>5</v>
      </c>
      <c r="AC25" s="25">
        <v>0</v>
      </c>
      <c r="AD25" s="25">
        <v>0</v>
      </c>
      <c r="AE25" s="25">
        <v>0</v>
      </c>
      <c r="AF25" s="25">
        <v>0</v>
      </c>
      <c r="AG25" s="25">
        <v>5</v>
      </c>
      <c r="AH25" s="25">
        <v>5</v>
      </c>
      <c r="AJ25" s="7">
        <v>1</v>
      </c>
      <c r="AK25" s="7">
        <v>0</v>
      </c>
      <c r="AL25" s="7">
        <v>3</v>
      </c>
      <c r="AM25" s="7">
        <v>3</v>
      </c>
      <c r="AN25" s="7">
        <v>0</v>
      </c>
      <c r="AO25" s="7">
        <v>1</v>
      </c>
      <c r="AP25" s="7">
        <v>1</v>
      </c>
    </row>
    <row r="26" spans="1:42" x14ac:dyDescent="0.3">
      <c r="A26" s="30" t="s">
        <v>87</v>
      </c>
      <c r="B26" s="15">
        <f t="shared" si="2"/>
        <v>0</v>
      </c>
      <c r="C26" s="15">
        <f t="shared" si="3"/>
        <v>12</v>
      </c>
      <c r="D26" s="15">
        <f t="shared" si="4"/>
        <v>0</v>
      </c>
      <c r="E26" s="15">
        <f t="shared" si="5"/>
        <v>0</v>
      </c>
      <c r="F26" s="15">
        <f t="shared" si="6"/>
        <v>12</v>
      </c>
      <c r="G26" s="15">
        <f t="shared" si="7"/>
        <v>0</v>
      </c>
      <c r="H26" s="15">
        <f t="shared" si="8"/>
        <v>0</v>
      </c>
      <c r="I26" s="7">
        <v>22</v>
      </c>
      <c r="K26" s="22">
        <v>22</v>
      </c>
      <c r="L26" s="24" t="s">
        <v>39</v>
      </c>
      <c r="M26" s="24" t="s">
        <v>84</v>
      </c>
      <c r="N26" s="24" t="s">
        <v>79</v>
      </c>
      <c r="O26" s="24" t="s">
        <v>80</v>
      </c>
      <c r="P26" s="24" t="s">
        <v>35</v>
      </c>
      <c r="Q26" s="24" t="s">
        <v>18</v>
      </c>
      <c r="R26" s="24" t="s">
        <v>24</v>
      </c>
      <c r="T26" s="8">
        <f t="shared" si="9"/>
        <v>11</v>
      </c>
      <c r="U26" s="8">
        <f t="shared" si="10"/>
        <v>19</v>
      </c>
      <c r="V26" s="8">
        <f t="shared" si="11"/>
        <v>13</v>
      </c>
      <c r="W26" s="8">
        <f t="shared" si="12"/>
        <v>14</v>
      </c>
      <c r="X26" s="8">
        <f t="shared" si="13"/>
        <v>5</v>
      </c>
      <c r="Y26" s="8">
        <f t="shared" si="14"/>
        <v>5</v>
      </c>
      <c r="Z26" s="8">
        <f t="shared" si="15"/>
        <v>8</v>
      </c>
      <c r="AB26" s="25">
        <v>5</v>
      </c>
      <c r="AC26" s="25">
        <v>0</v>
      </c>
      <c r="AD26" s="25">
        <v>0</v>
      </c>
      <c r="AE26" s="25">
        <v>0</v>
      </c>
      <c r="AF26" s="25">
        <v>0</v>
      </c>
      <c r="AG26" s="25">
        <v>5</v>
      </c>
      <c r="AH26" s="25">
        <v>5</v>
      </c>
      <c r="AJ26" s="7">
        <v>1</v>
      </c>
      <c r="AK26" s="7">
        <v>0</v>
      </c>
      <c r="AL26" s="7">
        <v>0</v>
      </c>
      <c r="AM26" s="7">
        <v>0</v>
      </c>
      <c r="AN26" s="7">
        <v>0</v>
      </c>
      <c r="AO26" s="7">
        <v>1</v>
      </c>
      <c r="AP26" s="7">
        <v>1</v>
      </c>
    </row>
    <row r="27" spans="1:42" x14ac:dyDescent="0.3">
      <c r="A27" s="30" t="s">
        <v>88</v>
      </c>
      <c r="B27" s="15">
        <f t="shared" si="2"/>
        <v>0</v>
      </c>
      <c r="C27" s="15">
        <f t="shared" si="3"/>
        <v>0</v>
      </c>
      <c r="D27" s="15">
        <f t="shared" si="4"/>
        <v>0</v>
      </c>
      <c r="E27" s="15">
        <f t="shared" si="5"/>
        <v>0</v>
      </c>
      <c r="F27" s="15">
        <f t="shared" si="6"/>
        <v>0</v>
      </c>
      <c r="G27" s="15">
        <f t="shared" si="7"/>
        <v>0</v>
      </c>
      <c r="H27" s="15">
        <f t="shared" si="8"/>
        <v>0</v>
      </c>
      <c r="I27" s="7">
        <v>23</v>
      </c>
      <c r="K27" s="21">
        <v>23</v>
      </c>
      <c r="L27" s="24" t="s">
        <v>39</v>
      </c>
      <c r="M27" s="24" t="s">
        <v>152</v>
      </c>
      <c r="N27" s="24" t="s">
        <v>79</v>
      </c>
      <c r="O27" s="24" t="s">
        <v>80</v>
      </c>
      <c r="P27" s="24" t="s">
        <v>36</v>
      </c>
      <c r="Q27" s="24" t="s">
        <v>28</v>
      </c>
      <c r="R27" s="24" t="s">
        <v>36</v>
      </c>
      <c r="T27" s="8">
        <f t="shared" si="9"/>
        <v>11</v>
      </c>
      <c r="U27" s="8">
        <f t="shared" si="10"/>
        <v>7</v>
      </c>
      <c r="V27" s="8">
        <f t="shared" si="11"/>
        <v>13</v>
      </c>
      <c r="W27" s="8">
        <f t="shared" si="12"/>
        <v>14</v>
      </c>
      <c r="X27" s="8">
        <f t="shared" si="13"/>
        <v>1</v>
      </c>
      <c r="Y27" s="8">
        <f t="shared" si="14"/>
        <v>11</v>
      </c>
      <c r="Z27" s="8">
        <f t="shared" si="15"/>
        <v>1</v>
      </c>
      <c r="AB27" s="25">
        <v>5</v>
      </c>
      <c r="AC27" s="25">
        <v>0</v>
      </c>
      <c r="AD27" s="25">
        <v>0</v>
      </c>
      <c r="AE27" s="25">
        <v>0</v>
      </c>
      <c r="AF27" s="25">
        <v>0</v>
      </c>
      <c r="AG27" s="25">
        <v>5</v>
      </c>
      <c r="AH27" s="25">
        <v>5</v>
      </c>
      <c r="AJ27" s="7">
        <v>1</v>
      </c>
      <c r="AK27" s="7">
        <v>2</v>
      </c>
      <c r="AL27" s="7">
        <v>0</v>
      </c>
      <c r="AM27" s="7">
        <v>0</v>
      </c>
      <c r="AN27" s="7">
        <v>2</v>
      </c>
      <c r="AO27" s="7">
        <v>1</v>
      </c>
      <c r="AP27" s="7">
        <v>1</v>
      </c>
    </row>
    <row r="28" spans="1:42" x14ac:dyDescent="0.3">
      <c r="A28" s="30" t="s">
        <v>89</v>
      </c>
      <c r="B28" s="15">
        <f t="shared" si="2"/>
        <v>0</v>
      </c>
      <c r="C28" s="15">
        <f t="shared" si="3"/>
        <v>0</v>
      </c>
      <c r="D28" s="15">
        <f t="shared" si="4"/>
        <v>0</v>
      </c>
      <c r="E28" s="15">
        <f t="shared" si="5"/>
        <v>0</v>
      </c>
      <c r="F28" s="15">
        <f t="shared" si="6"/>
        <v>0</v>
      </c>
      <c r="G28" s="15">
        <f t="shared" si="7"/>
        <v>0</v>
      </c>
      <c r="H28" s="15">
        <f t="shared" si="8"/>
        <v>0</v>
      </c>
      <c r="I28" s="7">
        <v>24</v>
      </c>
      <c r="K28" s="22">
        <v>24</v>
      </c>
      <c r="L28" s="24" t="s">
        <v>36</v>
      </c>
      <c r="M28" s="24" t="s">
        <v>152</v>
      </c>
      <c r="N28" s="24" t="s">
        <v>24</v>
      </c>
      <c r="O28" s="24" t="s">
        <v>26</v>
      </c>
      <c r="P28" s="24" t="s">
        <v>36</v>
      </c>
      <c r="Q28" s="24" t="s">
        <v>36</v>
      </c>
      <c r="R28" s="24" t="s">
        <v>17</v>
      </c>
      <c r="T28" s="8">
        <f t="shared" si="9"/>
        <v>1</v>
      </c>
      <c r="U28" s="8">
        <f t="shared" si="10"/>
        <v>7</v>
      </c>
      <c r="V28" s="8">
        <f t="shared" si="11"/>
        <v>8</v>
      </c>
      <c r="W28" s="8">
        <f t="shared" si="12"/>
        <v>9</v>
      </c>
      <c r="X28" s="8">
        <f t="shared" si="13"/>
        <v>1</v>
      </c>
      <c r="Y28" s="8">
        <f t="shared" si="14"/>
        <v>1</v>
      </c>
      <c r="Z28" s="8">
        <f t="shared" si="15"/>
        <v>4</v>
      </c>
      <c r="AB28" s="25">
        <v>5</v>
      </c>
      <c r="AC28" s="25">
        <v>0</v>
      </c>
      <c r="AD28" s="25">
        <v>0</v>
      </c>
      <c r="AE28" s="25">
        <v>0</v>
      </c>
      <c r="AF28" s="25">
        <v>0</v>
      </c>
      <c r="AG28" s="25">
        <v>5</v>
      </c>
      <c r="AH28" s="25">
        <v>5</v>
      </c>
      <c r="AJ28" s="7">
        <v>1</v>
      </c>
      <c r="AK28" s="7">
        <v>0</v>
      </c>
      <c r="AL28" s="7">
        <v>1</v>
      </c>
      <c r="AM28" s="7">
        <v>1</v>
      </c>
      <c r="AN28" s="7">
        <v>0</v>
      </c>
      <c r="AO28" s="7">
        <v>1</v>
      </c>
      <c r="AP28" s="7">
        <v>1</v>
      </c>
    </row>
    <row r="29" spans="1:42" x14ac:dyDescent="0.3">
      <c r="A29" s="30" t="s">
        <v>90</v>
      </c>
      <c r="B29" s="15">
        <f t="shared" si="2"/>
        <v>0</v>
      </c>
      <c r="C29" s="15">
        <f t="shared" si="3"/>
        <v>0</v>
      </c>
      <c r="D29" s="15">
        <f t="shared" si="4"/>
        <v>0</v>
      </c>
      <c r="E29" s="15">
        <f t="shared" si="5"/>
        <v>0</v>
      </c>
      <c r="F29" s="15">
        <f t="shared" si="6"/>
        <v>0</v>
      </c>
      <c r="G29" s="15">
        <f t="shared" si="7"/>
        <v>0</v>
      </c>
      <c r="H29" s="15">
        <f t="shared" si="8"/>
        <v>0</v>
      </c>
      <c r="I29" s="7">
        <v>25</v>
      </c>
      <c r="K29" s="21">
        <v>25</v>
      </c>
      <c r="L29" s="24" t="s">
        <v>34</v>
      </c>
      <c r="M29" s="24" t="s">
        <v>152</v>
      </c>
      <c r="N29" s="24" t="s">
        <v>24</v>
      </c>
      <c r="O29" s="24" t="s">
        <v>27</v>
      </c>
      <c r="P29" s="24" t="s">
        <v>28</v>
      </c>
      <c r="Q29" s="24" t="s">
        <v>36</v>
      </c>
      <c r="R29" s="24" t="s">
        <v>17</v>
      </c>
      <c r="T29" s="8">
        <f t="shared" si="9"/>
        <v>4</v>
      </c>
      <c r="U29" s="8">
        <f t="shared" si="10"/>
        <v>7</v>
      </c>
      <c r="V29" s="8">
        <f t="shared" si="11"/>
        <v>8</v>
      </c>
      <c r="W29" s="8">
        <f t="shared" si="12"/>
        <v>10</v>
      </c>
      <c r="X29" s="8">
        <f t="shared" si="13"/>
        <v>11</v>
      </c>
      <c r="Y29" s="8">
        <f t="shared" si="14"/>
        <v>1</v>
      </c>
      <c r="Z29" s="8">
        <f t="shared" si="15"/>
        <v>4</v>
      </c>
      <c r="AB29" s="25">
        <v>5</v>
      </c>
      <c r="AC29" s="25">
        <v>5</v>
      </c>
      <c r="AD29" s="25">
        <v>5</v>
      </c>
      <c r="AE29" s="25">
        <v>5</v>
      </c>
      <c r="AF29" s="25">
        <v>4</v>
      </c>
      <c r="AG29" s="25">
        <v>5</v>
      </c>
      <c r="AH29" s="25">
        <v>5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</row>
    <row r="30" spans="1:42" x14ac:dyDescent="0.3">
      <c r="A30" s="145"/>
      <c r="B30" s="1"/>
      <c r="C30" s="1"/>
      <c r="D30" s="1"/>
      <c r="E30" s="1"/>
      <c r="F30" s="1"/>
      <c r="G30" s="1"/>
      <c r="H30" s="1"/>
      <c r="I30" s="18"/>
      <c r="K30" s="22">
        <v>26</v>
      </c>
      <c r="L30" s="24" t="s">
        <v>21</v>
      </c>
      <c r="M30" s="24" t="s">
        <v>74</v>
      </c>
      <c r="N30" s="24" t="s">
        <v>28</v>
      </c>
      <c r="O30" s="24" t="s">
        <v>27</v>
      </c>
      <c r="P30" s="24" t="s">
        <v>17</v>
      </c>
      <c r="Q30" s="24" t="s">
        <v>24</v>
      </c>
      <c r="R30" s="24" t="s">
        <v>17</v>
      </c>
      <c r="T30" s="8">
        <f t="shared" si="9"/>
        <v>3</v>
      </c>
      <c r="U30" s="8">
        <f t="shared" si="10"/>
        <v>6</v>
      </c>
      <c r="V30" s="8">
        <f t="shared" si="11"/>
        <v>11</v>
      </c>
      <c r="W30" s="8">
        <f t="shared" si="12"/>
        <v>10</v>
      </c>
      <c r="X30" s="8">
        <f t="shared" si="13"/>
        <v>4</v>
      </c>
      <c r="Y30" s="8">
        <f t="shared" si="14"/>
        <v>8</v>
      </c>
      <c r="Z30" s="8">
        <f t="shared" si="15"/>
        <v>4</v>
      </c>
      <c r="AB30" s="25">
        <v>5</v>
      </c>
      <c r="AC30" s="25">
        <v>0</v>
      </c>
      <c r="AD30" s="25">
        <v>0</v>
      </c>
      <c r="AE30" s="25">
        <v>0</v>
      </c>
      <c r="AF30" s="25">
        <v>1</v>
      </c>
      <c r="AG30" s="25">
        <v>5</v>
      </c>
      <c r="AH30" s="25">
        <v>5</v>
      </c>
      <c r="AJ30" s="7">
        <v>1</v>
      </c>
      <c r="AK30" s="7">
        <v>1</v>
      </c>
      <c r="AL30" s="7">
        <v>1</v>
      </c>
      <c r="AM30" s="7">
        <v>1</v>
      </c>
      <c r="AN30" s="7">
        <v>3</v>
      </c>
      <c r="AO30" s="7">
        <v>1</v>
      </c>
      <c r="AP30" s="7">
        <v>1</v>
      </c>
    </row>
    <row r="31" spans="1:42" x14ac:dyDescent="0.3">
      <c r="A31" s="95"/>
      <c r="B31" s="95"/>
      <c r="C31" s="95"/>
      <c r="D31" s="95"/>
      <c r="E31" s="95"/>
      <c r="F31" s="75"/>
      <c r="G31" s="1"/>
      <c r="H31" s="1"/>
      <c r="I31" s="18"/>
      <c r="K31" s="21">
        <v>27</v>
      </c>
      <c r="L31" s="24" t="s">
        <v>26</v>
      </c>
      <c r="M31" s="24" t="s">
        <v>17</v>
      </c>
      <c r="N31" s="24" t="s">
        <v>28</v>
      </c>
      <c r="O31" s="24" t="s">
        <v>19</v>
      </c>
      <c r="P31" s="24" t="s">
        <v>17</v>
      </c>
      <c r="Q31" s="24" t="s">
        <v>27</v>
      </c>
      <c r="R31" s="24" t="s">
        <v>74</v>
      </c>
      <c r="T31" s="8">
        <f t="shared" si="9"/>
        <v>9</v>
      </c>
      <c r="U31" s="8">
        <f t="shared" si="10"/>
        <v>4</v>
      </c>
      <c r="V31" s="8">
        <f t="shared" si="11"/>
        <v>11</v>
      </c>
      <c r="W31" s="8">
        <f t="shared" si="12"/>
        <v>1</v>
      </c>
      <c r="X31" s="8">
        <f t="shared" si="13"/>
        <v>4</v>
      </c>
      <c r="Y31" s="8">
        <f t="shared" si="14"/>
        <v>10</v>
      </c>
      <c r="Z31" s="8">
        <f t="shared" si="15"/>
        <v>6</v>
      </c>
      <c r="AB31" s="25">
        <v>5</v>
      </c>
      <c r="AC31" s="25">
        <v>0</v>
      </c>
      <c r="AD31" s="25">
        <v>0</v>
      </c>
      <c r="AE31" s="25">
        <v>0</v>
      </c>
      <c r="AF31" s="25">
        <v>0</v>
      </c>
      <c r="AG31" s="25">
        <v>5</v>
      </c>
      <c r="AH31" s="25">
        <v>5</v>
      </c>
      <c r="AJ31" s="7">
        <v>1</v>
      </c>
      <c r="AK31" s="7">
        <v>2</v>
      </c>
      <c r="AL31" s="7">
        <v>1</v>
      </c>
      <c r="AM31" s="7">
        <v>1</v>
      </c>
      <c r="AN31" s="7">
        <v>0</v>
      </c>
      <c r="AO31" s="7">
        <v>1</v>
      </c>
      <c r="AP31" s="7">
        <v>1</v>
      </c>
    </row>
    <row r="32" spans="1:42" x14ac:dyDescent="0.3">
      <c r="A32" s="7" t="s">
        <v>114</v>
      </c>
      <c r="B32" s="20" t="s">
        <v>12</v>
      </c>
      <c r="C32" s="20" t="s">
        <v>6</v>
      </c>
      <c r="D32" s="20" t="s">
        <v>7</v>
      </c>
      <c r="E32" s="20" t="s">
        <v>8</v>
      </c>
      <c r="F32" s="20" t="s">
        <v>9</v>
      </c>
      <c r="G32" s="20" t="s">
        <v>56</v>
      </c>
      <c r="H32" s="1"/>
      <c r="K32" s="22">
        <v>28</v>
      </c>
      <c r="L32" s="24" t="s">
        <v>26</v>
      </c>
      <c r="M32" s="24" t="s">
        <v>17</v>
      </c>
      <c r="N32" s="24" t="s">
        <v>19</v>
      </c>
      <c r="O32" s="24" t="s">
        <v>85</v>
      </c>
      <c r="P32" s="24" t="s">
        <v>17</v>
      </c>
      <c r="Q32" s="24" t="s">
        <v>18</v>
      </c>
      <c r="R32" s="24" t="s">
        <v>74</v>
      </c>
      <c r="T32" s="8">
        <f t="shared" si="9"/>
        <v>9</v>
      </c>
      <c r="U32" s="8">
        <f t="shared" si="10"/>
        <v>4</v>
      </c>
      <c r="V32" s="8">
        <f t="shared" si="11"/>
        <v>1</v>
      </c>
      <c r="W32" s="8">
        <f t="shared" si="12"/>
        <v>20</v>
      </c>
      <c r="X32" s="8">
        <f t="shared" si="13"/>
        <v>4</v>
      </c>
      <c r="Y32" s="8">
        <f t="shared" si="14"/>
        <v>5</v>
      </c>
      <c r="Z32" s="8">
        <f t="shared" si="15"/>
        <v>6</v>
      </c>
      <c r="AB32" s="25">
        <v>5</v>
      </c>
      <c r="AC32" s="25">
        <v>0</v>
      </c>
      <c r="AD32" s="25">
        <v>0</v>
      </c>
      <c r="AE32" s="25">
        <v>0</v>
      </c>
      <c r="AF32" s="25">
        <v>0</v>
      </c>
      <c r="AG32" s="25">
        <v>5</v>
      </c>
      <c r="AH32" s="25">
        <v>5</v>
      </c>
      <c r="AJ32" s="7">
        <v>1</v>
      </c>
      <c r="AK32" s="7">
        <v>0</v>
      </c>
      <c r="AL32" s="7">
        <v>1</v>
      </c>
      <c r="AM32" s="7">
        <v>2</v>
      </c>
      <c r="AN32" s="7">
        <v>0</v>
      </c>
      <c r="AO32" s="7">
        <v>1</v>
      </c>
      <c r="AP32" s="7">
        <v>1</v>
      </c>
    </row>
    <row r="33" spans="1:42" x14ac:dyDescent="0.3">
      <c r="A33" s="7" t="s">
        <v>99</v>
      </c>
      <c r="B33" s="13">
        <v>0</v>
      </c>
      <c r="C33" s="13">
        <v>105</v>
      </c>
      <c r="D33" s="13">
        <v>45</v>
      </c>
      <c r="E33" s="13">
        <v>175</v>
      </c>
      <c r="F33" s="13">
        <v>135</v>
      </c>
      <c r="G33" s="13">
        <v>0</v>
      </c>
      <c r="H33" s="1"/>
      <c r="K33" s="21">
        <v>29</v>
      </c>
      <c r="L33" s="24" t="s">
        <v>29</v>
      </c>
      <c r="M33" s="24" t="s">
        <v>24</v>
      </c>
      <c r="N33" s="24" t="s">
        <v>21</v>
      </c>
      <c r="O33" s="24" t="s">
        <v>85</v>
      </c>
      <c r="P33" s="24" t="s">
        <v>74</v>
      </c>
      <c r="Q33" s="24" t="s">
        <v>24</v>
      </c>
      <c r="R33" s="24" t="s">
        <v>74</v>
      </c>
      <c r="T33" s="8">
        <f t="shared" si="9"/>
        <v>12</v>
      </c>
      <c r="U33" s="8">
        <f t="shared" si="10"/>
        <v>8</v>
      </c>
      <c r="V33" s="8">
        <f t="shared" si="11"/>
        <v>3</v>
      </c>
      <c r="W33" s="8">
        <f t="shared" si="12"/>
        <v>20</v>
      </c>
      <c r="X33" s="8">
        <f t="shared" si="13"/>
        <v>6</v>
      </c>
      <c r="Y33" s="8">
        <f t="shared" si="14"/>
        <v>8</v>
      </c>
      <c r="Z33" s="8">
        <f t="shared" si="15"/>
        <v>6</v>
      </c>
      <c r="AB33" s="25">
        <v>5</v>
      </c>
      <c r="AC33" s="25">
        <v>0</v>
      </c>
      <c r="AD33" s="25">
        <v>0</v>
      </c>
      <c r="AE33" s="25">
        <v>0</v>
      </c>
      <c r="AF33" s="25">
        <v>1</v>
      </c>
      <c r="AG33" s="25">
        <v>5</v>
      </c>
      <c r="AH33" s="25">
        <v>5</v>
      </c>
      <c r="AJ33" s="7">
        <v>1</v>
      </c>
      <c r="AK33" s="7">
        <v>1</v>
      </c>
      <c r="AL33" s="7">
        <v>1</v>
      </c>
      <c r="AM33" s="7">
        <v>0</v>
      </c>
      <c r="AN33" s="7">
        <v>1</v>
      </c>
      <c r="AO33" s="7">
        <v>1</v>
      </c>
      <c r="AP33" s="7">
        <v>1</v>
      </c>
    </row>
    <row r="34" spans="1:42" x14ac:dyDescent="0.3">
      <c r="A34" s="7" t="s">
        <v>102</v>
      </c>
      <c r="B34" s="13">
        <v>0</v>
      </c>
      <c r="C34" s="13">
        <v>105</v>
      </c>
      <c r="D34" s="13">
        <v>45</v>
      </c>
      <c r="E34" s="13">
        <v>175</v>
      </c>
      <c r="F34" s="13">
        <v>135</v>
      </c>
      <c r="G34" s="13">
        <v>0</v>
      </c>
      <c r="H34" s="1"/>
      <c r="K34" s="22">
        <v>30</v>
      </c>
      <c r="L34" s="24" t="s">
        <v>35</v>
      </c>
      <c r="M34" s="24" t="s">
        <v>24</v>
      </c>
      <c r="N34" s="24" t="s">
        <v>27</v>
      </c>
      <c r="O34" s="24" t="s">
        <v>17</v>
      </c>
      <c r="P34" s="24" t="s">
        <v>21</v>
      </c>
      <c r="Q34" s="24" t="s">
        <v>28</v>
      </c>
      <c r="R34" s="24" t="s">
        <v>28</v>
      </c>
      <c r="T34" s="8">
        <f t="shared" si="9"/>
        <v>5</v>
      </c>
      <c r="U34" s="8">
        <f t="shared" si="10"/>
        <v>8</v>
      </c>
      <c r="V34" s="8">
        <f t="shared" si="11"/>
        <v>10</v>
      </c>
      <c r="W34" s="8">
        <f t="shared" si="12"/>
        <v>4</v>
      </c>
      <c r="X34" s="8">
        <f t="shared" si="13"/>
        <v>3</v>
      </c>
      <c r="Y34" s="8">
        <f t="shared" si="14"/>
        <v>11</v>
      </c>
      <c r="Z34" s="8">
        <f t="shared" si="15"/>
        <v>11</v>
      </c>
      <c r="AB34" s="25">
        <v>5</v>
      </c>
      <c r="AC34" s="25">
        <v>5</v>
      </c>
      <c r="AD34" s="25">
        <v>5</v>
      </c>
      <c r="AE34" s="25">
        <v>5</v>
      </c>
      <c r="AF34" s="25">
        <v>5</v>
      </c>
      <c r="AG34" s="25">
        <v>5</v>
      </c>
      <c r="AH34" s="25">
        <v>5</v>
      </c>
      <c r="AJ34" s="7">
        <v>1</v>
      </c>
      <c r="AK34" s="7">
        <v>1</v>
      </c>
      <c r="AL34" s="7">
        <v>1</v>
      </c>
      <c r="AM34" s="7">
        <v>2</v>
      </c>
      <c r="AN34" s="7">
        <v>1</v>
      </c>
      <c r="AO34" s="7">
        <v>1</v>
      </c>
      <c r="AP34" s="7">
        <v>1</v>
      </c>
    </row>
    <row r="35" spans="1:42" x14ac:dyDescent="0.3">
      <c r="A35" s="7" t="s">
        <v>100</v>
      </c>
      <c r="B35" s="13">
        <v>0</v>
      </c>
      <c r="C35" s="13">
        <v>675</v>
      </c>
      <c r="D35" s="13">
        <v>195</v>
      </c>
      <c r="E35" s="13">
        <v>475</v>
      </c>
      <c r="F35" s="13">
        <v>1075</v>
      </c>
      <c r="G35" s="13">
        <v>0</v>
      </c>
      <c r="H35" s="1"/>
      <c r="K35" s="21">
        <v>31</v>
      </c>
      <c r="L35" s="24" t="s">
        <v>74</v>
      </c>
      <c r="M35" s="24" t="s">
        <v>96</v>
      </c>
      <c r="N35" s="24" t="s">
        <v>19</v>
      </c>
      <c r="O35" s="24" t="s">
        <v>17</v>
      </c>
      <c r="P35" s="24" t="s">
        <v>87</v>
      </c>
      <c r="Q35" s="24" t="s">
        <v>74</v>
      </c>
      <c r="R35" s="24" t="s">
        <v>28</v>
      </c>
      <c r="T35" s="8">
        <f t="shared" si="9"/>
        <v>6</v>
      </c>
      <c r="U35" s="8">
        <f t="shared" si="10"/>
        <v>13</v>
      </c>
      <c r="V35" s="8">
        <f t="shared" si="11"/>
        <v>1</v>
      </c>
      <c r="W35" s="8">
        <f t="shared" si="12"/>
        <v>4</v>
      </c>
      <c r="X35" s="8">
        <f t="shared" si="13"/>
        <v>22</v>
      </c>
      <c r="Y35" s="8">
        <f t="shared" si="14"/>
        <v>6</v>
      </c>
      <c r="Z35" s="8">
        <f t="shared" si="15"/>
        <v>11</v>
      </c>
      <c r="AB35" s="25">
        <v>5</v>
      </c>
      <c r="AC35" s="25">
        <v>0</v>
      </c>
      <c r="AD35" s="25">
        <v>0</v>
      </c>
      <c r="AE35" s="25">
        <v>0</v>
      </c>
      <c r="AF35" s="25">
        <v>0</v>
      </c>
      <c r="AG35" s="25">
        <v>5</v>
      </c>
      <c r="AH35" s="25">
        <v>5</v>
      </c>
      <c r="AJ35" s="7">
        <v>1</v>
      </c>
      <c r="AK35" s="7">
        <v>1</v>
      </c>
      <c r="AL35" s="7">
        <v>1</v>
      </c>
      <c r="AM35" s="7">
        <v>0</v>
      </c>
      <c r="AN35" s="7">
        <v>2</v>
      </c>
      <c r="AO35" s="7">
        <v>1</v>
      </c>
      <c r="AP35" s="7">
        <v>1</v>
      </c>
    </row>
    <row r="36" spans="1:42" x14ac:dyDescent="0.3">
      <c r="A36" s="7" t="s">
        <v>103</v>
      </c>
      <c r="B36" s="13">
        <v>0</v>
      </c>
      <c r="C36" s="13">
        <v>675</v>
      </c>
      <c r="D36" s="13">
        <v>195</v>
      </c>
      <c r="E36" s="13">
        <v>475</v>
      </c>
      <c r="F36" s="13">
        <v>1075</v>
      </c>
      <c r="G36" s="13">
        <v>0</v>
      </c>
      <c r="H36" s="1"/>
      <c r="K36" s="22">
        <v>32</v>
      </c>
      <c r="L36" s="24" t="s">
        <v>74</v>
      </c>
      <c r="M36" s="24" t="s">
        <v>82</v>
      </c>
      <c r="N36" s="24" t="s">
        <v>83</v>
      </c>
      <c r="O36" s="24" t="s">
        <v>27</v>
      </c>
      <c r="P36" s="24" t="s">
        <v>87</v>
      </c>
      <c r="Q36" s="24" t="s">
        <v>27</v>
      </c>
      <c r="R36" s="24" t="s">
        <v>28</v>
      </c>
      <c r="T36" s="8">
        <f t="shared" si="9"/>
        <v>6</v>
      </c>
      <c r="U36" s="8">
        <f t="shared" si="10"/>
        <v>16</v>
      </c>
      <c r="V36" s="8">
        <f t="shared" si="11"/>
        <v>17</v>
      </c>
      <c r="W36" s="8">
        <f t="shared" si="12"/>
        <v>10</v>
      </c>
      <c r="X36" s="8">
        <f t="shared" si="13"/>
        <v>22</v>
      </c>
      <c r="Y36" s="8">
        <f t="shared" si="14"/>
        <v>10</v>
      </c>
      <c r="Z36" s="8">
        <f t="shared" si="15"/>
        <v>11</v>
      </c>
      <c r="AB36" s="25">
        <v>5</v>
      </c>
      <c r="AC36" s="25">
        <v>0</v>
      </c>
      <c r="AD36" s="25">
        <v>0</v>
      </c>
      <c r="AE36" s="25">
        <v>0</v>
      </c>
      <c r="AF36" s="25">
        <v>0</v>
      </c>
      <c r="AG36" s="25">
        <v>5</v>
      </c>
      <c r="AH36" s="25">
        <v>5</v>
      </c>
      <c r="AJ36" s="7">
        <v>1</v>
      </c>
      <c r="AK36" s="7">
        <v>2</v>
      </c>
      <c r="AL36" s="7">
        <v>2</v>
      </c>
      <c r="AM36" s="7">
        <v>1</v>
      </c>
      <c r="AN36" s="7">
        <v>0</v>
      </c>
      <c r="AO36" s="7">
        <v>1</v>
      </c>
      <c r="AP36" s="7">
        <v>1</v>
      </c>
    </row>
    <row r="37" spans="1:42" x14ac:dyDescent="0.3">
      <c r="A37" s="7" t="s">
        <v>101</v>
      </c>
      <c r="B37" s="13">
        <v>0</v>
      </c>
      <c r="C37" s="13">
        <v>463</v>
      </c>
      <c r="D37" s="13">
        <v>303</v>
      </c>
      <c r="E37" s="13">
        <v>330</v>
      </c>
      <c r="F37" s="13">
        <v>727</v>
      </c>
      <c r="G37" s="13">
        <v>0</v>
      </c>
      <c r="H37" s="1"/>
      <c r="K37" s="21">
        <v>33</v>
      </c>
      <c r="L37" s="24" t="s">
        <v>29</v>
      </c>
      <c r="M37" s="24" t="s">
        <v>82</v>
      </c>
      <c r="N37" s="24" t="s">
        <v>83</v>
      </c>
      <c r="O37" s="24" t="s">
        <v>19</v>
      </c>
      <c r="P37" s="24" t="s">
        <v>26</v>
      </c>
      <c r="Q37" s="24" t="s">
        <v>24</v>
      </c>
      <c r="R37" s="24" t="s">
        <v>74</v>
      </c>
      <c r="T37" s="8">
        <f t="shared" si="9"/>
        <v>12</v>
      </c>
      <c r="U37" s="8">
        <f t="shared" si="10"/>
        <v>16</v>
      </c>
      <c r="V37" s="8">
        <f t="shared" si="11"/>
        <v>17</v>
      </c>
      <c r="W37" s="8">
        <f t="shared" si="12"/>
        <v>1</v>
      </c>
      <c r="X37" s="8">
        <f t="shared" si="13"/>
        <v>9</v>
      </c>
      <c r="Y37" s="8">
        <f t="shared" si="14"/>
        <v>8</v>
      </c>
      <c r="Z37" s="8">
        <f t="shared" si="15"/>
        <v>6</v>
      </c>
      <c r="AB37" s="25">
        <v>5</v>
      </c>
      <c r="AC37" s="25">
        <v>0</v>
      </c>
      <c r="AD37" s="25">
        <v>0</v>
      </c>
      <c r="AE37" s="25">
        <v>0</v>
      </c>
      <c r="AF37" s="25">
        <v>0</v>
      </c>
      <c r="AG37" s="25">
        <v>5</v>
      </c>
      <c r="AH37" s="25">
        <v>5</v>
      </c>
      <c r="AJ37" s="7">
        <v>1</v>
      </c>
      <c r="AK37" s="7">
        <v>0</v>
      </c>
      <c r="AL37" s="7">
        <v>0</v>
      </c>
      <c r="AM37" s="7">
        <v>1</v>
      </c>
      <c r="AN37" s="7">
        <v>1</v>
      </c>
      <c r="AO37" s="7">
        <v>1</v>
      </c>
      <c r="AP37" s="7">
        <v>1</v>
      </c>
    </row>
    <row r="38" spans="1:42" x14ac:dyDescent="0.3">
      <c r="A38" s="7" t="s">
        <v>104</v>
      </c>
      <c r="B38" s="13">
        <v>0</v>
      </c>
      <c r="C38" s="13">
        <v>463</v>
      </c>
      <c r="D38" s="13">
        <v>303</v>
      </c>
      <c r="E38" s="13">
        <v>330</v>
      </c>
      <c r="F38" s="13">
        <v>727</v>
      </c>
      <c r="G38" s="13">
        <v>0</v>
      </c>
      <c r="H38" s="1"/>
      <c r="K38" s="22">
        <v>34</v>
      </c>
      <c r="L38" s="24" t="s">
        <v>29</v>
      </c>
      <c r="M38" s="24" t="s">
        <v>28</v>
      </c>
      <c r="N38" s="24" t="s">
        <v>18</v>
      </c>
      <c r="O38" s="24" t="s">
        <v>24</v>
      </c>
      <c r="P38" s="24" t="s">
        <v>24</v>
      </c>
      <c r="Q38" s="24" t="s">
        <v>74</v>
      </c>
      <c r="R38" s="24" t="s">
        <v>18</v>
      </c>
      <c r="T38" s="8">
        <f t="shared" si="9"/>
        <v>12</v>
      </c>
      <c r="U38" s="8">
        <f t="shared" si="10"/>
        <v>11</v>
      </c>
      <c r="V38" s="8">
        <f t="shared" si="11"/>
        <v>5</v>
      </c>
      <c r="W38" s="8">
        <f t="shared" si="12"/>
        <v>8</v>
      </c>
      <c r="X38" s="8">
        <f t="shared" si="13"/>
        <v>8</v>
      </c>
      <c r="Y38" s="8">
        <f t="shared" si="14"/>
        <v>6</v>
      </c>
      <c r="Z38" s="8">
        <f t="shared" si="15"/>
        <v>5</v>
      </c>
      <c r="AB38" s="25">
        <v>5</v>
      </c>
      <c r="AC38" s="25">
        <v>0</v>
      </c>
      <c r="AD38" s="25">
        <v>0</v>
      </c>
      <c r="AE38" s="25">
        <v>0</v>
      </c>
      <c r="AF38" s="25">
        <v>1</v>
      </c>
      <c r="AG38" s="25">
        <v>5</v>
      </c>
      <c r="AH38" s="25">
        <v>5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</row>
    <row r="39" spans="1:42" x14ac:dyDescent="0.3">
      <c r="A39" s="7" t="s">
        <v>105</v>
      </c>
      <c r="B39" s="13">
        <v>0</v>
      </c>
      <c r="C39" s="13">
        <v>463</v>
      </c>
      <c r="D39" s="13">
        <v>303</v>
      </c>
      <c r="E39" s="13">
        <v>330</v>
      </c>
      <c r="F39" s="13">
        <v>727</v>
      </c>
      <c r="G39" s="13">
        <v>0</v>
      </c>
      <c r="H39" s="1"/>
      <c r="K39" s="21">
        <v>35</v>
      </c>
      <c r="L39" s="24" t="s">
        <v>25</v>
      </c>
      <c r="M39" s="24" t="s">
        <v>20</v>
      </c>
      <c r="N39" s="24" t="s">
        <v>27</v>
      </c>
      <c r="O39" s="24" t="s">
        <v>74</v>
      </c>
      <c r="P39" s="24" t="s">
        <v>83</v>
      </c>
      <c r="Q39" s="24" t="s">
        <v>17</v>
      </c>
      <c r="R39" s="24" t="s">
        <v>18</v>
      </c>
      <c r="T39" s="8">
        <f t="shared" si="9"/>
        <v>8</v>
      </c>
      <c r="U39" s="8">
        <f t="shared" si="10"/>
        <v>2</v>
      </c>
      <c r="V39" s="8">
        <f t="shared" si="11"/>
        <v>10</v>
      </c>
      <c r="W39" s="8">
        <f t="shared" si="12"/>
        <v>6</v>
      </c>
      <c r="X39" s="8">
        <f t="shared" si="13"/>
        <v>17</v>
      </c>
      <c r="Y39" s="8">
        <f t="shared" si="14"/>
        <v>4</v>
      </c>
      <c r="Z39" s="8">
        <f t="shared" si="15"/>
        <v>5</v>
      </c>
      <c r="AB39" s="25">
        <v>5</v>
      </c>
      <c r="AC39" s="25">
        <v>5</v>
      </c>
      <c r="AD39" s="25">
        <v>5</v>
      </c>
      <c r="AE39" s="25">
        <v>5</v>
      </c>
      <c r="AF39" s="25">
        <v>6</v>
      </c>
      <c r="AG39" s="25">
        <v>5</v>
      </c>
      <c r="AH39" s="25">
        <v>5</v>
      </c>
      <c r="AJ39" s="7">
        <v>1</v>
      </c>
      <c r="AK39" s="7">
        <v>1</v>
      </c>
      <c r="AL39" s="7">
        <v>1</v>
      </c>
      <c r="AM39" s="7">
        <v>2</v>
      </c>
      <c r="AN39" s="7">
        <v>2</v>
      </c>
      <c r="AO39" s="7">
        <v>1</v>
      </c>
      <c r="AP39" s="7">
        <v>1</v>
      </c>
    </row>
    <row r="40" spans="1:42" x14ac:dyDescent="0.3">
      <c r="A40" s="7" t="s">
        <v>106</v>
      </c>
      <c r="B40" s="13">
        <v>0</v>
      </c>
      <c r="C40" s="13">
        <v>910</v>
      </c>
      <c r="D40" s="13">
        <v>610</v>
      </c>
      <c r="E40" s="13">
        <v>1373</v>
      </c>
      <c r="F40" s="13">
        <v>973</v>
      </c>
      <c r="G40" s="13">
        <v>0</v>
      </c>
      <c r="H40" s="1"/>
      <c r="K40" s="22">
        <v>36</v>
      </c>
      <c r="L40" s="24" t="s">
        <v>26</v>
      </c>
      <c r="M40" s="24" t="s">
        <v>87</v>
      </c>
      <c r="N40" s="24" t="s">
        <v>27</v>
      </c>
      <c r="O40" s="24" t="s">
        <v>74</v>
      </c>
      <c r="P40" s="24" t="s">
        <v>83</v>
      </c>
      <c r="Q40" s="24" t="s">
        <v>18</v>
      </c>
      <c r="R40" s="24" t="s">
        <v>24</v>
      </c>
      <c r="T40" s="8">
        <f t="shared" si="9"/>
        <v>9</v>
      </c>
      <c r="U40" s="8">
        <f t="shared" si="10"/>
        <v>22</v>
      </c>
      <c r="V40" s="8">
        <f t="shared" si="11"/>
        <v>10</v>
      </c>
      <c r="W40" s="8">
        <f t="shared" si="12"/>
        <v>6</v>
      </c>
      <c r="X40" s="8">
        <f t="shared" si="13"/>
        <v>17</v>
      </c>
      <c r="Y40" s="8">
        <f t="shared" si="14"/>
        <v>5</v>
      </c>
      <c r="Z40" s="8">
        <f t="shared" si="15"/>
        <v>8</v>
      </c>
      <c r="AB40" s="25">
        <v>5</v>
      </c>
      <c r="AC40" s="25">
        <v>0</v>
      </c>
      <c r="AD40" s="25">
        <v>0</v>
      </c>
      <c r="AE40" s="25">
        <v>0</v>
      </c>
      <c r="AF40" s="25">
        <v>0</v>
      </c>
      <c r="AG40" s="25">
        <v>5</v>
      </c>
      <c r="AH40" s="25">
        <v>5</v>
      </c>
      <c r="AJ40" s="7">
        <v>1</v>
      </c>
      <c r="AK40" s="7">
        <v>2</v>
      </c>
      <c r="AL40" s="7">
        <v>1</v>
      </c>
      <c r="AM40" s="7">
        <v>0</v>
      </c>
      <c r="AN40" s="7">
        <v>0</v>
      </c>
      <c r="AO40" s="7">
        <v>1</v>
      </c>
      <c r="AP40" s="7">
        <v>1</v>
      </c>
    </row>
    <row r="41" spans="1:42" x14ac:dyDescent="0.3">
      <c r="A41" s="7" t="s">
        <v>107</v>
      </c>
      <c r="B41" s="13">
        <v>0</v>
      </c>
      <c r="C41" s="13">
        <v>910</v>
      </c>
      <c r="D41" s="13">
        <v>610</v>
      </c>
      <c r="E41" s="13">
        <v>1373</v>
      </c>
      <c r="F41" s="13">
        <v>973</v>
      </c>
      <c r="G41" s="13">
        <v>0</v>
      </c>
      <c r="H41" s="1"/>
      <c r="K41" s="21">
        <v>37</v>
      </c>
      <c r="L41" s="24" t="s">
        <v>27</v>
      </c>
      <c r="M41" s="24" t="s">
        <v>87</v>
      </c>
      <c r="N41" s="24" t="s">
        <v>19</v>
      </c>
      <c r="O41" s="24" t="s">
        <v>19</v>
      </c>
      <c r="P41" s="24" t="s">
        <v>21</v>
      </c>
      <c r="Q41" s="24" t="s">
        <v>28</v>
      </c>
      <c r="R41" s="24" t="s">
        <v>29</v>
      </c>
      <c r="T41" s="8">
        <f t="shared" si="9"/>
        <v>10</v>
      </c>
      <c r="U41" s="8">
        <f t="shared" si="10"/>
        <v>22</v>
      </c>
      <c r="V41" s="8">
        <f t="shared" si="11"/>
        <v>1</v>
      </c>
      <c r="W41" s="8">
        <f t="shared" si="12"/>
        <v>1</v>
      </c>
      <c r="X41" s="8">
        <f t="shared" si="13"/>
        <v>3</v>
      </c>
      <c r="Y41" s="8">
        <f t="shared" si="14"/>
        <v>11</v>
      </c>
      <c r="Z41" s="8">
        <f t="shared" si="15"/>
        <v>12</v>
      </c>
      <c r="AB41" s="25">
        <v>5</v>
      </c>
      <c r="AC41" s="25">
        <v>0</v>
      </c>
      <c r="AD41" s="25">
        <v>0</v>
      </c>
      <c r="AE41" s="25">
        <v>0</v>
      </c>
      <c r="AF41" s="25">
        <v>0</v>
      </c>
      <c r="AG41" s="25">
        <v>5</v>
      </c>
      <c r="AH41" s="25">
        <v>5</v>
      </c>
      <c r="AJ41" s="7">
        <v>1</v>
      </c>
      <c r="AK41" s="7">
        <v>0</v>
      </c>
      <c r="AL41" s="7">
        <v>1</v>
      </c>
      <c r="AM41" s="7">
        <v>1</v>
      </c>
      <c r="AN41" s="7">
        <v>2</v>
      </c>
      <c r="AO41" s="7">
        <v>1</v>
      </c>
      <c r="AP41" s="7">
        <v>1</v>
      </c>
    </row>
    <row r="42" spans="1:42" x14ac:dyDescent="0.3">
      <c r="A42" s="7" t="s">
        <v>108</v>
      </c>
      <c r="B42" s="13">
        <v>0</v>
      </c>
      <c r="C42" s="13">
        <v>910</v>
      </c>
      <c r="D42" s="13">
        <v>610</v>
      </c>
      <c r="E42" s="13">
        <v>1373</v>
      </c>
      <c r="F42" s="13">
        <v>973</v>
      </c>
      <c r="G42" s="13">
        <v>0</v>
      </c>
      <c r="H42" s="1"/>
      <c r="K42" s="22">
        <v>38</v>
      </c>
      <c r="L42" s="24" t="s">
        <v>27</v>
      </c>
      <c r="M42" s="24" t="s">
        <v>189</v>
      </c>
      <c r="N42" s="24" t="s">
        <v>74</v>
      </c>
      <c r="O42" s="24" t="s">
        <v>82</v>
      </c>
      <c r="P42" s="24" t="s">
        <v>21</v>
      </c>
      <c r="Q42" s="24" t="s">
        <v>74</v>
      </c>
      <c r="R42" s="24" t="s">
        <v>17</v>
      </c>
      <c r="T42" s="8">
        <f t="shared" si="9"/>
        <v>10</v>
      </c>
      <c r="U42" s="8">
        <f t="shared" si="10"/>
        <v>20</v>
      </c>
      <c r="V42" s="8">
        <f t="shared" si="11"/>
        <v>6</v>
      </c>
      <c r="W42" s="8">
        <f t="shared" si="12"/>
        <v>16</v>
      </c>
      <c r="X42" s="8">
        <f t="shared" si="13"/>
        <v>3</v>
      </c>
      <c r="Y42" s="8">
        <f t="shared" si="14"/>
        <v>6</v>
      </c>
      <c r="Z42" s="8">
        <f t="shared" si="15"/>
        <v>4</v>
      </c>
      <c r="AB42" s="25">
        <v>5</v>
      </c>
      <c r="AC42" s="25">
        <v>0</v>
      </c>
      <c r="AD42" s="25">
        <v>0</v>
      </c>
      <c r="AE42" s="25">
        <v>0</v>
      </c>
      <c r="AF42" s="25">
        <v>0</v>
      </c>
      <c r="AG42" s="25">
        <v>5</v>
      </c>
      <c r="AH42" s="25">
        <v>5</v>
      </c>
      <c r="AJ42" s="7">
        <v>1</v>
      </c>
      <c r="AK42" s="7">
        <v>1</v>
      </c>
      <c r="AL42" s="7">
        <v>1</v>
      </c>
      <c r="AM42" s="7">
        <v>2</v>
      </c>
      <c r="AN42" s="7">
        <v>0</v>
      </c>
      <c r="AO42" s="7">
        <v>1</v>
      </c>
      <c r="AP42" s="7">
        <v>1</v>
      </c>
    </row>
    <row r="43" spans="1:42" x14ac:dyDescent="0.3">
      <c r="A43" s="7" t="s">
        <v>109</v>
      </c>
      <c r="B43" s="13">
        <v>0</v>
      </c>
      <c r="C43" s="13">
        <v>747</v>
      </c>
      <c r="D43" s="13">
        <v>1092</v>
      </c>
      <c r="E43" s="13">
        <v>780</v>
      </c>
      <c r="F43" s="13">
        <v>520</v>
      </c>
      <c r="G43" s="13">
        <v>0</v>
      </c>
      <c r="H43" s="1"/>
      <c r="K43" s="21">
        <v>39</v>
      </c>
      <c r="L43" s="24" t="s">
        <v>21</v>
      </c>
      <c r="M43" s="24" t="s">
        <v>24</v>
      </c>
      <c r="N43" s="24" t="s">
        <v>24</v>
      </c>
      <c r="O43" s="24" t="s">
        <v>82</v>
      </c>
      <c r="P43" s="24" t="s">
        <v>27</v>
      </c>
      <c r="Q43" s="24" t="s">
        <v>27</v>
      </c>
      <c r="R43" s="24" t="s">
        <v>20</v>
      </c>
      <c r="T43" s="8">
        <f t="shared" si="9"/>
        <v>3</v>
      </c>
      <c r="U43" s="8">
        <f t="shared" si="10"/>
        <v>8</v>
      </c>
      <c r="V43" s="8">
        <f t="shared" si="11"/>
        <v>8</v>
      </c>
      <c r="W43" s="8">
        <f t="shared" si="12"/>
        <v>16</v>
      </c>
      <c r="X43" s="8">
        <f t="shared" si="13"/>
        <v>10</v>
      </c>
      <c r="Y43" s="8">
        <f t="shared" si="14"/>
        <v>10</v>
      </c>
      <c r="Z43" s="8">
        <f t="shared" si="15"/>
        <v>2</v>
      </c>
      <c r="AB43" s="25">
        <v>5</v>
      </c>
      <c r="AC43" s="25">
        <v>0</v>
      </c>
      <c r="AD43" s="25">
        <v>0</v>
      </c>
      <c r="AE43" s="25">
        <v>0</v>
      </c>
      <c r="AF43" s="25">
        <v>0</v>
      </c>
      <c r="AG43" s="25">
        <v>5</v>
      </c>
      <c r="AH43" s="25">
        <v>5</v>
      </c>
      <c r="AJ43" s="7">
        <v>1</v>
      </c>
      <c r="AK43" s="7">
        <v>1</v>
      </c>
      <c r="AL43" s="7">
        <v>1</v>
      </c>
      <c r="AM43" s="7">
        <v>0</v>
      </c>
      <c r="AN43" s="7">
        <v>1</v>
      </c>
      <c r="AO43" s="7">
        <v>1</v>
      </c>
      <c r="AP43" s="7">
        <v>1</v>
      </c>
    </row>
    <row r="44" spans="1:42" x14ac:dyDescent="0.3">
      <c r="A44" s="7" t="s">
        <v>110</v>
      </c>
      <c r="B44" s="13">
        <v>0</v>
      </c>
      <c r="C44" s="13">
        <v>747</v>
      </c>
      <c r="D44" s="13">
        <v>1092</v>
      </c>
      <c r="E44" s="13">
        <v>780</v>
      </c>
      <c r="F44" s="13">
        <v>520</v>
      </c>
      <c r="G44" s="13">
        <v>0</v>
      </c>
      <c r="H44" s="1"/>
      <c r="K44" s="22">
        <v>40</v>
      </c>
      <c r="L44" s="24" t="s">
        <v>25</v>
      </c>
      <c r="M44" s="24" t="s">
        <v>84</v>
      </c>
      <c r="N44" s="24" t="s">
        <v>19</v>
      </c>
      <c r="O44" s="24" t="s">
        <v>19</v>
      </c>
      <c r="P44" s="24" t="s">
        <v>81</v>
      </c>
      <c r="Q44" s="24" t="s">
        <v>24</v>
      </c>
      <c r="R44" s="24" t="s">
        <v>20</v>
      </c>
      <c r="T44" s="8">
        <f t="shared" si="9"/>
        <v>8</v>
      </c>
      <c r="U44" s="8">
        <f t="shared" si="10"/>
        <v>19</v>
      </c>
      <c r="V44" s="8">
        <f t="shared" si="11"/>
        <v>1</v>
      </c>
      <c r="W44" s="8">
        <f t="shared" si="12"/>
        <v>1</v>
      </c>
      <c r="X44" s="8">
        <f t="shared" si="13"/>
        <v>15</v>
      </c>
      <c r="Y44" s="8">
        <f t="shared" si="14"/>
        <v>8</v>
      </c>
      <c r="Z44" s="8">
        <f t="shared" si="15"/>
        <v>2</v>
      </c>
      <c r="AB44" s="25">
        <v>5</v>
      </c>
      <c r="AC44" s="25">
        <v>5</v>
      </c>
      <c r="AD44" s="25">
        <v>5</v>
      </c>
      <c r="AE44" s="25">
        <v>5</v>
      </c>
      <c r="AF44" s="25">
        <v>6</v>
      </c>
      <c r="AG44" s="25">
        <v>5</v>
      </c>
      <c r="AH44" s="25">
        <v>5</v>
      </c>
      <c r="AJ44" s="7">
        <v>1</v>
      </c>
      <c r="AK44" s="7">
        <v>3</v>
      </c>
      <c r="AL44" s="7">
        <v>1</v>
      </c>
      <c r="AM44" s="7">
        <v>1</v>
      </c>
      <c r="AN44" s="7">
        <v>3</v>
      </c>
      <c r="AO44" s="7">
        <v>1</v>
      </c>
      <c r="AP44" s="7">
        <v>1</v>
      </c>
    </row>
    <row r="45" spans="1:42" x14ac:dyDescent="0.3">
      <c r="A45" s="7" t="s">
        <v>111</v>
      </c>
      <c r="B45" s="13">
        <v>0</v>
      </c>
      <c r="C45" s="13">
        <v>747</v>
      </c>
      <c r="D45" s="13">
        <v>1092</v>
      </c>
      <c r="E45" s="13">
        <v>780</v>
      </c>
      <c r="F45" s="13">
        <v>520</v>
      </c>
      <c r="G45" s="13">
        <v>0</v>
      </c>
      <c r="H45" s="1"/>
      <c r="K45" s="21">
        <v>41</v>
      </c>
      <c r="L45" s="24" t="s">
        <v>26</v>
      </c>
      <c r="M45" s="24" t="s">
        <v>84</v>
      </c>
      <c r="N45" s="24" t="s">
        <v>79</v>
      </c>
      <c r="O45" s="24" t="s">
        <v>80</v>
      </c>
      <c r="P45" s="24" t="s">
        <v>81</v>
      </c>
      <c r="Q45" s="24" t="s">
        <v>26</v>
      </c>
      <c r="R45" s="24" t="s">
        <v>24</v>
      </c>
      <c r="T45" s="8">
        <f t="shared" si="9"/>
        <v>9</v>
      </c>
      <c r="U45" s="8">
        <f t="shared" si="10"/>
        <v>19</v>
      </c>
      <c r="V45" s="8">
        <f t="shared" si="11"/>
        <v>13</v>
      </c>
      <c r="W45" s="8">
        <f t="shared" si="12"/>
        <v>14</v>
      </c>
      <c r="X45" s="8">
        <f t="shared" si="13"/>
        <v>15</v>
      </c>
      <c r="Y45" s="8">
        <f t="shared" si="14"/>
        <v>9</v>
      </c>
      <c r="Z45" s="8">
        <f t="shared" si="15"/>
        <v>8</v>
      </c>
      <c r="AB45" s="25">
        <v>5</v>
      </c>
      <c r="AC45" s="25">
        <v>0</v>
      </c>
      <c r="AD45" s="25">
        <v>0</v>
      </c>
      <c r="AE45" s="25">
        <v>0</v>
      </c>
      <c r="AF45" s="25">
        <v>0</v>
      </c>
      <c r="AG45" s="25">
        <v>5</v>
      </c>
      <c r="AH45" s="25">
        <v>5</v>
      </c>
      <c r="AJ45" s="7">
        <v>1</v>
      </c>
      <c r="AK45" s="7">
        <v>0</v>
      </c>
      <c r="AL45" s="7">
        <v>3</v>
      </c>
      <c r="AM45" s="7">
        <v>3</v>
      </c>
      <c r="AN45" s="7">
        <v>0</v>
      </c>
      <c r="AO45" s="7">
        <v>1</v>
      </c>
      <c r="AP45" s="7">
        <v>1</v>
      </c>
    </row>
    <row r="46" spans="1:42" x14ac:dyDescent="0.3">
      <c r="A46" s="7" t="s">
        <v>112</v>
      </c>
      <c r="B46" s="13">
        <v>0</v>
      </c>
      <c r="C46" s="13">
        <v>747</v>
      </c>
      <c r="D46" s="13">
        <v>1092</v>
      </c>
      <c r="E46" s="13">
        <v>780</v>
      </c>
      <c r="F46" s="13">
        <v>520</v>
      </c>
      <c r="G46" s="13">
        <v>0</v>
      </c>
      <c r="H46" s="1"/>
      <c r="K46" s="22">
        <v>42</v>
      </c>
      <c r="L46" s="24" t="s">
        <v>152</v>
      </c>
      <c r="M46" s="24" t="s">
        <v>84</v>
      </c>
      <c r="N46" s="24" t="s">
        <v>79</v>
      </c>
      <c r="O46" s="24" t="s">
        <v>80</v>
      </c>
      <c r="P46" s="24" t="s">
        <v>81</v>
      </c>
      <c r="Q46" s="24" t="s">
        <v>18</v>
      </c>
      <c r="R46" s="24" t="s">
        <v>24</v>
      </c>
      <c r="T46" s="8">
        <f t="shared" si="9"/>
        <v>7</v>
      </c>
      <c r="U46" s="8">
        <f t="shared" si="10"/>
        <v>19</v>
      </c>
      <c r="V46" s="8">
        <f t="shared" si="11"/>
        <v>13</v>
      </c>
      <c r="W46" s="8">
        <f t="shared" si="12"/>
        <v>14</v>
      </c>
      <c r="X46" s="8">
        <f t="shared" si="13"/>
        <v>15</v>
      </c>
      <c r="Y46" s="8">
        <f t="shared" si="14"/>
        <v>5</v>
      </c>
      <c r="Z46" s="8">
        <f t="shared" si="15"/>
        <v>8</v>
      </c>
      <c r="AB46" s="25">
        <v>5</v>
      </c>
      <c r="AC46" s="25">
        <v>0</v>
      </c>
      <c r="AD46" s="25">
        <v>0</v>
      </c>
      <c r="AE46" s="25">
        <v>0</v>
      </c>
      <c r="AF46" s="25">
        <v>0</v>
      </c>
      <c r="AG46" s="25">
        <v>5</v>
      </c>
      <c r="AH46" s="25">
        <v>5</v>
      </c>
      <c r="AJ46" s="7">
        <v>1</v>
      </c>
      <c r="AK46" s="7">
        <v>0</v>
      </c>
      <c r="AL46" s="7">
        <v>0</v>
      </c>
      <c r="AM46" s="7">
        <v>0</v>
      </c>
      <c r="AN46" s="7">
        <v>0</v>
      </c>
      <c r="AO46" s="7">
        <v>1</v>
      </c>
      <c r="AP46" s="7">
        <v>1</v>
      </c>
    </row>
    <row r="47" spans="1:42" x14ac:dyDescent="0.3">
      <c r="A47" s="7" t="s">
        <v>113</v>
      </c>
      <c r="B47" s="13">
        <v>1</v>
      </c>
      <c r="C47" s="13">
        <v>1340</v>
      </c>
      <c r="D47" s="13">
        <v>2410</v>
      </c>
      <c r="E47" s="13">
        <v>470</v>
      </c>
      <c r="F47" s="13">
        <v>400</v>
      </c>
      <c r="G47" s="13">
        <v>1</v>
      </c>
      <c r="H47" s="1"/>
      <c r="K47" s="21">
        <v>43</v>
      </c>
      <c r="L47" s="24" t="s">
        <v>152</v>
      </c>
      <c r="M47" s="24" t="s">
        <v>40</v>
      </c>
      <c r="N47" s="24" t="s">
        <v>79</v>
      </c>
      <c r="O47" s="24" t="s">
        <v>80</v>
      </c>
      <c r="P47" s="24" t="s">
        <v>83</v>
      </c>
      <c r="Q47" s="24" t="s">
        <v>28</v>
      </c>
      <c r="R47" s="24" t="s">
        <v>24</v>
      </c>
      <c r="T47" s="8">
        <f t="shared" si="9"/>
        <v>7</v>
      </c>
      <c r="U47" s="8">
        <f t="shared" si="10"/>
        <v>12</v>
      </c>
      <c r="V47" s="8">
        <f t="shared" si="11"/>
        <v>13</v>
      </c>
      <c r="W47" s="8">
        <f t="shared" si="12"/>
        <v>14</v>
      </c>
      <c r="X47" s="8">
        <f t="shared" si="13"/>
        <v>17</v>
      </c>
      <c r="Y47" s="8">
        <f t="shared" si="14"/>
        <v>11</v>
      </c>
      <c r="Z47" s="8">
        <f t="shared" si="15"/>
        <v>8</v>
      </c>
      <c r="AB47" s="25">
        <v>5</v>
      </c>
      <c r="AC47" s="25">
        <v>0</v>
      </c>
      <c r="AD47" s="25">
        <v>0</v>
      </c>
      <c r="AE47" s="25">
        <v>0</v>
      </c>
      <c r="AF47" s="25">
        <v>0</v>
      </c>
      <c r="AG47" s="25">
        <v>5</v>
      </c>
      <c r="AH47" s="25">
        <v>5</v>
      </c>
      <c r="AJ47" s="7">
        <v>1</v>
      </c>
      <c r="AK47" s="7">
        <v>2</v>
      </c>
      <c r="AL47" s="7">
        <v>0</v>
      </c>
      <c r="AM47" s="7">
        <v>0</v>
      </c>
      <c r="AN47" s="7">
        <v>2</v>
      </c>
      <c r="AO47" s="7">
        <v>1</v>
      </c>
      <c r="AP47" s="7">
        <v>1</v>
      </c>
    </row>
    <row r="48" spans="1:42" ht="16.8" thickBot="1" x14ac:dyDescent="0.35">
      <c r="A48" s="75"/>
      <c r="B48" s="75"/>
      <c r="C48" s="75"/>
      <c r="D48" s="75"/>
      <c r="E48" s="75"/>
      <c r="F48" s="75"/>
      <c r="G48" s="75"/>
      <c r="H48" s="1"/>
      <c r="K48" s="22">
        <v>44</v>
      </c>
      <c r="L48" s="24" t="s">
        <v>29</v>
      </c>
      <c r="M48" s="24" t="s">
        <v>40</v>
      </c>
      <c r="N48" s="24" t="s">
        <v>24</v>
      </c>
      <c r="O48" s="24" t="s">
        <v>26</v>
      </c>
      <c r="P48" s="24" t="s">
        <v>83</v>
      </c>
      <c r="Q48" s="24" t="s">
        <v>29</v>
      </c>
      <c r="R48" s="24" t="s">
        <v>17</v>
      </c>
      <c r="T48" s="8">
        <f t="shared" si="9"/>
        <v>12</v>
      </c>
      <c r="U48" s="8">
        <f t="shared" si="10"/>
        <v>12</v>
      </c>
      <c r="V48" s="8">
        <f t="shared" si="11"/>
        <v>8</v>
      </c>
      <c r="W48" s="8">
        <f t="shared" si="12"/>
        <v>9</v>
      </c>
      <c r="X48" s="8">
        <f t="shared" si="13"/>
        <v>17</v>
      </c>
      <c r="Y48" s="8">
        <f t="shared" si="14"/>
        <v>12</v>
      </c>
      <c r="Z48" s="8">
        <f t="shared" si="15"/>
        <v>4</v>
      </c>
      <c r="AB48" s="25">
        <v>5</v>
      </c>
      <c r="AC48" s="25">
        <v>0</v>
      </c>
      <c r="AD48" s="25">
        <v>0</v>
      </c>
      <c r="AE48" s="25">
        <v>0</v>
      </c>
      <c r="AF48" s="25">
        <v>0</v>
      </c>
      <c r="AG48" s="25">
        <v>5</v>
      </c>
      <c r="AH48" s="25">
        <v>5</v>
      </c>
      <c r="AJ48" s="7">
        <v>1</v>
      </c>
      <c r="AK48" s="7">
        <v>0</v>
      </c>
      <c r="AL48" s="7">
        <v>1</v>
      </c>
      <c r="AM48" s="7">
        <v>1</v>
      </c>
      <c r="AN48" s="7">
        <v>0</v>
      </c>
      <c r="AO48" s="7">
        <v>1</v>
      </c>
      <c r="AP48" s="7">
        <v>1</v>
      </c>
    </row>
    <row r="49" spans="1:42" ht="16.8" thickBot="1" x14ac:dyDescent="0.35">
      <c r="A49" s="97" t="s">
        <v>168</v>
      </c>
      <c r="B49" s="102" t="s">
        <v>169</v>
      </c>
      <c r="C49" s="1"/>
      <c r="D49" s="1"/>
      <c r="E49" s="1"/>
      <c r="F49" s="1"/>
      <c r="G49" s="1"/>
      <c r="H49" s="1"/>
      <c r="K49" s="21">
        <v>45</v>
      </c>
      <c r="L49" s="24" t="s">
        <v>35</v>
      </c>
      <c r="M49" s="24" t="s">
        <v>40</v>
      </c>
      <c r="N49" s="24" t="s">
        <v>24</v>
      </c>
      <c r="O49" s="24" t="s">
        <v>27</v>
      </c>
      <c r="P49" s="24" t="s">
        <v>28</v>
      </c>
      <c r="Q49" s="24" t="s">
        <v>29</v>
      </c>
      <c r="R49" s="24" t="s">
        <v>17</v>
      </c>
      <c r="T49" s="8">
        <f t="shared" si="9"/>
        <v>5</v>
      </c>
      <c r="U49" s="8">
        <f t="shared" si="10"/>
        <v>12</v>
      </c>
      <c r="V49" s="8">
        <f t="shared" si="11"/>
        <v>8</v>
      </c>
      <c r="W49" s="8">
        <f t="shared" si="12"/>
        <v>10</v>
      </c>
      <c r="X49" s="8">
        <f t="shared" si="13"/>
        <v>11</v>
      </c>
      <c r="Y49" s="8">
        <f t="shared" si="14"/>
        <v>12</v>
      </c>
      <c r="Z49" s="8">
        <f t="shared" si="15"/>
        <v>4</v>
      </c>
      <c r="AB49" s="25">
        <v>5</v>
      </c>
      <c r="AC49" s="25">
        <v>5</v>
      </c>
      <c r="AD49" s="25">
        <v>5</v>
      </c>
      <c r="AE49" s="25">
        <v>5</v>
      </c>
      <c r="AF49" s="25">
        <v>4</v>
      </c>
      <c r="AG49" s="25">
        <v>5</v>
      </c>
      <c r="AH49" s="25">
        <v>5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</row>
    <row r="50" spans="1:42" x14ac:dyDescent="0.3">
      <c r="A50" s="99" t="s">
        <v>78</v>
      </c>
      <c r="B50" s="100">
        <v>0</v>
      </c>
      <c r="C50" s="1"/>
      <c r="D50" s="1"/>
      <c r="E50" s="1"/>
      <c r="F50" s="1"/>
      <c r="G50" s="1"/>
      <c r="H50" s="1"/>
      <c r="K50" s="22">
        <v>46</v>
      </c>
      <c r="L50" s="24" t="s">
        <v>21</v>
      </c>
      <c r="M50" s="24" t="s">
        <v>74</v>
      </c>
      <c r="N50" s="24" t="s">
        <v>28</v>
      </c>
      <c r="O50" s="24" t="s">
        <v>27</v>
      </c>
      <c r="P50" s="24" t="s">
        <v>17</v>
      </c>
      <c r="Q50" s="24" t="s">
        <v>24</v>
      </c>
      <c r="R50" s="24" t="s">
        <v>17</v>
      </c>
      <c r="T50" s="8">
        <f t="shared" si="9"/>
        <v>3</v>
      </c>
      <c r="U50" s="8">
        <f t="shared" si="10"/>
        <v>6</v>
      </c>
      <c r="V50" s="8">
        <f t="shared" si="11"/>
        <v>11</v>
      </c>
      <c r="W50" s="8">
        <f t="shared" si="12"/>
        <v>10</v>
      </c>
      <c r="X50" s="8">
        <f t="shared" si="13"/>
        <v>4</v>
      </c>
      <c r="Y50" s="8">
        <f t="shared" si="14"/>
        <v>8</v>
      </c>
      <c r="Z50" s="8">
        <f t="shared" si="15"/>
        <v>4</v>
      </c>
      <c r="AB50" s="25">
        <v>5</v>
      </c>
      <c r="AC50" s="25">
        <v>0</v>
      </c>
      <c r="AD50" s="25">
        <v>0</v>
      </c>
      <c r="AE50" s="25">
        <v>0</v>
      </c>
      <c r="AF50" s="25">
        <v>1</v>
      </c>
      <c r="AG50" s="25">
        <v>5</v>
      </c>
      <c r="AH50" s="25">
        <v>5</v>
      </c>
      <c r="AJ50" s="7">
        <v>1</v>
      </c>
      <c r="AK50" s="7">
        <v>1</v>
      </c>
      <c r="AL50" s="7">
        <v>1</v>
      </c>
      <c r="AM50" s="7">
        <v>1</v>
      </c>
      <c r="AN50" s="7">
        <v>3</v>
      </c>
      <c r="AO50" s="7">
        <v>1</v>
      </c>
      <c r="AP50" s="7">
        <v>1</v>
      </c>
    </row>
    <row r="51" spans="1:42" x14ac:dyDescent="0.3">
      <c r="A51" s="98" t="s">
        <v>19</v>
      </c>
      <c r="B51" s="101">
        <v>0</v>
      </c>
      <c r="C51" s="1"/>
      <c r="D51" s="1"/>
      <c r="E51" s="1"/>
      <c r="F51" s="1"/>
      <c r="G51" s="1"/>
      <c r="H51" s="1"/>
      <c r="K51" s="21">
        <v>47</v>
      </c>
      <c r="L51" s="24" t="s">
        <v>36</v>
      </c>
      <c r="M51" s="24" t="s">
        <v>17</v>
      </c>
      <c r="N51" s="24" t="s">
        <v>28</v>
      </c>
      <c r="O51" s="24" t="s">
        <v>19</v>
      </c>
      <c r="P51" s="24" t="s">
        <v>17</v>
      </c>
      <c r="Q51" s="24" t="s">
        <v>27</v>
      </c>
      <c r="R51" s="24" t="s">
        <v>74</v>
      </c>
      <c r="T51" s="8">
        <f t="shared" si="9"/>
        <v>1</v>
      </c>
      <c r="U51" s="8">
        <f t="shared" si="10"/>
        <v>4</v>
      </c>
      <c r="V51" s="8">
        <f t="shared" si="11"/>
        <v>11</v>
      </c>
      <c r="W51" s="8">
        <f t="shared" si="12"/>
        <v>1</v>
      </c>
      <c r="X51" s="8">
        <f t="shared" si="13"/>
        <v>4</v>
      </c>
      <c r="Y51" s="8">
        <f t="shared" si="14"/>
        <v>10</v>
      </c>
      <c r="Z51" s="8">
        <f t="shared" si="15"/>
        <v>6</v>
      </c>
      <c r="AB51" s="25">
        <v>5</v>
      </c>
      <c r="AC51" s="25">
        <v>0</v>
      </c>
      <c r="AD51" s="25">
        <v>0</v>
      </c>
      <c r="AE51" s="25">
        <v>0</v>
      </c>
      <c r="AF51" s="25">
        <v>0</v>
      </c>
      <c r="AG51" s="25">
        <v>5</v>
      </c>
      <c r="AH51" s="25">
        <v>5</v>
      </c>
      <c r="AJ51" s="7">
        <v>1</v>
      </c>
      <c r="AK51" s="7">
        <v>2</v>
      </c>
      <c r="AL51" s="7">
        <v>1</v>
      </c>
      <c r="AM51" s="7">
        <v>1</v>
      </c>
      <c r="AN51" s="7">
        <v>0</v>
      </c>
      <c r="AO51" s="7">
        <v>1</v>
      </c>
      <c r="AP51" s="7">
        <v>1</v>
      </c>
    </row>
    <row r="52" spans="1:42" x14ac:dyDescent="0.3">
      <c r="A52" s="98" t="s">
        <v>20</v>
      </c>
      <c r="B52" s="101">
        <v>2</v>
      </c>
      <c r="C52" s="1"/>
      <c r="D52" s="1"/>
      <c r="E52" s="1"/>
      <c r="F52" s="1"/>
      <c r="G52" s="1"/>
      <c r="H52" s="1"/>
      <c r="K52" s="22">
        <v>48</v>
      </c>
      <c r="L52" s="24" t="s">
        <v>26</v>
      </c>
      <c r="M52" s="24" t="s">
        <v>17</v>
      </c>
      <c r="N52" s="24" t="s">
        <v>19</v>
      </c>
      <c r="O52" s="24" t="s">
        <v>85</v>
      </c>
      <c r="P52" s="24" t="s">
        <v>17</v>
      </c>
      <c r="Q52" s="24" t="s">
        <v>18</v>
      </c>
      <c r="R52" s="24" t="s">
        <v>74</v>
      </c>
      <c r="T52" s="8">
        <f t="shared" si="9"/>
        <v>9</v>
      </c>
      <c r="U52" s="8">
        <f t="shared" si="10"/>
        <v>4</v>
      </c>
      <c r="V52" s="8">
        <f t="shared" si="11"/>
        <v>1</v>
      </c>
      <c r="W52" s="8">
        <f t="shared" si="12"/>
        <v>20</v>
      </c>
      <c r="X52" s="8">
        <f t="shared" si="13"/>
        <v>4</v>
      </c>
      <c r="Y52" s="8">
        <f t="shared" si="14"/>
        <v>5</v>
      </c>
      <c r="Z52" s="8">
        <f t="shared" si="15"/>
        <v>6</v>
      </c>
      <c r="AB52" s="25">
        <v>5</v>
      </c>
      <c r="AC52" s="25">
        <v>0</v>
      </c>
      <c r="AD52" s="25">
        <v>0</v>
      </c>
      <c r="AE52" s="25">
        <v>0</v>
      </c>
      <c r="AF52" s="25">
        <v>0</v>
      </c>
      <c r="AG52" s="25">
        <v>5</v>
      </c>
      <c r="AH52" s="25">
        <v>5</v>
      </c>
      <c r="AJ52" s="7">
        <v>1</v>
      </c>
      <c r="AK52" s="7">
        <v>0</v>
      </c>
      <c r="AL52" s="7">
        <v>1</v>
      </c>
      <c r="AM52" s="7">
        <v>2</v>
      </c>
      <c r="AN52" s="7">
        <v>0</v>
      </c>
      <c r="AO52" s="7">
        <v>1</v>
      </c>
      <c r="AP52" s="7">
        <v>1</v>
      </c>
    </row>
    <row r="53" spans="1:42" x14ac:dyDescent="0.3">
      <c r="A53" s="98" t="s">
        <v>21</v>
      </c>
      <c r="B53" s="101">
        <v>3</v>
      </c>
      <c r="C53" s="1"/>
      <c r="D53" s="1"/>
      <c r="E53" s="1"/>
      <c r="F53" s="1"/>
      <c r="G53" s="1"/>
      <c r="H53" s="1"/>
      <c r="K53" s="21">
        <v>49</v>
      </c>
      <c r="L53" s="24" t="s">
        <v>29</v>
      </c>
      <c r="M53" s="24" t="s">
        <v>24</v>
      </c>
      <c r="N53" s="24" t="s">
        <v>21</v>
      </c>
      <c r="O53" s="24" t="s">
        <v>85</v>
      </c>
      <c r="P53" s="24" t="s">
        <v>74</v>
      </c>
      <c r="Q53" s="24" t="s">
        <v>24</v>
      </c>
      <c r="R53" s="24" t="s">
        <v>36</v>
      </c>
      <c r="T53" s="8">
        <f t="shared" si="9"/>
        <v>12</v>
      </c>
      <c r="U53" s="8">
        <f t="shared" si="10"/>
        <v>8</v>
      </c>
      <c r="V53" s="8">
        <f t="shared" si="11"/>
        <v>3</v>
      </c>
      <c r="W53" s="8">
        <f t="shared" si="12"/>
        <v>20</v>
      </c>
      <c r="X53" s="8">
        <f t="shared" si="13"/>
        <v>6</v>
      </c>
      <c r="Y53" s="8">
        <f t="shared" si="14"/>
        <v>8</v>
      </c>
      <c r="Z53" s="8">
        <f t="shared" si="15"/>
        <v>1</v>
      </c>
      <c r="AB53" s="25">
        <v>5</v>
      </c>
      <c r="AC53" s="25">
        <v>0</v>
      </c>
      <c r="AD53" s="25">
        <v>0</v>
      </c>
      <c r="AE53" s="25">
        <v>0</v>
      </c>
      <c r="AF53" s="25">
        <v>1</v>
      </c>
      <c r="AG53" s="25">
        <v>5</v>
      </c>
      <c r="AH53" s="25">
        <v>5</v>
      </c>
      <c r="AJ53" s="7">
        <v>1</v>
      </c>
      <c r="AK53" s="7">
        <v>1</v>
      </c>
      <c r="AL53" s="7">
        <v>1</v>
      </c>
      <c r="AM53" s="7">
        <v>0</v>
      </c>
      <c r="AN53" s="7">
        <v>1</v>
      </c>
      <c r="AO53" s="7">
        <v>1</v>
      </c>
      <c r="AP53" s="7">
        <v>1</v>
      </c>
    </row>
    <row r="54" spans="1:42" x14ac:dyDescent="0.3">
      <c r="A54" s="98" t="s">
        <v>17</v>
      </c>
      <c r="B54" s="101">
        <v>5</v>
      </c>
      <c r="C54" s="1"/>
      <c r="D54" s="1"/>
      <c r="E54" s="1"/>
      <c r="F54" s="1"/>
      <c r="G54" s="1"/>
      <c r="H54" s="1"/>
      <c r="K54" s="22">
        <v>50</v>
      </c>
      <c r="L54" s="24" t="s">
        <v>34</v>
      </c>
      <c r="M54" s="24" t="s">
        <v>24</v>
      </c>
      <c r="N54" s="24" t="s">
        <v>27</v>
      </c>
      <c r="O54" s="24" t="s">
        <v>17</v>
      </c>
      <c r="P54" s="24" t="s">
        <v>21</v>
      </c>
      <c r="Q54" s="24" t="s">
        <v>28</v>
      </c>
      <c r="R54" s="24" t="s">
        <v>28</v>
      </c>
      <c r="T54" s="8">
        <f t="shared" si="9"/>
        <v>4</v>
      </c>
      <c r="U54" s="8">
        <f t="shared" si="10"/>
        <v>8</v>
      </c>
      <c r="V54" s="8">
        <f t="shared" si="11"/>
        <v>10</v>
      </c>
      <c r="W54" s="8">
        <f t="shared" si="12"/>
        <v>4</v>
      </c>
      <c r="X54" s="8">
        <f t="shared" si="13"/>
        <v>3</v>
      </c>
      <c r="Y54" s="8">
        <f t="shared" si="14"/>
        <v>11</v>
      </c>
      <c r="Z54" s="8">
        <f t="shared" si="15"/>
        <v>11</v>
      </c>
      <c r="AB54" s="25">
        <v>5</v>
      </c>
      <c r="AC54" s="25">
        <v>5</v>
      </c>
      <c r="AD54" s="25">
        <v>5</v>
      </c>
      <c r="AE54" s="25">
        <v>5</v>
      </c>
      <c r="AF54" s="25">
        <v>5</v>
      </c>
      <c r="AG54" s="25">
        <v>5</v>
      </c>
      <c r="AH54" s="25">
        <v>5</v>
      </c>
      <c r="AJ54" s="7">
        <v>1</v>
      </c>
      <c r="AK54" s="7">
        <v>1</v>
      </c>
      <c r="AL54" s="7">
        <v>1</v>
      </c>
      <c r="AM54" s="7">
        <v>2</v>
      </c>
      <c r="AN54" s="7">
        <v>1</v>
      </c>
      <c r="AO54" s="7">
        <v>1</v>
      </c>
      <c r="AP54" s="7">
        <v>1</v>
      </c>
    </row>
    <row r="55" spans="1:42" x14ac:dyDescent="0.3">
      <c r="A55" s="98" t="s">
        <v>18</v>
      </c>
      <c r="B55" s="101">
        <v>8</v>
      </c>
      <c r="C55" s="1"/>
      <c r="D55" s="1"/>
      <c r="E55" s="1"/>
      <c r="F55" s="1"/>
      <c r="G55" s="1"/>
      <c r="H55" s="1"/>
      <c r="K55" s="21">
        <v>51</v>
      </c>
      <c r="L55" s="24" t="s">
        <v>74</v>
      </c>
      <c r="M55" s="24" t="s">
        <v>19</v>
      </c>
      <c r="N55" s="24" t="s">
        <v>19</v>
      </c>
      <c r="O55" s="24" t="s">
        <v>17</v>
      </c>
      <c r="P55" s="24" t="s">
        <v>87</v>
      </c>
      <c r="Q55" s="24" t="s">
        <v>74</v>
      </c>
      <c r="R55" s="24" t="s">
        <v>28</v>
      </c>
      <c r="T55" s="8">
        <f t="shared" si="9"/>
        <v>6</v>
      </c>
      <c r="U55" s="8">
        <f t="shared" si="10"/>
        <v>1</v>
      </c>
      <c r="V55" s="8">
        <f t="shared" si="11"/>
        <v>1</v>
      </c>
      <c r="W55" s="8">
        <f t="shared" si="12"/>
        <v>4</v>
      </c>
      <c r="X55" s="8">
        <f t="shared" si="13"/>
        <v>22</v>
      </c>
      <c r="Y55" s="8">
        <f t="shared" si="14"/>
        <v>6</v>
      </c>
      <c r="Z55" s="8">
        <f t="shared" si="15"/>
        <v>11</v>
      </c>
      <c r="AB55" s="25">
        <v>5</v>
      </c>
      <c r="AC55" s="25">
        <v>0</v>
      </c>
      <c r="AD55" s="25">
        <v>0</v>
      </c>
      <c r="AE55" s="25">
        <v>0</v>
      </c>
      <c r="AF55" s="25">
        <v>0</v>
      </c>
      <c r="AG55" s="25">
        <v>5</v>
      </c>
      <c r="AH55" s="25">
        <v>5</v>
      </c>
      <c r="AJ55" s="7">
        <v>1</v>
      </c>
      <c r="AK55" s="7">
        <v>1</v>
      </c>
      <c r="AL55" s="7">
        <v>1</v>
      </c>
      <c r="AM55" s="7">
        <v>0</v>
      </c>
      <c r="AN55" s="7">
        <v>2</v>
      </c>
      <c r="AO55" s="7">
        <v>1</v>
      </c>
      <c r="AP55" s="7">
        <v>1</v>
      </c>
    </row>
    <row r="56" spans="1:42" x14ac:dyDescent="0.3">
      <c r="A56" s="98" t="s">
        <v>74</v>
      </c>
      <c r="B56" s="101">
        <v>12</v>
      </c>
      <c r="C56" s="1"/>
      <c r="D56" s="1"/>
      <c r="E56" s="1"/>
      <c r="F56" s="1"/>
      <c r="G56" s="1"/>
      <c r="H56" s="1"/>
      <c r="K56" s="22">
        <v>52</v>
      </c>
      <c r="L56" s="24" t="s">
        <v>74</v>
      </c>
      <c r="M56" s="24" t="s">
        <v>82</v>
      </c>
      <c r="N56" s="24" t="s">
        <v>83</v>
      </c>
      <c r="O56" s="24" t="s">
        <v>27</v>
      </c>
      <c r="P56" s="24" t="s">
        <v>87</v>
      </c>
      <c r="Q56" s="24" t="s">
        <v>27</v>
      </c>
      <c r="R56" s="24" t="s">
        <v>28</v>
      </c>
      <c r="T56" s="8">
        <f t="shared" si="9"/>
        <v>6</v>
      </c>
      <c r="U56" s="8">
        <f t="shared" si="10"/>
        <v>16</v>
      </c>
      <c r="V56" s="8">
        <f t="shared" si="11"/>
        <v>17</v>
      </c>
      <c r="W56" s="8">
        <f t="shared" si="12"/>
        <v>10</v>
      </c>
      <c r="X56" s="8">
        <f t="shared" si="13"/>
        <v>22</v>
      </c>
      <c r="Y56" s="8">
        <f t="shared" si="14"/>
        <v>10</v>
      </c>
      <c r="Z56" s="8">
        <f t="shared" si="15"/>
        <v>11</v>
      </c>
      <c r="AB56" s="25">
        <v>5</v>
      </c>
      <c r="AC56" s="25">
        <v>0</v>
      </c>
      <c r="AD56" s="25">
        <v>0</v>
      </c>
      <c r="AE56" s="25">
        <v>0</v>
      </c>
      <c r="AF56" s="25">
        <v>0</v>
      </c>
      <c r="AG56" s="25">
        <v>5</v>
      </c>
      <c r="AH56" s="25">
        <v>5</v>
      </c>
      <c r="AJ56" s="7">
        <v>1</v>
      </c>
      <c r="AK56" s="7">
        <v>2</v>
      </c>
      <c r="AL56" s="7">
        <v>2</v>
      </c>
      <c r="AM56" s="7">
        <v>1</v>
      </c>
      <c r="AN56" s="7">
        <v>0</v>
      </c>
      <c r="AO56" s="7">
        <v>1</v>
      </c>
      <c r="AP56" s="7">
        <v>1</v>
      </c>
    </row>
    <row r="57" spans="1:42" x14ac:dyDescent="0.3">
      <c r="A57" s="98" t="s">
        <v>170</v>
      </c>
      <c r="B57" s="101">
        <v>10</v>
      </c>
      <c r="C57" s="1"/>
      <c r="D57" s="1"/>
      <c r="E57" s="1"/>
      <c r="F57" s="1"/>
      <c r="G57" s="1"/>
      <c r="H57" s="1"/>
      <c r="K57" s="21">
        <v>53</v>
      </c>
      <c r="L57" s="24" t="s">
        <v>29</v>
      </c>
      <c r="M57" s="24" t="s">
        <v>82</v>
      </c>
      <c r="N57" s="24" t="s">
        <v>83</v>
      </c>
      <c r="O57" s="24" t="s">
        <v>19</v>
      </c>
      <c r="P57" s="24" t="s">
        <v>36</v>
      </c>
      <c r="Q57" s="24" t="s">
        <v>24</v>
      </c>
      <c r="R57" s="24" t="s">
        <v>74</v>
      </c>
      <c r="T57" s="8">
        <f t="shared" si="9"/>
        <v>12</v>
      </c>
      <c r="U57" s="8">
        <f t="shared" si="10"/>
        <v>16</v>
      </c>
      <c r="V57" s="8">
        <f t="shared" si="11"/>
        <v>17</v>
      </c>
      <c r="W57" s="8">
        <f t="shared" si="12"/>
        <v>1</v>
      </c>
      <c r="X57" s="8">
        <f t="shared" si="13"/>
        <v>1</v>
      </c>
      <c r="Y57" s="8">
        <f t="shared" si="14"/>
        <v>8</v>
      </c>
      <c r="Z57" s="8">
        <f t="shared" si="15"/>
        <v>6</v>
      </c>
      <c r="AB57" s="25">
        <v>5</v>
      </c>
      <c r="AC57" s="25">
        <v>0</v>
      </c>
      <c r="AD57" s="25">
        <v>0</v>
      </c>
      <c r="AE57" s="25">
        <v>0</v>
      </c>
      <c r="AF57" s="25">
        <v>0</v>
      </c>
      <c r="AG57" s="25">
        <v>5</v>
      </c>
      <c r="AH57" s="25">
        <v>5</v>
      </c>
      <c r="AJ57" s="7">
        <v>1</v>
      </c>
      <c r="AK57" s="7">
        <v>0</v>
      </c>
      <c r="AL57" s="7">
        <v>0</v>
      </c>
      <c r="AM57" s="7">
        <v>1</v>
      </c>
      <c r="AN57" s="7">
        <v>1</v>
      </c>
      <c r="AO57" s="7">
        <v>1</v>
      </c>
      <c r="AP57" s="7">
        <v>1</v>
      </c>
    </row>
    <row r="58" spans="1:42" x14ac:dyDescent="0.3">
      <c r="A58" s="98" t="s">
        <v>171</v>
      </c>
      <c r="B58" s="101">
        <v>10</v>
      </c>
      <c r="C58" s="1"/>
      <c r="D58" s="1"/>
      <c r="E58" s="1"/>
      <c r="F58" s="1"/>
      <c r="G58" s="1"/>
      <c r="H58" s="1"/>
      <c r="K58" s="22">
        <v>54</v>
      </c>
      <c r="L58" s="24" t="s">
        <v>29</v>
      </c>
      <c r="M58" s="24" t="s">
        <v>28</v>
      </c>
      <c r="N58" s="24" t="s">
        <v>18</v>
      </c>
      <c r="O58" s="24" t="s">
        <v>24</v>
      </c>
      <c r="P58" s="24" t="s">
        <v>24</v>
      </c>
      <c r="Q58" s="24" t="s">
        <v>74</v>
      </c>
      <c r="R58" s="24" t="s">
        <v>18</v>
      </c>
      <c r="T58" s="8">
        <f t="shared" si="9"/>
        <v>12</v>
      </c>
      <c r="U58" s="8">
        <f t="shared" si="10"/>
        <v>11</v>
      </c>
      <c r="V58" s="8">
        <f t="shared" si="11"/>
        <v>5</v>
      </c>
      <c r="W58" s="8">
        <f t="shared" si="12"/>
        <v>8</v>
      </c>
      <c r="X58" s="8">
        <f t="shared" si="13"/>
        <v>8</v>
      </c>
      <c r="Y58" s="8">
        <f t="shared" si="14"/>
        <v>6</v>
      </c>
      <c r="Z58" s="8">
        <f t="shared" si="15"/>
        <v>5</v>
      </c>
      <c r="AB58" s="25">
        <v>5</v>
      </c>
      <c r="AC58" s="25">
        <v>0</v>
      </c>
      <c r="AD58" s="25">
        <v>0</v>
      </c>
      <c r="AE58" s="25">
        <v>0</v>
      </c>
      <c r="AF58" s="25">
        <v>1</v>
      </c>
      <c r="AG58" s="25">
        <v>5</v>
      </c>
      <c r="AH58" s="25">
        <v>5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</row>
    <row r="59" spans="1:42" x14ac:dyDescent="0.3">
      <c r="A59" s="103" t="s">
        <v>37</v>
      </c>
      <c r="B59" s="124">
        <v>10</v>
      </c>
      <c r="C59" s="1"/>
      <c r="D59" s="1"/>
      <c r="E59" s="1"/>
      <c r="F59" s="1"/>
      <c r="G59" s="1"/>
      <c r="H59" s="1"/>
      <c r="K59" s="21">
        <v>55</v>
      </c>
      <c r="L59" s="24" t="s">
        <v>34</v>
      </c>
      <c r="M59" s="24" t="s">
        <v>20</v>
      </c>
      <c r="N59" s="24" t="s">
        <v>27</v>
      </c>
      <c r="O59" s="24" t="s">
        <v>74</v>
      </c>
      <c r="P59" s="24" t="s">
        <v>83</v>
      </c>
      <c r="Q59" s="24" t="s">
        <v>17</v>
      </c>
      <c r="R59" s="24" t="s">
        <v>18</v>
      </c>
      <c r="T59" s="8">
        <f t="shared" si="9"/>
        <v>4</v>
      </c>
      <c r="U59" s="8">
        <f t="shared" si="10"/>
        <v>2</v>
      </c>
      <c r="V59" s="8">
        <f t="shared" si="11"/>
        <v>10</v>
      </c>
      <c r="W59" s="8">
        <f t="shared" si="12"/>
        <v>6</v>
      </c>
      <c r="X59" s="8">
        <f t="shared" si="13"/>
        <v>17</v>
      </c>
      <c r="Y59" s="8">
        <f t="shared" si="14"/>
        <v>4</v>
      </c>
      <c r="Z59" s="8">
        <f t="shared" si="15"/>
        <v>5</v>
      </c>
      <c r="AB59" s="25">
        <v>5</v>
      </c>
      <c r="AC59" s="25">
        <v>5</v>
      </c>
      <c r="AD59" s="25">
        <v>5</v>
      </c>
      <c r="AE59" s="25">
        <v>5</v>
      </c>
      <c r="AF59" s="25">
        <v>6</v>
      </c>
      <c r="AG59" s="25">
        <v>5</v>
      </c>
      <c r="AH59" s="25">
        <v>5</v>
      </c>
      <c r="AJ59" s="7">
        <v>1</v>
      </c>
      <c r="AK59" s="7">
        <v>1</v>
      </c>
      <c r="AL59" s="7">
        <v>1</v>
      </c>
      <c r="AM59" s="7">
        <v>2</v>
      </c>
      <c r="AN59" s="7">
        <v>2</v>
      </c>
      <c r="AO59" s="7">
        <v>1</v>
      </c>
      <c r="AP59" s="7">
        <v>1</v>
      </c>
    </row>
    <row r="60" spans="1:42" x14ac:dyDescent="0.3">
      <c r="A60" s="103" t="s">
        <v>38</v>
      </c>
      <c r="B60" s="124">
        <v>10</v>
      </c>
      <c r="C60" s="1"/>
      <c r="D60" s="1"/>
      <c r="E60" s="1"/>
      <c r="F60" s="1"/>
      <c r="G60" s="1"/>
      <c r="H60" s="1"/>
      <c r="K60" s="22">
        <v>56</v>
      </c>
      <c r="L60" s="24" t="s">
        <v>26</v>
      </c>
      <c r="M60" s="24" t="s">
        <v>87</v>
      </c>
      <c r="N60" s="24" t="s">
        <v>27</v>
      </c>
      <c r="O60" s="24" t="s">
        <v>74</v>
      </c>
      <c r="P60" s="24" t="s">
        <v>83</v>
      </c>
      <c r="Q60" s="24" t="s">
        <v>18</v>
      </c>
      <c r="R60" s="24" t="s">
        <v>24</v>
      </c>
      <c r="T60" s="8">
        <f t="shared" si="9"/>
        <v>9</v>
      </c>
      <c r="U60" s="8">
        <f t="shared" si="10"/>
        <v>22</v>
      </c>
      <c r="V60" s="8">
        <f t="shared" si="11"/>
        <v>10</v>
      </c>
      <c r="W60" s="8">
        <f t="shared" si="12"/>
        <v>6</v>
      </c>
      <c r="X60" s="8">
        <f t="shared" si="13"/>
        <v>17</v>
      </c>
      <c r="Y60" s="8">
        <f t="shared" si="14"/>
        <v>5</v>
      </c>
      <c r="Z60" s="8">
        <f t="shared" si="15"/>
        <v>8</v>
      </c>
      <c r="AB60" s="25">
        <v>5</v>
      </c>
      <c r="AC60" s="25">
        <v>0</v>
      </c>
      <c r="AD60" s="25">
        <v>0</v>
      </c>
      <c r="AE60" s="25">
        <v>0</v>
      </c>
      <c r="AF60" s="25">
        <v>0</v>
      </c>
      <c r="AG60" s="25">
        <v>5</v>
      </c>
      <c r="AH60" s="25">
        <v>5</v>
      </c>
      <c r="AJ60" s="7">
        <v>1</v>
      </c>
      <c r="AK60" s="7">
        <v>2</v>
      </c>
      <c r="AL60" s="7">
        <v>1</v>
      </c>
      <c r="AM60" s="7">
        <v>0</v>
      </c>
      <c r="AN60" s="7">
        <v>0</v>
      </c>
      <c r="AO60" s="7">
        <v>1</v>
      </c>
      <c r="AP60" s="7">
        <v>1</v>
      </c>
    </row>
    <row r="61" spans="1:42" x14ac:dyDescent="0.3">
      <c r="A61" s="103" t="s">
        <v>39</v>
      </c>
      <c r="B61" s="124">
        <v>10</v>
      </c>
      <c r="C61" s="1"/>
      <c r="D61" s="1"/>
      <c r="E61" s="1"/>
      <c r="F61" s="1"/>
      <c r="G61" s="1"/>
      <c r="H61" s="1"/>
      <c r="K61" s="21">
        <v>57</v>
      </c>
      <c r="L61" s="24" t="s">
        <v>27</v>
      </c>
      <c r="M61" s="24" t="s">
        <v>87</v>
      </c>
      <c r="N61" s="24" t="s">
        <v>19</v>
      </c>
      <c r="O61" s="24" t="s">
        <v>19</v>
      </c>
      <c r="P61" s="24" t="s">
        <v>21</v>
      </c>
      <c r="Q61" s="24" t="s">
        <v>28</v>
      </c>
      <c r="R61" s="24" t="s">
        <v>29</v>
      </c>
      <c r="T61" s="8">
        <f t="shared" si="9"/>
        <v>10</v>
      </c>
      <c r="U61" s="8">
        <f t="shared" si="10"/>
        <v>22</v>
      </c>
      <c r="V61" s="8">
        <f t="shared" si="11"/>
        <v>1</v>
      </c>
      <c r="W61" s="8">
        <f t="shared" si="12"/>
        <v>1</v>
      </c>
      <c r="X61" s="8">
        <f t="shared" si="13"/>
        <v>3</v>
      </c>
      <c r="Y61" s="8">
        <f t="shared" si="14"/>
        <v>11</v>
      </c>
      <c r="Z61" s="8">
        <f t="shared" si="15"/>
        <v>12</v>
      </c>
      <c r="AB61" s="25">
        <v>5</v>
      </c>
      <c r="AC61" s="25">
        <v>0</v>
      </c>
      <c r="AD61" s="25">
        <v>0</v>
      </c>
      <c r="AE61" s="25">
        <v>0</v>
      </c>
      <c r="AF61" s="25">
        <v>0</v>
      </c>
      <c r="AG61" s="25">
        <v>5</v>
      </c>
      <c r="AH61" s="25">
        <v>5</v>
      </c>
      <c r="AJ61" s="7">
        <v>1</v>
      </c>
      <c r="AK61" s="7">
        <v>0</v>
      </c>
      <c r="AL61" s="7">
        <v>1</v>
      </c>
      <c r="AM61" s="7">
        <v>1</v>
      </c>
      <c r="AN61" s="7">
        <v>2</v>
      </c>
      <c r="AO61" s="7">
        <v>1</v>
      </c>
      <c r="AP61" s="7">
        <v>1</v>
      </c>
    </row>
    <row r="62" spans="1:42" ht="16.8" thickBot="1" x14ac:dyDescent="0.35">
      <c r="A62" s="104" t="s">
        <v>40</v>
      </c>
      <c r="B62" s="125">
        <v>10</v>
      </c>
      <c r="C62" s="1"/>
      <c r="D62" s="1"/>
      <c r="E62" s="1"/>
      <c r="F62" s="1"/>
      <c r="G62" s="1"/>
      <c r="H62" s="1"/>
      <c r="K62" s="22">
        <v>58</v>
      </c>
      <c r="L62" s="24" t="s">
        <v>27</v>
      </c>
      <c r="M62" s="24" t="s">
        <v>19</v>
      </c>
      <c r="N62" s="24" t="s">
        <v>74</v>
      </c>
      <c r="O62" s="24" t="s">
        <v>82</v>
      </c>
      <c r="P62" s="24" t="s">
        <v>21</v>
      </c>
      <c r="Q62" s="24" t="s">
        <v>74</v>
      </c>
      <c r="R62" s="24" t="s">
        <v>17</v>
      </c>
      <c r="T62" s="8">
        <f t="shared" si="9"/>
        <v>10</v>
      </c>
      <c r="U62" s="8">
        <f t="shared" si="10"/>
        <v>1</v>
      </c>
      <c r="V62" s="8">
        <f t="shared" si="11"/>
        <v>6</v>
      </c>
      <c r="W62" s="8">
        <f t="shared" si="12"/>
        <v>16</v>
      </c>
      <c r="X62" s="8">
        <f t="shared" si="13"/>
        <v>3</v>
      </c>
      <c r="Y62" s="8">
        <f t="shared" si="14"/>
        <v>6</v>
      </c>
      <c r="Z62" s="8">
        <f t="shared" si="15"/>
        <v>4</v>
      </c>
      <c r="AB62" s="25">
        <v>5</v>
      </c>
      <c r="AC62" s="25">
        <v>0</v>
      </c>
      <c r="AD62" s="25">
        <v>0</v>
      </c>
      <c r="AE62" s="25">
        <v>0</v>
      </c>
      <c r="AF62" s="25">
        <v>0</v>
      </c>
      <c r="AG62" s="25">
        <v>5</v>
      </c>
      <c r="AH62" s="25">
        <v>5</v>
      </c>
      <c r="AJ62" s="7">
        <v>1</v>
      </c>
      <c r="AK62" s="7">
        <v>1</v>
      </c>
      <c r="AL62" s="7">
        <v>1</v>
      </c>
      <c r="AM62" s="7">
        <v>2</v>
      </c>
      <c r="AN62" s="7">
        <v>0</v>
      </c>
      <c r="AO62" s="7">
        <v>1</v>
      </c>
      <c r="AP62" s="7">
        <v>1</v>
      </c>
    </row>
    <row r="63" spans="1:42" ht="16.8" thickBot="1" x14ac:dyDescent="0.35">
      <c r="A63" s="1"/>
      <c r="B63" s="1"/>
      <c r="C63" s="1"/>
      <c r="D63" s="1"/>
      <c r="E63" s="1"/>
      <c r="F63" s="1"/>
      <c r="G63" s="1"/>
      <c r="H63" s="1"/>
      <c r="K63" s="21">
        <v>59</v>
      </c>
      <c r="L63" s="24" t="s">
        <v>21</v>
      </c>
      <c r="M63" s="24" t="s">
        <v>24</v>
      </c>
      <c r="N63" s="24" t="s">
        <v>24</v>
      </c>
      <c r="O63" s="24" t="s">
        <v>82</v>
      </c>
      <c r="P63" s="24" t="s">
        <v>27</v>
      </c>
      <c r="Q63" s="24" t="s">
        <v>27</v>
      </c>
      <c r="R63" s="24" t="s">
        <v>20</v>
      </c>
      <c r="T63" s="8">
        <f t="shared" si="9"/>
        <v>3</v>
      </c>
      <c r="U63" s="8">
        <f t="shared" si="10"/>
        <v>8</v>
      </c>
      <c r="V63" s="8">
        <f t="shared" si="11"/>
        <v>8</v>
      </c>
      <c r="W63" s="8">
        <f t="shared" si="12"/>
        <v>16</v>
      </c>
      <c r="X63" s="8">
        <f t="shared" si="13"/>
        <v>10</v>
      </c>
      <c r="Y63" s="8">
        <f t="shared" si="14"/>
        <v>10</v>
      </c>
      <c r="Z63" s="8">
        <f t="shared" si="15"/>
        <v>2</v>
      </c>
      <c r="AB63" s="25">
        <v>5</v>
      </c>
      <c r="AC63" s="25">
        <v>0</v>
      </c>
      <c r="AD63" s="25">
        <v>0</v>
      </c>
      <c r="AE63" s="25">
        <v>0</v>
      </c>
      <c r="AF63" s="25">
        <v>0</v>
      </c>
      <c r="AG63" s="25">
        <v>5</v>
      </c>
      <c r="AH63" s="25">
        <v>5</v>
      </c>
      <c r="AJ63" s="7">
        <v>1</v>
      </c>
      <c r="AK63" s="7">
        <v>1</v>
      </c>
      <c r="AL63" s="7">
        <v>1</v>
      </c>
      <c r="AM63" s="7">
        <v>0</v>
      </c>
      <c r="AN63" s="7">
        <v>1</v>
      </c>
      <c r="AO63" s="7">
        <v>1</v>
      </c>
      <c r="AP63" s="7">
        <v>1</v>
      </c>
    </row>
    <row r="64" spans="1:42" ht="16.8" thickBot="1" x14ac:dyDescent="0.35">
      <c r="A64" s="115" t="s">
        <v>177</v>
      </c>
      <c r="B64" s="116" t="s">
        <v>51</v>
      </c>
      <c r="C64" s="1"/>
      <c r="D64" s="1"/>
      <c r="E64" s="1"/>
      <c r="F64" s="1"/>
      <c r="G64" s="1"/>
      <c r="H64" s="1"/>
      <c r="K64" s="22">
        <v>60</v>
      </c>
      <c r="L64" s="24" t="s">
        <v>32</v>
      </c>
      <c r="M64" s="24" t="s">
        <v>35</v>
      </c>
      <c r="N64" s="24" t="s">
        <v>32</v>
      </c>
      <c r="O64" s="24" t="s">
        <v>32</v>
      </c>
      <c r="P64" s="24" t="s">
        <v>81</v>
      </c>
      <c r="Q64" s="24" t="s">
        <v>24</v>
      </c>
      <c r="R64" s="24" t="s">
        <v>20</v>
      </c>
      <c r="T64" s="8">
        <f t="shared" ref="T64:T123" si="16">VLOOKUP(L64, $A$4:$I$29, 9, 0)</f>
        <v>2</v>
      </c>
      <c r="U64" s="8">
        <f t="shared" ref="U64:U123" si="17">VLOOKUP(M64, $A$4:$I$29, 9, 0)</f>
        <v>5</v>
      </c>
      <c r="V64" s="8">
        <f t="shared" ref="V64:V123" si="18">VLOOKUP(N64, $A$4:$I$29, 9, 0)</f>
        <v>2</v>
      </c>
      <c r="W64" s="8">
        <f t="shared" ref="W64:W123" si="19">VLOOKUP(O64, $A$4:$I$29, 9, 0)</f>
        <v>2</v>
      </c>
      <c r="X64" s="8">
        <f t="shared" ref="X64:X123" si="20">VLOOKUP(P64, $A$4:$I$29, 9, 0)</f>
        <v>15</v>
      </c>
      <c r="Y64" s="8">
        <f t="shared" ref="Y64:Y123" si="21">VLOOKUP(Q64, $A$4:$I$29, 9, 0)</f>
        <v>8</v>
      </c>
      <c r="Z64" s="8">
        <f t="shared" ref="Z64:Z123" si="22">VLOOKUP(R64, $A$4:$I$29, 9, 0)</f>
        <v>2</v>
      </c>
      <c r="AB64" s="25">
        <v>5</v>
      </c>
      <c r="AC64" s="25">
        <v>5</v>
      </c>
      <c r="AD64" s="25">
        <v>5</v>
      </c>
      <c r="AE64" s="25">
        <v>5</v>
      </c>
      <c r="AF64" s="25">
        <v>6</v>
      </c>
      <c r="AG64" s="25">
        <v>5</v>
      </c>
      <c r="AH64" s="25">
        <v>5</v>
      </c>
      <c r="AJ64" s="7">
        <v>1</v>
      </c>
      <c r="AK64" s="7">
        <v>3</v>
      </c>
      <c r="AL64" s="7">
        <v>1</v>
      </c>
      <c r="AM64" s="7">
        <v>1</v>
      </c>
      <c r="AN64" s="7">
        <v>3</v>
      </c>
      <c r="AO64" s="7">
        <v>1</v>
      </c>
      <c r="AP64" s="7">
        <v>1</v>
      </c>
    </row>
    <row r="65" spans="1:42" x14ac:dyDescent="0.3">
      <c r="A65" s="117">
        <v>0</v>
      </c>
      <c r="B65" s="107">
        <v>1000</v>
      </c>
      <c r="C65" s="1"/>
      <c r="D65" s="1"/>
      <c r="E65" s="1"/>
      <c r="F65" s="1"/>
      <c r="G65" s="1"/>
      <c r="H65" s="1"/>
      <c r="K65" s="21">
        <v>61</v>
      </c>
      <c r="L65" s="24" t="s">
        <v>26</v>
      </c>
      <c r="M65" s="24" t="s">
        <v>35</v>
      </c>
      <c r="N65" s="24" t="s">
        <v>34</v>
      </c>
      <c r="O65" s="24" t="s">
        <v>80</v>
      </c>
      <c r="P65" s="24" t="s">
        <v>81</v>
      </c>
      <c r="Q65" s="24" t="s">
        <v>26</v>
      </c>
      <c r="R65" s="24" t="s">
        <v>24</v>
      </c>
      <c r="T65" s="8">
        <f t="shared" si="16"/>
        <v>9</v>
      </c>
      <c r="U65" s="8">
        <f t="shared" si="17"/>
        <v>5</v>
      </c>
      <c r="V65" s="8">
        <f t="shared" si="18"/>
        <v>4</v>
      </c>
      <c r="W65" s="8">
        <f t="shared" si="19"/>
        <v>14</v>
      </c>
      <c r="X65" s="8">
        <f t="shared" si="20"/>
        <v>15</v>
      </c>
      <c r="Y65" s="8">
        <f t="shared" si="21"/>
        <v>9</v>
      </c>
      <c r="Z65" s="8">
        <f t="shared" si="22"/>
        <v>8</v>
      </c>
      <c r="AB65" s="25">
        <v>5</v>
      </c>
      <c r="AC65" s="25">
        <v>0</v>
      </c>
      <c r="AD65" s="25">
        <v>0</v>
      </c>
      <c r="AE65" s="25">
        <v>0</v>
      </c>
      <c r="AF65" s="25">
        <v>0</v>
      </c>
      <c r="AG65" s="25">
        <v>5</v>
      </c>
      <c r="AH65" s="25">
        <v>5</v>
      </c>
      <c r="AJ65" s="7">
        <v>1</v>
      </c>
      <c r="AK65" s="7">
        <v>0</v>
      </c>
      <c r="AL65" s="7">
        <v>3</v>
      </c>
      <c r="AM65" s="7">
        <v>3</v>
      </c>
      <c r="AN65" s="7">
        <v>0</v>
      </c>
      <c r="AO65" s="7">
        <v>1</v>
      </c>
      <c r="AP65" s="7">
        <v>1</v>
      </c>
    </row>
    <row r="66" spans="1:42" x14ac:dyDescent="0.3">
      <c r="A66" s="118">
        <v>1</v>
      </c>
      <c r="B66" s="108">
        <v>120</v>
      </c>
      <c r="C66" s="1"/>
      <c r="D66" s="1"/>
      <c r="E66" s="1"/>
      <c r="F66" s="1"/>
      <c r="G66" s="1"/>
      <c r="H66" s="1"/>
      <c r="K66" s="22">
        <v>62</v>
      </c>
      <c r="L66" s="24" t="s">
        <v>27</v>
      </c>
      <c r="M66" s="24" t="s">
        <v>35</v>
      </c>
      <c r="N66" s="24" t="s">
        <v>34</v>
      </c>
      <c r="O66" s="24" t="s">
        <v>80</v>
      </c>
      <c r="P66" s="24" t="s">
        <v>81</v>
      </c>
      <c r="Q66" s="24" t="s">
        <v>18</v>
      </c>
      <c r="R66" s="24" t="s">
        <v>24</v>
      </c>
      <c r="T66" s="8">
        <f t="shared" si="16"/>
        <v>10</v>
      </c>
      <c r="U66" s="8">
        <f t="shared" si="17"/>
        <v>5</v>
      </c>
      <c r="V66" s="8">
        <f t="shared" si="18"/>
        <v>4</v>
      </c>
      <c r="W66" s="8">
        <f t="shared" si="19"/>
        <v>14</v>
      </c>
      <c r="X66" s="8">
        <f t="shared" si="20"/>
        <v>15</v>
      </c>
      <c r="Y66" s="8">
        <f t="shared" si="21"/>
        <v>5</v>
      </c>
      <c r="Z66" s="8">
        <f t="shared" si="22"/>
        <v>8</v>
      </c>
      <c r="AB66" s="25">
        <v>5</v>
      </c>
      <c r="AC66" s="25">
        <v>0</v>
      </c>
      <c r="AD66" s="25">
        <v>0</v>
      </c>
      <c r="AE66" s="25">
        <v>0</v>
      </c>
      <c r="AF66" s="25">
        <v>0</v>
      </c>
      <c r="AG66" s="25">
        <v>5</v>
      </c>
      <c r="AH66" s="25">
        <v>5</v>
      </c>
      <c r="AJ66" s="7">
        <v>1</v>
      </c>
      <c r="AK66" s="7">
        <v>0</v>
      </c>
      <c r="AL66" s="7">
        <v>0</v>
      </c>
      <c r="AM66" s="7">
        <v>0</v>
      </c>
      <c r="AN66" s="7">
        <v>0</v>
      </c>
      <c r="AO66" s="7">
        <v>1</v>
      </c>
      <c r="AP66" s="7">
        <v>1</v>
      </c>
    </row>
    <row r="67" spans="1:42" x14ac:dyDescent="0.3">
      <c r="A67" s="118">
        <v>2</v>
      </c>
      <c r="B67" s="108">
        <v>20</v>
      </c>
      <c r="C67" s="1"/>
      <c r="D67" s="1"/>
      <c r="E67" s="1"/>
      <c r="F67" s="1"/>
      <c r="G67" s="1"/>
      <c r="H67" s="1"/>
      <c r="K67" s="21">
        <v>63</v>
      </c>
      <c r="L67" s="24" t="s">
        <v>27</v>
      </c>
      <c r="M67" s="24" t="s">
        <v>33</v>
      </c>
      <c r="N67" s="24" t="s">
        <v>34</v>
      </c>
      <c r="O67" s="24" t="s">
        <v>80</v>
      </c>
      <c r="P67" s="24" t="s">
        <v>83</v>
      </c>
      <c r="Q67" s="24" t="s">
        <v>28</v>
      </c>
      <c r="R67" s="24" t="s">
        <v>24</v>
      </c>
      <c r="T67" s="8">
        <f t="shared" si="16"/>
        <v>10</v>
      </c>
      <c r="U67" s="8">
        <f t="shared" si="17"/>
        <v>3</v>
      </c>
      <c r="V67" s="8">
        <f t="shared" si="18"/>
        <v>4</v>
      </c>
      <c r="W67" s="8">
        <f t="shared" si="19"/>
        <v>14</v>
      </c>
      <c r="X67" s="8">
        <f t="shared" si="20"/>
        <v>17</v>
      </c>
      <c r="Y67" s="8">
        <f t="shared" si="21"/>
        <v>11</v>
      </c>
      <c r="Z67" s="8">
        <f t="shared" si="22"/>
        <v>8</v>
      </c>
      <c r="AB67" s="25">
        <v>5</v>
      </c>
      <c r="AC67" s="25">
        <v>0</v>
      </c>
      <c r="AD67" s="25">
        <v>0</v>
      </c>
      <c r="AE67" s="25">
        <v>0</v>
      </c>
      <c r="AF67" s="25">
        <v>0</v>
      </c>
      <c r="AG67" s="25">
        <v>5</v>
      </c>
      <c r="AH67" s="25">
        <v>5</v>
      </c>
      <c r="AJ67" s="7">
        <v>1</v>
      </c>
      <c r="AK67" s="7">
        <v>2</v>
      </c>
      <c r="AL67" s="7">
        <v>0</v>
      </c>
      <c r="AM67" s="7">
        <v>0</v>
      </c>
      <c r="AN67" s="7">
        <v>2</v>
      </c>
      <c r="AO67" s="7">
        <v>1</v>
      </c>
      <c r="AP67" s="7">
        <v>1</v>
      </c>
    </row>
    <row r="68" spans="1:42" x14ac:dyDescent="0.3">
      <c r="A68" s="118">
        <v>3</v>
      </c>
      <c r="B68" s="108">
        <v>10</v>
      </c>
      <c r="C68" s="1"/>
      <c r="D68" s="1"/>
      <c r="E68" s="1"/>
      <c r="F68" s="1"/>
      <c r="G68" s="1"/>
      <c r="H68" s="1"/>
      <c r="K68" s="22">
        <v>64</v>
      </c>
      <c r="L68" s="24" t="s">
        <v>29</v>
      </c>
      <c r="M68" s="24" t="s">
        <v>33</v>
      </c>
      <c r="N68" s="24" t="s">
        <v>24</v>
      </c>
      <c r="O68" s="24" t="s">
        <v>26</v>
      </c>
      <c r="P68" s="24" t="s">
        <v>83</v>
      </c>
      <c r="Q68" s="24" t="s">
        <v>29</v>
      </c>
      <c r="R68" s="24" t="s">
        <v>17</v>
      </c>
      <c r="T68" s="8">
        <f t="shared" si="16"/>
        <v>12</v>
      </c>
      <c r="U68" s="8">
        <f t="shared" si="17"/>
        <v>3</v>
      </c>
      <c r="V68" s="8">
        <f t="shared" si="18"/>
        <v>8</v>
      </c>
      <c r="W68" s="8">
        <f t="shared" si="19"/>
        <v>9</v>
      </c>
      <c r="X68" s="8">
        <f t="shared" si="20"/>
        <v>17</v>
      </c>
      <c r="Y68" s="8">
        <f t="shared" si="21"/>
        <v>12</v>
      </c>
      <c r="Z68" s="8">
        <f t="shared" si="22"/>
        <v>4</v>
      </c>
      <c r="AB68" s="25">
        <v>5</v>
      </c>
      <c r="AC68" s="25">
        <v>0</v>
      </c>
      <c r="AD68" s="25">
        <v>0</v>
      </c>
      <c r="AE68" s="25">
        <v>0</v>
      </c>
      <c r="AF68" s="25">
        <v>0</v>
      </c>
      <c r="AG68" s="25">
        <v>5</v>
      </c>
      <c r="AH68" s="25">
        <v>5</v>
      </c>
      <c r="AJ68" s="7">
        <v>1</v>
      </c>
      <c r="AK68" s="7">
        <v>0</v>
      </c>
      <c r="AL68" s="7">
        <v>1</v>
      </c>
      <c r="AM68" s="7">
        <v>1</v>
      </c>
      <c r="AN68" s="7">
        <v>0</v>
      </c>
      <c r="AO68" s="7">
        <v>1</v>
      </c>
      <c r="AP68" s="7">
        <v>1</v>
      </c>
    </row>
    <row r="69" spans="1:42" x14ac:dyDescent="0.3">
      <c r="A69" s="118">
        <v>4</v>
      </c>
      <c r="B69" s="108">
        <v>1</v>
      </c>
      <c r="C69" s="1"/>
      <c r="D69" s="1"/>
      <c r="E69" s="1"/>
      <c r="F69" s="1"/>
      <c r="G69" s="1"/>
      <c r="H69" s="1"/>
      <c r="K69" s="21">
        <v>65</v>
      </c>
      <c r="L69" s="24" t="s">
        <v>32</v>
      </c>
      <c r="M69" s="24" t="s">
        <v>33</v>
      </c>
      <c r="N69" s="24" t="s">
        <v>24</v>
      </c>
      <c r="O69" s="24" t="s">
        <v>27</v>
      </c>
      <c r="P69" s="24" t="s">
        <v>36</v>
      </c>
      <c r="Q69" s="24" t="s">
        <v>29</v>
      </c>
      <c r="R69" s="24" t="s">
        <v>17</v>
      </c>
      <c r="T69" s="8">
        <f t="shared" si="16"/>
        <v>2</v>
      </c>
      <c r="U69" s="8">
        <f t="shared" si="17"/>
        <v>3</v>
      </c>
      <c r="V69" s="8">
        <f t="shared" si="18"/>
        <v>8</v>
      </c>
      <c r="W69" s="8">
        <f t="shared" si="19"/>
        <v>10</v>
      </c>
      <c r="X69" s="8">
        <f t="shared" si="20"/>
        <v>1</v>
      </c>
      <c r="Y69" s="8">
        <f t="shared" si="21"/>
        <v>12</v>
      </c>
      <c r="Z69" s="8">
        <f t="shared" si="22"/>
        <v>4</v>
      </c>
      <c r="AB69" s="25">
        <v>5</v>
      </c>
      <c r="AC69" s="25">
        <v>5</v>
      </c>
      <c r="AD69" s="25">
        <v>5</v>
      </c>
      <c r="AE69" s="25">
        <v>5</v>
      </c>
      <c r="AF69" s="25">
        <v>4</v>
      </c>
      <c r="AG69" s="25">
        <v>5</v>
      </c>
      <c r="AH69" s="25">
        <v>5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</row>
    <row r="70" spans="1:42" x14ac:dyDescent="0.3">
      <c r="A70" s="119">
        <v>5</v>
      </c>
      <c r="B70" s="121">
        <v>0</v>
      </c>
      <c r="C70" s="1"/>
      <c r="D70" s="1"/>
      <c r="E70" s="1"/>
      <c r="F70" s="1"/>
      <c r="G70" s="1"/>
      <c r="H70" s="1"/>
      <c r="K70" s="22">
        <v>66</v>
      </c>
      <c r="L70" s="24" t="s">
        <v>21</v>
      </c>
      <c r="M70" s="24" t="s">
        <v>74</v>
      </c>
      <c r="N70" s="24" t="s">
        <v>28</v>
      </c>
      <c r="O70" s="24" t="s">
        <v>27</v>
      </c>
      <c r="P70" s="24" t="s">
        <v>17</v>
      </c>
      <c r="Q70" s="24" t="s">
        <v>24</v>
      </c>
      <c r="R70" s="24" t="s">
        <v>17</v>
      </c>
      <c r="T70" s="8">
        <f t="shared" si="16"/>
        <v>3</v>
      </c>
      <c r="U70" s="8">
        <f t="shared" si="17"/>
        <v>6</v>
      </c>
      <c r="V70" s="8">
        <f t="shared" si="18"/>
        <v>11</v>
      </c>
      <c r="W70" s="8">
        <f t="shared" si="19"/>
        <v>10</v>
      </c>
      <c r="X70" s="8">
        <f t="shared" si="20"/>
        <v>4</v>
      </c>
      <c r="Y70" s="8">
        <f t="shared" si="21"/>
        <v>8</v>
      </c>
      <c r="Z70" s="8">
        <f t="shared" si="22"/>
        <v>4</v>
      </c>
      <c r="AB70" s="25">
        <v>5</v>
      </c>
      <c r="AC70" s="25">
        <v>0</v>
      </c>
      <c r="AD70" s="25">
        <v>0</v>
      </c>
      <c r="AE70" s="25">
        <v>0</v>
      </c>
      <c r="AF70" s="25">
        <v>1</v>
      </c>
      <c r="AG70" s="25">
        <v>5</v>
      </c>
      <c r="AH70" s="25">
        <v>5</v>
      </c>
      <c r="AJ70" s="7">
        <v>1</v>
      </c>
      <c r="AK70" s="7">
        <v>1</v>
      </c>
      <c r="AL70" s="7">
        <v>1</v>
      </c>
      <c r="AM70" s="7">
        <v>1</v>
      </c>
      <c r="AN70" s="7">
        <v>3</v>
      </c>
      <c r="AO70" s="7">
        <v>1</v>
      </c>
      <c r="AP70" s="7">
        <v>1</v>
      </c>
    </row>
    <row r="71" spans="1:42" x14ac:dyDescent="0.3">
      <c r="A71" s="119">
        <v>6</v>
      </c>
      <c r="B71" s="121">
        <v>0</v>
      </c>
      <c r="C71" s="1"/>
      <c r="D71" s="1"/>
      <c r="E71" s="1"/>
      <c r="F71" s="1"/>
      <c r="G71" s="1"/>
      <c r="H71" s="1"/>
      <c r="K71" s="21">
        <v>67</v>
      </c>
      <c r="L71" s="24" t="s">
        <v>36</v>
      </c>
      <c r="M71" s="24" t="s">
        <v>17</v>
      </c>
      <c r="N71" s="24" t="s">
        <v>28</v>
      </c>
      <c r="O71" s="24" t="s">
        <v>37</v>
      </c>
      <c r="P71" s="24" t="s">
        <v>17</v>
      </c>
      <c r="Q71" s="24" t="s">
        <v>27</v>
      </c>
      <c r="R71" s="24" t="s">
        <v>74</v>
      </c>
      <c r="T71" s="8">
        <f t="shared" si="16"/>
        <v>1</v>
      </c>
      <c r="U71" s="8">
        <f t="shared" si="17"/>
        <v>4</v>
      </c>
      <c r="V71" s="8">
        <f t="shared" si="18"/>
        <v>11</v>
      </c>
      <c r="W71" s="8">
        <f t="shared" si="19"/>
        <v>9</v>
      </c>
      <c r="X71" s="8">
        <f t="shared" si="20"/>
        <v>4</v>
      </c>
      <c r="Y71" s="8">
        <f t="shared" si="21"/>
        <v>10</v>
      </c>
      <c r="Z71" s="8">
        <f t="shared" si="22"/>
        <v>6</v>
      </c>
      <c r="AB71" s="25">
        <v>5</v>
      </c>
      <c r="AC71" s="25">
        <v>0</v>
      </c>
      <c r="AD71" s="25">
        <v>0</v>
      </c>
      <c r="AE71" s="25">
        <v>0</v>
      </c>
      <c r="AF71" s="25">
        <v>0</v>
      </c>
      <c r="AG71" s="25">
        <v>5</v>
      </c>
      <c r="AH71" s="25">
        <v>5</v>
      </c>
      <c r="AJ71" s="7">
        <v>1</v>
      </c>
      <c r="AK71" s="7">
        <v>2</v>
      </c>
      <c r="AL71" s="7">
        <v>1</v>
      </c>
      <c r="AM71" s="7">
        <v>1</v>
      </c>
      <c r="AN71" s="7">
        <v>0</v>
      </c>
      <c r="AO71" s="7">
        <v>1</v>
      </c>
      <c r="AP71" s="7">
        <v>1</v>
      </c>
    </row>
    <row r="72" spans="1:42" ht="16.8" thickBot="1" x14ac:dyDescent="0.35">
      <c r="A72" s="120">
        <v>7</v>
      </c>
      <c r="B72" s="122">
        <v>0</v>
      </c>
      <c r="C72" s="1"/>
      <c r="D72" s="1"/>
      <c r="E72" s="1"/>
      <c r="F72" s="1"/>
      <c r="G72" s="1"/>
      <c r="H72" s="1"/>
      <c r="K72" s="22">
        <v>68</v>
      </c>
      <c r="L72" s="24" t="s">
        <v>152</v>
      </c>
      <c r="M72" s="24" t="s">
        <v>17</v>
      </c>
      <c r="N72" s="24" t="s">
        <v>152</v>
      </c>
      <c r="O72" s="24" t="s">
        <v>36</v>
      </c>
      <c r="P72" s="24" t="s">
        <v>17</v>
      </c>
      <c r="Q72" s="24" t="s">
        <v>18</v>
      </c>
      <c r="R72" s="24" t="s">
        <v>74</v>
      </c>
      <c r="T72" s="8">
        <f t="shared" si="16"/>
        <v>7</v>
      </c>
      <c r="U72" s="8">
        <f t="shared" si="17"/>
        <v>4</v>
      </c>
      <c r="V72" s="8">
        <f t="shared" si="18"/>
        <v>7</v>
      </c>
      <c r="W72" s="8">
        <f t="shared" si="19"/>
        <v>1</v>
      </c>
      <c r="X72" s="8">
        <f t="shared" si="20"/>
        <v>4</v>
      </c>
      <c r="Y72" s="8">
        <f t="shared" si="21"/>
        <v>5</v>
      </c>
      <c r="Z72" s="8">
        <f t="shared" si="22"/>
        <v>6</v>
      </c>
      <c r="AB72" s="25">
        <v>5</v>
      </c>
      <c r="AC72" s="25">
        <v>0</v>
      </c>
      <c r="AD72" s="25">
        <v>0</v>
      </c>
      <c r="AE72" s="25">
        <v>0</v>
      </c>
      <c r="AF72" s="25">
        <v>0</v>
      </c>
      <c r="AG72" s="25">
        <v>5</v>
      </c>
      <c r="AH72" s="25">
        <v>5</v>
      </c>
      <c r="AJ72" s="7">
        <v>1</v>
      </c>
      <c r="AK72" s="7">
        <v>0</v>
      </c>
      <c r="AL72" s="7">
        <v>1</v>
      </c>
      <c r="AM72" s="7">
        <v>2</v>
      </c>
      <c r="AN72" s="7">
        <v>0</v>
      </c>
      <c r="AO72" s="7">
        <v>1</v>
      </c>
      <c r="AP72" s="7">
        <v>1</v>
      </c>
    </row>
    <row r="73" spans="1:42" x14ac:dyDescent="0.3">
      <c r="A73" s="1"/>
      <c r="B73" s="1"/>
      <c r="C73" s="1"/>
      <c r="D73" s="1"/>
      <c r="E73" s="1"/>
      <c r="F73" s="1"/>
      <c r="G73" s="1"/>
      <c r="H73" s="1"/>
      <c r="K73" s="21">
        <v>69</v>
      </c>
      <c r="L73" s="24" t="s">
        <v>29</v>
      </c>
      <c r="M73" s="24" t="s">
        <v>24</v>
      </c>
      <c r="N73" s="24" t="s">
        <v>21</v>
      </c>
      <c r="O73" s="24" t="s">
        <v>36</v>
      </c>
      <c r="P73" s="24" t="s">
        <v>32</v>
      </c>
      <c r="Q73" s="24" t="s">
        <v>24</v>
      </c>
      <c r="R73" s="24" t="s">
        <v>74</v>
      </c>
      <c r="T73" s="8">
        <f t="shared" si="16"/>
        <v>12</v>
      </c>
      <c r="U73" s="8">
        <f t="shared" si="17"/>
        <v>8</v>
      </c>
      <c r="V73" s="8">
        <f t="shared" si="18"/>
        <v>3</v>
      </c>
      <c r="W73" s="8">
        <f t="shared" si="19"/>
        <v>1</v>
      </c>
      <c r="X73" s="8">
        <f t="shared" si="20"/>
        <v>2</v>
      </c>
      <c r="Y73" s="8">
        <f t="shared" si="21"/>
        <v>8</v>
      </c>
      <c r="Z73" s="8">
        <f t="shared" si="22"/>
        <v>6</v>
      </c>
      <c r="AB73" s="25">
        <v>5</v>
      </c>
      <c r="AC73" s="25">
        <v>0</v>
      </c>
      <c r="AD73" s="25">
        <v>0</v>
      </c>
      <c r="AE73" s="25">
        <v>0</v>
      </c>
      <c r="AF73" s="25">
        <v>1</v>
      </c>
      <c r="AG73" s="25">
        <v>5</v>
      </c>
      <c r="AH73" s="25">
        <v>5</v>
      </c>
      <c r="AJ73" s="7">
        <v>1</v>
      </c>
      <c r="AK73" s="7">
        <v>1</v>
      </c>
      <c r="AL73" s="7">
        <v>1</v>
      </c>
      <c r="AM73" s="7">
        <v>0</v>
      </c>
      <c r="AN73" s="7">
        <v>1</v>
      </c>
      <c r="AO73" s="7">
        <v>1</v>
      </c>
      <c r="AP73" s="7">
        <v>1</v>
      </c>
    </row>
    <row r="74" spans="1:42" x14ac:dyDescent="0.3">
      <c r="A74" s="1"/>
      <c r="B74" s="1"/>
      <c r="C74" s="1"/>
      <c r="D74" s="1"/>
      <c r="E74" s="1"/>
      <c r="F74" s="1"/>
      <c r="G74" s="1"/>
      <c r="H74" s="1"/>
      <c r="K74" s="22">
        <v>70</v>
      </c>
      <c r="L74" s="24" t="s">
        <v>39</v>
      </c>
      <c r="M74" s="24" t="s">
        <v>24</v>
      </c>
      <c r="N74" s="24" t="s">
        <v>27</v>
      </c>
      <c r="O74" s="24" t="s">
        <v>17</v>
      </c>
      <c r="P74" s="24" t="s">
        <v>21</v>
      </c>
      <c r="Q74" s="24" t="s">
        <v>32</v>
      </c>
      <c r="R74" s="24" t="s">
        <v>28</v>
      </c>
      <c r="T74" s="8">
        <f t="shared" si="16"/>
        <v>11</v>
      </c>
      <c r="U74" s="8">
        <f t="shared" si="17"/>
        <v>8</v>
      </c>
      <c r="V74" s="8">
        <f t="shared" si="18"/>
        <v>10</v>
      </c>
      <c r="W74" s="8">
        <f t="shared" si="19"/>
        <v>4</v>
      </c>
      <c r="X74" s="8">
        <f t="shared" si="20"/>
        <v>3</v>
      </c>
      <c r="Y74" s="8">
        <f t="shared" si="21"/>
        <v>2</v>
      </c>
      <c r="Z74" s="8">
        <f t="shared" si="22"/>
        <v>11</v>
      </c>
      <c r="AB74" s="25">
        <v>5</v>
      </c>
      <c r="AC74" s="25">
        <v>5</v>
      </c>
      <c r="AD74" s="25">
        <v>5</v>
      </c>
      <c r="AE74" s="25">
        <v>5</v>
      </c>
      <c r="AF74" s="25">
        <v>5</v>
      </c>
      <c r="AG74" s="25">
        <v>5</v>
      </c>
      <c r="AH74" s="25">
        <v>5</v>
      </c>
      <c r="AJ74" s="7">
        <v>1</v>
      </c>
      <c r="AK74" s="7">
        <v>1</v>
      </c>
      <c r="AL74" s="7">
        <v>1</v>
      </c>
      <c r="AM74" s="7">
        <v>2</v>
      </c>
      <c r="AN74" s="7">
        <v>1</v>
      </c>
      <c r="AO74" s="7">
        <v>1</v>
      </c>
      <c r="AP74" s="7">
        <v>1</v>
      </c>
    </row>
    <row r="75" spans="1:42" x14ac:dyDescent="0.3">
      <c r="A75" s="1"/>
      <c r="B75" s="1"/>
      <c r="C75" s="1"/>
      <c r="D75" s="1"/>
      <c r="E75" s="1"/>
      <c r="F75" s="1"/>
      <c r="G75" s="1"/>
      <c r="H75" s="1"/>
      <c r="K75" s="21">
        <v>71</v>
      </c>
      <c r="L75" s="24" t="s">
        <v>74</v>
      </c>
      <c r="M75" s="24" t="s">
        <v>19</v>
      </c>
      <c r="N75" s="24" t="s">
        <v>152</v>
      </c>
      <c r="O75" s="24" t="s">
        <v>17</v>
      </c>
      <c r="P75" s="24" t="s">
        <v>87</v>
      </c>
      <c r="Q75" s="24" t="s">
        <v>74</v>
      </c>
      <c r="R75" s="24" t="s">
        <v>28</v>
      </c>
      <c r="T75" s="8">
        <f t="shared" si="16"/>
        <v>6</v>
      </c>
      <c r="U75" s="8">
        <f t="shared" si="17"/>
        <v>1</v>
      </c>
      <c r="V75" s="8">
        <f t="shared" si="18"/>
        <v>7</v>
      </c>
      <c r="W75" s="8">
        <f t="shared" si="19"/>
        <v>4</v>
      </c>
      <c r="X75" s="8">
        <f t="shared" si="20"/>
        <v>22</v>
      </c>
      <c r="Y75" s="8">
        <f t="shared" si="21"/>
        <v>6</v>
      </c>
      <c r="Z75" s="8">
        <f t="shared" si="22"/>
        <v>11</v>
      </c>
      <c r="AB75" s="25">
        <v>5</v>
      </c>
      <c r="AC75" s="25">
        <v>0</v>
      </c>
      <c r="AD75" s="25">
        <v>0</v>
      </c>
      <c r="AE75" s="25">
        <v>0</v>
      </c>
      <c r="AF75" s="25">
        <v>0</v>
      </c>
      <c r="AG75" s="25">
        <v>5</v>
      </c>
      <c r="AH75" s="25">
        <v>5</v>
      </c>
      <c r="AJ75" s="7">
        <v>1</v>
      </c>
      <c r="AK75" s="7">
        <v>1</v>
      </c>
      <c r="AL75" s="7">
        <v>1</v>
      </c>
      <c r="AM75" s="7">
        <v>0</v>
      </c>
      <c r="AN75" s="7">
        <v>2</v>
      </c>
      <c r="AO75" s="7">
        <v>1</v>
      </c>
      <c r="AP75" s="7">
        <v>1</v>
      </c>
    </row>
    <row r="76" spans="1:42" x14ac:dyDescent="0.3">
      <c r="A76" s="1"/>
      <c r="B76" s="1"/>
      <c r="C76" s="1"/>
      <c r="D76" s="1"/>
      <c r="E76" s="1"/>
      <c r="F76" s="1"/>
      <c r="G76" s="1"/>
      <c r="H76" s="1"/>
      <c r="K76" s="22">
        <v>72</v>
      </c>
      <c r="L76" s="24" t="s">
        <v>74</v>
      </c>
      <c r="M76" s="24" t="s">
        <v>82</v>
      </c>
      <c r="N76" s="24" t="s">
        <v>83</v>
      </c>
      <c r="O76" s="24" t="s">
        <v>27</v>
      </c>
      <c r="P76" s="24" t="s">
        <v>87</v>
      </c>
      <c r="Q76" s="24" t="s">
        <v>27</v>
      </c>
      <c r="R76" s="24" t="s">
        <v>28</v>
      </c>
      <c r="T76" s="8">
        <f t="shared" si="16"/>
        <v>6</v>
      </c>
      <c r="U76" s="8">
        <f t="shared" si="17"/>
        <v>16</v>
      </c>
      <c r="V76" s="8">
        <f t="shared" si="18"/>
        <v>17</v>
      </c>
      <c r="W76" s="8">
        <f t="shared" si="19"/>
        <v>10</v>
      </c>
      <c r="X76" s="8">
        <f t="shared" si="20"/>
        <v>22</v>
      </c>
      <c r="Y76" s="8">
        <f t="shared" si="21"/>
        <v>10</v>
      </c>
      <c r="Z76" s="8">
        <f t="shared" si="22"/>
        <v>11</v>
      </c>
      <c r="AB76" s="25">
        <v>5</v>
      </c>
      <c r="AC76" s="25">
        <v>0</v>
      </c>
      <c r="AD76" s="25">
        <v>0</v>
      </c>
      <c r="AE76" s="25">
        <v>0</v>
      </c>
      <c r="AF76" s="25">
        <v>0</v>
      </c>
      <c r="AG76" s="25">
        <v>5</v>
      </c>
      <c r="AH76" s="25">
        <v>5</v>
      </c>
      <c r="AJ76" s="7">
        <v>1</v>
      </c>
      <c r="AK76" s="7">
        <v>2</v>
      </c>
      <c r="AL76" s="7">
        <v>2</v>
      </c>
      <c r="AM76" s="7">
        <v>1</v>
      </c>
      <c r="AN76" s="7">
        <v>0</v>
      </c>
      <c r="AO76" s="7">
        <v>1</v>
      </c>
      <c r="AP76" s="7">
        <v>1</v>
      </c>
    </row>
    <row r="77" spans="1:42" x14ac:dyDescent="0.3">
      <c r="A77" s="1"/>
      <c r="B77" s="1"/>
      <c r="C77" s="1"/>
      <c r="D77" s="1"/>
      <c r="E77" s="1"/>
      <c r="F77" s="1"/>
      <c r="G77" s="1"/>
      <c r="H77" s="1"/>
      <c r="K77" s="21">
        <v>73</v>
      </c>
      <c r="L77" s="24" t="s">
        <v>29</v>
      </c>
      <c r="M77" s="24" t="s">
        <v>82</v>
      </c>
      <c r="N77" s="24" t="s">
        <v>83</v>
      </c>
      <c r="O77" s="24" t="s">
        <v>32</v>
      </c>
      <c r="P77" s="24" t="s">
        <v>26</v>
      </c>
      <c r="Q77" s="24" t="s">
        <v>24</v>
      </c>
      <c r="R77" s="24" t="s">
        <v>33</v>
      </c>
      <c r="T77" s="8">
        <f t="shared" si="16"/>
        <v>12</v>
      </c>
      <c r="U77" s="8">
        <f t="shared" si="17"/>
        <v>16</v>
      </c>
      <c r="V77" s="8">
        <f t="shared" si="18"/>
        <v>17</v>
      </c>
      <c r="W77" s="8">
        <f t="shared" si="19"/>
        <v>2</v>
      </c>
      <c r="X77" s="8">
        <f t="shared" si="20"/>
        <v>9</v>
      </c>
      <c r="Y77" s="8">
        <f t="shared" si="21"/>
        <v>8</v>
      </c>
      <c r="Z77" s="8">
        <f t="shared" si="22"/>
        <v>3</v>
      </c>
      <c r="AB77" s="25">
        <v>5</v>
      </c>
      <c r="AC77" s="25">
        <v>0</v>
      </c>
      <c r="AD77" s="25">
        <v>0</v>
      </c>
      <c r="AE77" s="25">
        <v>0</v>
      </c>
      <c r="AF77" s="25">
        <v>0</v>
      </c>
      <c r="AG77" s="25">
        <v>5</v>
      </c>
      <c r="AH77" s="25">
        <v>5</v>
      </c>
      <c r="AJ77" s="7">
        <v>1</v>
      </c>
      <c r="AK77" s="7">
        <v>0</v>
      </c>
      <c r="AL77" s="7">
        <v>0</v>
      </c>
      <c r="AM77" s="7">
        <v>1</v>
      </c>
      <c r="AN77" s="7">
        <v>1</v>
      </c>
      <c r="AO77" s="7">
        <v>1</v>
      </c>
      <c r="AP77" s="7">
        <v>1</v>
      </c>
    </row>
    <row r="78" spans="1:42" x14ac:dyDescent="0.3">
      <c r="K78" s="22">
        <v>74</v>
      </c>
      <c r="L78" s="24" t="s">
        <v>29</v>
      </c>
      <c r="M78" s="24" t="s">
        <v>28</v>
      </c>
      <c r="N78" s="24" t="s">
        <v>18</v>
      </c>
      <c r="O78" s="24" t="s">
        <v>24</v>
      </c>
      <c r="P78" s="24" t="s">
        <v>36</v>
      </c>
      <c r="Q78" s="24" t="s">
        <v>74</v>
      </c>
      <c r="R78" s="24" t="s">
        <v>18</v>
      </c>
      <c r="T78" s="8">
        <f t="shared" si="16"/>
        <v>12</v>
      </c>
      <c r="U78" s="8">
        <f t="shared" si="17"/>
        <v>11</v>
      </c>
      <c r="V78" s="8">
        <f t="shared" si="18"/>
        <v>5</v>
      </c>
      <c r="W78" s="8">
        <f t="shared" si="19"/>
        <v>8</v>
      </c>
      <c r="X78" s="8">
        <f t="shared" si="20"/>
        <v>1</v>
      </c>
      <c r="Y78" s="8">
        <f t="shared" si="21"/>
        <v>6</v>
      </c>
      <c r="Z78" s="8">
        <f t="shared" si="22"/>
        <v>5</v>
      </c>
      <c r="AB78" s="25">
        <v>5</v>
      </c>
      <c r="AC78" s="25">
        <v>0</v>
      </c>
      <c r="AD78" s="25">
        <v>0</v>
      </c>
      <c r="AE78" s="25">
        <v>0</v>
      </c>
      <c r="AF78" s="25">
        <v>1</v>
      </c>
      <c r="AG78" s="25">
        <v>5</v>
      </c>
      <c r="AH78" s="25">
        <v>5</v>
      </c>
      <c r="AI78" s="145"/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</row>
    <row r="79" spans="1:42" x14ac:dyDescent="0.3">
      <c r="K79" s="21">
        <v>75</v>
      </c>
      <c r="L79" s="24" t="s">
        <v>32</v>
      </c>
      <c r="M79" s="24" t="s">
        <v>20</v>
      </c>
      <c r="N79" s="24" t="s">
        <v>27</v>
      </c>
      <c r="O79" s="24" t="s">
        <v>33</v>
      </c>
      <c r="P79" s="24" t="s">
        <v>83</v>
      </c>
      <c r="Q79" s="24" t="s">
        <v>33</v>
      </c>
      <c r="R79" s="24" t="s">
        <v>18</v>
      </c>
      <c r="T79" s="8">
        <f t="shared" si="16"/>
        <v>2</v>
      </c>
      <c r="U79" s="8">
        <f t="shared" si="17"/>
        <v>2</v>
      </c>
      <c r="V79" s="8">
        <f t="shared" si="18"/>
        <v>10</v>
      </c>
      <c r="W79" s="8">
        <f t="shared" si="19"/>
        <v>3</v>
      </c>
      <c r="X79" s="8">
        <f t="shared" si="20"/>
        <v>17</v>
      </c>
      <c r="Y79" s="8">
        <f t="shared" si="21"/>
        <v>3</v>
      </c>
      <c r="Z79" s="8">
        <f t="shared" si="22"/>
        <v>5</v>
      </c>
      <c r="AB79" s="25">
        <v>5</v>
      </c>
      <c r="AC79" s="25">
        <v>5</v>
      </c>
      <c r="AD79" s="25">
        <v>5</v>
      </c>
      <c r="AE79" s="25">
        <v>5</v>
      </c>
      <c r="AF79" s="25">
        <v>6</v>
      </c>
      <c r="AG79" s="25">
        <v>5</v>
      </c>
      <c r="AH79" s="25">
        <v>5</v>
      </c>
      <c r="AJ79" s="7">
        <v>1</v>
      </c>
      <c r="AK79" s="7">
        <v>1</v>
      </c>
      <c r="AL79" s="7">
        <v>1</v>
      </c>
      <c r="AM79" s="7">
        <v>2</v>
      </c>
      <c r="AN79" s="7">
        <v>2</v>
      </c>
      <c r="AO79" s="7">
        <v>1</v>
      </c>
      <c r="AP79" s="7">
        <v>1</v>
      </c>
    </row>
    <row r="80" spans="1:42" x14ac:dyDescent="0.3">
      <c r="K80" s="22">
        <v>76</v>
      </c>
      <c r="L80" s="24" t="s">
        <v>26</v>
      </c>
      <c r="M80" s="24" t="s">
        <v>87</v>
      </c>
      <c r="N80" s="24" t="s">
        <v>27</v>
      </c>
      <c r="O80" s="24" t="s">
        <v>33</v>
      </c>
      <c r="P80" s="24" t="s">
        <v>83</v>
      </c>
      <c r="Q80" s="24" t="s">
        <v>18</v>
      </c>
      <c r="R80" s="24" t="s">
        <v>36</v>
      </c>
      <c r="T80" s="8">
        <f t="shared" si="16"/>
        <v>9</v>
      </c>
      <c r="U80" s="8">
        <f t="shared" si="17"/>
        <v>22</v>
      </c>
      <c r="V80" s="8">
        <f t="shared" si="18"/>
        <v>10</v>
      </c>
      <c r="W80" s="8">
        <f t="shared" si="19"/>
        <v>3</v>
      </c>
      <c r="X80" s="8">
        <f t="shared" si="20"/>
        <v>17</v>
      </c>
      <c r="Y80" s="8">
        <f t="shared" si="21"/>
        <v>5</v>
      </c>
      <c r="Z80" s="8">
        <f t="shared" si="22"/>
        <v>1</v>
      </c>
      <c r="AB80" s="25">
        <v>5</v>
      </c>
      <c r="AC80" s="25">
        <v>0</v>
      </c>
      <c r="AD80" s="25">
        <v>0</v>
      </c>
      <c r="AE80" s="25">
        <v>0</v>
      </c>
      <c r="AF80" s="25">
        <v>0</v>
      </c>
      <c r="AG80" s="25">
        <v>5</v>
      </c>
      <c r="AH80" s="25">
        <v>5</v>
      </c>
      <c r="AJ80" s="7">
        <v>1</v>
      </c>
      <c r="AK80" s="7">
        <v>2</v>
      </c>
      <c r="AL80" s="7">
        <v>1</v>
      </c>
      <c r="AM80" s="7">
        <v>0</v>
      </c>
      <c r="AN80" s="7">
        <v>0</v>
      </c>
      <c r="AO80" s="7">
        <v>1</v>
      </c>
      <c r="AP80" s="7">
        <v>1</v>
      </c>
    </row>
    <row r="81" spans="11:42" x14ac:dyDescent="0.3">
      <c r="K81" s="21">
        <v>77</v>
      </c>
      <c r="L81" s="24" t="s">
        <v>27</v>
      </c>
      <c r="M81" s="24" t="s">
        <v>87</v>
      </c>
      <c r="N81" s="24" t="s">
        <v>152</v>
      </c>
      <c r="O81" s="24" t="s">
        <v>19</v>
      </c>
      <c r="P81" s="24" t="s">
        <v>21</v>
      </c>
      <c r="Q81" s="24" t="s">
        <v>28</v>
      </c>
      <c r="R81" s="24" t="s">
        <v>29</v>
      </c>
      <c r="T81" s="8">
        <f t="shared" si="16"/>
        <v>10</v>
      </c>
      <c r="U81" s="8">
        <f t="shared" si="17"/>
        <v>22</v>
      </c>
      <c r="V81" s="8">
        <f t="shared" si="18"/>
        <v>7</v>
      </c>
      <c r="W81" s="8">
        <f t="shared" si="19"/>
        <v>1</v>
      </c>
      <c r="X81" s="8">
        <f t="shared" si="20"/>
        <v>3</v>
      </c>
      <c r="Y81" s="8">
        <f t="shared" si="21"/>
        <v>11</v>
      </c>
      <c r="Z81" s="8">
        <f t="shared" si="22"/>
        <v>12</v>
      </c>
      <c r="AB81" s="25">
        <v>5</v>
      </c>
      <c r="AC81" s="25">
        <v>0</v>
      </c>
      <c r="AD81" s="25">
        <v>0</v>
      </c>
      <c r="AE81" s="25">
        <v>0</v>
      </c>
      <c r="AF81" s="25">
        <v>0</v>
      </c>
      <c r="AG81" s="25">
        <v>5</v>
      </c>
      <c r="AH81" s="25">
        <v>5</v>
      </c>
      <c r="AJ81" s="7">
        <v>1</v>
      </c>
      <c r="AK81" s="7">
        <v>0</v>
      </c>
      <c r="AL81" s="7">
        <v>1</v>
      </c>
      <c r="AM81" s="7">
        <v>1</v>
      </c>
      <c r="AN81" s="7">
        <v>2</v>
      </c>
      <c r="AO81" s="7">
        <v>1</v>
      </c>
      <c r="AP81" s="7">
        <v>1</v>
      </c>
    </row>
    <row r="82" spans="11:42" x14ac:dyDescent="0.3">
      <c r="K82" s="22">
        <v>78</v>
      </c>
      <c r="L82" s="24" t="s">
        <v>27</v>
      </c>
      <c r="M82" s="24" t="s">
        <v>19</v>
      </c>
      <c r="N82" s="24" t="s">
        <v>74</v>
      </c>
      <c r="O82" s="24" t="s">
        <v>82</v>
      </c>
      <c r="P82" s="24" t="s">
        <v>21</v>
      </c>
      <c r="Q82" s="24" t="s">
        <v>74</v>
      </c>
      <c r="R82" s="24" t="s">
        <v>17</v>
      </c>
      <c r="T82" s="8">
        <f t="shared" si="16"/>
        <v>10</v>
      </c>
      <c r="U82" s="8">
        <f t="shared" si="17"/>
        <v>1</v>
      </c>
      <c r="V82" s="8">
        <f t="shared" si="18"/>
        <v>6</v>
      </c>
      <c r="W82" s="8">
        <f t="shared" si="19"/>
        <v>16</v>
      </c>
      <c r="X82" s="8">
        <f t="shared" si="20"/>
        <v>3</v>
      </c>
      <c r="Y82" s="8">
        <f t="shared" si="21"/>
        <v>6</v>
      </c>
      <c r="Z82" s="8">
        <f t="shared" si="22"/>
        <v>4</v>
      </c>
      <c r="AB82" s="25">
        <v>5</v>
      </c>
      <c r="AC82" s="25">
        <v>0</v>
      </c>
      <c r="AD82" s="25">
        <v>0</v>
      </c>
      <c r="AE82" s="25">
        <v>0</v>
      </c>
      <c r="AF82" s="25">
        <v>0</v>
      </c>
      <c r="AG82" s="25">
        <v>5</v>
      </c>
      <c r="AH82" s="25">
        <v>5</v>
      </c>
      <c r="AJ82" s="7">
        <v>1</v>
      </c>
      <c r="AK82" s="7">
        <v>1</v>
      </c>
      <c r="AL82" s="7">
        <v>1</v>
      </c>
      <c r="AM82" s="7">
        <v>2</v>
      </c>
      <c r="AN82" s="7">
        <v>0</v>
      </c>
      <c r="AO82" s="7">
        <v>1</v>
      </c>
      <c r="AP82" s="7">
        <v>1</v>
      </c>
    </row>
    <row r="83" spans="11:42" x14ac:dyDescent="0.3">
      <c r="K83" s="21">
        <v>79</v>
      </c>
      <c r="L83" s="24" t="s">
        <v>21</v>
      </c>
      <c r="M83" s="24" t="s">
        <v>37</v>
      </c>
      <c r="N83" s="24" t="s">
        <v>24</v>
      </c>
      <c r="O83" s="24" t="s">
        <v>82</v>
      </c>
      <c r="P83" s="24" t="s">
        <v>32</v>
      </c>
      <c r="Q83" s="24" t="s">
        <v>32</v>
      </c>
      <c r="R83" s="24" t="s">
        <v>20</v>
      </c>
      <c r="T83" s="8">
        <f t="shared" si="16"/>
        <v>3</v>
      </c>
      <c r="U83" s="8">
        <f t="shared" si="17"/>
        <v>9</v>
      </c>
      <c r="V83" s="8">
        <f t="shared" si="18"/>
        <v>8</v>
      </c>
      <c r="W83" s="8">
        <f t="shared" si="19"/>
        <v>16</v>
      </c>
      <c r="X83" s="8">
        <f t="shared" si="20"/>
        <v>2</v>
      </c>
      <c r="Y83" s="8">
        <f t="shared" si="21"/>
        <v>2</v>
      </c>
      <c r="Z83" s="8">
        <f t="shared" si="22"/>
        <v>2</v>
      </c>
      <c r="AB83" s="25">
        <v>5</v>
      </c>
      <c r="AC83" s="25">
        <v>0</v>
      </c>
      <c r="AD83" s="25">
        <v>0</v>
      </c>
      <c r="AE83" s="25">
        <v>0</v>
      </c>
      <c r="AF83" s="25">
        <v>0</v>
      </c>
      <c r="AG83" s="25">
        <v>5</v>
      </c>
      <c r="AH83" s="25">
        <v>5</v>
      </c>
      <c r="AJ83" s="7">
        <v>1</v>
      </c>
      <c r="AK83" s="7">
        <v>1</v>
      </c>
      <c r="AL83" s="7">
        <v>1</v>
      </c>
      <c r="AM83" s="7">
        <v>0</v>
      </c>
      <c r="AN83" s="7">
        <v>1</v>
      </c>
      <c r="AO83" s="7">
        <v>1</v>
      </c>
      <c r="AP83" s="7">
        <v>1</v>
      </c>
    </row>
    <row r="84" spans="11:42" x14ac:dyDescent="0.3">
      <c r="K84" s="22">
        <v>80</v>
      </c>
      <c r="L84" s="24" t="s">
        <v>34</v>
      </c>
      <c r="M84" s="24" t="s">
        <v>84</v>
      </c>
      <c r="N84" s="24" t="s">
        <v>152</v>
      </c>
      <c r="O84" s="24" t="s">
        <v>19</v>
      </c>
      <c r="P84" s="24" t="s">
        <v>35</v>
      </c>
      <c r="Q84" s="24" t="s">
        <v>24</v>
      </c>
      <c r="R84" s="24" t="s">
        <v>20</v>
      </c>
      <c r="T84" s="8">
        <f t="shared" si="16"/>
        <v>4</v>
      </c>
      <c r="U84" s="8">
        <f t="shared" si="17"/>
        <v>19</v>
      </c>
      <c r="V84" s="8">
        <f t="shared" si="18"/>
        <v>7</v>
      </c>
      <c r="W84" s="8">
        <f t="shared" si="19"/>
        <v>1</v>
      </c>
      <c r="X84" s="8">
        <f t="shared" si="20"/>
        <v>5</v>
      </c>
      <c r="Y84" s="8">
        <f t="shared" si="21"/>
        <v>8</v>
      </c>
      <c r="Z84" s="8">
        <f t="shared" si="22"/>
        <v>2</v>
      </c>
      <c r="AB84" s="25">
        <v>5</v>
      </c>
      <c r="AC84" s="25">
        <v>5</v>
      </c>
      <c r="AD84" s="25">
        <v>5</v>
      </c>
      <c r="AE84" s="25">
        <v>5</v>
      </c>
      <c r="AF84" s="25">
        <v>6</v>
      </c>
      <c r="AG84" s="25">
        <v>5</v>
      </c>
      <c r="AH84" s="25">
        <v>5</v>
      </c>
      <c r="AJ84" s="7">
        <v>1</v>
      </c>
      <c r="AK84" s="7">
        <v>3</v>
      </c>
      <c r="AL84" s="7">
        <v>1</v>
      </c>
      <c r="AM84" s="7">
        <v>1</v>
      </c>
      <c r="AN84" s="7">
        <v>3</v>
      </c>
      <c r="AO84" s="7">
        <v>1</v>
      </c>
      <c r="AP84" s="7">
        <v>1</v>
      </c>
    </row>
    <row r="85" spans="11:42" x14ac:dyDescent="0.3">
      <c r="K85" s="21">
        <v>81</v>
      </c>
      <c r="L85" s="24" t="s">
        <v>26</v>
      </c>
      <c r="M85" s="24" t="s">
        <v>84</v>
      </c>
      <c r="N85" s="24" t="s">
        <v>79</v>
      </c>
      <c r="O85" s="24" t="s">
        <v>80</v>
      </c>
      <c r="P85" s="24" t="s">
        <v>35</v>
      </c>
      <c r="Q85" s="24" t="s">
        <v>26</v>
      </c>
      <c r="R85" s="24" t="s">
        <v>24</v>
      </c>
      <c r="T85" s="8">
        <f t="shared" si="16"/>
        <v>9</v>
      </c>
      <c r="U85" s="8">
        <f t="shared" si="17"/>
        <v>19</v>
      </c>
      <c r="V85" s="8">
        <f t="shared" si="18"/>
        <v>13</v>
      </c>
      <c r="W85" s="8">
        <f t="shared" si="19"/>
        <v>14</v>
      </c>
      <c r="X85" s="8">
        <f t="shared" si="20"/>
        <v>5</v>
      </c>
      <c r="Y85" s="8">
        <f t="shared" si="21"/>
        <v>9</v>
      </c>
      <c r="Z85" s="8">
        <f t="shared" si="22"/>
        <v>8</v>
      </c>
      <c r="AB85" s="25">
        <v>5</v>
      </c>
      <c r="AC85" s="25">
        <v>0</v>
      </c>
      <c r="AD85" s="25">
        <v>0</v>
      </c>
      <c r="AE85" s="25">
        <v>0</v>
      </c>
      <c r="AF85" s="25">
        <v>0</v>
      </c>
      <c r="AG85" s="25">
        <v>5</v>
      </c>
      <c r="AH85" s="25">
        <v>5</v>
      </c>
      <c r="AJ85" s="7">
        <v>1</v>
      </c>
      <c r="AK85" s="7">
        <v>0</v>
      </c>
      <c r="AL85" s="7">
        <v>3</v>
      </c>
      <c r="AM85" s="7">
        <v>3</v>
      </c>
      <c r="AN85" s="7">
        <v>0</v>
      </c>
      <c r="AO85" s="7">
        <v>1</v>
      </c>
      <c r="AP85" s="7">
        <v>1</v>
      </c>
    </row>
    <row r="86" spans="11:42" x14ac:dyDescent="0.3">
      <c r="K86" s="22">
        <v>82</v>
      </c>
      <c r="L86" s="24" t="s">
        <v>39</v>
      </c>
      <c r="M86" s="24" t="s">
        <v>84</v>
      </c>
      <c r="N86" s="24" t="s">
        <v>79</v>
      </c>
      <c r="O86" s="24" t="s">
        <v>80</v>
      </c>
      <c r="P86" s="24" t="s">
        <v>35</v>
      </c>
      <c r="Q86" s="24" t="s">
        <v>18</v>
      </c>
      <c r="R86" s="24" t="s">
        <v>24</v>
      </c>
      <c r="T86" s="8">
        <f t="shared" si="16"/>
        <v>11</v>
      </c>
      <c r="U86" s="8">
        <f t="shared" si="17"/>
        <v>19</v>
      </c>
      <c r="V86" s="8">
        <f t="shared" si="18"/>
        <v>13</v>
      </c>
      <c r="W86" s="8">
        <f t="shared" si="19"/>
        <v>14</v>
      </c>
      <c r="X86" s="8">
        <f t="shared" si="20"/>
        <v>5</v>
      </c>
      <c r="Y86" s="8">
        <f t="shared" si="21"/>
        <v>5</v>
      </c>
      <c r="Z86" s="8">
        <f t="shared" si="22"/>
        <v>8</v>
      </c>
      <c r="AB86" s="25">
        <v>5</v>
      </c>
      <c r="AC86" s="25">
        <v>0</v>
      </c>
      <c r="AD86" s="25">
        <v>0</v>
      </c>
      <c r="AE86" s="25">
        <v>0</v>
      </c>
      <c r="AF86" s="25">
        <v>0</v>
      </c>
      <c r="AG86" s="25">
        <v>5</v>
      </c>
      <c r="AH86" s="25">
        <v>5</v>
      </c>
      <c r="AJ86" s="7">
        <v>1</v>
      </c>
      <c r="AK86" s="7">
        <v>0</v>
      </c>
      <c r="AL86" s="7">
        <v>0</v>
      </c>
      <c r="AM86" s="7">
        <v>0</v>
      </c>
      <c r="AN86" s="7">
        <v>0</v>
      </c>
      <c r="AO86" s="7">
        <v>1</v>
      </c>
      <c r="AP86" s="7">
        <v>1</v>
      </c>
    </row>
    <row r="87" spans="11:42" x14ac:dyDescent="0.3">
      <c r="K87" s="21">
        <v>83</v>
      </c>
      <c r="L87" s="24" t="s">
        <v>39</v>
      </c>
      <c r="M87" s="24" t="s">
        <v>152</v>
      </c>
      <c r="N87" s="24" t="s">
        <v>79</v>
      </c>
      <c r="O87" s="24" t="s">
        <v>80</v>
      </c>
      <c r="P87" s="24" t="s">
        <v>36</v>
      </c>
      <c r="Q87" s="24" t="s">
        <v>28</v>
      </c>
      <c r="R87" s="24" t="s">
        <v>36</v>
      </c>
      <c r="T87" s="8">
        <f t="shared" si="16"/>
        <v>11</v>
      </c>
      <c r="U87" s="8">
        <f t="shared" si="17"/>
        <v>7</v>
      </c>
      <c r="V87" s="8">
        <f t="shared" si="18"/>
        <v>13</v>
      </c>
      <c r="W87" s="8">
        <f t="shared" si="19"/>
        <v>14</v>
      </c>
      <c r="X87" s="8">
        <f t="shared" si="20"/>
        <v>1</v>
      </c>
      <c r="Y87" s="8">
        <f t="shared" si="21"/>
        <v>11</v>
      </c>
      <c r="Z87" s="8">
        <f t="shared" si="22"/>
        <v>1</v>
      </c>
      <c r="AB87" s="25">
        <v>5</v>
      </c>
      <c r="AC87" s="25">
        <v>0</v>
      </c>
      <c r="AD87" s="25">
        <v>0</v>
      </c>
      <c r="AE87" s="25">
        <v>0</v>
      </c>
      <c r="AF87" s="25">
        <v>0</v>
      </c>
      <c r="AG87" s="25">
        <v>5</v>
      </c>
      <c r="AH87" s="25">
        <v>5</v>
      </c>
      <c r="AJ87" s="7">
        <v>1</v>
      </c>
      <c r="AK87" s="7">
        <v>2</v>
      </c>
      <c r="AL87" s="7">
        <v>0</v>
      </c>
      <c r="AM87" s="7">
        <v>0</v>
      </c>
      <c r="AN87" s="7">
        <v>2</v>
      </c>
      <c r="AO87" s="7">
        <v>1</v>
      </c>
      <c r="AP87" s="7">
        <v>1</v>
      </c>
    </row>
    <row r="88" spans="11:42" x14ac:dyDescent="0.3">
      <c r="K88" s="22">
        <v>84</v>
      </c>
      <c r="L88" s="24" t="s">
        <v>36</v>
      </c>
      <c r="M88" s="24" t="s">
        <v>152</v>
      </c>
      <c r="N88" s="24" t="s">
        <v>24</v>
      </c>
      <c r="O88" s="24" t="s">
        <v>26</v>
      </c>
      <c r="P88" s="24" t="s">
        <v>36</v>
      </c>
      <c r="Q88" s="24" t="s">
        <v>36</v>
      </c>
      <c r="R88" s="24" t="s">
        <v>17</v>
      </c>
      <c r="T88" s="8">
        <f t="shared" si="16"/>
        <v>1</v>
      </c>
      <c r="U88" s="8">
        <f t="shared" si="17"/>
        <v>7</v>
      </c>
      <c r="V88" s="8">
        <f t="shared" si="18"/>
        <v>8</v>
      </c>
      <c r="W88" s="8">
        <f t="shared" si="19"/>
        <v>9</v>
      </c>
      <c r="X88" s="8">
        <f t="shared" si="20"/>
        <v>1</v>
      </c>
      <c r="Y88" s="8">
        <f t="shared" si="21"/>
        <v>1</v>
      </c>
      <c r="Z88" s="8">
        <f t="shared" si="22"/>
        <v>4</v>
      </c>
      <c r="AB88" s="25">
        <v>5</v>
      </c>
      <c r="AC88" s="25">
        <v>0</v>
      </c>
      <c r="AD88" s="25">
        <v>0</v>
      </c>
      <c r="AE88" s="25">
        <v>0</v>
      </c>
      <c r="AF88" s="25">
        <v>0</v>
      </c>
      <c r="AG88" s="25">
        <v>5</v>
      </c>
      <c r="AH88" s="25">
        <v>5</v>
      </c>
      <c r="AJ88" s="7">
        <v>1</v>
      </c>
      <c r="AK88" s="7">
        <v>0</v>
      </c>
      <c r="AL88" s="7">
        <v>1</v>
      </c>
      <c r="AM88" s="7">
        <v>1</v>
      </c>
      <c r="AN88" s="7">
        <v>0</v>
      </c>
      <c r="AO88" s="7">
        <v>1</v>
      </c>
      <c r="AP88" s="7">
        <v>1</v>
      </c>
    </row>
    <row r="89" spans="11:42" x14ac:dyDescent="0.3">
      <c r="K89" s="21">
        <v>85</v>
      </c>
      <c r="L89" s="24" t="s">
        <v>34</v>
      </c>
      <c r="M89" s="24" t="s">
        <v>152</v>
      </c>
      <c r="N89" s="24" t="s">
        <v>24</v>
      </c>
      <c r="O89" s="24" t="s">
        <v>27</v>
      </c>
      <c r="P89" s="24" t="s">
        <v>28</v>
      </c>
      <c r="Q89" s="24" t="s">
        <v>36</v>
      </c>
      <c r="R89" s="24" t="s">
        <v>17</v>
      </c>
      <c r="T89" s="8">
        <f t="shared" si="16"/>
        <v>4</v>
      </c>
      <c r="U89" s="8">
        <f t="shared" si="17"/>
        <v>7</v>
      </c>
      <c r="V89" s="8">
        <f t="shared" si="18"/>
        <v>8</v>
      </c>
      <c r="W89" s="8">
        <f t="shared" si="19"/>
        <v>10</v>
      </c>
      <c r="X89" s="8">
        <f t="shared" si="20"/>
        <v>11</v>
      </c>
      <c r="Y89" s="8">
        <f t="shared" si="21"/>
        <v>1</v>
      </c>
      <c r="Z89" s="8">
        <f t="shared" si="22"/>
        <v>4</v>
      </c>
      <c r="AB89" s="25">
        <v>5</v>
      </c>
      <c r="AC89" s="25">
        <v>5</v>
      </c>
      <c r="AD89" s="25">
        <v>5</v>
      </c>
      <c r="AE89" s="25">
        <v>5</v>
      </c>
      <c r="AF89" s="25">
        <v>4</v>
      </c>
      <c r="AG89" s="25">
        <v>5</v>
      </c>
      <c r="AH89" s="25">
        <v>5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</row>
    <row r="90" spans="11:42" x14ac:dyDescent="0.3">
      <c r="K90" s="22">
        <v>86</v>
      </c>
      <c r="L90" s="24" t="s">
        <v>21</v>
      </c>
      <c r="M90" s="24" t="s">
        <v>74</v>
      </c>
      <c r="N90" s="24" t="s">
        <v>28</v>
      </c>
      <c r="O90" s="24" t="s">
        <v>27</v>
      </c>
      <c r="P90" s="24" t="s">
        <v>17</v>
      </c>
      <c r="Q90" s="24" t="s">
        <v>24</v>
      </c>
      <c r="R90" s="24" t="s">
        <v>17</v>
      </c>
      <c r="T90" s="8">
        <f t="shared" si="16"/>
        <v>3</v>
      </c>
      <c r="U90" s="8">
        <f t="shared" si="17"/>
        <v>6</v>
      </c>
      <c r="V90" s="8">
        <f t="shared" si="18"/>
        <v>11</v>
      </c>
      <c r="W90" s="8">
        <f t="shared" si="19"/>
        <v>10</v>
      </c>
      <c r="X90" s="8">
        <f t="shared" si="20"/>
        <v>4</v>
      </c>
      <c r="Y90" s="8">
        <f t="shared" si="21"/>
        <v>8</v>
      </c>
      <c r="Z90" s="8">
        <f t="shared" si="22"/>
        <v>4</v>
      </c>
      <c r="AB90" s="25">
        <v>5</v>
      </c>
      <c r="AC90" s="25">
        <v>0</v>
      </c>
      <c r="AD90" s="25">
        <v>0</v>
      </c>
      <c r="AE90" s="25">
        <v>0</v>
      </c>
      <c r="AF90" s="25">
        <v>1</v>
      </c>
      <c r="AG90" s="25">
        <v>5</v>
      </c>
      <c r="AH90" s="25">
        <v>5</v>
      </c>
      <c r="AJ90" s="7">
        <v>1</v>
      </c>
      <c r="AK90" s="7">
        <v>1</v>
      </c>
      <c r="AL90" s="7">
        <v>1</v>
      </c>
      <c r="AM90" s="7">
        <v>1</v>
      </c>
      <c r="AN90" s="7">
        <v>3</v>
      </c>
      <c r="AO90" s="7">
        <v>1</v>
      </c>
      <c r="AP90" s="7">
        <v>1</v>
      </c>
    </row>
    <row r="91" spans="11:42" x14ac:dyDescent="0.3">
      <c r="K91" s="21">
        <v>87</v>
      </c>
      <c r="L91" s="24" t="s">
        <v>26</v>
      </c>
      <c r="M91" s="24" t="s">
        <v>17</v>
      </c>
      <c r="N91" s="24" t="s">
        <v>28</v>
      </c>
      <c r="O91" s="24" t="s">
        <v>19</v>
      </c>
      <c r="P91" s="24" t="s">
        <v>17</v>
      </c>
      <c r="Q91" s="24" t="s">
        <v>27</v>
      </c>
      <c r="R91" s="24" t="s">
        <v>74</v>
      </c>
      <c r="T91" s="8">
        <f t="shared" si="16"/>
        <v>9</v>
      </c>
      <c r="U91" s="8">
        <f t="shared" si="17"/>
        <v>4</v>
      </c>
      <c r="V91" s="8">
        <f t="shared" si="18"/>
        <v>11</v>
      </c>
      <c r="W91" s="8">
        <f t="shared" si="19"/>
        <v>1</v>
      </c>
      <c r="X91" s="8">
        <f t="shared" si="20"/>
        <v>4</v>
      </c>
      <c r="Y91" s="8">
        <f t="shared" si="21"/>
        <v>10</v>
      </c>
      <c r="Z91" s="8">
        <f t="shared" si="22"/>
        <v>6</v>
      </c>
      <c r="AB91" s="25">
        <v>5</v>
      </c>
      <c r="AC91" s="25">
        <v>0</v>
      </c>
      <c r="AD91" s="25">
        <v>0</v>
      </c>
      <c r="AE91" s="25">
        <v>0</v>
      </c>
      <c r="AF91" s="25">
        <v>0</v>
      </c>
      <c r="AG91" s="25">
        <v>5</v>
      </c>
      <c r="AH91" s="25">
        <v>5</v>
      </c>
      <c r="AJ91" s="7">
        <v>1</v>
      </c>
      <c r="AK91" s="7">
        <v>2</v>
      </c>
      <c r="AL91" s="7">
        <v>1</v>
      </c>
      <c r="AM91" s="7">
        <v>1</v>
      </c>
      <c r="AN91" s="7">
        <v>0</v>
      </c>
      <c r="AO91" s="7">
        <v>1</v>
      </c>
      <c r="AP91" s="7">
        <v>1</v>
      </c>
    </row>
    <row r="92" spans="11:42" x14ac:dyDescent="0.3">
      <c r="K92" s="22">
        <v>88</v>
      </c>
      <c r="L92" s="24" t="s">
        <v>26</v>
      </c>
      <c r="M92" s="24" t="s">
        <v>17</v>
      </c>
      <c r="N92" s="24" t="s">
        <v>19</v>
      </c>
      <c r="O92" s="24" t="s">
        <v>85</v>
      </c>
      <c r="P92" s="24" t="s">
        <v>17</v>
      </c>
      <c r="Q92" s="24" t="s">
        <v>18</v>
      </c>
      <c r="R92" s="24" t="s">
        <v>74</v>
      </c>
      <c r="T92" s="8">
        <f t="shared" si="16"/>
        <v>9</v>
      </c>
      <c r="U92" s="8">
        <f t="shared" si="17"/>
        <v>4</v>
      </c>
      <c r="V92" s="8">
        <f t="shared" si="18"/>
        <v>1</v>
      </c>
      <c r="W92" s="8">
        <f t="shared" si="19"/>
        <v>20</v>
      </c>
      <c r="X92" s="8">
        <f t="shared" si="20"/>
        <v>4</v>
      </c>
      <c r="Y92" s="8">
        <f t="shared" si="21"/>
        <v>5</v>
      </c>
      <c r="Z92" s="8">
        <f t="shared" si="22"/>
        <v>6</v>
      </c>
      <c r="AB92" s="25">
        <v>5</v>
      </c>
      <c r="AC92" s="25">
        <v>0</v>
      </c>
      <c r="AD92" s="25">
        <v>0</v>
      </c>
      <c r="AE92" s="25">
        <v>0</v>
      </c>
      <c r="AF92" s="25">
        <v>0</v>
      </c>
      <c r="AG92" s="25">
        <v>5</v>
      </c>
      <c r="AH92" s="25">
        <v>5</v>
      </c>
      <c r="AJ92" s="7">
        <v>1</v>
      </c>
      <c r="AK92" s="7">
        <v>0</v>
      </c>
      <c r="AL92" s="7">
        <v>1</v>
      </c>
      <c r="AM92" s="7">
        <v>2</v>
      </c>
      <c r="AN92" s="7">
        <v>0</v>
      </c>
      <c r="AO92" s="7">
        <v>1</v>
      </c>
      <c r="AP92" s="7">
        <v>1</v>
      </c>
    </row>
    <row r="93" spans="11:42" x14ac:dyDescent="0.3">
      <c r="K93" s="21">
        <v>89</v>
      </c>
      <c r="L93" s="24" t="s">
        <v>29</v>
      </c>
      <c r="M93" s="24" t="s">
        <v>24</v>
      </c>
      <c r="N93" s="24" t="s">
        <v>21</v>
      </c>
      <c r="O93" s="24" t="s">
        <v>85</v>
      </c>
      <c r="P93" s="24" t="s">
        <v>74</v>
      </c>
      <c r="Q93" s="24" t="s">
        <v>24</v>
      </c>
      <c r="R93" s="24" t="s">
        <v>74</v>
      </c>
      <c r="T93" s="8">
        <f t="shared" si="16"/>
        <v>12</v>
      </c>
      <c r="U93" s="8">
        <f t="shared" si="17"/>
        <v>8</v>
      </c>
      <c r="V93" s="8">
        <f t="shared" si="18"/>
        <v>3</v>
      </c>
      <c r="W93" s="8">
        <f t="shared" si="19"/>
        <v>20</v>
      </c>
      <c r="X93" s="8">
        <f t="shared" si="20"/>
        <v>6</v>
      </c>
      <c r="Y93" s="8">
        <f t="shared" si="21"/>
        <v>8</v>
      </c>
      <c r="Z93" s="8">
        <f t="shared" si="22"/>
        <v>6</v>
      </c>
      <c r="AB93" s="25">
        <v>5</v>
      </c>
      <c r="AC93" s="25">
        <v>0</v>
      </c>
      <c r="AD93" s="25">
        <v>0</v>
      </c>
      <c r="AE93" s="25">
        <v>0</v>
      </c>
      <c r="AF93" s="25">
        <v>1</v>
      </c>
      <c r="AG93" s="25">
        <v>5</v>
      </c>
      <c r="AH93" s="25">
        <v>5</v>
      </c>
      <c r="AJ93" s="7">
        <v>1</v>
      </c>
      <c r="AK93" s="7">
        <v>1</v>
      </c>
      <c r="AL93" s="7">
        <v>1</v>
      </c>
      <c r="AM93" s="7">
        <v>0</v>
      </c>
      <c r="AN93" s="7">
        <v>1</v>
      </c>
      <c r="AO93" s="7">
        <v>1</v>
      </c>
      <c r="AP93" s="7">
        <v>1</v>
      </c>
    </row>
    <row r="94" spans="11:42" x14ac:dyDescent="0.3">
      <c r="K94" s="22">
        <v>90</v>
      </c>
      <c r="L94" s="24" t="s">
        <v>35</v>
      </c>
      <c r="M94" s="24" t="s">
        <v>24</v>
      </c>
      <c r="N94" s="24" t="s">
        <v>27</v>
      </c>
      <c r="O94" s="24" t="s">
        <v>17</v>
      </c>
      <c r="P94" s="24" t="s">
        <v>21</v>
      </c>
      <c r="Q94" s="24" t="s">
        <v>28</v>
      </c>
      <c r="R94" s="24" t="s">
        <v>28</v>
      </c>
      <c r="T94" s="8">
        <f t="shared" si="16"/>
        <v>5</v>
      </c>
      <c r="U94" s="8">
        <f t="shared" si="17"/>
        <v>8</v>
      </c>
      <c r="V94" s="8">
        <f t="shared" si="18"/>
        <v>10</v>
      </c>
      <c r="W94" s="8">
        <f t="shared" si="19"/>
        <v>4</v>
      </c>
      <c r="X94" s="8">
        <f t="shared" si="20"/>
        <v>3</v>
      </c>
      <c r="Y94" s="8">
        <f t="shared" si="21"/>
        <v>11</v>
      </c>
      <c r="Z94" s="8">
        <f t="shared" si="22"/>
        <v>11</v>
      </c>
      <c r="AB94" s="25">
        <v>5</v>
      </c>
      <c r="AC94" s="25">
        <v>5</v>
      </c>
      <c r="AD94" s="25">
        <v>5</v>
      </c>
      <c r="AE94" s="25">
        <v>5</v>
      </c>
      <c r="AF94" s="25">
        <v>5</v>
      </c>
      <c r="AG94" s="25">
        <v>5</v>
      </c>
      <c r="AH94" s="25">
        <v>5</v>
      </c>
      <c r="AJ94" s="7">
        <v>1</v>
      </c>
      <c r="AK94" s="7">
        <v>1</v>
      </c>
      <c r="AL94" s="7">
        <v>1</v>
      </c>
      <c r="AM94" s="7">
        <v>2</v>
      </c>
      <c r="AN94" s="7">
        <v>1</v>
      </c>
      <c r="AO94" s="7">
        <v>1</v>
      </c>
      <c r="AP94" s="7">
        <v>1</v>
      </c>
    </row>
    <row r="95" spans="11:42" x14ac:dyDescent="0.3">
      <c r="K95" s="21">
        <v>91</v>
      </c>
      <c r="L95" s="24" t="s">
        <v>74</v>
      </c>
      <c r="M95" s="24" t="s">
        <v>96</v>
      </c>
      <c r="N95" s="24" t="s">
        <v>19</v>
      </c>
      <c r="O95" s="24" t="s">
        <v>17</v>
      </c>
      <c r="P95" s="24" t="s">
        <v>87</v>
      </c>
      <c r="Q95" s="24" t="s">
        <v>74</v>
      </c>
      <c r="R95" s="24" t="s">
        <v>28</v>
      </c>
      <c r="T95" s="8">
        <f t="shared" si="16"/>
        <v>6</v>
      </c>
      <c r="U95" s="8">
        <f t="shared" si="17"/>
        <v>13</v>
      </c>
      <c r="V95" s="8">
        <f t="shared" si="18"/>
        <v>1</v>
      </c>
      <c r="W95" s="8">
        <f t="shared" si="19"/>
        <v>4</v>
      </c>
      <c r="X95" s="8">
        <f t="shared" si="20"/>
        <v>22</v>
      </c>
      <c r="Y95" s="8">
        <f t="shared" si="21"/>
        <v>6</v>
      </c>
      <c r="Z95" s="8">
        <f t="shared" si="22"/>
        <v>11</v>
      </c>
      <c r="AB95" s="25">
        <v>5</v>
      </c>
      <c r="AC95" s="25">
        <v>0</v>
      </c>
      <c r="AD95" s="25">
        <v>0</v>
      </c>
      <c r="AE95" s="25">
        <v>0</v>
      </c>
      <c r="AF95" s="25">
        <v>0</v>
      </c>
      <c r="AG95" s="25">
        <v>5</v>
      </c>
      <c r="AH95" s="25">
        <v>5</v>
      </c>
      <c r="AJ95" s="7">
        <v>1</v>
      </c>
      <c r="AK95" s="7">
        <v>1</v>
      </c>
      <c r="AL95" s="7">
        <v>1</v>
      </c>
      <c r="AM95" s="7">
        <v>0</v>
      </c>
      <c r="AN95" s="7">
        <v>2</v>
      </c>
      <c r="AO95" s="7">
        <v>1</v>
      </c>
      <c r="AP95" s="7">
        <v>1</v>
      </c>
    </row>
    <row r="96" spans="11:42" x14ac:dyDescent="0.3">
      <c r="K96" s="22">
        <v>92</v>
      </c>
      <c r="L96" s="24" t="s">
        <v>74</v>
      </c>
      <c r="M96" s="24" t="s">
        <v>82</v>
      </c>
      <c r="N96" s="24" t="s">
        <v>83</v>
      </c>
      <c r="O96" s="24" t="s">
        <v>27</v>
      </c>
      <c r="P96" s="24" t="s">
        <v>87</v>
      </c>
      <c r="Q96" s="24" t="s">
        <v>27</v>
      </c>
      <c r="R96" s="24" t="s">
        <v>28</v>
      </c>
      <c r="T96" s="8">
        <f t="shared" si="16"/>
        <v>6</v>
      </c>
      <c r="U96" s="8">
        <f t="shared" si="17"/>
        <v>16</v>
      </c>
      <c r="V96" s="8">
        <f t="shared" si="18"/>
        <v>17</v>
      </c>
      <c r="W96" s="8">
        <f t="shared" si="19"/>
        <v>10</v>
      </c>
      <c r="X96" s="8">
        <f t="shared" si="20"/>
        <v>22</v>
      </c>
      <c r="Y96" s="8">
        <f t="shared" si="21"/>
        <v>10</v>
      </c>
      <c r="Z96" s="8">
        <f t="shared" si="22"/>
        <v>11</v>
      </c>
      <c r="AB96" s="25">
        <v>5</v>
      </c>
      <c r="AC96" s="25">
        <v>0</v>
      </c>
      <c r="AD96" s="25">
        <v>0</v>
      </c>
      <c r="AE96" s="25">
        <v>0</v>
      </c>
      <c r="AF96" s="25">
        <v>0</v>
      </c>
      <c r="AG96" s="25">
        <v>5</v>
      </c>
      <c r="AH96" s="25">
        <v>5</v>
      </c>
      <c r="AJ96" s="7">
        <v>1</v>
      </c>
      <c r="AK96" s="7">
        <v>2</v>
      </c>
      <c r="AL96" s="7">
        <v>2</v>
      </c>
      <c r="AM96" s="7">
        <v>1</v>
      </c>
      <c r="AN96" s="7">
        <v>0</v>
      </c>
      <c r="AO96" s="7">
        <v>1</v>
      </c>
      <c r="AP96" s="7">
        <v>1</v>
      </c>
    </row>
    <row r="97" spans="11:42" x14ac:dyDescent="0.3">
      <c r="K97" s="21">
        <v>93</v>
      </c>
      <c r="L97" s="24" t="s">
        <v>29</v>
      </c>
      <c r="M97" s="24" t="s">
        <v>82</v>
      </c>
      <c r="N97" s="24" t="s">
        <v>83</v>
      </c>
      <c r="O97" s="24" t="s">
        <v>19</v>
      </c>
      <c r="P97" s="24" t="s">
        <v>26</v>
      </c>
      <c r="Q97" s="24" t="s">
        <v>24</v>
      </c>
      <c r="R97" s="24" t="s">
        <v>74</v>
      </c>
      <c r="T97" s="8">
        <f t="shared" si="16"/>
        <v>12</v>
      </c>
      <c r="U97" s="8">
        <f t="shared" si="17"/>
        <v>16</v>
      </c>
      <c r="V97" s="8">
        <f t="shared" si="18"/>
        <v>17</v>
      </c>
      <c r="W97" s="8">
        <f t="shared" si="19"/>
        <v>1</v>
      </c>
      <c r="X97" s="8">
        <f t="shared" si="20"/>
        <v>9</v>
      </c>
      <c r="Y97" s="8">
        <f t="shared" si="21"/>
        <v>8</v>
      </c>
      <c r="Z97" s="8">
        <f t="shared" si="22"/>
        <v>6</v>
      </c>
      <c r="AB97" s="25">
        <v>5</v>
      </c>
      <c r="AC97" s="25">
        <v>0</v>
      </c>
      <c r="AD97" s="25">
        <v>0</v>
      </c>
      <c r="AE97" s="25">
        <v>0</v>
      </c>
      <c r="AF97" s="25">
        <v>0</v>
      </c>
      <c r="AG97" s="25">
        <v>5</v>
      </c>
      <c r="AH97" s="25">
        <v>5</v>
      </c>
      <c r="AJ97" s="7">
        <v>1</v>
      </c>
      <c r="AK97" s="7">
        <v>0</v>
      </c>
      <c r="AL97" s="7">
        <v>0</v>
      </c>
      <c r="AM97" s="7">
        <v>1</v>
      </c>
      <c r="AN97" s="7">
        <v>1</v>
      </c>
      <c r="AO97" s="7">
        <v>1</v>
      </c>
      <c r="AP97" s="7">
        <v>1</v>
      </c>
    </row>
    <row r="98" spans="11:42" x14ac:dyDescent="0.3">
      <c r="K98" s="22">
        <v>94</v>
      </c>
      <c r="L98" s="24" t="s">
        <v>29</v>
      </c>
      <c r="M98" s="24" t="s">
        <v>28</v>
      </c>
      <c r="N98" s="24" t="s">
        <v>18</v>
      </c>
      <c r="O98" s="24" t="s">
        <v>24</v>
      </c>
      <c r="P98" s="24" t="s">
        <v>24</v>
      </c>
      <c r="Q98" s="24" t="s">
        <v>74</v>
      </c>
      <c r="R98" s="24" t="s">
        <v>18</v>
      </c>
      <c r="T98" s="8">
        <f t="shared" si="16"/>
        <v>12</v>
      </c>
      <c r="U98" s="8">
        <f t="shared" si="17"/>
        <v>11</v>
      </c>
      <c r="V98" s="8">
        <f t="shared" si="18"/>
        <v>5</v>
      </c>
      <c r="W98" s="8">
        <f t="shared" si="19"/>
        <v>8</v>
      </c>
      <c r="X98" s="8">
        <f t="shared" si="20"/>
        <v>8</v>
      </c>
      <c r="Y98" s="8">
        <f t="shared" si="21"/>
        <v>6</v>
      </c>
      <c r="Z98" s="8">
        <f t="shared" si="22"/>
        <v>5</v>
      </c>
      <c r="AB98" s="25">
        <v>5</v>
      </c>
      <c r="AC98" s="25">
        <v>0</v>
      </c>
      <c r="AD98" s="25">
        <v>0</v>
      </c>
      <c r="AE98" s="25">
        <v>0</v>
      </c>
      <c r="AF98" s="25">
        <v>1</v>
      </c>
      <c r="AG98" s="25">
        <v>5</v>
      </c>
      <c r="AH98" s="25">
        <v>5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</row>
    <row r="99" spans="11:42" x14ac:dyDescent="0.3">
      <c r="K99" s="21">
        <v>95</v>
      </c>
      <c r="L99" s="24" t="s">
        <v>25</v>
      </c>
      <c r="M99" s="24" t="s">
        <v>20</v>
      </c>
      <c r="N99" s="24" t="s">
        <v>27</v>
      </c>
      <c r="O99" s="24" t="s">
        <v>74</v>
      </c>
      <c r="P99" s="24" t="s">
        <v>83</v>
      </c>
      <c r="Q99" s="24" t="s">
        <v>17</v>
      </c>
      <c r="R99" s="24" t="s">
        <v>18</v>
      </c>
      <c r="T99" s="8">
        <f t="shared" si="16"/>
        <v>8</v>
      </c>
      <c r="U99" s="8">
        <f t="shared" si="17"/>
        <v>2</v>
      </c>
      <c r="V99" s="8">
        <f t="shared" si="18"/>
        <v>10</v>
      </c>
      <c r="W99" s="8">
        <f t="shared" si="19"/>
        <v>6</v>
      </c>
      <c r="X99" s="8">
        <f t="shared" si="20"/>
        <v>17</v>
      </c>
      <c r="Y99" s="8">
        <f t="shared" si="21"/>
        <v>4</v>
      </c>
      <c r="Z99" s="8">
        <f t="shared" si="22"/>
        <v>5</v>
      </c>
      <c r="AB99" s="25">
        <v>5</v>
      </c>
      <c r="AC99" s="25">
        <v>5</v>
      </c>
      <c r="AD99" s="25">
        <v>5</v>
      </c>
      <c r="AE99" s="25">
        <v>5</v>
      </c>
      <c r="AF99" s="25">
        <v>6</v>
      </c>
      <c r="AG99" s="25">
        <v>5</v>
      </c>
      <c r="AH99" s="25">
        <v>5</v>
      </c>
      <c r="AJ99" s="7">
        <v>1</v>
      </c>
      <c r="AK99" s="7">
        <v>1</v>
      </c>
      <c r="AL99" s="7">
        <v>1</v>
      </c>
      <c r="AM99" s="7">
        <v>2</v>
      </c>
      <c r="AN99" s="7">
        <v>2</v>
      </c>
      <c r="AO99" s="7">
        <v>1</v>
      </c>
      <c r="AP99" s="7">
        <v>1</v>
      </c>
    </row>
    <row r="100" spans="11:42" x14ac:dyDescent="0.3">
      <c r="K100" s="22">
        <v>96</v>
      </c>
      <c r="L100" s="24" t="s">
        <v>26</v>
      </c>
      <c r="M100" s="24" t="s">
        <v>87</v>
      </c>
      <c r="N100" s="24" t="s">
        <v>27</v>
      </c>
      <c r="O100" s="24" t="s">
        <v>74</v>
      </c>
      <c r="P100" s="24" t="s">
        <v>83</v>
      </c>
      <c r="Q100" s="24" t="s">
        <v>18</v>
      </c>
      <c r="R100" s="24" t="s">
        <v>24</v>
      </c>
      <c r="T100" s="8">
        <f t="shared" si="16"/>
        <v>9</v>
      </c>
      <c r="U100" s="8">
        <f t="shared" si="17"/>
        <v>22</v>
      </c>
      <c r="V100" s="8">
        <f t="shared" si="18"/>
        <v>10</v>
      </c>
      <c r="W100" s="8">
        <f t="shared" si="19"/>
        <v>6</v>
      </c>
      <c r="X100" s="8">
        <f t="shared" si="20"/>
        <v>17</v>
      </c>
      <c r="Y100" s="8">
        <f t="shared" si="21"/>
        <v>5</v>
      </c>
      <c r="Z100" s="8">
        <f t="shared" si="22"/>
        <v>8</v>
      </c>
      <c r="AB100" s="25">
        <v>5</v>
      </c>
      <c r="AC100" s="25">
        <v>0</v>
      </c>
      <c r="AD100" s="25">
        <v>0</v>
      </c>
      <c r="AE100" s="25">
        <v>0</v>
      </c>
      <c r="AF100" s="25">
        <v>0</v>
      </c>
      <c r="AG100" s="25">
        <v>5</v>
      </c>
      <c r="AH100" s="25">
        <v>5</v>
      </c>
      <c r="AJ100" s="7">
        <v>1</v>
      </c>
      <c r="AK100" s="7">
        <v>2</v>
      </c>
      <c r="AL100" s="7">
        <v>1</v>
      </c>
      <c r="AM100" s="7">
        <v>0</v>
      </c>
      <c r="AN100" s="7">
        <v>0</v>
      </c>
      <c r="AO100" s="7">
        <v>1</v>
      </c>
      <c r="AP100" s="7">
        <v>1</v>
      </c>
    </row>
    <row r="101" spans="11:42" x14ac:dyDescent="0.3">
      <c r="K101" s="21">
        <v>97</v>
      </c>
      <c r="L101" s="24" t="s">
        <v>27</v>
      </c>
      <c r="M101" s="24" t="s">
        <v>87</v>
      </c>
      <c r="N101" s="24" t="s">
        <v>19</v>
      </c>
      <c r="O101" s="24" t="s">
        <v>19</v>
      </c>
      <c r="P101" s="24" t="s">
        <v>21</v>
      </c>
      <c r="Q101" s="24" t="s">
        <v>28</v>
      </c>
      <c r="R101" s="24" t="s">
        <v>29</v>
      </c>
      <c r="T101" s="8">
        <f t="shared" si="16"/>
        <v>10</v>
      </c>
      <c r="U101" s="8">
        <f t="shared" si="17"/>
        <v>22</v>
      </c>
      <c r="V101" s="8">
        <f t="shared" si="18"/>
        <v>1</v>
      </c>
      <c r="W101" s="8">
        <f t="shared" si="19"/>
        <v>1</v>
      </c>
      <c r="X101" s="8">
        <f t="shared" si="20"/>
        <v>3</v>
      </c>
      <c r="Y101" s="8">
        <f t="shared" si="21"/>
        <v>11</v>
      </c>
      <c r="Z101" s="8">
        <f t="shared" si="22"/>
        <v>12</v>
      </c>
      <c r="AB101" s="25">
        <v>5</v>
      </c>
      <c r="AC101" s="25">
        <v>0</v>
      </c>
      <c r="AD101" s="25">
        <v>0</v>
      </c>
      <c r="AE101" s="25">
        <v>0</v>
      </c>
      <c r="AF101" s="25">
        <v>0</v>
      </c>
      <c r="AG101" s="25">
        <v>5</v>
      </c>
      <c r="AH101" s="25">
        <v>5</v>
      </c>
      <c r="AJ101" s="7">
        <v>1</v>
      </c>
      <c r="AK101" s="7">
        <v>0</v>
      </c>
      <c r="AL101" s="7">
        <v>1</v>
      </c>
      <c r="AM101" s="7">
        <v>1</v>
      </c>
      <c r="AN101" s="7">
        <v>2</v>
      </c>
      <c r="AO101" s="7">
        <v>1</v>
      </c>
      <c r="AP101" s="7">
        <v>1</v>
      </c>
    </row>
    <row r="102" spans="11:42" x14ac:dyDescent="0.3">
      <c r="K102" s="22">
        <v>98</v>
      </c>
      <c r="L102" s="24" t="s">
        <v>27</v>
      </c>
      <c r="M102" s="24" t="s">
        <v>189</v>
      </c>
      <c r="N102" s="24" t="s">
        <v>74</v>
      </c>
      <c r="O102" s="24" t="s">
        <v>82</v>
      </c>
      <c r="P102" s="24" t="s">
        <v>21</v>
      </c>
      <c r="Q102" s="24" t="s">
        <v>74</v>
      </c>
      <c r="R102" s="24" t="s">
        <v>17</v>
      </c>
      <c r="T102" s="8">
        <f t="shared" si="16"/>
        <v>10</v>
      </c>
      <c r="U102" s="8">
        <f t="shared" si="17"/>
        <v>20</v>
      </c>
      <c r="V102" s="8">
        <f t="shared" si="18"/>
        <v>6</v>
      </c>
      <c r="W102" s="8">
        <f t="shared" si="19"/>
        <v>16</v>
      </c>
      <c r="X102" s="8">
        <f t="shared" si="20"/>
        <v>3</v>
      </c>
      <c r="Y102" s="8">
        <f t="shared" si="21"/>
        <v>6</v>
      </c>
      <c r="Z102" s="8">
        <f t="shared" si="22"/>
        <v>4</v>
      </c>
      <c r="AB102" s="25">
        <v>5</v>
      </c>
      <c r="AC102" s="25">
        <v>0</v>
      </c>
      <c r="AD102" s="25">
        <v>0</v>
      </c>
      <c r="AE102" s="25">
        <v>0</v>
      </c>
      <c r="AF102" s="25">
        <v>0</v>
      </c>
      <c r="AG102" s="25">
        <v>5</v>
      </c>
      <c r="AH102" s="25">
        <v>5</v>
      </c>
      <c r="AJ102" s="7">
        <v>1</v>
      </c>
      <c r="AK102" s="7">
        <v>1</v>
      </c>
      <c r="AL102" s="7">
        <v>1</v>
      </c>
      <c r="AM102" s="7">
        <v>2</v>
      </c>
      <c r="AN102" s="7">
        <v>0</v>
      </c>
      <c r="AO102" s="7">
        <v>1</v>
      </c>
      <c r="AP102" s="7">
        <v>1</v>
      </c>
    </row>
    <row r="103" spans="11:42" x14ac:dyDescent="0.3">
      <c r="K103" s="21">
        <v>99</v>
      </c>
      <c r="L103" s="24" t="s">
        <v>21</v>
      </c>
      <c r="M103" s="24" t="s">
        <v>24</v>
      </c>
      <c r="N103" s="24" t="s">
        <v>24</v>
      </c>
      <c r="O103" s="24" t="s">
        <v>82</v>
      </c>
      <c r="P103" s="24" t="s">
        <v>27</v>
      </c>
      <c r="Q103" s="24" t="s">
        <v>27</v>
      </c>
      <c r="R103" s="24" t="s">
        <v>20</v>
      </c>
      <c r="T103" s="8">
        <f t="shared" si="16"/>
        <v>3</v>
      </c>
      <c r="U103" s="8">
        <f t="shared" si="17"/>
        <v>8</v>
      </c>
      <c r="V103" s="8">
        <f t="shared" si="18"/>
        <v>8</v>
      </c>
      <c r="W103" s="8">
        <f t="shared" si="19"/>
        <v>16</v>
      </c>
      <c r="X103" s="8">
        <f t="shared" si="20"/>
        <v>10</v>
      </c>
      <c r="Y103" s="8">
        <f t="shared" si="21"/>
        <v>10</v>
      </c>
      <c r="Z103" s="8">
        <f t="shared" si="22"/>
        <v>2</v>
      </c>
      <c r="AB103" s="25">
        <v>5</v>
      </c>
      <c r="AC103" s="25">
        <v>0</v>
      </c>
      <c r="AD103" s="25">
        <v>0</v>
      </c>
      <c r="AE103" s="25">
        <v>0</v>
      </c>
      <c r="AF103" s="25">
        <v>0</v>
      </c>
      <c r="AG103" s="25">
        <v>5</v>
      </c>
      <c r="AH103" s="25">
        <v>5</v>
      </c>
      <c r="AJ103" s="7">
        <v>1</v>
      </c>
      <c r="AK103" s="7">
        <v>1</v>
      </c>
      <c r="AL103" s="7">
        <v>1</v>
      </c>
      <c r="AM103" s="7">
        <v>0</v>
      </c>
      <c r="AN103" s="7">
        <v>1</v>
      </c>
      <c r="AO103" s="7">
        <v>1</v>
      </c>
      <c r="AP103" s="7">
        <v>1</v>
      </c>
    </row>
    <row r="104" spans="11:42" x14ac:dyDescent="0.3">
      <c r="K104" s="22">
        <v>100</v>
      </c>
      <c r="L104" s="24" t="s">
        <v>25</v>
      </c>
      <c r="M104" s="24" t="s">
        <v>84</v>
      </c>
      <c r="N104" s="24" t="s">
        <v>19</v>
      </c>
      <c r="O104" s="24" t="s">
        <v>19</v>
      </c>
      <c r="P104" s="24" t="s">
        <v>81</v>
      </c>
      <c r="Q104" s="24" t="s">
        <v>24</v>
      </c>
      <c r="R104" s="24" t="s">
        <v>20</v>
      </c>
      <c r="T104" s="8">
        <f t="shared" si="16"/>
        <v>8</v>
      </c>
      <c r="U104" s="8">
        <f t="shared" si="17"/>
        <v>19</v>
      </c>
      <c r="V104" s="8">
        <f t="shared" si="18"/>
        <v>1</v>
      </c>
      <c r="W104" s="8">
        <f t="shared" si="19"/>
        <v>1</v>
      </c>
      <c r="X104" s="8">
        <f t="shared" si="20"/>
        <v>15</v>
      </c>
      <c r="Y104" s="8">
        <f t="shared" si="21"/>
        <v>8</v>
      </c>
      <c r="Z104" s="8">
        <f t="shared" si="22"/>
        <v>2</v>
      </c>
      <c r="AB104" s="25">
        <v>5</v>
      </c>
      <c r="AC104" s="25">
        <v>5</v>
      </c>
      <c r="AD104" s="25">
        <v>5</v>
      </c>
      <c r="AE104" s="25">
        <v>5</v>
      </c>
      <c r="AF104" s="25">
        <v>6</v>
      </c>
      <c r="AG104" s="25">
        <v>5</v>
      </c>
      <c r="AH104" s="25">
        <v>5</v>
      </c>
      <c r="AJ104" s="7">
        <v>1</v>
      </c>
      <c r="AK104" s="7">
        <v>3</v>
      </c>
      <c r="AL104" s="7">
        <v>1</v>
      </c>
      <c r="AM104" s="7">
        <v>1</v>
      </c>
      <c r="AN104" s="7">
        <v>3</v>
      </c>
      <c r="AO104" s="7">
        <v>1</v>
      </c>
      <c r="AP104" s="7">
        <v>1</v>
      </c>
    </row>
    <row r="105" spans="11:42" x14ac:dyDescent="0.3">
      <c r="K105" s="21">
        <v>101</v>
      </c>
      <c r="L105" s="24" t="s">
        <v>26</v>
      </c>
      <c r="M105" s="24" t="s">
        <v>84</v>
      </c>
      <c r="N105" s="24" t="s">
        <v>79</v>
      </c>
      <c r="O105" s="24" t="s">
        <v>80</v>
      </c>
      <c r="P105" s="24" t="s">
        <v>81</v>
      </c>
      <c r="Q105" s="24" t="s">
        <v>26</v>
      </c>
      <c r="R105" s="24" t="s">
        <v>24</v>
      </c>
      <c r="T105" s="8">
        <f t="shared" si="16"/>
        <v>9</v>
      </c>
      <c r="U105" s="8">
        <f t="shared" si="17"/>
        <v>19</v>
      </c>
      <c r="V105" s="8">
        <f t="shared" si="18"/>
        <v>13</v>
      </c>
      <c r="W105" s="8">
        <f t="shared" si="19"/>
        <v>14</v>
      </c>
      <c r="X105" s="8">
        <f t="shared" si="20"/>
        <v>15</v>
      </c>
      <c r="Y105" s="8">
        <f t="shared" si="21"/>
        <v>9</v>
      </c>
      <c r="Z105" s="8">
        <f t="shared" si="22"/>
        <v>8</v>
      </c>
      <c r="AB105" s="25">
        <v>5</v>
      </c>
      <c r="AC105" s="25">
        <v>0</v>
      </c>
      <c r="AD105" s="25">
        <v>0</v>
      </c>
      <c r="AE105" s="25">
        <v>0</v>
      </c>
      <c r="AF105" s="25">
        <v>0</v>
      </c>
      <c r="AG105" s="25">
        <v>5</v>
      </c>
      <c r="AH105" s="25">
        <v>5</v>
      </c>
      <c r="AJ105" s="7">
        <v>1</v>
      </c>
      <c r="AK105" s="7">
        <v>0</v>
      </c>
      <c r="AL105" s="7">
        <v>3</v>
      </c>
      <c r="AM105" s="7">
        <v>3</v>
      </c>
      <c r="AN105" s="7">
        <v>0</v>
      </c>
      <c r="AO105" s="7">
        <v>1</v>
      </c>
      <c r="AP105" s="7">
        <v>1</v>
      </c>
    </row>
    <row r="106" spans="11:42" x14ac:dyDescent="0.3">
      <c r="K106" s="22">
        <v>102</v>
      </c>
      <c r="L106" s="24" t="s">
        <v>152</v>
      </c>
      <c r="M106" s="24" t="s">
        <v>84</v>
      </c>
      <c r="N106" s="24" t="s">
        <v>79</v>
      </c>
      <c r="O106" s="24" t="s">
        <v>80</v>
      </c>
      <c r="P106" s="24" t="s">
        <v>81</v>
      </c>
      <c r="Q106" s="24" t="s">
        <v>18</v>
      </c>
      <c r="R106" s="24" t="s">
        <v>24</v>
      </c>
      <c r="T106" s="8">
        <f t="shared" si="16"/>
        <v>7</v>
      </c>
      <c r="U106" s="8">
        <f t="shared" si="17"/>
        <v>19</v>
      </c>
      <c r="V106" s="8">
        <f t="shared" si="18"/>
        <v>13</v>
      </c>
      <c r="W106" s="8">
        <f t="shared" si="19"/>
        <v>14</v>
      </c>
      <c r="X106" s="8">
        <f t="shared" si="20"/>
        <v>15</v>
      </c>
      <c r="Y106" s="8">
        <f t="shared" si="21"/>
        <v>5</v>
      </c>
      <c r="Z106" s="8">
        <f t="shared" si="22"/>
        <v>8</v>
      </c>
      <c r="AB106" s="25">
        <v>5</v>
      </c>
      <c r="AC106" s="25">
        <v>0</v>
      </c>
      <c r="AD106" s="25">
        <v>0</v>
      </c>
      <c r="AE106" s="25">
        <v>0</v>
      </c>
      <c r="AF106" s="25">
        <v>0</v>
      </c>
      <c r="AG106" s="25">
        <v>5</v>
      </c>
      <c r="AH106" s="25">
        <v>5</v>
      </c>
      <c r="AJ106" s="7">
        <v>1</v>
      </c>
      <c r="AK106" s="7">
        <v>0</v>
      </c>
      <c r="AL106" s="7">
        <v>0</v>
      </c>
      <c r="AM106" s="7">
        <v>0</v>
      </c>
      <c r="AN106" s="7">
        <v>0</v>
      </c>
      <c r="AO106" s="7">
        <v>1</v>
      </c>
      <c r="AP106" s="7">
        <v>1</v>
      </c>
    </row>
    <row r="107" spans="11:42" x14ac:dyDescent="0.3">
      <c r="K107" s="21">
        <v>103</v>
      </c>
      <c r="L107" s="24" t="s">
        <v>152</v>
      </c>
      <c r="M107" s="24" t="s">
        <v>40</v>
      </c>
      <c r="N107" s="24" t="s">
        <v>79</v>
      </c>
      <c r="O107" s="24" t="s">
        <v>80</v>
      </c>
      <c r="P107" s="24" t="s">
        <v>83</v>
      </c>
      <c r="Q107" s="24" t="s">
        <v>28</v>
      </c>
      <c r="R107" s="24" t="s">
        <v>24</v>
      </c>
      <c r="T107" s="8">
        <f t="shared" si="16"/>
        <v>7</v>
      </c>
      <c r="U107" s="8">
        <f t="shared" si="17"/>
        <v>12</v>
      </c>
      <c r="V107" s="8">
        <f t="shared" si="18"/>
        <v>13</v>
      </c>
      <c r="W107" s="8">
        <f t="shared" si="19"/>
        <v>14</v>
      </c>
      <c r="X107" s="8">
        <f t="shared" si="20"/>
        <v>17</v>
      </c>
      <c r="Y107" s="8">
        <f t="shared" si="21"/>
        <v>11</v>
      </c>
      <c r="Z107" s="8">
        <f t="shared" si="22"/>
        <v>8</v>
      </c>
      <c r="AB107" s="25">
        <v>5</v>
      </c>
      <c r="AC107" s="25">
        <v>0</v>
      </c>
      <c r="AD107" s="25">
        <v>0</v>
      </c>
      <c r="AE107" s="25">
        <v>0</v>
      </c>
      <c r="AF107" s="25">
        <v>0</v>
      </c>
      <c r="AG107" s="25">
        <v>5</v>
      </c>
      <c r="AH107" s="25">
        <v>5</v>
      </c>
      <c r="AJ107" s="7">
        <v>1</v>
      </c>
      <c r="AK107" s="7">
        <v>2</v>
      </c>
      <c r="AL107" s="7">
        <v>0</v>
      </c>
      <c r="AM107" s="7">
        <v>0</v>
      </c>
      <c r="AN107" s="7">
        <v>2</v>
      </c>
      <c r="AO107" s="7">
        <v>1</v>
      </c>
      <c r="AP107" s="7">
        <v>1</v>
      </c>
    </row>
    <row r="108" spans="11:42" x14ac:dyDescent="0.3">
      <c r="K108" s="22">
        <v>104</v>
      </c>
      <c r="L108" s="24" t="s">
        <v>29</v>
      </c>
      <c r="M108" s="24" t="s">
        <v>40</v>
      </c>
      <c r="N108" s="24" t="s">
        <v>24</v>
      </c>
      <c r="O108" s="24" t="s">
        <v>26</v>
      </c>
      <c r="P108" s="24" t="s">
        <v>83</v>
      </c>
      <c r="Q108" s="24" t="s">
        <v>29</v>
      </c>
      <c r="R108" s="24" t="s">
        <v>17</v>
      </c>
      <c r="T108" s="8">
        <f t="shared" si="16"/>
        <v>12</v>
      </c>
      <c r="U108" s="8">
        <f t="shared" si="17"/>
        <v>12</v>
      </c>
      <c r="V108" s="8">
        <f t="shared" si="18"/>
        <v>8</v>
      </c>
      <c r="W108" s="8">
        <f t="shared" si="19"/>
        <v>9</v>
      </c>
      <c r="X108" s="8">
        <f t="shared" si="20"/>
        <v>17</v>
      </c>
      <c r="Y108" s="8">
        <f t="shared" si="21"/>
        <v>12</v>
      </c>
      <c r="Z108" s="8">
        <f t="shared" si="22"/>
        <v>4</v>
      </c>
      <c r="AB108" s="25">
        <v>5</v>
      </c>
      <c r="AC108" s="25">
        <v>0</v>
      </c>
      <c r="AD108" s="25">
        <v>0</v>
      </c>
      <c r="AE108" s="25">
        <v>0</v>
      </c>
      <c r="AF108" s="25">
        <v>0</v>
      </c>
      <c r="AG108" s="25">
        <v>5</v>
      </c>
      <c r="AH108" s="25">
        <v>5</v>
      </c>
      <c r="AJ108" s="7">
        <v>1</v>
      </c>
      <c r="AK108" s="7">
        <v>0</v>
      </c>
      <c r="AL108" s="7">
        <v>1</v>
      </c>
      <c r="AM108" s="7">
        <v>1</v>
      </c>
      <c r="AN108" s="7">
        <v>0</v>
      </c>
      <c r="AO108" s="7">
        <v>1</v>
      </c>
      <c r="AP108" s="7">
        <v>1</v>
      </c>
    </row>
    <row r="109" spans="11:42" x14ac:dyDescent="0.3">
      <c r="K109" s="21">
        <v>105</v>
      </c>
      <c r="L109" s="24" t="s">
        <v>35</v>
      </c>
      <c r="M109" s="24" t="s">
        <v>40</v>
      </c>
      <c r="N109" s="24" t="s">
        <v>24</v>
      </c>
      <c r="O109" s="24" t="s">
        <v>27</v>
      </c>
      <c r="P109" s="24" t="s">
        <v>28</v>
      </c>
      <c r="Q109" s="24" t="s">
        <v>29</v>
      </c>
      <c r="R109" s="24" t="s">
        <v>17</v>
      </c>
      <c r="T109" s="8">
        <f t="shared" si="16"/>
        <v>5</v>
      </c>
      <c r="U109" s="8">
        <f t="shared" si="17"/>
        <v>12</v>
      </c>
      <c r="V109" s="8">
        <f t="shared" si="18"/>
        <v>8</v>
      </c>
      <c r="W109" s="8">
        <f t="shared" si="19"/>
        <v>10</v>
      </c>
      <c r="X109" s="8">
        <f t="shared" si="20"/>
        <v>11</v>
      </c>
      <c r="Y109" s="8">
        <f t="shared" si="21"/>
        <v>12</v>
      </c>
      <c r="Z109" s="8">
        <f t="shared" si="22"/>
        <v>4</v>
      </c>
      <c r="AB109" s="25">
        <v>5</v>
      </c>
      <c r="AC109" s="25">
        <v>5</v>
      </c>
      <c r="AD109" s="25">
        <v>5</v>
      </c>
      <c r="AE109" s="25">
        <v>5</v>
      </c>
      <c r="AF109" s="25">
        <v>4</v>
      </c>
      <c r="AG109" s="25">
        <v>5</v>
      </c>
      <c r="AH109" s="25">
        <v>5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</row>
    <row r="110" spans="11:42" x14ac:dyDescent="0.3">
      <c r="K110" s="22">
        <v>106</v>
      </c>
      <c r="L110" s="24" t="s">
        <v>21</v>
      </c>
      <c r="M110" s="24" t="s">
        <v>74</v>
      </c>
      <c r="N110" s="24" t="s">
        <v>28</v>
      </c>
      <c r="O110" s="24" t="s">
        <v>27</v>
      </c>
      <c r="P110" s="24" t="s">
        <v>17</v>
      </c>
      <c r="Q110" s="24" t="s">
        <v>24</v>
      </c>
      <c r="R110" s="24" t="s">
        <v>17</v>
      </c>
      <c r="T110" s="8">
        <f t="shared" si="16"/>
        <v>3</v>
      </c>
      <c r="U110" s="8">
        <f t="shared" si="17"/>
        <v>6</v>
      </c>
      <c r="V110" s="8">
        <f t="shared" si="18"/>
        <v>11</v>
      </c>
      <c r="W110" s="8">
        <f t="shared" si="19"/>
        <v>10</v>
      </c>
      <c r="X110" s="8">
        <f t="shared" si="20"/>
        <v>4</v>
      </c>
      <c r="Y110" s="8">
        <f t="shared" si="21"/>
        <v>8</v>
      </c>
      <c r="Z110" s="8">
        <f t="shared" si="22"/>
        <v>4</v>
      </c>
      <c r="AB110" s="25">
        <v>5</v>
      </c>
      <c r="AC110" s="25">
        <v>0</v>
      </c>
      <c r="AD110" s="25">
        <v>0</v>
      </c>
      <c r="AE110" s="25">
        <v>0</v>
      </c>
      <c r="AF110" s="25">
        <v>1</v>
      </c>
      <c r="AG110" s="25">
        <v>5</v>
      </c>
      <c r="AH110" s="25">
        <v>5</v>
      </c>
      <c r="AJ110" s="7">
        <v>1</v>
      </c>
      <c r="AK110" s="7">
        <v>1</v>
      </c>
      <c r="AL110" s="7">
        <v>1</v>
      </c>
      <c r="AM110" s="7">
        <v>1</v>
      </c>
      <c r="AN110" s="7">
        <v>3</v>
      </c>
      <c r="AO110" s="7">
        <v>1</v>
      </c>
      <c r="AP110" s="7">
        <v>1</v>
      </c>
    </row>
    <row r="111" spans="11:42" x14ac:dyDescent="0.3">
      <c r="K111" s="21">
        <v>107</v>
      </c>
      <c r="L111" s="24" t="s">
        <v>36</v>
      </c>
      <c r="M111" s="24" t="s">
        <v>17</v>
      </c>
      <c r="N111" s="24" t="s">
        <v>28</v>
      </c>
      <c r="O111" s="24" t="s">
        <v>19</v>
      </c>
      <c r="P111" s="24" t="s">
        <v>17</v>
      </c>
      <c r="Q111" s="24" t="s">
        <v>27</v>
      </c>
      <c r="R111" s="24" t="s">
        <v>74</v>
      </c>
      <c r="T111" s="8">
        <f t="shared" si="16"/>
        <v>1</v>
      </c>
      <c r="U111" s="8">
        <f t="shared" si="17"/>
        <v>4</v>
      </c>
      <c r="V111" s="8">
        <f t="shared" si="18"/>
        <v>11</v>
      </c>
      <c r="W111" s="8">
        <f t="shared" si="19"/>
        <v>1</v>
      </c>
      <c r="X111" s="8">
        <f t="shared" si="20"/>
        <v>4</v>
      </c>
      <c r="Y111" s="8">
        <f t="shared" si="21"/>
        <v>10</v>
      </c>
      <c r="Z111" s="8">
        <f t="shared" si="22"/>
        <v>6</v>
      </c>
      <c r="AB111" s="25">
        <v>5</v>
      </c>
      <c r="AC111" s="25">
        <v>0</v>
      </c>
      <c r="AD111" s="25">
        <v>0</v>
      </c>
      <c r="AE111" s="25">
        <v>0</v>
      </c>
      <c r="AF111" s="25">
        <v>0</v>
      </c>
      <c r="AG111" s="25">
        <v>5</v>
      </c>
      <c r="AH111" s="25">
        <v>5</v>
      </c>
      <c r="AJ111" s="7">
        <v>1</v>
      </c>
      <c r="AK111" s="7">
        <v>2</v>
      </c>
      <c r="AL111" s="7">
        <v>1</v>
      </c>
      <c r="AM111" s="7">
        <v>1</v>
      </c>
      <c r="AN111" s="7">
        <v>0</v>
      </c>
      <c r="AO111" s="7">
        <v>1</v>
      </c>
      <c r="AP111" s="7">
        <v>1</v>
      </c>
    </row>
    <row r="112" spans="11:42" x14ac:dyDescent="0.3">
      <c r="K112" s="22">
        <v>108</v>
      </c>
      <c r="L112" s="24" t="s">
        <v>26</v>
      </c>
      <c r="M112" s="24" t="s">
        <v>17</v>
      </c>
      <c r="N112" s="24" t="s">
        <v>19</v>
      </c>
      <c r="O112" s="24" t="s">
        <v>85</v>
      </c>
      <c r="P112" s="24" t="s">
        <v>17</v>
      </c>
      <c r="Q112" s="24" t="s">
        <v>18</v>
      </c>
      <c r="R112" s="24" t="s">
        <v>74</v>
      </c>
      <c r="T112" s="8">
        <f t="shared" si="16"/>
        <v>9</v>
      </c>
      <c r="U112" s="8">
        <f t="shared" si="17"/>
        <v>4</v>
      </c>
      <c r="V112" s="8">
        <f t="shared" si="18"/>
        <v>1</v>
      </c>
      <c r="W112" s="8">
        <f t="shared" si="19"/>
        <v>20</v>
      </c>
      <c r="X112" s="8">
        <f t="shared" si="20"/>
        <v>4</v>
      </c>
      <c r="Y112" s="8">
        <f t="shared" si="21"/>
        <v>5</v>
      </c>
      <c r="Z112" s="8">
        <f t="shared" si="22"/>
        <v>6</v>
      </c>
      <c r="AB112" s="25">
        <v>5</v>
      </c>
      <c r="AC112" s="25">
        <v>0</v>
      </c>
      <c r="AD112" s="25">
        <v>0</v>
      </c>
      <c r="AE112" s="25">
        <v>0</v>
      </c>
      <c r="AF112" s="25">
        <v>0</v>
      </c>
      <c r="AG112" s="25">
        <v>5</v>
      </c>
      <c r="AH112" s="25">
        <v>5</v>
      </c>
      <c r="AJ112" s="7">
        <v>1</v>
      </c>
      <c r="AK112" s="7">
        <v>0</v>
      </c>
      <c r="AL112" s="7">
        <v>1</v>
      </c>
      <c r="AM112" s="7">
        <v>2</v>
      </c>
      <c r="AN112" s="7">
        <v>0</v>
      </c>
      <c r="AO112" s="7">
        <v>1</v>
      </c>
      <c r="AP112" s="7">
        <v>1</v>
      </c>
    </row>
    <row r="113" spans="11:42" x14ac:dyDescent="0.3">
      <c r="K113" s="21">
        <v>109</v>
      </c>
      <c r="L113" s="24" t="s">
        <v>29</v>
      </c>
      <c r="M113" s="24" t="s">
        <v>24</v>
      </c>
      <c r="N113" s="24" t="s">
        <v>21</v>
      </c>
      <c r="O113" s="24" t="s">
        <v>85</v>
      </c>
      <c r="P113" s="24" t="s">
        <v>74</v>
      </c>
      <c r="Q113" s="24" t="s">
        <v>24</v>
      </c>
      <c r="R113" s="24" t="s">
        <v>36</v>
      </c>
      <c r="T113" s="8">
        <f t="shared" si="16"/>
        <v>12</v>
      </c>
      <c r="U113" s="8">
        <f t="shared" si="17"/>
        <v>8</v>
      </c>
      <c r="V113" s="8">
        <f t="shared" si="18"/>
        <v>3</v>
      </c>
      <c r="W113" s="8">
        <f t="shared" si="19"/>
        <v>20</v>
      </c>
      <c r="X113" s="8">
        <f t="shared" si="20"/>
        <v>6</v>
      </c>
      <c r="Y113" s="8">
        <f t="shared" si="21"/>
        <v>8</v>
      </c>
      <c r="Z113" s="8">
        <f t="shared" si="22"/>
        <v>1</v>
      </c>
      <c r="AB113" s="25">
        <v>5</v>
      </c>
      <c r="AC113" s="25">
        <v>0</v>
      </c>
      <c r="AD113" s="25">
        <v>0</v>
      </c>
      <c r="AE113" s="25">
        <v>0</v>
      </c>
      <c r="AF113" s="25">
        <v>1</v>
      </c>
      <c r="AG113" s="25">
        <v>5</v>
      </c>
      <c r="AH113" s="25">
        <v>5</v>
      </c>
      <c r="AJ113" s="7">
        <v>1</v>
      </c>
      <c r="AK113" s="7">
        <v>1</v>
      </c>
      <c r="AL113" s="7">
        <v>1</v>
      </c>
      <c r="AM113" s="7">
        <v>0</v>
      </c>
      <c r="AN113" s="7">
        <v>1</v>
      </c>
      <c r="AO113" s="7">
        <v>1</v>
      </c>
      <c r="AP113" s="7">
        <v>1</v>
      </c>
    </row>
    <row r="114" spans="11:42" x14ac:dyDescent="0.3">
      <c r="K114" s="22">
        <v>110</v>
      </c>
      <c r="L114" s="24" t="s">
        <v>34</v>
      </c>
      <c r="M114" s="24" t="s">
        <v>24</v>
      </c>
      <c r="N114" s="24" t="s">
        <v>27</v>
      </c>
      <c r="O114" s="24" t="s">
        <v>17</v>
      </c>
      <c r="P114" s="24" t="s">
        <v>21</v>
      </c>
      <c r="Q114" s="24" t="s">
        <v>28</v>
      </c>
      <c r="R114" s="24" t="s">
        <v>28</v>
      </c>
      <c r="T114" s="8">
        <f t="shared" si="16"/>
        <v>4</v>
      </c>
      <c r="U114" s="8">
        <f t="shared" si="17"/>
        <v>8</v>
      </c>
      <c r="V114" s="8">
        <f t="shared" si="18"/>
        <v>10</v>
      </c>
      <c r="W114" s="8">
        <f t="shared" si="19"/>
        <v>4</v>
      </c>
      <c r="X114" s="8">
        <f t="shared" si="20"/>
        <v>3</v>
      </c>
      <c r="Y114" s="8">
        <f t="shared" si="21"/>
        <v>11</v>
      </c>
      <c r="Z114" s="8">
        <f t="shared" si="22"/>
        <v>11</v>
      </c>
      <c r="AB114" s="25">
        <v>5</v>
      </c>
      <c r="AC114" s="25">
        <v>5</v>
      </c>
      <c r="AD114" s="25">
        <v>5</v>
      </c>
      <c r="AE114" s="25">
        <v>5</v>
      </c>
      <c r="AF114" s="25">
        <v>5</v>
      </c>
      <c r="AG114" s="25">
        <v>5</v>
      </c>
      <c r="AH114" s="25">
        <v>5</v>
      </c>
      <c r="AJ114" s="7">
        <v>1</v>
      </c>
      <c r="AK114" s="7">
        <v>1</v>
      </c>
      <c r="AL114" s="7">
        <v>1</v>
      </c>
      <c r="AM114" s="7">
        <v>2</v>
      </c>
      <c r="AN114" s="7">
        <v>1</v>
      </c>
      <c r="AO114" s="7">
        <v>1</v>
      </c>
      <c r="AP114" s="7">
        <v>1</v>
      </c>
    </row>
    <row r="115" spans="11:42" x14ac:dyDescent="0.3">
      <c r="K115" s="21">
        <v>111</v>
      </c>
      <c r="L115" s="24" t="s">
        <v>74</v>
      </c>
      <c r="M115" s="24" t="s">
        <v>19</v>
      </c>
      <c r="N115" s="24" t="s">
        <v>19</v>
      </c>
      <c r="O115" s="24" t="s">
        <v>17</v>
      </c>
      <c r="P115" s="24" t="s">
        <v>87</v>
      </c>
      <c r="Q115" s="24" t="s">
        <v>74</v>
      </c>
      <c r="R115" s="24" t="s">
        <v>28</v>
      </c>
      <c r="T115" s="8">
        <f t="shared" si="16"/>
        <v>6</v>
      </c>
      <c r="U115" s="8">
        <f t="shared" si="17"/>
        <v>1</v>
      </c>
      <c r="V115" s="8">
        <f t="shared" si="18"/>
        <v>1</v>
      </c>
      <c r="W115" s="8">
        <f t="shared" si="19"/>
        <v>4</v>
      </c>
      <c r="X115" s="8">
        <f t="shared" si="20"/>
        <v>22</v>
      </c>
      <c r="Y115" s="8">
        <f t="shared" si="21"/>
        <v>6</v>
      </c>
      <c r="Z115" s="8">
        <f t="shared" si="22"/>
        <v>11</v>
      </c>
      <c r="AB115" s="25">
        <v>5</v>
      </c>
      <c r="AC115" s="25">
        <v>0</v>
      </c>
      <c r="AD115" s="25">
        <v>0</v>
      </c>
      <c r="AE115" s="25">
        <v>0</v>
      </c>
      <c r="AF115" s="25">
        <v>0</v>
      </c>
      <c r="AG115" s="25">
        <v>5</v>
      </c>
      <c r="AH115" s="25">
        <v>5</v>
      </c>
      <c r="AJ115" s="7">
        <v>1</v>
      </c>
      <c r="AK115" s="7">
        <v>1</v>
      </c>
      <c r="AL115" s="7">
        <v>1</v>
      </c>
      <c r="AM115" s="7">
        <v>0</v>
      </c>
      <c r="AN115" s="7">
        <v>2</v>
      </c>
      <c r="AO115" s="7">
        <v>1</v>
      </c>
      <c r="AP115" s="7">
        <v>1</v>
      </c>
    </row>
    <row r="116" spans="11:42" x14ac:dyDescent="0.3">
      <c r="K116" s="22">
        <v>112</v>
      </c>
      <c r="L116" s="24" t="s">
        <v>74</v>
      </c>
      <c r="M116" s="24" t="s">
        <v>82</v>
      </c>
      <c r="N116" s="24" t="s">
        <v>83</v>
      </c>
      <c r="O116" s="24" t="s">
        <v>27</v>
      </c>
      <c r="P116" s="24" t="s">
        <v>87</v>
      </c>
      <c r="Q116" s="24" t="s">
        <v>27</v>
      </c>
      <c r="R116" s="24" t="s">
        <v>28</v>
      </c>
      <c r="T116" s="8">
        <f t="shared" si="16"/>
        <v>6</v>
      </c>
      <c r="U116" s="8">
        <f t="shared" si="17"/>
        <v>16</v>
      </c>
      <c r="V116" s="8">
        <f t="shared" si="18"/>
        <v>17</v>
      </c>
      <c r="W116" s="8">
        <f t="shared" si="19"/>
        <v>10</v>
      </c>
      <c r="X116" s="8">
        <f t="shared" si="20"/>
        <v>22</v>
      </c>
      <c r="Y116" s="8">
        <f t="shared" si="21"/>
        <v>10</v>
      </c>
      <c r="Z116" s="8">
        <f t="shared" si="22"/>
        <v>11</v>
      </c>
      <c r="AB116" s="25">
        <v>5</v>
      </c>
      <c r="AC116" s="25">
        <v>0</v>
      </c>
      <c r="AD116" s="25">
        <v>0</v>
      </c>
      <c r="AE116" s="25">
        <v>0</v>
      </c>
      <c r="AF116" s="25">
        <v>0</v>
      </c>
      <c r="AG116" s="25">
        <v>5</v>
      </c>
      <c r="AH116" s="25">
        <v>5</v>
      </c>
      <c r="AJ116" s="7">
        <v>1</v>
      </c>
      <c r="AK116" s="7">
        <v>2</v>
      </c>
      <c r="AL116" s="7">
        <v>2</v>
      </c>
      <c r="AM116" s="7">
        <v>1</v>
      </c>
      <c r="AN116" s="7">
        <v>0</v>
      </c>
      <c r="AO116" s="7">
        <v>1</v>
      </c>
      <c r="AP116" s="7">
        <v>1</v>
      </c>
    </row>
    <row r="117" spans="11:42" x14ac:dyDescent="0.3">
      <c r="K117" s="21">
        <v>113</v>
      </c>
      <c r="L117" s="24" t="s">
        <v>29</v>
      </c>
      <c r="M117" s="24" t="s">
        <v>82</v>
      </c>
      <c r="N117" s="24" t="s">
        <v>83</v>
      </c>
      <c r="O117" s="24" t="s">
        <v>19</v>
      </c>
      <c r="P117" s="24" t="s">
        <v>36</v>
      </c>
      <c r="Q117" s="24" t="s">
        <v>24</v>
      </c>
      <c r="R117" s="24" t="s">
        <v>74</v>
      </c>
      <c r="T117" s="8">
        <f t="shared" si="16"/>
        <v>12</v>
      </c>
      <c r="U117" s="8">
        <f t="shared" si="17"/>
        <v>16</v>
      </c>
      <c r="V117" s="8">
        <f t="shared" si="18"/>
        <v>17</v>
      </c>
      <c r="W117" s="8">
        <f t="shared" si="19"/>
        <v>1</v>
      </c>
      <c r="X117" s="8">
        <f t="shared" si="20"/>
        <v>1</v>
      </c>
      <c r="Y117" s="8">
        <f t="shared" si="21"/>
        <v>8</v>
      </c>
      <c r="Z117" s="8">
        <f t="shared" si="22"/>
        <v>6</v>
      </c>
      <c r="AB117" s="25">
        <v>5</v>
      </c>
      <c r="AC117" s="25">
        <v>0</v>
      </c>
      <c r="AD117" s="25">
        <v>0</v>
      </c>
      <c r="AE117" s="25">
        <v>0</v>
      </c>
      <c r="AF117" s="25">
        <v>0</v>
      </c>
      <c r="AG117" s="25">
        <v>5</v>
      </c>
      <c r="AH117" s="25">
        <v>5</v>
      </c>
      <c r="AJ117" s="7">
        <v>1</v>
      </c>
      <c r="AK117" s="7">
        <v>0</v>
      </c>
      <c r="AL117" s="7">
        <v>0</v>
      </c>
      <c r="AM117" s="7">
        <v>1</v>
      </c>
      <c r="AN117" s="7">
        <v>1</v>
      </c>
      <c r="AO117" s="7">
        <v>1</v>
      </c>
      <c r="AP117" s="7">
        <v>1</v>
      </c>
    </row>
    <row r="118" spans="11:42" x14ac:dyDescent="0.3">
      <c r="K118" s="22">
        <v>114</v>
      </c>
      <c r="L118" s="24" t="s">
        <v>29</v>
      </c>
      <c r="M118" s="24" t="s">
        <v>28</v>
      </c>
      <c r="N118" s="24" t="s">
        <v>18</v>
      </c>
      <c r="O118" s="24" t="s">
        <v>24</v>
      </c>
      <c r="P118" s="24" t="s">
        <v>24</v>
      </c>
      <c r="Q118" s="24" t="s">
        <v>74</v>
      </c>
      <c r="R118" s="24" t="s">
        <v>18</v>
      </c>
      <c r="T118" s="8">
        <f t="shared" si="16"/>
        <v>12</v>
      </c>
      <c r="U118" s="8">
        <f t="shared" si="17"/>
        <v>11</v>
      </c>
      <c r="V118" s="8">
        <f t="shared" si="18"/>
        <v>5</v>
      </c>
      <c r="W118" s="8">
        <f t="shared" si="19"/>
        <v>8</v>
      </c>
      <c r="X118" s="8">
        <f t="shared" si="20"/>
        <v>8</v>
      </c>
      <c r="Y118" s="8">
        <f t="shared" si="21"/>
        <v>6</v>
      </c>
      <c r="Z118" s="8">
        <f t="shared" si="22"/>
        <v>5</v>
      </c>
      <c r="AB118" s="25">
        <v>5</v>
      </c>
      <c r="AC118" s="25">
        <v>0</v>
      </c>
      <c r="AD118" s="25">
        <v>0</v>
      </c>
      <c r="AE118" s="25">
        <v>0</v>
      </c>
      <c r="AF118" s="25">
        <v>1</v>
      </c>
      <c r="AG118" s="25">
        <v>5</v>
      </c>
      <c r="AH118" s="25">
        <v>5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</row>
    <row r="119" spans="11:42" x14ac:dyDescent="0.3">
      <c r="K119" s="21">
        <v>115</v>
      </c>
      <c r="L119" s="24" t="s">
        <v>34</v>
      </c>
      <c r="M119" s="24" t="s">
        <v>20</v>
      </c>
      <c r="N119" s="24" t="s">
        <v>27</v>
      </c>
      <c r="O119" s="24" t="s">
        <v>74</v>
      </c>
      <c r="P119" s="24" t="s">
        <v>83</v>
      </c>
      <c r="Q119" s="24" t="s">
        <v>17</v>
      </c>
      <c r="R119" s="24" t="s">
        <v>18</v>
      </c>
      <c r="T119" s="8">
        <f t="shared" si="16"/>
        <v>4</v>
      </c>
      <c r="U119" s="8">
        <f t="shared" si="17"/>
        <v>2</v>
      </c>
      <c r="V119" s="8">
        <f t="shared" si="18"/>
        <v>10</v>
      </c>
      <c r="W119" s="8">
        <f t="shared" si="19"/>
        <v>6</v>
      </c>
      <c r="X119" s="8">
        <f t="shared" si="20"/>
        <v>17</v>
      </c>
      <c r="Y119" s="8">
        <f t="shared" si="21"/>
        <v>4</v>
      </c>
      <c r="Z119" s="8">
        <f t="shared" si="22"/>
        <v>5</v>
      </c>
      <c r="AB119" s="25">
        <v>5</v>
      </c>
      <c r="AC119" s="25">
        <v>5</v>
      </c>
      <c r="AD119" s="25">
        <v>5</v>
      </c>
      <c r="AE119" s="25">
        <v>5</v>
      </c>
      <c r="AF119" s="25">
        <v>6</v>
      </c>
      <c r="AG119" s="25">
        <v>5</v>
      </c>
      <c r="AH119" s="25">
        <v>5</v>
      </c>
      <c r="AJ119" s="7">
        <v>1</v>
      </c>
      <c r="AK119" s="7">
        <v>1</v>
      </c>
      <c r="AL119" s="7">
        <v>1</v>
      </c>
      <c r="AM119" s="7">
        <v>2</v>
      </c>
      <c r="AN119" s="7">
        <v>2</v>
      </c>
      <c r="AO119" s="7">
        <v>1</v>
      </c>
      <c r="AP119" s="7">
        <v>1</v>
      </c>
    </row>
    <row r="120" spans="11:42" x14ac:dyDescent="0.3">
      <c r="K120" s="22">
        <v>116</v>
      </c>
      <c r="L120" s="24" t="s">
        <v>26</v>
      </c>
      <c r="M120" s="24" t="s">
        <v>87</v>
      </c>
      <c r="N120" s="24" t="s">
        <v>27</v>
      </c>
      <c r="O120" s="24" t="s">
        <v>74</v>
      </c>
      <c r="P120" s="24" t="s">
        <v>83</v>
      </c>
      <c r="Q120" s="24" t="s">
        <v>18</v>
      </c>
      <c r="R120" s="24" t="s">
        <v>24</v>
      </c>
      <c r="T120" s="8">
        <f t="shared" si="16"/>
        <v>9</v>
      </c>
      <c r="U120" s="8">
        <f t="shared" si="17"/>
        <v>22</v>
      </c>
      <c r="V120" s="8">
        <f t="shared" si="18"/>
        <v>10</v>
      </c>
      <c r="W120" s="8">
        <f t="shared" si="19"/>
        <v>6</v>
      </c>
      <c r="X120" s="8">
        <f t="shared" si="20"/>
        <v>17</v>
      </c>
      <c r="Y120" s="8">
        <f t="shared" si="21"/>
        <v>5</v>
      </c>
      <c r="Z120" s="8">
        <f t="shared" si="22"/>
        <v>8</v>
      </c>
      <c r="AB120" s="25">
        <v>5</v>
      </c>
      <c r="AC120" s="25">
        <v>0</v>
      </c>
      <c r="AD120" s="25">
        <v>0</v>
      </c>
      <c r="AE120" s="25">
        <v>0</v>
      </c>
      <c r="AF120" s="25">
        <v>0</v>
      </c>
      <c r="AG120" s="25">
        <v>5</v>
      </c>
      <c r="AH120" s="25">
        <v>5</v>
      </c>
      <c r="AJ120" s="7">
        <v>1</v>
      </c>
      <c r="AK120" s="7">
        <v>2</v>
      </c>
      <c r="AL120" s="7">
        <v>1</v>
      </c>
      <c r="AM120" s="7">
        <v>0</v>
      </c>
      <c r="AN120" s="7">
        <v>0</v>
      </c>
      <c r="AO120" s="7">
        <v>1</v>
      </c>
      <c r="AP120" s="7">
        <v>1</v>
      </c>
    </row>
    <row r="121" spans="11:42" x14ac:dyDescent="0.3">
      <c r="K121" s="21">
        <v>117</v>
      </c>
      <c r="L121" s="24" t="s">
        <v>27</v>
      </c>
      <c r="M121" s="24" t="s">
        <v>87</v>
      </c>
      <c r="N121" s="24" t="s">
        <v>19</v>
      </c>
      <c r="O121" s="24" t="s">
        <v>19</v>
      </c>
      <c r="P121" s="24" t="s">
        <v>21</v>
      </c>
      <c r="Q121" s="24" t="s">
        <v>28</v>
      </c>
      <c r="R121" s="24" t="s">
        <v>29</v>
      </c>
      <c r="T121" s="8">
        <f t="shared" si="16"/>
        <v>10</v>
      </c>
      <c r="U121" s="8">
        <f t="shared" si="17"/>
        <v>22</v>
      </c>
      <c r="V121" s="8">
        <f t="shared" si="18"/>
        <v>1</v>
      </c>
      <c r="W121" s="8">
        <f t="shared" si="19"/>
        <v>1</v>
      </c>
      <c r="X121" s="8">
        <f t="shared" si="20"/>
        <v>3</v>
      </c>
      <c r="Y121" s="8">
        <f t="shared" si="21"/>
        <v>11</v>
      </c>
      <c r="Z121" s="8">
        <f t="shared" si="22"/>
        <v>12</v>
      </c>
      <c r="AB121" s="25">
        <v>5</v>
      </c>
      <c r="AC121" s="25">
        <v>0</v>
      </c>
      <c r="AD121" s="25">
        <v>0</v>
      </c>
      <c r="AE121" s="25">
        <v>0</v>
      </c>
      <c r="AF121" s="25">
        <v>0</v>
      </c>
      <c r="AG121" s="25">
        <v>5</v>
      </c>
      <c r="AH121" s="25">
        <v>5</v>
      </c>
      <c r="AJ121" s="7">
        <v>1</v>
      </c>
      <c r="AK121" s="7">
        <v>0</v>
      </c>
      <c r="AL121" s="7">
        <v>1</v>
      </c>
      <c r="AM121" s="7">
        <v>1</v>
      </c>
      <c r="AN121" s="7">
        <v>2</v>
      </c>
      <c r="AO121" s="7">
        <v>1</v>
      </c>
      <c r="AP121" s="7">
        <v>1</v>
      </c>
    </row>
    <row r="122" spans="11:42" x14ac:dyDescent="0.3">
      <c r="K122" s="22">
        <v>118</v>
      </c>
      <c r="L122" s="24" t="s">
        <v>27</v>
      </c>
      <c r="M122" s="24" t="s">
        <v>19</v>
      </c>
      <c r="N122" s="24" t="s">
        <v>74</v>
      </c>
      <c r="O122" s="24" t="s">
        <v>82</v>
      </c>
      <c r="P122" s="24" t="s">
        <v>21</v>
      </c>
      <c r="Q122" s="24" t="s">
        <v>74</v>
      </c>
      <c r="R122" s="24" t="s">
        <v>17</v>
      </c>
      <c r="T122" s="8">
        <f t="shared" si="16"/>
        <v>10</v>
      </c>
      <c r="U122" s="8">
        <f t="shared" si="17"/>
        <v>1</v>
      </c>
      <c r="V122" s="8">
        <f t="shared" si="18"/>
        <v>6</v>
      </c>
      <c r="W122" s="8">
        <f t="shared" si="19"/>
        <v>16</v>
      </c>
      <c r="X122" s="8">
        <f t="shared" si="20"/>
        <v>3</v>
      </c>
      <c r="Y122" s="8">
        <f t="shared" si="21"/>
        <v>6</v>
      </c>
      <c r="Z122" s="8">
        <f t="shared" si="22"/>
        <v>4</v>
      </c>
      <c r="AB122" s="25">
        <v>5</v>
      </c>
      <c r="AC122" s="25">
        <v>0</v>
      </c>
      <c r="AD122" s="25">
        <v>0</v>
      </c>
      <c r="AE122" s="25">
        <v>0</v>
      </c>
      <c r="AF122" s="25">
        <v>0</v>
      </c>
      <c r="AG122" s="25">
        <v>5</v>
      </c>
      <c r="AH122" s="25">
        <v>5</v>
      </c>
      <c r="AJ122" s="7">
        <v>1</v>
      </c>
      <c r="AK122" s="7">
        <v>1</v>
      </c>
      <c r="AL122" s="7">
        <v>1</v>
      </c>
      <c r="AM122" s="7">
        <v>2</v>
      </c>
      <c r="AN122" s="7">
        <v>0</v>
      </c>
      <c r="AO122" s="7">
        <v>1</v>
      </c>
      <c r="AP122" s="7">
        <v>1</v>
      </c>
    </row>
    <row r="123" spans="11:42" x14ac:dyDescent="0.3">
      <c r="K123" s="21">
        <v>119</v>
      </c>
      <c r="L123" s="24" t="s">
        <v>21</v>
      </c>
      <c r="M123" s="24" t="s">
        <v>24</v>
      </c>
      <c r="N123" s="24" t="s">
        <v>24</v>
      </c>
      <c r="O123" s="24" t="s">
        <v>82</v>
      </c>
      <c r="P123" s="24" t="s">
        <v>27</v>
      </c>
      <c r="Q123" s="24" t="s">
        <v>27</v>
      </c>
      <c r="R123" s="24" t="s">
        <v>20</v>
      </c>
      <c r="T123" s="8">
        <f t="shared" si="16"/>
        <v>3</v>
      </c>
      <c r="U123" s="8">
        <f t="shared" si="17"/>
        <v>8</v>
      </c>
      <c r="V123" s="8">
        <f t="shared" si="18"/>
        <v>8</v>
      </c>
      <c r="W123" s="8">
        <f t="shared" si="19"/>
        <v>16</v>
      </c>
      <c r="X123" s="8">
        <f t="shared" si="20"/>
        <v>10</v>
      </c>
      <c r="Y123" s="8">
        <f t="shared" si="21"/>
        <v>10</v>
      </c>
      <c r="Z123" s="8">
        <f t="shared" si="22"/>
        <v>2</v>
      </c>
      <c r="AB123" s="25">
        <v>5</v>
      </c>
      <c r="AC123" s="25">
        <v>0</v>
      </c>
      <c r="AD123" s="25">
        <v>0</v>
      </c>
      <c r="AE123" s="25">
        <v>0</v>
      </c>
      <c r="AF123" s="25">
        <v>0</v>
      </c>
      <c r="AG123" s="25">
        <v>5</v>
      </c>
      <c r="AH123" s="25">
        <v>5</v>
      </c>
      <c r="AJ123" s="7">
        <v>1</v>
      </c>
      <c r="AK123" s="7">
        <v>1</v>
      </c>
      <c r="AL123" s="7">
        <v>1</v>
      </c>
      <c r="AM123" s="7">
        <v>0</v>
      </c>
      <c r="AN123" s="7">
        <v>1</v>
      </c>
      <c r="AO123" s="7">
        <v>1</v>
      </c>
      <c r="AP123" s="7">
        <v>1</v>
      </c>
    </row>
    <row r="124" spans="11:42" x14ac:dyDescent="0.3">
      <c r="K124" s="22">
        <v>120</v>
      </c>
      <c r="L124" s="24" t="s">
        <v>29</v>
      </c>
      <c r="M124" s="24" t="s">
        <v>40</v>
      </c>
      <c r="N124" s="24" t="s">
        <v>24</v>
      </c>
      <c r="O124" s="24" t="s">
        <v>26</v>
      </c>
      <c r="P124" s="24" t="s">
        <v>83</v>
      </c>
      <c r="Q124" s="24" t="s">
        <v>29</v>
      </c>
      <c r="R124" s="24" t="s">
        <v>17</v>
      </c>
      <c r="T124" s="8">
        <f t="shared" ref="T124:Z124" si="23">VLOOKUP(L124, $A$4:$I$29, 9, 0)</f>
        <v>12</v>
      </c>
      <c r="U124" s="8">
        <f t="shared" si="23"/>
        <v>12</v>
      </c>
      <c r="V124" s="8">
        <f t="shared" si="23"/>
        <v>8</v>
      </c>
      <c r="W124" s="8">
        <f t="shared" si="23"/>
        <v>9</v>
      </c>
      <c r="X124" s="8">
        <f t="shared" si="23"/>
        <v>17</v>
      </c>
      <c r="Y124" s="8">
        <f t="shared" si="23"/>
        <v>12</v>
      </c>
      <c r="Z124" s="8">
        <f t="shared" si="23"/>
        <v>4</v>
      </c>
      <c r="AB124" s="25">
        <v>5</v>
      </c>
      <c r="AC124" s="25">
        <v>5</v>
      </c>
      <c r="AD124" s="25">
        <v>5</v>
      </c>
      <c r="AE124" s="25">
        <v>5</v>
      </c>
      <c r="AF124" s="25">
        <v>5</v>
      </c>
      <c r="AG124" s="25">
        <v>5</v>
      </c>
      <c r="AH124" s="7">
        <v>5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</row>
    <row r="125" spans="11:42" x14ac:dyDescent="0.3">
      <c r="K125" s="21">
        <v>121</v>
      </c>
      <c r="L125" s="24" t="str">
        <f t="shared" ref="L125:R127" si="24">IF(T125&lt;&gt;"",_xlfn.XLOOKUP(T125,$K$4:$K$27,$A$4:$A$27),"")</f>
        <v/>
      </c>
      <c r="M125" s="24" t="str">
        <f t="shared" si="24"/>
        <v/>
      </c>
      <c r="N125" s="24" t="str">
        <f t="shared" si="24"/>
        <v/>
      </c>
      <c r="O125" s="24" t="str">
        <f t="shared" si="24"/>
        <v/>
      </c>
      <c r="P125" s="24" t="str">
        <f t="shared" si="24"/>
        <v/>
      </c>
      <c r="Q125" s="24" t="str">
        <f t="shared" si="24"/>
        <v/>
      </c>
      <c r="R125" s="24" t="str">
        <f t="shared" si="24"/>
        <v/>
      </c>
      <c r="T125" s="8" t="s">
        <v>22</v>
      </c>
      <c r="U125" s="8" t="s">
        <v>22</v>
      </c>
      <c r="V125" s="8" t="s">
        <v>22</v>
      </c>
      <c r="W125" s="8" t="s">
        <v>22</v>
      </c>
      <c r="X125" s="8" t="s">
        <v>22</v>
      </c>
      <c r="Y125" s="8" t="s">
        <v>22</v>
      </c>
      <c r="Z125" s="8" t="s">
        <v>22</v>
      </c>
      <c r="AB125" s="25" t="s">
        <v>22</v>
      </c>
      <c r="AC125" s="25" t="s">
        <v>22</v>
      </c>
      <c r="AD125" s="25" t="s">
        <v>22</v>
      </c>
      <c r="AE125" s="25" t="s">
        <v>22</v>
      </c>
      <c r="AF125" s="25" t="s">
        <v>22</v>
      </c>
      <c r="AG125" s="25" t="s">
        <v>22</v>
      </c>
      <c r="AH125" s="7" t="s">
        <v>22</v>
      </c>
      <c r="AJ125" s="7" t="s">
        <v>22</v>
      </c>
      <c r="AK125" s="7" t="s">
        <v>22</v>
      </c>
      <c r="AL125" s="7" t="s">
        <v>22</v>
      </c>
      <c r="AM125" s="7" t="s">
        <v>22</v>
      </c>
      <c r="AN125" s="7" t="s">
        <v>22</v>
      </c>
      <c r="AO125" s="7" t="s">
        <v>22</v>
      </c>
      <c r="AP125" s="7" t="s">
        <v>22</v>
      </c>
    </row>
    <row r="126" spans="11:42" x14ac:dyDescent="0.3">
      <c r="K126" s="22">
        <v>122</v>
      </c>
      <c r="L126" s="24" t="str">
        <f t="shared" si="24"/>
        <v/>
      </c>
      <c r="M126" s="24" t="str">
        <f t="shared" si="24"/>
        <v/>
      </c>
      <c r="N126" s="24" t="str">
        <f t="shared" si="24"/>
        <v/>
      </c>
      <c r="O126" s="24" t="str">
        <f t="shared" si="24"/>
        <v/>
      </c>
      <c r="P126" s="24" t="str">
        <f t="shared" si="24"/>
        <v/>
      </c>
      <c r="Q126" s="24" t="str">
        <f t="shared" si="24"/>
        <v/>
      </c>
      <c r="R126" s="24" t="str">
        <f t="shared" si="24"/>
        <v/>
      </c>
      <c r="T126" s="8" t="s">
        <v>22</v>
      </c>
      <c r="U126" s="8" t="s">
        <v>22</v>
      </c>
      <c r="V126" s="8" t="s">
        <v>22</v>
      </c>
      <c r="W126" s="8" t="s">
        <v>22</v>
      </c>
      <c r="X126" s="8" t="s">
        <v>22</v>
      </c>
      <c r="Y126" s="8" t="s">
        <v>22</v>
      </c>
      <c r="Z126" s="8" t="s">
        <v>22</v>
      </c>
      <c r="AB126" s="25" t="s">
        <v>22</v>
      </c>
      <c r="AC126" s="25" t="s">
        <v>22</v>
      </c>
      <c r="AD126" s="25" t="s">
        <v>22</v>
      </c>
      <c r="AE126" s="25" t="s">
        <v>22</v>
      </c>
      <c r="AF126" s="25" t="s">
        <v>22</v>
      </c>
      <c r="AG126" s="25" t="s">
        <v>22</v>
      </c>
      <c r="AH126" s="7" t="s">
        <v>22</v>
      </c>
      <c r="AJ126" s="7" t="s">
        <v>22</v>
      </c>
      <c r="AK126" s="7" t="s">
        <v>22</v>
      </c>
      <c r="AL126" s="7" t="s">
        <v>22</v>
      </c>
      <c r="AM126" s="7" t="s">
        <v>22</v>
      </c>
      <c r="AN126" s="7" t="s">
        <v>22</v>
      </c>
      <c r="AO126" s="7" t="s">
        <v>22</v>
      </c>
      <c r="AP126" s="7" t="s">
        <v>22</v>
      </c>
    </row>
    <row r="127" spans="11:42" x14ac:dyDescent="0.3">
      <c r="K127" s="21">
        <v>123</v>
      </c>
      <c r="L127" s="24" t="str">
        <f t="shared" si="24"/>
        <v/>
      </c>
      <c r="M127" s="24" t="str">
        <f t="shared" si="24"/>
        <v/>
      </c>
      <c r="N127" s="24" t="str">
        <f t="shared" si="24"/>
        <v/>
      </c>
      <c r="O127" s="24" t="str">
        <f t="shared" si="24"/>
        <v/>
      </c>
      <c r="P127" s="24" t="str">
        <f t="shared" si="24"/>
        <v/>
      </c>
      <c r="Q127" s="24" t="str">
        <f t="shared" si="24"/>
        <v/>
      </c>
      <c r="R127" s="24" t="str">
        <f t="shared" si="24"/>
        <v/>
      </c>
      <c r="T127" s="8" t="s">
        <v>22</v>
      </c>
      <c r="U127" s="8" t="s">
        <v>22</v>
      </c>
      <c r="V127" s="8" t="s">
        <v>22</v>
      </c>
      <c r="W127" s="8" t="s">
        <v>22</v>
      </c>
      <c r="X127" s="8" t="s">
        <v>22</v>
      </c>
      <c r="Y127" s="8" t="s">
        <v>22</v>
      </c>
      <c r="Z127" s="8" t="s">
        <v>22</v>
      </c>
      <c r="AB127" s="25" t="s">
        <v>22</v>
      </c>
      <c r="AC127" s="25" t="s">
        <v>22</v>
      </c>
      <c r="AD127" s="25" t="s">
        <v>22</v>
      </c>
      <c r="AE127" s="25" t="s">
        <v>22</v>
      </c>
      <c r="AF127" s="25" t="s">
        <v>22</v>
      </c>
      <c r="AG127" s="25" t="s">
        <v>22</v>
      </c>
      <c r="AH127" s="7" t="s">
        <v>22</v>
      </c>
      <c r="AJ127" s="7" t="s">
        <v>22</v>
      </c>
      <c r="AK127" s="7" t="s">
        <v>22</v>
      </c>
      <c r="AL127" s="7" t="s">
        <v>22</v>
      </c>
      <c r="AM127" s="7" t="s">
        <v>22</v>
      </c>
      <c r="AN127" s="7" t="s">
        <v>22</v>
      </c>
      <c r="AO127" s="7" t="s">
        <v>22</v>
      </c>
      <c r="AP127" s="7" t="s">
        <v>22</v>
      </c>
    </row>
    <row r="128" spans="11:42" x14ac:dyDescent="0.3">
      <c r="K128" s="22">
        <v>124</v>
      </c>
      <c r="L128" s="24" t="str">
        <f t="shared" ref="L128:L191" si="25">IF(T128&lt;&gt;"",_xlfn.XLOOKUP(T128,$K$4:$K$27,$A$4:$A$27),"")</f>
        <v/>
      </c>
      <c r="M128" s="24" t="str">
        <f t="shared" ref="M128:M191" si="26">IF(U128&lt;&gt;"",_xlfn.XLOOKUP(U128,$K$4:$K$27,$A$4:$A$27),"")</f>
        <v/>
      </c>
      <c r="N128" s="24" t="str">
        <f t="shared" ref="N128:N191" si="27">IF(V128&lt;&gt;"",_xlfn.XLOOKUP(V128,$K$4:$K$27,$A$4:$A$27),"")</f>
        <v/>
      </c>
      <c r="O128" s="24" t="str">
        <f t="shared" ref="O128:O191" si="28">IF(W128&lt;&gt;"",_xlfn.XLOOKUP(W128,$K$4:$K$27,$A$4:$A$27),"")</f>
        <v/>
      </c>
      <c r="P128" s="24" t="str">
        <f t="shared" ref="P128:P191" si="29">IF(X128&lt;&gt;"",_xlfn.XLOOKUP(X128,$K$4:$K$27,$A$4:$A$27),"")</f>
        <v/>
      </c>
      <c r="Q128" s="24" t="str">
        <f t="shared" ref="Q128:Q191" si="30">IF(Y128&lt;&gt;"",_xlfn.XLOOKUP(Y128,$K$4:$K$27,$A$4:$A$27),"")</f>
        <v/>
      </c>
      <c r="R128" s="24" t="str">
        <f t="shared" ref="R128:R191" si="31">IF(Z128&lt;&gt;"",_xlfn.XLOOKUP(Z128,$K$4:$K$27,$A$4:$A$27),"")</f>
        <v/>
      </c>
      <c r="T128" s="8" t="s">
        <v>22</v>
      </c>
      <c r="U128" s="8" t="s">
        <v>22</v>
      </c>
      <c r="V128" s="8" t="s">
        <v>22</v>
      </c>
      <c r="W128" s="8" t="s">
        <v>22</v>
      </c>
      <c r="X128" s="8" t="s">
        <v>22</v>
      </c>
      <c r="Y128" s="8" t="s">
        <v>22</v>
      </c>
      <c r="Z128" s="8" t="s">
        <v>22</v>
      </c>
      <c r="AB128" s="25" t="s">
        <v>22</v>
      </c>
      <c r="AC128" s="25" t="s">
        <v>22</v>
      </c>
      <c r="AD128" s="25" t="s">
        <v>22</v>
      </c>
      <c r="AE128" s="25" t="s">
        <v>22</v>
      </c>
      <c r="AF128" s="25" t="s">
        <v>22</v>
      </c>
      <c r="AG128" s="25" t="s">
        <v>22</v>
      </c>
      <c r="AH128" s="7" t="s">
        <v>22</v>
      </c>
      <c r="AJ128" s="7" t="s">
        <v>22</v>
      </c>
      <c r="AK128" s="7" t="s">
        <v>22</v>
      </c>
      <c r="AL128" s="7" t="s">
        <v>22</v>
      </c>
      <c r="AM128" s="7" t="s">
        <v>22</v>
      </c>
      <c r="AN128" s="7" t="s">
        <v>22</v>
      </c>
      <c r="AO128" s="7" t="s">
        <v>22</v>
      </c>
      <c r="AP128" s="7" t="s">
        <v>22</v>
      </c>
    </row>
    <row r="129" spans="11:42" x14ac:dyDescent="0.3">
      <c r="K129" s="21">
        <v>125</v>
      </c>
      <c r="L129" s="24" t="str">
        <f t="shared" si="25"/>
        <v/>
      </c>
      <c r="M129" s="24" t="str">
        <f t="shared" si="26"/>
        <v/>
      </c>
      <c r="N129" s="24" t="str">
        <f t="shared" si="27"/>
        <v/>
      </c>
      <c r="O129" s="24" t="str">
        <f t="shared" si="28"/>
        <v/>
      </c>
      <c r="P129" s="24" t="str">
        <f t="shared" si="29"/>
        <v/>
      </c>
      <c r="Q129" s="24" t="str">
        <f t="shared" si="30"/>
        <v/>
      </c>
      <c r="R129" s="24" t="str">
        <f t="shared" si="31"/>
        <v/>
      </c>
      <c r="T129" s="8" t="s">
        <v>22</v>
      </c>
      <c r="U129" s="8" t="s">
        <v>22</v>
      </c>
      <c r="V129" s="8" t="s">
        <v>22</v>
      </c>
      <c r="W129" s="8" t="s">
        <v>22</v>
      </c>
      <c r="X129" s="8" t="s">
        <v>22</v>
      </c>
      <c r="Y129" s="8" t="s">
        <v>22</v>
      </c>
      <c r="Z129" s="8" t="s">
        <v>22</v>
      </c>
      <c r="AB129" s="25" t="s">
        <v>22</v>
      </c>
      <c r="AC129" s="25" t="s">
        <v>22</v>
      </c>
      <c r="AD129" s="25" t="s">
        <v>22</v>
      </c>
      <c r="AE129" s="25" t="s">
        <v>22</v>
      </c>
      <c r="AF129" s="25" t="s">
        <v>22</v>
      </c>
      <c r="AG129" s="25" t="s">
        <v>22</v>
      </c>
      <c r="AH129" s="7" t="s">
        <v>22</v>
      </c>
      <c r="AJ129" s="7" t="s">
        <v>22</v>
      </c>
      <c r="AK129" s="7" t="s">
        <v>22</v>
      </c>
      <c r="AL129" s="7" t="s">
        <v>22</v>
      </c>
      <c r="AM129" s="7" t="s">
        <v>22</v>
      </c>
      <c r="AN129" s="7" t="s">
        <v>22</v>
      </c>
      <c r="AO129" s="7" t="s">
        <v>22</v>
      </c>
      <c r="AP129" s="7" t="s">
        <v>22</v>
      </c>
    </row>
    <row r="130" spans="11:42" x14ac:dyDescent="0.3">
      <c r="K130" s="22">
        <v>126</v>
      </c>
      <c r="L130" s="24" t="str">
        <f t="shared" si="25"/>
        <v/>
      </c>
      <c r="M130" s="24" t="str">
        <f t="shared" si="26"/>
        <v/>
      </c>
      <c r="N130" s="24" t="str">
        <f t="shared" si="27"/>
        <v/>
      </c>
      <c r="O130" s="24" t="str">
        <f t="shared" si="28"/>
        <v/>
      </c>
      <c r="P130" s="24" t="str">
        <f t="shared" si="29"/>
        <v/>
      </c>
      <c r="Q130" s="24" t="str">
        <f t="shared" si="30"/>
        <v/>
      </c>
      <c r="R130" s="24" t="str">
        <f t="shared" si="31"/>
        <v/>
      </c>
      <c r="T130" s="8" t="s">
        <v>22</v>
      </c>
      <c r="U130" s="8" t="s">
        <v>22</v>
      </c>
      <c r="V130" s="8" t="s">
        <v>22</v>
      </c>
      <c r="W130" s="8" t="s">
        <v>22</v>
      </c>
      <c r="X130" s="8" t="s">
        <v>22</v>
      </c>
      <c r="Y130" s="8" t="s">
        <v>22</v>
      </c>
      <c r="Z130" s="8" t="s">
        <v>22</v>
      </c>
      <c r="AB130" s="25" t="s">
        <v>22</v>
      </c>
      <c r="AC130" s="25" t="s">
        <v>22</v>
      </c>
      <c r="AD130" s="25" t="s">
        <v>22</v>
      </c>
      <c r="AE130" s="25" t="s">
        <v>22</v>
      </c>
      <c r="AF130" s="25" t="s">
        <v>22</v>
      </c>
      <c r="AG130" s="25" t="s">
        <v>22</v>
      </c>
      <c r="AH130" s="7" t="s">
        <v>22</v>
      </c>
      <c r="AJ130" s="7" t="s">
        <v>22</v>
      </c>
      <c r="AK130" s="7" t="s">
        <v>22</v>
      </c>
      <c r="AL130" s="7" t="s">
        <v>22</v>
      </c>
      <c r="AM130" s="7" t="s">
        <v>22</v>
      </c>
      <c r="AN130" s="7" t="s">
        <v>22</v>
      </c>
      <c r="AO130" s="7" t="s">
        <v>22</v>
      </c>
      <c r="AP130" s="7" t="s">
        <v>22</v>
      </c>
    </row>
    <row r="131" spans="11:42" x14ac:dyDescent="0.3">
      <c r="K131" s="21">
        <v>127</v>
      </c>
      <c r="L131" s="24" t="str">
        <f t="shared" si="25"/>
        <v/>
      </c>
      <c r="M131" s="24" t="str">
        <f t="shared" si="26"/>
        <v/>
      </c>
      <c r="N131" s="24" t="str">
        <f t="shared" si="27"/>
        <v/>
      </c>
      <c r="O131" s="24" t="str">
        <f t="shared" si="28"/>
        <v/>
      </c>
      <c r="P131" s="24" t="str">
        <f t="shared" si="29"/>
        <v/>
      </c>
      <c r="Q131" s="24" t="str">
        <f t="shared" si="30"/>
        <v/>
      </c>
      <c r="R131" s="24" t="str">
        <f t="shared" si="31"/>
        <v/>
      </c>
      <c r="T131" s="8" t="s">
        <v>22</v>
      </c>
      <c r="U131" s="8" t="s">
        <v>22</v>
      </c>
      <c r="V131" s="8" t="s">
        <v>22</v>
      </c>
      <c r="W131" s="8" t="s">
        <v>22</v>
      </c>
      <c r="X131" s="8" t="s">
        <v>22</v>
      </c>
      <c r="Y131" s="8" t="s">
        <v>22</v>
      </c>
      <c r="Z131" s="8" t="s">
        <v>22</v>
      </c>
      <c r="AB131" s="25" t="s">
        <v>22</v>
      </c>
      <c r="AC131" s="25" t="s">
        <v>22</v>
      </c>
      <c r="AD131" s="25" t="s">
        <v>22</v>
      </c>
      <c r="AE131" s="25" t="s">
        <v>22</v>
      </c>
      <c r="AF131" s="25" t="s">
        <v>22</v>
      </c>
      <c r="AG131" s="25" t="s">
        <v>22</v>
      </c>
      <c r="AH131" s="7" t="s">
        <v>22</v>
      </c>
      <c r="AJ131" s="7" t="s">
        <v>22</v>
      </c>
      <c r="AK131" s="7" t="s">
        <v>22</v>
      </c>
      <c r="AL131" s="7" t="s">
        <v>22</v>
      </c>
      <c r="AM131" s="7" t="s">
        <v>22</v>
      </c>
      <c r="AN131" s="7" t="s">
        <v>22</v>
      </c>
      <c r="AO131" s="7" t="s">
        <v>22</v>
      </c>
      <c r="AP131" s="7" t="s">
        <v>22</v>
      </c>
    </row>
    <row r="132" spans="11:42" x14ac:dyDescent="0.3">
      <c r="K132" s="22">
        <v>128</v>
      </c>
      <c r="L132" s="24" t="str">
        <f t="shared" si="25"/>
        <v/>
      </c>
      <c r="M132" s="24" t="str">
        <f t="shared" si="26"/>
        <v/>
      </c>
      <c r="N132" s="24" t="str">
        <f t="shared" si="27"/>
        <v/>
      </c>
      <c r="O132" s="24" t="str">
        <f t="shared" si="28"/>
        <v/>
      </c>
      <c r="P132" s="24" t="str">
        <f t="shared" si="29"/>
        <v/>
      </c>
      <c r="Q132" s="24" t="str">
        <f t="shared" si="30"/>
        <v/>
      </c>
      <c r="R132" s="24" t="str">
        <f t="shared" si="31"/>
        <v/>
      </c>
      <c r="T132" s="8" t="s">
        <v>22</v>
      </c>
      <c r="U132" s="8" t="s">
        <v>22</v>
      </c>
      <c r="V132" s="8" t="s">
        <v>22</v>
      </c>
      <c r="W132" s="8" t="s">
        <v>22</v>
      </c>
      <c r="X132" s="8" t="s">
        <v>22</v>
      </c>
      <c r="Y132" s="8" t="s">
        <v>22</v>
      </c>
      <c r="Z132" s="8" t="s">
        <v>22</v>
      </c>
      <c r="AB132" s="25" t="s">
        <v>22</v>
      </c>
      <c r="AC132" s="25" t="s">
        <v>22</v>
      </c>
      <c r="AD132" s="25" t="s">
        <v>22</v>
      </c>
      <c r="AE132" s="25" t="s">
        <v>22</v>
      </c>
      <c r="AF132" s="25" t="s">
        <v>22</v>
      </c>
      <c r="AG132" s="25" t="s">
        <v>22</v>
      </c>
      <c r="AH132" s="7" t="s">
        <v>22</v>
      </c>
      <c r="AJ132" s="7" t="s">
        <v>22</v>
      </c>
      <c r="AK132" s="7" t="s">
        <v>22</v>
      </c>
      <c r="AL132" s="7" t="s">
        <v>22</v>
      </c>
      <c r="AM132" s="7" t="s">
        <v>22</v>
      </c>
      <c r="AN132" s="7" t="s">
        <v>22</v>
      </c>
      <c r="AO132" s="7" t="s">
        <v>22</v>
      </c>
      <c r="AP132" s="7" t="s">
        <v>22</v>
      </c>
    </row>
    <row r="133" spans="11:42" x14ac:dyDescent="0.3">
      <c r="K133" s="21">
        <v>129</v>
      </c>
      <c r="L133" s="24" t="str">
        <f t="shared" si="25"/>
        <v/>
      </c>
      <c r="M133" s="24" t="str">
        <f t="shared" si="26"/>
        <v/>
      </c>
      <c r="N133" s="24" t="str">
        <f t="shared" si="27"/>
        <v/>
      </c>
      <c r="O133" s="24" t="str">
        <f t="shared" si="28"/>
        <v/>
      </c>
      <c r="P133" s="24" t="str">
        <f t="shared" si="29"/>
        <v/>
      </c>
      <c r="Q133" s="24" t="str">
        <f t="shared" si="30"/>
        <v/>
      </c>
      <c r="R133" s="24" t="str">
        <f t="shared" si="31"/>
        <v/>
      </c>
      <c r="T133" s="8" t="s">
        <v>22</v>
      </c>
      <c r="U133" s="8" t="s">
        <v>22</v>
      </c>
      <c r="V133" s="8" t="s">
        <v>22</v>
      </c>
      <c r="W133" s="8" t="s">
        <v>22</v>
      </c>
      <c r="X133" s="8" t="s">
        <v>22</v>
      </c>
      <c r="Y133" s="8" t="s">
        <v>22</v>
      </c>
      <c r="Z133" s="8" t="s">
        <v>22</v>
      </c>
      <c r="AB133" s="25" t="s">
        <v>22</v>
      </c>
      <c r="AC133" s="25" t="s">
        <v>22</v>
      </c>
      <c r="AD133" s="25" t="s">
        <v>22</v>
      </c>
      <c r="AE133" s="25" t="s">
        <v>22</v>
      </c>
      <c r="AF133" s="25" t="s">
        <v>22</v>
      </c>
      <c r="AG133" s="25" t="s">
        <v>22</v>
      </c>
      <c r="AH133" s="7" t="s">
        <v>22</v>
      </c>
      <c r="AJ133" s="7" t="s">
        <v>22</v>
      </c>
      <c r="AK133" s="7" t="s">
        <v>22</v>
      </c>
      <c r="AL133" s="7" t="s">
        <v>22</v>
      </c>
      <c r="AM133" s="7" t="s">
        <v>22</v>
      </c>
      <c r="AN133" s="7" t="s">
        <v>22</v>
      </c>
      <c r="AO133" s="7" t="s">
        <v>22</v>
      </c>
      <c r="AP133" s="7" t="s">
        <v>22</v>
      </c>
    </row>
    <row r="134" spans="11:42" x14ac:dyDescent="0.3">
      <c r="K134" s="22">
        <v>130</v>
      </c>
      <c r="L134" s="24" t="str">
        <f t="shared" si="25"/>
        <v/>
      </c>
      <c r="M134" s="24" t="str">
        <f t="shared" si="26"/>
        <v/>
      </c>
      <c r="N134" s="24" t="str">
        <f t="shared" si="27"/>
        <v/>
      </c>
      <c r="O134" s="24" t="str">
        <f t="shared" si="28"/>
        <v/>
      </c>
      <c r="P134" s="24" t="str">
        <f t="shared" si="29"/>
        <v/>
      </c>
      <c r="Q134" s="24" t="str">
        <f t="shared" si="30"/>
        <v/>
      </c>
      <c r="R134" s="24" t="str">
        <f t="shared" si="31"/>
        <v/>
      </c>
      <c r="T134" s="8" t="s">
        <v>22</v>
      </c>
      <c r="U134" s="8" t="s">
        <v>22</v>
      </c>
      <c r="V134" s="8" t="s">
        <v>22</v>
      </c>
      <c r="W134" s="8" t="s">
        <v>22</v>
      </c>
      <c r="X134" s="8" t="s">
        <v>22</v>
      </c>
      <c r="Y134" s="8" t="s">
        <v>22</v>
      </c>
      <c r="Z134" s="8" t="s">
        <v>22</v>
      </c>
      <c r="AB134" s="25" t="s">
        <v>22</v>
      </c>
      <c r="AC134" s="25" t="s">
        <v>22</v>
      </c>
      <c r="AD134" s="25" t="s">
        <v>22</v>
      </c>
      <c r="AE134" s="25" t="s">
        <v>22</v>
      </c>
      <c r="AF134" s="25" t="s">
        <v>22</v>
      </c>
      <c r="AG134" s="25" t="s">
        <v>22</v>
      </c>
      <c r="AH134" s="7" t="s">
        <v>22</v>
      </c>
      <c r="AJ134" s="7" t="s">
        <v>22</v>
      </c>
      <c r="AK134" s="7" t="s">
        <v>22</v>
      </c>
      <c r="AL134" s="7" t="s">
        <v>22</v>
      </c>
      <c r="AM134" s="7" t="s">
        <v>22</v>
      </c>
      <c r="AN134" s="7" t="s">
        <v>22</v>
      </c>
      <c r="AO134" s="7" t="s">
        <v>22</v>
      </c>
      <c r="AP134" s="7" t="s">
        <v>22</v>
      </c>
    </row>
    <row r="135" spans="11:42" x14ac:dyDescent="0.3">
      <c r="K135" s="21">
        <v>131</v>
      </c>
      <c r="L135" s="24" t="str">
        <f t="shared" si="25"/>
        <v/>
      </c>
      <c r="M135" s="24" t="str">
        <f t="shared" si="26"/>
        <v/>
      </c>
      <c r="N135" s="24" t="str">
        <f t="shared" si="27"/>
        <v/>
      </c>
      <c r="O135" s="24" t="str">
        <f t="shared" si="28"/>
        <v/>
      </c>
      <c r="P135" s="24" t="str">
        <f t="shared" si="29"/>
        <v/>
      </c>
      <c r="Q135" s="24" t="str">
        <f t="shared" si="30"/>
        <v/>
      </c>
      <c r="R135" s="24" t="str">
        <f t="shared" si="31"/>
        <v/>
      </c>
      <c r="T135" s="8" t="s">
        <v>22</v>
      </c>
      <c r="U135" s="8" t="s">
        <v>22</v>
      </c>
      <c r="V135" s="8" t="s">
        <v>22</v>
      </c>
      <c r="W135" s="8" t="s">
        <v>22</v>
      </c>
      <c r="X135" s="8" t="s">
        <v>22</v>
      </c>
      <c r="Y135" s="8" t="s">
        <v>22</v>
      </c>
      <c r="Z135" s="8" t="s">
        <v>22</v>
      </c>
      <c r="AB135" s="25" t="s">
        <v>22</v>
      </c>
      <c r="AC135" s="25" t="s">
        <v>22</v>
      </c>
      <c r="AD135" s="25" t="s">
        <v>22</v>
      </c>
      <c r="AE135" s="25" t="s">
        <v>22</v>
      </c>
      <c r="AF135" s="25" t="s">
        <v>22</v>
      </c>
      <c r="AG135" s="25" t="s">
        <v>22</v>
      </c>
      <c r="AH135" s="7" t="s">
        <v>22</v>
      </c>
      <c r="AJ135" s="7" t="s">
        <v>22</v>
      </c>
      <c r="AK135" s="7" t="s">
        <v>22</v>
      </c>
      <c r="AL135" s="7" t="s">
        <v>22</v>
      </c>
      <c r="AM135" s="7" t="s">
        <v>22</v>
      </c>
      <c r="AN135" s="7" t="s">
        <v>22</v>
      </c>
      <c r="AO135" s="7" t="s">
        <v>22</v>
      </c>
      <c r="AP135" s="7" t="s">
        <v>22</v>
      </c>
    </row>
    <row r="136" spans="11:42" x14ac:dyDescent="0.3">
      <c r="K136" s="22">
        <v>132</v>
      </c>
      <c r="L136" s="24" t="str">
        <f t="shared" si="25"/>
        <v/>
      </c>
      <c r="M136" s="24" t="str">
        <f t="shared" si="26"/>
        <v/>
      </c>
      <c r="N136" s="24" t="str">
        <f t="shared" si="27"/>
        <v/>
      </c>
      <c r="O136" s="24" t="str">
        <f t="shared" si="28"/>
        <v/>
      </c>
      <c r="P136" s="24" t="str">
        <f t="shared" si="29"/>
        <v/>
      </c>
      <c r="Q136" s="24" t="str">
        <f t="shared" si="30"/>
        <v/>
      </c>
      <c r="R136" s="24" t="str">
        <f t="shared" si="31"/>
        <v/>
      </c>
      <c r="T136" s="8" t="s">
        <v>22</v>
      </c>
      <c r="U136" s="8" t="s">
        <v>22</v>
      </c>
      <c r="V136" s="8" t="s">
        <v>22</v>
      </c>
      <c r="W136" s="8" t="s">
        <v>22</v>
      </c>
      <c r="X136" s="8" t="s">
        <v>22</v>
      </c>
      <c r="Y136" s="8" t="s">
        <v>22</v>
      </c>
      <c r="Z136" s="8" t="s">
        <v>22</v>
      </c>
      <c r="AB136" s="25" t="s">
        <v>22</v>
      </c>
      <c r="AC136" s="25" t="s">
        <v>22</v>
      </c>
      <c r="AD136" s="25" t="s">
        <v>22</v>
      </c>
      <c r="AE136" s="25" t="s">
        <v>22</v>
      </c>
      <c r="AF136" s="25" t="s">
        <v>22</v>
      </c>
      <c r="AG136" s="25" t="s">
        <v>22</v>
      </c>
      <c r="AH136" s="7" t="s">
        <v>22</v>
      </c>
      <c r="AJ136" s="7" t="s">
        <v>22</v>
      </c>
      <c r="AK136" s="7" t="s">
        <v>22</v>
      </c>
      <c r="AL136" s="7" t="s">
        <v>22</v>
      </c>
      <c r="AM136" s="7" t="s">
        <v>22</v>
      </c>
      <c r="AN136" s="7" t="s">
        <v>22</v>
      </c>
      <c r="AO136" s="7" t="s">
        <v>22</v>
      </c>
      <c r="AP136" s="7" t="s">
        <v>22</v>
      </c>
    </row>
    <row r="137" spans="11:42" x14ac:dyDescent="0.3">
      <c r="K137" s="21">
        <v>133</v>
      </c>
      <c r="L137" s="24" t="str">
        <f t="shared" si="25"/>
        <v/>
      </c>
      <c r="M137" s="24" t="str">
        <f t="shared" si="26"/>
        <v/>
      </c>
      <c r="N137" s="24" t="str">
        <f t="shared" si="27"/>
        <v/>
      </c>
      <c r="O137" s="24" t="str">
        <f t="shared" si="28"/>
        <v/>
      </c>
      <c r="P137" s="24" t="str">
        <f t="shared" si="29"/>
        <v/>
      </c>
      <c r="Q137" s="24" t="str">
        <f t="shared" si="30"/>
        <v/>
      </c>
      <c r="R137" s="24" t="str">
        <f t="shared" si="31"/>
        <v/>
      </c>
      <c r="T137" s="8" t="s">
        <v>22</v>
      </c>
      <c r="U137" s="8" t="s">
        <v>22</v>
      </c>
      <c r="V137" s="8" t="s">
        <v>22</v>
      </c>
      <c r="W137" s="8" t="s">
        <v>22</v>
      </c>
      <c r="X137" s="8" t="s">
        <v>22</v>
      </c>
      <c r="Y137" s="8" t="s">
        <v>22</v>
      </c>
      <c r="Z137" s="8" t="s">
        <v>22</v>
      </c>
      <c r="AB137" s="25" t="s">
        <v>22</v>
      </c>
      <c r="AC137" s="25" t="s">
        <v>22</v>
      </c>
      <c r="AD137" s="25" t="s">
        <v>22</v>
      </c>
      <c r="AE137" s="25" t="s">
        <v>22</v>
      </c>
      <c r="AF137" s="25" t="s">
        <v>22</v>
      </c>
      <c r="AG137" s="25" t="s">
        <v>22</v>
      </c>
      <c r="AH137" s="7" t="s">
        <v>22</v>
      </c>
      <c r="AJ137" s="7" t="s">
        <v>22</v>
      </c>
      <c r="AK137" s="7" t="s">
        <v>22</v>
      </c>
      <c r="AL137" s="7" t="s">
        <v>22</v>
      </c>
      <c r="AM137" s="7" t="s">
        <v>22</v>
      </c>
      <c r="AN137" s="7" t="s">
        <v>22</v>
      </c>
      <c r="AO137" s="7" t="s">
        <v>22</v>
      </c>
      <c r="AP137" s="7" t="s">
        <v>22</v>
      </c>
    </row>
    <row r="138" spans="11:42" x14ac:dyDescent="0.3">
      <c r="K138" s="22">
        <v>134</v>
      </c>
      <c r="L138" s="24" t="str">
        <f t="shared" si="25"/>
        <v/>
      </c>
      <c r="M138" s="24" t="str">
        <f t="shared" si="26"/>
        <v/>
      </c>
      <c r="N138" s="24" t="str">
        <f t="shared" si="27"/>
        <v/>
      </c>
      <c r="O138" s="24" t="str">
        <f t="shared" si="28"/>
        <v/>
      </c>
      <c r="P138" s="24" t="str">
        <f t="shared" si="29"/>
        <v/>
      </c>
      <c r="Q138" s="24" t="str">
        <f t="shared" si="30"/>
        <v/>
      </c>
      <c r="R138" s="24" t="str">
        <f t="shared" si="31"/>
        <v/>
      </c>
      <c r="T138" s="8" t="s">
        <v>22</v>
      </c>
      <c r="U138" s="8" t="s">
        <v>22</v>
      </c>
      <c r="V138" s="8" t="s">
        <v>22</v>
      </c>
      <c r="W138" s="8" t="s">
        <v>22</v>
      </c>
      <c r="X138" s="8" t="s">
        <v>22</v>
      </c>
      <c r="Y138" s="8" t="s">
        <v>22</v>
      </c>
      <c r="Z138" s="8" t="s">
        <v>22</v>
      </c>
      <c r="AB138" s="25" t="s">
        <v>22</v>
      </c>
      <c r="AC138" s="25" t="s">
        <v>22</v>
      </c>
      <c r="AD138" s="25" t="s">
        <v>22</v>
      </c>
      <c r="AE138" s="25" t="s">
        <v>22</v>
      </c>
      <c r="AF138" s="25" t="s">
        <v>22</v>
      </c>
      <c r="AG138" s="25" t="s">
        <v>22</v>
      </c>
      <c r="AH138" s="7" t="s">
        <v>22</v>
      </c>
      <c r="AJ138" s="7" t="s">
        <v>22</v>
      </c>
      <c r="AK138" s="7" t="s">
        <v>22</v>
      </c>
      <c r="AL138" s="7" t="s">
        <v>22</v>
      </c>
      <c r="AM138" s="7" t="s">
        <v>22</v>
      </c>
      <c r="AN138" s="7" t="s">
        <v>22</v>
      </c>
      <c r="AO138" s="7" t="s">
        <v>22</v>
      </c>
      <c r="AP138" s="7" t="s">
        <v>22</v>
      </c>
    </row>
    <row r="139" spans="11:42" x14ac:dyDescent="0.3">
      <c r="K139" s="21">
        <v>135</v>
      </c>
      <c r="L139" s="24" t="str">
        <f t="shared" si="25"/>
        <v/>
      </c>
      <c r="M139" s="24" t="str">
        <f t="shared" si="26"/>
        <v/>
      </c>
      <c r="N139" s="24" t="str">
        <f t="shared" si="27"/>
        <v/>
      </c>
      <c r="O139" s="24" t="str">
        <f t="shared" si="28"/>
        <v/>
      </c>
      <c r="P139" s="24" t="str">
        <f t="shared" si="29"/>
        <v/>
      </c>
      <c r="Q139" s="24" t="str">
        <f t="shared" si="30"/>
        <v/>
      </c>
      <c r="R139" s="24" t="str">
        <f t="shared" si="31"/>
        <v/>
      </c>
      <c r="T139" s="8" t="s">
        <v>22</v>
      </c>
      <c r="U139" s="8" t="s">
        <v>22</v>
      </c>
      <c r="V139" s="8" t="s">
        <v>22</v>
      </c>
      <c r="W139" s="8" t="s">
        <v>22</v>
      </c>
      <c r="X139" s="8" t="s">
        <v>22</v>
      </c>
      <c r="Y139" s="8" t="s">
        <v>22</v>
      </c>
      <c r="Z139" s="8" t="s">
        <v>22</v>
      </c>
      <c r="AB139" s="25" t="s">
        <v>22</v>
      </c>
      <c r="AC139" s="25" t="s">
        <v>22</v>
      </c>
      <c r="AD139" s="25" t="s">
        <v>22</v>
      </c>
      <c r="AE139" s="25" t="s">
        <v>22</v>
      </c>
      <c r="AF139" s="25" t="s">
        <v>22</v>
      </c>
      <c r="AG139" s="25" t="s">
        <v>22</v>
      </c>
      <c r="AH139" s="7" t="s">
        <v>22</v>
      </c>
      <c r="AJ139" s="7" t="s">
        <v>22</v>
      </c>
      <c r="AK139" s="7" t="s">
        <v>22</v>
      </c>
      <c r="AL139" s="7" t="s">
        <v>22</v>
      </c>
      <c r="AM139" s="7" t="s">
        <v>22</v>
      </c>
      <c r="AN139" s="7" t="s">
        <v>22</v>
      </c>
      <c r="AO139" s="7" t="s">
        <v>22</v>
      </c>
      <c r="AP139" s="7" t="s">
        <v>22</v>
      </c>
    </row>
    <row r="140" spans="11:42" x14ac:dyDescent="0.3">
      <c r="K140" s="22">
        <v>136</v>
      </c>
      <c r="L140" s="24" t="str">
        <f t="shared" si="25"/>
        <v/>
      </c>
      <c r="M140" s="24" t="str">
        <f t="shared" si="26"/>
        <v/>
      </c>
      <c r="N140" s="24" t="str">
        <f t="shared" si="27"/>
        <v/>
      </c>
      <c r="O140" s="24" t="str">
        <f t="shared" si="28"/>
        <v/>
      </c>
      <c r="P140" s="24" t="str">
        <f t="shared" si="29"/>
        <v/>
      </c>
      <c r="Q140" s="24" t="str">
        <f t="shared" si="30"/>
        <v/>
      </c>
      <c r="R140" s="24" t="str">
        <f t="shared" si="31"/>
        <v/>
      </c>
      <c r="T140" s="8" t="s">
        <v>22</v>
      </c>
      <c r="U140" s="8" t="s">
        <v>22</v>
      </c>
      <c r="V140" s="8" t="s">
        <v>22</v>
      </c>
      <c r="W140" s="8" t="s">
        <v>22</v>
      </c>
      <c r="X140" s="8" t="s">
        <v>22</v>
      </c>
      <c r="Y140" s="8" t="s">
        <v>22</v>
      </c>
      <c r="Z140" s="8" t="s">
        <v>22</v>
      </c>
      <c r="AB140" s="25" t="s">
        <v>22</v>
      </c>
      <c r="AC140" s="25" t="s">
        <v>22</v>
      </c>
      <c r="AD140" s="25" t="s">
        <v>22</v>
      </c>
      <c r="AE140" s="25" t="s">
        <v>22</v>
      </c>
      <c r="AF140" s="25" t="s">
        <v>22</v>
      </c>
      <c r="AG140" s="25" t="s">
        <v>22</v>
      </c>
      <c r="AH140" s="7" t="s">
        <v>22</v>
      </c>
      <c r="AJ140" s="7" t="s">
        <v>22</v>
      </c>
      <c r="AK140" s="7" t="s">
        <v>22</v>
      </c>
      <c r="AL140" s="7" t="s">
        <v>22</v>
      </c>
      <c r="AM140" s="7" t="s">
        <v>22</v>
      </c>
      <c r="AN140" s="7" t="s">
        <v>22</v>
      </c>
      <c r="AO140" s="7" t="s">
        <v>22</v>
      </c>
      <c r="AP140" s="7" t="s">
        <v>22</v>
      </c>
    </row>
    <row r="141" spans="11:42" x14ac:dyDescent="0.3">
      <c r="K141" s="21">
        <v>137</v>
      </c>
      <c r="L141" s="24" t="str">
        <f t="shared" si="25"/>
        <v/>
      </c>
      <c r="M141" s="24" t="str">
        <f t="shared" si="26"/>
        <v/>
      </c>
      <c r="N141" s="24" t="str">
        <f t="shared" si="27"/>
        <v/>
      </c>
      <c r="O141" s="24" t="str">
        <f t="shared" si="28"/>
        <v/>
      </c>
      <c r="P141" s="24" t="str">
        <f t="shared" si="29"/>
        <v/>
      </c>
      <c r="Q141" s="24" t="str">
        <f t="shared" si="30"/>
        <v/>
      </c>
      <c r="R141" s="24" t="str">
        <f t="shared" si="31"/>
        <v/>
      </c>
      <c r="T141" s="8" t="s">
        <v>22</v>
      </c>
      <c r="U141" s="8" t="s">
        <v>22</v>
      </c>
      <c r="V141" s="8" t="s">
        <v>22</v>
      </c>
      <c r="W141" s="8" t="s">
        <v>22</v>
      </c>
      <c r="X141" s="8" t="s">
        <v>22</v>
      </c>
      <c r="Y141" s="8" t="s">
        <v>22</v>
      </c>
      <c r="Z141" s="8" t="s">
        <v>22</v>
      </c>
      <c r="AB141" s="25" t="s">
        <v>22</v>
      </c>
      <c r="AC141" s="25" t="s">
        <v>22</v>
      </c>
      <c r="AD141" s="25" t="s">
        <v>22</v>
      </c>
      <c r="AE141" s="25" t="s">
        <v>22</v>
      </c>
      <c r="AF141" s="25" t="s">
        <v>22</v>
      </c>
      <c r="AG141" s="25" t="s">
        <v>22</v>
      </c>
      <c r="AH141" s="7" t="s">
        <v>22</v>
      </c>
      <c r="AJ141" s="7" t="s">
        <v>22</v>
      </c>
      <c r="AK141" s="7" t="s">
        <v>22</v>
      </c>
      <c r="AL141" s="7" t="s">
        <v>22</v>
      </c>
      <c r="AM141" s="7" t="s">
        <v>22</v>
      </c>
      <c r="AN141" s="7" t="s">
        <v>22</v>
      </c>
      <c r="AO141" s="7" t="s">
        <v>22</v>
      </c>
      <c r="AP141" s="7" t="s">
        <v>22</v>
      </c>
    </row>
    <row r="142" spans="11:42" x14ac:dyDescent="0.3">
      <c r="K142" s="22">
        <v>138</v>
      </c>
      <c r="L142" s="24" t="str">
        <f t="shared" si="25"/>
        <v/>
      </c>
      <c r="M142" s="24" t="str">
        <f t="shared" si="26"/>
        <v/>
      </c>
      <c r="N142" s="24" t="str">
        <f t="shared" si="27"/>
        <v/>
      </c>
      <c r="O142" s="24" t="str">
        <f t="shared" si="28"/>
        <v/>
      </c>
      <c r="P142" s="24" t="str">
        <f t="shared" si="29"/>
        <v/>
      </c>
      <c r="Q142" s="24" t="str">
        <f t="shared" si="30"/>
        <v/>
      </c>
      <c r="R142" s="24" t="str">
        <f t="shared" si="31"/>
        <v/>
      </c>
      <c r="T142" s="8" t="s">
        <v>22</v>
      </c>
      <c r="U142" s="8" t="s">
        <v>22</v>
      </c>
      <c r="V142" s="8" t="s">
        <v>22</v>
      </c>
      <c r="W142" s="8" t="s">
        <v>22</v>
      </c>
      <c r="X142" s="8" t="s">
        <v>22</v>
      </c>
      <c r="Y142" s="8" t="s">
        <v>22</v>
      </c>
      <c r="Z142" s="8" t="s">
        <v>22</v>
      </c>
      <c r="AB142" s="25" t="s">
        <v>22</v>
      </c>
      <c r="AC142" s="25" t="s">
        <v>22</v>
      </c>
      <c r="AD142" s="25" t="s">
        <v>22</v>
      </c>
      <c r="AE142" s="25" t="s">
        <v>22</v>
      </c>
      <c r="AF142" s="25" t="s">
        <v>22</v>
      </c>
      <c r="AG142" s="25" t="s">
        <v>22</v>
      </c>
      <c r="AH142" s="7" t="s">
        <v>22</v>
      </c>
      <c r="AJ142" s="7" t="s">
        <v>22</v>
      </c>
      <c r="AK142" s="7" t="s">
        <v>22</v>
      </c>
      <c r="AL142" s="7" t="s">
        <v>22</v>
      </c>
      <c r="AM142" s="7" t="s">
        <v>22</v>
      </c>
      <c r="AN142" s="7" t="s">
        <v>22</v>
      </c>
      <c r="AO142" s="7" t="s">
        <v>22</v>
      </c>
      <c r="AP142" s="7" t="s">
        <v>22</v>
      </c>
    </row>
    <row r="143" spans="11:42" x14ac:dyDescent="0.3">
      <c r="K143" s="21">
        <v>139</v>
      </c>
      <c r="L143" s="24" t="str">
        <f t="shared" si="25"/>
        <v/>
      </c>
      <c r="M143" s="24" t="str">
        <f t="shared" si="26"/>
        <v/>
      </c>
      <c r="N143" s="24" t="str">
        <f t="shared" si="27"/>
        <v/>
      </c>
      <c r="O143" s="24" t="str">
        <f t="shared" si="28"/>
        <v/>
      </c>
      <c r="P143" s="24" t="str">
        <f t="shared" si="29"/>
        <v/>
      </c>
      <c r="Q143" s="24" t="str">
        <f t="shared" si="30"/>
        <v/>
      </c>
      <c r="R143" s="24" t="str">
        <f t="shared" si="31"/>
        <v/>
      </c>
      <c r="T143" s="8" t="s">
        <v>22</v>
      </c>
      <c r="U143" s="8" t="s">
        <v>22</v>
      </c>
      <c r="V143" s="8" t="s">
        <v>22</v>
      </c>
      <c r="W143" s="8" t="s">
        <v>22</v>
      </c>
      <c r="X143" s="8" t="s">
        <v>22</v>
      </c>
      <c r="Y143" s="8" t="s">
        <v>22</v>
      </c>
      <c r="Z143" s="8" t="s">
        <v>22</v>
      </c>
      <c r="AB143" s="25" t="s">
        <v>22</v>
      </c>
      <c r="AC143" s="25" t="s">
        <v>22</v>
      </c>
      <c r="AD143" s="25" t="s">
        <v>22</v>
      </c>
      <c r="AE143" s="25" t="s">
        <v>22</v>
      </c>
      <c r="AF143" s="25" t="s">
        <v>22</v>
      </c>
      <c r="AG143" s="25" t="s">
        <v>22</v>
      </c>
      <c r="AH143" s="7" t="s">
        <v>22</v>
      </c>
      <c r="AJ143" s="7" t="s">
        <v>22</v>
      </c>
      <c r="AK143" s="7" t="s">
        <v>22</v>
      </c>
      <c r="AL143" s="7" t="s">
        <v>22</v>
      </c>
      <c r="AM143" s="7" t="s">
        <v>22</v>
      </c>
      <c r="AN143" s="7" t="s">
        <v>22</v>
      </c>
      <c r="AO143" s="7" t="s">
        <v>22</v>
      </c>
      <c r="AP143" s="7" t="s">
        <v>22</v>
      </c>
    </row>
    <row r="144" spans="11:42" x14ac:dyDescent="0.3">
      <c r="K144" s="22">
        <v>140</v>
      </c>
      <c r="L144" s="24" t="str">
        <f t="shared" si="25"/>
        <v/>
      </c>
      <c r="M144" s="24" t="str">
        <f t="shared" si="26"/>
        <v/>
      </c>
      <c r="N144" s="24" t="str">
        <f t="shared" si="27"/>
        <v/>
      </c>
      <c r="O144" s="24" t="str">
        <f t="shared" si="28"/>
        <v/>
      </c>
      <c r="P144" s="24" t="str">
        <f t="shared" si="29"/>
        <v/>
      </c>
      <c r="Q144" s="24" t="str">
        <f t="shared" si="30"/>
        <v/>
      </c>
      <c r="R144" s="24" t="str">
        <f t="shared" si="31"/>
        <v/>
      </c>
      <c r="T144" s="8" t="s">
        <v>22</v>
      </c>
      <c r="U144" s="8" t="s">
        <v>22</v>
      </c>
      <c r="V144" s="8" t="s">
        <v>22</v>
      </c>
      <c r="W144" s="8" t="s">
        <v>22</v>
      </c>
      <c r="X144" s="8" t="s">
        <v>22</v>
      </c>
      <c r="Y144" s="8" t="s">
        <v>22</v>
      </c>
      <c r="Z144" s="8" t="s">
        <v>22</v>
      </c>
      <c r="AB144" s="25" t="s">
        <v>22</v>
      </c>
      <c r="AC144" s="25" t="s">
        <v>22</v>
      </c>
      <c r="AD144" s="25" t="s">
        <v>22</v>
      </c>
      <c r="AE144" s="25" t="s">
        <v>22</v>
      </c>
      <c r="AF144" s="25" t="s">
        <v>22</v>
      </c>
      <c r="AG144" s="25" t="s">
        <v>22</v>
      </c>
      <c r="AH144" s="7" t="s">
        <v>22</v>
      </c>
      <c r="AJ144" s="7" t="s">
        <v>22</v>
      </c>
      <c r="AK144" s="7" t="s">
        <v>22</v>
      </c>
      <c r="AL144" s="7" t="s">
        <v>22</v>
      </c>
      <c r="AM144" s="7" t="s">
        <v>22</v>
      </c>
      <c r="AN144" s="7" t="s">
        <v>22</v>
      </c>
      <c r="AO144" s="7" t="s">
        <v>22</v>
      </c>
      <c r="AP144" s="7" t="s">
        <v>22</v>
      </c>
    </row>
    <row r="145" spans="11:42" x14ac:dyDescent="0.3">
      <c r="K145" s="21">
        <v>141</v>
      </c>
      <c r="L145" s="24" t="str">
        <f t="shared" si="25"/>
        <v/>
      </c>
      <c r="M145" s="24" t="str">
        <f t="shared" si="26"/>
        <v/>
      </c>
      <c r="N145" s="24" t="str">
        <f t="shared" si="27"/>
        <v/>
      </c>
      <c r="O145" s="24" t="str">
        <f t="shared" si="28"/>
        <v/>
      </c>
      <c r="P145" s="24" t="str">
        <f t="shared" si="29"/>
        <v/>
      </c>
      <c r="Q145" s="24" t="str">
        <f t="shared" si="30"/>
        <v/>
      </c>
      <c r="R145" s="24" t="str">
        <f t="shared" si="31"/>
        <v/>
      </c>
      <c r="T145" s="8" t="s">
        <v>22</v>
      </c>
      <c r="U145" s="8" t="s">
        <v>22</v>
      </c>
      <c r="V145" s="8" t="s">
        <v>22</v>
      </c>
      <c r="W145" s="8" t="s">
        <v>22</v>
      </c>
      <c r="X145" s="8" t="s">
        <v>22</v>
      </c>
      <c r="Y145" s="8" t="s">
        <v>22</v>
      </c>
      <c r="Z145" s="8" t="s">
        <v>22</v>
      </c>
      <c r="AB145" s="25" t="s">
        <v>22</v>
      </c>
      <c r="AC145" s="25" t="s">
        <v>22</v>
      </c>
      <c r="AD145" s="25" t="s">
        <v>22</v>
      </c>
      <c r="AE145" s="25" t="s">
        <v>22</v>
      </c>
      <c r="AF145" s="25" t="s">
        <v>22</v>
      </c>
      <c r="AG145" s="25" t="s">
        <v>22</v>
      </c>
      <c r="AH145" s="7" t="s">
        <v>22</v>
      </c>
      <c r="AJ145" s="7" t="s">
        <v>22</v>
      </c>
      <c r="AK145" s="7" t="s">
        <v>22</v>
      </c>
      <c r="AL145" s="7" t="s">
        <v>22</v>
      </c>
      <c r="AM145" s="7" t="s">
        <v>22</v>
      </c>
      <c r="AN145" s="7" t="s">
        <v>22</v>
      </c>
      <c r="AO145" s="7" t="s">
        <v>22</v>
      </c>
      <c r="AP145" s="7" t="s">
        <v>22</v>
      </c>
    </row>
    <row r="146" spans="11:42" x14ac:dyDescent="0.3">
      <c r="K146" s="22">
        <v>142</v>
      </c>
      <c r="L146" s="24" t="str">
        <f t="shared" si="25"/>
        <v/>
      </c>
      <c r="M146" s="24" t="str">
        <f t="shared" si="26"/>
        <v/>
      </c>
      <c r="N146" s="24" t="str">
        <f t="shared" si="27"/>
        <v/>
      </c>
      <c r="O146" s="24" t="str">
        <f t="shared" si="28"/>
        <v/>
      </c>
      <c r="P146" s="24" t="str">
        <f t="shared" si="29"/>
        <v/>
      </c>
      <c r="Q146" s="24" t="str">
        <f t="shared" si="30"/>
        <v/>
      </c>
      <c r="R146" s="24" t="str">
        <f t="shared" si="31"/>
        <v/>
      </c>
      <c r="T146" s="8" t="s">
        <v>22</v>
      </c>
      <c r="U146" s="8" t="s">
        <v>22</v>
      </c>
      <c r="V146" s="8" t="s">
        <v>22</v>
      </c>
      <c r="W146" s="8" t="s">
        <v>22</v>
      </c>
      <c r="X146" s="8" t="s">
        <v>22</v>
      </c>
      <c r="Y146" s="8" t="s">
        <v>22</v>
      </c>
      <c r="Z146" s="8" t="s">
        <v>22</v>
      </c>
      <c r="AB146" s="25" t="s">
        <v>22</v>
      </c>
      <c r="AC146" s="25" t="s">
        <v>22</v>
      </c>
      <c r="AD146" s="25" t="s">
        <v>22</v>
      </c>
      <c r="AE146" s="25" t="s">
        <v>22</v>
      </c>
      <c r="AF146" s="25" t="s">
        <v>22</v>
      </c>
      <c r="AG146" s="25" t="s">
        <v>22</v>
      </c>
      <c r="AH146" s="7" t="s">
        <v>22</v>
      </c>
      <c r="AJ146" s="7" t="s">
        <v>22</v>
      </c>
      <c r="AK146" s="7" t="s">
        <v>22</v>
      </c>
      <c r="AL146" s="7" t="s">
        <v>22</v>
      </c>
      <c r="AM146" s="7" t="s">
        <v>22</v>
      </c>
      <c r="AN146" s="7" t="s">
        <v>22</v>
      </c>
      <c r="AO146" s="7" t="s">
        <v>22</v>
      </c>
      <c r="AP146" s="7" t="s">
        <v>22</v>
      </c>
    </row>
    <row r="147" spans="11:42" x14ac:dyDescent="0.3">
      <c r="K147" s="21">
        <v>143</v>
      </c>
      <c r="L147" s="24" t="str">
        <f t="shared" si="25"/>
        <v/>
      </c>
      <c r="M147" s="24" t="str">
        <f t="shared" si="26"/>
        <v/>
      </c>
      <c r="N147" s="24" t="str">
        <f t="shared" si="27"/>
        <v/>
      </c>
      <c r="O147" s="24" t="str">
        <f t="shared" si="28"/>
        <v/>
      </c>
      <c r="P147" s="24" t="str">
        <f t="shared" si="29"/>
        <v/>
      </c>
      <c r="Q147" s="24" t="str">
        <f t="shared" si="30"/>
        <v/>
      </c>
      <c r="R147" s="24" t="str">
        <f t="shared" si="31"/>
        <v/>
      </c>
      <c r="T147" s="8" t="s">
        <v>22</v>
      </c>
      <c r="U147" s="8" t="s">
        <v>22</v>
      </c>
      <c r="V147" s="8" t="s">
        <v>22</v>
      </c>
      <c r="W147" s="8" t="s">
        <v>22</v>
      </c>
      <c r="X147" s="8" t="s">
        <v>22</v>
      </c>
      <c r="Y147" s="8" t="s">
        <v>22</v>
      </c>
      <c r="Z147" s="8" t="s">
        <v>22</v>
      </c>
      <c r="AB147" s="25" t="s">
        <v>22</v>
      </c>
      <c r="AC147" s="25" t="s">
        <v>22</v>
      </c>
      <c r="AD147" s="25" t="s">
        <v>22</v>
      </c>
      <c r="AE147" s="25" t="s">
        <v>22</v>
      </c>
      <c r="AF147" s="25" t="s">
        <v>22</v>
      </c>
      <c r="AG147" s="25" t="s">
        <v>22</v>
      </c>
      <c r="AH147" s="7" t="s">
        <v>22</v>
      </c>
      <c r="AJ147" s="7" t="s">
        <v>22</v>
      </c>
      <c r="AK147" s="7" t="s">
        <v>22</v>
      </c>
      <c r="AL147" s="7" t="s">
        <v>22</v>
      </c>
      <c r="AM147" s="7" t="s">
        <v>22</v>
      </c>
      <c r="AN147" s="7" t="s">
        <v>22</v>
      </c>
      <c r="AO147" s="7" t="s">
        <v>22</v>
      </c>
      <c r="AP147" s="7" t="s">
        <v>22</v>
      </c>
    </row>
    <row r="148" spans="11:42" x14ac:dyDescent="0.3">
      <c r="K148" s="22">
        <v>144</v>
      </c>
      <c r="L148" s="24" t="str">
        <f t="shared" si="25"/>
        <v/>
      </c>
      <c r="M148" s="24" t="str">
        <f t="shared" si="26"/>
        <v/>
      </c>
      <c r="N148" s="24" t="str">
        <f t="shared" si="27"/>
        <v/>
      </c>
      <c r="O148" s="24" t="str">
        <f t="shared" si="28"/>
        <v/>
      </c>
      <c r="P148" s="24" t="str">
        <f t="shared" si="29"/>
        <v/>
      </c>
      <c r="Q148" s="24" t="str">
        <f t="shared" si="30"/>
        <v/>
      </c>
      <c r="R148" s="24" t="str">
        <f t="shared" si="31"/>
        <v/>
      </c>
      <c r="T148" s="8" t="s">
        <v>22</v>
      </c>
      <c r="U148" s="8" t="s">
        <v>22</v>
      </c>
      <c r="V148" s="8" t="s">
        <v>22</v>
      </c>
      <c r="W148" s="8" t="s">
        <v>22</v>
      </c>
      <c r="X148" s="8" t="s">
        <v>22</v>
      </c>
      <c r="Y148" s="8" t="s">
        <v>22</v>
      </c>
      <c r="Z148" s="8" t="s">
        <v>22</v>
      </c>
      <c r="AB148" s="25" t="s">
        <v>22</v>
      </c>
      <c r="AC148" s="25" t="s">
        <v>22</v>
      </c>
      <c r="AD148" s="25" t="s">
        <v>22</v>
      </c>
      <c r="AE148" s="25" t="s">
        <v>22</v>
      </c>
      <c r="AF148" s="25" t="s">
        <v>22</v>
      </c>
      <c r="AG148" s="25" t="s">
        <v>22</v>
      </c>
      <c r="AH148" s="7" t="s">
        <v>22</v>
      </c>
      <c r="AJ148" s="7" t="s">
        <v>22</v>
      </c>
      <c r="AK148" s="7" t="s">
        <v>22</v>
      </c>
      <c r="AL148" s="7" t="s">
        <v>22</v>
      </c>
      <c r="AM148" s="7" t="s">
        <v>22</v>
      </c>
      <c r="AN148" s="7" t="s">
        <v>22</v>
      </c>
      <c r="AO148" s="7" t="s">
        <v>22</v>
      </c>
      <c r="AP148" s="7" t="s">
        <v>22</v>
      </c>
    </row>
    <row r="149" spans="11:42" x14ac:dyDescent="0.3">
      <c r="K149" s="21">
        <v>145</v>
      </c>
      <c r="L149" s="24" t="str">
        <f t="shared" si="25"/>
        <v/>
      </c>
      <c r="M149" s="24" t="str">
        <f t="shared" si="26"/>
        <v/>
      </c>
      <c r="N149" s="24" t="str">
        <f t="shared" si="27"/>
        <v/>
      </c>
      <c r="O149" s="24" t="str">
        <f t="shared" si="28"/>
        <v/>
      </c>
      <c r="P149" s="24" t="str">
        <f t="shared" si="29"/>
        <v/>
      </c>
      <c r="Q149" s="24" t="str">
        <f t="shared" si="30"/>
        <v/>
      </c>
      <c r="R149" s="24" t="str">
        <f t="shared" si="31"/>
        <v/>
      </c>
      <c r="T149" s="8" t="s">
        <v>22</v>
      </c>
      <c r="U149" s="8" t="s">
        <v>22</v>
      </c>
      <c r="V149" s="8" t="s">
        <v>22</v>
      </c>
      <c r="W149" s="8" t="s">
        <v>22</v>
      </c>
      <c r="X149" s="8" t="s">
        <v>22</v>
      </c>
      <c r="Y149" s="8" t="s">
        <v>22</v>
      </c>
      <c r="Z149" s="8" t="s">
        <v>22</v>
      </c>
      <c r="AB149" s="25" t="s">
        <v>22</v>
      </c>
      <c r="AC149" s="25" t="s">
        <v>22</v>
      </c>
      <c r="AD149" s="25" t="s">
        <v>22</v>
      </c>
      <c r="AE149" s="25" t="s">
        <v>22</v>
      </c>
      <c r="AF149" s="25" t="s">
        <v>22</v>
      </c>
      <c r="AG149" s="25" t="s">
        <v>22</v>
      </c>
      <c r="AH149" s="7" t="s">
        <v>22</v>
      </c>
      <c r="AJ149" s="7" t="s">
        <v>22</v>
      </c>
      <c r="AK149" s="7" t="s">
        <v>22</v>
      </c>
      <c r="AL149" s="7" t="s">
        <v>22</v>
      </c>
      <c r="AM149" s="7" t="s">
        <v>22</v>
      </c>
      <c r="AN149" s="7" t="s">
        <v>22</v>
      </c>
      <c r="AO149" s="7" t="s">
        <v>22</v>
      </c>
      <c r="AP149" s="7" t="s">
        <v>22</v>
      </c>
    </row>
    <row r="150" spans="11:42" x14ac:dyDescent="0.3">
      <c r="K150" s="22">
        <v>146</v>
      </c>
      <c r="L150" s="24" t="str">
        <f t="shared" si="25"/>
        <v/>
      </c>
      <c r="M150" s="24" t="str">
        <f t="shared" si="26"/>
        <v/>
      </c>
      <c r="N150" s="24" t="str">
        <f t="shared" si="27"/>
        <v/>
      </c>
      <c r="O150" s="24" t="str">
        <f t="shared" si="28"/>
        <v/>
      </c>
      <c r="P150" s="24" t="str">
        <f t="shared" si="29"/>
        <v/>
      </c>
      <c r="Q150" s="24" t="str">
        <f t="shared" si="30"/>
        <v/>
      </c>
      <c r="R150" s="24" t="str">
        <f t="shared" si="31"/>
        <v/>
      </c>
      <c r="T150" s="8" t="s">
        <v>22</v>
      </c>
      <c r="U150" s="8" t="s">
        <v>22</v>
      </c>
      <c r="V150" s="8" t="s">
        <v>22</v>
      </c>
      <c r="W150" s="8" t="s">
        <v>22</v>
      </c>
      <c r="X150" s="8" t="s">
        <v>22</v>
      </c>
      <c r="Y150" s="8" t="s">
        <v>22</v>
      </c>
      <c r="Z150" s="8" t="s">
        <v>22</v>
      </c>
      <c r="AB150" s="25" t="s">
        <v>22</v>
      </c>
      <c r="AC150" s="25" t="s">
        <v>22</v>
      </c>
      <c r="AD150" s="25" t="s">
        <v>22</v>
      </c>
      <c r="AE150" s="25" t="s">
        <v>22</v>
      </c>
      <c r="AF150" s="25" t="s">
        <v>22</v>
      </c>
      <c r="AG150" s="25" t="s">
        <v>22</v>
      </c>
      <c r="AH150" s="7" t="s">
        <v>22</v>
      </c>
      <c r="AJ150" s="7" t="s">
        <v>22</v>
      </c>
      <c r="AK150" s="7" t="s">
        <v>22</v>
      </c>
      <c r="AL150" s="7" t="s">
        <v>22</v>
      </c>
      <c r="AM150" s="7" t="s">
        <v>22</v>
      </c>
      <c r="AN150" s="7" t="s">
        <v>22</v>
      </c>
      <c r="AO150" s="7" t="s">
        <v>22</v>
      </c>
      <c r="AP150" s="7" t="s">
        <v>22</v>
      </c>
    </row>
    <row r="151" spans="11:42" x14ac:dyDescent="0.3">
      <c r="K151" s="21">
        <v>147</v>
      </c>
      <c r="L151" s="24" t="str">
        <f t="shared" si="25"/>
        <v/>
      </c>
      <c r="M151" s="24" t="str">
        <f t="shared" si="26"/>
        <v/>
      </c>
      <c r="N151" s="24" t="str">
        <f t="shared" si="27"/>
        <v/>
      </c>
      <c r="O151" s="24" t="str">
        <f t="shared" si="28"/>
        <v/>
      </c>
      <c r="P151" s="24" t="str">
        <f t="shared" si="29"/>
        <v/>
      </c>
      <c r="Q151" s="24" t="str">
        <f t="shared" si="30"/>
        <v/>
      </c>
      <c r="R151" s="24" t="str">
        <f t="shared" si="31"/>
        <v/>
      </c>
      <c r="T151" s="8" t="s">
        <v>22</v>
      </c>
      <c r="U151" s="8" t="s">
        <v>22</v>
      </c>
      <c r="V151" s="8" t="s">
        <v>22</v>
      </c>
      <c r="W151" s="8" t="s">
        <v>22</v>
      </c>
      <c r="X151" s="8" t="s">
        <v>22</v>
      </c>
      <c r="Y151" s="8" t="s">
        <v>22</v>
      </c>
      <c r="Z151" s="8" t="s">
        <v>22</v>
      </c>
      <c r="AB151" s="25" t="s">
        <v>22</v>
      </c>
      <c r="AC151" s="25" t="s">
        <v>22</v>
      </c>
      <c r="AD151" s="25" t="s">
        <v>22</v>
      </c>
      <c r="AE151" s="25" t="s">
        <v>22</v>
      </c>
      <c r="AF151" s="25" t="s">
        <v>22</v>
      </c>
      <c r="AG151" s="25" t="s">
        <v>22</v>
      </c>
      <c r="AH151" s="7" t="s">
        <v>22</v>
      </c>
      <c r="AJ151" s="7" t="s">
        <v>22</v>
      </c>
      <c r="AK151" s="7" t="s">
        <v>22</v>
      </c>
      <c r="AL151" s="7" t="s">
        <v>22</v>
      </c>
      <c r="AM151" s="7" t="s">
        <v>22</v>
      </c>
      <c r="AN151" s="7" t="s">
        <v>22</v>
      </c>
      <c r="AO151" s="7" t="s">
        <v>22</v>
      </c>
      <c r="AP151" s="7" t="s">
        <v>22</v>
      </c>
    </row>
    <row r="152" spans="11:42" x14ac:dyDescent="0.3">
      <c r="K152" s="22">
        <v>148</v>
      </c>
      <c r="L152" s="24" t="str">
        <f t="shared" si="25"/>
        <v/>
      </c>
      <c r="M152" s="24" t="str">
        <f t="shared" si="26"/>
        <v/>
      </c>
      <c r="N152" s="24" t="str">
        <f t="shared" si="27"/>
        <v/>
      </c>
      <c r="O152" s="24" t="str">
        <f t="shared" si="28"/>
        <v/>
      </c>
      <c r="P152" s="24" t="str">
        <f t="shared" si="29"/>
        <v/>
      </c>
      <c r="Q152" s="24" t="str">
        <f t="shared" si="30"/>
        <v/>
      </c>
      <c r="R152" s="24" t="str">
        <f t="shared" si="31"/>
        <v/>
      </c>
      <c r="T152" s="8" t="s">
        <v>22</v>
      </c>
      <c r="U152" s="8" t="s">
        <v>22</v>
      </c>
      <c r="V152" s="8" t="s">
        <v>22</v>
      </c>
      <c r="W152" s="8" t="s">
        <v>22</v>
      </c>
      <c r="X152" s="8" t="s">
        <v>22</v>
      </c>
      <c r="Y152" s="8" t="s">
        <v>22</v>
      </c>
      <c r="Z152" s="8" t="s">
        <v>22</v>
      </c>
      <c r="AB152" s="25" t="s">
        <v>22</v>
      </c>
      <c r="AC152" s="25" t="s">
        <v>22</v>
      </c>
      <c r="AD152" s="25" t="s">
        <v>22</v>
      </c>
      <c r="AE152" s="25" t="s">
        <v>22</v>
      </c>
      <c r="AF152" s="25" t="s">
        <v>22</v>
      </c>
      <c r="AG152" s="25" t="s">
        <v>22</v>
      </c>
      <c r="AH152" s="7" t="s">
        <v>22</v>
      </c>
      <c r="AJ152" s="7" t="s">
        <v>22</v>
      </c>
      <c r="AK152" s="7" t="s">
        <v>22</v>
      </c>
      <c r="AL152" s="7" t="s">
        <v>22</v>
      </c>
      <c r="AM152" s="7" t="s">
        <v>22</v>
      </c>
      <c r="AN152" s="7" t="s">
        <v>22</v>
      </c>
      <c r="AO152" s="7" t="s">
        <v>22</v>
      </c>
      <c r="AP152" s="7" t="s">
        <v>22</v>
      </c>
    </row>
    <row r="153" spans="11:42" x14ac:dyDescent="0.3">
      <c r="K153" s="21">
        <v>149</v>
      </c>
      <c r="L153" s="24" t="str">
        <f t="shared" si="25"/>
        <v/>
      </c>
      <c r="M153" s="24" t="str">
        <f t="shared" si="26"/>
        <v/>
      </c>
      <c r="N153" s="24" t="str">
        <f t="shared" si="27"/>
        <v/>
      </c>
      <c r="O153" s="24" t="str">
        <f t="shared" si="28"/>
        <v/>
      </c>
      <c r="P153" s="24" t="str">
        <f t="shared" si="29"/>
        <v/>
      </c>
      <c r="Q153" s="24" t="str">
        <f t="shared" si="30"/>
        <v/>
      </c>
      <c r="R153" s="24" t="str">
        <f t="shared" si="31"/>
        <v/>
      </c>
      <c r="T153" s="8" t="s">
        <v>22</v>
      </c>
      <c r="U153" s="8" t="s">
        <v>22</v>
      </c>
      <c r="V153" s="8" t="s">
        <v>22</v>
      </c>
      <c r="W153" s="8" t="s">
        <v>22</v>
      </c>
      <c r="X153" s="8" t="s">
        <v>22</v>
      </c>
      <c r="Y153" s="8" t="s">
        <v>22</v>
      </c>
      <c r="Z153" s="8" t="s">
        <v>22</v>
      </c>
      <c r="AB153" s="25" t="s">
        <v>22</v>
      </c>
      <c r="AC153" s="25" t="s">
        <v>22</v>
      </c>
      <c r="AD153" s="25" t="s">
        <v>22</v>
      </c>
      <c r="AE153" s="25" t="s">
        <v>22</v>
      </c>
      <c r="AF153" s="25" t="s">
        <v>22</v>
      </c>
      <c r="AG153" s="25" t="s">
        <v>22</v>
      </c>
      <c r="AH153" s="7" t="s">
        <v>22</v>
      </c>
      <c r="AJ153" s="7" t="s">
        <v>22</v>
      </c>
      <c r="AK153" s="7" t="s">
        <v>22</v>
      </c>
      <c r="AL153" s="7" t="s">
        <v>22</v>
      </c>
      <c r="AM153" s="7" t="s">
        <v>22</v>
      </c>
      <c r="AN153" s="7" t="s">
        <v>22</v>
      </c>
      <c r="AO153" s="7" t="s">
        <v>22</v>
      </c>
      <c r="AP153" s="7" t="s">
        <v>22</v>
      </c>
    </row>
    <row r="154" spans="11:42" x14ac:dyDescent="0.3">
      <c r="K154" s="22">
        <v>150</v>
      </c>
      <c r="L154" s="24" t="str">
        <f t="shared" si="25"/>
        <v/>
      </c>
      <c r="M154" s="24" t="str">
        <f t="shared" si="26"/>
        <v/>
      </c>
      <c r="N154" s="24" t="str">
        <f t="shared" si="27"/>
        <v/>
      </c>
      <c r="O154" s="24" t="str">
        <f t="shared" si="28"/>
        <v/>
      </c>
      <c r="P154" s="24" t="str">
        <f t="shared" si="29"/>
        <v/>
      </c>
      <c r="Q154" s="24" t="str">
        <f t="shared" si="30"/>
        <v/>
      </c>
      <c r="R154" s="24" t="str">
        <f t="shared" si="31"/>
        <v/>
      </c>
      <c r="T154" s="8" t="s">
        <v>22</v>
      </c>
      <c r="U154" s="8" t="s">
        <v>22</v>
      </c>
      <c r="V154" s="8" t="s">
        <v>22</v>
      </c>
      <c r="W154" s="8" t="s">
        <v>22</v>
      </c>
      <c r="X154" s="8" t="s">
        <v>22</v>
      </c>
      <c r="Y154" s="8" t="s">
        <v>22</v>
      </c>
      <c r="Z154" s="8" t="s">
        <v>22</v>
      </c>
      <c r="AB154" s="25" t="s">
        <v>22</v>
      </c>
      <c r="AC154" s="25" t="s">
        <v>22</v>
      </c>
      <c r="AD154" s="25" t="s">
        <v>22</v>
      </c>
      <c r="AE154" s="25" t="s">
        <v>22</v>
      </c>
      <c r="AF154" s="25" t="s">
        <v>22</v>
      </c>
      <c r="AG154" s="25" t="s">
        <v>22</v>
      </c>
      <c r="AH154" s="7" t="s">
        <v>22</v>
      </c>
      <c r="AJ154" s="7" t="s">
        <v>22</v>
      </c>
      <c r="AK154" s="7" t="s">
        <v>22</v>
      </c>
      <c r="AL154" s="7" t="s">
        <v>22</v>
      </c>
      <c r="AM154" s="7" t="s">
        <v>22</v>
      </c>
      <c r="AN154" s="7" t="s">
        <v>22</v>
      </c>
      <c r="AO154" s="7" t="s">
        <v>22</v>
      </c>
      <c r="AP154" s="7" t="s">
        <v>22</v>
      </c>
    </row>
    <row r="155" spans="11:42" x14ac:dyDescent="0.3">
      <c r="K155" s="21">
        <v>151</v>
      </c>
      <c r="L155" s="24" t="str">
        <f t="shared" si="25"/>
        <v/>
      </c>
      <c r="M155" s="24" t="str">
        <f t="shared" si="26"/>
        <v/>
      </c>
      <c r="N155" s="24" t="str">
        <f t="shared" si="27"/>
        <v/>
      </c>
      <c r="O155" s="24" t="str">
        <f t="shared" si="28"/>
        <v/>
      </c>
      <c r="P155" s="24" t="str">
        <f t="shared" si="29"/>
        <v/>
      </c>
      <c r="Q155" s="24" t="str">
        <f t="shared" si="30"/>
        <v/>
      </c>
      <c r="R155" s="24" t="str">
        <f t="shared" si="31"/>
        <v/>
      </c>
      <c r="T155" s="8" t="s">
        <v>22</v>
      </c>
      <c r="U155" s="8" t="s">
        <v>22</v>
      </c>
      <c r="V155" s="8" t="s">
        <v>22</v>
      </c>
      <c r="W155" s="8" t="s">
        <v>22</v>
      </c>
      <c r="X155" s="8" t="s">
        <v>22</v>
      </c>
      <c r="Y155" s="8" t="s">
        <v>22</v>
      </c>
      <c r="Z155" s="8" t="s">
        <v>22</v>
      </c>
      <c r="AB155" s="25" t="s">
        <v>22</v>
      </c>
      <c r="AC155" s="25" t="s">
        <v>22</v>
      </c>
      <c r="AD155" s="25" t="s">
        <v>22</v>
      </c>
      <c r="AE155" s="25" t="s">
        <v>22</v>
      </c>
      <c r="AF155" s="25" t="s">
        <v>22</v>
      </c>
      <c r="AG155" s="25" t="s">
        <v>22</v>
      </c>
      <c r="AH155" s="7" t="s">
        <v>22</v>
      </c>
      <c r="AJ155" s="7" t="s">
        <v>22</v>
      </c>
      <c r="AK155" s="7" t="s">
        <v>22</v>
      </c>
      <c r="AL155" s="7" t="s">
        <v>22</v>
      </c>
      <c r="AM155" s="7" t="s">
        <v>22</v>
      </c>
      <c r="AN155" s="7" t="s">
        <v>22</v>
      </c>
      <c r="AO155" s="7" t="s">
        <v>22</v>
      </c>
      <c r="AP155" s="7" t="s">
        <v>22</v>
      </c>
    </row>
    <row r="156" spans="11:42" x14ac:dyDescent="0.3">
      <c r="K156" s="22">
        <v>152</v>
      </c>
      <c r="L156" s="24" t="str">
        <f t="shared" si="25"/>
        <v/>
      </c>
      <c r="M156" s="24" t="str">
        <f t="shared" si="26"/>
        <v/>
      </c>
      <c r="N156" s="24" t="str">
        <f t="shared" si="27"/>
        <v/>
      </c>
      <c r="O156" s="24" t="str">
        <f t="shared" si="28"/>
        <v/>
      </c>
      <c r="P156" s="24" t="str">
        <f t="shared" si="29"/>
        <v/>
      </c>
      <c r="Q156" s="24" t="str">
        <f t="shared" si="30"/>
        <v/>
      </c>
      <c r="R156" s="24" t="str">
        <f t="shared" si="31"/>
        <v/>
      </c>
      <c r="T156" s="8" t="s">
        <v>22</v>
      </c>
      <c r="U156" s="8" t="s">
        <v>22</v>
      </c>
      <c r="V156" s="8" t="s">
        <v>22</v>
      </c>
      <c r="W156" s="8" t="s">
        <v>22</v>
      </c>
      <c r="X156" s="8" t="s">
        <v>22</v>
      </c>
      <c r="Y156" s="8" t="s">
        <v>22</v>
      </c>
      <c r="Z156" s="8" t="s">
        <v>22</v>
      </c>
      <c r="AB156" s="25" t="s">
        <v>22</v>
      </c>
      <c r="AC156" s="25" t="s">
        <v>22</v>
      </c>
      <c r="AD156" s="25" t="s">
        <v>22</v>
      </c>
      <c r="AE156" s="25" t="s">
        <v>22</v>
      </c>
      <c r="AF156" s="25" t="s">
        <v>22</v>
      </c>
      <c r="AG156" s="25" t="s">
        <v>22</v>
      </c>
      <c r="AH156" s="7" t="s">
        <v>22</v>
      </c>
      <c r="AJ156" s="7" t="s">
        <v>22</v>
      </c>
      <c r="AK156" s="7" t="s">
        <v>22</v>
      </c>
      <c r="AL156" s="7" t="s">
        <v>22</v>
      </c>
      <c r="AM156" s="7" t="s">
        <v>22</v>
      </c>
      <c r="AN156" s="7" t="s">
        <v>22</v>
      </c>
      <c r="AO156" s="7" t="s">
        <v>22</v>
      </c>
      <c r="AP156" s="7" t="s">
        <v>22</v>
      </c>
    </row>
    <row r="157" spans="11:42" x14ac:dyDescent="0.3">
      <c r="K157" s="21">
        <v>153</v>
      </c>
      <c r="L157" s="24" t="str">
        <f t="shared" si="25"/>
        <v/>
      </c>
      <c r="M157" s="24" t="str">
        <f t="shared" si="26"/>
        <v/>
      </c>
      <c r="N157" s="24" t="str">
        <f t="shared" si="27"/>
        <v/>
      </c>
      <c r="O157" s="24" t="str">
        <f t="shared" si="28"/>
        <v/>
      </c>
      <c r="P157" s="24" t="str">
        <f t="shared" si="29"/>
        <v/>
      </c>
      <c r="Q157" s="24" t="str">
        <f t="shared" si="30"/>
        <v/>
      </c>
      <c r="R157" s="24" t="str">
        <f t="shared" si="31"/>
        <v/>
      </c>
      <c r="T157" s="8" t="s">
        <v>22</v>
      </c>
      <c r="U157" s="8" t="s">
        <v>22</v>
      </c>
      <c r="V157" s="8" t="s">
        <v>22</v>
      </c>
      <c r="W157" s="8" t="s">
        <v>22</v>
      </c>
      <c r="X157" s="8" t="s">
        <v>22</v>
      </c>
      <c r="Y157" s="8" t="s">
        <v>22</v>
      </c>
      <c r="Z157" s="8" t="s">
        <v>22</v>
      </c>
      <c r="AB157" s="25" t="s">
        <v>22</v>
      </c>
      <c r="AC157" s="25" t="s">
        <v>22</v>
      </c>
      <c r="AD157" s="25" t="s">
        <v>22</v>
      </c>
      <c r="AE157" s="25" t="s">
        <v>22</v>
      </c>
      <c r="AF157" s="25" t="s">
        <v>22</v>
      </c>
      <c r="AG157" s="25" t="s">
        <v>22</v>
      </c>
      <c r="AH157" s="7" t="s">
        <v>22</v>
      </c>
      <c r="AJ157" s="7" t="s">
        <v>22</v>
      </c>
      <c r="AK157" s="7" t="s">
        <v>22</v>
      </c>
      <c r="AL157" s="7" t="s">
        <v>22</v>
      </c>
      <c r="AM157" s="7" t="s">
        <v>22</v>
      </c>
      <c r="AN157" s="7" t="s">
        <v>22</v>
      </c>
      <c r="AO157" s="7" t="s">
        <v>22</v>
      </c>
      <c r="AP157" s="7" t="s">
        <v>22</v>
      </c>
    </row>
    <row r="158" spans="11:42" x14ac:dyDescent="0.3">
      <c r="K158" s="22">
        <v>154</v>
      </c>
      <c r="L158" s="24" t="str">
        <f t="shared" si="25"/>
        <v/>
      </c>
      <c r="M158" s="24" t="str">
        <f t="shared" si="26"/>
        <v/>
      </c>
      <c r="N158" s="24" t="str">
        <f t="shared" si="27"/>
        <v/>
      </c>
      <c r="O158" s="24" t="str">
        <f t="shared" si="28"/>
        <v/>
      </c>
      <c r="P158" s="24" t="str">
        <f t="shared" si="29"/>
        <v/>
      </c>
      <c r="Q158" s="24" t="str">
        <f t="shared" si="30"/>
        <v/>
      </c>
      <c r="R158" s="24" t="str">
        <f t="shared" si="31"/>
        <v/>
      </c>
      <c r="T158" s="8" t="s">
        <v>22</v>
      </c>
      <c r="U158" s="8" t="s">
        <v>22</v>
      </c>
      <c r="V158" s="8" t="s">
        <v>22</v>
      </c>
      <c r="W158" s="8" t="s">
        <v>22</v>
      </c>
      <c r="X158" s="8" t="s">
        <v>22</v>
      </c>
      <c r="Y158" s="8" t="s">
        <v>22</v>
      </c>
      <c r="Z158" s="8" t="s">
        <v>22</v>
      </c>
      <c r="AB158" s="25" t="s">
        <v>22</v>
      </c>
      <c r="AC158" s="25" t="s">
        <v>22</v>
      </c>
      <c r="AD158" s="25" t="s">
        <v>22</v>
      </c>
      <c r="AE158" s="25" t="s">
        <v>22</v>
      </c>
      <c r="AF158" s="25" t="s">
        <v>22</v>
      </c>
      <c r="AG158" s="25" t="s">
        <v>22</v>
      </c>
      <c r="AH158" s="7" t="s">
        <v>22</v>
      </c>
      <c r="AJ158" s="7" t="s">
        <v>22</v>
      </c>
      <c r="AK158" s="7" t="s">
        <v>22</v>
      </c>
      <c r="AL158" s="7" t="s">
        <v>22</v>
      </c>
      <c r="AM158" s="7" t="s">
        <v>22</v>
      </c>
      <c r="AN158" s="7" t="s">
        <v>22</v>
      </c>
      <c r="AO158" s="7" t="s">
        <v>22</v>
      </c>
      <c r="AP158" s="7" t="s">
        <v>22</v>
      </c>
    </row>
    <row r="159" spans="11:42" x14ac:dyDescent="0.3">
      <c r="K159" s="21">
        <v>155</v>
      </c>
      <c r="L159" s="24" t="str">
        <f t="shared" si="25"/>
        <v/>
      </c>
      <c r="M159" s="24" t="str">
        <f t="shared" si="26"/>
        <v/>
      </c>
      <c r="N159" s="24" t="str">
        <f t="shared" si="27"/>
        <v/>
      </c>
      <c r="O159" s="24" t="str">
        <f t="shared" si="28"/>
        <v/>
      </c>
      <c r="P159" s="24" t="str">
        <f t="shared" si="29"/>
        <v/>
      </c>
      <c r="Q159" s="24" t="str">
        <f t="shared" si="30"/>
        <v/>
      </c>
      <c r="R159" s="24" t="str">
        <f t="shared" si="31"/>
        <v/>
      </c>
      <c r="T159" s="8" t="s">
        <v>22</v>
      </c>
      <c r="U159" s="8" t="s">
        <v>22</v>
      </c>
      <c r="V159" s="8" t="s">
        <v>22</v>
      </c>
      <c r="W159" s="8" t="s">
        <v>22</v>
      </c>
      <c r="X159" s="8" t="s">
        <v>22</v>
      </c>
      <c r="Y159" s="8" t="s">
        <v>22</v>
      </c>
      <c r="Z159" s="8" t="s">
        <v>22</v>
      </c>
      <c r="AB159" s="25" t="s">
        <v>22</v>
      </c>
      <c r="AC159" s="25" t="s">
        <v>22</v>
      </c>
      <c r="AD159" s="25" t="s">
        <v>22</v>
      </c>
      <c r="AE159" s="25" t="s">
        <v>22</v>
      </c>
      <c r="AF159" s="25" t="s">
        <v>22</v>
      </c>
      <c r="AG159" s="25" t="s">
        <v>22</v>
      </c>
      <c r="AH159" s="7" t="s">
        <v>22</v>
      </c>
      <c r="AJ159" s="7" t="s">
        <v>22</v>
      </c>
      <c r="AK159" s="7" t="s">
        <v>22</v>
      </c>
      <c r="AL159" s="7" t="s">
        <v>22</v>
      </c>
      <c r="AM159" s="7" t="s">
        <v>22</v>
      </c>
      <c r="AN159" s="7" t="s">
        <v>22</v>
      </c>
      <c r="AO159" s="7" t="s">
        <v>22</v>
      </c>
      <c r="AP159" s="7" t="s">
        <v>22</v>
      </c>
    </row>
    <row r="160" spans="11:42" x14ac:dyDescent="0.3">
      <c r="K160" s="22">
        <v>156</v>
      </c>
      <c r="L160" s="24" t="str">
        <f t="shared" si="25"/>
        <v/>
      </c>
      <c r="M160" s="24" t="str">
        <f t="shared" si="26"/>
        <v/>
      </c>
      <c r="N160" s="24" t="str">
        <f t="shared" si="27"/>
        <v/>
      </c>
      <c r="O160" s="24" t="str">
        <f t="shared" si="28"/>
        <v/>
      </c>
      <c r="P160" s="24" t="str">
        <f t="shared" si="29"/>
        <v/>
      </c>
      <c r="Q160" s="24" t="str">
        <f t="shared" si="30"/>
        <v/>
      </c>
      <c r="R160" s="24" t="str">
        <f t="shared" si="31"/>
        <v/>
      </c>
      <c r="T160" s="8" t="s">
        <v>22</v>
      </c>
      <c r="U160" s="8" t="s">
        <v>22</v>
      </c>
      <c r="V160" s="8" t="s">
        <v>22</v>
      </c>
      <c r="W160" s="8" t="s">
        <v>22</v>
      </c>
      <c r="X160" s="8" t="s">
        <v>22</v>
      </c>
      <c r="Y160" s="8" t="s">
        <v>22</v>
      </c>
      <c r="Z160" s="8" t="s">
        <v>22</v>
      </c>
      <c r="AB160" s="25" t="s">
        <v>22</v>
      </c>
      <c r="AC160" s="25" t="s">
        <v>22</v>
      </c>
      <c r="AD160" s="25" t="s">
        <v>22</v>
      </c>
      <c r="AE160" s="25" t="s">
        <v>22</v>
      </c>
      <c r="AF160" s="25" t="s">
        <v>22</v>
      </c>
      <c r="AG160" s="25" t="s">
        <v>22</v>
      </c>
      <c r="AH160" s="7" t="s">
        <v>22</v>
      </c>
      <c r="AJ160" s="7" t="s">
        <v>22</v>
      </c>
      <c r="AK160" s="7" t="s">
        <v>22</v>
      </c>
      <c r="AL160" s="7" t="s">
        <v>22</v>
      </c>
      <c r="AM160" s="7" t="s">
        <v>22</v>
      </c>
      <c r="AN160" s="7" t="s">
        <v>22</v>
      </c>
      <c r="AO160" s="7" t="s">
        <v>22</v>
      </c>
      <c r="AP160" s="7" t="s">
        <v>22</v>
      </c>
    </row>
    <row r="161" spans="11:42" x14ac:dyDescent="0.3">
      <c r="K161" s="21">
        <v>157</v>
      </c>
      <c r="L161" s="24" t="str">
        <f t="shared" si="25"/>
        <v/>
      </c>
      <c r="M161" s="24" t="str">
        <f t="shared" si="26"/>
        <v/>
      </c>
      <c r="N161" s="24" t="str">
        <f t="shared" si="27"/>
        <v/>
      </c>
      <c r="O161" s="24" t="str">
        <f t="shared" si="28"/>
        <v/>
      </c>
      <c r="P161" s="24" t="str">
        <f t="shared" si="29"/>
        <v/>
      </c>
      <c r="Q161" s="24" t="str">
        <f t="shared" si="30"/>
        <v/>
      </c>
      <c r="R161" s="24" t="str">
        <f t="shared" si="31"/>
        <v/>
      </c>
      <c r="T161" s="8" t="s">
        <v>22</v>
      </c>
      <c r="U161" s="8" t="s">
        <v>22</v>
      </c>
      <c r="V161" s="8" t="s">
        <v>22</v>
      </c>
      <c r="W161" s="8" t="s">
        <v>22</v>
      </c>
      <c r="X161" s="8" t="s">
        <v>22</v>
      </c>
      <c r="Y161" s="8" t="s">
        <v>22</v>
      </c>
      <c r="Z161" s="8" t="s">
        <v>22</v>
      </c>
      <c r="AB161" s="25" t="s">
        <v>22</v>
      </c>
      <c r="AC161" s="25" t="s">
        <v>22</v>
      </c>
      <c r="AD161" s="25" t="s">
        <v>22</v>
      </c>
      <c r="AE161" s="25" t="s">
        <v>22</v>
      </c>
      <c r="AF161" s="25" t="s">
        <v>22</v>
      </c>
      <c r="AG161" s="25" t="s">
        <v>22</v>
      </c>
      <c r="AH161" s="7" t="s">
        <v>22</v>
      </c>
      <c r="AJ161" s="7" t="s">
        <v>22</v>
      </c>
      <c r="AK161" s="7" t="s">
        <v>22</v>
      </c>
      <c r="AL161" s="7" t="s">
        <v>22</v>
      </c>
      <c r="AM161" s="7" t="s">
        <v>22</v>
      </c>
      <c r="AN161" s="7" t="s">
        <v>22</v>
      </c>
      <c r="AO161" s="7" t="s">
        <v>22</v>
      </c>
      <c r="AP161" s="7" t="s">
        <v>22</v>
      </c>
    </row>
    <row r="162" spans="11:42" x14ac:dyDescent="0.3">
      <c r="K162" s="22">
        <v>158</v>
      </c>
      <c r="L162" s="24" t="str">
        <f t="shared" si="25"/>
        <v/>
      </c>
      <c r="M162" s="24" t="str">
        <f t="shared" si="26"/>
        <v/>
      </c>
      <c r="N162" s="24" t="str">
        <f t="shared" si="27"/>
        <v/>
      </c>
      <c r="O162" s="24" t="str">
        <f t="shared" si="28"/>
        <v/>
      </c>
      <c r="P162" s="24" t="str">
        <f t="shared" si="29"/>
        <v/>
      </c>
      <c r="Q162" s="24" t="str">
        <f t="shared" si="30"/>
        <v/>
      </c>
      <c r="R162" s="24" t="str">
        <f t="shared" si="31"/>
        <v/>
      </c>
      <c r="T162" s="8" t="s">
        <v>22</v>
      </c>
      <c r="U162" s="8" t="s">
        <v>22</v>
      </c>
      <c r="V162" s="8" t="s">
        <v>22</v>
      </c>
      <c r="W162" s="8" t="s">
        <v>22</v>
      </c>
      <c r="X162" s="8" t="s">
        <v>22</v>
      </c>
      <c r="Y162" s="8" t="s">
        <v>22</v>
      </c>
      <c r="Z162" s="8" t="s">
        <v>22</v>
      </c>
      <c r="AB162" s="25" t="s">
        <v>22</v>
      </c>
      <c r="AC162" s="25" t="s">
        <v>22</v>
      </c>
      <c r="AD162" s="25" t="s">
        <v>22</v>
      </c>
      <c r="AE162" s="25" t="s">
        <v>22</v>
      </c>
      <c r="AF162" s="25" t="s">
        <v>22</v>
      </c>
      <c r="AG162" s="25" t="s">
        <v>22</v>
      </c>
      <c r="AH162" s="7" t="s">
        <v>22</v>
      </c>
      <c r="AJ162" s="7" t="s">
        <v>22</v>
      </c>
      <c r="AK162" s="7" t="s">
        <v>22</v>
      </c>
      <c r="AL162" s="7" t="s">
        <v>22</v>
      </c>
      <c r="AM162" s="7" t="s">
        <v>22</v>
      </c>
      <c r="AN162" s="7" t="s">
        <v>22</v>
      </c>
      <c r="AO162" s="7" t="s">
        <v>22</v>
      </c>
      <c r="AP162" s="7" t="s">
        <v>22</v>
      </c>
    </row>
    <row r="163" spans="11:42" x14ac:dyDescent="0.3">
      <c r="K163" s="21">
        <v>159</v>
      </c>
      <c r="L163" s="24" t="str">
        <f t="shared" si="25"/>
        <v/>
      </c>
      <c r="M163" s="24" t="str">
        <f t="shared" si="26"/>
        <v/>
      </c>
      <c r="N163" s="24" t="str">
        <f t="shared" si="27"/>
        <v/>
      </c>
      <c r="O163" s="24" t="str">
        <f t="shared" si="28"/>
        <v/>
      </c>
      <c r="P163" s="24" t="str">
        <f t="shared" si="29"/>
        <v/>
      </c>
      <c r="Q163" s="24" t="str">
        <f t="shared" si="30"/>
        <v/>
      </c>
      <c r="R163" s="24" t="str">
        <f t="shared" si="31"/>
        <v/>
      </c>
      <c r="T163" s="8" t="s">
        <v>22</v>
      </c>
      <c r="U163" s="8" t="s">
        <v>22</v>
      </c>
      <c r="V163" s="8" t="s">
        <v>22</v>
      </c>
      <c r="W163" s="8" t="s">
        <v>22</v>
      </c>
      <c r="X163" s="8" t="s">
        <v>22</v>
      </c>
      <c r="Y163" s="8" t="s">
        <v>22</v>
      </c>
      <c r="Z163" s="8" t="s">
        <v>22</v>
      </c>
      <c r="AB163" s="25" t="s">
        <v>22</v>
      </c>
      <c r="AC163" s="25" t="s">
        <v>22</v>
      </c>
      <c r="AD163" s="25" t="s">
        <v>22</v>
      </c>
      <c r="AE163" s="25" t="s">
        <v>22</v>
      </c>
      <c r="AF163" s="25" t="s">
        <v>22</v>
      </c>
      <c r="AG163" s="25" t="s">
        <v>22</v>
      </c>
      <c r="AH163" s="7" t="s">
        <v>22</v>
      </c>
      <c r="AJ163" s="7" t="s">
        <v>22</v>
      </c>
      <c r="AK163" s="7" t="s">
        <v>22</v>
      </c>
      <c r="AL163" s="7" t="s">
        <v>22</v>
      </c>
      <c r="AM163" s="7" t="s">
        <v>22</v>
      </c>
      <c r="AN163" s="7" t="s">
        <v>22</v>
      </c>
      <c r="AO163" s="7" t="s">
        <v>22</v>
      </c>
      <c r="AP163" s="7" t="s">
        <v>22</v>
      </c>
    </row>
    <row r="164" spans="11:42" x14ac:dyDescent="0.3">
      <c r="K164" s="22">
        <v>160</v>
      </c>
      <c r="L164" s="24" t="str">
        <f t="shared" si="25"/>
        <v/>
      </c>
      <c r="M164" s="24" t="str">
        <f t="shared" si="26"/>
        <v/>
      </c>
      <c r="N164" s="24" t="str">
        <f t="shared" si="27"/>
        <v/>
      </c>
      <c r="O164" s="24" t="str">
        <f t="shared" si="28"/>
        <v/>
      </c>
      <c r="P164" s="24" t="str">
        <f t="shared" si="29"/>
        <v/>
      </c>
      <c r="Q164" s="24" t="str">
        <f t="shared" si="30"/>
        <v/>
      </c>
      <c r="R164" s="24" t="str">
        <f t="shared" si="31"/>
        <v/>
      </c>
      <c r="T164" s="8" t="s">
        <v>22</v>
      </c>
      <c r="U164" s="8" t="s">
        <v>22</v>
      </c>
      <c r="V164" s="8" t="s">
        <v>22</v>
      </c>
      <c r="W164" s="8" t="s">
        <v>22</v>
      </c>
      <c r="X164" s="8" t="s">
        <v>22</v>
      </c>
      <c r="Y164" s="8" t="s">
        <v>22</v>
      </c>
      <c r="Z164" s="8" t="s">
        <v>22</v>
      </c>
      <c r="AB164" s="25" t="s">
        <v>22</v>
      </c>
      <c r="AC164" s="25" t="s">
        <v>22</v>
      </c>
      <c r="AD164" s="25" t="s">
        <v>22</v>
      </c>
      <c r="AE164" s="25" t="s">
        <v>22</v>
      </c>
      <c r="AF164" s="25" t="s">
        <v>22</v>
      </c>
      <c r="AG164" s="25" t="s">
        <v>22</v>
      </c>
      <c r="AH164" s="7" t="s">
        <v>22</v>
      </c>
      <c r="AJ164" s="7" t="s">
        <v>22</v>
      </c>
      <c r="AK164" s="7" t="s">
        <v>22</v>
      </c>
      <c r="AL164" s="7" t="s">
        <v>22</v>
      </c>
      <c r="AM164" s="7" t="s">
        <v>22</v>
      </c>
      <c r="AN164" s="7" t="s">
        <v>22</v>
      </c>
      <c r="AO164" s="7" t="s">
        <v>22</v>
      </c>
      <c r="AP164" s="7" t="s">
        <v>22</v>
      </c>
    </row>
    <row r="165" spans="11:42" x14ac:dyDescent="0.3">
      <c r="K165" s="21">
        <v>161</v>
      </c>
      <c r="L165" s="24" t="str">
        <f t="shared" si="25"/>
        <v/>
      </c>
      <c r="M165" s="24" t="str">
        <f t="shared" si="26"/>
        <v/>
      </c>
      <c r="N165" s="24" t="str">
        <f t="shared" si="27"/>
        <v/>
      </c>
      <c r="O165" s="24" t="str">
        <f t="shared" si="28"/>
        <v/>
      </c>
      <c r="P165" s="24" t="str">
        <f t="shared" si="29"/>
        <v/>
      </c>
      <c r="Q165" s="24" t="str">
        <f t="shared" si="30"/>
        <v/>
      </c>
      <c r="R165" s="24" t="str">
        <f t="shared" si="31"/>
        <v/>
      </c>
      <c r="T165" s="8" t="s">
        <v>22</v>
      </c>
      <c r="U165" s="8" t="s">
        <v>22</v>
      </c>
      <c r="V165" s="8" t="s">
        <v>22</v>
      </c>
      <c r="W165" s="8" t="s">
        <v>22</v>
      </c>
      <c r="X165" s="8" t="s">
        <v>22</v>
      </c>
      <c r="Y165" s="8" t="s">
        <v>22</v>
      </c>
      <c r="Z165" s="8" t="s">
        <v>22</v>
      </c>
      <c r="AB165" s="25" t="s">
        <v>22</v>
      </c>
      <c r="AC165" s="25" t="s">
        <v>22</v>
      </c>
      <c r="AD165" s="25" t="s">
        <v>22</v>
      </c>
      <c r="AE165" s="25" t="s">
        <v>22</v>
      </c>
      <c r="AF165" s="25" t="s">
        <v>22</v>
      </c>
      <c r="AG165" s="25" t="s">
        <v>22</v>
      </c>
      <c r="AH165" s="7" t="s">
        <v>22</v>
      </c>
      <c r="AJ165" s="7" t="s">
        <v>22</v>
      </c>
      <c r="AK165" s="7" t="s">
        <v>22</v>
      </c>
      <c r="AL165" s="7" t="s">
        <v>22</v>
      </c>
      <c r="AM165" s="7" t="s">
        <v>22</v>
      </c>
      <c r="AN165" s="7" t="s">
        <v>22</v>
      </c>
      <c r="AO165" s="7" t="s">
        <v>22</v>
      </c>
      <c r="AP165" s="7" t="s">
        <v>22</v>
      </c>
    </row>
    <row r="166" spans="11:42" x14ac:dyDescent="0.3">
      <c r="K166" s="22">
        <v>162</v>
      </c>
      <c r="L166" s="24" t="str">
        <f t="shared" si="25"/>
        <v/>
      </c>
      <c r="M166" s="24" t="str">
        <f t="shared" si="26"/>
        <v/>
      </c>
      <c r="N166" s="24" t="str">
        <f t="shared" si="27"/>
        <v/>
      </c>
      <c r="O166" s="24" t="str">
        <f t="shared" si="28"/>
        <v/>
      </c>
      <c r="P166" s="24" t="str">
        <f t="shared" si="29"/>
        <v/>
      </c>
      <c r="Q166" s="24" t="str">
        <f t="shared" si="30"/>
        <v/>
      </c>
      <c r="R166" s="24" t="str">
        <f t="shared" si="31"/>
        <v/>
      </c>
      <c r="T166" s="8" t="s">
        <v>22</v>
      </c>
      <c r="U166" s="8" t="s">
        <v>22</v>
      </c>
      <c r="V166" s="8" t="s">
        <v>22</v>
      </c>
      <c r="W166" s="8" t="s">
        <v>22</v>
      </c>
      <c r="X166" s="8" t="s">
        <v>22</v>
      </c>
      <c r="Y166" s="8" t="s">
        <v>22</v>
      </c>
      <c r="Z166" s="8" t="s">
        <v>22</v>
      </c>
      <c r="AB166" s="25" t="s">
        <v>22</v>
      </c>
      <c r="AC166" s="25" t="s">
        <v>22</v>
      </c>
      <c r="AD166" s="25" t="s">
        <v>22</v>
      </c>
      <c r="AE166" s="25" t="s">
        <v>22</v>
      </c>
      <c r="AF166" s="25" t="s">
        <v>22</v>
      </c>
      <c r="AG166" s="25" t="s">
        <v>22</v>
      </c>
      <c r="AH166" s="7" t="s">
        <v>22</v>
      </c>
      <c r="AJ166" s="7" t="s">
        <v>22</v>
      </c>
      <c r="AK166" s="7" t="s">
        <v>22</v>
      </c>
      <c r="AL166" s="7" t="s">
        <v>22</v>
      </c>
      <c r="AM166" s="7" t="s">
        <v>22</v>
      </c>
      <c r="AN166" s="7" t="s">
        <v>22</v>
      </c>
      <c r="AO166" s="7" t="s">
        <v>22</v>
      </c>
      <c r="AP166" s="7" t="s">
        <v>22</v>
      </c>
    </row>
    <row r="167" spans="11:42" x14ac:dyDescent="0.3">
      <c r="K167" s="21">
        <v>163</v>
      </c>
      <c r="L167" s="24" t="str">
        <f t="shared" si="25"/>
        <v/>
      </c>
      <c r="M167" s="24" t="str">
        <f t="shared" si="26"/>
        <v/>
      </c>
      <c r="N167" s="24" t="str">
        <f t="shared" si="27"/>
        <v/>
      </c>
      <c r="O167" s="24" t="str">
        <f t="shared" si="28"/>
        <v/>
      </c>
      <c r="P167" s="24" t="str">
        <f t="shared" si="29"/>
        <v/>
      </c>
      <c r="Q167" s="24" t="str">
        <f t="shared" si="30"/>
        <v/>
      </c>
      <c r="R167" s="24" t="str">
        <f t="shared" si="31"/>
        <v/>
      </c>
      <c r="T167" s="8" t="s">
        <v>22</v>
      </c>
      <c r="U167" s="8" t="s">
        <v>22</v>
      </c>
      <c r="V167" s="8" t="s">
        <v>22</v>
      </c>
      <c r="W167" s="8" t="s">
        <v>22</v>
      </c>
      <c r="X167" s="8" t="s">
        <v>22</v>
      </c>
      <c r="Y167" s="8" t="s">
        <v>22</v>
      </c>
      <c r="Z167" s="8" t="s">
        <v>22</v>
      </c>
      <c r="AB167" s="25" t="s">
        <v>22</v>
      </c>
      <c r="AC167" s="25" t="s">
        <v>22</v>
      </c>
      <c r="AD167" s="25" t="s">
        <v>22</v>
      </c>
      <c r="AE167" s="25" t="s">
        <v>22</v>
      </c>
      <c r="AF167" s="25" t="s">
        <v>22</v>
      </c>
      <c r="AG167" s="25" t="s">
        <v>22</v>
      </c>
      <c r="AH167" s="7" t="s">
        <v>22</v>
      </c>
      <c r="AJ167" s="7" t="s">
        <v>22</v>
      </c>
      <c r="AK167" s="7" t="s">
        <v>22</v>
      </c>
      <c r="AL167" s="7" t="s">
        <v>22</v>
      </c>
      <c r="AM167" s="7" t="s">
        <v>22</v>
      </c>
      <c r="AN167" s="7" t="s">
        <v>22</v>
      </c>
      <c r="AO167" s="7" t="s">
        <v>22</v>
      </c>
      <c r="AP167" s="7" t="s">
        <v>22</v>
      </c>
    </row>
    <row r="168" spans="11:42" x14ac:dyDescent="0.3">
      <c r="K168" s="22">
        <v>164</v>
      </c>
      <c r="L168" s="24" t="str">
        <f t="shared" si="25"/>
        <v/>
      </c>
      <c r="M168" s="24" t="str">
        <f t="shared" si="26"/>
        <v/>
      </c>
      <c r="N168" s="24" t="str">
        <f t="shared" si="27"/>
        <v/>
      </c>
      <c r="O168" s="24" t="str">
        <f t="shared" si="28"/>
        <v/>
      </c>
      <c r="P168" s="24" t="str">
        <f t="shared" si="29"/>
        <v/>
      </c>
      <c r="Q168" s="24" t="str">
        <f t="shared" si="30"/>
        <v/>
      </c>
      <c r="R168" s="24" t="str">
        <f t="shared" si="31"/>
        <v/>
      </c>
      <c r="T168" s="8" t="s">
        <v>22</v>
      </c>
      <c r="U168" s="8" t="s">
        <v>22</v>
      </c>
      <c r="V168" s="8" t="s">
        <v>22</v>
      </c>
      <c r="W168" s="8" t="s">
        <v>22</v>
      </c>
      <c r="X168" s="8" t="s">
        <v>22</v>
      </c>
      <c r="Y168" s="8" t="s">
        <v>22</v>
      </c>
      <c r="Z168" s="8" t="s">
        <v>22</v>
      </c>
      <c r="AB168" s="25" t="s">
        <v>22</v>
      </c>
      <c r="AC168" s="25" t="s">
        <v>22</v>
      </c>
      <c r="AD168" s="25" t="s">
        <v>22</v>
      </c>
      <c r="AE168" s="25" t="s">
        <v>22</v>
      </c>
      <c r="AF168" s="25" t="s">
        <v>22</v>
      </c>
      <c r="AG168" s="25" t="s">
        <v>22</v>
      </c>
      <c r="AH168" s="7" t="s">
        <v>22</v>
      </c>
      <c r="AJ168" s="7" t="s">
        <v>22</v>
      </c>
      <c r="AK168" s="7" t="s">
        <v>22</v>
      </c>
      <c r="AL168" s="7" t="s">
        <v>22</v>
      </c>
      <c r="AM168" s="7" t="s">
        <v>22</v>
      </c>
      <c r="AN168" s="7" t="s">
        <v>22</v>
      </c>
      <c r="AO168" s="7" t="s">
        <v>22</v>
      </c>
      <c r="AP168" s="7" t="s">
        <v>22</v>
      </c>
    </row>
    <row r="169" spans="11:42" x14ac:dyDescent="0.3">
      <c r="K169" s="21">
        <v>165</v>
      </c>
      <c r="L169" s="24" t="str">
        <f t="shared" si="25"/>
        <v/>
      </c>
      <c r="M169" s="24" t="str">
        <f t="shared" si="26"/>
        <v/>
      </c>
      <c r="N169" s="24" t="str">
        <f t="shared" si="27"/>
        <v/>
      </c>
      <c r="O169" s="24" t="str">
        <f t="shared" si="28"/>
        <v/>
      </c>
      <c r="P169" s="24" t="str">
        <f t="shared" si="29"/>
        <v/>
      </c>
      <c r="Q169" s="24" t="str">
        <f t="shared" si="30"/>
        <v/>
      </c>
      <c r="R169" s="24" t="str">
        <f t="shared" si="31"/>
        <v/>
      </c>
      <c r="T169" s="8" t="s">
        <v>22</v>
      </c>
      <c r="U169" s="8" t="s">
        <v>22</v>
      </c>
      <c r="V169" s="8" t="s">
        <v>22</v>
      </c>
      <c r="W169" s="8" t="s">
        <v>22</v>
      </c>
      <c r="X169" s="8" t="s">
        <v>22</v>
      </c>
      <c r="Y169" s="8" t="s">
        <v>22</v>
      </c>
      <c r="Z169" s="8" t="s">
        <v>22</v>
      </c>
      <c r="AB169" s="25" t="s">
        <v>22</v>
      </c>
      <c r="AC169" s="25" t="s">
        <v>22</v>
      </c>
      <c r="AD169" s="25" t="s">
        <v>22</v>
      </c>
      <c r="AE169" s="25" t="s">
        <v>22</v>
      </c>
      <c r="AF169" s="25" t="s">
        <v>22</v>
      </c>
      <c r="AG169" s="25" t="s">
        <v>22</v>
      </c>
      <c r="AH169" s="7" t="s">
        <v>22</v>
      </c>
      <c r="AJ169" s="7" t="s">
        <v>22</v>
      </c>
      <c r="AK169" s="7" t="s">
        <v>22</v>
      </c>
      <c r="AL169" s="7" t="s">
        <v>22</v>
      </c>
      <c r="AM169" s="7" t="s">
        <v>22</v>
      </c>
      <c r="AN169" s="7" t="s">
        <v>22</v>
      </c>
      <c r="AO169" s="7" t="s">
        <v>22</v>
      </c>
      <c r="AP169" s="7" t="s">
        <v>22</v>
      </c>
    </row>
    <row r="170" spans="11:42" x14ac:dyDescent="0.3">
      <c r="K170" s="22">
        <v>166</v>
      </c>
      <c r="L170" s="24" t="str">
        <f t="shared" si="25"/>
        <v/>
      </c>
      <c r="M170" s="24" t="str">
        <f t="shared" si="26"/>
        <v/>
      </c>
      <c r="N170" s="24" t="str">
        <f t="shared" si="27"/>
        <v/>
      </c>
      <c r="O170" s="24" t="str">
        <f t="shared" si="28"/>
        <v/>
      </c>
      <c r="P170" s="24" t="str">
        <f t="shared" si="29"/>
        <v/>
      </c>
      <c r="Q170" s="24" t="str">
        <f t="shared" si="30"/>
        <v/>
      </c>
      <c r="R170" s="24" t="str">
        <f t="shared" si="31"/>
        <v/>
      </c>
      <c r="T170" s="8" t="s">
        <v>22</v>
      </c>
      <c r="U170" s="8" t="s">
        <v>22</v>
      </c>
      <c r="V170" s="8" t="s">
        <v>22</v>
      </c>
      <c r="W170" s="8" t="s">
        <v>22</v>
      </c>
      <c r="X170" s="8" t="s">
        <v>22</v>
      </c>
      <c r="Y170" s="8" t="s">
        <v>22</v>
      </c>
      <c r="Z170" s="8" t="s">
        <v>22</v>
      </c>
      <c r="AB170" s="25" t="s">
        <v>22</v>
      </c>
      <c r="AC170" s="25" t="s">
        <v>22</v>
      </c>
      <c r="AD170" s="25" t="s">
        <v>22</v>
      </c>
      <c r="AE170" s="25" t="s">
        <v>22</v>
      </c>
      <c r="AF170" s="25" t="s">
        <v>22</v>
      </c>
      <c r="AG170" s="25" t="s">
        <v>22</v>
      </c>
      <c r="AH170" s="7" t="s">
        <v>22</v>
      </c>
      <c r="AJ170" s="7" t="s">
        <v>22</v>
      </c>
      <c r="AK170" s="7" t="s">
        <v>22</v>
      </c>
      <c r="AL170" s="7" t="s">
        <v>22</v>
      </c>
      <c r="AM170" s="7" t="s">
        <v>22</v>
      </c>
      <c r="AN170" s="7" t="s">
        <v>22</v>
      </c>
      <c r="AO170" s="7" t="s">
        <v>22</v>
      </c>
      <c r="AP170" s="7" t="s">
        <v>22</v>
      </c>
    </row>
    <row r="171" spans="11:42" x14ac:dyDescent="0.3">
      <c r="K171" s="21">
        <v>167</v>
      </c>
      <c r="L171" s="24" t="str">
        <f t="shared" si="25"/>
        <v/>
      </c>
      <c r="M171" s="24" t="str">
        <f t="shared" si="26"/>
        <v/>
      </c>
      <c r="N171" s="24" t="str">
        <f t="shared" si="27"/>
        <v/>
      </c>
      <c r="O171" s="24" t="str">
        <f t="shared" si="28"/>
        <v/>
      </c>
      <c r="P171" s="24" t="str">
        <f t="shared" si="29"/>
        <v/>
      </c>
      <c r="Q171" s="24" t="str">
        <f t="shared" si="30"/>
        <v/>
      </c>
      <c r="R171" s="24" t="str">
        <f t="shared" si="31"/>
        <v/>
      </c>
      <c r="T171" s="8" t="s">
        <v>22</v>
      </c>
      <c r="U171" s="8" t="s">
        <v>22</v>
      </c>
      <c r="V171" s="8" t="s">
        <v>22</v>
      </c>
      <c r="W171" s="8" t="s">
        <v>22</v>
      </c>
      <c r="X171" s="8" t="s">
        <v>22</v>
      </c>
      <c r="Y171" s="8" t="s">
        <v>22</v>
      </c>
      <c r="Z171" s="8" t="s">
        <v>22</v>
      </c>
      <c r="AB171" s="25" t="s">
        <v>22</v>
      </c>
      <c r="AC171" s="25" t="s">
        <v>22</v>
      </c>
      <c r="AD171" s="25" t="s">
        <v>22</v>
      </c>
      <c r="AE171" s="25" t="s">
        <v>22</v>
      </c>
      <c r="AF171" s="25" t="s">
        <v>22</v>
      </c>
      <c r="AG171" s="25" t="s">
        <v>22</v>
      </c>
      <c r="AH171" s="7" t="s">
        <v>22</v>
      </c>
      <c r="AJ171" s="7" t="s">
        <v>22</v>
      </c>
      <c r="AK171" s="7" t="s">
        <v>22</v>
      </c>
      <c r="AL171" s="7" t="s">
        <v>22</v>
      </c>
      <c r="AM171" s="7" t="s">
        <v>22</v>
      </c>
      <c r="AN171" s="7" t="s">
        <v>22</v>
      </c>
      <c r="AO171" s="7" t="s">
        <v>22</v>
      </c>
      <c r="AP171" s="7" t="s">
        <v>22</v>
      </c>
    </row>
    <row r="172" spans="11:42" x14ac:dyDescent="0.3">
      <c r="K172" s="22">
        <v>168</v>
      </c>
      <c r="L172" s="24" t="str">
        <f t="shared" si="25"/>
        <v/>
      </c>
      <c r="M172" s="24" t="str">
        <f t="shared" si="26"/>
        <v/>
      </c>
      <c r="N172" s="24" t="str">
        <f t="shared" si="27"/>
        <v/>
      </c>
      <c r="O172" s="24" t="str">
        <f t="shared" si="28"/>
        <v/>
      </c>
      <c r="P172" s="24" t="str">
        <f t="shared" si="29"/>
        <v/>
      </c>
      <c r="Q172" s="24" t="str">
        <f t="shared" si="30"/>
        <v/>
      </c>
      <c r="R172" s="24" t="str">
        <f t="shared" si="31"/>
        <v/>
      </c>
      <c r="T172" s="8" t="s">
        <v>22</v>
      </c>
      <c r="U172" s="8" t="s">
        <v>22</v>
      </c>
      <c r="V172" s="8" t="s">
        <v>22</v>
      </c>
      <c r="W172" s="8" t="s">
        <v>22</v>
      </c>
      <c r="X172" s="8" t="s">
        <v>22</v>
      </c>
      <c r="Y172" s="8" t="s">
        <v>22</v>
      </c>
      <c r="Z172" s="8" t="s">
        <v>22</v>
      </c>
      <c r="AB172" s="25" t="s">
        <v>22</v>
      </c>
      <c r="AC172" s="25" t="s">
        <v>22</v>
      </c>
      <c r="AD172" s="25" t="s">
        <v>22</v>
      </c>
      <c r="AE172" s="25" t="s">
        <v>22</v>
      </c>
      <c r="AF172" s="25" t="s">
        <v>22</v>
      </c>
      <c r="AG172" s="25" t="s">
        <v>22</v>
      </c>
      <c r="AH172" s="7" t="s">
        <v>22</v>
      </c>
      <c r="AJ172" s="7" t="s">
        <v>22</v>
      </c>
      <c r="AK172" s="7" t="s">
        <v>22</v>
      </c>
      <c r="AL172" s="7" t="s">
        <v>22</v>
      </c>
      <c r="AM172" s="7" t="s">
        <v>22</v>
      </c>
      <c r="AN172" s="7" t="s">
        <v>22</v>
      </c>
      <c r="AO172" s="7" t="s">
        <v>22</v>
      </c>
      <c r="AP172" s="7" t="s">
        <v>22</v>
      </c>
    </row>
    <row r="173" spans="11:42" x14ac:dyDescent="0.3">
      <c r="K173" s="21">
        <v>169</v>
      </c>
      <c r="L173" s="24" t="str">
        <f t="shared" si="25"/>
        <v/>
      </c>
      <c r="M173" s="24" t="str">
        <f t="shared" si="26"/>
        <v/>
      </c>
      <c r="N173" s="24" t="str">
        <f t="shared" si="27"/>
        <v/>
      </c>
      <c r="O173" s="24" t="str">
        <f t="shared" si="28"/>
        <v/>
      </c>
      <c r="P173" s="24" t="str">
        <f t="shared" si="29"/>
        <v/>
      </c>
      <c r="Q173" s="24" t="str">
        <f t="shared" si="30"/>
        <v/>
      </c>
      <c r="R173" s="24" t="str">
        <f t="shared" si="31"/>
        <v/>
      </c>
      <c r="T173" s="8" t="s">
        <v>22</v>
      </c>
      <c r="U173" s="8" t="s">
        <v>22</v>
      </c>
      <c r="V173" s="8" t="s">
        <v>22</v>
      </c>
      <c r="W173" s="8" t="s">
        <v>22</v>
      </c>
      <c r="X173" s="8" t="s">
        <v>22</v>
      </c>
      <c r="Y173" s="8" t="s">
        <v>22</v>
      </c>
      <c r="Z173" s="8" t="s">
        <v>22</v>
      </c>
      <c r="AB173" s="25" t="s">
        <v>22</v>
      </c>
      <c r="AC173" s="25" t="s">
        <v>22</v>
      </c>
      <c r="AD173" s="25" t="s">
        <v>22</v>
      </c>
      <c r="AE173" s="25" t="s">
        <v>22</v>
      </c>
      <c r="AF173" s="25" t="s">
        <v>22</v>
      </c>
      <c r="AG173" s="25" t="s">
        <v>22</v>
      </c>
      <c r="AH173" s="7" t="s">
        <v>22</v>
      </c>
      <c r="AJ173" s="7" t="s">
        <v>22</v>
      </c>
      <c r="AK173" s="7" t="s">
        <v>22</v>
      </c>
      <c r="AL173" s="7" t="s">
        <v>22</v>
      </c>
      <c r="AM173" s="7" t="s">
        <v>22</v>
      </c>
      <c r="AN173" s="7" t="s">
        <v>22</v>
      </c>
      <c r="AO173" s="7" t="s">
        <v>22</v>
      </c>
      <c r="AP173" s="7" t="s">
        <v>22</v>
      </c>
    </row>
    <row r="174" spans="11:42" x14ac:dyDescent="0.3">
      <c r="K174" s="22">
        <v>170</v>
      </c>
      <c r="L174" s="24" t="str">
        <f t="shared" si="25"/>
        <v/>
      </c>
      <c r="M174" s="24" t="str">
        <f t="shared" si="26"/>
        <v/>
      </c>
      <c r="N174" s="24" t="str">
        <f t="shared" si="27"/>
        <v/>
      </c>
      <c r="O174" s="24" t="str">
        <f t="shared" si="28"/>
        <v/>
      </c>
      <c r="P174" s="24" t="str">
        <f t="shared" si="29"/>
        <v/>
      </c>
      <c r="Q174" s="24" t="str">
        <f t="shared" si="30"/>
        <v/>
      </c>
      <c r="R174" s="24" t="str">
        <f t="shared" si="31"/>
        <v/>
      </c>
      <c r="T174" s="8" t="s">
        <v>22</v>
      </c>
      <c r="U174" s="8" t="s">
        <v>22</v>
      </c>
      <c r="V174" s="8" t="s">
        <v>22</v>
      </c>
      <c r="W174" s="8" t="s">
        <v>22</v>
      </c>
      <c r="X174" s="8" t="s">
        <v>22</v>
      </c>
      <c r="Y174" s="8" t="s">
        <v>22</v>
      </c>
      <c r="Z174" s="8" t="s">
        <v>22</v>
      </c>
      <c r="AB174" s="25" t="s">
        <v>22</v>
      </c>
      <c r="AC174" s="25" t="s">
        <v>22</v>
      </c>
      <c r="AD174" s="25" t="s">
        <v>22</v>
      </c>
      <c r="AE174" s="25" t="s">
        <v>22</v>
      </c>
      <c r="AF174" s="25" t="s">
        <v>22</v>
      </c>
      <c r="AG174" s="25" t="s">
        <v>22</v>
      </c>
      <c r="AH174" s="7" t="s">
        <v>22</v>
      </c>
      <c r="AJ174" s="7" t="s">
        <v>22</v>
      </c>
      <c r="AK174" s="7" t="s">
        <v>22</v>
      </c>
      <c r="AL174" s="7" t="s">
        <v>22</v>
      </c>
      <c r="AM174" s="7" t="s">
        <v>22</v>
      </c>
      <c r="AN174" s="7" t="s">
        <v>22</v>
      </c>
      <c r="AO174" s="7" t="s">
        <v>22</v>
      </c>
      <c r="AP174" s="7" t="s">
        <v>22</v>
      </c>
    </row>
    <row r="175" spans="11:42" x14ac:dyDescent="0.3">
      <c r="K175" s="21">
        <v>171</v>
      </c>
      <c r="L175" s="24" t="str">
        <f t="shared" si="25"/>
        <v/>
      </c>
      <c r="M175" s="24" t="str">
        <f t="shared" si="26"/>
        <v/>
      </c>
      <c r="N175" s="24" t="str">
        <f t="shared" si="27"/>
        <v/>
      </c>
      <c r="O175" s="24" t="str">
        <f t="shared" si="28"/>
        <v/>
      </c>
      <c r="P175" s="24" t="str">
        <f t="shared" si="29"/>
        <v/>
      </c>
      <c r="Q175" s="24" t="str">
        <f t="shared" si="30"/>
        <v/>
      </c>
      <c r="R175" s="24" t="str">
        <f t="shared" si="31"/>
        <v/>
      </c>
      <c r="T175" s="8" t="s">
        <v>22</v>
      </c>
      <c r="U175" s="8" t="s">
        <v>22</v>
      </c>
      <c r="V175" s="8" t="s">
        <v>22</v>
      </c>
      <c r="W175" s="8" t="s">
        <v>22</v>
      </c>
      <c r="X175" s="8" t="s">
        <v>22</v>
      </c>
      <c r="Y175" s="8" t="s">
        <v>22</v>
      </c>
      <c r="Z175" s="8" t="s">
        <v>22</v>
      </c>
      <c r="AB175" s="25" t="s">
        <v>22</v>
      </c>
      <c r="AC175" s="25" t="s">
        <v>22</v>
      </c>
      <c r="AD175" s="25" t="s">
        <v>22</v>
      </c>
      <c r="AE175" s="25" t="s">
        <v>22</v>
      </c>
      <c r="AF175" s="25" t="s">
        <v>22</v>
      </c>
      <c r="AG175" s="25" t="s">
        <v>22</v>
      </c>
      <c r="AH175" s="7" t="s">
        <v>22</v>
      </c>
      <c r="AJ175" s="7" t="s">
        <v>22</v>
      </c>
      <c r="AK175" s="7" t="s">
        <v>22</v>
      </c>
      <c r="AL175" s="7" t="s">
        <v>22</v>
      </c>
      <c r="AM175" s="7" t="s">
        <v>22</v>
      </c>
      <c r="AN175" s="7" t="s">
        <v>22</v>
      </c>
      <c r="AO175" s="7" t="s">
        <v>22</v>
      </c>
      <c r="AP175" s="7" t="s">
        <v>22</v>
      </c>
    </row>
    <row r="176" spans="11:42" x14ac:dyDescent="0.3">
      <c r="K176" s="22">
        <v>172</v>
      </c>
      <c r="L176" s="24" t="str">
        <f t="shared" si="25"/>
        <v/>
      </c>
      <c r="M176" s="24" t="str">
        <f t="shared" si="26"/>
        <v/>
      </c>
      <c r="N176" s="24" t="str">
        <f t="shared" si="27"/>
        <v/>
      </c>
      <c r="O176" s="24" t="str">
        <f t="shared" si="28"/>
        <v/>
      </c>
      <c r="P176" s="24" t="str">
        <f t="shared" si="29"/>
        <v/>
      </c>
      <c r="Q176" s="24" t="str">
        <f t="shared" si="30"/>
        <v/>
      </c>
      <c r="R176" s="24" t="str">
        <f t="shared" si="31"/>
        <v/>
      </c>
      <c r="T176" s="8" t="s">
        <v>22</v>
      </c>
      <c r="U176" s="8" t="s">
        <v>22</v>
      </c>
      <c r="V176" s="8" t="s">
        <v>22</v>
      </c>
      <c r="W176" s="8" t="s">
        <v>22</v>
      </c>
      <c r="X176" s="8" t="s">
        <v>22</v>
      </c>
      <c r="Y176" s="8" t="s">
        <v>22</v>
      </c>
      <c r="Z176" s="8" t="s">
        <v>22</v>
      </c>
      <c r="AB176" s="25" t="s">
        <v>22</v>
      </c>
      <c r="AC176" s="25" t="s">
        <v>22</v>
      </c>
      <c r="AD176" s="25" t="s">
        <v>22</v>
      </c>
      <c r="AE176" s="25" t="s">
        <v>22</v>
      </c>
      <c r="AF176" s="25" t="s">
        <v>22</v>
      </c>
      <c r="AG176" s="25" t="s">
        <v>22</v>
      </c>
      <c r="AH176" s="7" t="s">
        <v>22</v>
      </c>
      <c r="AJ176" s="7" t="s">
        <v>22</v>
      </c>
      <c r="AK176" s="7" t="s">
        <v>22</v>
      </c>
      <c r="AL176" s="7" t="s">
        <v>22</v>
      </c>
      <c r="AM176" s="7" t="s">
        <v>22</v>
      </c>
      <c r="AN176" s="7" t="s">
        <v>22</v>
      </c>
      <c r="AO176" s="7" t="s">
        <v>22</v>
      </c>
      <c r="AP176" s="7" t="s">
        <v>22</v>
      </c>
    </row>
    <row r="177" spans="11:42" x14ac:dyDescent="0.3">
      <c r="K177" s="21">
        <v>173</v>
      </c>
      <c r="L177" s="24" t="str">
        <f t="shared" si="25"/>
        <v/>
      </c>
      <c r="M177" s="24" t="str">
        <f t="shared" si="26"/>
        <v/>
      </c>
      <c r="N177" s="24" t="str">
        <f t="shared" si="27"/>
        <v/>
      </c>
      <c r="O177" s="24" t="str">
        <f t="shared" si="28"/>
        <v/>
      </c>
      <c r="P177" s="24" t="str">
        <f t="shared" si="29"/>
        <v/>
      </c>
      <c r="Q177" s="24" t="str">
        <f t="shared" si="30"/>
        <v/>
      </c>
      <c r="R177" s="24" t="str">
        <f t="shared" si="31"/>
        <v/>
      </c>
      <c r="T177" s="8" t="s">
        <v>22</v>
      </c>
      <c r="U177" s="8" t="s">
        <v>22</v>
      </c>
      <c r="V177" s="8" t="s">
        <v>22</v>
      </c>
      <c r="W177" s="8" t="s">
        <v>22</v>
      </c>
      <c r="X177" s="8" t="s">
        <v>22</v>
      </c>
      <c r="Y177" s="8" t="s">
        <v>22</v>
      </c>
      <c r="Z177" s="8" t="s">
        <v>22</v>
      </c>
      <c r="AB177" s="25" t="s">
        <v>22</v>
      </c>
      <c r="AC177" s="25" t="s">
        <v>22</v>
      </c>
      <c r="AD177" s="25" t="s">
        <v>22</v>
      </c>
      <c r="AE177" s="25" t="s">
        <v>22</v>
      </c>
      <c r="AF177" s="25" t="s">
        <v>22</v>
      </c>
      <c r="AG177" s="25" t="s">
        <v>22</v>
      </c>
      <c r="AH177" s="7" t="s">
        <v>22</v>
      </c>
      <c r="AJ177" s="7" t="s">
        <v>22</v>
      </c>
      <c r="AK177" s="7" t="s">
        <v>22</v>
      </c>
      <c r="AL177" s="7" t="s">
        <v>22</v>
      </c>
      <c r="AM177" s="7" t="s">
        <v>22</v>
      </c>
      <c r="AN177" s="7" t="s">
        <v>22</v>
      </c>
      <c r="AO177" s="7" t="s">
        <v>22</v>
      </c>
      <c r="AP177" s="7" t="s">
        <v>22</v>
      </c>
    </row>
    <row r="178" spans="11:42" x14ac:dyDescent="0.3">
      <c r="K178" s="22">
        <v>174</v>
      </c>
      <c r="L178" s="24" t="str">
        <f t="shared" si="25"/>
        <v/>
      </c>
      <c r="M178" s="24" t="str">
        <f t="shared" si="26"/>
        <v/>
      </c>
      <c r="N178" s="24" t="str">
        <f t="shared" si="27"/>
        <v/>
      </c>
      <c r="O178" s="24" t="str">
        <f t="shared" si="28"/>
        <v/>
      </c>
      <c r="P178" s="24" t="str">
        <f t="shared" si="29"/>
        <v/>
      </c>
      <c r="Q178" s="24" t="str">
        <f t="shared" si="30"/>
        <v/>
      </c>
      <c r="R178" s="24" t="str">
        <f t="shared" si="31"/>
        <v/>
      </c>
      <c r="T178" s="8" t="s">
        <v>22</v>
      </c>
      <c r="U178" s="8" t="s">
        <v>22</v>
      </c>
      <c r="V178" s="8" t="s">
        <v>22</v>
      </c>
      <c r="W178" s="8" t="s">
        <v>22</v>
      </c>
      <c r="X178" s="8" t="s">
        <v>22</v>
      </c>
      <c r="Y178" s="8" t="s">
        <v>22</v>
      </c>
      <c r="Z178" s="8" t="s">
        <v>22</v>
      </c>
      <c r="AB178" s="25" t="s">
        <v>22</v>
      </c>
      <c r="AC178" s="25" t="s">
        <v>22</v>
      </c>
      <c r="AD178" s="25" t="s">
        <v>22</v>
      </c>
      <c r="AE178" s="25" t="s">
        <v>22</v>
      </c>
      <c r="AF178" s="25" t="s">
        <v>22</v>
      </c>
      <c r="AG178" s="25" t="s">
        <v>22</v>
      </c>
      <c r="AH178" s="7" t="s">
        <v>22</v>
      </c>
      <c r="AJ178" s="7" t="s">
        <v>22</v>
      </c>
      <c r="AK178" s="7" t="s">
        <v>22</v>
      </c>
      <c r="AL178" s="7" t="s">
        <v>22</v>
      </c>
      <c r="AM178" s="7" t="s">
        <v>22</v>
      </c>
      <c r="AN178" s="7" t="s">
        <v>22</v>
      </c>
      <c r="AO178" s="7" t="s">
        <v>22</v>
      </c>
      <c r="AP178" s="7" t="s">
        <v>22</v>
      </c>
    </row>
    <row r="179" spans="11:42" x14ac:dyDescent="0.3">
      <c r="K179" s="21">
        <v>175</v>
      </c>
      <c r="L179" s="24" t="str">
        <f t="shared" si="25"/>
        <v/>
      </c>
      <c r="M179" s="24" t="str">
        <f t="shared" si="26"/>
        <v/>
      </c>
      <c r="N179" s="24" t="str">
        <f t="shared" si="27"/>
        <v/>
      </c>
      <c r="O179" s="24" t="str">
        <f t="shared" si="28"/>
        <v/>
      </c>
      <c r="P179" s="24" t="str">
        <f t="shared" si="29"/>
        <v/>
      </c>
      <c r="Q179" s="24" t="str">
        <f t="shared" si="30"/>
        <v/>
      </c>
      <c r="R179" s="24" t="str">
        <f t="shared" si="31"/>
        <v/>
      </c>
      <c r="T179" s="8" t="s">
        <v>22</v>
      </c>
      <c r="U179" s="8" t="s">
        <v>22</v>
      </c>
      <c r="V179" s="8" t="s">
        <v>22</v>
      </c>
      <c r="W179" s="8" t="s">
        <v>22</v>
      </c>
      <c r="X179" s="8" t="s">
        <v>22</v>
      </c>
      <c r="Y179" s="8" t="s">
        <v>22</v>
      </c>
      <c r="Z179" s="8" t="s">
        <v>22</v>
      </c>
      <c r="AB179" s="25" t="s">
        <v>22</v>
      </c>
      <c r="AC179" s="25" t="s">
        <v>22</v>
      </c>
      <c r="AD179" s="25" t="s">
        <v>22</v>
      </c>
      <c r="AE179" s="25" t="s">
        <v>22</v>
      </c>
      <c r="AF179" s="25" t="s">
        <v>22</v>
      </c>
      <c r="AG179" s="25" t="s">
        <v>22</v>
      </c>
      <c r="AH179" s="7" t="s">
        <v>22</v>
      </c>
      <c r="AJ179" s="7" t="s">
        <v>22</v>
      </c>
      <c r="AK179" s="7" t="s">
        <v>22</v>
      </c>
      <c r="AL179" s="7" t="s">
        <v>22</v>
      </c>
      <c r="AM179" s="7" t="s">
        <v>22</v>
      </c>
      <c r="AN179" s="7" t="s">
        <v>22</v>
      </c>
      <c r="AO179" s="7" t="s">
        <v>22</v>
      </c>
      <c r="AP179" s="7" t="s">
        <v>22</v>
      </c>
    </row>
    <row r="180" spans="11:42" x14ac:dyDescent="0.3">
      <c r="K180" s="22">
        <v>176</v>
      </c>
      <c r="L180" s="24" t="str">
        <f t="shared" si="25"/>
        <v/>
      </c>
      <c r="M180" s="24" t="str">
        <f t="shared" si="26"/>
        <v/>
      </c>
      <c r="N180" s="24" t="str">
        <f t="shared" si="27"/>
        <v/>
      </c>
      <c r="O180" s="24" t="str">
        <f t="shared" si="28"/>
        <v/>
      </c>
      <c r="P180" s="24" t="str">
        <f t="shared" si="29"/>
        <v/>
      </c>
      <c r="Q180" s="24" t="str">
        <f t="shared" si="30"/>
        <v/>
      </c>
      <c r="R180" s="24" t="str">
        <f t="shared" si="31"/>
        <v/>
      </c>
      <c r="T180" s="8" t="s">
        <v>22</v>
      </c>
      <c r="U180" s="8" t="s">
        <v>22</v>
      </c>
      <c r="V180" s="8" t="s">
        <v>22</v>
      </c>
      <c r="W180" s="8" t="s">
        <v>22</v>
      </c>
      <c r="X180" s="8" t="s">
        <v>22</v>
      </c>
      <c r="Y180" s="8" t="s">
        <v>22</v>
      </c>
      <c r="Z180" s="8" t="s">
        <v>22</v>
      </c>
      <c r="AB180" s="25" t="s">
        <v>22</v>
      </c>
      <c r="AC180" s="25" t="s">
        <v>22</v>
      </c>
      <c r="AD180" s="25" t="s">
        <v>22</v>
      </c>
      <c r="AE180" s="25" t="s">
        <v>22</v>
      </c>
      <c r="AF180" s="25" t="s">
        <v>22</v>
      </c>
      <c r="AG180" s="25" t="s">
        <v>22</v>
      </c>
      <c r="AH180" s="7" t="s">
        <v>22</v>
      </c>
      <c r="AJ180" s="7" t="s">
        <v>22</v>
      </c>
      <c r="AK180" s="7" t="s">
        <v>22</v>
      </c>
      <c r="AL180" s="7" t="s">
        <v>22</v>
      </c>
      <c r="AM180" s="7" t="s">
        <v>22</v>
      </c>
      <c r="AN180" s="7" t="s">
        <v>22</v>
      </c>
      <c r="AO180" s="7" t="s">
        <v>22</v>
      </c>
      <c r="AP180" s="7" t="s">
        <v>22</v>
      </c>
    </row>
    <row r="181" spans="11:42" x14ac:dyDescent="0.3">
      <c r="K181" s="21">
        <v>177</v>
      </c>
      <c r="L181" s="24" t="str">
        <f t="shared" si="25"/>
        <v/>
      </c>
      <c r="M181" s="24" t="str">
        <f t="shared" si="26"/>
        <v/>
      </c>
      <c r="N181" s="24" t="str">
        <f t="shared" si="27"/>
        <v/>
      </c>
      <c r="O181" s="24" t="str">
        <f t="shared" si="28"/>
        <v/>
      </c>
      <c r="P181" s="24" t="str">
        <f t="shared" si="29"/>
        <v/>
      </c>
      <c r="Q181" s="24" t="str">
        <f t="shared" si="30"/>
        <v/>
      </c>
      <c r="R181" s="24" t="str">
        <f t="shared" si="31"/>
        <v/>
      </c>
      <c r="T181" s="8" t="s">
        <v>22</v>
      </c>
      <c r="U181" s="8" t="s">
        <v>22</v>
      </c>
      <c r="V181" s="8" t="s">
        <v>22</v>
      </c>
      <c r="W181" s="8" t="s">
        <v>22</v>
      </c>
      <c r="X181" s="8" t="s">
        <v>22</v>
      </c>
      <c r="Y181" s="8" t="s">
        <v>22</v>
      </c>
      <c r="Z181" s="8" t="s">
        <v>22</v>
      </c>
      <c r="AB181" s="25" t="s">
        <v>22</v>
      </c>
      <c r="AC181" s="25" t="s">
        <v>22</v>
      </c>
      <c r="AD181" s="25" t="s">
        <v>22</v>
      </c>
      <c r="AE181" s="25" t="s">
        <v>22</v>
      </c>
      <c r="AF181" s="25" t="s">
        <v>22</v>
      </c>
      <c r="AG181" s="25" t="s">
        <v>22</v>
      </c>
      <c r="AH181" s="7" t="s">
        <v>22</v>
      </c>
      <c r="AJ181" s="7" t="s">
        <v>22</v>
      </c>
      <c r="AK181" s="7" t="s">
        <v>22</v>
      </c>
      <c r="AL181" s="7" t="s">
        <v>22</v>
      </c>
      <c r="AM181" s="7" t="s">
        <v>22</v>
      </c>
      <c r="AN181" s="7" t="s">
        <v>22</v>
      </c>
      <c r="AO181" s="7" t="s">
        <v>22</v>
      </c>
      <c r="AP181" s="7" t="s">
        <v>22</v>
      </c>
    </row>
    <row r="182" spans="11:42" x14ac:dyDescent="0.3">
      <c r="K182" s="22">
        <v>178</v>
      </c>
      <c r="L182" s="24" t="str">
        <f t="shared" si="25"/>
        <v/>
      </c>
      <c r="M182" s="24" t="str">
        <f t="shared" si="26"/>
        <v/>
      </c>
      <c r="N182" s="24" t="str">
        <f t="shared" si="27"/>
        <v/>
      </c>
      <c r="O182" s="24" t="str">
        <f t="shared" si="28"/>
        <v/>
      </c>
      <c r="P182" s="24" t="str">
        <f t="shared" si="29"/>
        <v/>
      </c>
      <c r="Q182" s="24" t="str">
        <f t="shared" si="30"/>
        <v/>
      </c>
      <c r="R182" s="24" t="str">
        <f t="shared" si="31"/>
        <v/>
      </c>
      <c r="T182" s="8" t="s">
        <v>22</v>
      </c>
      <c r="U182" s="8" t="s">
        <v>22</v>
      </c>
      <c r="V182" s="8" t="s">
        <v>22</v>
      </c>
      <c r="W182" s="8" t="s">
        <v>22</v>
      </c>
      <c r="X182" s="8" t="s">
        <v>22</v>
      </c>
      <c r="Y182" s="8" t="s">
        <v>22</v>
      </c>
      <c r="Z182" s="8" t="s">
        <v>22</v>
      </c>
      <c r="AB182" s="25" t="s">
        <v>22</v>
      </c>
      <c r="AC182" s="25" t="s">
        <v>22</v>
      </c>
      <c r="AD182" s="25" t="s">
        <v>22</v>
      </c>
      <c r="AE182" s="25" t="s">
        <v>22</v>
      </c>
      <c r="AF182" s="25" t="s">
        <v>22</v>
      </c>
      <c r="AG182" s="25" t="s">
        <v>22</v>
      </c>
      <c r="AH182" s="7" t="s">
        <v>22</v>
      </c>
      <c r="AJ182" s="7" t="s">
        <v>22</v>
      </c>
      <c r="AK182" s="7" t="s">
        <v>22</v>
      </c>
      <c r="AL182" s="7" t="s">
        <v>22</v>
      </c>
      <c r="AM182" s="7" t="s">
        <v>22</v>
      </c>
      <c r="AN182" s="7" t="s">
        <v>22</v>
      </c>
      <c r="AO182" s="7" t="s">
        <v>22</v>
      </c>
      <c r="AP182" s="7" t="s">
        <v>22</v>
      </c>
    </row>
    <row r="183" spans="11:42" x14ac:dyDescent="0.3">
      <c r="K183" s="21">
        <v>179</v>
      </c>
      <c r="L183" s="24" t="str">
        <f t="shared" si="25"/>
        <v/>
      </c>
      <c r="M183" s="24" t="str">
        <f t="shared" si="26"/>
        <v/>
      </c>
      <c r="N183" s="24" t="str">
        <f t="shared" si="27"/>
        <v/>
      </c>
      <c r="O183" s="24" t="str">
        <f t="shared" si="28"/>
        <v/>
      </c>
      <c r="P183" s="24" t="str">
        <f t="shared" si="29"/>
        <v/>
      </c>
      <c r="Q183" s="24" t="str">
        <f t="shared" si="30"/>
        <v/>
      </c>
      <c r="R183" s="24" t="str">
        <f t="shared" si="31"/>
        <v/>
      </c>
      <c r="T183" s="8" t="s">
        <v>22</v>
      </c>
      <c r="U183" s="8" t="s">
        <v>22</v>
      </c>
      <c r="V183" s="8" t="s">
        <v>22</v>
      </c>
      <c r="W183" s="8" t="s">
        <v>22</v>
      </c>
      <c r="X183" s="8" t="s">
        <v>22</v>
      </c>
      <c r="Y183" s="8" t="s">
        <v>22</v>
      </c>
      <c r="Z183" s="8" t="s">
        <v>22</v>
      </c>
      <c r="AB183" s="25" t="s">
        <v>22</v>
      </c>
      <c r="AC183" s="25" t="s">
        <v>22</v>
      </c>
      <c r="AD183" s="25" t="s">
        <v>22</v>
      </c>
      <c r="AE183" s="25" t="s">
        <v>22</v>
      </c>
      <c r="AF183" s="25" t="s">
        <v>22</v>
      </c>
      <c r="AG183" s="25" t="s">
        <v>22</v>
      </c>
      <c r="AH183" s="7" t="s">
        <v>22</v>
      </c>
      <c r="AJ183" s="7" t="s">
        <v>22</v>
      </c>
      <c r="AK183" s="7" t="s">
        <v>22</v>
      </c>
      <c r="AL183" s="7" t="s">
        <v>22</v>
      </c>
      <c r="AM183" s="7" t="s">
        <v>22</v>
      </c>
      <c r="AN183" s="7" t="s">
        <v>22</v>
      </c>
      <c r="AO183" s="7" t="s">
        <v>22</v>
      </c>
      <c r="AP183" s="7" t="s">
        <v>22</v>
      </c>
    </row>
    <row r="184" spans="11:42" x14ac:dyDescent="0.3">
      <c r="K184" s="22">
        <v>180</v>
      </c>
      <c r="L184" s="24" t="str">
        <f t="shared" si="25"/>
        <v/>
      </c>
      <c r="M184" s="24" t="str">
        <f t="shared" si="26"/>
        <v/>
      </c>
      <c r="N184" s="24" t="str">
        <f t="shared" si="27"/>
        <v/>
      </c>
      <c r="O184" s="24" t="str">
        <f t="shared" si="28"/>
        <v/>
      </c>
      <c r="P184" s="24" t="str">
        <f t="shared" si="29"/>
        <v/>
      </c>
      <c r="Q184" s="24" t="str">
        <f t="shared" si="30"/>
        <v/>
      </c>
      <c r="R184" s="24" t="str">
        <f t="shared" si="31"/>
        <v/>
      </c>
      <c r="T184" s="8" t="s">
        <v>22</v>
      </c>
      <c r="U184" s="8" t="s">
        <v>22</v>
      </c>
      <c r="V184" s="8" t="s">
        <v>22</v>
      </c>
      <c r="W184" s="8" t="s">
        <v>22</v>
      </c>
      <c r="X184" s="8" t="s">
        <v>22</v>
      </c>
      <c r="Y184" s="8" t="s">
        <v>22</v>
      </c>
      <c r="Z184" s="8" t="s">
        <v>22</v>
      </c>
      <c r="AB184" s="25" t="s">
        <v>22</v>
      </c>
      <c r="AC184" s="25" t="s">
        <v>22</v>
      </c>
      <c r="AD184" s="25" t="s">
        <v>22</v>
      </c>
      <c r="AE184" s="25" t="s">
        <v>22</v>
      </c>
      <c r="AF184" s="25" t="s">
        <v>22</v>
      </c>
      <c r="AG184" s="25" t="s">
        <v>22</v>
      </c>
      <c r="AH184" s="7" t="s">
        <v>22</v>
      </c>
      <c r="AJ184" s="7" t="s">
        <v>22</v>
      </c>
      <c r="AK184" s="7" t="s">
        <v>22</v>
      </c>
      <c r="AL184" s="7" t="s">
        <v>22</v>
      </c>
      <c r="AM184" s="7" t="s">
        <v>22</v>
      </c>
      <c r="AN184" s="7" t="s">
        <v>22</v>
      </c>
      <c r="AO184" s="7" t="s">
        <v>22</v>
      </c>
      <c r="AP184" s="7" t="s">
        <v>22</v>
      </c>
    </row>
    <row r="185" spans="11:42" x14ac:dyDescent="0.3">
      <c r="K185" s="21">
        <v>181</v>
      </c>
      <c r="L185" s="24" t="str">
        <f t="shared" si="25"/>
        <v/>
      </c>
      <c r="M185" s="24" t="str">
        <f t="shared" si="26"/>
        <v/>
      </c>
      <c r="N185" s="24" t="str">
        <f t="shared" si="27"/>
        <v/>
      </c>
      <c r="O185" s="24" t="str">
        <f t="shared" si="28"/>
        <v/>
      </c>
      <c r="P185" s="24" t="str">
        <f t="shared" si="29"/>
        <v/>
      </c>
      <c r="Q185" s="24" t="str">
        <f t="shared" si="30"/>
        <v/>
      </c>
      <c r="R185" s="24" t="str">
        <f t="shared" si="31"/>
        <v/>
      </c>
      <c r="T185" s="8" t="s">
        <v>22</v>
      </c>
      <c r="U185" s="8" t="s">
        <v>22</v>
      </c>
      <c r="V185" s="8" t="s">
        <v>22</v>
      </c>
      <c r="W185" s="8" t="s">
        <v>22</v>
      </c>
      <c r="X185" s="8" t="s">
        <v>22</v>
      </c>
      <c r="Y185" s="8" t="s">
        <v>22</v>
      </c>
      <c r="Z185" s="8" t="s">
        <v>22</v>
      </c>
      <c r="AB185" s="25" t="s">
        <v>22</v>
      </c>
      <c r="AC185" s="25" t="s">
        <v>22</v>
      </c>
      <c r="AD185" s="25" t="s">
        <v>22</v>
      </c>
      <c r="AE185" s="25" t="s">
        <v>22</v>
      </c>
      <c r="AF185" s="25" t="s">
        <v>22</v>
      </c>
      <c r="AG185" s="25" t="s">
        <v>22</v>
      </c>
      <c r="AH185" s="7" t="s">
        <v>22</v>
      </c>
      <c r="AJ185" s="7" t="s">
        <v>22</v>
      </c>
      <c r="AK185" s="7" t="s">
        <v>22</v>
      </c>
      <c r="AL185" s="7" t="s">
        <v>22</v>
      </c>
      <c r="AM185" s="7" t="s">
        <v>22</v>
      </c>
      <c r="AN185" s="7" t="s">
        <v>22</v>
      </c>
      <c r="AO185" s="7" t="s">
        <v>22</v>
      </c>
      <c r="AP185" s="7" t="s">
        <v>22</v>
      </c>
    </row>
    <row r="186" spans="11:42" x14ac:dyDescent="0.3">
      <c r="K186" s="22">
        <v>182</v>
      </c>
      <c r="L186" s="24" t="str">
        <f t="shared" si="25"/>
        <v/>
      </c>
      <c r="M186" s="24" t="str">
        <f t="shared" si="26"/>
        <v/>
      </c>
      <c r="N186" s="24" t="str">
        <f t="shared" si="27"/>
        <v/>
      </c>
      <c r="O186" s="24" t="str">
        <f t="shared" si="28"/>
        <v/>
      </c>
      <c r="P186" s="24" t="str">
        <f t="shared" si="29"/>
        <v/>
      </c>
      <c r="Q186" s="24" t="str">
        <f t="shared" si="30"/>
        <v/>
      </c>
      <c r="R186" s="24" t="str">
        <f t="shared" si="31"/>
        <v/>
      </c>
      <c r="T186" s="8" t="s">
        <v>22</v>
      </c>
      <c r="U186" s="8" t="s">
        <v>22</v>
      </c>
      <c r="V186" s="8" t="s">
        <v>22</v>
      </c>
      <c r="W186" s="8" t="s">
        <v>22</v>
      </c>
      <c r="X186" s="8" t="s">
        <v>22</v>
      </c>
      <c r="Y186" s="8" t="s">
        <v>22</v>
      </c>
      <c r="Z186" s="8" t="s">
        <v>22</v>
      </c>
      <c r="AB186" s="25" t="s">
        <v>22</v>
      </c>
      <c r="AC186" s="25" t="s">
        <v>22</v>
      </c>
      <c r="AD186" s="25" t="s">
        <v>22</v>
      </c>
      <c r="AE186" s="25" t="s">
        <v>22</v>
      </c>
      <c r="AF186" s="25" t="s">
        <v>22</v>
      </c>
      <c r="AG186" s="25" t="s">
        <v>22</v>
      </c>
      <c r="AH186" s="7" t="s">
        <v>22</v>
      </c>
      <c r="AJ186" s="7" t="s">
        <v>22</v>
      </c>
      <c r="AK186" s="7" t="s">
        <v>22</v>
      </c>
      <c r="AL186" s="7" t="s">
        <v>22</v>
      </c>
      <c r="AM186" s="7" t="s">
        <v>22</v>
      </c>
      <c r="AN186" s="7" t="s">
        <v>22</v>
      </c>
      <c r="AO186" s="7" t="s">
        <v>22</v>
      </c>
      <c r="AP186" s="7" t="s">
        <v>22</v>
      </c>
    </row>
    <row r="187" spans="11:42" x14ac:dyDescent="0.3">
      <c r="K187" s="21">
        <v>183</v>
      </c>
      <c r="L187" s="24" t="str">
        <f t="shared" si="25"/>
        <v/>
      </c>
      <c r="M187" s="24" t="str">
        <f t="shared" si="26"/>
        <v/>
      </c>
      <c r="N187" s="24" t="str">
        <f t="shared" si="27"/>
        <v/>
      </c>
      <c r="O187" s="24" t="str">
        <f t="shared" si="28"/>
        <v/>
      </c>
      <c r="P187" s="24" t="str">
        <f t="shared" si="29"/>
        <v/>
      </c>
      <c r="Q187" s="24" t="str">
        <f t="shared" si="30"/>
        <v/>
      </c>
      <c r="R187" s="24" t="str">
        <f t="shared" si="31"/>
        <v/>
      </c>
      <c r="T187" s="8" t="s">
        <v>22</v>
      </c>
      <c r="U187" s="8" t="s">
        <v>22</v>
      </c>
      <c r="V187" s="8" t="s">
        <v>22</v>
      </c>
      <c r="W187" s="8" t="s">
        <v>22</v>
      </c>
      <c r="X187" s="8" t="s">
        <v>22</v>
      </c>
      <c r="Y187" s="8" t="s">
        <v>22</v>
      </c>
      <c r="Z187" s="8" t="s">
        <v>22</v>
      </c>
      <c r="AB187" s="25" t="s">
        <v>22</v>
      </c>
      <c r="AC187" s="25" t="s">
        <v>22</v>
      </c>
      <c r="AD187" s="25" t="s">
        <v>22</v>
      </c>
      <c r="AE187" s="25" t="s">
        <v>22</v>
      </c>
      <c r="AF187" s="25" t="s">
        <v>22</v>
      </c>
      <c r="AG187" s="25" t="s">
        <v>22</v>
      </c>
      <c r="AH187" s="7" t="s">
        <v>22</v>
      </c>
      <c r="AJ187" s="7" t="s">
        <v>22</v>
      </c>
      <c r="AK187" s="7" t="s">
        <v>22</v>
      </c>
      <c r="AL187" s="7" t="s">
        <v>22</v>
      </c>
      <c r="AM187" s="7" t="s">
        <v>22</v>
      </c>
      <c r="AN187" s="7" t="s">
        <v>22</v>
      </c>
      <c r="AO187" s="7" t="s">
        <v>22</v>
      </c>
      <c r="AP187" s="7" t="s">
        <v>22</v>
      </c>
    </row>
    <row r="188" spans="11:42" x14ac:dyDescent="0.3">
      <c r="K188" s="22">
        <v>184</v>
      </c>
      <c r="L188" s="24" t="str">
        <f t="shared" si="25"/>
        <v/>
      </c>
      <c r="M188" s="24" t="str">
        <f t="shared" si="26"/>
        <v/>
      </c>
      <c r="N188" s="24" t="str">
        <f t="shared" si="27"/>
        <v/>
      </c>
      <c r="O188" s="24" t="str">
        <f t="shared" si="28"/>
        <v/>
      </c>
      <c r="P188" s="24" t="str">
        <f t="shared" si="29"/>
        <v/>
      </c>
      <c r="Q188" s="24" t="str">
        <f t="shared" si="30"/>
        <v/>
      </c>
      <c r="R188" s="24" t="str">
        <f t="shared" si="31"/>
        <v/>
      </c>
      <c r="T188" s="8" t="s">
        <v>22</v>
      </c>
      <c r="U188" s="8" t="s">
        <v>22</v>
      </c>
      <c r="V188" s="8" t="s">
        <v>22</v>
      </c>
      <c r="W188" s="8" t="s">
        <v>22</v>
      </c>
      <c r="X188" s="8" t="s">
        <v>22</v>
      </c>
      <c r="Y188" s="8" t="s">
        <v>22</v>
      </c>
      <c r="Z188" s="8" t="s">
        <v>22</v>
      </c>
      <c r="AB188" s="25" t="s">
        <v>22</v>
      </c>
      <c r="AC188" s="25" t="s">
        <v>22</v>
      </c>
      <c r="AD188" s="25" t="s">
        <v>22</v>
      </c>
      <c r="AE188" s="25" t="s">
        <v>22</v>
      </c>
      <c r="AF188" s="25" t="s">
        <v>22</v>
      </c>
      <c r="AG188" s="25" t="s">
        <v>22</v>
      </c>
      <c r="AH188" s="7" t="s">
        <v>22</v>
      </c>
      <c r="AJ188" s="7" t="s">
        <v>22</v>
      </c>
      <c r="AK188" s="7" t="s">
        <v>22</v>
      </c>
      <c r="AL188" s="7" t="s">
        <v>22</v>
      </c>
      <c r="AM188" s="7" t="s">
        <v>22</v>
      </c>
      <c r="AN188" s="7" t="s">
        <v>22</v>
      </c>
      <c r="AO188" s="7" t="s">
        <v>22</v>
      </c>
      <c r="AP188" s="7" t="s">
        <v>22</v>
      </c>
    </row>
    <row r="189" spans="11:42" x14ac:dyDescent="0.3">
      <c r="K189" s="21">
        <v>185</v>
      </c>
      <c r="L189" s="24" t="str">
        <f t="shared" si="25"/>
        <v/>
      </c>
      <c r="M189" s="24" t="str">
        <f t="shared" si="26"/>
        <v/>
      </c>
      <c r="N189" s="24" t="str">
        <f t="shared" si="27"/>
        <v/>
      </c>
      <c r="O189" s="24" t="str">
        <f t="shared" si="28"/>
        <v/>
      </c>
      <c r="P189" s="24" t="str">
        <f t="shared" si="29"/>
        <v/>
      </c>
      <c r="Q189" s="24" t="str">
        <f t="shared" si="30"/>
        <v/>
      </c>
      <c r="R189" s="24" t="str">
        <f t="shared" si="31"/>
        <v/>
      </c>
      <c r="T189" s="8" t="s">
        <v>22</v>
      </c>
      <c r="U189" s="8" t="s">
        <v>22</v>
      </c>
      <c r="V189" s="8" t="s">
        <v>22</v>
      </c>
      <c r="W189" s="8" t="s">
        <v>22</v>
      </c>
      <c r="X189" s="8" t="s">
        <v>22</v>
      </c>
      <c r="Y189" s="8" t="s">
        <v>22</v>
      </c>
      <c r="Z189" s="8" t="s">
        <v>22</v>
      </c>
      <c r="AB189" s="25" t="s">
        <v>22</v>
      </c>
      <c r="AC189" s="25" t="s">
        <v>22</v>
      </c>
      <c r="AD189" s="25" t="s">
        <v>22</v>
      </c>
      <c r="AE189" s="25" t="s">
        <v>22</v>
      </c>
      <c r="AF189" s="25" t="s">
        <v>22</v>
      </c>
      <c r="AG189" s="25" t="s">
        <v>22</v>
      </c>
      <c r="AH189" s="7" t="s">
        <v>22</v>
      </c>
      <c r="AJ189" s="7" t="s">
        <v>22</v>
      </c>
      <c r="AK189" s="7" t="s">
        <v>22</v>
      </c>
      <c r="AL189" s="7" t="s">
        <v>22</v>
      </c>
      <c r="AM189" s="7" t="s">
        <v>22</v>
      </c>
      <c r="AN189" s="7" t="s">
        <v>22</v>
      </c>
      <c r="AO189" s="7" t="s">
        <v>22</v>
      </c>
      <c r="AP189" s="7" t="s">
        <v>22</v>
      </c>
    </row>
    <row r="190" spans="11:42" x14ac:dyDescent="0.3">
      <c r="K190" s="22">
        <v>186</v>
      </c>
      <c r="L190" s="24" t="str">
        <f t="shared" si="25"/>
        <v/>
      </c>
      <c r="M190" s="24" t="str">
        <f t="shared" si="26"/>
        <v/>
      </c>
      <c r="N190" s="24" t="str">
        <f t="shared" si="27"/>
        <v/>
      </c>
      <c r="O190" s="24" t="str">
        <f t="shared" si="28"/>
        <v/>
      </c>
      <c r="P190" s="24" t="str">
        <f t="shared" si="29"/>
        <v/>
      </c>
      <c r="Q190" s="24" t="str">
        <f t="shared" si="30"/>
        <v/>
      </c>
      <c r="R190" s="24" t="str">
        <f t="shared" si="31"/>
        <v/>
      </c>
      <c r="T190" s="8" t="s">
        <v>22</v>
      </c>
      <c r="U190" s="8" t="s">
        <v>22</v>
      </c>
      <c r="V190" s="8" t="s">
        <v>22</v>
      </c>
      <c r="W190" s="8" t="s">
        <v>22</v>
      </c>
      <c r="X190" s="8" t="s">
        <v>22</v>
      </c>
      <c r="Y190" s="8" t="s">
        <v>22</v>
      </c>
      <c r="Z190" s="8" t="s">
        <v>22</v>
      </c>
      <c r="AB190" s="25" t="s">
        <v>22</v>
      </c>
      <c r="AC190" s="25" t="s">
        <v>22</v>
      </c>
      <c r="AD190" s="25" t="s">
        <v>22</v>
      </c>
      <c r="AE190" s="25" t="s">
        <v>22</v>
      </c>
      <c r="AF190" s="25" t="s">
        <v>22</v>
      </c>
      <c r="AG190" s="25" t="s">
        <v>22</v>
      </c>
      <c r="AH190" s="7" t="s">
        <v>22</v>
      </c>
      <c r="AJ190" s="7" t="s">
        <v>22</v>
      </c>
      <c r="AK190" s="7" t="s">
        <v>22</v>
      </c>
      <c r="AL190" s="7" t="s">
        <v>22</v>
      </c>
      <c r="AM190" s="7" t="s">
        <v>22</v>
      </c>
      <c r="AN190" s="7" t="s">
        <v>22</v>
      </c>
      <c r="AO190" s="7" t="s">
        <v>22</v>
      </c>
      <c r="AP190" s="7" t="s">
        <v>22</v>
      </c>
    </row>
    <row r="191" spans="11:42" x14ac:dyDescent="0.3">
      <c r="K191" s="21">
        <v>187</v>
      </c>
      <c r="L191" s="24" t="str">
        <f t="shared" si="25"/>
        <v/>
      </c>
      <c r="M191" s="24" t="str">
        <f t="shared" si="26"/>
        <v/>
      </c>
      <c r="N191" s="24" t="str">
        <f t="shared" si="27"/>
        <v/>
      </c>
      <c r="O191" s="24" t="str">
        <f t="shared" si="28"/>
        <v/>
      </c>
      <c r="P191" s="24" t="str">
        <f t="shared" si="29"/>
        <v/>
      </c>
      <c r="Q191" s="24" t="str">
        <f t="shared" si="30"/>
        <v/>
      </c>
      <c r="R191" s="24" t="str">
        <f t="shared" si="31"/>
        <v/>
      </c>
      <c r="T191" s="8" t="s">
        <v>22</v>
      </c>
      <c r="U191" s="8" t="s">
        <v>22</v>
      </c>
      <c r="V191" s="8" t="s">
        <v>22</v>
      </c>
      <c r="W191" s="8" t="s">
        <v>22</v>
      </c>
      <c r="X191" s="8" t="s">
        <v>22</v>
      </c>
      <c r="Y191" s="8" t="s">
        <v>22</v>
      </c>
      <c r="Z191" s="8" t="s">
        <v>22</v>
      </c>
      <c r="AB191" s="25" t="s">
        <v>22</v>
      </c>
      <c r="AC191" s="25" t="s">
        <v>22</v>
      </c>
      <c r="AD191" s="25" t="s">
        <v>22</v>
      </c>
      <c r="AE191" s="25" t="s">
        <v>22</v>
      </c>
      <c r="AF191" s="25" t="s">
        <v>22</v>
      </c>
      <c r="AG191" s="25" t="s">
        <v>22</v>
      </c>
      <c r="AH191" s="7" t="s">
        <v>22</v>
      </c>
      <c r="AJ191" s="7" t="s">
        <v>22</v>
      </c>
      <c r="AK191" s="7" t="s">
        <v>22</v>
      </c>
      <c r="AL191" s="7" t="s">
        <v>22</v>
      </c>
      <c r="AM191" s="7" t="s">
        <v>22</v>
      </c>
      <c r="AN191" s="7" t="s">
        <v>22</v>
      </c>
      <c r="AO191" s="7" t="s">
        <v>22</v>
      </c>
      <c r="AP191" s="7" t="s">
        <v>22</v>
      </c>
    </row>
    <row r="192" spans="11:42" x14ac:dyDescent="0.3">
      <c r="K192" s="22">
        <v>188</v>
      </c>
      <c r="L192" s="24" t="str">
        <f t="shared" ref="L192:L255" si="32">IF(T192&lt;&gt;"",_xlfn.XLOOKUP(T192,$K$4:$K$27,$A$4:$A$27),"")</f>
        <v/>
      </c>
      <c r="M192" s="24" t="str">
        <f t="shared" ref="M192:M255" si="33">IF(U192&lt;&gt;"",_xlfn.XLOOKUP(U192,$K$4:$K$27,$A$4:$A$27),"")</f>
        <v/>
      </c>
      <c r="N192" s="24" t="str">
        <f t="shared" ref="N192:N255" si="34">IF(V192&lt;&gt;"",_xlfn.XLOOKUP(V192,$K$4:$K$27,$A$4:$A$27),"")</f>
        <v/>
      </c>
      <c r="O192" s="24" t="str">
        <f t="shared" ref="O192:O255" si="35">IF(W192&lt;&gt;"",_xlfn.XLOOKUP(W192,$K$4:$K$27,$A$4:$A$27),"")</f>
        <v/>
      </c>
      <c r="P192" s="24" t="str">
        <f t="shared" ref="P192:P255" si="36">IF(X192&lt;&gt;"",_xlfn.XLOOKUP(X192,$K$4:$K$27,$A$4:$A$27),"")</f>
        <v/>
      </c>
      <c r="Q192" s="24" t="str">
        <f t="shared" ref="Q192:Q255" si="37">IF(Y192&lt;&gt;"",_xlfn.XLOOKUP(Y192,$K$4:$K$27,$A$4:$A$27),"")</f>
        <v/>
      </c>
      <c r="R192" s="24" t="str">
        <f t="shared" ref="R192:R255" si="38">IF(Z192&lt;&gt;"",_xlfn.XLOOKUP(Z192,$K$4:$K$27,$A$4:$A$27),"")</f>
        <v/>
      </c>
      <c r="T192" s="8" t="s">
        <v>22</v>
      </c>
      <c r="U192" s="8" t="s">
        <v>22</v>
      </c>
      <c r="V192" s="8" t="s">
        <v>22</v>
      </c>
      <c r="W192" s="8" t="s">
        <v>22</v>
      </c>
      <c r="X192" s="8" t="s">
        <v>22</v>
      </c>
      <c r="Y192" s="8" t="s">
        <v>22</v>
      </c>
      <c r="Z192" s="8" t="s">
        <v>22</v>
      </c>
      <c r="AB192" s="25" t="s">
        <v>22</v>
      </c>
      <c r="AC192" s="25" t="s">
        <v>22</v>
      </c>
      <c r="AD192" s="25" t="s">
        <v>22</v>
      </c>
      <c r="AE192" s="25" t="s">
        <v>22</v>
      </c>
      <c r="AF192" s="25" t="s">
        <v>22</v>
      </c>
      <c r="AG192" s="25" t="s">
        <v>22</v>
      </c>
      <c r="AH192" s="7" t="s">
        <v>22</v>
      </c>
      <c r="AJ192" s="7" t="s">
        <v>22</v>
      </c>
      <c r="AK192" s="7" t="s">
        <v>22</v>
      </c>
      <c r="AL192" s="7" t="s">
        <v>22</v>
      </c>
      <c r="AM192" s="7" t="s">
        <v>22</v>
      </c>
      <c r="AN192" s="7" t="s">
        <v>22</v>
      </c>
      <c r="AO192" s="7" t="s">
        <v>22</v>
      </c>
      <c r="AP192" s="7" t="s">
        <v>22</v>
      </c>
    </row>
    <row r="193" spans="11:42" x14ac:dyDescent="0.3">
      <c r="K193" s="21">
        <v>189</v>
      </c>
      <c r="L193" s="24" t="str">
        <f t="shared" si="32"/>
        <v/>
      </c>
      <c r="M193" s="24" t="str">
        <f t="shared" si="33"/>
        <v/>
      </c>
      <c r="N193" s="24" t="str">
        <f t="shared" si="34"/>
        <v/>
      </c>
      <c r="O193" s="24" t="str">
        <f t="shared" si="35"/>
        <v/>
      </c>
      <c r="P193" s="24" t="str">
        <f t="shared" si="36"/>
        <v/>
      </c>
      <c r="Q193" s="24" t="str">
        <f t="shared" si="37"/>
        <v/>
      </c>
      <c r="R193" s="24" t="str">
        <f t="shared" si="38"/>
        <v/>
      </c>
      <c r="T193" s="8" t="s">
        <v>22</v>
      </c>
      <c r="U193" s="8" t="s">
        <v>22</v>
      </c>
      <c r="V193" s="8" t="s">
        <v>22</v>
      </c>
      <c r="W193" s="8" t="s">
        <v>22</v>
      </c>
      <c r="X193" s="8" t="s">
        <v>22</v>
      </c>
      <c r="Y193" s="8" t="s">
        <v>22</v>
      </c>
      <c r="Z193" s="8" t="s">
        <v>22</v>
      </c>
      <c r="AB193" s="25" t="s">
        <v>22</v>
      </c>
      <c r="AC193" s="25" t="s">
        <v>22</v>
      </c>
      <c r="AD193" s="25" t="s">
        <v>22</v>
      </c>
      <c r="AE193" s="25" t="s">
        <v>22</v>
      </c>
      <c r="AF193" s="25" t="s">
        <v>22</v>
      </c>
      <c r="AG193" s="25" t="s">
        <v>22</v>
      </c>
      <c r="AH193" s="7" t="s">
        <v>22</v>
      </c>
      <c r="AJ193" s="7" t="s">
        <v>22</v>
      </c>
      <c r="AK193" s="7" t="s">
        <v>22</v>
      </c>
      <c r="AL193" s="7" t="s">
        <v>22</v>
      </c>
      <c r="AM193" s="7" t="s">
        <v>22</v>
      </c>
      <c r="AN193" s="7" t="s">
        <v>22</v>
      </c>
      <c r="AO193" s="7" t="s">
        <v>22</v>
      </c>
      <c r="AP193" s="7" t="s">
        <v>22</v>
      </c>
    </row>
    <row r="194" spans="11:42" x14ac:dyDescent="0.3">
      <c r="K194" s="22">
        <v>190</v>
      </c>
      <c r="L194" s="24" t="str">
        <f t="shared" si="32"/>
        <v/>
      </c>
      <c r="M194" s="24" t="str">
        <f t="shared" si="33"/>
        <v/>
      </c>
      <c r="N194" s="24" t="str">
        <f t="shared" si="34"/>
        <v/>
      </c>
      <c r="O194" s="24" t="str">
        <f t="shared" si="35"/>
        <v/>
      </c>
      <c r="P194" s="24" t="str">
        <f t="shared" si="36"/>
        <v/>
      </c>
      <c r="Q194" s="24" t="str">
        <f t="shared" si="37"/>
        <v/>
      </c>
      <c r="R194" s="24" t="str">
        <f t="shared" si="38"/>
        <v/>
      </c>
      <c r="T194" s="8" t="s">
        <v>22</v>
      </c>
      <c r="U194" s="8" t="s">
        <v>22</v>
      </c>
      <c r="V194" s="8" t="s">
        <v>22</v>
      </c>
      <c r="W194" s="8" t="s">
        <v>22</v>
      </c>
      <c r="X194" s="8" t="s">
        <v>22</v>
      </c>
      <c r="Y194" s="8" t="s">
        <v>22</v>
      </c>
      <c r="Z194" s="8" t="s">
        <v>22</v>
      </c>
      <c r="AB194" s="25" t="s">
        <v>22</v>
      </c>
      <c r="AC194" s="25" t="s">
        <v>22</v>
      </c>
      <c r="AD194" s="25" t="s">
        <v>22</v>
      </c>
      <c r="AE194" s="25" t="s">
        <v>22</v>
      </c>
      <c r="AF194" s="25" t="s">
        <v>22</v>
      </c>
      <c r="AG194" s="25" t="s">
        <v>22</v>
      </c>
      <c r="AH194" s="7" t="s">
        <v>22</v>
      </c>
      <c r="AJ194" s="7" t="s">
        <v>22</v>
      </c>
      <c r="AK194" s="7" t="s">
        <v>22</v>
      </c>
      <c r="AL194" s="7" t="s">
        <v>22</v>
      </c>
      <c r="AM194" s="7" t="s">
        <v>22</v>
      </c>
      <c r="AN194" s="7" t="s">
        <v>22</v>
      </c>
      <c r="AO194" s="7" t="s">
        <v>22</v>
      </c>
      <c r="AP194" s="7" t="s">
        <v>22</v>
      </c>
    </row>
    <row r="195" spans="11:42" x14ac:dyDescent="0.3">
      <c r="K195" s="21">
        <v>191</v>
      </c>
      <c r="L195" s="24" t="str">
        <f t="shared" si="32"/>
        <v/>
      </c>
      <c r="M195" s="24" t="str">
        <f t="shared" si="33"/>
        <v/>
      </c>
      <c r="N195" s="24" t="str">
        <f t="shared" si="34"/>
        <v/>
      </c>
      <c r="O195" s="24" t="str">
        <f t="shared" si="35"/>
        <v/>
      </c>
      <c r="P195" s="24" t="str">
        <f t="shared" si="36"/>
        <v/>
      </c>
      <c r="Q195" s="24" t="str">
        <f t="shared" si="37"/>
        <v/>
      </c>
      <c r="R195" s="24" t="str">
        <f t="shared" si="38"/>
        <v/>
      </c>
      <c r="T195" s="8" t="s">
        <v>22</v>
      </c>
      <c r="U195" s="8" t="s">
        <v>22</v>
      </c>
      <c r="V195" s="8" t="s">
        <v>22</v>
      </c>
      <c r="W195" s="8" t="s">
        <v>22</v>
      </c>
      <c r="X195" s="8" t="s">
        <v>22</v>
      </c>
      <c r="Y195" s="8" t="s">
        <v>22</v>
      </c>
      <c r="Z195" s="8" t="s">
        <v>22</v>
      </c>
      <c r="AB195" s="25" t="s">
        <v>22</v>
      </c>
      <c r="AC195" s="25" t="s">
        <v>22</v>
      </c>
      <c r="AD195" s="25" t="s">
        <v>22</v>
      </c>
      <c r="AE195" s="25" t="s">
        <v>22</v>
      </c>
      <c r="AF195" s="25" t="s">
        <v>22</v>
      </c>
      <c r="AG195" s="25" t="s">
        <v>22</v>
      </c>
      <c r="AH195" s="7" t="s">
        <v>22</v>
      </c>
      <c r="AJ195" s="7" t="s">
        <v>22</v>
      </c>
      <c r="AK195" s="7" t="s">
        <v>22</v>
      </c>
      <c r="AL195" s="7" t="s">
        <v>22</v>
      </c>
      <c r="AM195" s="7" t="s">
        <v>22</v>
      </c>
      <c r="AN195" s="7" t="s">
        <v>22</v>
      </c>
      <c r="AO195" s="7" t="s">
        <v>22</v>
      </c>
      <c r="AP195" s="7" t="s">
        <v>22</v>
      </c>
    </row>
    <row r="196" spans="11:42" x14ac:dyDescent="0.3">
      <c r="K196" s="22">
        <v>192</v>
      </c>
      <c r="L196" s="24" t="str">
        <f t="shared" si="32"/>
        <v/>
      </c>
      <c r="M196" s="24" t="str">
        <f t="shared" si="33"/>
        <v/>
      </c>
      <c r="N196" s="24" t="str">
        <f t="shared" si="34"/>
        <v/>
      </c>
      <c r="O196" s="24" t="str">
        <f t="shared" si="35"/>
        <v/>
      </c>
      <c r="P196" s="24" t="str">
        <f t="shared" si="36"/>
        <v/>
      </c>
      <c r="Q196" s="24" t="str">
        <f t="shared" si="37"/>
        <v/>
      </c>
      <c r="R196" s="24" t="str">
        <f t="shared" si="38"/>
        <v/>
      </c>
      <c r="T196" s="8" t="s">
        <v>22</v>
      </c>
      <c r="U196" s="8" t="s">
        <v>22</v>
      </c>
      <c r="V196" s="8" t="s">
        <v>22</v>
      </c>
      <c r="W196" s="8" t="s">
        <v>22</v>
      </c>
      <c r="X196" s="8" t="s">
        <v>22</v>
      </c>
      <c r="Y196" s="8" t="s">
        <v>22</v>
      </c>
      <c r="Z196" s="8" t="s">
        <v>22</v>
      </c>
      <c r="AB196" s="25" t="s">
        <v>22</v>
      </c>
      <c r="AC196" s="25" t="s">
        <v>22</v>
      </c>
      <c r="AD196" s="25" t="s">
        <v>22</v>
      </c>
      <c r="AE196" s="25" t="s">
        <v>22</v>
      </c>
      <c r="AF196" s="25" t="s">
        <v>22</v>
      </c>
      <c r="AG196" s="25" t="s">
        <v>22</v>
      </c>
      <c r="AH196" s="7" t="s">
        <v>22</v>
      </c>
      <c r="AJ196" s="7" t="s">
        <v>22</v>
      </c>
      <c r="AK196" s="7" t="s">
        <v>22</v>
      </c>
      <c r="AL196" s="7" t="s">
        <v>22</v>
      </c>
      <c r="AM196" s="7" t="s">
        <v>22</v>
      </c>
      <c r="AN196" s="7" t="s">
        <v>22</v>
      </c>
      <c r="AO196" s="7" t="s">
        <v>22</v>
      </c>
      <c r="AP196" s="7" t="s">
        <v>22</v>
      </c>
    </row>
    <row r="197" spans="11:42" x14ac:dyDescent="0.3">
      <c r="K197" s="21">
        <v>193</v>
      </c>
      <c r="L197" s="24" t="str">
        <f t="shared" si="32"/>
        <v/>
      </c>
      <c r="M197" s="24" t="str">
        <f t="shared" si="33"/>
        <v/>
      </c>
      <c r="N197" s="24" t="str">
        <f t="shared" si="34"/>
        <v/>
      </c>
      <c r="O197" s="24" t="str">
        <f t="shared" si="35"/>
        <v/>
      </c>
      <c r="P197" s="24" t="str">
        <f t="shared" si="36"/>
        <v/>
      </c>
      <c r="Q197" s="24" t="str">
        <f t="shared" si="37"/>
        <v/>
      </c>
      <c r="R197" s="24" t="str">
        <f t="shared" si="38"/>
        <v/>
      </c>
      <c r="T197" s="8" t="s">
        <v>22</v>
      </c>
      <c r="U197" s="8" t="s">
        <v>22</v>
      </c>
      <c r="V197" s="8" t="s">
        <v>22</v>
      </c>
      <c r="W197" s="8" t="s">
        <v>22</v>
      </c>
      <c r="X197" s="8" t="s">
        <v>22</v>
      </c>
      <c r="Y197" s="8" t="s">
        <v>22</v>
      </c>
      <c r="Z197" s="8" t="s">
        <v>22</v>
      </c>
      <c r="AB197" s="25" t="s">
        <v>22</v>
      </c>
      <c r="AC197" s="25" t="s">
        <v>22</v>
      </c>
      <c r="AD197" s="25" t="s">
        <v>22</v>
      </c>
      <c r="AE197" s="25" t="s">
        <v>22</v>
      </c>
      <c r="AF197" s="25" t="s">
        <v>22</v>
      </c>
      <c r="AG197" s="25" t="s">
        <v>22</v>
      </c>
      <c r="AH197" s="7" t="s">
        <v>22</v>
      </c>
      <c r="AJ197" s="7" t="s">
        <v>22</v>
      </c>
      <c r="AK197" s="7" t="s">
        <v>22</v>
      </c>
      <c r="AL197" s="7" t="s">
        <v>22</v>
      </c>
      <c r="AM197" s="7" t="s">
        <v>22</v>
      </c>
      <c r="AN197" s="7" t="s">
        <v>22</v>
      </c>
      <c r="AO197" s="7" t="s">
        <v>22</v>
      </c>
      <c r="AP197" s="7" t="s">
        <v>22</v>
      </c>
    </row>
    <row r="198" spans="11:42" x14ac:dyDescent="0.3">
      <c r="K198" s="22">
        <v>194</v>
      </c>
      <c r="L198" s="24" t="str">
        <f t="shared" si="32"/>
        <v/>
      </c>
      <c r="M198" s="24" t="str">
        <f t="shared" si="33"/>
        <v/>
      </c>
      <c r="N198" s="24" t="str">
        <f t="shared" si="34"/>
        <v/>
      </c>
      <c r="O198" s="24" t="str">
        <f t="shared" si="35"/>
        <v/>
      </c>
      <c r="P198" s="24" t="str">
        <f t="shared" si="36"/>
        <v/>
      </c>
      <c r="Q198" s="24" t="str">
        <f t="shared" si="37"/>
        <v/>
      </c>
      <c r="R198" s="24" t="str">
        <f t="shared" si="38"/>
        <v/>
      </c>
      <c r="T198" s="8" t="s">
        <v>22</v>
      </c>
      <c r="U198" s="8" t="s">
        <v>22</v>
      </c>
      <c r="V198" s="8" t="s">
        <v>22</v>
      </c>
      <c r="W198" s="8" t="s">
        <v>22</v>
      </c>
      <c r="X198" s="8" t="s">
        <v>22</v>
      </c>
      <c r="Y198" s="8" t="s">
        <v>22</v>
      </c>
      <c r="Z198" s="8" t="s">
        <v>22</v>
      </c>
      <c r="AB198" s="7" t="s">
        <v>22</v>
      </c>
      <c r="AC198" s="7" t="s">
        <v>22</v>
      </c>
      <c r="AD198" s="7" t="s">
        <v>22</v>
      </c>
      <c r="AE198" s="7" t="s">
        <v>22</v>
      </c>
      <c r="AF198" s="7" t="s">
        <v>22</v>
      </c>
      <c r="AG198" s="7" t="s">
        <v>22</v>
      </c>
      <c r="AH198" s="7" t="s">
        <v>22</v>
      </c>
      <c r="AJ198" s="7" t="s">
        <v>22</v>
      </c>
      <c r="AK198" s="7" t="s">
        <v>22</v>
      </c>
      <c r="AL198" s="7" t="s">
        <v>22</v>
      </c>
      <c r="AM198" s="7" t="s">
        <v>22</v>
      </c>
      <c r="AN198" s="7" t="s">
        <v>22</v>
      </c>
      <c r="AO198" s="7" t="s">
        <v>22</v>
      </c>
      <c r="AP198" s="7" t="s">
        <v>22</v>
      </c>
    </row>
    <row r="199" spans="11:42" x14ac:dyDescent="0.3">
      <c r="K199" s="21">
        <v>195</v>
      </c>
      <c r="L199" s="24" t="str">
        <f t="shared" si="32"/>
        <v/>
      </c>
      <c r="M199" s="24" t="str">
        <f t="shared" si="33"/>
        <v/>
      </c>
      <c r="N199" s="24" t="str">
        <f t="shared" si="34"/>
        <v/>
      </c>
      <c r="O199" s="24" t="str">
        <f t="shared" si="35"/>
        <v/>
      </c>
      <c r="P199" s="24" t="str">
        <f t="shared" si="36"/>
        <v/>
      </c>
      <c r="Q199" s="24" t="str">
        <f t="shared" si="37"/>
        <v/>
      </c>
      <c r="R199" s="24" t="str">
        <f t="shared" si="38"/>
        <v/>
      </c>
      <c r="T199" s="8" t="s">
        <v>22</v>
      </c>
      <c r="U199" s="8" t="s">
        <v>22</v>
      </c>
      <c r="V199" s="8" t="s">
        <v>22</v>
      </c>
      <c r="W199" s="8" t="s">
        <v>22</v>
      </c>
      <c r="X199" s="8" t="s">
        <v>22</v>
      </c>
      <c r="Y199" s="8" t="s">
        <v>22</v>
      </c>
      <c r="Z199" s="8" t="s">
        <v>22</v>
      </c>
      <c r="AB199" s="7" t="s">
        <v>22</v>
      </c>
      <c r="AC199" s="7" t="s">
        <v>22</v>
      </c>
      <c r="AD199" s="7" t="s">
        <v>22</v>
      </c>
      <c r="AE199" s="7" t="s">
        <v>22</v>
      </c>
      <c r="AF199" s="7" t="s">
        <v>22</v>
      </c>
      <c r="AG199" s="7" t="s">
        <v>22</v>
      </c>
      <c r="AH199" s="7" t="s">
        <v>22</v>
      </c>
      <c r="AJ199" s="7" t="s">
        <v>22</v>
      </c>
      <c r="AK199" s="7" t="s">
        <v>22</v>
      </c>
      <c r="AL199" s="7" t="s">
        <v>22</v>
      </c>
      <c r="AM199" s="7" t="s">
        <v>22</v>
      </c>
      <c r="AN199" s="7" t="s">
        <v>22</v>
      </c>
      <c r="AO199" s="7" t="s">
        <v>22</v>
      </c>
      <c r="AP199" s="7" t="s">
        <v>22</v>
      </c>
    </row>
    <row r="200" spans="11:42" x14ac:dyDescent="0.3">
      <c r="K200" s="22">
        <v>196</v>
      </c>
      <c r="L200" s="24" t="str">
        <f t="shared" si="32"/>
        <v/>
      </c>
      <c r="M200" s="24" t="str">
        <f t="shared" si="33"/>
        <v/>
      </c>
      <c r="N200" s="24" t="str">
        <f t="shared" si="34"/>
        <v/>
      </c>
      <c r="O200" s="24" t="str">
        <f t="shared" si="35"/>
        <v/>
      </c>
      <c r="P200" s="24" t="str">
        <f t="shared" si="36"/>
        <v/>
      </c>
      <c r="Q200" s="24" t="str">
        <f t="shared" si="37"/>
        <v/>
      </c>
      <c r="R200" s="24" t="str">
        <f t="shared" si="38"/>
        <v/>
      </c>
      <c r="T200" s="8" t="s">
        <v>22</v>
      </c>
      <c r="U200" s="8" t="s">
        <v>22</v>
      </c>
      <c r="V200" s="8" t="s">
        <v>22</v>
      </c>
      <c r="W200" s="8" t="s">
        <v>22</v>
      </c>
      <c r="X200" s="8" t="s">
        <v>22</v>
      </c>
      <c r="Y200" s="8" t="s">
        <v>22</v>
      </c>
      <c r="Z200" s="8" t="s">
        <v>22</v>
      </c>
      <c r="AB200" s="7" t="s">
        <v>22</v>
      </c>
      <c r="AC200" s="7" t="s">
        <v>22</v>
      </c>
      <c r="AD200" s="7" t="s">
        <v>22</v>
      </c>
      <c r="AE200" s="7" t="s">
        <v>22</v>
      </c>
      <c r="AF200" s="7" t="s">
        <v>22</v>
      </c>
      <c r="AG200" s="7" t="s">
        <v>22</v>
      </c>
      <c r="AH200" s="7" t="s">
        <v>22</v>
      </c>
      <c r="AJ200" s="7" t="s">
        <v>22</v>
      </c>
      <c r="AK200" s="7" t="s">
        <v>22</v>
      </c>
      <c r="AL200" s="7" t="s">
        <v>22</v>
      </c>
      <c r="AM200" s="7" t="s">
        <v>22</v>
      </c>
      <c r="AN200" s="7" t="s">
        <v>22</v>
      </c>
      <c r="AO200" s="7" t="s">
        <v>22</v>
      </c>
      <c r="AP200" s="7" t="s">
        <v>22</v>
      </c>
    </row>
    <row r="201" spans="11:42" x14ac:dyDescent="0.3">
      <c r="K201" s="21">
        <v>197</v>
      </c>
      <c r="L201" s="24" t="str">
        <f t="shared" si="32"/>
        <v/>
      </c>
      <c r="M201" s="24" t="str">
        <f t="shared" si="33"/>
        <v/>
      </c>
      <c r="N201" s="24" t="str">
        <f t="shared" si="34"/>
        <v/>
      </c>
      <c r="O201" s="24" t="str">
        <f t="shared" si="35"/>
        <v/>
      </c>
      <c r="P201" s="24" t="str">
        <f t="shared" si="36"/>
        <v/>
      </c>
      <c r="Q201" s="24" t="str">
        <f t="shared" si="37"/>
        <v/>
      </c>
      <c r="R201" s="24" t="str">
        <f t="shared" si="38"/>
        <v/>
      </c>
      <c r="T201" s="8" t="s">
        <v>22</v>
      </c>
      <c r="U201" s="8" t="s">
        <v>22</v>
      </c>
      <c r="V201" s="8" t="s">
        <v>22</v>
      </c>
      <c r="W201" s="8" t="s">
        <v>22</v>
      </c>
      <c r="X201" s="8" t="s">
        <v>22</v>
      </c>
      <c r="Y201" s="8" t="s">
        <v>22</v>
      </c>
      <c r="Z201" s="8" t="s">
        <v>22</v>
      </c>
      <c r="AB201" s="7" t="s">
        <v>22</v>
      </c>
      <c r="AC201" s="7" t="s">
        <v>22</v>
      </c>
      <c r="AD201" s="7" t="s">
        <v>22</v>
      </c>
      <c r="AE201" s="7" t="s">
        <v>22</v>
      </c>
      <c r="AF201" s="7" t="s">
        <v>22</v>
      </c>
      <c r="AG201" s="7" t="s">
        <v>22</v>
      </c>
      <c r="AH201" s="7" t="s">
        <v>22</v>
      </c>
      <c r="AJ201" s="7" t="s">
        <v>22</v>
      </c>
      <c r="AK201" s="7" t="s">
        <v>22</v>
      </c>
      <c r="AL201" s="7" t="s">
        <v>22</v>
      </c>
      <c r="AM201" s="7" t="s">
        <v>22</v>
      </c>
      <c r="AN201" s="7" t="s">
        <v>22</v>
      </c>
      <c r="AO201" s="7" t="s">
        <v>22</v>
      </c>
      <c r="AP201" s="7" t="s">
        <v>22</v>
      </c>
    </row>
    <row r="202" spans="11:42" x14ac:dyDescent="0.3">
      <c r="K202" s="22">
        <v>198</v>
      </c>
      <c r="L202" s="24" t="str">
        <f t="shared" si="32"/>
        <v/>
      </c>
      <c r="M202" s="24" t="str">
        <f t="shared" si="33"/>
        <v/>
      </c>
      <c r="N202" s="24" t="str">
        <f t="shared" si="34"/>
        <v/>
      </c>
      <c r="O202" s="24" t="str">
        <f t="shared" si="35"/>
        <v/>
      </c>
      <c r="P202" s="24" t="str">
        <f t="shared" si="36"/>
        <v/>
      </c>
      <c r="Q202" s="24" t="str">
        <f t="shared" si="37"/>
        <v/>
      </c>
      <c r="R202" s="24" t="str">
        <f t="shared" si="38"/>
        <v/>
      </c>
      <c r="T202" s="8" t="s">
        <v>22</v>
      </c>
      <c r="U202" s="8" t="s">
        <v>22</v>
      </c>
      <c r="V202" s="8" t="s">
        <v>22</v>
      </c>
      <c r="W202" s="8" t="s">
        <v>22</v>
      </c>
      <c r="X202" s="8" t="s">
        <v>22</v>
      </c>
      <c r="Y202" s="8" t="s">
        <v>22</v>
      </c>
      <c r="Z202" s="8" t="s">
        <v>22</v>
      </c>
      <c r="AB202" s="7" t="s">
        <v>22</v>
      </c>
      <c r="AC202" s="7" t="s">
        <v>22</v>
      </c>
      <c r="AD202" s="7" t="s">
        <v>22</v>
      </c>
      <c r="AE202" s="7" t="s">
        <v>22</v>
      </c>
      <c r="AF202" s="7" t="s">
        <v>22</v>
      </c>
      <c r="AG202" s="7" t="s">
        <v>22</v>
      </c>
      <c r="AH202" s="7" t="s">
        <v>22</v>
      </c>
      <c r="AJ202" s="7" t="s">
        <v>22</v>
      </c>
      <c r="AK202" s="7" t="s">
        <v>22</v>
      </c>
      <c r="AL202" s="7" t="s">
        <v>22</v>
      </c>
      <c r="AM202" s="7" t="s">
        <v>22</v>
      </c>
      <c r="AN202" s="7" t="s">
        <v>22</v>
      </c>
      <c r="AO202" s="7" t="s">
        <v>22</v>
      </c>
      <c r="AP202" s="7" t="s">
        <v>22</v>
      </c>
    </row>
    <row r="203" spans="11:42" x14ac:dyDescent="0.3">
      <c r="K203" s="21">
        <v>199</v>
      </c>
      <c r="L203" s="24" t="str">
        <f t="shared" si="32"/>
        <v/>
      </c>
      <c r="M203" s="24" t="str">
        <f t="shared" si="33"/>
        <v/>
      </c>
      <c r="N203" s="24" t="str">
        <f t="shared" si="34"/>
        <v/>
      </c>
      <c r="O203" s="24" t="str">
        <f t="shared" si="35"/>
        <v/>
      </c>
      <c r="P203" s="24" t="str">
        <f t="shared" si="36"/>
        <v/>
      </c>
      <c r="Q203" s="24" t="str">
        <f t="shared" si="37"/>
        <v/>
      </c>
      <c r="R203" s="24" t="str">
        <f t="shared" si="38"/>
        <v/>
      </c>
      <c r="T203" s="8" t="s">
        <v>22</v>
      </c>
      <c r="U203" s="8" t="s">
        <v>22</v>
      </c>
      <c r="V203" s="8" t="s">
        <v>22</v>
      </c>
      <c r="W203" s="8" t="s">
        <v>22</v>
      </c>
      <c r="X203" s="8" t="s">
        <v>22</v>
      </c>
      <c r="Y203" s="8" t="s">
        <v>22</v>
      </c>
      <c r="Z203" s="8" t="s">
        <v>22</v>
      </c>
      <c r="AB203" s="7" t="s">
        <v>22</v>
      </c>
      <c r="AC203" s="7" t="s">
        <v>22</v>
      </c>
      <c r="AD203" s="7" t="s">
        <v>22</v>
      </c>
      <c r="AE203" s="7" t="s">
        <v>22</v>
      </c>
      <c r="AF203" s="7" t="s">
        <v>22</v>
      </c>
      <c r="AG203" s="7" t="s">
        <v>22</v>
      </c>
      <c r="AH203" s="7" t="s">
        <v>22</v>
      </c>
      <c r="AJ203" s="7" t="s">
        <v>22</v>
      </c>
      <c r="AK203" s="7" t="s">
        <v>22</v>
      </c>
      <c r="AL203" s="7" t="s">
        <v>22</v>
      </c>
      <c r="AM203" s="7" t="s">
        <v>22</v>
      </c>
      <c r="AN203" s="7" t="s">
        <v>22</v>
      </c>
      <c r="AO203" s="7" t="s">
        <v>22</v>
      </c>
      <c r="AP203" s="7" t="s">
        <v>22</v>
      </c>
    </row>
    <row r="204" spans="11:42" x14ac:dyDescent="0.3">
      <c r="K204" s="22">
        <v>200</v>
      </c>
      <c r="L204" s="24" t="str">
        <f t="shared" si="32"/>
        <v/>
      </c>
      <c r="M204" s="24" t="str">
        <f t="shared" si="33"/>
        <v/>
      </c>
      <c r="N204" s="24" t="str">
        <f t="shared" si="34"/>
        <v/>
      </c>
      <c r="O204" s="24" t="str">
        <f t="shared" si="35"/>
        <v/>
      </c>
      <c r="P204" s="24" t="str">
        <f t="shared" si="36"/>
        <v/>
      </c>
      <c r="Q204" s="24" t="str">
        <f t="shared" si="37"/>
        <v/>
      </c>
      <c r="R204" s="24" t="str">
        <f t="shared" si="38"/>
        <v/>
      </c>
      <c r="T204" s="8" t="s">
        <v>22</v>
      </c>
      <c r="U204" s="8" t="s">
        <v>22</v>
      </c>
      <c r="V204" s="8" t="s">
        <v>22</v>
      </c>
      <c r="W204" s="8" t="s">
        <v>22</v>
      </c>
      <c r="X204" s="8" t="s">
        <v>22</v>
      </c>
      <c r="Y204" s="8" t="s">
        <v>22</v>
      </c>
      <c r="Z204" s="8" t="s">
        <v>22</v>
      </c>
      <c r="AB204" s="7" t="s">
        <v>22</v>
      </c>
      <c r="AC204" s="7" t="s">
        <v>22</v>
      </c>
      <c r="AD204" s="7" t="s">
        <v>22</v>
      </c>
      <c r="AE204" s="7" t="s">
        <v>22</v>
      </c>
      <c r="AF204" s="7" t="s">
        <v>22</v>
      </c>
      <c r="AG204" s="7" t="s">
        <v>22</v>
      </c>
      <c r="AH204" s="7" t="s">
        <v>22</v>
      </c>
      <c r="AJ204" s="7" t="s">
        <v>22</v>
      </c>
      <c r="AK204" s="7" t="s">
        <v>22</v>
      </c>
      <c r="AL204" s="7" t="s">
        <v>22</v>
      </c>
      <c r="AM204" s="7" t="s">
        <v>22</v>
      </c>
      <c r="AN204" s="7" t="s">
        <v>22</v>
      </c>
      <c r="AO204" s="7" t="s">
        <v>22</v>
      </c>
      <c r="AP204" s="7" t="s">
        <v>22</v>
      </c>
    </row>
    <row r="205" spans="11:42" x14ac:dyDescent="0.3">
      <c r="K205" s="21">
        <v>201</v>
      </c>
      <c r="L205" s="24" t="str">
        <f t="shared" si="32"/>
        <v/>
      </c>
      <c r="M205" s="24" t="str">
        <f t="shared" si="33"/>
        <v/>
      </c>
      <c r="N205" s="24" t="str">
        <f t="shared" si="34"/>
        <v/>
      </c>
      <c r="O205" s="24" t="str">
        <f t="shared" si="35"/>
        <v/>
      </c>
      <c r="P205" s="24" t="str">
        <f t="shared" si="36"/>
        <v/>
      </c>
      <c r="Q205" s="24" t="str">
        <f t="shared" si="37"/>
        <v/>
      </c>
      <c r="R205" s="24" t="str">
        <f t="shared" si="38"/>
        <v/>
      </c>
      <c r="T205" s="8" t="s">
        <v>22</v>
      </c>
      <c r="U205" s="8" t="s">
        <v>22</v>
      </c>
      <c r="V205" s="8" t="s">
        <v>22</v>
      </c>
      <c r="W205" s="8" t="s">
        <v>22</v>
      </c>
      <c r="X205" s="8" t="s">
        <v>22</v>
      </c>
      <c r="Y205" s="8" t="s">
        <v>22</v>
      </c>
      <c r="Z205" s="8" t="s">
        <v>22</v>
      </c>
      <c r="AB205" s="7" t="s">
        <v>22</v>
      </c>
      <c r="AC205" s="7" t="s">
        <v>22</v>
      </c>
      <c r="AD205" s="7" t="s">
        <v>22</v>
      </c>
      <c r="AE205" s="7" t="s">
        <v>22</v>
      </c>
      <c r="AF205" s="7" t="s">
        <v>22</v>
      </c>
      <c r="AG205" s="7" t="s">
        <v>22</v>
      </c>
      <c r="AH205" s="7" t="s">
        <v>22</v>
      </c>
      <c r="AJ205" s="7" t="s">
        <v>22</v>
      </c>
      <c r="AK205" s="7" t="s">
        <v>22</v>
      </c>
      <c r="AL205" s="7" t="s">
        <v>22</v>
      </c>
      <c r="AM205" s="7" t="s">
        <v>22</v>
      </c>
      <c r="AN205" s="7" t="s">
        <v>22</v>
      </c>
      <c r="AO205" s="7" t="s">
        <v>22</v>
      </c>
      <c r="AP205" s="7" t="s">
        <v>22</v>
      </c>
    </row>
    <row r="206" spans="11:42" x14ac:dyDescent="0.3">
      <c r="K206" s="22">
        <v>202</v>
      </c>
      <c r="L206" s="24" t="str">
        <f t="shared" si="32"/>
        <v/>
      </c>
      <c r="M206" s="24" t="str">
        <f t="shared" si="33"/>
        <v/>
      </c>
      <c r="N206" s="24" t="str">
        <f t="shared" si="34"/>
        <v/>
      </c>
      <c r="O206" s="24" t="str">
        <f t="shared" si="35"/>
        <v/>
      </c>
      <c r="P206" s="24" t="str">
        <f t="shared" si="36"/>
        <v/>
      </c>
      <c r="Q206" s="24" t="str">
        <f t="shared" si="37"/>
        <v/>
      </c>
      <c r="R206" s="24" t="str">
        <f t="shared" si="38"/>
        <v/>
      </c>
      <c r="T206" s="8" t="s">
        <v>22</v>
      </c>
      <c r="U206" s="8" t="s">
        <v>22</v>
      </c>
      <c r="V206" s="8" t="s">
        <v>22</v>
      </c>
      <c r="W206" s="8" t="s">
        <v>22</v>
      </c>
      <c r="X206" s="8" t="s">
        <v>22</v>
      </c>
      <c r="Y206" s="8" t="s">
        <v>22</v>
      </c>
      <c r="Z206" s="8" t="s">
        <v>22</v>
      </c>
      <c r="AB206" s="7" t="s">
        <v>22</v>
      </c>
      <c r="AC206" s="7" t="s">
        <v>22</v>
      </c>
      <c r="AD206" s="7" t="s">
        <v>22</v>
      </c>
      <c r="AE206" s="7" t="s">
        <v>22</v>
      </c>
      <c r="AF206" s="7" t="s">
        <v>22</v>
      </c>
      <c r="AG206" s="7" t="s">
        <v>22</v>
      </c>
      <c r="AH206" s="7" t="s">
        <v>22</v>
      </c>
      <c r="AJ206" s="7" t="s">
        <v>22</v>
      </c>
      <c r="AK206" s="7" t="s">
        <v>22</v>
      </c>
      <c r="AL206" s="7" t="s">
        <v>22</v>
      </c>
      <c r="AM206" s="7" t="s">
        <v>22</v>
      </c>
      <c r="AN206" s="7" t="s">
        <v>22</v>
      </c>
      <c r="AO206" s="7" t="s">
        <v>22</v>
      </c>
      <c r="AP206" s="7" t="s">
        <v>22</v>
      </c>
    </row>
    <row r="207" spans="11:42" x14ac:dyDescent="0.3">
      <c r="K207" s="21">
        <v>203</v>
      </c>
      <c r="L207" s="24" t="str">
        <f t="shared" si="32"/>
        <v/>
      </c>
      <c r="M207" s="24" t="str">
        <f t="shared" si="33"/>
        <v/>
      </c>
      <c r="N207" s="24" t="str">
        <f t="shared" si="34"/>
        <v/>
      </c>
      <c r="O207" s="24" t="str">
        <f t="shared" si="35"/>
        <v/>
      </c>
      <c r="P207" s="24" t="str">
        <f t="shared" si="36"/>
        <v/>
      </c>
      <c r="Q207" s="24" t="str">
        <f t="shared" si="37"/>
        <v/>
      </c>
      <c r="R207" s="24" t="str">
        <f t="shared" si="38"/>
        <v/>
      </c>
      <c r="T207" s="8" t="s">
        <v>22</v>
      </c>
      <c r="U207" s="8" t="s">
        <v>22</v>
      </c>
      <c r="V207" s="8" t="s">
        <v>22</v>
      </c>
      <c r="W207" s="8" t="s">
        <v>22</v>
      </c>
      <c r="X207" s="8" t="s">
        <v>22</v>
      </c>
      <c r="Y207" s="8" t="s">
        <v>22</v>
      </c>
      <c r="Z207" s="8" t="s">
        <v>22</v>
      </c>
      <c r="AB207" s="7" t="s">
        <v>22</v>
      </c>
      <c r="AC207" s="7" t="s">
        <v>22</v>
      </c>
      <c r="AD207" s="7" t="s">
        <v>22</v>
      </c>
      <c r="AE207" s="7" t="s">
        <v>22</v>
      </c>
      <c r="AF207" s="7" t="s">
        <v>22</v>
      </c>
      <c r="AG207" s="7" t="s">
        <v>22</v>
      </c>
      <c r="AH207" s="7" t="s">
        <v>22</v>
      </c>
      <c r="AJ207" s="7" t="s">
        <v>22</v>
      </c>
      <c r="AK207" s="7" t="s">
        <v>22</v>
      </c>
      <c r="AL207" s="7" t="s">
        <v>22</v>
      </c>
      <c r="AM207" s="7" t="s">
        <v>22</v>
      </c>
      <c r="AN207" s="7" t="s">
        <v>22</v>
      </c>
      <c r="AO207" s="7" t="s">
        <v>22</v>
      </c>
      <c r="AP207" s="7" t="s">
        <v>22</v>
      </c>
    </row>
    <row r="208" spans="11:42" x14ac:dyDescent="0.3">
      <c r="K208" s="22">
        <v>204</v>
      </c>
      <c r="L208" s="24" t="str">
        <f t="shared" si="32"/>
        <v/>
      </c>
      <c r="M208" s="24" t="str">
        <f t="shared" si="33"/>
        <v/>
      </c>
      <c r="N208" s="24" t="str">
        <f t="shared" si="34"/>
        <v/>
      </c>
      <c r="O208" s="24" t="str">
        <f t="shared" si="35"/>
        <v/>
      </c>
      <c r="P208" s="24" t="str">
        <f t="shared" si="36"/>
        <v/>
      </c>
      <c r="Q208" s="24" t="str">
        <f t="shared" si="37"/>
        <v/>
      </c>
      <c r="R208" s="24" t="str">
        <f t="shared" si="38"/>
        <v/>
      </c>
      <c r="T208" s="8" t="s">
        <v>22</v>
      </c>
      <c r="U208" s="8" t="s">
        <v>22</v>
      </c>
      <c r="V208" s="8" t="s">
        <v>22</v>
      </c>
      <c r="W208" s="8" t="s">
        <v>22</v>
      </c>
      <c r="X208" s="8" t="s">
        <v>22</v>
      </c>
      <c r="Y208" s="8" t="s">
        <v>22</v>
      </c>
      <c r="Z208" s="8" t="s">
        <v>22</v>
      </c>
      <c r="AB208" s="7" t="s">
        <v>22</v>
      </c>
      <c r="AC208" s="7" t="s">
        <v>22</v>
      </c>
      <c r="AD208" s="7" t="s">
        <v>22</v>
      </c>
      <c r="AE208" s="7" t="s">
        <v>22</v>
      </c>
      <c r="AF208" s="7" t="s">
        <v>22</v>
      </c>
      <c r="AG208" s="7" t="s">
        <v>22</v>
      </c>
      <c r="AH208" s="7" t="s">
        <v>22</v>
      </c>
      <c r="AJ208" s="7" t="s">
        <v>22</v>
      </c>
      <c r="AK208" s="7" t="s">
        <v>22</v>
      </c>
      <c r="AL208" s="7" t="s">
        <v>22</v>
      </c>
      <c r="AM208" s="7" t="s">
        <v>22</v>
      </c>
      <c r="AN208" s="7" t="s">
        <v>22</v>
      </c>
      <c r="AO208" s="7" t="s">
        <v>22</v>
      </c>
      <c r="AP208" s="7" t="s">
        <v>22</v>
      </c>
    </row>
    <row r="209" spans="11:42" x14ac:dyDescent="0.3">
      <c r="K209" s="21">
        <v>205</v>
      </c>
      <c r="L209" s="24" t="str">
        <f t="shared" si="32"/>
        <v/>
      </c>
      <c r="M209" s="24" t="str">
        <f t="shared" si="33"/>
        <v/>
      </c>
      <c r="N209" s="24" t="str">
        <f t="shared" si="34"/>
        <v/>
      </c>
      <c r="O209" s="24" t="str">
        <f t="shared" si="35"/>
        <v/>
      </c>
      <c r="P209" s="24" t="str">
        <f t="shared" si="36"/>
        <v/>
      </c>
      <c r="Q209" s="24" t="str">
        <f t="shared" si="37"/>
        <v/>
      </c>
      <c r="R209" s="24" t="str">
        <f t="shared" si="38"/>
        <v/>
      </c>
      <c r="T209" s="8" t="s">
        <v>22</v>
      </c>
      <c r="U209" s="8" t="s">
        <v>22</v>
      </c>
      <c r="V209" s="8" t="s">
        <v>22</v>
      </c>
      <c r="W209" s="8" t="s">
        <v>22</v>
      </c>
      <c r="X209" s="8" t="s">
        <v>22</v>
      </c>
      <c r="Y209" s="8" t="s">
        <v>22</v>
      </c>
      <c r="Z209" s="8" t="s">
        <v>22</v>
      </c>
      <c r="AB209" s="7" t="s">
        <v>22</v>
      </c>
      <c r="AC209" s="7" t="s">
        <v>22</v>
      </c>
      <c r="AD209" s="7" t="s">
        <v>22</v>
      </c>
      <c r="AE209" s="7" t="s">
        <v>22</v>
      </c>
      <c r="AF209" s="7" t="s">
        <v>22</v>
      </c>
      <c r="AG209" s="7" t="s">
        <v>22</v>
      </c>
      <c r="AH209" s="7" t="s">
        <v>22</v>
      </c>
      <c r="AJ209" s="7" t="s">
        <v>22</v>
      </c>
      <c r="AK209" s="7" t="s">
        <v>22</v>
      </c>
      <c r="AL209" s="7" t="s">
        <v>22</v>
      </c>
      <c r="AM209" s="7" t="s">
        <v>22</v>
      </c>
      <c r="AN209" s="7" t="s">
        <v>22</v>
      </c>
      <c r="AO209" s="7" t="s">
        <v>22</v>
      </c>
      <c r="AP209" s="7" t="s">
        <v>22</v>
      </c>
    </row>
    <row r="210" spans="11:42" x14ac:dyDescent="0.3">
      <c r="K210" s="22">
        <v>206</v>
      </c>
      <c r="L210" s="24" t="str">
        <f t="shared" si="32"/>
        <v/>
      </c>
      <c r="M210" s="24" t="str">
        <f t="shared" si="33"/>
        <v/>
      </c>
      <c r="N210" s="24" t="str">
        <f t="shared" si="34"/>
        <v/>
      </c>
      <c r="O210" s="24" t="str">
        <f t="shared" si="35"/>
        <v/>
      </c>
      <c r="P210" s="24" t="str">
        <f t="shared" si="36"/>
        <v/>
      </c>
      <c r="Q210" s="24" t="str">
        <f t="shared" si="37"/>
        <v/>
      </c>
      <c r="R210" s="24" t="str">
        <f t="shared" si="38"/>
        <v/>
      </c>
      <c r="T210" s="8" t="s">
        <v>22</v>
      </c>
      <c r="U210" s="8" t="s">
        <v>22</v>
      </c>
      <c r="V210" s="8" t="s">
        <v>22</v>
      </c>
      <c r="W210" s="8" t="s">
        <v>22</v>
      </c>
      <c r="X210" s="8" t="s">
        <v>22</v>
      </c>
      <c r="Y210" s="8" t="s">
        <v>22</v>
      </c>
      <c r="Z210" s="8" t="s">
        <v>22</v>
      </c>
      <c r="AB210" s="7" t="s">
        <v>22</v>
      </c>
      <c r="AC210" s="7" t="s">
        <v>22</v>
      </c>
      <c r="AD210" s="7" t="s">
        <v>22</v>
      </c>
      <c r="AE210" s="7" t="s">
        <v>22</v>
      </c>
      <c r="AF210" s="7" t="s">
        <v>22</v>
      </c>
      <c r="AG210" s="7" t="s">
        <v>22</v>
      </c>
      <c r="AH210" s="7" t="s">
        <v>22</v>
      </c>
      <c r="AJ210" s="7" t="s">
        <v>22</v>
      </c>
      <c r="AK210" s="7" t="s">
        <v>22</v>
      </c>
      <c r="AL210" s="7" t="s">
        <v>22</v>
      </c>
      <c r="AM210" s="7" t="s">
        <v>22</v>
      </c>
      <c r="AN210" s="7" t="s">
        <v>22</v>
      </c>
      <c r="AO210" s="7" t="s">
        <v>22</v>
      </c>
      <c r="AP210" s="7" t="s">
        <v>22</v>
      </c>
    </row>
    <row r="211" spans="11:42" x14ac:dyDescent="0.3">
      <c r="K211" s="21">
        <v>207</v>
      </c>
      <c r="L211" s="24" t="str">
        <f t="shared" si="32"/>
        <v/>
      </c>
      <c r="M211" s="24" t="str">
        <f t="shared" si="33"/>
        <v/>
      </c>
      <c r="N211" s="24" t="str">
        <f t="shared" si="34"/>
        <v/>
      </c>
      <c r="O211" s="24" t="str">
        <f t="shared" si="35"/>
        <v/>
      </c>
      <c r="P211" s="24" t="str">
        <f t="shared" si="36"/>
        <v/>
      </c>
      <c r="Q211" s="24" t="str">
        <f t="shared" si="37"/>
        <v/>
      </c>
      <c r="R211" s="24" t="str">
        <f t="shared" si="38"/>
        <v/>
      </c>
      <c r="T211" s="8" t="s">
        <v>22</v>
      </c>
      <c r="U211" s="8" t="s">
        <v>22</v>
      </c>
      <c r="V211" s="8" t="s">
        <v>22</v>
      </c>
      <c r="W211" s="8" t="s">
        <v>22</v>
      </c>
      <c r="X211" s="8" t="s">
        <v>22</v>
      </c>
      <c r="Y211" s="8" t="s">
        <v>22</v>
      </c>
      <c r="Z211" s="8" t="s">
        <v>22</v>
      </c>
      <c r="AB211" s="7" t="s">
        <v>22</v>
      </c>
      <c r="AC211" s="7" t="s">
        <v>22</v>
      </c>
      <c r="AD211" s="7" t="s">
        <v>22</v>
      </c>
      <c r="AE211" s="7" t="s">
        <v>22</v>
      </c>
      <c r="AF211" s="7" t="s">
        <v>22</v>
      </c>
      <c r="AG211" s="7" t="s">
        <v>22</v>
      </c>
      <c r="AH211" s="7" t="s">
        <v>22</v>
      </c>
      <c r="AJ211" s="7" t="s">
        <v>22</v>
      </c>
      <c r="AK211" s="7" t="s">
        <v>22</v>
      </c>
      <c r="AL211" s="7" t="s">
        <v>22</v>
      </c>
      <c r="AM211" s="7" t="s">
        <v>22</v>
      </c>
      <c r="AN211" s="7" t="s">
        <v>22</v>
      </c>
      <c r="AO211" s="7" t="s">
        <v>22</v>
      </c>
      <c r="AP211" s="7" t="s">
        <v>22</v>
      </c>
    </row>
    <row r="212" spans="11:42" x14ac:dyDescent="0.3">
      <c r="K212" s="22">
        <v>208</v>
      </c>
      <c r="L212" s="24" t="str">
        <f t="shared" si="32"/>
        <v/>
      </c>
      <c r="M212" s="24" t="str">
        <f t="shared" si="33"/>
        <v/>
      </c>
      <c r="N212" s="24" t="str">
        <f t="shared" si="34"/>
        <v/>
      </c>
      <c r="O212" s="24" t="str">
        <f t="shared" si="35"/>
        <v/>
      </c>
      <c r="P212" s="24" t="str">
        <f t="shared" si="36"/>
        <v/>
      </c>
      <c r="Q212" s="24" t="str">
        <f t="shared" si="37"/>
        <v/>
      </c>
      <c r="R212" s="24" t="str">
        <f t="shared" si="38"/>
        <v/>
      </c>
      <c r="T212" s="8" t="s">
        <v>22</v>
      </c>
      <c r="U212" s="8" t="s">
        <v>22</v>
      </c>
      <c r="V212" s="8" t="s">
        <v>22</v>
      </c>
      <c r="W212" s="8" t="s">
        <v>22</v>
      </c>
      <c r="X212" s="8" t="s">
        <v>22</v>
      </c>
      <c r="Y212" s="8" t="s">
        <v>22</v>
      </c>
      <c r="Z212" s="8" t="s">
        <v>22</v>
      </c>
      <c r="AB212" s="7" t="s">
        <v>22</v>
      </c>
      <c r="AC212" s="7" t="s">
        <v>22</v>
      </c>
      <c r="AD212" s="7" t="s">
        <v>22</v>
      </c>
      <c r="AE212" s="7" t="s">
        <v>22</v>
      </c>
      <c r="AF212" s="7" t="s">
        <v>22</v>
      </c>
      <c r="AG212" s="7" t="s">
        <v>22</v>
      </c>
      <c r="AH212" s="7" t="s">
        <v>22</v>
      </c>
      <c r="AJ212" s="7" t="s">
        <v>22</v>
      </c>
      <c r="AK212" s="7" t="s">
        <v>22</v>
      </c>
      <c r="AL212" s="7" t="s">
        <v>22</v>
      </c>
      <c r="AM212" s="7" t="s">
        <v>22</v>
      </c>
      <c r="AN212" s="7" t="s">
        <v>22</v>
      </c>
      <c r="AO212" s="7" t="s">
        <v>22</v>
      </c>
      <c r="AP212" s="7" t="s">
        <v>22</v>
      </c>
    </row>
    <row r="213" spans="11:42" x14ac:dyDescent="0.3">
      <c r="K213" s="21">
        <v>209</v>
      </c>
      <c r="L213" s="24" t="str">
        <f t="shared" si="32"/>
        <v/>
      </c>
      <c r="M213" s="24" t="str">
        <f t="shared" si="33"/>
        <v/>
      </c>
      <c r="N213" s="24" t="str">
        <f t="shared" si="34"/>
        <v/>
      </c>
      <c r="O213" s="24" t="str">
        <f t="shared" si="35"/>
        <v/>
      </c>
      <c r="P213" s="24" t="str">
        <f t="shared" si="36"/>
        <v/>
      </c>
      <c r="Q213" s="24" t="str">
        <f t="shared" si="37"/>
        <v/>
      </c>
      <c r="R213" s="24" t="str">
        <f t="shared" si="38"/>
        <v/>
      </c>
      <c r="T213" s="8" t="s">
        <v>22</v>
      </c>
      <c r="U213" s="8" t="s">
        <v>22</v>
      </c>
      <c r="V213" s="8" t="s">
        <v>22</v>
      </c>
      <c r="W213" s="8" t="s">
        <v>22</v>
      </c>
      <c r="X213" s="8" t="s">
        <v>22</v>
      </c>
      <c r="Y213" s="8" t="s">
        <v>22</v>
      </c>
      <c r="Z213" s="8" t="s">
        <v>22</v>
      </c>
      <c r="AB213" s="7" t="s">
        <v>22</v>
      </c>
      <c r="AC213" s="7" t="s">
        <v>22</v>
      </c>
      <c r="AD213" s="7" t="s">
        <v>22</v>
      </c>
      <c r="AE213" s="7" t="s">
        <v>22</v>
      </c>
      <c r="AF213" s="7" t="s">
        <v>22</v>
      </c>
      <c r="AG213" s="7" t="s">
        <v>22</v>
      </c>
      <c r="AH213" s="7" t="s">
        <v>22</v>
      </c>
      <c r="AJ213" s="7" t="s">
        <v>22</v>
      </c>
      <c r="AK213" s="7" t="s">
        <v>22</v>
      </c>
      <c r="AL213" s="7" t="s">
        <v>22</v>
      </c>
      <c r="AM213" s="7" t="s">
        <v>22</v>
      </c>
      <c r="AN213" s="7" t="s">
        <v>22</v>
      </c>
      <c r="AO213" s="7" t="s">
        <v>22</v>
      </c>
      <c r="AP213" s="7" t="s">
        <v>22</v>
      </c>
    </row>
    <row r="214" spans="11:42" x14ac:dyDescent="0.3">
      <c r="K214" s="22">
        <v>210</v>
      </c>
      <c r="L214" s="24" t="str">
        <f t="shared" si="32"/>
        <v/>
      </c>
      <c r="M214" s="24" t="str">
        <f t="shared" si="33"/>
        <v/>
      </c>
      <c r="N214" s="24" t="str">
        <f t="shared" si="34"/>
        <v/>
      </c>
      <c r="O214" s="24" t="str">
        <f t="shared" si="35"/>
        <v/>
      </c>
      <c r="P214" s="24" t="str">
        <f t="shared" si="36"/>
        <v/>
      </c>
      <c r="Q214" s="24" t="str">
        <f t="shared" si="37"/>
        <v/>
      </c>
      <c r="R214" s="24" t="str">
        <f t="shared" si="38"/>
        <v/>
      </c>
      <c r="T214" s="8" t="s">
        <v>22</v>
      </c>
      <c r="U214" s="8" t="s">
        <v>22</v>
      </c>
      <c r="V214" s="8" t="s">
        <v>22</v>
      </c>
      <c r="W214" s="8" t="s">
        <v>22</v>
      </c>
      <c r="X214" s="8" t="s">
        <v>22</v>
      </c>
      <c r="Y214" s="8" t="s">
        <v>22</v>
      </c>
      <c r="Z214" s="8" t="s">
        <v>22</v>
      </c>
      <c r="AB214" s="7" t="s">
        <v>22</v>
      </c>
      <c r="AC214" s="7" t="s">
        <v>22</v>
      </c>
      <c r="AD214" s="7" t="s">
        <v>22</v>
      </c>
      <c r="AE214" s="7" t="s">
        <v>22</v>
      </c>
      <c r="AF214" s="7" t="s">
        <v>22</v>
      </c>
      <c r="AG214" s="7" t="s">
        <v>22</v>
      </c>
      <c r="AH214" s="7" t="s">
        <v>22</v>
      </c>
      <c r="AJ214" s="7" t="s">
        <v>22</v>
      </c>
      <c r="AK214" s="7" t="s">
        <v>22</v>
      </c>
      <c r="AL214" s="7" t="s">
        <v>22</v>
      </c>
      <c r="AM214" s="7" t="s">
        <v>22</v>
      </c>
      <c r="AN214" s="7" t="s">
        <v>22</v>
      </c>
      <c r="AO214" s="7" t="s">
        <v>22</v>
      </c>
      <c r="AP214" s="7" t="s">
        <v>22</v>
      </c>
    </row>
    <row r="215" spans="11:42" x14ac:dyDescent="0.3">
      <c r="K215" s="21">
        <v>211</v>
      </c>
      <c r="L215" s="24" t="str">
        <f t="shared" si="32"/>
        <v/>
      </c>
      <c r="M215" s="24" t="str">
        <f t="shared" si="33"/>
        <v/>
      </c>
      <c r="N215" s="24" t="str">
        <f t="shared" si="34"/>
        <v/>
      </c>
      <c r="O215" s="24" t="str">
        <f t="shared" si="35"/>
        <v/>
      </c>
      <c r="P215" s="24" t="str">
        <f t="shared" si="36"/>
        <v/>
      </c>
      <c r="Q215" s="24" t="str">
        <f t="shared" si="37"/>
        <v/>
      </c>
      <c r="R215" s="24" t="str">
        <f t="shared" si="38"/>
        <v/>
      </c>
      <c r="T215" s="8" t="s">
        <v>22</v>
      </c>
      <c r="U215" s="8" t="s">
        <v>22</v>
      </c>
      <c r="V215" s="8" t="s">
        <v>22</v>
      </c>
      <c r="W215" s="8" t="s">
        <v>22</v>
      </c>
      <c r="X215" s="8" t="s">
        <v>22</v>
      </c>
      <c r="Y215" s="8" t="s">
        <v>22</v>
      </c>
      <c r="Z215" s="8" t="s">
        <v>22</v>
      </c>
      <c r="AB215" s="7" t="s">
        <v>22</v>
      </c>
      <c r="AC215" s="7" t="s">
        <v>22</v>
      </c>
      <c r="AD215" s="7" t="s">
        <v>22</v>
      </c>
      <c r="AE215" s="7" t="s">
        <v>22</v>
      </c>
      <c r="AF215" s="7" t="s">
        <v>22</v>
      </c>
      <c r="AG215" s="7" t="s">
        <v>22</v>
      </c>
      <c r="AH215" s="7" t="s">
        <v>22</v>
      </c>
      <c r="AJ215" s="7" t="s">
        <v>22</v>
      </c>
      <c r="AK215" s="7" t="s">
        <v>22</v>
      </c>
      <c r="AL215" s="7" t="s">
        <v>22</v>
      </c>
      <c r="AM215" s="7" t="s">
        <v>22</v>
      </c>
      <c r="AN215" s="7" t="s">
        <v>22</v>
      </c>
      <c r="AO215" s="7" t="s">
        <v>22</v>
      </c>
      <c r="AP215" s="7" t="s">
        <v>22</v>
      </c>
    </row>
    <row r="216" spans="11:42" x14ac:dyDescent="0.3">
      <c r="K216" s="22">
        <v>212</v>
      </c>
      <c r="L216" s="24" t="str">
        <f t="shared" si="32"/>
        <v/>
      </c>
      <c r="M216" s="24" t="str">
        <f t="shared" si="33"/>
        <v/>
      </c>
      <c r="N216" s="24" t="str">
        <f t="shared" si="34"/>
        <v/>
      </c>
      <c r="O216" s="24" t="str">
        <f t="shared" si="35"/>
        <v/>
      </c>
      <c r="P216" s="24" t="str">
        <f t="shared" si="36"/>
        <v/>
      </c>
      <c r="Q216" s="24" t="str">
        <f t="shared" si="37"/>
        <v/>
      </c>
      <c r="R216" s="24" t="str">
        <f t="shared" si="38"/>
        <v/>
      </c>
      <c r="T216" s="8" t="s">
        <v>22</v>
      </c>
      <c r="U216" s="8" t="s">
        <v>22</v>
      </c>
      <c r="V216" s="8" t="s">
        <v>22</v>
      </c>
      <c r="W216" s="8" t="s">
        <v>22</v>
      </c>
      <c r="X216" s="8" t="s">
        <v>22</v>
      </c>
      <c r="Y216" s="8" t="s">
        <v>22</v>
      </c>
      <c r="Z216" s="8" t="s">
        <v>22</v>
      </c>
      <c r="AB216" s="7" t="s">
        <v>22</v>
      </c>
      <c r="AC216" s="7" t="s">
        <v>22</v>
      </c>
      <c r="AD216" s="7" t="s">
        <v>22</v>
      </c>
      <c r="AE216" s="7" t="s">
        <v>22</v>
      </c>
      <c r="AF216" s="7" t="s">
        <v>22</v>
      </c>
      <c r="AG216" s="7" t="s">
        <v>22</v>
      </c>
      <c r="AH216" s="7" t="s">
        <v>22</v>
      </c>
      <c r="AJ216" s="7" t="s">
        <v>22</v>
      </c>
      <c r="AK216" s="7" t="s">
        <v>22</v>
      </c>
      <c r="AL216" s="7" t="s">
        <v>22</v>
      </c>
      <c r="AM216" s="7" t="s">
        <v>22</v>
      </c>
      <c r="AN216" s="7" t="s">
        <v>22</v>
      </c>
      <c r="AO216" s="7" t="s">
        <v>22</v>
      </c>
      <c r="AP216" s="7" t="s">
        <v>22</v>
      </c>
    </row>
    <row r="217" spans="11:42" x14ac:dyDescent="0.3">
      <c r="K217" s="21">
        <v>213</v>
      </c>
      <c r="L217" s="24" t="str">
        <f t="shared" si="32"/>
        <v/>
      </c>
      <c r="M217" s="24" t="str">
        <f t="shared" si="33"/>
        <v/>
      </c>
      <c r="N217" s="24" t="str">
        <f t="shared" si="34"/>
        <v/>
      </c>
      <c r="O217" s="24" t="str">
        <f t="shared" si="35"/>
        <v/>
      </c>
      <c r="P217" s="24" t="str">
        <f t="shared" si="36"/>
        <v/>
      </c>
      <c r="Q217" s="24" t="str">
        <f t="shared" si="37"/>
        <v/>
      </c>
      <c r="R217" s="24" t="str">
        <f t="shared" si="38"/>
        <v/>
      </c>
      <c r="T217" s="8" t="s">
        <v>22</v>
      </c>
      <c r="U217" s="8" t="s">
        <v>22</v>
      </c>
      <c r="V217" s="8" t="s">
        <v>22</v>
      </c>
      <c r="W217" s="8" t="s">
        <v>22</v>
      </c>
      <c r="X217" s="8" t="s">
        <v>22</v>
      </c>
      <c r="Y217" s="8" t="s">
        <v>22</v>
      </c>
      <c r="Z217" s="8" t="s">
        <v>22</v>
      </c>
      <c r="AB217" s="7" t="s">
        <v>22</v>
      </c>
      <c r="AC217" s="7" t="s">
        <v>22</v>
      </c>
      <c r="AD217" s="7" t="s">
        <v>22</v>
      </c>
      <c r="AE217" s="7" t="s">
        <v>22</v>
      </c>
      <c r="AF217" s="7" t="s">
        <v>22</v>
      </c>
      <c r="AG217" s="7" t="s">
        <v>22</v>
      </c>
      <c r="AH217" s="7" t="s">
        <v>22</v>
      </c>
      <c r="AJ217" s="7" t="s">
        <v>22</v>
      </c>
      <c r="AK217" s="7" t="s">
        <v>22</v>
      </c>
      <c r="AL217" s="7" t="s">
        <v>22</v>
      </c>
      <c r="AM217" s="7" t="s">
        <v>22</v>
      </c>
      <c r="AN217" s="7" t="s">
        <v>22</v>
      </c>
      <c r="AO217" s="7" t="s">
        <v>22</v>
      </c>
      <c r="AP217" s="7" t="s">
        <v>22</v>
      </c>
    </row>
    <row r="218" spans="11:42" x14ac:dyDescent="0.3">
      <c r="K218" s="22">
        <v>214</v>
      </c>
      <c r="L218" s="24" t="str">
        <f t="shared" si="32"/>
        <v/>
      </c>
      <c r="M218" s="24" t="str">
        <f t="shared" si="33"/>
        <v/>
      </c>
      <c r="N218" s="24" t="str">
        <f t="shared" si="34"/>
        <v/>
      </c>
      <c r="O218" s="24" t="str">
        <f t="shared" si="35"/>
        <v/>
      </c>
      <c r="P218" s="24" t="str">
        <f t="shared" si="36"/>
        <v/>
      </c>
      <c r="Q218" s="24" t="str">
        <f t="shared" si="37"/>
        <v/>
      </c>
      <c r="R218" s="24" t="str">
        <f t="shared" si="38"/>
        <v/>
      </c>
      <c r="T218" s="8" t="s">
        <v>22</v>
      </c>
      <c r="U218" s="8" t="s">
        <v>22</v>
      </c>
      <c r="V218" s="8" t="s">
        <v>22</v>
      </c>
      <c r="W218" s="8" t="s">
        <v>22</v>
      </c>
      <c r="X218" s="8" t="s">
        <v>22</v>
      </c>
      <c r="Y218" s="8" t="s">
        <v>22</v>
      </c>
      <c r="Z218" s="8" t="s">
        <v>22</v>
      </c>
      <c r="AB218" s="7" t="s">
        <v>22</v>
      </c>
      <c r="AC218" s="7" t="s">
        <v>22</v>
      </c>
      <c r="AD218" s="7" t="s">
        <v>22</v>
      </c>
      <c r="AE218" s="7" t="s">
        <v>22</v>
      </c>
      <c r="AF218" s="7" t="s">
        <v>22</v>
      </c>
      <c r="AG218" s="7" t="s">
        <v>22</v>
      </c>
      <c r="AH218" s="7" t="s">
        <v>22</v>
      </c>
      <c r="AJ218" s="7" t="s">
        <v>22</v>
      </c>
      <c r="AK218" s="7" t="s">
        <v>22</v>
      </c>
      <c r="AL218" s="7" t="s">
        <v>22</v>
      </c>
      <c r="AM218" s="7" t="s">
        <v>22</v>
      </c>
      <c r="AN218" s="7" t="s">
        <v>22</v>
      </c>
      <c r="AO218" s="7" t="s">
        <v>22</v>
      </c>
      <c r="AP218" s="7" t="s">
        <v>22</v>
      </c>
    </row>
    <row r="219" spans="11:42" x14ac:dyDescent="0.3">
      <c r="K219" s="21">
        <v>215</v>
      </c>
      <c r="L219" s="24" t="str">
        <f t="shared" si="32"/>
        <v/>
      </c>
      <c r="M219" s="24" t="str">
        <f t="shared" si="33"/>
        <v/>
      </c>
      <c r="N219" s="24" t="str">
        <f t="shared" si="34"/>
        <v/>
      </c>
      <c r="O219" s="24" t="str">
        <f t="shared" si="35"/>
        <v/>
      </c>
      <c r="P219" s="24" t="str">
        <f t="shared" si="36"/>
        <v/>
      </c>
      <c r="Q219" s="24" t="str">
        <f t="shared" si="37"/>
        <v/>
      </c>
      <c r="R219" s="24" t="str">
        <f t="shared" si="38"/>
        <v/>
      </c>
      <c r="T219" s="8" t="s">
        <v>22</v>
      </c>
      <c r="U219" s="8" t="s">
        <v>22</v>
      </c>
      <c r="V219" s="8" t="s">
        <v>22</v>
      </c>
      <c r="W219" s="8" t="s">
        <v>22</v>
      </c>
      <c r="X219" s="8" t="s">
        <v>22</v>
      </c>
      <c r="Y219" s="8" t="s">
        <v>22</v>
      </c>
      <c r="Z219" s="8" t="s">
        <v>22</v>
      </c>
      <c r="AB219" s="7" t="s">
        <v>22</v>
      </c>
      <c r="AC219" s="7" t="s">
        <v>22</v>
      </c>
      <c r="AD219" s="7" t="s">
        <v>22</v>
      </c>
      <c r="AE219" s="7" t="s">
        <v>22</v>
      </c>
      <c r="AF219" s="7" t="s">
        <v>22</v>
      </c>
      <c r="AG219" s="7" t="s">
        <v>22</v>
      </c>
      <c r="AH219" s="7" t="s">
        <v>22</v>
      </c>
      <c r="AJ219" s="7" t="s">
        <v>22</v>
      </c>
      <c r="AK219" s="7" t="s">
        <v>22</v>
      </c>
      <c r="AL219" s="7" t="s">
        <v>22</v>
      </c>
      <c r="AM219" s="7" t="s">
        <v>22</v>
      </c>
      <c r="AN219" s="7" t="s">
        <v>22</v>
      </c>
      <c r="AO219" s="7" t="s">
        <v>22</v>
      </c>
      <c r="AP219" s="7" t="s">
        <v>22</v>
      </c>
    </row>
    <row r="220" spans="11:42" x14ac:dyDescent="0.3">
      <c r="K220" s="22">
        <v>216</v>
      </c>
      <c r="L220" s="24" t="str">
        <f t="shared" si="32"/>
        <v/>
      </c>
      <c r="M220" s="24" t="str">
        <f t="shared" si="33"/>
        <v/>
      </c>
      <c r="N220" s="24" t="str">
        <f t="shared" si="34"/>
        <v/>
      </c>
      <c r="O220" s="24" t="str">
        <f t="shared" si="35"/>
        <v/>
      </c>
      <c r="P220" s="24" t="str">
        <f t="shared" si="36"/>
        <v/>
      </c>
      <c r="Q220" s="24" t="str">
        <f t="shared" si="37"/>
        <v/>
      </c>
      <c r="R220" s="24" t="str">
        <f t="shared" si="38"/>
        <v/>
      </c>
      <c r="T220" s="8" t="s">
        <v>22</v>
      </c>
      <c r="U220" s="8" t="s">
        <v>22</v>
      </c>
      <c r="V220" s="8" t="s">
        <v>22</v>
      </c>
      <c r="W220" s="8" t="s">
        <v>22</v>
      </c>
      <c r="X220" s="8" t="s">
        <v>22</v>
      </c>
      <c r="Y220" s="8" t="s">
        <v>22</v>
      </c>
      <c r="Z220" s="8" t="s">
        <v>22</v>
      </c>
      <c r="AB220" s="7" t="s">
        <v>22</v>
      </c>
      <c r="AC220" s="7" t="s">
        <v>22</v>
      </c>
      <c r="AD220" s="7" t="s">
        <v>22</v>
      </c>
      <c r="AE220" s="7" t="s">
        <v>22</v>
      </c>
      <c r="AF220" s="7" t="s">
        <v>22</v>
      </c>
      <c r="AG220" s="7" t="s">
        <v>22</v>
      </c>
      <c r="AH220" s="7" t="s">
        <v>22</v>
      </c>
      <c r="AJ220" s="7" t="s">
        <v>22</v>
      </c>
      <c r="AK220" s="7" t="s">
        <v>22</v>
      </c>
      <c r="AL220" s="7" t="s">
        <v>22</v>
      </c>
      <c r="AM220" s="7" t="s">
        <v>22</v>
      </c>
      <c r="AN220" s="7" t="s">
        <v>22</v>
      </c>
      <c r="AO220" s="7" t="s">
        <v>22</v>
      </c>
      <c r="AP220" s="7" t="s">
        <v>22</v>
      </c>
    </row>
    <row r="221" spans="11:42" x14ac:dyDescent="0.3">
      <c r="K221" s="21">
        <v>217</v>
      </c>
      <c r="L221" s="24" t="str">
        <f t="shared" si="32"/>
        <v/>
      </c>
      <c r="M221" s="24" t="str">
        <f t="shared" si="33"/>
        <v/>
      </c>
      <c r="N221" s="24" t="str">
        <f t="shared" si="34"/>
        <v/>
      </c>
      <c r="O221" s="24" t="str">
        <f t="shared" si="35"/>
        <v/>
      </c>
      <c r="P221" s="24" t="str">
        <f t="shared" si="36"/>
        <v/>
      </c>
      <c r="Q221" s="24" t="str">
        <f t="shared" si="37"/>
        <v/>
      </c>
      <c r="R221" s="24" t="str">
        <f t="shared" si="38"/>
        <v/>
      </c>
      <c r="T221" s="8" t="s">
        <v>22</v>
      </c>
      <c r="U221" s="8" t="s">
        <v>22</v>
      </c>
      <c r="V221" s="8" t="s">
        <v>22</v>
      </c>
      <c r="W221" s="8" t="s">
        <v>22</v>
      </c>
      <c r="X221" s="8" t="s">
        <v>22</v>
      </c>
      <c r="Y221" s="8" t="s">
        <v>22</v>
      </c>
      <c r="Z221" s="8" t="s">
        <v>22</v>
      </c>
      <c r="AB221" s="7" t="s">
        <v>22</v>
      </c>
      <c r="AC221" s="7" t="s">
        <v>22</v>
      </c>
      <c r="AD221" s="7" t="s">
        <v>22</v>
      </c>
      <c r="AE221" s="7" t="s">
        <v>22</v>
      </c>
      <c r="AF221" s="7" t="s">
        <v>22</v>
      </c>
      <c r="AG221" s="7" t="s">
        <v>22</v>
      </c>
      <c r="AH221" s="7" t="s">
        <v>22</v>
      </c>
      <c r="AJ221" s="7" t="s">
        <v>22</v>
      </c>
      <c r="AK221" s="7" t="s">
        <v>22</v>
      </c>
      <c r="AL221" s="7" t="s">
        <v>22</v>
      </c>
      <c r="AM221" s="7" t="s">
        <v>22</v>
      </c>
      <c r="AN221" s="7" t="s">
        <v>22</v>
      </c>
      <c r="AO221" s="7" t="s">
        <v>22</v>
      </c>
      <c r="AP221" s="7" t="s">
        <v>22</v>
      </c>
    </row>
    <row r="222" spans="11:42" x14ac:dyDescent="0.3">
      <c r="K222" s="22">
        <v>218</v>
      </c>
      <c r="L222" s="24" t="str">
        <f t="shared" si="32"/>
        <v/>
      </c>
      <c r="M222" s="24" t="str">
        <f t="shared" si="33"/>
        <v/>
      </c>
      <c r="N222" s="24" t="str">
        <f t="shared" si="34"/>
        <v/>
      </c>
      <c r="O222" s="24" t="str">
        <f t="shared" si="35"/>
        <v/>
      </c>
      <c r="P222" s="24" t="str">
        <f t="shared" si="36"/>
        <v/>
      </c>
      <c r="Q222" s="24" t="str">
        <f t="shared" si="37"/>
        <v/>
      </c>
      <c r="R222" s="24" t="str">
        <f t="shared" si="38"/>
        <v/>
      </c>
      <c r="T222" s="8" t="s">
        <v>22</v>
      </c>
      <c r="U222" s="8" t="s">
        <v>22</v>
      </c>
      <c r="V222" s="8" t="s">
        <v>22</v>
      </c>
      <c r="W222" s="8" t="s">
        <v>22</v>
      </c>
      <c r="X222" s="8" t="s">
        <v>22</v>
      </c>
      <c r="Y222" s="8" t="s">
        <v>22</v>
      </c>
      <c r="Z222" s="8" t="s">
        <v>22</v>
      </c>
      <c r="AB222" s="7" t="s">
        <v>22</v>
      </c>
      <c r="AC222" s="7" t="s">
        <v>22</v>
      </c>
      <c r="AD222" s="7" t="s">
        <v>22</v>
      </c>
      <c r="AE222" s="7" t="s">
        <v>22</v>
      </c>
      <c r="AF222" s="7" t="s">
        <v>22</v>
      </c>
      <c r="AG222" s="7" t="s">
        <v>22</v>
      </c>
      <c r="AH222" s="7" t="s">
        <v>22</v>
      </c>
      <c r="AJ222" s="7" t="s">
        <v>22</v>
      </c>
      <c r="AK222" s="7" t="s">
        <v>22</v>
      </c>
      <c r="AL222" s="7" t="s">
        <v>22</v>
      </c>
      <c r="AM222" s="7" t="s">
        <v>22</v>
      </c>
      <c r="AN222" s="7" t="s">
        <v>22</v>
      </c>
      <c r="AO222" s="7" t="s">
        <v>22</v>
      </c>
      <c r="AP222" s="7" t="s">
        <v>22</v>
      </c>
    </row>
    <row r="223" spans="11:42" x14ac:dyDescent="0.3">
      <c r="K223" s="21">
        <v>219</v>
      </c>
      <c r="L223" s="24" t="str">
        <f t="shared" si="32"/>
        <v/>
      </c>
      <c r="M223" s="24" t="str">
        <f t="shared" si="33"/>
        <v/>
      </c>
      <c r="N223" s="24" t="str">
        <f t="shared" si="34"/>
        <v/>
      </c>
      <c r="O223" s="24" t="str">
        <f t="shared" si="35"/>
        <v/>
      </c>
      <c r="P223" s="24" t="str">
        <f t="shared" si="36"/>
        <v/>
      </c>
      <c r="Q223" s="24" t="str">
        <f t="shared" si="37"/>
        <v/>
      </c>
      <c r="R223" s="24" t="str">
        <f t="shared" si="38"/>
        <v/>
      </c>
      <c r="T223" s="8" t="s">
        <v>22</v>
      </c>
      <c r="U223" s="8" t="s">
        <v>22</v>
      </c>
      <c r="V223" s="8" t="s">
        <v>22</v>
      </c>
      <c r="W223" s="8" t="s">
        <v>22</v>
      </c>
      <c r="X223" s="8" t="s">
        <v>22</v>
      </c>
      <c r="Y223" s="8" t="s">
        <v>22</v>
      </c>
      <c r="Z223" s="8" t="s">
        <v>22</v>
      </c>
      <c r="AB223" s="7" t="s">
        <v>22</v>
      </c>
      <c r="AC223" s="7" t="s">
        <v>22</v>
      </c>
      <c r="AD223" s="7" t="s">
        <v>22</v>
      </c>
      <c r="AE223" s="7" t="s">
        <v>22</v>
      </c>
      <c r="AF223" s="7" t="s">
        <v>22</v>
      </c>
      <c r="AG223" s="7" t="s">
        <v>22</v>
      </c>
      <c r="AH223" s="7" t="s">
        <v>22</v>
      </c>
      <c r="AJ223" s="7" t="s">
        <v>22</v>
      </c>
      <c r="AK223" s="7" t="s">
        <v>22</v>
      </c>
      <c r="AL223" s="7" t="s">
        <v>22</v>
      </c>
      <c r="AM223" s="7" t="s">
        <v>22</v>
      </c>
      <c r="AN223" s="7" t="s">
        <v>22</v>
      </c>
      <c r="AO223" s="7" t="s">
        <v>22</v>
      </c>
      <c r="AP223" s="7" t="s">
        <v>22</v>
      </c>
    </row>
    <row r="224" spans="11:42" x14ac:dyDescent="0.3">
      <c r="K224" s="22">
        <v>220</v>
      </c>
      <c r="L224" s="24" t="str">
        <f t="shared" si="32"/>
        <v/>
      </c>
      <c r="M224" s="24" t="str">
        <f t="shared" si="33"/>
        <v/>
      </c>
      <c r="N224" s="24" t="str">
        <f t="shared" si="34"/>
        <v/>
      </c>
      <c r="O224" s="24" t="str">
        <f t="shared" si="35"/>
        <v/>
      </c>
      <c r="P224" s="24" t="str">
        <f t="shared" si="36"/>
        <v/>
      </c>
      <c r="Q224" s="24" t="str">
        <f t="shared" si="37"/>
        <v/>
      </c>
      <c r="R224" s="24" t="str">
        <f t="shared" si="38"/>
        <v/>
      </c>
      <c r="T224" s="8" t="s">
        <v>22</v>
      </c>
      <c r="U224" s="8" t="s">
        <v>22</v>
      </c>
      <c r="V224" s="8" t="s">
        <v>22</v>
      </c>
      <c r="W224" s="8" t="s">
        <v>22</v>
      </c>
      <c r="X224" s="8" t="s">
        <v>22</v>
      </c>
      <c r="Y224" s="8" t="s">
        <v>22</v>
      </c>
      <c r="Z224" s="8" t="s">
        <v>22</v>
      </c>
      <c r="AB224" s="7" t="s">
        <v>22</v>
      </c>
      <c r="AC224" s="7" t="s">
        <v>22</v>
      </c>
      <c r="AD224" s="7" t="s">
        <v>22</v>
      </c>
      <c r="AE224" s="7" t="s">
        <v>22</v>
      </c>
      <c r="AF224" s="7" t="s">
        <v>22</v>
      </c>
      <c r="AG224" s="7" t="s">
        <v>22</v>
      </c>
      <c r="AH224" s="7" t="s">
        <v>22</v>
      </c>
      <c r="AJ224" s="7" t="s">
        <v>22</v>
      </c>
      <c r="AK224" s="7" t="s">
        <v>22</v>
      </c>
      <c r="AL224" s="7" t="s">
        <v>22</v>
      </c>
      <c r="AM224" s="7" t="s">
        <v>22</v>
      </c>
      <c r="AN224" s="7" t="s">
        <v>22</v>
      </c>
      <c r="AO224" s="7" t="s">
        <v>22</v>
      </c>
      <c r="AP224" s="7" t="s">
        <v>22</v>
      </c>
    </row>
    <row r="225" spans="11:42" x14ac:dyDescent="0.3">
      <c r="K225" s="21">
        <v>221</v>
      </c>
      <c r="L225" s="24" t="str">
        <f t="shared" si="32"/>
        <v/>
      </c>
      <c r="M225" s="24" t="str">
        <f t="shared" si="33"/>
        <v/>
      </c>
      <c r="N225" s="24" t="str">
        <f t="shared" si="34"/>
        <v/>
      </c>
      <c r="O225" s="24" t="str">
        <f t="shared" si="35"/>
        <v/>
      </c>
      <c r="P225" s="24" t="str">
        <f t="shared" si="36"/>
        <v/>
      </c>
      <c r="Q225" s="24" t="str">
        <f t="shared" si="37"/>
        <v/>
      </c>
      <c r="R225" s="24" t="str">
        <f t="shared" si="38"/>
        <v/>
      </c>
      <c r="T225" s="8" t="s">
        <v>22</v>
      </c>
      <c r="U225" s="8" t="s">
        <v>22</v>
      </c>
      <c r="V225" s="8" t="s">
        <v>22</v>
      </c>
      <c r="W225" s="8" t="s">
        <v>22</v>
      </c>
      <c r="X225" s="8" t="s">
        <v>22</v>
      </c>
      <c r="Y225" s="8" t="s">
        <v>22</v>
      </c>
      <c r="Z225" s="8" t="s">
        <v>22</v>
      </c>
      <c r="AB225" s="7" t="s">
        <v>22</v>
      </c>
      <c r="AC225" s="7" t="s">
        <v>22</v>
      </c>
      <c r="AD225" s="7" t="s">
        <v>22</v>
      </c>
      <c r="AE225" s="7" t="s">
        <v>22</v>
      </c>
      <c r="AF225" s="7" t="s">
        <v>22</v>
      </c>
      <c r="AG225" s="7" t="s">
        <v>22</v>
      </c>
      <c r="AH225" s="7" t="s">
        <v>22</v>
      </c>
      <c r="AJ225" s="7" t="s">
        <v>22</v>
      </c>
      <c r="AK225" s="7" t="s">
        <v>22</v>
      </c>
      <c r="AL225" s="7" t="s">
        <v>22</v>
      </c>
      <c r="AM225" s="7" t="s">
        <v>22</v>
      </c>
      <c r="AN225" s="7" t="s">
        <v>22</v>
      </c>
      <c r="AO225" s="7" t="s">
        <v>22</v>
      </c>
      <c r="AP225" s="7" t="s">
        <v>22</v>
      </c>
    </row>
    <row r="226" spans="11:42" x14ac:dyDescent="0.3">
      <c r="K226" s="22">
        <v>222</v>
      </c>
      <c r="L226" s="24" t="str">
        <f t="shared" si="32"/>
        <v/>
      </c>
      <c r="M226" s="24" t="str">
        <f t="shared" si="33"/>
        <v/>
      </c>
      <c r="N226" s="24" t="str">
        <f t="shared" si="34"/>
        <v/>
      </c>
      <c r="O226" s="24" t="str">
        <f t="shared" si="35"/>
        <v/>
      </c>
      <c r="P226" s="24" t="str">
        <f t="shared" si="36"/>
        <v/>
      </c>
      <c r="Q226" s="24" t="str">
        <f t="shared" si="37"/>
        <v/>
      </c>
      <c r="R226" s="24" t="str">
        <f t="shared" si="38"/>
        <v/>
      </c>
      <c r="T226" s="8" t="s">
        <v>22</v>
      </c>
      <c r="U226" s="8" t="s">
        <v>22</v>
      </c>
      <c r="V226" s="8" t="s">
        <v>22</v>
      </c>
      <c r="W226" s="8" t="s">
        <v>22</v>
      </c>
      <c r="X226" s="8" t="s">
        <v>22</v>
      </c>
      <c r="Y226" s="8" t="s">
        <v>22</v>
      </c>
      <c r="Z226" s="8" t="s">
        <v>22</v>
      </c>
      <c r="AB226" s="7" t="s">
        <v>22</v>
      </c>
      <c r="AC226" s="7" t="s">
        <v>22</v>
      </c>
      <c r="AD226" s="7" t="s">
        <v>22</v>
      </c>
      <c r="AE226" s="7" t="s">
        <v>22</v>
      </c>
      <c r="AF226" s="7" t="s">
        <v>22</v>
      </c>
      <c r="AG226" s="7" t="s">
        <v>22</v>
      </c>
      <c r="AH226" s="7" t="s">
        <v>22</v>
      </c>
      <c r="AJ226" s="7" t="s">
        <v>22</v>
      </c>
      <c r="AK226" s="7" t="s">
        <v>22</v>
      </c>
      <c r="AL226" s="7" t="s">
        <v>22</v>
      </c>
      <c r="AM226" s="7" t="s">
        <v>22</v>
      </c>
      <c r="AN226" s="7" t="s">
        <v>22</v>
      </c>
      <c r="AO226" s="7" t="s">
        <v>22</v>
      </c>
      <c r="AP226" s="7" t="s">
        <v>22</v>
      </c>
    </row>
    <row r="227" spans="11:42" x14ac:dyDescent="0.3">
      <c r="K227" s="21">
        <v>223</v>
      </c>
      <c r="L227" s="24" t="str">
        <f t="shared" si="32"/>
        <v/>
      </c>
      <c r="M227" s="24" t="str">
        <f t="shared" si="33"/>
        <v/>
      </c>
      <c r="N227" s="24" t="str">
        <f t="shared" si="34"/>
        <v/>
      </c>
      <c r="O227" s="24" t="str">
        <f t="shared" si="35"/>
        <v/>
      </c>
      <c r="P227" s="24" t="str">
        <f t="shared" si="36"/>
        <v/>
      </c>
      <c r="Q227" s="24" t="str">
        <f t="shared" si="37"/>
        <v/>
      </c>
      <c r="R227" s="24" t="str">
        <f t="shared" si="38"/>
        <v/>
      </c>
      <c r="T227" s="8" t="s">
        <v>22</v>
      </c>
      <c r="U227" s="8" t="s">
        <v>22</v>
      </c>
      <c r="V227" s="8" t="s">
        <v>22</v>
      </c>
      <c r="W227" s="8" t="s">
        <v>22</v>
      </c>
      <c r="X227" s="8" t="s">
        <v>22</v>
      </c>
      <c r="Y227" s="8" t="s">
        <v>22</v>
      </c>
      <c r="Z227" s="8" t="s">
        <v>22</v>
      </c>
      <c r="AB227" s="7" t="s">
        <v>22</v>
      </c>
      <c r="AC227" s="7" t="s">
        <v>22</v>
      </c>
      <c r="AD227" s="7" t="s">
        <v>22</v>
      </c>
      <c r="AE227" s="7" t="s">
        <v>22</v>
      </c>
      <c r="AF227" s="7" t="s">
        <v>22</v>
      </c>
      <c r="AG227" s="7" t="s">
        <v>22</v>
      </c>
      <c r="AH227" s="7" t="s">
        <v>22</v>
      </c>
      <c r="AJ227" s="7" t="s">
        <v>22</v>
      </c>
      <c r="AK227" s="7" t="s">
        <v>22</v>
      </c>
      <c r="AL227" s="7" t="s">
        <v>22</v>
      </c>
      <c r="AM227" s="7" t="s">
        <v>22</v>
      </c>
      <c r="AN227" s="7" t="s">
        <v>22</v>
      </c>
      <c r="AO227" s="7" t="s">
        <v>22</v>
      </c>
      <c r="AP227" s="7" t="s">
        <v>22</v>
      </c>
    </row>
    <row r="228" spans="11:42" x14ac:dyDescent="0.3">
      <c r="K228" s="22">
        <v>224</v>
      </c>
      <c r="L228" s="24" t="str">
        <f t="shared" si="32"/>
        <v/>
      </c>
      <c r="M228" s="24" t="str">
        <f t="shared" si="33"/>
        <v/>
      </c>
      <c r="N228" s="24" t="str">
        <f t="shared" si="34"/>
        <v/>
      </c>
      <c r="O228" s="24" t="str">
        <f t="shared" si="35"/>
        <v/>
      </c>
      <c r="P228" s="24" t="str">
        <f t="shared" si="36"/>
        <v/>
      </c>
      <c r="Q228" s="24" t="str">
        <f t="shared" si="37"/>
        <v/>
      </c>
      <c r="R228" s="24" t="str">
        <f t="shared" si="38"/>
        <v/>
      </c>
      <c r="T228" s="8" t="s">
        <v>22</v>
      </c>
      <c r="U228" s="8" t="s">
        <v>22</v>
      </c>
      <c r="V228" s="8" t="s">
        <v>22</v>
      </c>
      <c r="W228" s="8" t="s">
        <v>22</v>
      </c>
      <c r="X228" s="8" t="s">
        <v>22</v>
      </c>
      <c r="Y228" s="8" t="s">
        <v>22</v>
      </c>
      <c r="Z228" s="8" t="s">
        <v>22</v>
      </c>
      <c r="AB228" s="7" t="s">
        <v>22</v>
      </c>
      <c r="AC228" s="7" t="s">
        <v>22</v>
      </c>
      <c r="AD228" s="7" t="s">
        <v>22</v>
      </c>
      <c r="AE228" s="7" t="s">
        <v>22</v>
      </c>
      <c r="AF228" s="7" t="s">
        <v>22</v>
      </c>
      <c r="AG228" s="7" t="s">
        <v>22</v>
      </c>
      <c r="AH228" s="7" t="s">
        <v>22</v>
      </c>
      <c r="AJ228" s="7" t="s">
        <v>22</v>
      </c>
      <c r="AK228" s="7" t="s">
        <v>22</v>
      </c>
      <c r="AL228" s="7" t="s">
        <v>22</v>
      </c>
      <c r="AM228" s="7" t="s">
        <v>22</v>
      </c>
      <c r="AN228" s="7" t="s">
        <v>22</v>
      </c>
      <c r="AO228" s="7" t="s">
        <v>22</v>
      </c>
      <c r="AP228" s="7" t="s">
        <v>22</v>
      </c>
    </row>
    <row r="229" spans="11:42" x14ac:dyDescent="0.3">
      <c r="K229" s="21">
        <v>225</v>
      </c>
      <c r="L229" s="24" t="str">
        <f t="shared" si="32"/>
        <v/>
      </c>
      <c r="M229" s="24" t="str">
        <f t="shared" si="33"/>
        <v/>
      </c>
      <c r="N229" s="24" t="str">
        <f t="shared" si="34"/>
        <v/>
      </c>
      <c r="O229" s="24" t="str">
        <f t="shared" si="35"/>
        <v/>
      </c>
      <c r="P229" s="24" t="str">
        <f t="shared" si="36"/>
        <v/>
      </c>
      <c r="Q229" s="24" t="str">
        <f t="shared" si="37"/>
        <v/>
      </c>
      <c r="R229" s="24" t="str">
        <f t="shared" si="38"/>
        <v/>
      </c>
      <c r="T229" s="8" t="s">
        <v>22</v>
      </c>
      <c r="U229" s="8" t="s">
        <v>22</v>
      </c>
      <c r="V229" s="8" t="s">
        <v>22</v>
      </c>
      <c r="W229" s="8" t="s">
        <v>22</v>
      </c>
      <c r="X229" s="8" t="s">
        <v>22</v>
      </c>
      <c r="Y229" s="8" t="s">
        <v>22</v>
      </c>
      <c r="Z229" s="8" t="s">
        <v>22</v>
      </c>
      <c r="AB229" s="7" t="s">
        <v>22</v>
      </c>
      <c r="AC229" s="7" t="s">
        <v>22</v>
      </c>
      <c r="AD229" s="7" t="s">
        <v>22</v>
      </c>
      <c r="AE229" s="7" t="s">
        <v>22</v>
      </c>
      <c r="AF229" s="7" t="s">
        <v>22</v>
      </c>
      <c r="AG229" s="7" t="s">
        <v>22</v>
      </c>
      <c r="AH229" s="7" t="s">
        <v>22</v>
      </c>
      <c r="AJ229" s="7" t="s">
        <v>22</v>
      </c>
      <c r="AK229" s="7" t="s">
        <v>22</v>
      </c>
      <c r="AL229" s="7" t="s">
        <v>22</v>
      </c>
      <c r="AM229" s="7" t="s">
        <v>22</v>
      </c>
      <c r="AN229" s="7" t="s">
        <v>22</v>
      </c>
      <c r="AO229" s="7" t="s">
        <v>22</v>
      </c>
      <c r="AP229" s="7" t="s">
        <v>22</v>
      </c>
    </row>
    <row r="230" spans="11:42" x14ac:dyDescent="0.3">
      <c r="K230" s="22">
        <v>226</v>
      </c>
      <c r="L230" s="24" t="str">
        <f t="shared" si="32"/>
        <v/>
      </c>
      <c r="M230" s="24" t="str">
        <f t="shared" si="33"/>
        <v/>
      </c>
      <c r="N230" s="24" t="str">
        <f t="shared" si="34"/>
        <v/>
      </c>
      <c r="O230" s="24" t="str">
        <f t="shared" si="35"/>
        <v/>
      </c>
      <c r="P230" s="24" t="str">
        <f t="shared" si="36"/>
        <v/>
      </c>
      <c r="Q230" s="24" t="str">
        <f t="shared" si="37"/>
        <v/>
      </c>
      <c r="R230" s="24" t="str">
        <f t="shared" si="38"/>
        <v/>
      </c>
      <c r="T230" s="8" t="s">
        <v>22</v>
      </c>
      <c r="U230" s="8" t="s">
        <v>22</v>
      </c>
      <c r="V230" s="8" t="s">
        <v>22</v>
      </c>
      <c r="W230" s="8" t="s">
        <v>22</v>
      </c>
      <c r="X230" s="8" t="s">
        <v>22</v>
      </c>
      <c r="Y230" s="8" t="s">
        <v>22</v>
      </c>
      <c r="Z230" s="8" t="s">
        <v>22</v>
      </c>
      <c r="AB230" s="7" t="s">
        <v>22</v>
      </c>
      <c r="AC230" s="7" t="s">
        <v>22</v>
      </c>
      <c r="AD230" s="7" t="s">
        <v>22</v>
      </c>
      <c r="AE230" s="7" t="s">
        <v>22</v>
      </c>
      <c r="AF230" s="7" t="s">
        <v>22</v>
      </c>
      <c r="AG230" s="7" t="s">
        <v>22</v>
      </c>
      <c r="AH230" s="7" t="s">
        <v>22</v>
      </c>
      <c r="AJ230" s="7" t="s">
        <v>22</v>
      </c>
      <c r="AK230" s="7" t="s">
        <v>22</v>
      </c>
      <c r="AL230" s="7" t="s">
        <v>22</v>
      </c>
      <c r="AM230" s="7" t="s">
        <v>22</v>
      </c>
      <c r="AN230" s="7" t="s">
        <v>22</v>
      </c>
      <c r="AO230" s="7" t="s">
        <v>22</v>
      </c>
      <c r="AP230" s="7" t="s">
        <v>22</v>
      </c>
    </row>
    <row r="231" spans="11:42" x14ac:dyDescent="0.3">
      <c r="K231" s="21">
        <v>227</v>
      </c>
      <c r="L231" s="24" t="str">
        <f t="shared" si="32"/>
        <v/>
      </c>
      <c r="M231" s="24" t="str">
        <f t="shared" si="33"/>
        <v/>
      </c>
      <c r="N231" s="24" t="str">
        <f t="shared" si="34"/>
        <v/>
      </c>
      <c r="O231" s="24" t="str">
        <f t="shared" si="35"/>
        <v/>
      </c>
      <c r="P231" s="24" t="str">
        <f t="shared" si="36"/>
        <v/>
      </c>
      <c r="Q231" s="24" t="str">
        <f t="shared" si="37"/>
        <v/>
      </c>
      <c r="R231" s="24" t="str">
        <f t="shared" si="38"/>
        <v/>
      </c>
      <c r="T231" s="8" t="s">
        <v>22</v>
      </c>
      <c r="U231" s="8" t="s">
        <v>22</v>
      </c>
      <c r="V231" s="8" t="s">
        <v>22</v>
      </c>
      <c r="W231" s="8" t="s">
        <v>22</v>
      </c>
      <c r="X231" s="8" t="s">
        <v>22</v>
      </c>
      <c r="Y231" s="8" t="s">
        <v>22</v>
      </c>
      <c r="Z231" s="8" t="s">
        <v>22</v>
      </c>
      <c r="AB231" s="7" t="s">
        <v>22</v>
      </c>
      <c r="AC231" s="7" t="s">
        <v>22</v>
      </c>
      <c r="AD231" s="7" t="s">
        <v>22</v>
      </c>
      <c r="AE231" s="7" t="s">
        <v>22</v>
      </c>
      <c r="AF231" s="7" t="s">
        <v>22</v>
      </c>
      <c r="AG231" s="7" t="s">
        <v>22</v>
      </c>
      <c r="AH231" s="7" t="s">
        <v>22</v>
      </c>
      <c r="AJ231" s="7" t="s">
        <v>22</v>
      </c>
      <c r="AK231" s="7" t="s">
        <v>22</v>
      </c>
      <c r="AL231" s="7" t="s">
        <v>22</v>
      </c>
      <c r="AM231" s="7" t="s">
        <v>22</v>
      </c>
      <c r="AN231" s="7" t="s">
        <v>22</v>
      </c>
      <c r="AO231" s="7" t="s">
        <v>22</v>
      </c>
      <c r="AP231" s="7" t="s">
        <v>22</v>
      </c>
    </row>
    <row r="232" spans="11:42" x14ac:dyDescent="0.3">
      <c r="K232" s="22">
        <v>228</v>
      </c>
      <c r="L232" s="24" t="str">
        <f t="shared" si="32"/>
        <v/>
      </c>
      <c r="M232" s="24" t="str">
        <f t="shared" si="33"/>
        <v/>
      </c>
      <c r="N232" s="24" t="str">
        <f t="shared" si="34"/>
        <v/>
      </c>
      <c r="O232" s="24" t="str">
        <f t="shared" si="35"/>
        <v/>
      </c>
      <c r="P232" s="24" t="str">
        <f t="shared" si="36"/>
        <v/>
      </c>
      <c r="Q232" s="24" t="str">
        <f t="shared" si="37"/>
        <v/>
      </c>
      <c r="R232" s="24" t="str">
        <f t="shared" si="38"/>
        <v/>
      </c>
      <c r="T232" s="8" t="s">
        <v>22</v>
      </c>
      <c r="U232" s="8" t="s">
        <v>22</v>
      </c>
      <c r="V232" s="8" t="s">
        <v>22</v>
      </c>
      <c r="W232" s="8" t="s">
        <v>22</v>
      </c>
      <c r="X232" s="8" t="s">
        <v>22</v>
      </c>
      <c r="Y232" s="8" t="s">
        <v>22</v>
      </c>
      <c r="Z232" s="8" t="s">
        <v>22</v>
      </c>
      <c r="AB232" s="7" t="s">
        <v>22</v>
      </c>
      <c r="AC232" s="7" t="s">
        <v>22</v>
      </c>
      <c r="AD232" s="7" t="s">
        <v>22</v>
      </c>
      <c r="AE232" s="7" t="s">
        <v>22</v>
      </c>
      <c r="AF232" s="7" t="s">
        <v>22</v>
      </c>
      <c r="AG232" s="7" t="s">
        <v>22</v>
      </c>
      <c r="AH232" s="7" t="s">
        <v>22</v>
      </c>
      <c r="AJ232" s="7" t="s">
        <v>22</v>
      </c>
      <c r="AK232" s="7" t="s">
        <v>22</v>
      </c>
      <c r="AL232" s="7" t="s">
        <v>22</v>
      </c>
      <c r="AM232" s="7" t="s">
        <v>22</v>
      </c>
      <c r="AN232" s="7" t="s">
        <v>22</v>
      </c>
      <c r="AO232" s="7" t="s">
        <v>22</v>
      </c>
      <c r="AP232" s="7" t="s">
        <v>22</v>
      </c>
    </row>
    <row r="233" spans="11:42" x14ac:dyDescent="0.3">
      <c r="K233" s="21">
        <v>229</v>
      </c>
      <c r="L233" s="24" t="str">
        <f t="shared" si="32"/>
        <v/>
      </c>
      <c r="M233" s="24" t="str">
        <f t="shared" si="33"/>
        <v/>
      </c>
      <c r="N233" s="24" t="str">
        <f t="shared" si="34"/>
        <v/>
      </c>
      <c r="O233" s="24" t="str">
        <f t="shared" si="35"/>
        <v/>
      </c>
      <c r="P233" s="24" t="str">
        <f t="shared" si="36"/>
        <v/>
      </c>
      <c r="Q233" s="24" t="str">
        <f t="shared" si="37"/>
        <v/>
      </c>
      <c r="R233" s="24" t="str">
        <f t="shared" si="38"/>
        <v/>
      </c>
      <c r="T233" s="8" t="s">
        <v>22</v>
      </c>
      <c r="U233" s="8" t="s">
        <v>22</v>
      </c>
      <c r="V233" s="8" t="s">
        <v>22</v>
      </c>
      <c r="W233" s="8" t="s">
        <v>22</v>
      </c>
      <c r="X233" s="8" t="s">
        <v>22</v>
      </c>
      <c r="Y233" s="8" t="s">
        <v>22</v>
      </c>
      <c r="Z233" s="8" t="s">
        <v>22</v>
      </c>
      <c r="AB233" s="7" t="s">
        <v>22</v>
      </c>
      <c r="AC233" s="7" t="s">
        <v>22</v>
      </c>
      <c r="AD233" s="7" t="s">
        <v>22</v>
      </c>
      <c r="AE233" s="7" t="s">
        <v>22</v>
      </c>
      <c r="AF233" s="7" t="s">
        <v>22</v>
      </c>
      <c r="AG233" s="7" t="s">
        <v>22</v>
      </c>
      <c r="AH233" s="7" t="s">
        <v>22</v>
      </c>
      <c r="AJ233" s="7" t="s">
        <v>22</v>
      </c>
      <c r="AK233" s="7" t="s">
        <v>22</v>
      </c>
      <c r="AL233" s="7" t="s">
        <v>22</v>
      </c>
      <c r="AM233" s="7" t="s">
        <v>22</v>
      </c>
      <c r="AN233" s="7" t="s">
        <v>22</v>
      </c>
      <c r="AO233" s="7" t="s">
        <v>22</v>
      </c>
      <c r="AP233" s="7" t="s">
        <v>22</v>
      </c>
    </row>
    <row r="234" spans="11:42" x14ac:dyDescent="0.3">
      <c r="K234" s="22">
        <v>230</v>
      </c>
      <c r="L234" s="24" t="str">
        <f t="shared" si="32"/>
        <v/>
      </c>
      <c r="M234" s="24" t="str">
        <f t="shared" si="33"/>
        <v/>
      </c>
      <c r="N234" s="24" t="str">
        <f t="shared" si="34"/>
        <v/>
      </c>
      <c r="O234" s="24" t="str">
        <f t="shared" si="35"/>
        <v/>
      </c>
      <c r="P234" s="24" t="str">
        <f t="shared" si="36"/>
        <v/>
      </c>
      <c r="Q234" s="24" t="str">
        <f t="shared" si="37"/>
        <v/>
      </c>
      <c r="R234" s="24" t="str">
        <f t="shared" si="38"/>
        <v/>
      </c>
      <c r="T234" s="8" t="s">
        <v>22</v>
      </c>
      <c r="U234" s="8" t="s">
        <v>22</v>
      </c>
      <c r="V234" s="8" t="s">
        <v>22</v>
      </c>
      <c r="W234" s="8" t="s">
        <v>22</v>
      </c>
      <c r="X234" s="8" t="s">
        <v>22</v>
      </c>
      <c r="Y234" s="8" t="s">
        <v>22</v>
      </c>
      <c r="Z234" s="8" t="s">
        <v>22</v>
      </c>
      <c r="AB234" s="7" t="s">
        <v>22</v>
      </c>
      <c r="AC234" s="7" t="s">
        <v>22</v>
      </c>
      <c r="AD234" s="7" t="s">
        <v>22</v>
      </c>
      <c r="AE234" s="7" t="s">
        <v>22</v>
      </c>
      <c r="AF234" s="7" t="s">
        <v>22</v>
      </c>
      <c r="AG234" s="7" t="s">
        <v>22</v>
      </c>
      <c r="AH234" s="7" t="s">
        <v>22</v>
      </c>
      <c r="AJ234" s="7" t="s">
        <v>22</v>
      </c>
      <c r="AK234" s="7" t="s">
        <v>22</v>
      </c>
      <c r="AL234" s="7" t="s">
        <v>22</v>
      </c>
      <c r="AM234" s="7" t="s">
        <v>22</v>
      </c>
      <c r="AN234" s="7" t="s">
        <v>22</v>
      </c>
      <c r="AO234" s="7" t="s">
        <v>22</v>
      </c>
      <c r="AP234" s="7" t="s">
        <v>22</v>
      </c>
    </row>
    <row r="235" spans="11:42" x14ac:dyDescent="0.3">
      <c r="K235" s="21">
        <v>231</v>
      </c>
      <c r="L235" s="24" t="str">
        <f t="shared" si="32"/>
        <v/>
      </c>
      <c r="M235" s="24" t="str">
        <f t="shared" si="33"/>
        <v/>
      </c>
      <c r="N235" s="24" t="str">
        <f t="shared" si="34"/>
        <v/>
      </c>
      <c r="O235" s="24" t="str">
        <f t="shared" si="35"/>
        <v/>
      </c>
      <c r="P235" s="24" t="str">
        <f t="shared" si="36"/>
        <v/>
      </c>
      <c r="Q235" s="24" t="str">
        <f t="shared" si="37"/>
        <v/>
      </c>
      <c r="R235" s="24" t="str">
        <f t="shared" si="38"/>
        <v/>
      </c>
      <c r="T235" s="8" t="s">
        <v>22</v>
      </c>
      <c r="U235" s="8" t="s">
        <v>22</v>
      </c>
      <c r="V235" s="8" t="s">
        <v>22</v>
      </c>
      <c r="W235" s="8" t="s">
        <v>22</v>
      </c>
      <c r="X235" s="8" t="s">
        <v>22</v>
      </c>
      <c r="Y235" s="8" t="s">
        <v>22</v>
      </c>
      <c r="Z235" s="8" t="s">
        <v>22</v>
      </c>
      <c r="AB235" s="7" t="s">
        <v>22</v>
      </c>
      <c r="AC235" s="7" t="s">
        <v>22</v>
      </c>
      <c r="AD235" s="7" t="s">
        <v>22</v>
      </c>
      <c r="AE235" s="7" t="s">
        <v>22</v>
      </c>
      <c r="AF235" s="7" t="s">
        <v>22</v>
      </c>
      <c r="AG235" s="7" t="s">
        <v>22</v>
      </c>
      <c r="AH235" s="7" t="s">
        <v>22</v>
      </c>
      <c r="AJ235" s="7" t="s">
        <v>22</v>
      </c>
      <c r="AK235" s="7" t="s">
        <v>22</v>
      </c>
      <c r="AL235" s="7" t="s">
        <v>22</v>
      </c>
      <c r="AM235" s="7" t="s">
        <v>22</v>
      </c>
      <c r="AN235" s="7" t="s">
        <v>22</v>
      </c>
      <c r="AO235" s="7" t="s">
        <v>22</v>
      </c>
      <c r="AP235" s="7" t="s">
        <v>22</v>
      </c>
    </row>
    <row r="236" spans="11:42" x14ac:dyDescent="0.3">
      <c r="K236" s="22">
        <v>232</v>
      </c>
      <c r="L236" s="24" t="str">
        <f t="shared" si="32"/>
        <v/>
      </c>
      <c r="M236" s="24" t="str">
        <f t="shared" si="33"/>
        <v/>
      </c>
      <c r="N236" s="24" t="str">
        <f t="shared" si="34"/>
        <v/>
      </c>
      <c r="O236" s="24" t="str">
        <f t="shared" si="35"/>
        <v/>
      </c>
      <c r="P236" s="24" t="str">
        <f t="shared" si="36"/>
        <v/>
      </c>
      <c r="Q236" s="24" t="str">
        <f t="shared" si="37"/>
        <v/>
      </c>
      <c r="R236" s="24" t="str">
        <f t="shared" si="38"/>
        <v/>
      </c>
      <c r="T236" s="8" t="s">
        <v>22</v>
      </c>
      <c r="U236" s="8" t="s">
        <v>22</v>
      </c>
      <c r="V236" s="8" t="s">
        <v>22</v>
      </c>
      <c r="W236" s="8" t="s">
        <v>22</v>
      </c>
      <c r="X236" s="8" t="s">
        <v>22</v>
      </c>
      <c r="Y236" s="8" t="s">
        <v>22</v>
      </c>
      <c r="Z236" s="8" t="s">
        <v>22</v>
      </c>
      <c r="AB236" s="7" t="s">
        <v>22</v>
      </c>
      <c r="AC236" s="7" t="s">
        <v>22</v>
      </c>
      <c r="AD236" s="7" t="s">
        <v>22</v>
      </c>
      <c r="AE236" s="7" t="s">
        <v>22</v>
      </c>
      <c r="AF236" s="7" t="s">
        <v>22</v>
      </c>
      <c r="AG236" s="7" t="s">
        <v>22</v>
      </c>
      <c r="AH236" s="7" t="s">
        <v>22</v>
      </c>
      <c r="AJ236" s="7" t="s">
        <v>22</v>
      </c>
      <c r="AK236" s="7" t="s">
        <v>22</v>
      </c>
      <c r="AL236" s="7" t="s">
        <v>22</v>
      </c>
      <c r="AM236" s="7" t="s">
        <v>22</v>
      </c>
      <c r="AN236" s="7" t="s">
        <v>22</v>
      </c>
      <c r="AO236" s="7" t="s">
        <v>22</v>
      </c>
      <c r="AP236" s="7" t="s">
        <v>22</v>
      </c>
    </row>
    <row r="237" spans="11:42" x14ac:dyDescent="0.3">
      <c r="K237" s="21">
        <v>233</v>
      </c>
      <c r="L237" s="24" t="str">
        <f t="shared" si="32"/>
        <v/>
      </c>
      <c r="M237" s="24" t="str">
        <f t="shared" si="33"/>
        <v/>
      </c>
      <c r="N237" s="24" t="str">
        <f t="shared" si="34"/>
        <v/>
      </c>
      <c r="O237" s="24" t="str">
        <f t="shared" si="35"/>
        <v/>
      </c>
      <c r="P237" s="24" t="str">
        <f t="shared" si="36"/>
        <v/>
      </c>
      <c r="Q237" s="24" t="str">
        <f t="shared" si="37"/>
        <v/>
      </c>
      <c r="R237" s="24" t="str">
        <f t="shared" si="38"/>
        <v/>
      </c>
      <c r="T237" s="8" t="s">
        <v>22</v>
      </c>
      <c r="U237" s="8" t="s">
        <v>22</v>
      </c>
      <c r="V237" s="8" t="s">
        <v>22</v>
      </c>
      <c r="W237" s="8" t="s">
        <v>22</v>
      </c>
      <c r="X237" s="8" t="s">
        <v>22</v>
      </c>
      <c r="Y237" s="8" t="s">
        <v>22</v>
      </c>
      <c r="Z237" s="8" t="s">
        <v>22</v>
      </c>
      <c r="AB237" s="7" t="s">
        <v>22</v>
      </c>
      <c r="AC237" s="7" t="s">
        <v>22</v>
      </c>
      <c r="AD237" s="7" t="s">
        <v>22</v>
      </c>
      <c r="AE237" s="7" t="s">
        <v>22</v>
      </c>
      <c r="AF237" s="7" t="s">
        <v>22</v>
      </c>
      <c r="AG237" s="7" t="s">
        <v>22</v>
      </c>
      <c r="AH237" s="7" t="s">
        <v>22</v>
      </c>
      <c r="AJ237" s="7" t="s">
        <v>22</v>
      </c>
      <c r="AK237" s="7" t="s">
        <v>22</v>
      </c>
      <c r="AL237" s="7" t="s">
        <v>22</v>
      </c>
      <c r="AM237" s="7" t="s">
        <v>22</v>
      </c>
      <c r="AN237" s="7" t="s">
        <v>22</v>
      </c>
      <c r="AO237" s="7" t="s">
        <v>22</v>
      </c>
      <c r="AP237" s="7" t="s">
        <v>22</v>
      </c>
    </row>
    <row r="238" spans="11:42" x14ac:dyDescent="0.3">
      <c r="K238" s="22">
        <v>234</v>
      </c>
      <c r="L238" s="24" t="str">
        <f t="shared" si="32"/>
        <v/>
      </c>
      <c r="M238" s="24" t="str">
        <f t="shared" si="33"/>
        <v/>
      </c>
      <c r="N238" s="24" t="str">
        <f t="shared" si="34"/>
        <v/>
      </c>
      <c r="O238" s="24" t="str">
        <f t="shared" si="35"/>
        <v/>
      </c>
      <c r="P238" s="24" t="str">
        <f t="shared" si="36"/>
        <v/>
      </c>
      <c r="Q238" s="24" t="str">
        <f t="shared" si="37"/>
        <v/>
      </c>
      <c r="R238" s="24" t="str">
        <f t="shared" si="38"/>
        <v/>
      </c>
      <c r="T238" s="8" t="s">
        <v>22</v>
      </c>
      <c r="U238" s="8" t="s">
        <v>22</v>
      </c>
      <c r="V238" s="8" t="s">
        <v>22</v>
      </c>
      <c r="W238" s="8" t="s">
        <v>22</v>
      </c>
      <c r="X238" s="8" t="s">
        <v>22</v>
      </c>
      <c r="Y238" s="8" t="s">
        <v>22</v>
      </c>
      <c r="Z238" s="8" t="s">
        <v>22</v>
      </c>
      <c r="AB238" s="7" t="s">
        <v>22</v>
      </c>
      <c r="AC238" s="7" t="s">
        <v>22</v>
      </c>
      <c r="AD238" s="7" t="s">
        <v>22</v>
      </c>
      <c r="AE238" s="7" t="s">
        <v>22</v>
      </c>
      <c r="AF238" s="7" t="s">
        <v>22</v>
      </c>
      <c r="AG238" s="7" t="s">
        <v>22</v>
      </c>
      <c r="AH238" s="7" t="s">
        <v>22</v>
      </c>
      <c r="AJ238" s="7" t="s">
        <v>22</v>
      </c>
      <c r="AK238" s="7" t="s">
        <v>22</v>
      </c>
      <c r="AL238" s="7" t="s">
        <v>22</v>
      </c>
      <c r="AM238" s="7" t="s">
        <v>22</v>
      </c>
      <c r="AN238" s="7" t="s">
        <v>22</v>
      </c>
      <c r="AO238" s="7" t="s">
        <v>22</v>
      </c>
      <c r="AP238" s="7" t="s">
        <v>22</v>
      </c>
    </row>
    <row r="239" spans="11:42" x14ac:dyDescent="0.3">
      <c r="K239" s="21">
        <v>235</v>
      </c>
      <c r="L239" s="24" t="str">
        <f t="shared" si="32"/>
        <v/>
      </c>
      <c r="M239" s="24" t="str">
        <f t="shared" si="33"/>
        <v/>
      </c>
      <c r="N239" s="24" t="str">
        <f t="shared" si="34"/>
        <v/>
      </c>
      <c r="O239" s="24" t="str">
        <f t="shared" si="35"/>
        <v/>
      </c>
      <c r="P239" s="24" t="str">
        <f t="shared" si="36"/>
        <v/>
      </c>
      <c r="Q239" s="24" t="str">
        <f t="shared" si="37"/>
        <v/>
      </c>
      <c r="R239" s="24" t="str">
        <f t="shared" si="38"/>
        <v/>
      </c>
      <c r="T239" s="8" t="s">
        <v>22</v>
      </c>
      <c r="U239" s="8" t="s">
        <v>22</v>
      </c>
      <c r="V239" s="8" t="s">
        <v>22</v>
      </c>
      <c r="W239" s="8" t="s">
        <v>22</v>
      </c>
      <c r="X239" s="8" t="s">
        <v>22</v>
      </c>
      <c r="Y239" s="8" t="s">
        <v>22</v>
      </c>
      <c r="Z239" s="8" t="s">
        <v>22</v>
      </c>
      <c r="AB239" s="7" t="s">
        <v>22</v>
      </c>
      <c r="AC239" s="7" t="s">
        <v>22</v>
      </c>
      <c r="AD239" s="7" t="s">
        <v>22</v>
      </c>
      <c r="AE239" s="7" t="s">
        <v>22</v>
      </c>
      <c r="AF239" s="7" t="s">
        <v>22</v>
      </c>
      <c r="AG239" s="7" t="s">
        <v>22</v>
      </c>
      <c r="AH239" s="7" t="s">
        <v>22</v>
      </c>
      <c r="AJ239" s="7" t="s">
        <v>22</v>
      </c>
      <c r="AK239" s="7" t="s">
        <v>22</v>
      </c>
      <c r="AL239" s="7" t="s">
        <v>22</v>
      </c>
      <c r="AM239" s="7" t="s">
        <v>22</v>
      </c>
      <c r="AN239" s="7" t="s">
        <v>22</v>
      </c>
      <c r="AO239" s="7" t="s">
        <v>22</v>
      </c>
      <c r="AP239" s="7" t="s">
        <v>22</v>
      </c>
    </row>
    <row r="240" spans="11:42" x14ac:dyDescent="0.3">
      <c r="K240" s="22">
        <v>236</v>
      </c>
      <c r="L240" s="24" t="str">
        <f t="shared" si="32"/>
        <v/>
      </c>
      <c r="M240" s="24" t="str">
        <f t="shared" si="33"/>
        <v/>
      </c>
      <c r="N240" s="24" t="str">
        <f t="shared" si="34"/>
        <v/>
      </c>
      <c r="O240" s="24" t="str">
        <f t="shared" si="35"/>
        <v/>
      </c>
      <c r="P240" s="24" t="str">
        <f t="shared" si="36"/>
        <v/>
      </c>
      <c r="Q240" s="24" t="str">
        <f t="shared" si="37"/>
        <v/>
      </c>
      <c r="R240" s="24" t="str">
        <f t="shared" si="38"/>
        <v/>
      </c>
      <c r="T240" s="8" t="s">
        <v>22</v>
      </c>
      <c r="U240" s="8" t="s">
        <v>22</v>
      </c>
      <c r="V240" s="8" t="s">
        <v>22</v>
      </c>
      <c r="W240" s="8" t="s">
        <v>22</v>
      </c>
      <c r="X240" s="8" t="s">
        <v>22</v>
      </c>
      <c r="Y240" s="8" t="s">
        <v>22</v>
      </c>
      <c r="Z240" s="8" t="s">
        <v>22</v>
      </c>
      <c r="AB240" s="7" t="s">
        <v>22</v>
      </c>
      <c r="AC240" s="7" t="s">
        <v>22</v>
      </c>
      <c r="AD240" s="7" t="s">
        <v>22</v>
      </c>
      <c r="AE240" s="7" t="s">
        <v>22</v>
      </c>
      <c r="AF240" s="7" t="s">
        <v>22</v>
      </c>
      <c r="AG240" s="7" t="s">
        <v>22</v>
      </c>
      <c r="AH240" s="7" t="s">
        <v>22</v>
      </c>
      <c r="AJ240" s="7" t="s">
        <v>22</v>
      </c>
      <c r="AK240" s="7" t="s">
        <v>22</v>
      </c>
      <c r="AL240" s="7" t="s">
        <v>22</v>
      </c>
      <c r="AM240" s="7" t="s">
        <v>22</v>
      </c>
      <c r="AN240" s="7" t="s">
        <v>22</v>
      </c>
      <c r="AO240" s="7" t="s">
        <v>22</v>
      </c>
      <c r="AP240" s="7" t="s">
        <v>22</v>
      </c>
    </row>
    <row r="241" spans="11:42" x14ac:dyDescent="0.3">
      <c r="K241" s="21">
        <v>237</v>
      </c>
      <c r="L241" s="24" t="str">
        <f t="shared" si="32"/>
        <v/>
      </c>
      <c r="M241" s="24" t="str">
        <f t="shared" si="33"/>
        <v/>
      </c>
      <c r="N241" s="24" t="str">
        <f t="shared" si="34"/>
        <v/>
      </c>
      <c r="O241" s="24" t="str">
        <f t="shared" si="35"/>
        <v/>
      </c>
      <c r="P241" s="24" t="str">
        <f t="shared" si="36"/>
        <v/>
      </c>
      <c r="Q241" s="24" t="str">
        <f t="shared" si="37"/>
        <v/>
      </c>
      <c r="R241" s="24" t="str">
        <f t="shared" si="38"/>
        <v/>
      </c>
      <c r="T241" s="8" t="s">
        <v>22</v>
      </c>
      <c r="U241" s="8" t="s">
        <v>22</v>
      </c>
      <c r="V241" s="8" t="s">
        <v>22</v>
      </c>
      <c r="W241" s="8" t="s">
        <v>22</v>
      </c>
      <c r="X241" s="8" t="s">
        <v>22</v>
      </c>
      <c r="Y241" s="8" t="s">
        <v>22</v>
      </c>
      <c r="Z241" s="8" t="s">
        <v>22</v>
      </c>
      <c r="AB241" s="7" t="s">
        <v>22</v>
      </c>
      <c r="AC241" s="7" t="s">
        <v>22</v>
      </c>
      <c r="AD241" s="7" t="s">
        <v>22</v>
      </c>
      <c r="AE241" s="7" t="s">
        <v>22</v>
      </c>
      <c r="AF241" s="7" t="s">
        <v>22</v>
      </c>
      <c r="AG241" s="7" t="s">
        <v>22</v>
      </c>
      <c r="AH241" s="7" t="s">
        <v>22</v>
      </c>
      <c r="AJ241" s="7" t="s">
        <v>22</v>
      </c>
      <c r="AK241" s="7" t="s">
        <v>22</v>
      </c>
      <c r="AL241" s="7" t="s">
        <v>22</v>
      </c>
      <c r="AM241" s="7" t="s">
        <v>22</v>
      </c>
      <c r="AN241" s="7" t="s">
        <v>22</v>
      </c>
      <c r="AO241" s="7" t="s">
        <v>22</v>
      </c>
      <c r="AP241" s="7" t="s">
        <v>22</v>
      </c>
    </row>
    <row r="242" spans="11:42" x14ac:dyDescent="0.3">
      <c r="K242" s="22">
        <v>238</v>
      </c>
      <c r="L242" s="24" t="str">
        <f t="shared" si="32"/>
        <v/>
      </c>
      <c r="M242" s="24" t="str">
        <f t="shared" si="33"/>
        <v/>
      </c>
      <c r="N242" s="24" t="str">
        <f t="shared" si="34"/>
        <v/>
      </c>
      <c r="O242" s="24" t="str">
        <f t="shared" si="35"/>
        <v/>
      </c>
      <c r="P242" s="24" t="str">
        <f t="shared" si="36"/>
        <v/>
      </c>
      <c r="Q242" s="24" t="str">
        <f t="shared" si="37"/>
        <v/>
      </c>
      <c r="R242" s="24" t="str">
        <f t="shared" si="38"/>
        <v/>
      </c>
      <c r="T242" s="8" t="s">
        <v>22</v>
      </c>
      <c r="U242" s="8" t="s">
        <v>22</v>
      </c>
      <c r="V242" s="8" t="s">
        <v>22</v>
      </c>
      <c r="W242" s="8" t="s">
        <v>22</v>
      </c>
      <c r="X242" s="8" t="s">
        <v>22</v>
      </c>
      <c r="Y242" s="8" t="s">
        <v>22</v>
      </c>
      <c r="Z242" s="8" t="s">
        <v>22</v>
      </c>
      <c r="AB242" s="7" t="s">
        <v>22</v>
      </c>
      <c r="AC242" s="7" t="s">
        <v>22</v>
      </c>
      <c r="AD242" s="7" t="s">
        <v>22</v>
      </c>
      <c r="AE242" s="7" t="s">
        <v>22</v>
      </c>
      <c r="AF242" s="7" t="s">
        <v>22</v>
      </c>
      <c r="AG242" s="7" t="s">
        <v>22</v>
      </c>
      <c r="AH242" s="7" t="s">
        <v>22</v>
      </c>
      <c r="AJ242" s="7" t="s">
        <v>22</v>
      </c>
      <c r="AK242" s="7" t="s">
        <v>22</v>
      </c>
      <c r="AL242" s="7" t="s">
        <v>22</v>
      </c>
      <c r="AM242" s="7" t="s">
        <v>22</v>
      </c>
      <c r="AN242" s="7" t="s">
        <v>22</v>
      </c>
      <c r="AO242" s="7" t="s">
        <v>22</v>
      </c>
      <c r="AP242" s="7" t="s">
        <v>22</v>
      </c>
    </row>
    <row r="243" spans="11:42" x14ac:dyDescent="0.3">
      <c r="K243" s="21">
        <v>239</v>
      </c>
      <c r="L243" s="24" t="str">
        <f t="shared" si="32"/>
        <v/>
      </c>
      <c r="M243" s="24" t="str">
        <f t="shared" si="33"/>
        <v/>
      </c>
      <c r="N243" s="24" t="str">
        <f t="shared" si="34"/>
        <v/>
      </c>
      <c r="O243" s="24" t="str">
        <f t="shared" si="35"/>
        <v/>
      </c>
      <c r="P243" s="24" t="str">
        <f t="shared" si="36"/>
        <v/>
      </c>
      <c r="Q243" s="24" t="str">
        <f t="shared" si="37"/>
        <v/>
      </c>
      <c r="R243" s="24" t="str">
        <f t="shared" si="38"/>
        <v/>
      </c>
      <c r="T243" s="8" t="s">
        <v>22</v>
      </c>
      <c r="U243" s="8" t="s">
        <v>22</v>
      </c>
      <c r="V243" s="8" t="s">
        <v>22</v>
      </c>
      <c r="W243" s="8" t="s">
        <v>22</v>
      </c>
      <c r="X243" s="8" t="s">
        <v>22</v>
      </c>
      <c r="Y243" s="8" t="s">
        <v>22</v>
      </c>
      <c r="Z243" s="8" t="s">
        <v>22</v>
      </c>
      <c r="AB243" s="7" t="s">
        <v>22</v>
      </c>
      <c r="AC243" s="7" t="s">
        <v>22</v>
      </c>
      <c r="AD243" s="7" t="s">
        <v>22</v>
      </c>
      <c r="AE243" s="7" t="s">
        <v>22</v>
      </c>
      <c r="AF243" s="7" t="s">
        <v>22</v>
      </c>
      <c r="AG243" s="7" t="s">
        <v>22</v>
      </c>
      <c r="AH243" s="7" t="s">
        <v>22</v>
      </c>
      <c r="AJ243" s="7" t="s">
        <v>22</v>
      </c>
      <c r="AK243" s="7" t="s">
        <v>22</v>
      </c>
      <c r="AL243" s="7" t="s">
        <v>22</v>
      </c>
      <c r="AM243" s="7" t="s">
        <v>22</v>
      </c>
      <c r="AN243" s="7" t="s">
        <v>22</v>
      </c>
      <c r="AO243" s="7" t="s">
        <v>22</v>
      </c>
      <c r="AP243" s="7" t="s">
        <v>22</v>
      </c>
    </row>
    <row r="244" spans="11:42" x14ac:dyDescent="0.3">
      <c r="K244" s="22">
        <v>240</v>
      </c>
      <c r="L244" s="24" t="str">
        <f t="shared" si="32"/>
        <v/>
      </c>
      <c r="M244" s="24" t="str">
        <f t="shared" si="33"/>
        <v/>
      </c>
      <c r="N244" s="24" t="str">
        <f t="shared" si="34"/>
        <v/>
      </c>
      <c r="O244" s="24" t="str">
        <f t="shared" si="35"/>
        <v/>
      </c>
      <c r="P244" s="24" t="str">
        <f t="shared" si="36"/>
        <v/>
      </c>
      <c r="Q244" s="24" t="str">
        <f t="shared" si="37"/>
        <v/>
      </c>
      <c r="R244" s="24" t="str">
        <f t="shared" si="38"/>
        <v/>
      </c>
      <c r="T244" s="8" t="s">
        <v>22</v>
      </c>
      <c r="U244" s="8" t="s">
        <v>22</v>
      </c>
      <c r="V244" s="8" t="s">
        <v>22</v>
      </c>
      <c r="W244" s="8" t="s">
        <v>22</v>
      </c>
      <c r="X244" s="8" t="s">
        <v>22</v>
      </c>
      <c r="Y244" s="8" t="s">
        <v>22</v>
      </c>
      <c r="Z244" s="8" t="s">
        <v>22</v>
      </c>
      <c r="AB244" s="7" t="s">
        <v>22</v>
      </c>
      <c r="AC244" s="7" t="s">
        <v>22</v>
      </c>
      <c r="AD244" s="7" t="s">
        <v>22</v>
      </c>
      <c r="AE244" s="7" t="s">
        <v>22</v>
      </c>
      <c r="AF244" s="7" t="s">
        <v>22</v>
      </c>
      <c r="AG244" s="7" t="s">
        <v>22</v>
      </c>
      <c r="AH244" s="7" t="s">
        <v>22</v>
      </c>
      <c r="AJ244" s="7" t="s">
        <v>22</v>
      </c>
      <c r="AK244" s="7" t="s">
        <v>22</v>
      </c>
      <c r="AL244" s="7" t="s">
        <v>22</v>
      </c>
      <c r="AM244" s="7" t="s">
        <v>22</v>
      </c>
      <c r="AN244" s="7" t="s">
        <v>22</v>
      </c>
      <c r="AO244" s="7" t="s">
        <v>22</v>
      </c>
      <c r="AP244" s="7" t="s">
        <v>22</v>
      </c>
    </row>
    <row r="245" spans="11:42" x14ac:dyDescent="0.3">
      <c r="K245" s="21">
        <v>241</v>
      </c>
      <c r="L245" s="24" t="str">
        <f t="shared" si="32"/>
        <v/>
      </c>
      <c r="M245" s="24" t="str">
        <f t="shared" si="33"/>
        <v/>
      </c>
      <c r="N245" s="24" t="str">
        <f t="shared" si="34"/>
        <v/>
      </c>
      <c r="O245" s="24" t="str">
        <f t="shared" si="35"/>
        <v/>
      </c>
      <c r="P245" s="24" t="str">
        <f t="shared" si="36"/>
        <v/>
      </c>
      <c r="Q245" s="24" t="str">
        <f t="shared" si="37"/>
        <v/>
      </c>
      <c r="R245" s="24" t="str">
        <f t="shared" si="38"/>
        <v/>
      </c>
      <c r="T245" s="8" t="s">
        <v>22</v>
      </c>
      <c r="U245" s="8" t="s">
        <v>22</v>
      </c>
      <c r="V245" s="8" t="s">
        <v>22</v>
      </c>
      <c r="W245" s="8" t="s">
        <v>22</v>
      </c>
      <c r="X245" s="8" t="s">
        <v>22</v>
      </c>
      <c r="Y245" s="8" t="s">
        <v>22</v>
      </c>
      <c r="Z245" s="8" t="s">
        <v>22</v>
      </c>
      <c r="AB245" s="7" t="s">
        <v>22</v>
      </c>
      <c r="AC245" s="7" t="s">
        <v>22</v>
      </c>
      <c r="AD245" s="7" t="s">
        <v>22</v>
      </c>
      <c r="AE245" s="7" t="s">
        <v>22</v>
      </c>
      <c r="AF245" s="7" t="s">
        <v>22</v>
      </c>
      <c r="AG245" s="7" t="s">
        <v>22</v>
      </c>
      <c r="AH245" s="7" t="s">
        <v>22</v>
      </c>
      <c r="AJ245" s="7" t="s">
        <v>22</v>
      </c>
      <c r="AK245" s="7" t="s">
        <v>22</v>
      </c>
      <c r="AL245" s="7" t="s">
        <v>22</v>
      </c>
      <c r="AM245" s="7" t="s">
        <v>22</v>
      </c>
      <c r="AN245" s="7" t="s">
        <v>22</v>
      </c>
      <c r="AO245" s="7" t="s">
        <v>22</v>
      </c>
      <c r="AP245" s="7" t="s">
        <v>22</v>
      </c>
    </row>
    <row r="246" spans="11:42" x14ac:dyDescent="0.3">
      <c r="K246" s="22">
        <v>242</v>
      </c>
      <c r="L246" s="24" t="str">
        <f t="shared" si="32"/>
        <v/>
      </c>
      <c r="M246" s="24" t="str">
        <f t="shared" si="33"/>
        <v/>
      </c>
      <c r="N246" s="24" t="str">
        <f t="shared" si="34"/>
        <v/>
      </c>
      <c r="O246" s="24" t="str">
        <f t="shared" si="35"/>
        <v/>
      </c>
      <c r="P246" s="24" t="str">
        <f t="shared" si="36"/>
        <v/>
      </c>
      <c r="Q246" s="24" t="str">
        <f t="shared" si="37"/>
        <v/>
      </c>
      <c r="R246" s="24" t="str">
        <f t="shared" si="38"/>
        <v/>
      </c>
      <c r="T246" s="8" t="s">
        <v>22</v>
      </c>
      <c r="U246" s="8" t="s">
        <v>22</v>
      </c>
      <c r="V246" s="8" t="s">
        <v>22</v>
      </c>
      <c r="W246" s="8" t="s">
        <v>22</v>
      </c>
      <c r="X246" s="8" t="s">
        <v>22</v>
      </c>
      <c r="Y246" s="8" t="s">
        <v>22</v>
      </c>
      <c r="Z246" s="8" t="s">
        <v>22</v>
      </c>
      <c r="AB246" s="7" t="s">
        <v>22</v>
      </c>
      <c r="AC246" s="7" t="s">
        <v>22</v>
      </c>
      <c r="AD246" s="7" t="s">
        <v>22</v>
      </c>
      <c r="AE246" s="7" t="s">
        <v>22</v>
      </c>
      <c r="AF246" s="7" t="s">
        <v>22</v>
      </c>
      <c r="AG246" s="7" t="s">
        <v>22</v>
      </c>
      <c r="AH246" s="7" t="s">
        <v>22</v>
      </c>
      <c r="AJ246" s="7" t="s">
        <v>22</v>
      </c>
      <c r="AK246" s="7" t="s">
        <v>22</v>
      </c>
      <c r="AL246" s="7" t="s">
        <v>22</v>
      </c>
      <c r="AM246" s="7" t="s">
        <v>22</v>
      </c>
      <c r="AN246" s="7" t="s">
        <v>22</v>
      </c>
      <c r="AO246" s="7" t="s">
        <v>22</v>
      </c>
      <c r="AP246" s="7" t="s">
        <v>22</v>
      </c>
    </row>
    <row r="247" spans="11:42" x14ac:dyDescent="0.3">
      <c r="K247" s="21">
        <v>243</v>
      </c>
      <c r="L247" s="24" t="str">
        <f t="shared" si="32"/>
        <v/>
      </c>
      <c r="M247" s="24" t="str">
        <f t="shared" si="33"/>
        <v/>
      </c>
      <c r="N247" s="24" t="str">
        <f t="shared" si="34"/>
        <v/>
      </c>
      <c r="O247" s="24" t="str">
        <f t="shared" si="35"/>
        <v/>
      </c>
      <c r="P247" s="24" t="str">
        <f t="shared" si="36"/>
        <v/>
      </c>
      <c r="Q247" s="24" t="str">
        <f t="shared" si="37"/>
        <v/>
      </c>
      <c r="R247" s="24" t="str">
        <f t="shared" si="38"/>
        <v/>
      </c>
      <c r="T247" s="8" t="s">
        <v>22</v>
      </c>
      <c r="U247" s="8" t="s">
        <v>22</v>
      </c>
      <c r="V247" s="8" t="s">
        <v>22</v>
      </c>
      <c r="W247" s="8" t="s">
        <v>22</v>
      </c>
      <c r="X247" s="8" t="s">
        <v>22</v>
      </c>
      <c r="Y247" s="8" t="s">
        <v>22</v>
      </c>
      <c r="Z247" s="8" t="s">
        <v>22</v>
      </c>
      <c r="AB247" s="7" t="s">
        <v>22</v>
      </c>
      <c r="AC247" s="7" t="s">
        <v>22</v>
      </c>
      <c r="AD247" s="7" t="s">
        <v>22</v>
      </c>
      <c r="AE247" s="7" t="s">
        <v>22</v>
      </c>
      <c r="AF247" s="7" t="s">
        <v>22</v>
      </c>
      <c r="AG247" s="7" t="s">
        <v>22</v>
      </c>
      <c r="AH247" s="7" t="s">
        <v>22</v>
      </c>
      <c r="AJ247" s="7" t="s">
        <v>22</v>
      </c>
      <c r="AK247" s="7" t="s">
        <v>22</v>
      </c>
      <c r="AL247" s="7" t="s">
        <v>22</v>
      </c>
      <c r="AM247" s="7" t="s">
        <v>22</v>
      </c>
      <c r="AN247" s="7" t="s">
        <v>22</v>
      </c>
      <c r="AO247" s="7" t="s">
        <v>22</v>
      </c>
      <c r="AP247" s="7" t="s">
        <v>22</v>
      </c>
    </row>
    <row r="248" spans="11:42" x14ac:dyDescent="0.3">
      <c r="K248" s="22">
        <v>244</v>
      </c>
      <c r="L248" s="24" t="str">
        <f t="shared" si="32"/>
        <v/>
      </c>
      <c r="M248" s="24" t="str">
        <f t="shared" si="33"/>
        <v/>
      </c>
      <c r="N248" s="24" t="str">
        <f t="shared" si="34"/>
        <v/>
      </c>
      <c r="O248" s="24" t="str">
        <f t="shared" si="35"/>
        <v/>
      </c>
      <c r="P248" s="24" t="str">
        <f t="shared" si="36"/>
        <v/>
      </c>
      <c r="Q248" s="24" t="str">
        <f t="shared" si="37"/>
        <v/>
      </c>
      <c r="R248" s="24" t="str">
        <f t="shared" si="38"/>
        <v/>
      </c>
      <c r="T248" s="8" t="s">
        <v>22</v>
      </c>
      <c r="U248" s="8" t="s">
        <v>22</v>
      </c>
      <c r="V248" s="8" t="s">
        <v>22</v>
      </c>
      <c r="W248" s="8" t="s">
        <v>22</v>
      </c>
      <c r="X248" s="8" t="s">
        <v>22</v>
      </c>
      <c r="Y248" s="8" t="s">
        <v>22</v>
      </c>
      <c r="Z248" s="8" t="s">
        <v>22</v>
      </c>
      <c r="AB248" s="7" t="s">
        <v>22</v>
      </c>
      <c r="AC248" s="7" t="s">
        <v>22</v>
      </c>
      <c r="AD248" s="7" t="s">
        <v>22</v>
      </c>
      <c r="AE248" s="7" t="s">
        <v>22</v>
      </c>
      <c r="AF248" s="7" t="s">
        <v>22</v>
      </c>
      <c r="AG248" s="7" t="s">
        <v>22</v>
      </c>
      <c r="AH248" s="7" t="s">
        <v>22</v>
      </c>
      <c r="AJ248" s="7" t="s">
        <v>22</v>
      </c>
      <c r="AK248" s="7" t="s">
        <v>22</v>
      </c>
      <c r="AL248" s="7" t="s">
        <v>22</v>
      </c>
      <c r="AM248" s="7" t="s">
        <v>22</v>
      </c>
      <c r="AN248" s="7" t="s">
        <v>22</v>
      </c>
      <c r="AO248" s="7" t="s">
        <v>22</v>
      </c>
      <c r="AP248" s="7" t="s">
        <v>22</v>
      </c>
    </row>
    <row r="249" spans="11:42" x14ac:dyDescent="0.3">
      <c r="K249" s="21">
        <v>245</v>
      </c>
      <c r="L249" s="24" t="str">
        <f t="shared" si="32"/>
        <v/>
      </c>
      <c r="M249" s="24" t="str">
        <f t="shared" si="33"/>
        <v/>
      </c>
      <c r="N249" s="24" t="str">
        <f t="shared" si="34"/>
        <v/>
      </c>
      <c r="O249" s="24" t="str">
        <f t="shared" si="35"/>
        <v/>
      </c>
      <c r="P249" s="24" t="str">
        <f t="shared" si="36"/>
        <v/>
      </c>
      <c r="Q249" s="24" t="str">
        <f t="shared" si="37"/>
        <v/>
      </c>
      <c r="R249" s="24" t="str">
        <f t="shared" si="38"/>
        <v/>
      </c>
      <c r="T249" s="8" t="s">
        <v>22</v>
      </c>
      <c r="U249" s="8" t="s">
        <v>22</v>
      </c>
      <c r="V249" s="8" t="s">
        <v>22</v>
      </c>
      <c r="W249" s="8" t="s">
        <v>22</v>
      </c>
      <c r="X249" s="8" t="s">
        <v>22</v>
      </c>
      <c r="Y249" s="8" t="s">
        <v>22</v>
      </c>
      <c r="Z249" s="8" t="s">
        <v>22</v>
      </c>
      <c r="AB249" s="7" t="s">
        <v>22</v>
      </c>
      <c r="AC249" s="7" t="s">
        <v>22</v>
      </c>
      <c r="AD249" s="7" t="s">
        <v>22</v>
      </c>
      <c r="AE249" s="7" t="s">
        <v>22</v>
      </c>
      <c r="AF249" s="7" t="s">
        <v>22</v>
      </c>
      <c r="AG249" s="7" t="s">
        <v>22</v>
      </c>
      <c r="AH249" s="7" t="s">
        <v>22</v>
      </c>
      <c r="AJ249" s="7" t="s">
        <v>22</v>
      </c>
      <c r="AK249" s="7" t="s">
        <v>22</v>
      </c>
      <c r="AL249" s="7" t="s">
        <v>22</v>
      </c>
      <c r="AM249" s="7" t="s">
        <v>22</v>
      </c>
      <c r="AN249" s="7" t="s">
        <v>22</v>
      </c>
      <c r="AO249" s="7" t="s">
        <v>22</v>
      </c>
      <c r="AP249" s="7" t="s">
        <v>22</v>
      </c>
    </row>
    <row r="250" spans="11:42" x14ac:dyDescent="0.3">
      <c r="K250" s="22">
        <v>246</v>
      </c>
      <c r="L250" s="24" t="str">
        <f t="shared" si="32"/>
        <v/>
      </c>
      <c r="M250" s="24" t="str">
        <f t="shared" si="33"/>
        <v/>
      </c>
      <c r="N250" s="24" t="str">
        <f t="shared" si="34"/>
        <v/>
      </c>
      <c r="O250" s="24" t="str">
        <f t="shared" si="35"/>
        <v/>
      </c>
      <c r="P250" s="24" t="str">
        <f t="shared" si="36"/>
        <v/>
      </c>
      <c r="Q250" s="24" t="str">
        <f t="shared" si="37"/>
        <v/>
      </c>
      <c r="R250" s="24" t="str">
        <f t="shared" si="38"/>
        <v/>
      </c>
      <c r="T250" s="8" t="s">
        <v>22</v>
      </c>
      <c r="U250" s="8" t="s">
        <v>22</v>
      </c>
      <c r="V250" s="8" t="s">
        <v>22</v>
      </c>
      <c r="W250" s="8" t="s">
        <v>22</v>
      </c>
      <c r="X250" s="8" t="s">
        <v>22</v>
      </c>
      <c r="Y250" s="8" t="s">
        <v>22</v>
      </c>
      <c r="Z250" s="8" t="s">
        <v>22</v>
      </c>
      <c r="AB250" s="7" t="s">
        <v>22</v>
      </c>
      <c r="AC250" s="7" t="s">
        <v>22</v>
      </c>
      <c r="AD250" s="7" t="s">
        <v>22</v>
      </c>
      <c r="AE250" s="7" t="s">
        <v>22</v>
      </c>
      <c r="AF250" s="7" t="s">
        <v>22</v>
      </c>
      <c r="AG250" s="7" t="s">
        <v>22</v>
      </c>
      <c r="AH250" s="7" t="s">
        <v>22</v>
      </c>
      <c r="AJ250" s="7" t="s">
        <v>22</v>
      </c>
      <c r="AK250" s="7" t="s">
        <v>22</v>
      </c>
      <c r="AL250" s="7" t="s">
        <v>22</v>
      </c>
      <c r="AM250" s="7" t="s">
        <v>22</v>
      </c>
      <c r="AN250" s="7" t="s">
        <v>22</v>
      </c>
      <c r="AO250" s="7" t="s">
        <v>22</v>
      </c>
      <c r="AP250" s="7" t="s">
        <v>22</v>
      </c>
    </row>
    <row r="251" spans="11:42" x14ac:dyDescent="0.3">
      <c r="K251" s="21">
        <v>247</v>
      </c>
      <c r="L251" s="24" t="str">
        <f t="shared" si="32"/>
        <v/>
      </c>
      <c r="M251" s="24" t="str">
        <f t="shared" si="33"/>
        <v/>
      </c>
      <c r="N251" s="24" t="str">
        <f t="shared" si="34"/>
        <v/>
      </c>
      <c r="O251" s="24" t="str">
        <f t="shared" si="35"/>
        <v/>
      </c>
      <c r="P251" s="24" t="str">
        <f t="shared" si="36"/>
        <v/>
      </c>
      <c r="Q251" s="24" t="str">
        <f t="shared" si="37"/>
        <v/>
      </c>
      <c r="R251" s="24" t="str">
        <f t="shared" si="38"/>
        <v/>
      </c>
      <c r="T251" s="8" t="s">
        <v>22</v>
      </c>
      <c r="U251" s="8" t="s">
        <v>22</v>
      </c>
      <c r="V251" s="8" t="s">
        <v>22</v>
      </c>
      <c r="W251" s="8" t="s">
        <v>22</v>
      </c>
      <c r="X251" s="8" t="s">
        <v>22</v>
      </c>
      <c r="Y251" s="8" t="s">
        <v>22</v>
      </c>
      <c r="Z251" s="8" t="s">
        <v>22</v>
      </c>
      <c r="AB251" s="7" t="s">
        <v>22</v>
      </c>
      <c r="AC251" s="7" t="s">
        <v>22</v>
      </c>
      <c r="AD251" s="7" t="s">
        <v>22</v>
      </c>
      <c r="AE251" s="7" t="s">
        <v>22</v>
      </c>
      <c r="AF251" s="7" t="s">
        <v>22</v>
      </c>
      <c r="AG251" s="7" t="s">
        <v>22</v>
      </c>
      <c r="AH251" s="7" t="s">
        <v>22</v>
      </c>
      <c r="AJ251" s="7" t="s">
        <v>22</v>
      </c>
      <c r="AK251" s="7" t="s">
        <v>22</v>
      </c>
      <c r="AL251" s="7" t="s">
        <v>22</v>
      </c>
      <c r="AM251" s="7" t="s">
        <v>22</v>
      </c>
      <c r="AN251" s="7" t="s">
        <v>22</v>
      </c>
      <c r="AO251" s="7" t="s">
        <v>22</v>
      </c>
      <c r="AP251" s="7" t="s">
        <v>22</v>
      </c>
    </row>
    <row r="252" spans="11:42" x14ac:dyDescent="0.3">
      <c r="K252" s="22">
        <v>248</v>
      </c>
      <c r="L252" s="24" t="str">
        <f t="shared" si="32"/>
        <v/>
      </c>
      <c r="M252" s="24" t="str">
        <f t="shared" si="33"/>
        <v/>
      </c>
      <c r="N252" s="24" t="str">
        <f t="shared" si="34"/>
        <v/>
      </c>
      <c r="O252" s="24" t="str">
        <f t="shared" si="35"/>
        <v/>
      </c>
      <c r="P252" s="24" t="str">
        <f t="shared" si="36"/>
        <v/>
      </c>
      <c r="Q252" s="24" t="str">
        <f t="shared" si="37"/>
        <v/>
      </c>
      <c r="R252" s="24" t="str">
        <f t="shared" si="38"/>
        <v/>
      </c>
      <c r="T252" s="8" t="s">
        <v>22</v>
      </c>
      <c r="U252" s="8" t="s">
        <v>22</v>
      </c>
      <c r="V252" s="8" t="s">
        <v>22</v>
      </c>
      <c r="W252" s="8" t="s">
        <v>22</v>
      </c>
      <c r="X252" s="8" t="s">
        <v>22</v>
      </c>
      <c r="Y252" s="8" t="s">
        <v>22</v>
      </c>
      <c r="Z252" s="8" t="s">
        <v>22</v>
      </c>
      <c r="AB252" s="7" t="s">
        <v>22</v>
      </c>
      <c r="AC252" s="7" t="s">
        <v>22</v>
      </c>
      <c r="AD252" s="7" t="s">
        <v>22</v>
      </c>
      <c r="AE252" s="7" t="s">
        <v>22</v>
      </c>
      <c r="AF252" s="7" t="s">
        <v>22</v>
      </c>
      <c r="AG252" s="7" t="s">
        <v>22</v>
      </c>
      <c r="AH252" s="7" t="s">
        <v>22</v>
      </c>
      <c r="AJ252" s="7" t="s">
        <v>22</v>
      </c>
      <c r="AK252" s="7" t="s">
        <v>22</v>
      </c>
      <c r="AL252" s="7" t="s">
        <v>22</v>
      </c>
      <c r="AM252" s="7" t="s">
        <v>22</v>
      </c>
      <c r="AN252" s="7" t="s">
        <v>22</v>
      </c>
      <c r="AO252" s="7" t="s">
        <v>22</v>
      </c>
      <c r="AP252" s="7" t="s">
        <v>22</v>
      </c>
    </row>
    <row r="253" spans="11:42" x14ac:dyDescent="0.3">
      <c r="K253" s="21">
        <v>249</v>
      </c>
      <c r="L253" s="24" t="str">
        <f t="shared" si="32"/>
        <v/>
      </c>
      <c r="M253" s="24" t="str">
        <f t="shared" si="33"/>
        <v/>
      </c>
      <c r="N253" s="24" t="str">
        <f t="shared" si="34"/>
        <v/>
      </c>
      <c r="O253" s="24" t="str">
        <f t="shared" si="35"/>
        <v/>
      </c>
      <c r="P253" s="24" t="str">
        <f t="shared" si="36"/>
        <v/>
      </c>
      <c r="Q253" s="24" t="str">
        <f t="shared" si="37"/>
        <v/>
      </c>
      <c r="R253" s="24" t="str">
        <f t="shared" si="38"/>
        <v/>
      </c>
      <c r="T253" s="8" t="s">
        <v>22</v>
      </c>
      <c r="U253" s="8" t="s">
        <v>22</v>
      </c>
      <c r="V253" s="8" t="s">
        <v>22</v>
      </c>
      <c r="W253" s="8" t="s">
        <v>22</v>
      </c>
      <c r="X253" s="8" t="s">
        <v>22</v>
      </c>
      <c r="Y253" s="8" t="s">
        <v>22</v>
      </c>
      <c r="Z253" s="8" t="s">
        <v>22</v>
      </c>
      <c r="AB253" s="7" t="s">
        <v>22</v>
      </c>
      <c r="AC253" s="7" t="s">
        <v>22</v>
      </c>
      <c r="AD253" s="7" t="s">
        <v>22</v>
      </c>
      <c r="AE253" s="7" t="s">
        <v>22</v>
      </c>
      <c r="AF253" s="7" t="s">
        <v>22</v>
      </c>
      <c r="AG253" s="7" t="s">
        <v>22</v>
      </c>
      <c r="AH253" s="7" t="s">
        <v>22</v>
      </c>
      <c r="AJ253" s="7" t="s">
        <v>22</v>
      </c>
      <c r="AK253" s="7" t="s">
        <v>22</v>
      </c>
      <c r="AL253" s="7" t="s">
        <v>22</v>
      </c>
      <c r="AM253" s="7" t="s">
        <v>22</v>
      </c>
      <c r="AN253" s="7" t="s">
        <v>22</v>
      </c>
      <c r="AO253" s="7" t="s">
        <v>22</v>
      </c>
      <c r="AP253" s="7" t="s">
        <v>22</v>
      </c>
    </row>
    <row r="254" spans="11:42" x14ac:dyDescent="0.3">
      <c r="K254" s="22">
        <v>250</v>
      </c>
      <c r="L254" s="24" t="str">
        <f t="shared" si="32"/>
        <v/>
      </c>
      <c r="M254" s="24" t="str">
        <f t="shared" si="33"/>
        <v/>
      </c>
      <c r="N254" s="24" t="str">
        <f t="shared" si="34"/>
        <v/>
      </c>
      <c r="O254" s="24" t="str">
        <f t="shared" si="35"/>
        <v/>
      </c>
      <c r="P254" s="24" t="str">
        <f t="shared" si="36"/>
        <v/>
      </c>
      <c r="Q254" s="24" t="str">
        <f t="shared" si="37"/>
        <v/>
      </c>
      <c r="R254" s="24" t="str">
        <f t="shared" si="38"/>
        <v/>
      </c>
      <c r="T254" s="8" t="s">
        <v>22</v>
      </c>
      <c r="U254" s="8" t="s">
        <v>22</v>
      </c>
      <c r="V254" s="8" t="s">
        <v>22</v>
      </c>
      <c r="W254" s="8" t="s">
        <v>22</v>
      </c>
      <c r="X254" s="8" t="s">
        <v>22</v>
      </c>
      <c r="Y254" s="8" t="s">
        <v>22</v>
      </c>
      <c r="Z254" s="8" t="s">
        <v>22</v>
      </c>
      <c r="AB254" s="7" t="s">
        <v>22</v>
      </c>
      <c r="AC254" s="7" t="s">
        <v>22</v>
      </c>
      <c r="AD254" s="7" t="s">
        <v>22</v>
      </c>
      <c r="AE254" s="7" t="s">
        <v>22</v>
      </c>
      <c r="AF254" s="7" t="s">
        <v>22</v>
      </c>
      <c r="AG254" s="7" t="s">
        <v>22</v>
      </c>
      <c r="AH254" s="7" t="s">
        <v>22</v>
      </c>
      <c r="AJ254" s="7" t="s">
        <v>22</v>
      </c>
      <c r="AK254" s="7" t="s">
        <v>22</v>
      </c>
      <c r="AL254" s="7" t="s">
        <v>22</v>
      </c>
      <c r="AM254" s="7" t="s">
        <v>22</v>
      </c>
      <c r="AN254" s="7" t="s">
        <v>22</v>
      </c>
      <c r="AO254" s="7" t="s">
        <v>22</v>
      </c>
      <c r="AP254" s="7" t="s">
        <v>22</v>
      </c>
    </row>
    <row r="255" spans="11:42" x14ac:dyDescent="0.3">
      <c r="K255" s="21">
        <v>251</v>
      </c>
      <c r="L255" s="24" t="str">
        <f t="shared" si="32"/>
        <v/>
      </c>
      <c r="M255" s="24" t="str">
        <f t="shared" si="33"/>
        <v/>
      </c>
      <c r="N255" s="24" t="str">
        <f t="shared" si="34"/>
        <v/>
      </c>
      <c r="O255" s="24" t="str">
        <f t="shared" si="35"/>
        <v/>
      </c>
      <c r="P255" s="24" t="str">
        <f t="shared" si="36"/>
        <v/>
      </c>
      <c r="Q255" s="24" t="str">
        <f t="shared" si="37"/>
        <v/>
      </c>
      <c r="R255" s="24" t="str">
        <f t="shared" si="38"/>
        <v/>
      </c>
      <c r="T255" s="8" t="s">
        <v>22</v>
      </c>
      <c r="U255" s="8" t="s">
        <v>22</v>
      </c>
      <c r="V255" s="8" t="s">
        <v>22</v>
      </c>
      <c r="W255" s="8" t="s">
        <v>22</v>
      </c>
      <c r="X255" s="8" t="s">
        <v>22</v>
      </c>
      <c r="Y255" s="8" t="s">
        <v>22</v>
      </c>
      <c r="Z255" s="8" t="s">
        <v>22</v>
      </c>
      <c r="AB255" s="7" t="s">
        <v>22</v>
      </c>
      <c r="AC255" s="7" t="s">
        <v>22</v>
      </c>
      <c r="AD255" s="7" t="s">
        <v>22</v>
      </c>
      <c r="AE255" s="7" t="s">
        <v>22</v>
      </c>
      <c r="AF255" s="7" t="s">
        <v>22</v>
      </c>
      <c r="AG255" s="7" t="s">
        <v>22</v>
      </c>
      <c r="AH255" s="7" t="s">
        <v>22</v>
      </c>
      <c r="AJ255" s="7" t="s">
        <v>22</v>
      </c>
      <c r="AK255" s="7" t="s">
        <v>22</v>
      </c>
      <c r="AL255" s="7" t="s">
        <v>22</v>
      </c>
      <c r="AM255" s="7" t="s">
        <v>22</v>
      </c>
      <c r="AN255" s="7" t="s">
        <v>22</v>
      </c>
      <c r="AO255" s="7" t="s">
        <v>22</v>
      </c>
      <c r="AP255" s="7" t="s">
        <v>22</v>
      </c>
    </row>
    <row r="256" spans="11:42" x14ac:dyDescent="0.3">
      <c r="K256" s="22">
        <v>252</v>
      </c>
      <c r="L256" s="24" t="str">
        <f t="shared" ref="L256:L309" si="39">IF(T256&lt;&gt;"",_xlfn.XLOOKUP(T256,$K$4:$K$27,$A$4:$A$27),"")</f>
        <v/>
      </c>
      <c r="M256" s="24" t="str">
        <f t="shared" ref="M256:M309" si="40">IF(U256&lt;&gt;"",_xlfn.XLOOKUP(U256,$K$4:$K$27,$A$4:$A$27),"")</f>
        <v/>
      </c>
      <c r="N256" s="24" t="str">
        <f t="shared" ref="N256:N309" si="41">IF(V256&lt;&gt;"",_xlfn.XLOOKUP(V256,$K$4:$K$27,$A$4:$A$27),"")</f>
        <v/>
      </c>
      <c r="O256" s="24" t="str">
        <f t="shared" ref="O256:O309" si="42">IF(W256&lt;&gt;"",_xlfn.XLOOKUP(W256,$K$4:$K$27,$A$4:$A$27),"")</f>
        <v/>
      </c>
      <c r="P256" s="24" t="str">
        <f t="shared" ref="P256:P309" si="43">IF(X256&lt;&gt;"",_xlfn.XLOOKUP(X256,$K$4:$K$27,$A$4:$A$27),"")</f>
        <v/>
      </c>
      <c r="Q256" s="24" t="str">
        <f t="shared" ref="Q256:Q309" si="44">IF(Y256&lt;&gt;"",_xlfn.XLOOKUP(Y256,$K$4:$K$27,$A$4:$A$27),"")</f>
        <v/>
      </c>
      <c r="R256" s="24" t="str">
        <f t="shared" ref="R256:R309" si="45">IF(Z256&lt;&gt;"",_xlfn.XLOOKUP(Z256,$K$4:$K$27,$A$4:$A$27),"")</f>
        <v/>
      </c>
      <c r="T256" s="8" t="s">
        <v>22</v>
      </c>
      <c r="U256" s="8" t="s">
        <v>22</v>
      </c>
      <c r="V256" s="8" t="s">
        <v>22</v>
      </c>
      <c r="W256" s="8" t="s">
        <v>22</v>
      </c>
      <c r="X256" s="8" t="s">
        <v>22</v>
      </c>
      <c r="Y256" s="8" t="s">
        <v>22</v>
      </c>
      <c r="Z256" s="8" t="s">
        <v>22</v>
      </c>
      <c r="AB256" s="7" t="s">
        <v>22</v>
      </c>
      <c r="AC256" s="7" t="s">
        <v>22</v>
      </c>
      <c r="AD256" s="7" t="s">
        <v>22</v>
      </c>
      <c r="AE256" s="7" t="s">
        <v>22</v>
      </c>
      <c r="AF256" s="7" t="s">
        <v>22</v>
      </c>
      <c r="AG256" s="7" t="s">
        <v>22</v>
      </c>
      <c r="AH256" s="7" t="s">
        <v>22</v>
      </c>
      <c r="AJ256" s="7" t="s">
        <v>22</v>
      </c>
      <c r="AK256" s="7" t="s">
        <v>22</v>
      </c>
      <c r="AL256" s="7" t="s">
        <v>22</v>
      </c>
      <c r="AM256" s="7" t="s">
        <v>22</v>
      </c>
      <c r="AN256" s="7" t="s">
        <v>22</v>
      </c>
      <c r="AO256" s="7" t="s">
        <v>22</v>
      </c>
      <c r="AP256" s="7" t="s">
        <v>22</v>
      </c>
    </row>
    <row r="257" spans="11:42" x14ac:dyDescent="0.3">
      <c r="K257" s="21">
        <v>253</v>
      </c>
      <c r="L257" s="24" t="str">
        <f t="shared" si="39"/>
        <v/>
      </c>
      <c r="M257" s="24" t="str">
        <f t="shared" si="40"/>
        <v/>
      </c>
      <c r="N257" s="24" t="str">
        <f t="shared" si="41"/>
        <v/>
      </c>
      <c r="O257" s="24" t="str">
        <f t="shared" si="42"/>
        <v/>
      </c>
      <c r="P257" s="24" t="str">
        <f t="shared" si="43"/>
        <v/>
      </c>
      <c r="Q257" s="24" t="str">
        <f t="shared" si="44"/>
        <v/>
      </c>
      <c r="R257" s="24" t="str">
        <f t="shared" si="45"/>
        <v/>
      </c>
      <c r="T257" s="8" t="s">
        <v>22</v>
      </c>
      <c r="U257" s="8" t="s">
        <v>22</v>
      </c>
      <c r="V257" s="8" t="s">
        <v>22</v>
      </c>
      <c r="W257" s="8" t="s">
        <v>22</v>
      </c>
      <c r="X257" s="8" t="s">
        <v>22</v>
      </c>
      <c r="Y257" s="8" t="s">
        <v>22</v>
      </c>
      <c r="Z257" s="8" t="s">
        <v>22</v>
      </c>
      <c r="AB257" s="7" t="s">
        <v>22</v>
      </c>
      <c r="AC257" s="7" t="s">
        <v>22</v>
      </c>
      <c r="AD257" s="7" t="s">
        <v>22</v>
      </c>
      <c r="AE257" s="7" t="s">
        <v>22</v>
      </c>
      <c r="AF257" s="7" t="s">
        <v>22</v>
      </c>
      <c r="AG257" s="7" t="s">
        <v>22</v>
      </c>
      <c r="AH257" s="7" t="s">
        <v>22</v>
      </c>
      <c r="AJ257" s="7" t="s">
        <v>22</v>
      </c>
      <c r="AK257" s="7" t="s">
        <v>22</v>
      </c>
      <c r="AL257" s="7" t="s">
        <v>22</v>
      </c>
      <c r="AM257" s="7" t="s">
        <v>22</v>
      </c>
      <c r="AN257" s="7" t="s">
        <v>22</v>
      </c>
      <c r="AO257" s="7" t="s">
        <v>22</v>
      </c>
      <c r="AP257" s="7" t="s">
        <v>22</v>
      </c>
    </row>
    <row r="258" spans="11:42" x14ac:dyDescent="0.3">
      <c r="K258" s="22">
        <v>254</v>
      </c>
      <c r="L258" s="24" t="str">
        <f t="shared" si="39"/>
        <v/>
      </c>
      <c r="M258" s="24" t="str">
        <f t="shared" si="40"/>
        <v/>
      </c>
      <c r="N258" s="24" t="str">
        <f t="shared" si="41"/>
        <v/>
      </c>
      <c r="O258" s="24" t="str">
        <f t="shared" si="42"/>
        <v/>
      </c>
      <c r="P258" s="24" t="str">
        <f t="shared" si="43"/>
        <v/>
      </c>
      <c r="Q258" s="24" t="str">
        <f t="shared" si="44"/>
        <v/>
      </c>
      <c r="R258" s="24" t="str">
        <f t="shared" si="45"/>
        <v/>
      </c>
      <c r="T258" s="8" t="s">
        <v>22</v>
      </c>
      <c r="U258" s="8" t="s">
        <v>22</v>
      </c>
      <c r="V258" s="8" t="s">
        <v>22</v>
      </c>
      <c r="W258" s="8" t="s">
        <v>22</v>
      </c>
      <c r="X258" s="8" t="s">
        <v>22</v>
      </c>
      <c r="Y258" s="8" t="s">
        <v>22</v>
      </c>
      <c r="Z258" s="8" t="s">
        <v>22</v>
      </c>
      <c r="AB258" s="7" t="s">
        <v>22</v>
      </c>
      <c r="AC258" s="7" t="s">
        <v>22</v>
      </c>
      <c r="AD258" s="7" t="s">
        <v>22</v>
      </c>
      <c r="AE258" s="7" t="s">
        <v>22</v>
      </c>
      <c r="AF258" s="7" t="s">
        <v>22</v>
      </c>
      <c r="AG258" s="7" t="s">
        <v>22</v>
      </c>
      <c r="AH258" s="7" t="s">
        <v>22</v>
      </c>
      <c r="AJ258" s="7" t="s">
        <v>22</v>
      </c>
      <c r="AK258" s="7" t="s">
        <v>22</v>
      </c>
      <c r="AL258" s="7" t="s">
        <v>22</v>
      </c>
      <c r="AM258" s="7" t="s">
        <v>22</v>
      </c>
      <c r="AN258" s="7" t="s">
        <v>22</v>
      </c>
      <c r="AO258" s="7" t="s">
        <v>22</v>
      </c>
      <c r="AP258" s="7" t="s">
        <v>22</v>
      </c>
    </row>
    <row r="259" spans="11:42" x14ac:dyDescent="0.3">
      <c r="K259" s="21">
        <v>255</v>
      </c>
      <c r="L259" s="24" t="str">
        <f t="shared" si="39"/>
        <v/>
      </c>
      <c r="M259" s="24" t="str">
        <f t="shared" si="40"/>
        <v/>
      </c>
      <c r="N259" s="24" t="str">
        <f t="shared" si="41"/>
        <v/>
      </c>
      <c r="O259" s="24" t="str">
        <f t="shared" si="42"/>
        <v/>
      </c>
      <c r="P259" s="24" t="str">
        <f t="shared" si="43"/>
        <v/>
      </c>
      <c r="Q259" s="24" t="str">
        <f t="shared" si="44"/>
        <v/>
      </c>
      <c r="R259" s="24" t="str">
        <f t="shared" si="45"/>
        <v/>
      </c>
      <c r="T259" s="8" t="s">
        <v>22</v>
      </c>
      <c r="U259" s="8" t="s">
        <v>22</v>
      </c>
      <c r="V259" s="8" t="s">
        <v>22</v>
      </c>
      <c r="W259" s="8" t="s">
        <v>22</v>
      </c>
      <c r="X259" s="8" t="s">
        <v>22</v>
      </c>
      <c r="Y259" s="8" t="s">
        <v>22</v>
      </c>
      <c r="Z259" s="8" t="s">
        <v>22</v>
      </c>
      <c r="AB259" s="7" t="s">
        <v>22</v>
      </c>
      <c r="AC259" s="7" t="s">
        <v>22</v>
      </c>
      <c r="AD259" s="7" t="s">
        <v>22</v>
      </c>
      <c r="AE259" s="7" t="s">
        <v>22</v>
      </c>
      <c r="AF259" s="7" t="s">
        <v>22</v>
      </c>
      <c r="AG259" s="7" t="s">
        <v>22</v>
      </c>
      <c r="AH259" s="7" t="s">
        <v>22</v>
      </c>
      <c r="AJ259" s="7" t="s">
        <v>22</v>
      </c>
      <c r="AK259" s="7" t="s">
        <v>22</v>
      </c>
      <c r="AL259" s="7" t="s">
        <v>22</v>
      </c>
      <c r="AM259" s="7" t="s">
        <v>22</v>
      </c>
      <c r="AN259" s="7" t="s">
        <v>22</v>
      </c>
      <c r="AO259" s="7" t="s">
        <v>22</v>
      </c>
      <c r="AP259" s="7" t="s">
        <v>22</v>
      </c>
    </row>
    <row r="260" spans="11:42" x14ac:dyDescent="0.3">
      <c r="K260" s="22">
        <v>256</v>
      </c>
      <c r="L260" s="24" t="str">
        <f t="shared" si="39"/>
        <v/>
      </c>
      <c r="M260" s="24" t="str">
        <f t="shared" si="40"/>
        <v/>
      </c>
      <c r="N260" s="24" t="str">
        <f t="shared" si="41"/>
        <v/>
      </c>
      <c r="O260" s="24" t="str">
        <f t="shared" si="42"/>
        <v/>
      </c>
      <c r="P260" s="24" t="str">
        <f t="shared" si="43"/>
        <v/>
      </c>
      <c r="Q260" s="24" t="str">
        <f t="shared" si="44"/>
        <v/>
      </c>
      <c r="R260" s="24" t="str">
        <f t="shared" si="45"/>
        <v/>
      </c>
      <c r="T260" s="8" t="s">
        <v>22</v>
      </c>
      <c r="U260" s="8" t="s">
        <v>22</v>
      </c>
      <c r="V260" s="8" t="s">
        <v>22</v>
      </c>
      <c r="W260" s="8" t="s">
        <v>22</v>
      </c>
      <c r="X260" s="8" t="s">
        <v>22</v>
      </c>
      <c r="Y260" s="8" t="s">
        <v>22</v>
      </c>
      <c r="Z260" s="8" t="s">
        <v>22</v>
      </c>
      <c r="AB260" s="7" t="s">
        <v>22</v>
      </c>
      <c r="AC260" s="7" t="s">
        <v>22</v>
      </c>
      <c r="AD260" s="7" t="s">
        <v>22</v>
      </c>
      <c r="AE260" s="7" t="s">
        <v>22</v>
      </c>
      <c r="AF260" s="7" t="s">
        <v>22</v>
      </c>
      <c r="AG260" s="7" t="s">
        <v>22</v>
      </c>
      <c r="AH260" s="7" t="s">
        <v>22</v>
      </c>
      <c r="AJ260" s="7" t="s">
        <v>22</v>
      </c>
      <c r="AK260" s="7" t="s">
        <v>22</v>
      </c>
      <c r="AL260" s="7" t="s">
        <v>22</v>
      </c>
      <c r="AM260" s="7" t="s">
        <v>22</v>
      </c>
      <c r="AN260" s="7" t="s">
        <v>22</v>
      </c>
      <c r="AO260" s="7" t="s">
        <v>22</v>
      </c>
      <c r="AP260" s="7" t="s">
        <v>22</v>
      </c>
    </row>
    <row r="261" spans="11:42" x14ac:dyDescent="0.3">
      <c r="K261" s="21">
        <v>257</v>
      </c>
      <c r="L261" s="24" t="str">
        <f t="shared" si="39"/>
        <v/>
      </c>
      <c r="M261" s="24" t="str">
        <f t="shared" si="40"/>
        <v/>
      </c>
      <c r="N261" s="24" t="str">
        <f t="shared" si="41"/>
        <v/>
      </c>
      <c r="O261" s="24" t="str">
        <f t="shared" si="42"/>
        <v/>
      </c>
      <c r="P261" s="24" t="str">
        <f t="shared" si="43"/>
        <v/>
      </c>
      <c r="Q261" s="24" t="str">
        <f t="shared" si="44"/>
        <v/>
      </c>
      <c r="R261" s="24" t="str">
        <f t="shared" si="45"/>
        <v/>
      </c>
      <c r="T261" s="8" t="s">
        <v>22</v>
      </c>
      <c r="U261" s="8" t="s">
        <v>22</v>
      </c>
      <c r="V261" s="8" t="s">
        <v>22</v>
      </c>
      <c r="W261" s="8" t="s">
        <v>22</v>
      </c>
      <c r="X261" s="8" t="s">
        <v>22</v>
      </c>
      <c r="Y261" s="8" t="s">
        <v>22</v>
      </c>
      <c r="Z261" s="8" t="s">
        <v>22</v>
      </c>
      <c r="AB261" s="7" t="s">
        <v>22</v>
      </c>
      <c r="AC261" s="7" t="s">
        <v>22</v>
      </c>
      <c r="AD261" s="7" t="s">
        <v>22</v>
      </c>
      <c r="AE261" s="7" t="s">
        <v>22</v>
      </c>
      <c r="AF261" s="7" t="s">
        <v>22</v>
      </c>
      <c r="AG261" s="7" t="s">
        <v>22</v>
      </c>
      <c r="AH261" s="7" t="s">
        <v>22</v>
      </c>
      <c r="AJ261" s="7" t="s">
        <v>22</v>
      </c>
      <c r="AK261" s="7" t="s">
        <v>22</v>
      </c>
      <c r="AL261" s="7" t="s">
        <v>22</v>
      </c>
      <c r="AM261" s="7" t="s">
        <v>22</v>
      </c>
      <c r="AN261" s="7" t="s">
        <v>22</v>
      </c>
      <c r="AO261" s="7" t="s">
        <v>22</v>
      </c>
      <c r="AP261" s="7" t="s">
        <v>22</v>
      </c>
    </row>
    <row r="262" spans="11:42" x14ac:dyDescent="0.3">
      <c r="K262" s="22">
        <v>258</v>
      </c>
      <c r="L262" s="24" t="str">
        <f t="shared" si="39"/>
        <v/>
      </c>
      <c r="M262" s="24" t="str">
        <f t="shared" si="40"/>
        <v/>
      </c>
      <c r="N262" s="24" t="str">
        <f t="shared" si="41"/>
        <v/>
      </c>
      <c r="O262" s="24" t="str">
        <f t="shared" si="42"/>
        <v/>
      </c>
      <c r="P262" s="24" t="str">
        <f t="shared" si="43"/>
        <v/>
      </c>
      <c r="Q262" s="24" t="str">
        <f t="shared" si="44"/>
        <v/>
      </c>
      <c r="R262" s="24" t="str">
        <f t="shared" si="45"/>
        <v/>
      </c>
      <c r="T262" s="8" t="s">
        <v>22</v>
      </c>
      <c r="U262" s="8" t="s">
        <v>22</v>
      </c>
      <c r="V262" s="8" t="s">
        <v>22</v>
      </c>
      <c r="W262" s="8" t="s">
        <v>22</v>
      </c>
      <c r="X262" s="8" t="s">
        <v>22</v>
      </c>
      <c r="Y262" s="8" t="s">
        <v>22</v>
      </c>
      <c r="Z262" s="8" t="s">
        <v>22</v>
      </c>
      <c r="AB262" s="7" t="s">
        <v>22</v>
      </c>
      <c r="AC262" s="7" t="s">
        <v>22</v>
      </c>
      <c r="AD262" s="7" t="s">
        <v>22</v>
      </c>
      <c r="AE262" s="7" t="s">
        <v>22</v>
      </c>
      <c r="AF262" s="7" t="s">
        <v>22</v>
      </c>
      <c r="AG262" s="7" t="s">
        <v>22</v>
      </c>
      <c r="AH262" s="7" t="s">
        <v>22</v>
      </c>
      <c r="AJ262" s="7" t="s">
        <v>22</v>
      </c>
      <c r="AK262" s="7" t="s">
        <v>22</v>
      </c>
      <c r="AL262" s="7" t="s">
        <v>22</v>
      </c>
      <c r="AM262" s="7" t="s">
        <v>22</v>
      </c>
      <c r="AN262" s="7" t="s">
        <v>22</v>
      </c>
      <c r="AO262" s="7" t="s">
        <v>22</v>
      </c>
      <c r="AP262" s="7" t="s">
        <v>22</v>
      </c>
    </row>
    <row r="263" spans="11:42" x14ac:dyDescent="0.3">
      <c r="K263" s="21">
        <v>259</v>
      </c>
      <c r="L263" s="24" t="str">
        <f t="shared" si="39"/>
        <v/>
      </c>
      <c r="M263" s="24" t="str">
        <f t="shared" si="40"/>
        <v/>
      </c>
      <c r="N263" s="24" t="str">
        <f t="shared" si="41"/>
        <v/>
      </c>
      <c r="O263" s="24" t="str">
        <f t="shared" si="42"/>
        <v/>
      </c>
      <c r="P263" s="24" t="str">
        <f t="shared" si="43"/>
        <v/>
      </c>
      <c r="Q263" s="24" t="str">
        <f t="shared" si="44"/>
        <v/>
      </c>
      <c r="R263" s="24" t="str">
        <f t="shared" si="45"/>
        <v/>
      </c>
      <c r="T263" s="8" t="s">
        <v>22</v>
      </c>
      <c r="U263" s="8" t="s">
        <v>22</v>
      </c>
      <c r="V263" s="8" t="s">
        <v>22</v>
      </c>
      <c r="W263" s="8" t="s">
        <v>22</v>
      </c>
      <c r="X263" s="8" t="s">
        <v>22</v>
      </c>
      <c r="Y263" s="8" t="s">
        <v>22</v>
      </c>
      <c r="Z263" s="8" t="s">
        <v>22</v>
      </c>
      <c r="AB263" s="7" t="s">
        <v>22</v>
      </c>
      <c r="AC263" s="7" t="s">
        <v>22</v>
      </c>
      <c r="AD263" s="7" t="s">
        <v>22</v>
      </c>
      <c r="AE263" s="7" t="s">
        <v>22</v>
      </c>
      <c r="AF263" s="7" t="s">
        <v>22</v>
      </c>
      <c r="AG263" s="7" t="s">
        <v>22</v>
      </c>
      <c r="AH263" s="7" t="s">
        <v>22</v>
      </c>
      <c r="AJ263" s="7" t="s">
        <v>22</v>
      </c>
      <c r="AK263" s="7" t="s">
        <v>22</v>
      </c>
      <c r="AL263" s="7" t="s">
        <v>22</v>
      </c>
      <c r="AM263" s="7" t="s">
        <v>22</v>
      </c>
      <c r="AN263" s="7" t="s">
        <v>22</v>
      </c>
      <c r="AO263" s="7" t="s">
        <v>22</v>
      </c>
      <c r="AP263" s="7" t="s">
        <v>22</v>
      </c>
    </row>
    <row r="264" spans="11:42" x14ac:dyDescent="0.3">
      <c r="K264" s="22">
        <v>260</v>
      </c>
      <c r="L264" s="24" t="str">
        <f t="shared" si="39"/>
        <v/>
      </c>
      <c r="M264" s="24" t="str">
        <f t="shared" si="40"/>
        <v/>
      </c>
      <c r="N264" s="24" t="str">
        <f t="shared" si="41"/>
        <v/>
      </c>
      <c r="O264" s="24" t="str">
        <f t="shared" si="42"/>
        <v/>
      </c>
      <c r="P264" s="24" t="str">
        <f t="shared" si="43"/>
        <v/>
      </c>
      <c r="Q264" s="24" t="str">
        <f t="shared" si="44"/>
        <v/>
      </c>
      <c r="R264" s="24" t="str">
        <f t="shared" si="45"/>
        <v/>
      </c>
      <c r="T264" s="8" t="s">
        <v>22</v>
      </c>
      <c r="U264" s="8" t="s">
        <v>22</v>
      </c>
      <c r="V264" s="8" t="s">
        <v>22</v>
      </c>
      <c r="W264" s="8" t="s">
        <v>22</v>
      </c>
      <c r="X264" s="8" t="s">
        <v>22</v>
      </c>
      <c r="Y264" s="8" t="s">
        <v>22</v>
      </c>
      <c r="Z264" s="8" t="s">
        <v>22</v>
      </c>
      <c r="AB264" s="7" t="s">
        <v>22</v>
      </c>
      <c r="AC264" s="7" t="s">
        <v>22</v>
      </c>
      <c r="AD264" s="7" t="s">
        <v>22</v>
      </c>
      <c r="AE264" s="7" t="s">
        <v>22</v>
      </c>
      <c r="AF264" s="7" t="s">
        <v>22</v>
      </c>
      <c r="AG264" s="7" t="s">
        <v>22</v>
      </c>
      <c r="AH264" s="7" t="s">
        <v>22</v>
      </c>
      <c r="AJ264" s="7" t="s">
        <v>22</v>
      </c>
      <c r="AK264" s="7" t="s">
        <v>22</v>
      </c>
      <c r="AL264" s="7" t="s">
        <v>22</v>
      </c>
      <c r="AM264" s="7" t="s">
        <v>22</v>
      </c>
      <c r="AN264" s="7" t="s">
        <v>22</v>
      </c>
      <c r="AO264" s="7" t="s">
        <v>22</v>
      </c>
      <c r="AP264" s="7" t="s">
        <v>22</v>
      </c>
    </row>
    <row r="265" spans="11:42" x14ac:dyDescent="0.3">
      <c r="K265" s="21">
        <v>261</v>
      </c>
      <c r="L265" s="24" t="str">
        <f t="shared" si="39"/>
        <v/>
      </c>
      <c r="M265" s="24" t="str">
        <f t="shared" si="40"/>
        <v/>
      </c>
      <c r="N265" s="24" t="str">
        <f t="shared" si="41"/>
        <v/>
      </c>
      <c r="O265" s="24" t="str">
        <f t="shared" si="42"/>
        <v/>
      </c>
      <c r="P265" s="24" t="str">
        <f t="shared" si="43"/>
        <v/>
      </c>
      <c r="Q265" s="24" t="str">
        <f t="shared" si="44"/>
        <v/>
      </c>
      <c r="R265" s="24" t="str">
        <f t="shared" si="45"/>
        <v/>
      </c>
      <c r="T265" s="8" t="s">
        <v>22</v>
      </c>
      <c r="U265" s="8" t="s">
        <v>22</v>
      </c>
      <c r="V265" s="8" t="s">
        <v>22</v>
      </c>
      <c r="W265" s="8" t="s">
        <v>22</v>
      </c>
      <c r="X265" s="8" t="s">
        <v>22</v>
      </c>
      <c r="Y265" s="8" t="s">
        <v>22</v>
      </c>
      <c r="Z265" s="8" t="s">
        <v>22</v>
      </c>
      <c r="AB265" s="7" t="s">
        <v>22</v>
      </c>
      <c r="AC265" s="7" t="s">
        <v>22</v>
      </c>
      <c r="AD265" s="7" t="s">
        <v>22</v>
      </c>
      <c r="AE265" s="7" t="s">
        <v>22</v>
      </c>
      <c r="AF265" s="7" t="s">
        <v>22</v>
      </c>
      <c r="AG265" s="7" t="s">
        <v>22</v>
      </c>
      <c r="AH265" s="7" t="s">
        <v>22</v>
      </c>
      <c r="AJ265" s="7" t="s">
        <v>22</v>
      </c>
      <c r="AK265" s="7" t="s">
        <v>22</v>
      </c>
      <c r="AL265" s="7" t="s">
        <v>22</v>
      </c>
      <c r="AM265" s="7" t="s">
        <v>22</v>
      </c>
      <c r="AN265" s="7" t="s">
        <v>22</v>
      </c>
      <c r="AO265" s="7" t="s">
        <v>22</v>
      </c>
      <c r="AP265" s="7" t="s">
        <v>22</v>
      </c>
    </row>
    <row r="266" spans="11:42" x14ac:dyDescent="0.3">
      <c r="K266" s="22">
        <v>262</v>
      </c>
      <c r="L266" s="24" t="str">
        <f t="shared" si="39"/>
        <v/>
      </c>
      <c r="M266" s="24" t="str">
        <f t="shared" si="40"/>
        <v/>
      </c>
      <c r="N266" s="24" t="str">
        <f t="shared" si="41"/>
        <v/>
      </c>
      <c r="O266" s="24" t="str">
        <f t="shared" si="42"/>
        <v/>
      </c>
      <c r="P266" s="24" t="str">
        <f t="shared" si="43"/>
        <v/>
      </c>
      <c r="Q266" s="24" t="str">
        <f t="shared" si="44"/>
        <v/>
      </c>
      <c r="R266" s="24" t="str">
        <f t="shared" si="45"/>
        <v/>
      </c>
      <c r="T266" s="8" t="s">
        <v>22</v>
      </c>
      <c r="U266" s="8" t="s">
        <v>22</v>
      </c>
      <c r="V266" s="8" t="s">
        <v>22</v>
      </c>
      <c r="W266" s="8" t="s">
        <v>22</v>
      </c>
      <c r="X266" s="8" t="s">
        <v>22</v>
      </c>
      <c r="Y266" s="8" t="s">
        <v>22</v>
      </c>
      <c r="Z266" s="8" t="s">
        <v>22</v>
      </c>
      <c r="AB266" s="7" t="s">
        <v>22</v>
      </c>
      <c r="AC266" s="7" t="s">
        <v>22</v>
      </c>
      <c r="AD266" s="7" t="s">
        <v>22</v>
      </c>
      <c r="AE266" s="7" t="s">
        <v>22</v>
      </c>
      <c r="AF266" s="7" t="s">
        <v>22</v>
      </c>
      <c r="AG266" s="7" t="s">
        <v>22</v>
      </c>
      <c r="AH266" s="7" t="s">
        <v>22</v>
      </c>
      <c r="AJ266" s="7" t="s">
        <v>22</v>
      </c>
      <c r="AK266" s="7" t="s">
        <v>22</v>
      </c>
      <c r="AL266" s="7" t="s">
        <v>22</v>
      </c>
      <c r="AM266" s="7" t="s">
        <v>22</v>
      </c>
      <c r="AN266" s="7" t="s">
        <v>22</v>
      </c>
      <c r="AO266" s="7" t="s">
        <v>22</v>
      </c>
      <c r="AP266" s="7" t="s">
        <v>22</v>
      </c>
    </row>
    <row r="267" spans="11:42" x14ac:dyDescent="0.3">
      <c r="K267" s="21">
        <v>263</v>
      </c>
      <c r="L267" s="24" t="str">
        <f t="shared" si="39"/>
        <v/>
      </c>
      <c r="M267" s="24" t="str">
        <f t="shared" si="40"/>
        <v/>
      </c>
      <c r="N267" s="24" t="str">
        <f t="shared" si="41"/>
        <v/>
      </c>
      <c r="O267" s="24" t="str">
        <f t="shared" si="42"/>
        <v/>
      </c>
      <c r="P267" s="24" t="str">
        <f t="shared" si="43"/>
        <v/>
      </c>
      <c r="Q267" s="24" t="str">
        <f t="shared" si="44"/>
        <v/>
      </c>
      <c r="R267" s="24" t="str">
        <f t="shared" si="45"/>
        <v/>
      </c>
      <c r="T267" s="8" t="s">
        <v>22</v>
      </c>
      <c r="U267" s="8" t="s">
        <v>22</v>
      </c>
      <c r="V267" s="8" t="s">
        <v>22</v>
      </c>
      <c r="W267" s="8" t="s">
        <v>22</v>
      </c>
      <c r="X267" s="8" t="s">
        <v>22</v>
      </c>
      <c r="Y267" s="8" t="s">
        <v>22</v>
      </c>
      <c r="Z267" s="8" t="s">
        <v>22</v>
      </c>
      <c r="AB267" s="7" t="s">
        <v>22</v>
      </c>
      <c r="AC267" s="7" t="s">
        <v>22</v>
      </c>
      <c r="AD267" s="7" t="s">
        <v>22</v>
      </c>
      <c r="AE267" s="7" t="s">
        <v>22</v>
      </c>
      <c r="AF267" s="7" t="s">
        <v>22</v>
      </c>
      <c r="AG267" s="7" t="s">
        <v>22</v>
      </c>
      <c r="AH267" s="7" t="s">
        <v>22</v>
      </c>
      <c r="AJ267" s="7" t="s">
        <v>22</v>
      </c>
      <c r="AK267" s="7" t="s">
        <v>22</v>
      </c>
      <c r="AL267" s="7" t="s">
        <v>22</v>
      </c>
      <c r="AM267" s="7" t="s">
        <v>22</v>
      </c>
      <c r="AN267" s="7" t="s">
        <v>22</v>
      </c>
      <c r="AO267" s="7" t="s">
        <v>22</v>
      </c>
      <c r="AP267" s="7" t="s">
        <v>22</v>
      </c>
    </row>
    <row r="268" spans="11:42" x14ac:dyDescent="0.3">
      <c r="K268" s="22">
        <v>264</v>
      </c>
      <c r="L268" s="24" t="str">
        <f t="shared" si="39"/>
        <v/>
      </c>
      <c r="M268" s="24" t="str">
        <f t="shared" si="40"/>
        <v/>
      </c>
      <c r="N268" s="24" t="str">
        <f t="shared" si="41"/>
        <v/>
      </c>
      <c r="O268" s="24" t="str">
        <f t="shared" si="42"/>
        <v/>
      </c>
      <c r="P268" s="24" t="str">
        <f t="shared" si="43"/>
        <v/>
      </c>
      <c r="Q268" s="24" t="str">
        <f t="shared" si="44"/>
        <v/>
      </c>
      <c r="R268" s="24" t="str">
        <f t="shared" si="45"/>
        <v/>
      </c>
      <c r="T268" s="8" t="s">
        <v>22</v>
      </c>
      <c r="U268" s="8" t="s">
        <v>22</v>
      </c>
      <c r="V268" s="8" t="s">
        <v>22</v>
      </c>
      <c r="W268" s="8" t="s">
        <v>22</v>
      </c>
      <c r="X268" s="8" t="s">
        <v>22</v>
      </c>
      <c r="Y268" s="8" t="s">
        <v>22</v>
      </c>
      <c r="Z268" s="8" t="s">
        <v>22</v>
      </c>
      <c r="AB268" s="7" t="s">
        <v>22</v>
      </c>
      <c r="AC268" s="7" t="s">
        <v>22</v>
      </c>
      <c r="AD268" s="7" t="s">
        <v>22</v>
      </c>
      <c r="AE268" s="7" t="s">
        <v>22</v>
      </c>
      <c r="AF268" s="7" t="s">
        <v>22</v>
      </c>
      <c r="AG268" s="7" t="s">
        <v>22</v>
      </c>
      <c r="AH268" s="7" t="s">
        <v>22</v>
      </c>
      <c r="AJ268" s="7" t="s">
        <v>22</v>
      </c>
      <c r="AK268" s="7" t="s">
        <v>22</v>
      </c>
      <c r="AL268" s="7" t="s">
        <v>22</v>
      </c>
      <c r="AM268" s="7" t="s">
        <v>22</v>
      </c>
      <c r="AN268" s="7" t="s">
        <v>22</v>
      </c>
      <c r="AO268" s="7" t="s">
        <v>22</v>
      </c>
      <c r="AP268" s="7" t="s">
        <v>22</v>
      </c>
    </row>
    <row r="269" spans="11:42" x14ac:dyDescent="0.3">
      <c r="K269" s="21">
        <v>265</v>
      </c>
      <c r="L269" s="24" t="str">
        <f t="shared" si="39"/>
        <v/>
      </c>
      <c r="M269" s="24" t="str">
        <f t="shared" si="40"/>
        <v/>
      </c>
      <c r="N269" s="24" t="str">
        <f t="shared" si="41"/>
        <v/>
      </c>
      <c r="O269" s="24" t="str">
        <f t="shared" si="42"/>
        <v/>
      </c>
      <c r="P269" s="24" t="str">
        <f t="shared" si="43"/>
        <v/>
      </c>
      <c r="Q269" s="24" t="str">
        <f t="shared" si="44"/>
        <v/>
      </c>
      <c r="R269" s="24" t="str">
        <f t="shared" si="45"/>
        <v/>
      </c>
      <c r="T269" s="8" t="s">
        <v>22</v>
      </c>
      <c r="U269" s="8" t="s">
        <v>22</v>
      </c>
      <c r="V269" s="8" t="s">
        <v>22</v>
      </c>
      <c r="W269" s="8" t="s">
        <v>22</v>
      </c>
      <c r="X269" s="8" t="s">
        <v>22</v>
      </c>
      <c r="Y269" s="8" t="s">
        <v>22</v>
      </c>
      <c r="Z269" s="8" t="s">
        <v>22</v>
      </c>
      <c r="AB269" s="7" t="s">
        <v>22</v>
      </c>
      <c r="AC269" s="7" t="s">
        <v>22</v>
      </c>
      <c r="AD269" s="7" t="s">
        <v>22</v>
      </c>
      <c r="AE269" s="7" t="s">
        <v>22</v>
      </c>
      <c r="AF269" s="7" t="s">
        <v>22</v>
      </c>
      <c r="AG269" s="7" t="s">
        <v>22</v>
      </c>
      <c r="AH269" s="7" t="s">
        <v>22</v>
      </c>
      <c r="AJ269" s="7" t="s">
        <v>22</v>
      </c>
      <c r="AK269" s="7" t="s">
        <v>22</v>
      </c>
      <c r="AL269" s="7" t="s">
        <v>22</v>
      </c>
      <c r="AM269" s="7" t="s">
        <v>22</v>
      </c>
      <c r="AN269" s="7" t="s">
        <v>22</v>
      </c>
      <c r="AO269" s="7" t="s">
        <v>22</v>
      </c>
      <c r="AP269" s="7" t="s">
        <v>22</v>
      </c>
    </row>
    <row r="270" spans="11:42" x14ac:dyDescent="0.3">
      <c r="K270" s="22">
        <v>266</v>
      </c>
      <c r="L270" s="24" t="str">
        <f t="shared" si="39"/>
        <v/>
      </c>
      <c r="M270" s="24" t="str">
        <f t="shared" si="40"/>
        <v/>
      </c>
      <c r="N270" s="24" t="str">
        <f t="shared" si="41"/>
        <v/>
      </c>
      <c r="O270" s="24" t="str">
        <f t="shared" si="42"/>
        <v/>
      </c>
      <c r="P270" s="24" t="str">
        <f t="shared" si="43"/>
        <v/>
      </c>
      <c r="Q270" s="24" t="str">
        <f t="shared" si="44"/>
        <v/>
      </c>
      <c r="R270" s="24" t="str">
        <f t="shared" si="45"/>
        <v/>
      </c>
      <c r="T270" s="8" t="s">
        <v>22</v>
      </c>
      <c r="U270" s="8" t="s">
        <v>22</v>
      </c>
      <c r="V270" s="8" t="s">
        <v>22</v>
      </c>
      <c r="W270" s="8" t="s">
        <v>22</v>
      </c>
      <c r="X270" s="8" t="s">
        <v>22</v>
      </c>
      <c r="Y270" s="8" t="s">
        <v>22</v>
      </c>
      <c r="Z270" s="8" t="s">
        <v>22</v>
      </c>
      <c r="AB270" s="7" t="s">
        <v>22</v>
      </c>
      <c r="AC270" s="7" t="s">
        <v>22</v>
      </c>
      <c r="AD270" s="7" t="s">
        <v>22</v>
      </c>
      <c r="AE270" s="7" t="s">
        <v>22</v>
      </c>
      <c r="AF270" s="7" t="s">
        <v>22</v>
      </c>
      <c r="AG270" s="7" t="s">
        <v>22</v>
      </c>
      <c r="AH270" s="7" t="s">
        <v>22</v>
      </c>
      <c r="AJ270" s="7" t="s">
        <v>22</v>
      </c>
      <c r="AK270" s="7" t="s">
        <v>22</v>
      </c>
      <c r="AL270" s="7" t="s">
        <v>22</v>
      </c>
      <c r="AM270" s="7" t="s">
        <v>22</v>
      </c>
      <c r="AN270" s="7" t="s">
        <v>22</v>
      </c>
      <c r="AO270" s="7" t="s">
        <v>22</v>
      </c>
      <c r="AP270" s="7" t="s">
        <v>22</v>
      </c>
    </row>
    <row r="271" spans="11:42" x14ac:dyDescent="0.3">
      <c r="K271" s="21">
        <v>267</v>
      </c>
      <c r="L271" s="24" t="str">
        <f t="shared" si="39"/>
        <v/>
      </c>
      <c r="M271" s="24" t="str">
        <f t="shared" si="40"/>
        <v/>
      </c>
      <c r="N271" s="24" t="str">
        <f t="shared" si="41"/>
        <v/>
      </c>
      <c r="O271" s="24" t="str">
        <f t="shared" si="42"/>
        <v/>
      </c>
      <c r="P271" s="24" t="str">
        <f t="shared" si="43"/>
        <v/>
      </c>
      <c r="Q271" s="24" t="str">
        <f t="shared" si="44"/>
        <v/>
      </c>
      <c r="R271" s="24" t="str">
        <f t="shared" si="45"/>
        <v/>
      </c>
      <c r="T271" s="8" t="s">
        <v>22</v>
      </c>
      <c r="U271" s="8" t="s">
        <v>22</v>
      </c>
      <c r="V271" s="8" t="s">
        <v>22</v>
      </c>
      <c r="W271" s="8" t="s">
        <v>22</v>
      </c>
      <c r="X271" s="8" t="s">
        <v>22</v>
      </c>
      <c r="Y271" s="8" t="s">
        <v>22</v>
      </c>
      <c r="Z271" s="8" t="s">
        <v>22</v>
      </c>
      <c r="AB271" s="7" t="s">
        <v>22</v>
      </c>
      <c r="AC271" s="7" t="s">
        <v>22</v>
      </c>
      <c r="AD271" s="7" t="s">
        <v>22</v>
      </c>
      <c r="AE271" s="7" t="s">
        <v>22</v>
      </c>
      <c r="AF271" s="7" t="s">
        <v>22</v>
      </c>
      <c r="AG271" s="7" t="s">
        <v>22</v>
      </c>
      <c r="AH271" s="7" t="s">
        <v>22</v>
      </c>
      <c r="AJ271" s="7" t="s">
        <v>22</v>
      </c>
      <c r="AK271" s="7" t="s">
        <v>22</v>
      </c>
      <c r="AL271" s="7" t="s">
        <v>22</v>
      </c>
      <c r="AM271" s="7" t="s">
        <v>22</v>
      </c>
      <c r="AN271" s="7" t="s">
        <v>22</v>
      </c>
      <c r="AO271" s="7" t="s">
        <v>22</v>
      </c>
      <c r="AP271" s="7" t="s">
        <v>22</v>
      </c>
    </row>
    <row r="272" spans="11:42" x14ac:dyDescent="0.3">
      <c r="K272" s="22">
        <v>268</v>
      </c>
      <c r="L272" s="24" t="str">
        <f t="shared" si="39"/>
        <v/>
      </c>
      <c r="M272" s="24" t="str">
        <f t="shared" si="40"/>
        <v/>
      </c>
      <c r="N272" s="24" t="str">
        <f t="shared" si="41"/>
        <v/>
      </c>
      <c r="O272" s="24" t="str">
        <f t="shared" si="42"/>
        <v/>
      </c>
      <c r="P272" s="24" t="str">
        <f t="shared" si="43"/>
        <v/>
      </c>
      <c r="Q272" s="24" t="str">
        <f t="shared" si="44"/>
        <v/>
      </c>
      <c r="R272" s="24" t="str">
        <f t="shared" si="45"/>
        <v/>
      </c>
      <c r="T272" s="8" t="s">
        <v>22</v>
      </c>
      <c r="U272" s="8" t="s">
        <v>22</v>
      </c>
      <c r="V272" s="8" t="s">
        <v>22</v>
      </c>
      <c r="W272" s="8" t="s">
        <v>22</v>
      </c>
      <c r="X272" s="8" t="s">
        <v>22</v>
      </c>
      <c r="Y272" s="8" t="s">
        <v>22</v>
      </c>
      <c r="Z272" s="8" t="s">
        <v>22</v>
      </c>
      <c r="AB272" s="7" t="s">
        <v>22</v>
      </c>
      <c r="AC272" s="7" t="s">
        <v>22</v>
      </c>
      <c r="AD272" s="7" t="s">
        <v>22</v>
      </c>
      <c r="AE272" s="7" t="s">
        <v>22</v>
      </c>
      <c r="AF272" s="7" t="s">
        <v>22</v>
      </c>
      <c r="AG272" s="7" t="s">
        <v>22</v>
      </c>
      <c r="AH272" s="7" t="s">
        <v>22</v>
      </c>
      <c r="AJ272" s="7" t="s">
        <v>22</v>
      </c>
      <c r="AK272" s="7" t="s">
        <v>22</v>
      </c>
      <c r="AL272" s="7" t="s">
        <v>22</v>
      </c>
      <c r="AM272" s="7" t="s">
        <v>22</v>
      </c>
      <c r="AN272" s="7" t="s">
        <v>22</v>
      </c>
      <c r="AO272" s="7" t="s">
        <v>22</v>
      </c>
      <c r="AP272" s="7" t="s">
        <v>22</v>
      </c>
    </row>
    <row r="273" spans="11:42" x14ac:dyDescent="0.3">
      <c r="K273" s="21">
        <v>269</v>
      </c>
      <c r="L273" s="24" t="str">
        <f t="shared" si="39"/>
        <v/>
      </c>
      <c r="M273" s="24" t="str">
        <f t="shared" si="40"/>
        <v/>
      </c>
      <c r="N273" s="24" t="str">
        <f t="shared" si="41"/>
        <v/>
      </c>
      <c r="O273" s="24" t="str">
        <f t="shared" si="42"/>
        <v/>
      </c>
      <c r="P273" s="24" t="str">
        <f t="shared" si="43"/>
        <v/>
      </c>
      <c r="Q273" s="24" t="str">
        <f t="shared" si="44"/>
        <v/>
      </c>
      <c r="R273" s="24" t="str">
        <f t="shared" si="45"/>
        <v/>
      </c>
      <c r="T273" s="8" t="s">
        <v>22</v>
      </c>
      <c r="U273" s="8" t="s">
        <v>22</v>
      </c>
      <c r="V273" s="8" t="s">
        <v>22</v>
      </c>
      <c r="W273" s="8" t="s">
        <v>22</v>
      </c>
      <c r="X273" s="8" t="s">
        <v>22</v>
      </c>
      <c r="Y273" s="8" t="s">
        <v>22</v>
      </c>
      <c r="Z273" s="8" t="s">
        <v>22</v>
      </c>
      <c r="AB273" s="7" t="s">
        <v>22</v>
      </c>
      <c r="AC273" s="7" t="s">
        <v>22</v>
      </c>
      <c r="AD273" s="7" t="s">
        <v>22</v>
      </c>
      <c r="AE273" s="7" t="s">
        <v>22</v>
      </c>
      <c r="AF273" s="7" t="s">
        <v>22</v>
      </c>
      <c r="AG273" s="7" t="s">
        <v>22</v>
      </c>
      <c r="AH273" s="7" t="s">
        <v>22</v>
      </c>
      <c r="AJ273" s="7" t="s">
        <v>22</v>
      </c>
      <c r="AK273" s="7" t="s">
        <v>22</v>
      </c>
      <c r="AL273" s="7" t="s">
        <v>22</v>
      </c>
      <c r="AM273" s="7" t="s">
        <v>22</v>
      </c>
      <c r="AN273" s="7" t="s">
        <v>22</v>
      </c>
      <c r="AO273" s="7" t="s">
        <v>22</v>
      </c>
      <c r="AP273" s="7" t="s">
        <v>22</v>
      </c>
    </row>
    <row r="274" spans="11:42" x14ac:dyDescent="0.3">
      <c r="K274" s="22">
        <v>270</v>
      </c>
      <c r="L274" s="24" t="str">
        <f t="shared" si="39"/>
        <v/>
      </c>
      <c r="M274" s="24" t="str">
        <f t="shared" si="40"/>
        <v/>
      </c>
      <c r="N274" s="24" t="str">
        <f t="shared" si="41"/>
        <v/>
      </c>
      <c r="O274" s="24" t="str">
        <f t="shared" si="42"/>
        <v/>
      </c>
      <c r="P274" s="24" t="str">
        <f t="shared" si="43"/>
        <v/>
      </c>
      <c r="Q274" s="24" t="str">
        <f t="shared" si="44"/>
        <v/>
      </c>
      <c r="R274" s="24" t="str">
        <f t="shared" si="45"/>
        <v/>
      </c>
      <c r="T274" s="8" t="s">
        <v>22</v>
      </c>
      <c r="U274" s="8" t="s">
        <v>22</v>
      </c>
      <c r="V274" s="8" t="s">
        <v>22</v>
      </c>
      <c r="W274" s="8" t="s">
        <v>22</v>
      </c>
      <c r="X274" s="8" t="s">
        <v>22</v>
      </c>
      <c r="Y274" s="8" t="s">
        <v>22</v>
      </c>
      <c r="Z274" s="8" t="s">
        <v>22</v>
      </c>
      <c r="AB274" s="7" t="s">
        <v>22</v>
      </c>
      <c r="AC274" s="7" t="s">
        <v>22</v>
      </c>
      <c r="AD274" s="7" t="s">
        <v>22</v>
      </c>
      <c r="AE274" s="7" t="s">
        <v>22</v>
      </c>
      <c r="AF274" s="7" t="s">
        <v>22</v>
      </c>
      <c r="AG274" s="7" t="s">
        <v>22</v>
      </c>
      <c r="AH274" s="7" t="s">
        <v>22</v>
      </c>
      <c r="AJ274" s="7" t="s">
        <v>22</v>
      </c>
      <c r="AK274" s="7" t="s">
        <v>22</v>
      </c>
      <c r="AL274" s="7" t="s">
        <v>22</v>
      </c>
      <c r="AM274" s="7" t="s">
        <v>22</v>
      </c>
      <c r="AN274" s="7" t="s">
        <v>22</v>
      </c>
      <c r="AO274" s="7" t="s">
        <v>22</v>
      </c>
      <c r="AP274" s="7" t="s">
        <v>22</v>
      </c>
    </row>
    <row r="275" spans="11:42" x14ac:dyDescent="0.3">
      <c r="K275" s="21">
        <v>271</v>
      </c>
      <c r="L275" s="24" t="str">
        <f t="shared" si="39"/>
        <v/>
      </c>
      <c r="M275" s="24" t="str">
        <f t="shared" si="40"/>
        <v/>
      </c>
      <c r="N275" s="24" t="str">
        <f t="shared" si="41"/>
        <v/>
      </c>
      <c r="O275" s="24" t="str">
        <f t="shared" si="42"/>
        <v/>
      </c>
      <c r="P275" s="24" t="str">
        <f t="shared" si="43"/>
        <v/>
      </c>
      <c r="Q275" s="24" t="str">
        <f t="shared" si="44"/>
        <v/>
      </c>
      <c r="R275" s="24" t="str">
        <f t="shared" si="45"/>
        <v/>
      </c>
      <c r="T275" s="8" t="s">
        <v>22</v>
      </c>
      <c r="U275" s="8" t="s">
        <v>22</v>
      </c>
      <c r="V275" s="8" t="s">
        <v>22</v>
      </c>
      <c r="W275" s="8" t="s">
        <v>22</v>
      </c>
      <c r="X275" s="8" t="s">
        <v>22</v>
      </c>
      <c r="Y275" s="8" t="s">
        <v>22</v>
      </c>
      <c r="Z275" s="8" t="s">
        <v>22</v>
      </c>
      <c r="AB275" s="7" t="s">
        <v>22</v>
      </c>
      <c r="AC275" s="7" t="s">
        <v>22</v>
      </c>
      <c r="AD275" s="7" t="s">
        <v>22</v>
      </c>
      <c r="AE275" s="7" t="s">
        <v>22</v>
      </c>
      <c r="AF275" s="7" t="s">
        <v>22</v>
      </c>
      <c r="AG275" s="7" t="s">
        <v>22</v>
      </c>
      <c r="AH275" s="7" t="s">
        <v>22</v>
      </c>
      <c r="AJ275" s="7" t="s">
        <v>22</v>
      </c>
      <c r="AK275" s="7" t="s">
        <v>22</v>
      </c>
      <c r="AL275" s="7" t="s">
        <v>22</v>
      </c>
      <c r="AM275" s="7" t="s">
        <v>22</v>
      </c>
      <c r="AN275" s="7" t="s">
        <v>22</v>
      </c>
      <c r="AO275" s="7" t="s">
        <v>22</v>
      </c>
      <c r="AP275" s="7" t="s">
        <v>22</v>
      </c>
    </row>
    <row r="276" spans="11:42" x14ac:dyDescent="0.3">
      <c r="K276" s="22">
        <v>272</v>
      </c>
      <c r="L276" s="24" t="str">
        <f t="shared" si="39"/>
        <v/>
      </c>
      <c r="M276" s="24" t="str">
        <f t="shared" si="40"/>
        <v/>
      </c>
      <c r="N276" s="24" t="str">
        <f t="shared" si="41"/>
        <v/>
      </c>
      <c r="O276" s="24" t="str">
        <f t="shared" si="42"/>
        <v/>
      </c>
      <c r="P276" s="24" t="str">
        <f t="shared" si="43"/>
        <v/>
      </c>
      <c r="Q276" s="24" t="str">
        <f t="shared" si="44"/>
        <v/>
      </c>
      <c r="R276" s="24" t="str">
        <f t="shared" si="45"/>
        <v/>
      </c>
      <c r="T276" s="8" t="s">
        <v>22</v>
      </c>
      <c r="U276" s="8" t="s">
        <v>22</v>
      </c>
      <c r="V276" s="8" t="s">
        <v>22</v>
      </c>
      <c r="W276" s="8" t="s">
        <v>22</v>
      </c>
      <c r="X276" s="8" t="s">
        <v>22</v>
      </c>
      <c r="Y276" s="8" t="s">
        <v>22</v>
      </c>
      <c r="Z276" s="8" t="s">
        <v>22</v>
      </c>
      <c r="AB276" s="7" t="s">
        <v>22</v>
      </c>
      <c r="AC276" s="7" t="s">
        <v>22</v>
      </c>
      <c r="AD276" s="7" t="s">
        <v>22</v>
      </c>
      <c r="AE276" s="7" t="s">
        <v>22</v>
      </c>
      <c r="AF276" s="7" t="s">
        <v>22</v>
      </c>
      <c r="AG276" s="7" t="s">
        <v>22</v>
      </c>
      <c r="AH276" s="7" t="s">
        <v>22</v>
      </c>
      <c r="AJ276" s="7" t="s">
        <v>22</v>
      </c>
      <c r="AK276" s="7" t="s">
        <v>22</v>
      </c>
      <c r="AL276" s="7" t="s">
        <v>22</v>
      </c>
      <c r="AM276" s="7" t="s">
        <v>22</v>
      </c>
      <c r="AN276" s="7" t="s">
        <v>22</v>
      </c>
      <c r="AO276" s="7" t="s">
        <v>22</v>
      </c>
      <c r="AP276" s="7" t="s">
        <v>22</v>
      </c>
    </row>
    <row r="277" spans="11:42" x14ac:dyDescent="0.3">
      <c r="K277" s="21">
        <v>273</v>
      </c>
      <c r="L277" s="24" t="str">
        <f t="shared" si="39"/>
        <v/>
      </c>
      <c r="M277" s="24" t="str">
        <f t="shared" si="40"/>
        <v/>
      </c>
      <c r="N277" s="24" t="str">
        <f t="shared" si="41"/>
        <v/>
      </c>
      <c r="O277" s="24" t="str">
        <f t="shared" si="42"/>
        <v/>
      </c>
      <c r="P277" s="24" t="str">
        <f t="shared" si="43"/>
        <v/>
      </c>
      <c r="Q277" s="24" t="str">
        <f t="shared" si="44"/>
        <v/>
      </c>
      <c r="R277" s="24" t="str">
        <f t="shared" si="45"/>
        <v/>
      </c>
      <c r="T277" s="8" t="s">
        <v>22</v>
      </c>
      <c r="U277" s="8" t="s">
        <v>22</v>
      </c>
      <c r="V277" s="8" t="s">
        <v>22</v>
      </c>
      <c r="W277" s="8" t="s">
        <v>22</v>
      </c>
      <c r="X277" s="8" t="s">
        <v>22</v>
      </c>
      <c r="Y277" s="8" t="s">
        <v>22</v>
      </c>
      <c r="Z277" s="8" t="s">
        <v>22</v>
      </c>
      <c r="AB277" s="7" t="s">
        <v>22</v>
      </c>
      <c r="AC277" s="7" t="s">
        <v>22</v>
      </c>
      <c r="AD277" s="7" t="s">
        <v>22</v>
      </c>
      <c r="AE277" s="7" t="s">
        <v>22</v>
      </c>
      <c r="AF277" s="7" t="s">
        <v>22</v>
      </c>
      <c r="AG277" s="7" t="s">
        <v>22</v>
      </c>
      <c r="AH277" s="7" t="s">
        <v>22</v>
      </c>
      <c r="AJ277" s="7" t="s">
        <v>22</v>
      </c>
      <c r="AK277" s="7" t="s">
        <v>22</v>
      </c>
      <c r="AL277" s="7" t="s">
        <v>22</v>
      </c>
      <c r="AM277" s="7" t="s">
        <v>22</v>
      </c>
      <c r="AN277" s="7" t="s">
        <v>22</v>
      </c>
      <c r="AO277" s="7" t="s">
        <v>22</v>
      </c>
      <c r="AP277" s="7" t="s">
        <v>22</v>
      </c>
    </row>
    <row r="278" spans="11:42" x14ac:dyDescent="0.3">
      <c r="K278" s="22">
        <v>274</v>
      </c>
      <c r="L278" s="24" t="str">
        <f t="shared" si="39"/>
        <v/>
      </c>
      <c r="M278" s="24" t="str">
        <f t="shared" si="40"/>
        <v/>
      </c>
      <c r="N278" s="24" t="str">
        <f t="shared" si="41"/>
        <v/>
      </c>
      <c r="O278" s="24" t="str">
        <f t="shared" si="42"/>
        <v/>
      </c>
      <c r="P278" s="24" t="str">
        <f t="shared" si="43"/>
        <v/>
      </c>
      <c r="Q278" s="24" t="str">
        <f t="shared" si="44"/>
        <v/>
      </c>
      <c r="R278" s="24" t="str">
        <f t="shared" si="45"/>
        <v/>
      </c>
      <c r="T278" s="8" t="s">
        <v>22</v>
      </c>
      <c r="U278" s="8" t="s">
        <v>22</v>
      </c>
      <c r="V278" s="8" t="s">
        <v>22</v>
      </c>
      <c r="W278" s="8" t="s">
        <v>22</v>
      </c>
      <c r="X278" s="8" t="s">
        <v>22</v>
      </c>
      <c r="Y278" s="8" t="s">
        <v>22</v>
      </c>
      <c r="Z278" s="8" t="s">
        <v>22</v>
      </c>
      <c r="AB278" s="7" t="s">
        <v>22</v>
      </c>
      <c r="AC278" s="7" t="s">
        <v>22</v>
      </c>
      <c r="AD278" s="7" t="s">
        <v>22</v>
      </c>
      <c r="AE278" s="7" t="s">
        <v>22</v>
      </c>
      <c r="AF278" s="7" t="s">
        <v>22</v>
      </c>
      <c r="AG278" s="7" t="s">
        <v>22</v>
      </c>
      <c r="AH278" s="7" t="s">
        <v>22</v>
      </c>
      <c r="AJ278" s="7" t="s">
        <v>22</v>
      </c>
      <c r="AK278" s="7" t="s">
        <v>22</v>
      </c>
      <c r="AL278" s="7" t="s">
        <v>22</v>
      </c>
      <c r="AM278" s="7" t="s">
        <v>22</v>
      </c>
      <c r="AN278" s="7" t="s">
        <v>22</v>
      </c>
      <c r="AO278" s="7" t="s">
        <v>22</v>
      </c>
      <c r="AP278" s="7" t="s">
        <v>22</v>
      </c>
    </row>
    <row r="279" spans="11:42" x14ac:dyDescent="0.3">
      <c r="K279" s="21">
        <v>275</v>
      </c>
      <c r="L279" s="24" t="str">
        <f t="shared" si="39"/>
        <v/>
      </c>
      <c r="M279" s="24" t="str">
        <f t="shared" si="40"/>
        <v/>
      </c>
      <c r="N279" s="24" t="str">
        <f t="shared" si="41"/>
        <v/>
      </c>
      <c r="O279" s="24" t="str">
        <f t="shared" si="42"/>
        <v/>
      </c>
      <c r="P279" s="24" t="str">
        <f t="shared" si="43"/>
        <v/>
      </c>
      <c r="Q279" s="24" t="str">
        <f t="shared" si="44"/>
        <v/>
      </c>
      <c r="R279" s="24" t="str">
        <f t="shared" si="45"/>
        <v/>
      </c>
      <c r="T279" s="8" t="s">
        <v>22</v>
      </c>
      <c r="U279" s="8" t="s">
        <v>22</v>
      </c>
      <c r="V279" s="8" t="s">
        <v>22</v>
      </c>
      <c r="W279" s="8" t="s">
        <v>22</v>
      </c>
      <c r="X279" s="8" t="s">
        <v>22</v>
      </c>
      <c r="Y279" s="8" t="s">
        <v>22</v>
      </c>
      <c r="Z279" s="8" t="s">
        <v>22</v>
      </c>
      <c r="AB279" s="7" t="s">
        <v>22</v>
      </c>
      <c r="AC279" s="7" t="s">
        <v>22</v>
      </c>
      <c r="AD279" s="7" t="s">
        <v>22</v>
      </c>
      <c r="AE279" s="7" t="s">
        <v>22</v>
      </c>
      <c r="AF279" s="7" t="s">
        <v>22</v>
      </c>
      <c r="AG279" s="7" t="s">
        <v>22</v>
      </c>
      <c r="AH279" s="7" t="s">
        <v>22</v>
      </c>
      <c r="AJ279" s="7" t="s">
        <v>22</v>
      </c>
      <c r="AK279" s="7" t="s">
        <v>22</v>
      </c>
      <c r="AL279" s="7" t="s">
        <v>22</v>
      </c>
      <c r="AM279" s="7" t="s">
        <v>22</v>
      </c>
      <c r="AN279" s="7" t="s">
        <v>22</v>
      </c>
      <c r="AO279" s="7" t="s">
        <v>22</v>
      </c>
      <c r="AP279" s="7" t="s">
        <v>22</v>
      </c>
    </row>
    <row r="280" spans="11:42" x14ac:dyDescent="0.3">
      <c r="K280" s="22">
        <v>276</v>
      </c>
      <c r="L280" s="24" t="str">
        <f t="shared" si="39"/>
        <v/>
      </c>
      <c r="M280" s="24" t="str">
        <f t="shared" si="40"/>
        <v/>
      </c>
      <c r="N280" s="24" t="str">
        <f t="shared" si="41"/>
        <v/>
      </c>
      <c r="O280" s="24" t="str">
        <f t="shared" si="42"/>
        <v/>
      </c>
      <c r="P280" s="24" t="str">
        <f t="shared" si="43"/>
        <v/>
      </c>
      <c r="Q280" s="24" t="str">
        <f t="shared" si="44"/>
        <v/>
      </c>
      <c r="R280" s="24" t="str">
        <f t="shared" si="45"/>
        <v/>
      </c>
      <c r="T280" s="8" t="s">
        <v>22</v>
      </c>
      <c r="U280" s="8" t="s">
        <v>22</v>
      </c>
      <c r="V280" s="8" t="s">
        <v>22</v>
      </c>
      <c r="W280" s="8" t="s">
        <v>22</v>
      </c>
      <c r="X280" s="8" t="s">
        <v>22</v>
      </c>
      <c r="Y280" s="8" t="s">
        <v>22</v>
      </c>
      <c r="Z280" s="8" t="s">
        <v>22</v>
      </c>
      <c r="AB280" s="7" t="s">
        <v>22</v>
      </c>
      <c r="AC280" s="7" t="s">
        <v>22</v>
      </c>
      <c r="AD280" s="7" t="s">
        <v>22</v>
      </c>
      <c r="AE280" s="7" t="s">
        <v>22</v>
      </c>
      <c r="AF280" s="7" t="s">
        <v>22</v>
      </c>
      <c r="AG280" s="7" t="s">
        <v>22</v>
      </c>
      <c r="AH280" s="7" t="s">
        <v>22</v>
      </c>
      <c r="AJ280" s="7" t="s">
        <v>22</v>
      </c>
      <c r="AK280" s="7" t="s">
        <v>22</v>
      </c>
      <c r="AL280" s="7" t="s">
        <v>22</v>
      </c>
      <c r="AM280" s="7" t="s">
        <v>22</v>
      </c>
      <c r="AN280" s="7" t="s">
        <v>22</v>
      </c>
      <c r="AO280" s="7" t="s">
        <v>22</v>
      </c>
      <c r="AP280" s="7" t="s">
        <v>22</v>
      </c>
    </row>
    <row r="281" spans="11:42" x14ac:dyDescent="0.3">
      <c r="K281" s="21">
        <v>277</v>
      </c>
      <c r="L281" s="24" t="str">
        <f t="shared" si="39"/>
        <v/>
      </c>
      <c r="M281" s="24" t="str">
        <f t="shared" si="40"/>
        <v/>
      </c>
      <c r="N281" s="24" t="str">
        <f t="shared" si="41"/>
        <v/>
      </c>
      <c r="O281" s="24" t="str">
        <f t="shared" si="42"/>
        <v/>
      </c>
      <c r="P281" s="24" t="str">
        <f t="shared" si="43"/>
        <v/>
      </c>
      <c r="Q281" s="24" t="str">
        <f t="shared" si="44"/>
        <v/>
      </c>
      <c r="R281" s="24" t="str">
        <f t="shared" si="45"/>
        <v/>
      </c>
      <c r="T281" s="8" t="s">
        <v>22</v>
      </c>
      <c r="U281" s="8" t="s">
        <v>22</v>
      </c>
      <c r="V281" s="8" t="s">
        <v>22</v>
      </c>
      <c r="W281" s="8" t="s">
        <v>22</v>
      </c>
      <c r="X281" s="8" t="s">
        <v>22</v>
      </c>
      <c r="Y281" s="8" t="s">
        <v>22</v>
      </c>
      <c r="Z281" s="8" t="s">
        <v>22</v>
      </c>
      <c r="AB281" s="7" t="s">
        <v>22</v>
      </c>
      <c r="AC281" s="7" t="s">
        <v>22</v>
      </c>
      <c r="AD281" s="7" t="s">
        <v>22</v>
      </c>
      <c r="AE281" s="7" t="s">
        <v>22</v>
      </c>
      <c r="AF281" s="7" t="s">
        <v>22</v>
      </c>
      <c r="AG281" s="7" t="s">
        <v>22</v>
      </c>
      <c r="AH281" s="7" t="s">
        <v>22</v>
      </c>
      <c r="AJ281" s="7" t="s">
        <v>22</v>
      </c>
      <c r="AK281" s="7" t="s">
        <v>22</v>
      </c>
      <c r="AL281" s="7" t="s">
        <v>22</v>
      </c>
      <c r="AM281" s="7" t="s">
        <v>22</v>
      </c>
      <c r="AN281" s="7" t="s">
        <v>22</v>
      </c>
      <c r="AO281" s="7" t="s">
        <v>22</v>
      </c>
      <c r="AP281" s="7" t="s">
        <v>22</v>
      </c>
    </row>
    <row r="282" spans="11:42" x14ac:dyDescent="0.3">
      <c r="K282" s="22">
        <v>278</v>
      </c>
      <c r="L282" s="24" t="str">
        <f t="shared" si="39"/>
        <v/>
      </c>
      <c r="M282" s="24" t="str">
        <f t="shared" si="40"/>
        <v/>
      </c>
      <c r="N282" s="24" t="str">
        <f t="shared" si="41"/>
        <v/>
      </c>
      <c r="O282" s="24" t="str">
        <f t="shared" si="42"/>
        <v/>
      </c>
      <c r="P282" s="24" t="str">
        <f t="shared" si="43"/>
        <v/>
      </c>
      <c r="Q282" s="24" t="str">
        <f t="shared" si="44"/>
        <v/>
      </c>
      <c r="R282" s="24" t="str">
        <f t="shared" si="45"/>
        <v/>
      </c>
      <c r="T282" s="8" t="s">
        <v>22</v>
      </c>
      <c r="U282" s="8" t="s">
        <v>22</v>
      </c>
      <c r="V282" s="8" t="s">
        <v>22</v>
      </c>
      <c r="W282" s="8" t="s">
        <v>22</v>
      </c>
      <c r="X282" s="8" t="s">
        <v>22</v>
      </c>
      <c r="Y282" s="8" t="s">
        <v>22</v>
      </c>
      <c r="Z282" s="8" t="s">
        <v>22</v>
      </c>
      <c r="AB282" s="7" t="s">
        <v>22</v>
      </c>
      <c r="AC282" s="7" t="s">
        <v>22</v>
      </c>
      <c r="AD282" s="7" t="s">
        <v>22</v>
      </c>
      <c r="AE282" s="7" t="s">
        <v>22</v>
      </c>
      <c r="AF282" s="7" t="s">
        <v>22</v>
      </c>
      <c r="AG282" s="7" t="s">
        <v>22</v>
      </c>
      <c r="AH282" s="7" t="s">
        <v>22</v>
      </c>
      <c r="AJ282" s="7" t="s">
        <v>22</v>
      </c>
      <c r="AK282" s="7" t="s">
        <v>22</v>
      </c>
      <c r="AL282" s="7" t="s">
        <v>22</v>
      </c>
      <c r="AM282" s="7" t="s">
        <v>22</v>
      </c>
      <c r="AN282" s="7" t="s">
        <v>22</v>
      </c>
      <c r="AO282" s="7" t="s">
        <v>22</v>
      </c>
      <c r="AP282" s="7" t="s">
        <v>22</v>
      </c>
    </row>
    <row r="283" spans="11:42" x14ac:dyDescent="0.3">
      <c r="K283" s="21">
        <v>279</v>
      </c>
      <c r="L283" s="24" t="str">
        <f t="shared" si="39"/>
        <v/>
      </c>
      <c r="M283" s="24" t="str">
        <f t="shared" si="40"/>
        <v/>
      </c>
      <c r="N283" s="24" t="str">
        <f t="shared" si="41"/>
        <v/>
      </c>
      <c r="O283" s="24" t="str">
        <f t="shared" si="42"/>
        <v/>
      </c>
      <c r="P283" s="24" t="str">
        <f t="shared" si="43"/>
        <v/>
      </c>
      <c r="Q283" s="24" t="str">
        <f t="shared" si="44"/>
        <v/>
      </c>
      <c r="R283" s="24" t="str">
        <f t="shared" si="45"/>
        <v/>
      </c>
      <c r="T283" s="8" t="s">
        <v>22</v>
      </c>
      <c r="U283" s="8" t="s">
        <v>22</v>
      </c>
      <c r="V283" s="8" t="s">
        <v>22</v>
      </c>
      <c r="W283" s="8" t="s">
        <v>22</v>
      </c>
      <c r="X283" s="8" t="s">
        <v>22</v>
      </c>
      <c r="Y283" s="8" t="s">
        <v>22</v>
      </c>
      <c r="Z283" s="8" t="s">
        <v>22</v>
      </c>
      <c r="AB283" s="7" t="s">
        <v>22</v>
      </c>
      <c r="AC283" s="7" t="s">
        <v>22</v>
      </c>
      <c r="AD283" s="7" t="s">
        <v>22</v>
      </c>
      <c r="AE283" s="7" t="s">
        <v>22</v>
      </c>
      <c r="AF283" s="7" t="s">
        <v>22</v>
      </c>
      <c r="AG283" s="7" t="s">
        <v>22</v>
      </c>
      <c r="AH283" s="7" t="s">
        <v>22</v>
      </c>
      <c r="AJ283" s="7" t="s">
        <v>22</v>
      </c>
      <c r="AK283" s="7" t="s">
        <v>22</v>
      </c>
      <c r="AL283" s="7" t="s">
        <v>22</v>
      </c>
      <c r="AM283" s="7" t="s">
        <v>22</v>
      </c>
      <c r="AN283" s="7" t="s">
        <v>22</v>
      </c>
      <c r="AO283" s="7" t="s">
        <v>22</v>
      </c>
      <c r="AP283" s="7" t="s">
        <v>22</v>
      </c>
    </row>
    <row r="284" spans="11:42" x14ac:dyDescent="0.3">
      <c r="K284" s="22">
        <v>280</v>
      </c>
      <c r="L284" s="24" t="str">
        <f t="shared" si="39"/>
        <v/>
      </c>
      <c r="M284" s="24" t="str">
        <f t="shared" si="40"/>
        <v/>
      </c>
      <c r="N284" s="24" t="str">
        <f t="shared" si="41"/>
        <v/>
      </c>
      <c r="O284" s="24" t="str">
        <f t="shared" si="42"/>
        <v/>
      </c>
      <c r="P284" s="24" t="str">
        <f t="shared" si="43"/>
        <v/>
      </c>
      <c r="Q284" s="24" t="str">
        <f t="shared" si="44"/>
        <v/>
      </c>
      <c r="R284" s="24" t="str">
        <f t="shared" si="45"/>
        <v/>
      </c>
      <c r="T284" s="8" t="s">
        <v>22</v>
      </c>
      <c r="U284" s="8" t="s">
        <v>22</v>
      </c>
      <c r="V284" s="8" t="s">
        <v>22</v>
      </c>
      <c r="W284" s="8" t="s">
        <v>22</v>
      </c>
      <c r="X284" s="8" t="s">
        <v>22</v>
      </c>
      <c r="Y284" s="8" t="s">
        <v>22</v>
      </c>
      <c r="Z284" s="8" t="s">
        <v>22</v>
      </c>
      <c r="AB284" s="7" t="s">
        <v>22</v>
      </c>
      <c r="AC284" s="7" t="s">
        <v>22</v>
      </c>
      <c r="AD284" s="7" t="s">
        <v>22</v>
      </c>
      <c r="AE284" s="7" t="s">
        <v>22</v>
      </c>
      <c r="AF284" s="7" t="s">
        <v>22</v>
      </c>
      <c r="AG284" s="7" t="s">
        <v>22</v>
      </c>
      <c r="AH284" s="7" t="s">
        <v>22</v>
      </c>
      <c r="AJ284" s="7" t="s">
        <v>22</v>
      </c>
      <c r="AK284" s="7" t="s">
        <v>22</v>
      </c>
      <c r="AL284" s="7" t="s">
        <v>22</v>
      </c>
      <c r="AM284" s="7" t="s">
        <v>22</v>
      </c>
      <c r="AN284" s="7" t="s">
        <v>22</v>
      </c>
      <c r="AO284" s="7" t="s">
        <v>22</v>
      </c>
      <c r="AP284" s="7" t="s">
        <v>22</v>
      </c>
    </row>
    <row r="285" spans="11:42" x14ac:dyDescent="0.3">
      <c r="K285" s="21">
        <v>281</v>
      </c>
      <c r="L285" s="24" t="str">
        <f t="shared" si="39"/>
        <v/>
      </c>
      <c r="M285" s="24" t="str">
        <f t="shared" si="40"/>
        <v/>
      </c>
      <c r="N285" s="24" t="str">
        <f t="shared" si="41"/>
        <v/>
      </c>
      <c r="O285" s="24" t="str">
        <f t="shared" si="42"/>
        <v/>
      </c>
      <c r="P285" s="24" t="str">
        <f t="shared" si="43"/>
        <v/>
      </c>
      <c r="Q285" s="24" t="str">
        <f t="shared" si="44"/>
        <v/>
      </c>
      <c r="R285" s="24" t="str">
        <f t="shared" si="45"/>
        <v/>
      </c>
      <c r="T285" s="8" t="s">
        <v>22</v>
      </c>
      <c r="U285" s="8" t="s">
        <v>22</v>
      </c>
      <c r="V285" s="8" t="s">
        <v>22</v>
      </c>
      <c r="W285" s="8" t="s">
        <v>22</v>
      </c>
      <c r="X285" s="8" t="s">
        <v>22</v>
      </c>
      <c r="Y285" s="8" t="s">
        <v>22</v>
      </c>
      <c r="Z285" s="8" t="s">
        <v>22</v>
      </c>
      <c r="AB285" s="7" t="s">
        <v>22</v>
      </c>
      <c r="AC285" s="7" t="s">
        <v>22</v>
      </c>
      <c r="AD285" s="7" t="s">
        <v>22</v>
      </c>
      <c r="AE285" s="7" t="s">
        <v>22</v>
      </c>
      <c r="AF285" s="7" t="s">
        <v>22</v>
      </c>
      <c r="AG285" s="7" t="s">
        <v>22</v>
      </c>
      <c r="AH285" s="7" t="s">
        <v>22</v>
      </c>
      <c r="AJ285" s="7" t="s">
        <v>22</v>
      </c>
      <c r="AK285" s="7" t="s">
        <v>22</v>
      </c>
      <c r="AL285" s="7" t="s">
        <v>22</v>
      </c>
      <c r="AM285" s="7" t="s">
        <v>22</v>
      </c>
      <c r="AN285" s="7" t="s">
        <v>22</v>
      </c>
      <c r="AO285" s="7" t="s">
        <v>22</v>
      </c>
      <c r="AP285" s="7" t="s">
        <v>22</v>
      </c>
    </row>
    <row r="286" spans="11:42" x14ac:dyDescent="0.3">
      <c r="K286" s="22">
        <v>282</v>
      </c>
      <c r="L286" s="24" t="str">
        <f t="shared" si="39"/>
        <v/>
      </c>
      <c r="M286" s="24" t="str">
        <f t="shared" si="40"/>
        <v/>
      </c>
      <c r="N286" s="24" t="str">
        <f t="shared" si="41"/>
        <v/>
      </c>
      <c r="O286" s="24" t="str">
        <f t="shared" si="42"/>
        <v/>
      </c>
      <c r="P286" s="24" t="str">
        <f t="shared" si="43"/>
        <v/>
      </c>
      <c r="Q286" s="24" t="str">
        <f t="shared" si="44"/>
        <v/>
      </c>
      <c r="R286" s="24" t="str">
        <f t="shared" si="45"/>
        <v/>
      </c>
      <c r="T286" s="8" t="s">
        <v>22</v>
      </c>
      <c r="U286" s="8" t="s">
        <v>22</v>
      </c>
      <c r="V286" s="8" t="s">
        <v>22</v>
      </c>
      <c r="W286" s="8" t="s">
        <v>22</v>
      </c>
      <c r="X286" s="8" t="s">
        <v>22</v>
      </c>
      <c r="Y286" s="8" t="s">
        <v>22</v>
      </c>
      <c r="Z286" s="8" t="s">
        <v>22</v>
      </c>
      <c r="AB286" s="7" t="s">
        <v>22</v>
      </c>
      <c r="AC286" s="7" t="s">
        <v>22</v>
      </c>
      <c r="AD286" s="7" t="s">
        <v>22</v>
      </c>
      <c r="AE286" s="7" t="s">
        <v>22</v>
      </c>
      <c r="AF286" s="7" t="s">
        <v>22</v>
      </c>
      <c r="AG286" s="7" t="s">
        <v>22</v>
      </c>
      <c r="AH286" s="7" t="s">
        <v>22</v>
      </c>
      <c r="AJ286" s="7" t="s">
        <v>22</v>
      </c>
      <c r="AK286" s="7" t="s">
        <v>22</v>
      </c>
      <c r="AL286" s="7" t="s">
        <v>22</v>
      </c>
      <c r="AM286" s="7" t="s">
        <v>22</v>
      </c>
      <c r="AN286" s="7" t="s">
        <v>22</v>
      </c>
      <c r="AO286" s="7" t="s">
        <v>22</v>
      </c>
      <c r="AP286" s="7" t="s">
        <v>22</v>
      </c>
    </row>
    <row r="287" spans="11:42" x14ac:dyDescent="0.3">
      <c r="K287" s="21">
        <v>283</v>
      </c>
      <c r="L287" s="24" t="str">
        <f t="shared" si="39"/>
        <v/>
      </c>
      <c r="M287" s="24" t="str">
        <f t="shared" si="40"/>
        <v/>
      </c>
      <c r="N287" s="24" t="str">
        <f t="shared" si="41"/>
        <v/>
      </c>
      <c r="O287" s="24" t="str">
        <f t="shared" si="42"/>
        <v/>
      </c>
      <c r="P287" s="24" t="str">
        <f t="shared" si="43"/>
        <v/>
      </c>
      <c r="Q287" s="24" t="str">
        <f t="shared" si="44"/>
        <v/>
      </c>
      <c r="R287" s="24" t="str">
        <f t="shared" si="45"/>
        <v/>
      </c>
      <c r="T287" s="8" t="s">
        <v>22</v>
      </c>
      <c r="U287" s="8" t="s">
        <v>22</v>
      </c>
      <c r="V287" s="8" t="s">
        <v>22</v>
      </c>
      <c r="W287" s="8" t="s">
        <v>22</v>
      </c>
      <c r="X287" s="8" t="s">
        <v>22</v>
      </c>
      <c r="Y287" s="8" t="s">
        <v>22</v>
      </c>
      <c r="Z287" s="8" t="s">
        <v>22</v>
      </c>
      <c r="AB287" s="7" t="s">
        <v>22</v>
      </c>
      <c r="AC287" s="7" t="s">
        <v>22</v>
      </c>
      <c r="AD287" s="7" t="s">
        <v>22</v>
      </c>
      <c r="AE287" s="7" t="s">
        <v>22</v>
      </c>
      <c r="AF287" s="7" t="s">
        <v>22</v>
      </c>
      <c r="AG287" s="7" t="s">
        <v>22</v>
      </c>
      <c r="AH287" s="7" t="s">
        <v>22</v>
      </c>
      <c r="AJ287" s="7" t="s">
        <v>22</v>
      </c>
      <c r="AK287" s="7" t="s">
        <v>22</v>
      </c>
      <c r="AL287" s="7" t="s">
        <v>22</v>
      </c>
      <c r="AM287" s="7" t="s">
        <v>22</v>
      </c>
      <c r="AN287" s="7" t="s">
        <v>22</v>
      </c>
      <c r="AO287" s="7" t="s">
        <v>22</v>
      </c>
      <c r="AP287" s="7" t="s">
        <v>22</v>
      </c>
    </row>
    <row r="288" spans="11:42" x14ac:dyDescent="0.3">
      <c r="K288" s="22">
        <v>284</v>
      </c>
      <c r="L288" s="24" t="str">
        <f t="shared" si="39"/>
        <v/>
      </c>
      <c r="M288" s="24" t="str">
        <f t="shared" si="40"/>
        <v/>
      </c>
      <c r="N288" s="24" t="str">
        <f t="shared" si="41"/>
        <v/>
      </c>
      <c r="O288" s="24" t="str">
        <f t="shared" si="42"/>
        <v/>
      </c>
      <c r="P288" s="24" t="str">
        <f t="shared" si="43"/>
        <v/>
      </c>
      <c r="Q288" s="24" t="str">
        <f t="shared" si="44"/>
        <v/>
      </c>
      <c r="R288" s="24" t="str">
        <f t="shared" si="45"/>
        <v/>
      </c>
      <c r="T288" s="8" t="s">
        <v>22</v>
      </c>
      <c r="U288" s="8" t="s">
        <v>22</v>
      </c>
      <c r="V288" s="8" t="s">
        <v>22</v>
      </c>
      <c r="W288" s="8" t="s">
        <v>22</v>
      </c>
      <c r="X288" s="8" t="s">
        <v>22</v>
      </c>
      <c r="Y288" s="8" t="s">
        <v>22</v>
      </c>
      <c r="Z288" s="8" t="s">
        <v>22</v>
      </c>
      <c r="AB288" s="7" t="s">
        <v>22</v>
      </c>
      <c r="AC288" s="7" t="s">
        <v>22</v>
      </c>
      <c r="AD288" s="7" t="s">
        <v>22</v>
      </c>
      <c r="AE288" s="7" t="s">
        <v>22</v>
      </c>
      <c r="AF288" s="7" t="s">
        <v>22</v>
      </c>
      <c r="AG288" s="7" t="s">
        <v>22</v>
      </c>
      <c r="AH288" s="7" t="s">
        <v>22</v>
      </c>
      <c r="AJ288" s="7" t="s">
        <v>22</v>
      </c>
      <c r="AK288" s="7" t="s">
        <v>22</v>
      </c>
      <c r="AL288" s="7" t="s">
        <v>22</v>
      </c>
      <c r="AM288" s="7" t="s">
        <v>22</v>
      </c>
      <c r="AN288" s="7" t="s">
        <v>22</v>
      </c>
      <c r="AO288" s="7" t="s">
        <v>22</v>
      </c>
      <c r="AP288" s="7" t="s">
        <v>22</v>
      </c>
    </row>
    <row r="289" spans="9:42" x14ac:dyDescent="0.3">
      <c r="K289" s="21">
        <v>285</v>
      </c>
      <c r="L289" s="24" t="str">
        <f t="shared" si="39"/>
        <v/>
      </c>
      <c r="M289" s="24" t="str">
        <f t="shared" si="40"/>
        <v/>
      </c>
      <c r="N289" s="24" t="str">
        <f t="shared" si="41"/>
        <v/>
      </c>
      <c r="O289" s="24" t="str">
        <f t="shared" si="42"/>
        <v/>
      </c>
      <c r="P289" s="24" t="str">
        <f t="shared" si="43"/>
        <v/>
      </c>
      <c r="Q289" s="24" t="str">
        <f t="shared" si="44"/>
        <v/>
      </c>
      <c r="R289" s="24" t="str">
        <f t="shared" si="45"/>
        <v/>
      </c>
      <c r="T289" s="8" t="s">
        <v>22</v>
      </c>
      <c r="U289" s="8" t="s">
        <v>22</v>
      </c>
      <c r="V289" s="8" t="s">
        <v>22</v>
      </c>
      <c r="W289" s="8" t="s">
        <v>22</v>
      </c>
      <c r="X289" s="8" t="s">
        <v>22</v>
      </c>
      <c r="Y289" s="8" t="s">
        <v>22</v>
      </c>
      <c r="Z289" s="8" t="s">
        <v>22</v>
      </c>
      <c r="AB289" s="7" t="s">
        <v>22</v>
      </c>
      <c r="AC289" s="7" t="s">
        <v>22</v>
      </c>
      <c r="AD289" s="7" t="s">
        <v>22</v>
      </c>
      <c r="AE289" s="7" t="s">
        <v>22</v>
      </c>
      <c r="AF289" s="7" t="s">
        <v>22</v>
      </c>
      <c r="AG289" s="7" t="s">
        <v>22</v>
      </c>
      <c r="AH289" s="7" t="s">
        <v>22</v>
      </c>
      <c r="AJ289" s="7" t="s">
        <v>22</v>
      </c>
      <c r="AK289" s="7" t="s">
        <v>22</v>
      </c>
      <c r="AL289" s="7" t="s">
        <v>22</v>
      </c>
      <c r="AM289" s="7" t="s">
        <v>22</v>
      </c>
      <c r="AN289" s="7" t="s">
        <v>22</v>
      </c>
      <c r="AO289" s="7" t="s">
        <v>22</v>
      </c>
      <c r="AP289" s="7" t="s">
        <v>22</v>
      </c>
    </row>
    <row r="290" spans="9:42" x14ac:dyDescent="0.3">
      <c r="K290" s="22">
        <v>286</v>
      </c>
      <c r="L290" s="24" t="str">
        <f t="shared" si="39"/>
        <v/>
      </c>
      <c r="M290" s="24" t="str">
        <f t="shared" si="40"/>
        <v/>
      </c>
      <c r="N290" s="24" t="str">
        <f t="shared" si="41"/>
        <v/>
      </c>
      <c r="O290" s="24" t="str">
        <f t="shared" si="42"/>
        <v/>
      </c>
      <c r="P290" s="24" t="str">
        <f t="shared" si="43"/>
        <v/>
      </c>
      <c r="Q290" s="24" t="str">
        <f t="shared" si="44"/>
        <v/>
      </c>
      <c r="R290" s="24" t="str">
        <f t="shared" si="45"/>
        <v/>
      </c>
      <c r="T290" s="8" t="s">
        <v>22</v>
      </c>
      <c r="U290" s="8" t="s">
        <v>22</v>
      </c>
      <c r="V290" s="8" t="s">
        <v>22</v>
      </c>
      <c r="W290" s="8" t="s">
        <v>22</v>
      </c>
      <c r="X290" s="8" t="s">
        <v>22</v>
      </c>
      <c r="Y290" s="8" t="s">
        <v>22</v>
      </c>
      <c r="Z290" s="8" t="s">
        <v>22</v>
      </c>
      <c r="AB290" s="7" t="s">
        <v>22</v>
      </c>
      <c r="AC290" s="7" t="s">
        <v>22</v>
      </c>
      <c r="AD290" s="7" t="s">
        <v>22</v>
      </c>
      <c r="AE290" s="7" t="s">
        <v>22</v>
      </c>
      <c r="AF290" s="7" t="s">
        <v>22</v>
      </c>
      <c r="AG290" s="7" t="s">
        <v>22</v>
      </c>
      <c r="AH290" s="7" t="s">
        <v>22</v>
      </c>
      <c r="AJ290" s="7" t="s">
        <v>22</v>
      </c>
      <c r="AK290" s="7" t="s">
        <v>22</v>
      </c>
      <c r="AL290" s="7" t="s">
        <v>22</v>
      </c>
      <c r="AM290" s="7" t="s">
        <v>22</v>
      </c>
      <c r="AN290" s="7" t="s">
        <v>22</v>
      </c>
      <c r="AO290" s="7" t="s">
        <v>22</v>
      </c>
      <c r="AP290" s="7" t="s">
        <v>22</v>
      </c>
    </row>
    <row r="291" spans="9:42" x14ac:dyDescent="0.3">
      <c r="K291" s="21">
        <v>287</v>
      </c>
      <c r="L291" s="24" t="str">
        <f t="shared" si="39"/>
        <v/>
      </c>
      <c r="M291" s="24" t="str">
        <f t="shared" si="40"/>
        <v/>
      </c>
      <c r="N291" s="24" t="str">
        <f t="shared" si="41"/>
        <v/>
      </c>
      <c r="O291" s="24" t="str">
        <f t="shared" si="42"/>
        <v/>
      </c>
      <c r="P291" s="24" t="str">
        <f t="shared" si="43"/>
        <v/>
      </c>
      <c r="Q291" s="24" t="str">
        <f t="shared" si="44"/>
        <v/>
      </c>
      <c r="R291" s="24" t="str">
        <f t="shared" si="45"/>
        <v/>
      </c>
      <c r="T291" s="8" t="s">
        <v>22</v>
      </c>
      <c r="U291" s="8" t="s">
        <v>22</v>
      </c>
      <c r="V291" s="8" t="s">
        <v>22</v>
      </c>
      <c r="W291" s="8" t="s">
        <v>22</v>
      </c>
      <c r="X291" s="8" t="s">
        <v>22</v>
      </c>
      <c r="Y291" s="8" t="s">
        <v>22</v>
      </c>
      <c r="Z291" s="8" t="s">
        <v>22</v>
      </c>
      <c r="AB291" s="7" t="s">
        <v>22</v>
      </c>
      <c r="AC291" s="7" t="s">
        <v>22</v>
      </c>
      <c r="AD291" s="7" t="s">
        <v>22</v>
      </c>
      <c r="AE291" s="7" t="s">
        <v>22</v>
      </c>
      <c r="AF291" s="7" t="s">
        <v>22</v>
      </c>
      <c r="AG291" s="7" t="s">
        <v>22</v>
      </c>
      <c r="AH291" s="7" t="s">
        <v>22</v>
      </c>
      <c r="AJ291" s="7" t="s">
        <v>22</v>
      </c>
      <c r="AK291" s="7" t="s">
        <v>22</v>
      </c>
      <c r="AL291" s="7" t="s">
        <v>22</v>
      </c>
      <c r="AM291" s="7" t="s">
        <v>22</v>
      </c>
      <c r="AN291" s="7" t="s">
        <v>22</v>
      </c>
      <c r="AO291" s="7" t="s">
        <v>22</v>
      </c>
      <c r="AP291" s="7" t="s">
        <v>22</v>
      </c>
    </row>
    <row r="292" spans="9:42" x14ac:dyDescent="0.3">
      <c r="K292" s="22">
        <v>288</v>
      </c>
      <c r="L292" s="24" t="str">
        <f t="shared" si="39"/>
        <v/>
      </c>
      <c r="M292" s="24" t="str">
        <f t="shared" si="40"/>
        <v/>
      </c>
      <c r="N292" s="24" t="str">
        <f t="shared" si="41"/>
        <v/>
      </c>
      <c r="O292" s="24" t="str">
        <f t="shared" si="42"/>
        <v/>
      </c>
      <c r="P292" s="24" t="str">
        <f t="shared" si="43"/>
        <v/>
      </c>
      <c r="Q292" s="24" t="str">
        <f t="shared" si="44"/>
        <v/>
      </c>
      <c r="R292" s="24" t="str">
        <f t="shared" si="45"/>
        <v/>
      </c>
      <c r="T292" s="8" t="s">
        <v>22</v>
      </c>
      <c r="U292" s="8" t="s">
        <v>22</v>
      </c>
      <c r="V292" s="8" t="s">
        <v>22</v>
      </c>
      <c r="W292" s="8" t="s">
        <v>22</v>
      </c>
      <c r="X292" s="8" t="s">
        <v>22</v>
      </c>
      <c r="Y292" s="8" t="s">
        <v>22</v>
      </c>
      <c r="Z292" s="8" t="s">
        <v>22</v>
      </c>
      <c r="AB292" s="7" t="s">
        <v>22</v>
      </c>
      <c r="AC292" s="7" t="s">
        <v>22</v>
      </c>
      <c r="AD292" s="7" t="s">
        <v>22</v>
      </c>
      <c r="AE292" s="7" t="s">
        <v>22</v>
      </c>
      <c r="AF292" s="7" t="s">
        <v>22</v>
      </c>
      <c r="AG292" s="7" t="s">
        <v>22</v>
      </c>
      <c r="AH292" s="7" t="s">
        <v>22</v>
      </c>
      <c r="AJ292" s="7" t="s">
        <v>22</v>
      </c>
      <c r="AK292" s="7" t="s">
        <v>22</v>
      </c>
      <c r="AL292" s="7" t="s">
        <v>22</v>
      </c>
      <c r="AM292" s="7" t="s">
        <v>22</v>
      </c>
      <c r="AN292" s="7" t="s">
        <v>22</v>
      </c>
      <c r="AO292" s="7" t="s">
        <v>22</v>
      </c>
      <c r="AP292" s="7" t="s">
        <v>22</v>
      </c>
    </row>
    <row r="293" spans="9:42" x14ac:dyDescent="0.3">
      <c r="K293" s="21">
        <v>289</v>
      </c>
      <c r="L293" s="24" t="str">
        <f t="shared" si="39"/>
        <v/>
      </c>
      <c r="M293" s="24" t="str">
        <f t="shared" si="40"/>
        <v/>
      </c>
      <c r="N293" s="24" t="str">
        <f t="shared" si="41"/>
        <v/>
      </c>
      <c r="O293" s="24" t="str">
        <f t="shared" si="42"/>
        <v/>
      </c>
      <c r="P293" s="24" t="str">
        <f t="shared" si="43"/>
        <v/>
      </c>
      <c r="Q293" s="24" t="str">
        <f t="shared" si="44"/>
        <v/>
      </c>
      <c r="R293" s="24" t="str">
        <f t="shared" si="45"/>
        <v/>
      </c>
      <c r="T293" s="8" t="s">
        <v>22</v>
      </c>
      <c r="U293" s="8" t="s">
        <v>22</v>
      </c>
      <c r="V293" s="8" t="s">
        <v>22</v>
      </c>
      <c r="W293" s="8" t="s">
        <v>22</v>
      </c>
      <c r="X293" s="8" t="s">
        <v>22</v>
      </c>
      <c r="Y293" s="8" t="s">
        <v>22</v>
      </c>
      <c r="Z293" s="8" t="s">
        <v>22</v>
      </c>
      <c r="AB293" s="7" t="s">
        <v>22</v>
      </c>
      <c r="AC293" s="7" t="s">
        <v>22</v>
      </c>
      <c r="AD293" s="7" t="s">
        <v>22</v>
      </c>
      <c r="AE293" s="7" t="s">
        <v>22</v>
      </c>
      <c r="AF293" s="7" t="s">
        <v>22</v>
      </c>
      <c r="AG293" s="7" t="s">
        <v>22</v>
      </c>
      <c r="AH293" s="7" t="s">
        <v>22</v>
      </c>
      <c r="AJ293" s="7" t="s">
        <v>22</v>
      </c>
      <c r="AK293" s="7" t="s">
        <v>22</v>
      </c>
      <c r="AL293" s="7" t="s">
        <v>22</v>
      </c>
      <c r="AM293" s="7" t="s">
        <v>22</v>
      </c>
      <c r="AN293" s="7" t="s">
        <v>22</v>
      </c>
      <c r="AO293" s="7" t="s">
        <v>22</v>
      </c>
      <c r="AP293" s="7" t="s">
        <v>22</v>
      </c>
    </row>
    <row r="294" spans="9:42" x14ac:dyDescent="0.3">
      <c r="K294" s="22">
        <v>290</v>
      </c>
      <c r="L294" s="24" t="str">
        <f t="shared" si="39"/>
        <v/>
      </c>
      <c r="M294" s="24" t="str">
        <f t="shared" si="40"/>
        <v/>
      </c>
      <c r="N294" s="24" t="str">
        <f t="shared" si="41"/>
        <v/>
      </c>
      <c r="O294" s="24" t="str">
        <f t="shared" si="42"/>
        <v/>
      </c>
      <c r="P294" s="24" t="str">
        <f t="shared" si="43"/>
        <v/>
      </c>
      <c r="Q294" s="24" t="str">
        <f t="shared" si="44"/>
        <v/>
      </c>
      <c r="R294" s="24" t="str">
        <f t="shared" si="45"/>
        <v/>
      </c>
      <c r="T294" s="8" t="s">
        <v>22</v>
      </c>
      <c r="U294" s="8" t="s">
        <v>22</v>
      </c>
      <c r="V294" s="8" t="s">
        <v>22</v>
      </c>
      <c r="W294" s="8" t="s">
        <v>22</v>
      </c>
      <c r="X294" s="8" t="s">
        <v>22</v>
      </c>
      <c r="Y294" s="8" t="s">
        <v>22</v>
      </c>
      <c r="Z294" s="8" t="s">
        <v>22</v>
      </c>
      <c r="AB294" s="7" t="s">
        <v>22</v>
      </c>
      <c r="AC294" s="7" t="s">
        <v>22</v>
      </c>
      <c r="AD294" s="7" t="s">
        <v>22</v>
      </c>
      <c r="AE294" s="7" t="s">
        <v>22</v>
      </c>
      <c r="AF294" s="7" t="s">
        <v>22</v>
      </c>
      <c r="AG294" s="7" t="s">
        <v>22</v>
      </c>
      <c r="AH294" s="7" t="s">
        <v>22</v>
      </c>
      <c r="AJ294" s="7" t="s">
        <v>22</v>
      </c>
      <c r="AK294" s="7" t="s">
        <v>22</v>
      </c>
      <c r="AL294" s="7" t="s">
        <v>22</v>
      </c>
      <c r="AM294" s="7" t="s">
        <v>22</v>
      </c>
      <c r="AN294" s="7" t="s">
        <v>22</v>
      </c>
      <c r="AO294" s="7" t="s">
        <v>22</v>
      </c>
      <c r="AP294" s="7" t="s">
        <v>22</v>
      </c>
    </row>
    <row r="295" spans="9:42" x14ac:dyDescent="0.3">
      <c r="K295" s="21">
        <v>291</v>
      </c>
      <c r="L295" s="24" t="str">
        <f t="shared" si="39"/>
        <v/>
      </c>
      <c r="M295" s="24" t="str">
        <f t="shared" si="40"/>
        <v/>
      </c>
      <c r="N295" s="24" t="str">
        <f t="shared" si="41"/>
        <v/>
      </c>
      <c r="O295" s="24" t="str">
        <f t="shared" si="42"/>
        <v/>
      </c>
      <c r="P295" s="24" t="str">
        <f t="shared" si="43"/>
        <v/>
      </c>
      <c r="Q295" s="24" t="str">
        <f t="shared" si="44"/>
        <v/>
      </c>
      <c r="R295" s="24" t="str">
        <f t="shared" si="45"/>
        <v/>
      </c>
      <c r="T295" s="8" t="s">
        <v>22</v>
      </c>
      <c r="U295" s="8" t="s">
        <v>22</v>
      </c>
      <c r="V295" s="8" t="s">
        <v>22</v>
      </c>
      <c r="W295" s="8" t="s">
        <v>22</v>
      </c>
      <c r="X295" s="8" t="s">
        <v>22</v>
      </c>
      <c r="Y295" s="8" t="s">
        <v>22</v>
      </c>
      <c r="Z295" s="8" t="s">
        <v>22</v>
      </c>
      <c r="AB295" s="7" t="s">
        <v>22</v>
      </c>
      <c r="AC295" s="7" t="s">
        <v>22</v>
      </c>
      <c r="AD295" s="7" t="s">
        <v>22</v>
      </c>
      <c r="AE295" s="7" t="s">
        <v>22</v>
      </c>
      <c r="AF295" s="7" t="s">
        <v>22</v>
      </c>
      <c r="AG295" s="7" t="s">
        <v>22</v>
      </c>
      <c r="AH295" s="7" t="s">
        <v>22</v>
      </c>
      <c r="AJ295" s="7" t="s">
        <v>22</v>
      </c>
      <c r="AK295" s="7" t="s">
        <v>22</v>
      </c>
      <c r="AL295" s="7" t="s">
        <v>22</v>
      </c>
      <c r="AM295" s="7" t="s">
        <v>22</v>
      </c>
      <c r="AN295" s="7" t="s">
        <v>22</v>
      </c>
      <c r="AO295" s="7" t="s">
        <v>22</v>
      </c>
      <c r="AP295" s="7" t="s">
        <v>22</v>
      </c>
    </row>
    <row r="296" spans="9:42" x14ac:dyDescent="0.3">
      <c r="K296" s="22">
        <v>292</v>
      </c>
      <c r="L296" s="24" t="str">
        <f t="shared" si="39"/>
        <v/>
      </c>
      <c r="M296" s="24" t="str">
        <f t="shared" si="40"/>
        <v/>
      </c>
      <c r="N296" s="24" t="str">
        <f t="shared" si="41"/>
        <v/>
      </c>
      <c r="O296" s="24" t="str">
        <f t="shared" si="42"/>
        <v/>
      </c>
      <c r="P296" s="24" t="str">
        <f t="shared" si="43"/>
        <v/>
      </c>
      <c r="Q296" s="24" t="str">
        <f t="shared" si="44"/>
        <v/>
      </c>
      <c r="R296" s="24" t="str">
        <f t="shared" si="45"/>
        <v/>
      </c>
      <c r="T296" s="8" t="s">
        <v>22</v>
      </c>
      <c r="U296" s="8" t="s">
        <v>22</v>
      </c>
      <c r="V296" s="8" t="s">
        <v>22</v>
      </c>
      <c r="W296" s="8" t="s">
        <v>22</v>
      </c>
      <c r="X296" s="8" t="s">
        <v>22</v>
      </c>
      <c r="Y296" s="8" t="s">
        <v>22</v>
      </c>
      <c r="Z296" s="8" t="s">
        <v>22</v>
      </c>
      <c r="AB296" s="7" t="s">
        <v>22</v>
      </c>
      <c r="AC296" s="7" t="s">
        <v>22</v>
      </c>
      <c r="AD296" s="7" t="s">
        <v>22</v>
      </c>
      <c r="AE296" s="7" t="s">
        <v>22</v>
      </c>
      <c r="AF296" s="7" t="s">
        <v>22</v>
      </c>
      <c r="AG296" s="7" t="s">
        <v>22</v>
      </c>
      <c r="AH296" s="7" t="s">
        <v>22</v>
      </c>
      <c r="AJ296" s="7" t="s">
        <v>22</v>
      </c>
      <c r="AK296" s="7" t="s">
        <v>22</v>
      </c>
      <c r="AL296" s="7" t="s">
        <v>22</v>
      </c>
      <c r="AM296" s="7" t="s">
        <v>22</v>
      </c>
      <c r="AN296" s="7" t="s">
        <v>22</v>
      </c>
      <c r="AO296" s="7" t="s">
        <v>22</v>
      </c>
      <c r="AP296" s="7" t="s">
        <v>22</v>
      </c>
    </row>
    <row r="297" spans="9:42" x14ac:dyDescent="0.3">
      <c r="K297" s="21">
        <v>293</v>
      </c>
      <c r="L297" s="24" t="str">
        <f t="shared" si="39"/>
        <v/>
      </c>
      <c r="M297" s="24" t="str">
        <f t="shared" si="40"/>
        <v/>
      </c>
      <c r="N297" s="24" t="str">
        <f t="shared" si="41"/>
        <v/>
      </c>
      <c r="O297" s="24" t="str">
        <f t="shared" si="42"/>
        <v/>
      </c>
      <c r="P297" s="24" t="str">
        <f t="shared" si="43"/>
        <v/>
      </c>
      <c r="Q297" s="24" t="str">
        <f t="shared" si="44"/>
        <v/>
      </c>
      <c r="R297" s="24" t="str">
        <f t="shared" si="45"/>
        <v/>
      </c>
      <c r="T297" s="8" t="s">
        <v>22</v>
      </c>
      <c r="U297" s="8" t="s">
        <v>22</v>
      </c>
      <c r="V297" s="8" t="s">
        <v>22</v>
      </c>
      <c r="W297" s="8" t="s">
        <v>22</v>
      </c>
      <c r="X297" s="8" t="s">
        <v>22</v>
      </c>
      <c r="Y297" s="8" t="s">
        <v>22</v>
      </c>
      <c r="Z297" s="8" t="s">
        <v>22</v>
      </c>
      <c r="AB297" s="7" t="s">
        <v>22</v>
      </c>
      <c r="AC297" s="7" t="s">
        <v>22</v>
      </c>
      <c r="AD297" s="7" t="s">
        <v>22</v>
      </c>
      <c r="AE297" s="7" t="s">
        <v>22</v>
      </c>
      <c r="AF297" s="7" t="s">
        <v>22</v>
      </c>
      <c r="AG297" s="7" t="s">
        <v>22</v>
      </c>
      <c r="AH297" s="7" t="s">
        <v>22</v>
      </c>
      <c r="AJ297" s="7" t="s">
        <v>22</v>
      </c>
      <c r="AK297" s="7" t="s">
        <v>22</v>
      </c>
      <c r="AL297" s="7" t="s">
        <v>22</v>
      </c>
      <c r="AM297" s="7" t="s">
        <v>22</v>
      </c>
      <c r="AN297" s="7" t="s">
        <v>22</v>
      </c>
      <c r="AO297" s="7" t="s">
        <v>22</v>
      </c>
      <c r="AP297" s="7" t="s">
        <v>22</v>
      </c>
    </row>
    <row r="298" spans="9:42" x14ac:dyDescent="0.3">
      <c r="K298" s="22">
        <v>294</v>
      </c>
      <c r="L298" s="24" t="str">
        <f t="shared" si="39"/>
        <v/>
      </c>
      <c r="M298" s="24" t="str">
        <f t="shared" si="40"/>
        <v/>
      </c>
      <c r="N298" s="24" t="str">
        <f t="shared" si="41"/>
        <v/>
      </c>
      <c r="O298" s="24" t="str">
        <f t="shared" si="42"/>
        <v/>
      </c>
      <c r="P298" s="24" t="str">
        <f t="shared" si="43"/>
        <v/>
      </c>
      <c r="Q298" s="24" t="str">
        <f t="shared" si="44"/>
        <v/>
      </c>
      <c r="R298" s="24" t="str">
        <f t="shared" si="45"/>
        <v/>
      </c>
      <c r="T298" s="8" t="s">
        <v>22</v>
      </c>
      <c r="U298" s="8" t="s">
        <v>22</v>
      </c>
      <c r="V298" s="8" t="s">
        <v>22</v>
      </c>
      <c r="W298" s="8" t="s">
        <v>22</v>
      </c>
      <c r="X298" s="8" t="s">
        <v>22</v>
      </c>
      <c r="Y298" s="8" t="s">
        <v>22</v>
      </c>
      <c r="Z298" s="8" t="s">
        <v>22</v>
      </c>
      <c r="AB298" s="7" t="s">
        <v>22</v>
      </c>
      <c r="AC298" s="7" t="s">
        <v>22</v>
      </c>
      <c r="AD298" s="7" t="s">
        <v>22</v>
      </c>
      <c r="AE298" s="7" t="s">
        <v>22</v>
      </c>
      <c r="AF298" s="7" t="s">
        <v>22</v>
      </c>
      <c r="AG298" s="7" t="s">
        <v>22</v>
      </c>
      <c r="AH298" s="7" t="s">
        <v>22</v>
      </c>
      <c r="AJ298" s="7" t="s">
        <v>22</v>
      </c>
      <c r="AK298" s="7" t="s">
        <v>22</v>
      </c>
      <c r="AL298" s="7" t="s">
        <v>22</v>
      </c>
      <c r="AM298" s="7" t="s">
        <v>22</v>
      </c>
      <c r="AN298" s="7" t="s">
        <v>22</v>
      </c>
      <c r="AO298" s="7" t="s">
        <v>22</v>
      </c>
      <c r="AP298" s="7" t="s">
        <v>22</v>
      </c>
    </row>
    <row r="299" spans="9:42" x14ac:dyDescent="0.3">
      <c r="K299" s="21">
        <v>295</v>
      </c>
      <c r="L299" s="24" t="str">
        <f t="shared" si="39"/>
        <v/>
      </c>
      <c r="M299" s="24" t="str">
        <f t="shared" si="40"/>
        <v/>
      </c>
      <c r="N299" s="24" t="str">
        <f t="shared" si="41"/>
        <v/>
      </c>
      <c r="O299" s="24" t="str">
        <f t="shared" si="42"/>
        <v/>
      </c>
      <c r="P299" s="24" t="str">
        <f t="shared" si="43"/>
        <v/>
      </c>
      <c r="Q299" s="24" t="str">
        <f t="shared" si="44"/>
        <v/>
      </c>
      <c r="R299" s="24" t="str">
        <f t="shared" si="45"/>
        <v/>
      </c>
      <c r="T299" s="8" t="s">
        <v>22</v>
      </c>
      <c r="U299" s="8" t="s">
        <v>22</v>
      </c>
      <c r="V299" s="8" t="s">
        <v>22</v>
      </c>
      <c r="W299" s="8" t="s">
        <v>22</v>
      </c>
      <c r="X299" s="8" t="s">
        <v>22</v>
      </c>
      <c r="Y299" s="8" t="s">
        <v>22</v>
      </c>
      <c r="Z299" s="8" t="s">
        <v>22</v>
      </c>
      <c r="AB299" s="7" t="s">
        <v>22</v>
      </c>
      <c r="AC299" s="7" t="s">
        <v>22</v>
      </c>
      <c r="AD299" s="7" t="s">
        <v>22</v>
      </c>
      <c r="AE299" s="7" t="s">
        <v>22</v>
      </c>
      <c r="AF299" s="7" t="s">
        <v>22</v>
      </c>
      <c r="AG299" s="7" t="s">
        <v>22</v>
      </c>
      <c r="AH299" s="7" t="s">
        <v>22</v>
      </c>
      <c r="AJ299" s="7" t="s">
        <v>22</v>
      </c>
      <c r="AK299" s="7" t="s">
        <v>22</v>
      </c>
      <c r="AL299" s="7" t="s">
        <v>22</v>
      </c>
      <c r="AM299" s="7" t="s">
        <v>22</v>
      </c>
      <c r="AN299" s="7" t="s">
        <v>22</v>
      </c>
      <c r="AO299" s="7" t="s">
        <v>22</v>
      </c>
      <c r="AP299" s="7" t="s">
        <v>22</v>
      </c>
    </row>
    <row r="300" spans="9:42" x14ac:dyDescent="0.3">
      <c r="K300" s="22">
        <v>296</v>
      </c>
      <c r="L300" s="24" t="str">
        <f t="shared" si="39"/>
        <v/>
      </c>
      <c r="M300" s="24" t="str">
        <f t="shared" si="40"/>
        <v/>
      </c>
      <c r="N300" s="24" t="str">
        <f t="shared" si="41"/>
        <v/>
      </c>
      <c r="O300" s="24" t="str">
        <f t="shared" si="42"/>
        <v/>
      </c>
      <c r="P300" s="24" t="str">
        <f t="shared" si="43"/>
        <v/>
      </c>
      <c r="Q300" s="24" t="str">
        <f t="shared" si="44"/>
        <v/>
      </c>
      <c r="R300" s="24" t="str">
        <f t="shared" si="45"/>
        <v/>
      </c>
      <c r="T300" s="8" t="s">
        <v>22</v>
      </c>
      <c r="U300" s="8" t="s">
        <v>22</v>
      </c>
      <c r="V300" s="8" t="s">
        <v>22</v>
      </c>
      <c r="W300" s="8" t="s">
        <v>22</v>
      </c>
      <c r="X300" s="8" t="s">
        <v>22</v>
      </c>
      <c r="Y300" s="8" t="s">
        <v>22</v>
      </c>
      <c r="Z300" s="8" t="s">
        <v>22</v>
      </c>
      <c r="AB300" s="7" t="s">
        <v>22</v>
      </c>
      <c r="AC300" s="7" t="s">
        <v>22</v>
      </c>
      <c r="AD300" s="7" t="s">
        <v>22</v>
      </c>
      <c r="AE300" s="7" t="s">
        <v>22</v>
      </c>
      <c r="AF300" s="7" t="s">
        <v>22</v>
      </c>
      <c r="AG300" s="7" t="s">
        <v>22</v>
      </c>
      <c r="AH300" s="7" t="s">
        <v>22</v>
      </c>
      <c r="AJ300" s="7" t="s">
        <v>22</v>
      </c>
      <c r="AK300" s="7" t="s">
        <v>22</v>
      </c>
      <c r="AL300" s="7" t="s">
        <v>22</v>
      </c>
      <c r="AM300" s="7" t="s">
        <v>22</v>
      </c>
      <c r="AN300" s="7" t="s">
        <v>22</v>
      </c>
      <c r="AO300" s="7" t="s">
        <v>22</v>
      </c>
      <c r="AP300" s="7" t="s">
        <v>22</v>
      </c>
    </row>
    <row r="301" spans="9:42" x14ac:dyDescent="0.3">
      <c r="K301" s="21">
        <v>297</v>
      </c>
      <c r="L301" s="24" t="str">
        <f t="shared" si="39"/>
        <v/>
      </c>
      <c r="M301" s="24" t="str">
        <f t="shared" si="40"/>
        <v/>
      </c>
      <c r="N301" s="24" t="str">
        <f t="shared" si="41"/>
        <v/>
      </c>
      <c r="O301" s="24" t="str">
        <f t="shared" si="42"/>
        <v/>
      </c>
      <c r="P301" s="24" t="str">
        <f t="shared" si="43"/>
        <v/>
      </c>
      <c r="Q301" s="24" t="str">
        <f t="shared" si="44"/>
        <v/>
      </c>
      <c r="R301" s="24" t="str">
        <f t="shared" si="45"/>
        <v/>
      </c>
      <c r="T301" s="8" t="s">
        <v>22</v>
      </c>
      <c r="U301" s="8" t="s">
        <v>22</v>
      </c>
      <c r="V301" s="8" t="s">
        <v>22</v>
      </c>
      <c r="W301" s="8" t="s">
        <v>22</v>
      </c>
      <c r="X301" s="8" t="s">
        <v>22</v>
      </c>
      <c r="Y301" s="8" t="s">
        <v>22</v>
      </c>
      <c r="Z301" s="8" t="s">
        <v>22</v>
      </c>
      <c r="AB301" s="7" t="s">
        <v>22</v>
      </c>
      <c r="AC301" s="7" t="s">
        <v>22</v>
      </c>
      <c r="AD301" s="7" t="s">
        <v>22</v>
      </c>
      <c r="AE301" s="7" t="s">
        <v>22</v>
      </c>
      <c r="AF301" s="7" t="s">
        <v>22</v>
      </c>
      <c r="AG301" s="7" t="s">
        <v>22</v>
      </c>
      <c r="AH301" s="7" t="s">
        <v>22</v>
      </c>
      <c r="AJ301" s="7" t="s">
        <v>22</v>
      </c>
      <c r="AK301" s="7" t="s">
        <v>22</v>
      </c>
      <c r="AL301" s="7" t="s">
        <v>22</v>
      </c>
      <c r="AM301" s="7" t="s">
        <v>22</v>
      </c>
      <c r="AN301" s="7" t="s">
        <v>22</v>
      </c>
      <c r="AO301" s="7" t="s">
        <v>22</v>
      </c>
      <c r="AP301" s="7" t="s">
        <v>22</v>
      </c>
    </row>
    <row r="302" spans="9:42" x14ac:dyDescent="0.3">
      <c r="K302" s="22">
        <v>298</v>
      </c>
      <c r="L302" s="24" t="str">
        <f t="shared" si="39"/>
        <v/>
      </c>
      <c r="M302" s="24" t="str">
        <f t="shared" si="40"/>
        <v/>
      </c>
      <c r="N302" s="24" t="str">
        <f t="shared" si="41"/>
        <v/>
      </c>
      <c r="O302" s="24" t="str">
        <f t="shared" si="42"/>
        <v/>
      </c>
      <c r="P302" s="24" t="str">
        <f t="shared" si="43"/>
        <v/>
      </c>
      <c r="Q302" s="24" t="str">
        <f t="shared" si="44"/>
        <v/>
      </c>
      <c r="R302" s="24" t="str">
        <f t="shared" si="45"/>
        <v/>
      </c>
      <c r="T302" s="8" t="s">
        <v>22</v>
      </c>
      <c r="U302" s="8" t="s">
        <v>22</v>
      </c>
      <c r="V302" s="8" t="s">
        <v>22</v>
      </c>
      <c r="W302" s="8" t="s">
        <v>22</v>
      </c>
      <c r="X302" s="8" t="s">
        <v>22</v>
      </c>
      <c r="Y302" s="8" t="s">
        <v>22</v>
      </c>
      <c r="Z302" s="8" t="s">
        <v>22</v>
      </c>
      <c r="AB302" s="7" t="s">
        <v>22</v>
      </c>
      <c r="AC302" s="7" t="s">
        <v>22</v>
      </c>
      <c r="AD302" s="7" t="s">
        <v>22</v>
      </c>
      <c r="AE302" s="7" t="s">
        <v>22</v>
      </c>
      <c r="AF302" s="7" t="s">
        <v>22</v>
      </c>
      <c r="AG302" s="7" t="s">
        <v>22</v>
      </c>
      <c r="AH302" s="7" t="s">
        <v>22</v>
      </c>
      <c r="AJ302" s="7" t="s">
        <v>22</v>
      </c>
      <c r="AK302" s="7" t="s">
        <v>22</v>
      </c>
      <c r="AL302" s="7" t="s">
        <v>22</v>
      </c>
      <c r="AM302" s="7" t="s">
        <v>22</v>
      </c>
      <c r="AN302" s="7" t="s">
        <v>22</v>
      </c>
      <c r="AO302" s="7" t="s">
        <v>22</v>
      </c>
      <c r="AP302" s="7" t="s">
        <v>22</v>
      </c>
    </row>
    <row r="303" spans="9:42" x14ac:dyDescent="0.3">
      <c r="K303" s="21">
        <v>299</v>
      </c>
      <c r="L303" s="24" t="str">
        <f t="shared" si="39"/>
        <v/>
      </c>
      <c r="M303" s="24" t="str">
        <f t="shared" si="40"/>
        <v/>
      </c>
      <c r="N303" s="24" t="str">
        <f t="shared" si="41"/>
        <v/>
      </c>
      <c r="O303" s="24" t="str">
        <f t="shared" si="42"/>
        <v/>
      </c>
      <c r="P303" s="24" t="str">
        <f t="shared" si="43"/>
        <v/>
      </c>
      <c r="Q303" s="24" t="str">
        <f t="shared" si="44"/>
        <v/>
      </c>
      <c r="R303" s="24" t="str">
        <f t="shared" si="45"/>
        <v/>
      </c>
      <c r="T303" s="8" t="s">
        <v>22</v>
      </c>
      <c r="U303" s="8" t="s">
        <v>22</v>
      </c>
      <c r="V303" s="8" t="s">
        <v>22</v>
      </c>
      <c r="W303" s="8" t="s">
        <v>22</v>
      </c>
      <c r="X303" s="8" t="s">
        <v>22</v>
      </c>
      <c r="Y303" s="8" t="s">
        <v>22</v>
      </c>
      <c r="Z303" s="8" t="s">
        <v>22</v>
      </c>
      <c r="AB303" s="7" t="s">
        <v>22</v>
      </c>
      <c r="AC303" s="7" t="s">
        <v>22</v>
      </c>
      <c r="AD303" s="7" t="s">
        <v>22</v>
      </c>
      <c r="AE303" s="7" t="s">
        <v>22</v>
      </c>
      <c r="AF303" s="7" t="s">
        <v>22</v>
      </c>
      <c r="AG303" s="7" t="s">
        <v>22</v>
      </c>
      <c r="AH303" s="7" t="s">
        <v>22</v>
      </c>
      <c r="AJ303" s="7" t="s">
        <v>22</v>
      </c>
      <c r="AK303" s="7" t="s">
        <v>22</v>
      </c>
      <c r="AL303" s="7" t="s">
        <v>22</v>
      </c>
      <c r="AM303" s="7" t="s">
        <v>22</v>
      </c>
      <c r="AN303" s="7" t="s">
        <v>22</v>
      </c>
      <c r="AO303" s="7" t="s">
        <v>22</v>
      </c>
      <c r="AP303" s="7" t="s">
        <v>22</v>
      </c>
    </row>
    <row r="304" spans="9:42" x14ac:dyDescent="0.3">
      <c r="I304" s="32"/>
      <c r="K304" s="22">
        <v>300</v>
      </c>
      <c r="L304" s="24" t="str">
        <f t="shared" si="39"/>
        <v/>
      </c>
      <c r="M304" s="24" t="str">
        <f t="shared" si="40"/>
        <v/>
      </c>
      <c r="N304" s="24" t="str">
        <f t="shared" si="41"/>
        <v/>
      </c>
      <c r="O304" s="24" t="str">
        <f t="shared" si="42"/>
        <v/>
      </c>
      <c r="P304" s="24" t="str">
        <f t="shared" si="43"/>
        <v/>
      </c>
      <c r="Q304" s="24" t="str">
        <f t="shared" si="44"/>
        <v/>
      </c>
      <c r="R304" s="24" t="str">
        <f t="shared" si="45"/>
        <v/>
      </c>
      <c r="T304" s="8" t="s">
        <v>22</v>
      </c>
      <c r="U304" s="8" t="s">
        <v>22</v>
      </c>
      <c r="V304" s="8" t="s">
        <v>22</v>
      </c>
      <c r="W304" s="8" t="s">
        <v>22</v>
      </c>
      <c r="X304" s="8" t="s">
        <v>22</v>
      </c>
      <c r="Y304" s="8" t="s">
        <v>22</v>
      </c>
      <c r="Z304" s="8" t="s">
        <v>22</v>
      </c>
      <c r="AB304" s="7" t="s">
        <v>22</v>
      </c>
      <c r="AC304" s="7" t="s">
        <v>22</v>
      </c>
      <c r="AD304" s="7" t="s">
        <v>22</v>
      </c>
      <c r="AE304" s="7" t="s">
        <v>22</v>
      </c>
      <c r="AF304" s="7" t="s">
        <v>22</v>
      </c>
      <c r="AG304" s="7" t="s">
        <v>22</v>
      </c>
      <c r="AH304" s="7" t="s">
        <v>22</v>
      </c>
      <c r="AJ304" s="7" t="s">
        <v>22</v>
      </c>
      <c r="AK304" s="7" t="s">
        <v>22</v>
      </c>
      <c r="AL304" s="7" t="s">
        <v>22</v>
      </c>
      <c r="AM304" s="7" t="s">
        <v>22</v>
      </c>
      <c r="AN304" s="7" t="s">
        <v>22</v>
      </c>
      <c r="AO304" s="7" t="s">
        <v>22</v>
      </c>
      <c r="AP304" s="7" t="s">
        <v>22</v>
      </c>
    </row>
    <row r="305" spans="11:42" x14ac:dyDescent="0.3">
      <c r="K305" s="21">
        <v>301</v>
      </c>
      <c r="L305" s="24" t="str">
        <f t="shared" si="39"/>
        <v/>
      </c>
      <c r="M305" s="24" t="str">
        <f t="shared" si="40"/>
        <v/>
      </c>
      <c r="N305" s="24" t="str">
        <f t="shared" si="41"/>
        <v/>
      </c>
      <c r="O305" s="24" t="str">
        <f t="shared" si="42"/>
        <v/>
      </c>
      <c r="P305" s="24" t="str">
        <f t="shared" si="43"/>
        <v/>
      </c>
      <c r="Q305" s="24" t="str">
        <f t="shared" si="44"/>
        <v/>
      </c>
      <c r="R305" s="24" t="str">
        <f t="shared" si="45"/>
        <v/>
      </c>
      <c r="T305" s="13" t="s">
        <v>22</v>
      </c>
      <c r="U305" s="7" t="s">
        <v>22</v>
      </c>
      <c r="V305" s="7" t="s">
        <v>22</v>
      </c>
      <c r="W305" s="7" t="s">
        <v>22</v>
      </c>
      <c r="X305" s="7" t="s">
        <v>22</v>
      </c>
      <c r="Y305" s="7" t="s">
        <v>22</v>
      </c>
      <c r="Z305" s="7" t="s">
        <v>22</v>
      </c>
      <c r="AB305" s="7" t="s">
        <v>22</v>
      </c>
      <c r="AC305" s="7" t="s">
        <v>22</v>
      </c>
      <c r="AD305" s="7" t="s">
        <v>22</v>
      </c>
      <c r="AE305" s="7" t="s">
        <v>22</v>
      </c>
      <c r="AF305" s="7" t="s">
        <v>22</v>
      </c>
      <c r="AG305" s="7" t="s">
        <v>22</v>
      </c>
      <c r="AH305" s="7" t="s">
        <v>22</v>
      </c>
      <c r="AJ305" s="7" t="s">
        <v>22</v>
      </c>
      <c r="AK305" s="7" t="s">
        <v>22</v>
      </c>
      <c r="AL305" s="7" t="s">
        <v>22</v>
      </c>
      <c r="AM305" s="7" t="s">
        <v>22</v>
      </c>
      <c r="AN305" s="7" t="s">
        <v>22</v>
      </c>
      <c r="AO305" s="7" t="s">
        <v>22</v>
      </c>
      <c r="AP305" s="7" t="s">
        <v>22</v>
      </c>
    </row>
    <row r="306" spans="11:42" x14ac:dyDescent="0.3">
      <c r="K306" s="22">
        <v>302</v>
      </c>
      <c r="L306" s="24" t="str">
        <f t="shared" si="39"/>
        <v/>
      </c>
      <c r="M306" s="24" t="str">
        <f t="shared" si="40"/>
        <v/>
      </c>
      <c r="N306" s="24" t="str">
        <f t="shared" si="41"/>
        <v/>
      </c>
      <c r="O306" s="24" t="str">
        <f t="shared" si="42"/>
        <v/>
      </c>
      <c r="P306" s="24" t="str">
        <f t="shared" si="43"/>
        <v/>
      </c>
      <c r="Q306" s="24" t="str">
        <f t="shared" si="44"/>
        <v/>
      </c>
      <c r="R306" s="24" t="str">
        <f t="shared" si="45"/>
        <v/>
      </c>
      <c r="T306" s="13" t="s">
        <v>22</v>
      </c>
      <c r="U306" s="7" t="s">
        <v>22</v>
      </c>
      <c r="V306" s="7" t="s">
        <v>22</v>
      </c>
      <c r="W306" s="7" t="s">
        <v>22</v>
      </c>
      <c r="X306" s="7" t="s">
        <v>22</v>
      </c>
      <c r="Y306" s="7" t="s">
        <v>22</v>
      </c>
      <c r="Z306" s="7" t="s">
        <v>22</v>
      </c>
      <c r="AB306" s="7" t="s">
        <v>22</v>
      </c>
      <c r="AC306" s="7" t="s">
        <v>22</v>
      </c>
      <c r="AD306" s="7" t="s">
        <v>22</v>
      </c>
      <c r="AE306" s="7" t="s">
        <v>22</v>
      </c>
      <c r="AF306" s="7" t="s">
        <v>22</v>
      </c>
      <c r="AG306" s="7" t="s">
        <v>22</v>
      </c>
      <c r="AH306" s="7" t="s">
        <v>22</v>
      </c>
      <c r="AJ306" s="7" t="s">
        <v>22</v>
      </c>
      <c r="AK306" s="7" t="s">
        <v>22</v>
      </c>
      <c r="AL306" s="7" t="s">
        <v>22</v>
      </c>
      <c r="AM306" s="7" t="s">
        <v>22</v>
      </c>
      <c r="AN306" s="7" t="s">
        <v>22</v>
      </c>
      <c r="AO306" s="7" t="s">
        <v>22</v>
      </c>
      <c r="AP306" s="7" t="s">
        <v>22</v>
      </c>
    </row>
    <row r="307" spans="11:42" x14ac:dyDescent="0.3">
      <c r="K307" s="21">
        <v>303</v>
      </c>
      <c r="L307" s="24" t="str">
        <f t="shared" si="39"/>
        <v/>
      </c>
      <c r="M307" s="24" t="str">
        <f t="shared" si="40"/>
        <v/>
      </c>
      <c r="N307" s="24" t="str">
        <f t="shared" si="41"/>
        <v/>
      </c>
      <c r="O307" s="24" t="str">
        <f t="shared" si="42"/>
        <v/>
      </c>
      <c r="P307" s="24" t="str">
        <f t="shared" si="43"/>
        <v/>
      </c>
      <c r="Q307" s="24" t="str">
        <f t="shared" si="44"/>
        <v/>
      </c>
      <c r="R307" s="24" t="str">
        <f t="shared" si="45"/>
        <v/>
      </c>
      <c r="T307" s="13" t="s">
        <v>22</v>
      </c>
      <c r="U307" s="7" t="s">
        <v>22</v>
      </c>
      <c r="V307" s="7" t="s">
        <v>22</v>
      </c>
      <c r="W307" s="7" t="s">
        <v>22</v>
      </c>
      <c r="X307" s="7" t="s">
        <v>22</v>
      </c>
      <c r="Y307" s="7" t="s">
        <v>22</v>
      </c>
      <c r="Z307" s="7" t="s">
        <v>22</v>
      </c>
      <c r="AB307" s="7" t="s">
        <v>22</v>
      </c>
      <c r="AC307" s="7" t="s">
        <v>22</v>
      </c>
      <c r="AD307" s="7" t="s">
        <v>22</v>
      </c>
      <c r="AE307" s="7" t="s">
        <v>22</v>
      </c>
      <c r="AF307" s="7" t="s">
        <v>22</v>
      </c>
      <c r="AG307" s="7" t="s">
        <v>22</v>
      </c>
      <c r="AH307" s="7" t="s">
        <v>22</v>
      </c>
      <c r="AJ307" s="7" t="s">
        <v>22</v>
      </c>
      <c r="AK307" s="7" t="s">
        <v>22</v>
      </c>
      <c r="AL307" s="7" t="s">
        <v>22</v>
      </c>
      <c r="AM307" s="7" t="s">
        <v>22</v>
      </c>
      <c r="AN307" s="7" t="s">
        <v>22</v>
      </c>
      <c r="AO307" s="7" t="s">
        <v>22</v>
      </c>
      <c r="AP307" s="7" t="s">
        <v>22</v>
      </c>
    </row>
    <row r="308" spans="11:42" x14ac:dyDescent="0.3">
      <c r="K308" s="22">
        <v>304</v>
      </c>
      <c r="L308" s="24" t="str">
        <f t="shared" si="39"/>
        <v/>
      </c>
      <c r="M308" s="24" t="str">
        <f t="shared" si="40"/>
        <v/>
      </c>
      <c r="N308" s="24" t="str">
        <f t="shared" si="41"/>
        <v/>
      </c>
      <c r="O308" s="24" t="str">
        <f t="shared" si="42"/>
        <v/>
      </c>
      <c r="P308" s="24" t="str">
        <f t="shared" si="43"/>
        <v/>
      </c>
      <c r="Q308" s="24" t="str">
        <f t="shared" si="44"/>
        <v/>
      </c>
      <c r="R308" s="24" t="str">
        <f t="shared" si="45"/>
        <v/>
      </c>
      <c r="T308" s="13" t="s">
        <v>22</v>
      </c>
      <c r="U308" s="7" t="s">
        <v>22</v>
      </c>
      <c r="V308" s="7" t="s">
        <v>22</v>
      </c>
      <c r="W308" s="7" t="s">
        <v>22</v>
      </c>
      <c r="X308" s="7" t="s">
        <v>22</v>
      </c>
      <c r="Y308" s="7" t="s">
        <v>22</v>
      </c>
      <c r="Z308" s="7" t="s">
        <v>22</v>
      </c>
      <c r="AB308" s="7" t="s">
        <v>22</v>
      </c>
      <c r="AC308" s="7" t="s">
        <v>22</v>
      </c>
      <c r="AD308" s="7" t="s">
        <v>22</v>
      </c>
      <c r="AE308" s="7" t="s">
        <v>22</v>
      </c>
      <c r="AF308" s="7" t="s">
        <v>22</v>
      </c>
      <c r="AG308" s="7" t="s">
        <v>22</v>
      </c>
      <c r="AH308" s="7" t="s">
        <v>22</v>
      </c>
      <c r="AJ308" s="7" t="s">
        <v>22</v>
      </c>
      <c r="AK308" s="7" t="s">
        <v>22</v>
      </c>
      <c r="AL308" s="7" t="s">
        <v>22</v>
      </c>
      <c r="AM308" s="7" t="s">
        <v>22</v>
      </c>
      <c r="AN308" s="7" t="s">
        <v>22</v>
      </c>
      <c r="AO308" s="7" t="s">
        <v>22</v>
      </c>
      <c r="AP308" s="7" t="s">
        <v>22</v>
      </c>
    </row>
    <row r="309" spans="11:42" x14ac:dyDescent="0.3">
      <c r="K309" s="21">
        <v>305</v>
      </c>
      <c r="L309" s="24" t="str">
        <f t="shared" si="39"/>
        <v/>
      </c>
      <c r="M309" s="24" t="str">
        <f t="shared" si="40"/>
        <v/>
      </c>
      <c r="N309" s="24" t="str">
        <f t="shared" si="41"/>
        <v/>
      </c>
      <c r="O309" s="24" t="str">
        <f t="shared" si="42"/>
        <v/>
      </c>
      <c r="P309" s="24" t="str">
        <f t="shared" si="43"/>
        <v/>
      </c>
      <c r="Q309" s="24" t="str">
        <f t="shared" si="44"/>
        <v/>
      </c>
      <c r="R309" s="24" t="str">
        <f t="shared" si="45"/>
        <v/>
      </c>
      <c r="T309" s="13" t="s">
        <v>22</v>
      </c>
      <c r="U309" s="7" t="s">
        <v>22</v>
      </c>
      <c r="V309" s="7" t="s">
        <v>22</v>
      </c>
      <c r="W309" s="7" t="s">
        <v>22</v>
      </c>
      <c r="X309" s="7" t="s">
        <v>22</v>
      </c>
      <c r="Y309" s="7" t="s">
        <v>22</v>
      </c>
      <c r="Z309" s="7" t="s">
        <v>22</v>
      </c>
      <c r="AB309" s="7" t="s">
        <v>22</v>
      </c>
      <c r="AC309" s="7" t="s">
        <v>22</v>
      </c>
      <c r="AD309" s="7" t="s">
        <v>22</v>
      </c>
      <c r="AE309" s="7" t="s">
        <v>22</v>
      </c>
      <c r="AF309" s="7" t="s">
        <v>22</v>
      </c>
      <c r="AG309" s="7" t="s">
        <v>22</v>
      </c>
      <c r="AH309" s="7" t="s">
        <v>22</v>
      </c>
      <c r="AJ309" s="7" t="s">
        <v>22</v>
      </c>
      <c r="AK309" s="7" t="s">
        <v>22</v>
      </c>
      <c r="AL309" s="7" t="s">
        <v>22</v>
      </c>
      <c r="AM309" s="7" t="s">
        <v>22</v>
      </c>
      <c r="AN309" s="7" t="s">
        <v>22</v>
      </c>
      <c r="AO309" s="7" t="s">
        <v>22</v>
      </c>
      <c r="AP309" s="7" t="s">
        <v>22</v>
      </c>
    </row>
    <row r="310" spans="11:42" x14ac:dyDescent="0.3">
      <c r="K310" s="22">
        <v>306</v>
      </c>
      <c r="L310" s="24" t="str">
        <f t="shared" ref="L310:L341" si="46">IF(T310&lt;&gt;"",_xlfn.XLOOKUP(T310,$K$4:$K$27,$A$4:$A$27),"")</f>
        <v/>
      </c>
      <c r="M310" s="24" t="str">
        <f t="shared" ref="M310:M341" si="47">IF(U310&lt;&gt;"",_xlfn.XLOOKUP(U310,$K$4:$K$27,$A$4:$A$27),"")</f>
        <v/>
      </c>
      <c r="N310" s="24" t="str">
        <f t="shared" ref="N310:N341" si="48">IF(V310&lt;&gt;"",_xlfn.XLOOKUP(V310,$K$4:$K$27,$A$4:$A$27),"")</f>
        <v/>
      </c>
      <c r="O310" s="24" t="str">
        <f t="shared" ref="O310:O341" si="49">IF(W310&lt;&gt;"",_xlfn.XLOOKUP(W310,$K$4:$K$27,$A$4:$A$27),"")</f>
        <v/>
      </c>
      <c r="P310" s="24" t="str">
        <f t="shared" ref="P310:P341" si="50">IF(X310&lt;&gt;"",_xlfn.XLOOKUP(X310,$K$4:$K$27,$A$4:$A$27),"")</f>
        <v/>
      </c>
      <c r="Q310" s="24" t="str">
        <f t="shared" ref="Q310:Q341" si="51">IF(Y310&lt;&gt;"",_xlfn.XLOOKUP(Y310,$K$4:$K$27,$A$4:$A$27),"")</f>
        <v/>
      </c>
      <c r="R310" s="24" t="str">
        <f t="shared" ref="R310:R337" si="52">IF(Z310&lt;&gt;"",_xlfn.XLOOKUP(Z310,$K$4:$K$27,$A$4:$A$27),"")</f>
        <v/>
      </c>
      <c r="T310" s="13" t="s">
        <v>22</v>
      </c>
      <c r="U310" s="7" t="s">
        <v>22</v>
      </c>
      <c r="V310" s="7" t="s">
        <v>22</v>
      </c>
      <c r="W310" s="7" t="s">
        <v>22</v>
      </c>
      <c r="X310" s="7" t="s">
        <v>22</v>
      </c>
      <c r="Y310" s="7" t="s">
        <v>22</v>
      </c>
      <c r="Z310" s="7" t="s">
        <v>22</v>
      </c>
      <c r="AB310" s="7" t="s">
        <v>22</v>
      </c>
      <c r="AC310" s="7" t="s">
        <v>22</v>
      </c>
      <c r="AD310" s="7" t="s">
        <v>22</v>
      </c>
      <c r="AE310" s="7" t="s">
        <v>22</v>
      </c>
      <c r="AF310" s="7" t="s">
        <v>22</v>
      </c>
      <c r="AG310" s="7" t="s">
        <v>22</v>
      </c>
      <c r="AH310" s="7" t="s">
        <v>22</v>
      </c>
      <c r="AJ310" s="7" t="s">
        <v>22</v>
      </c>
      <c r="AK310" s="7" t="s">
        <v>22</v>
      </c>
      <c r="AL310" s="7" t="s">
        <v>22</v>
      </c>
      <c r="AM310" s="7" t="s">
        <v>22</v>
      </c>
      <c r="AN310" s="7" t="s">
        <v>22</v>
      </c>
      <c r="AO310" s="7" t="s">
        <v>22</v>
      </c>
      <c r="AP310" s="7" t="s">
        <v>22</v>
      </c>
    </row>
    <row r="311" spans="11:42" x14ac:dyDescent="0.3">
      <c r="K311" s="21">
        <v>307</v>
      </c>
      <c r="L311" s="24" t="str">
        <f t="shared" si="46"/>
        <v/>
      </c>
      <c r="M311" s="24" t="str">
        <f t="shared" si="47"/>
        <v/>
      </c>
      <c r="N311" s="24" t="str">
        <f t="shared" si="48"/>
        <v/>
      </c>
      <c r="O311" s="24" t="str">
        <f t="shared" si="49"/>
        <v/>
      </c>
      <c r="P311" s="24" t="str">
        <f t="shared" si="50"/>
        <v/>
      </c>
      <c r="Q311" s="24" t="str">
        <f t="shared" si="51"/>
        <v/>
      </c>
      <c r="R311" s="24" t="str">
        <f t="shared" si="52"/>
        <v/>
      </c>
      <c r="T311" s="13" t="s">
        <v>22</v>
      </c>
      <c r="U311" s="7" t="s">
        <v>22</v>
      </c>
      <c r="V311" s="7" t="s">
        <v>22</v>
      </c>
      <c r="W311" s="7" t="s">
        <v>22</v>
      </c>
      <c r="X311" s="7" t="s">
        <v>22</v>
      </c>
      <c r="Y311" s="7" t="s">
        <v>22</v>
      </c>
      <c r="Z311" s="7" t="s">
        <v>22</v>
      </c>
      <c r="AB311" s="7" t="s">
        <v>22</v>
      </c>
      <c r="AC311" s="7" t="s">
        <v>22</v>
      </c>
      <c r="AD311" s="7" t="s">
        <v>22</v>
      </c>
      <c r="AE311" s="7" t="s">
        <v>22</v>
      </c>
      <c r="AF311" s="7" t="s">
        <v>22</v>
      </c>
      <c r="AG311" s="7" t="s">
        <v>22</v>
      </c>
      <c r="AH311" s="7" t="s">
        <v>22</v>
      </c>
      <c r="AJ311" s="7" t="s">
        <v>22</v>
      </c>
      <c r="AK311" s="7" t="s">
        <v>22</v>
      </c>
      <c r="AL311" s="7" t="s">
        <v>22</v>
      </c>
      <c r="AM311" s="7" t="s">
        <v>22</v>
      </c>
      <c r="AN311" s="7" t="s">
        <v>22</v>
      </c>
      <c r="AO311" s="7" t="s">
        <v>22</v>
      </c>
      <c r="AP311" s="7" t="s">
        <v>22</v>
      </c>
    </row>
    <row r="312" spans="11:42" x14ac:dyDescent="0.3">
      <c r="K312" s="22">
        <v>308</v>
      </c>
      <c r="L312" s="24" t="str">
        <f t="shared" si="46"/>
        <v/>
      </c>
      <c r="M312" s="24" t="str">
        <f t="shared" si="47"/>
        <v/>
      </c>
      <c r="N312" s="24" t="str">
        <f t="shared" si="48"/>
        <v/>
      </c>
      <c r="O312" s="24" t="str">
        <f t="shared" si="49"/>
        <v/>
      </c>
      <c r="P312" s="24" t="str">
        <f t="shared" si="50"/>
        <v/>
      </c>
      <c r="Q312" s="24" t="str">
        <f t="shared" si="51"/>
        <v/>
      </c>
      <c r="R312" s="24" t="str">
        <f t="shared" si="52"/>
        <v/>
      </c>
      <c r="T312" s="13" t="s">
        <v>22</v>
      </c>
      <c r="U312" s="7" t="s">
        <v>22</v>
      </c>
      <c r="V312" s="7" t="s">
        <v>22</v>
      </c>
      <c r="W312" s="7" t="s">
        <v>22</v>
      </c>
      <c r="X312" s="7" t="s">
        <v>22</v>
      </c>
      <c r="Y312" s="7" t="s">
        <v>22</v>
      </c>
      <c r="Z312" s="7" t="s">
        <v>22</v>
      </c>
      <c r="AB312" s="7" t="s">
        <v>22</v>
      </c>
      <c r="AC312" s="7" t="s">
        <v>22</v>
      </c>
      <c r="AD312" s="7" t="s">
        <v>22</v>
      </c>
      <c r="AE312" s="7" t="s">
        <v>22</v>
      </c>
      <c r="AF312" s="7" t="s">
        <v>22</v>
      </c>
      <c r="AG312" s="7" t="s">
        <v>22</v>
      </c>
      <c r="AH312" s="7" t="s">
        <v>22</v>
      </c>
      <c r="AJ312" s="7" t="s">
        <v>22</v>
      </c>
      <c r="AK312" s="7" t="s">
        <v>22</v>
      </c>
      <c r="AL312" s="7" t="s">
        <v>22</v>
      </c>
      <c r="AM312" s="7" t="s">
        <v>22</v>
      </c>
      <c r="AN312" s="7" t="s">
        <v>22</v>
      </c>
      <c r="AO312" s="7" t="s">
        <v>22</v>
      </c>
      <c r="AP312" s="7" t="s">
        <v>22</v>
      </c>
    </row>
    <row r="313" spans="11:42" x14ac:dyDescent="0.3">
      <c r="K313" s="21">
        <v>309</v>
      </c>
      <c r="L313" s="24" t="str">
        <f t="shared" si="46"/>
        <v/>
      </c>
      <c r="M313" s="24" t="str">
        <f t="shared" si="47"/>
        <v/>
      </c>
      <c r="N313" s="24" t="str">
        <f t="shared" si="48"/>
        <v/>
      </c>
      <c r="O313" s="24" t="str">
        <f t="shared" si="49"/>
        <v/>
      </c>
      <c r="P313" s="24" t="str">
        <f t="shared" si="50"/>
        <v/>
      </c>
      <c r="Q313" s="24" t="str">
        <f t="shared" si="51"/>
        <v/>
      </c>
      <c r="R313" s="24" t="str">
        <f t="shared" si="52"/>
        <v/>
      </c>
      <c r="T313" s="13" t="s">
        <v>22</v>
      </c>
      <c r="U313" s="7" t="s">
        <v>22</v>
      </c>
      <c r="V313" s="7" t="s">
        <v>22</v>
      </c>
      <c r="W313" s="7" t="s">
        <v>22</v>
      </c>
      <c r="X313" s="7" t="s">
        <v>22</v>
      </c>
      <c r="Y313" s="7" t="s">
        <v>22</v>
      </c>
      <c r="Z313" s="7" t="s">
        <v>22</v>
      </c>
      <c r="AB313" s="7" t="s">
        <v>22</v>
      </c>
      <c r="AC313" s="7" t="s">
        <v>22</v>
      </c>
      <c r="AD313" s="7" t="s">
        <v>22</v>
      </c>
      <c r="AE313" s="7" t="s">
        <v>22</v>
      </c>
      <c r="AF313" s="7" t="s">
        <v>22</v>
      </c>
      <c r="AG313" s="7" t="s">
        <v>22</v>
      </c>
      <c r="AH313" s="7" t="s">
        <v>22</v>
      </c>
      <c r="AJ313" s="7" t="s">
        <v>22</v>
      </c>
      <c r="AK313" s="7" t="s">
        <v>22</v>
      </c>
      <c r="AL313" s="7" t="s">
        <v>22</v>
      </c>
      <c r="AM313" s="7" t="s">
        <v>22</v>
      </c>
      <c r="AN313" s="7" t="s">
        <v>22</v>
      </c>
      <c r="AO313" s="7" t="s">
        <v>22</v>
      </c>
      <c r="AP313" s="7" t="s">
        <v>22</v>
      </c>
    </row>
    <row r="314" spans="11:42" x14ac:dyDescent="0.3">
      <c r="K314" s="22">
        <v>310</v>
      </c>
      <c r="L314" s="24" t="str">
        <f t="shared" si="46"/>
        <v/>
      </c>
      <c r="M314" s="24" t="str">
        <f t="shared" si="47"/>
        <v/>
      </c>
      <c r="N314" s="24" t="str">
        <f t="shared" si="48"/>
        <v/>
      </c>
      <c r="O314" s="24" t="str">
        <f t="shared" si="49"/>
        <v/>
      </c>
      <c r="P314" s="24" t="str">
        <f t="shared" si="50"/>
        <v/>
      </c>
      <c r="Q314" s="24" t="str">
        <f t="shared" si="51"/>
        <v/>
      </c>
      <c r="R314" s="24" t="str">
        <f t="shared" si="52"/>
        <v/>
      </c>
      <c r="T314" s="13" t="s">
        <v>22</v>
      </c>
      <c r="U314" s="7" t="s">
        <v>22</v>
      </c>
      <c r="V314" s="7" t="s">
        <v>22</v>
      </c>
      <c r="W314" s="7" t="s">
        <v>22</v>
      </c>
      <c r="X314" s="7" t="s">
        <v>22</v>
      </c>
      <c r="Y314" s="7" t="s">
        <v>22</v>
      </c>
      <c r="Z314" s="7" t="s">
        <v>22</v>
      </c>
      <c r="AB314" s="7" t="s">
        <v>22</v>
      </c>
      <c r="AC314" s="7" t="s">
        <v>22</v>
      </c>
      <c r="AD314" s="7" t="s">
        <v>22</v>
      </c>
      <c r="AE314" s="7" t="s">
        <v>22</v>
      </c>
      <c r="AF314" s="7" t="s">
        <v>22</v>
      </c>
      <c r="AG314" s="7" t="s">
        <v>22</v>
      </c>
      <c r="AH314" s="7" t="s">
        <v>22</v>
      </c>
      <c r="AJ314" s="7" t="s">
        <v>22</v>
      </c>
      <c r="AK314" s="7" t="s">
        <v>22</v>
      </c>
      <c r="AL314" s="7" t="s">
        <v>22</v>
      </c>
      <c r="AM314" s="7" t="s">
        <v>22</v>
      </c>
      <c r="AN314" s="7" t="s">
        <v>22</v>
      </c>
      <c r="AO314" s="7" t="s">
        <v>22</v>
      </c>
      <c r="AP314" s="7" t="s">
        <v>22</v>
      </c>
    </row>
    <row r="315" spans="11:42" x14ac:dyDescent="0.3">
      <c r="K315" s="21">
        <v>311</v>
      </c>
      <c r="L315" s="24" t="str">
        <f t="shared" si="46"/>
        <v/>
      </c>
      <c r="M315" s="24" t="str">
        <f t="shared" si="47"/>
        <v/>
      </c>
      <c r="N315" s="24" t="str">
        <f t="shared" si="48"/>
        <v/>
      </c>
      <c r="O315" s="24" t="str">
        <f t="shared" si="49"/>
        <v/>
      </c>
      <c r="P315" s="24" t="str">
        <f t="shared" si="50"/>
        <v/>
      </c>
      <c r="Q315" s="24" t="str">
        <f t="shared" si="51"/>
        <v/>
      </c>
      <c r="R315" s="24" t="str">
        <f t="shared" si="52"/>
        <v/>
      </c>
      <c r="T315" s="13" t="s">
        <v>22</v>
      </c>
      <c r="U315" s="7" t="s">
        <v>22</v>
      </c>
      <c r="V315" s="7" t="s">
        <v>22</v>
      </c>
      <c r="W315" s="7" t="s">
        <v>22</v>
      </c>
      <c r="X315" s="7" t="s">
        <v>22</v>
      </c>
      <c r="Y315" s="7" t="s">
        <v>22</v>
      </c>
      <c r="Z315" s="7" t="s">
        <v>22</v>
      </c>
      <c r="AB315" s="7" t="s">
        <v>22</v>
      </c>
      <c r="AC315" s="7" t="s">
        <v>22</v>
      </c>
      <c r="AD315" s="7" t="s">
        <v>22</v>
      </c>
      <c r="AE315" s="7" t="s">
        <v>22</v>
      </c>
      <c r="AF315" s="7" t="s">
        <v>22</v>
      </c>
      <c r="AG315" s="7" t="s">
        <v>22</v>
      </c>
      <c r="AH315" s="7" t="s">
        <v>22</v>
      </c>
      <c r="AJ315" s="7" t="s">
        <v>22</v>
      </c>
      <c r="AK315" s="7" t="s">
        <v>22</v>
      </c>
      <c r="AL315" s="7" t="s">
        <v>22</v>
      </c>
      <c r="AM315" s="7" t="s">
        <v>22</v>
      </c>
      <c r="AN315" s="7" t="s">
        <v>22</v>
      </c>
      <c r="AO315" s="7" t="s">
        <v>22</v>
      </c>
      <c r="AP315" s="7" t="s">
        <v>22</v>
      </c>
    </row>
    <row r="316" spans="11:42" x14ac:dyDescent="0.3">
      <c r="K316" s="22">
        <v>312</v>
      </c>
      <c r="L316" s="24" t="str">
        <f t="shared" si="46"/>
        <v/>
      </c>
      <c r="M316" s="24" t="str">
        <f t="shared" si="47"/>
        <v/>
      </c>
      <c r="N316" s="24" t="str">
        <f t="shared" si="48"/>
        <v/>
      </c>
      <c r="O316" s="24" t="str">
        <f t="shared" si="49"/>
        <v/>
      </c>
      <c r="P316" s="24" t="str">
        <f t="shared" si="50"/>
        <v/>
      </c>
      <c r="Q316" s="24" t="str">
        <f t="shared" si="51"/>
        <v/>
      </c>
      <c r="R316" s="24" t="str">
        <f t="shared" si="52"/>
        <v/>
      </c>
      <c r="T316" s="13" t="s">
        <v>22</v>
      </c>
      <c r="U316" s="7" t="s">
        <v>22</v>
      </c>
      <c r="V316" s="7" t="s">
        <v>22</v>
      </c>
      <c r="W316" s="7" t="s">
        <v>22</v>
      </c>
      <c r="X316" s="7" t="s">
        <v>22</v>
      </c>
      <c r="Y316" s="7" t="s">
        <v>22</v>
      </c>
      <c r="Z316" s="7" t="s">
        <v>22</v>
      </c>
      <c r="AB316" s="7" t="s">
        <v>22</v>
      </c>
      <c r="AC316" s="7" t="s">
        <v>22</v>
      </c>
      <c r="AD316" s="7" t="s">
        <v>22</v>
      </c>
      <c r="AE316" s="7" t="s">
        <v>22</v>
      </c>
      <c r="AF316" s="7" t="s">
        <v>22</v>
      </c>
      <c r="AG316" s="7" t="s">
        <v>22</v>
      </c>
      <c r="AH316" s="7" t="s">
        <v>22</v>
      </c>
      <c r="AJ316" s="7" t="s">
        <v>22</v>
      </c>
      <c r="AK316" s="7" t="s">
        <v>22</v>
      </c>
      <c r="AL316" s="7" t="s">
        <v>22</v>
      </c>
      <c r="AM316" s="7" t="s">
        <v>22</v>
      </c>
      <c r="AN316" s="7" t="s">
        <v>22</v>
      </c>
      <c r="AO316" s="7" t="s">
        <v>22</v>
      </c>
      <c r="AP316" s="7" t="s">
        <v>22</v>
      </c>
    </row>
    <row r="317" spans="11:42" x14ac:dyDescent="0.3">
      <c r="K317" s="21">
        <v>313</v>
      </c>
      <c r="L317" s="24" t="str">
        <f t="shared" si="46"/>
        <v/>
      </c>
      <c r="M317" s="24" t="str">
        <f t="shared" si="47"/>
        <v/>
      </c>
      <c r="N317" s="24" t="str">
        <f t="shared" si="48"/>
        <v/>
      </c>
      <c r="O317" s="24" t="str">
        <f t="shared" si="49"/>
        <v/>
      </c>
      <c r="P317" s="24" t="str">
        <f t="shared" si="50"/>
        <v/>
      </c>
      <c r="Q317" s="24" t="str">
        <f t="shared" si="51"/>
        <v/>
      </c>
      <c r="R317" s="24" t="str">
        <f t="shared" si="52"/>
        <v/>
      </c>
      <c r="T317" s="13" t="s">
        <v>22</v>
      </c>
      <c r="U317" s="7" t="s">
        <v>22</v>
      </c>
      <c r="V317" s="7" t="s">
        <v>22</v>
      </c>
      <c r="W317" s="7" t="s">
        <v>22</v>
      </c>
      <c r="X317" s="7" t="s">
        <v>22</v>
      </c>
      <c r="Y317" s="7" t="s">
        <v>22</v>
      </c>
      <c r="Z317" s="7" t="s">
        <v>22</v>
      </c>
      <c r="AB317" s="7" t="s">
        <v>22</v>
      </c>
      <c r="AC317" s="7" t="s">
        <v>22</v>
      </c>
      <c r="AD317" s="7" t="s">
        <v>22</v>
      </c>
      <c r="AE317" s="7" t="s">
        <v>22</v>
      </c>
      <c r="AF317" s="7" t="s">
        <v>22</v>
      </c>
      <c r="AG317" s="7" t="s">
        <v>22</v>
      </c>
      <c r="AH317" s="7" t="s">
        <v>22</v>
      </c>
      <c r="AJ317" s="7" t="s">
        <v>22</v>
      </c>
      <c r="AK317" s="7" t="s">
        <v>22</v>
      </c>
      <c r="AL317" s="7" t="s">
        <v>22</v>
      </c>
      <c r="AM317" s="7" t="s">
        <v>22</v>
      </c>
      <c r="AN317" s="7" t="s">
        <v>22</v>
      </c>
      <c r="AO317" s="7" t="s">
        <v>22</v>
      </c>
      <c r="AP317" s="7" t="s">
        <v>22</v>
      </c>
    </row>
    <row r="318" spans="11:42" x14ac:dyDescent="0.3">
      <c r="K318" s="22">
        <v>314</v>
      </c>
      <c r="L318" s="24" t="str">
        <f t="shared" si="46"/>
        <v/>
      </c>
      <c r="M318" s="24" t="str">
        <f t="shared" si="47"/>
        <v/>
      </c>
      <c r="N318" s="24" t="str">
        <f t="shared" si="48"/>
        <v/>
      </c>
      <c r="O318" s="24" t="str">
        <f t="shared" si="49"/>
        <v/>
      </c>
      <c r="P318" s="24" t="str">
        <f t="shared" si="50"/>
        <v/>
      </c>
      <c r="Q318" s="24" t="str">
        <f t="shared" si="51"/>
        <v/>
      </c>
      <c r="R318" s="24" t="str">
        <f t="shared" si="52"/>
        <v/>
      </c>
      <c r="T318" s="13" t="s">
        <v>22</v>
      </c>
      <c r="U318" s="7" t="s">
        <v>22</v>
      </c>
      <c r="V318" s="7" t="s">
        <v>22</v>
      </c>
      <c r="W318" s="7" t="s">
        <v>22</v>
      </c>
      <c r="X318" s="7" t="s">
        <v>22</v>
      </c>
      <c r="Y318" s="7" t="s">
        <v>22</v>
      </c>
      <c r="Z318" s="7" t="s">
        <v>22</v>
      </c>
      <c r="AB318" s="7" t="s">
        <v>22</v>
      </c>
      <c r="AC318" s="7" t="s">
        <v>22</v>
      </c>
      <c r="AD318" s="7" t="s">
        <v>22</v>
      </c>
      <c r="AE318" s="7" t="s">
        <v>22</v>
      </c>
      <c r="AF318" s="7" t="s">
        <v>22</v>
      </c>
      <c r="AG318" s="7" t="s">
        <v>22</v>
      </c>
      <c r="AH318" s="7" t="s">
        <v>22</v>
      </c>
      <c r="AJ318" s="7" t="s">
        <v>22</v>
      </c>
      <c r="AK318" s="7" t="s">
        <v>22</v>
      </c>
      <c r="AL318" s="7" t="s">
        <v>22</v>
      </c>
      <c r="AM318" s="7" t="s">
        <v>22</v>
      </c>
      <c r="AN318" s="7" t="s">
        <v>22</v>
      </c>
      <c r="AO318" s="7" t="s">
        <v>22</v>
      </c>
      <c r="AP318" s="7" t="s">
        <v>22</v>
      </c>
    </row>
    <row r="319" spans="11:42" x14ac:dyDescent="0.3">
      <c r="K319" s="21">
        <v>315</v>
      </c>
      <c r="L319" s="24" t="str">
        <f t="shared" si="46"/>
        <v/>
      </c>
      <c r="M319" s="24" t="str">
        <f t="shared" si="47"/>
        <v/>
      </c>
      <c r="N319" s="24" t="str">
        <f t="shared" si="48"/>
        <v/>
      </c>
      <c r="O319" s="24" t="str">
        <f t="shared" si="49"/>
        <v/>
      </c>
      <c r="P319" s="24" t="str">
        <f t="shared" si="50"/>
        <v/>
      </c>
      <c r="Q319" s="24" t="str">
        <f t="shared" si="51"/>
        <v/>
      </c>
      <c r="R319" s="24" t="str">
        <f t="shared" si="52"/>
        <v/>
      </c>
      <c r="T319" s="13" t="s">
        <v>22</v>
      </c>
      <c r="U319" s="7" t="s">
        <v>22</v>
      </c>
      <c r="V319" s="7" t="s">
        <v>22</v>
      </c>
      <c r="W319" s="7" t="s">
        <v>22</v>
      </c>
      <c r="X319" s="7" t="s">
        <v>22</v>
      </c>
      <c r="Y319" s="7" t="s">
        <v>22</v>
      </c>
      <c r="Z319" s="7" t="s">
        <v>22</v>
      </c>
      <c r="AB319" s="7" t="s">
        <v>22</v>
      </c>
      <c r="AC319" s="7" t="s">
        <v>22</v>
      </c>
      <c r="AD319" s="7" t="s">
        <v>22</v>
      </c>
      <c r="AE319" s="7" t="s">
        <v>22</v>
      </c>
      <c r="AF319" s="7" t="s">
        <v>22</v>
      </c>
      <c r="AG319" s="7" t="s">
        <v>22</v>
      </c>
      <c r="AH319" s="7" t="s">
        <v>22</v>
      </c>
      <c r="AJ319" s="7" t="s">
        <v>22</v>
      </c>
      <c r="AK319" s="7" t="s">
        <v>22</v>
      </c>
      <c r="AL319" s="7" t="s">
        <v>22</v>
      </c>
      <c r="AM319" s="7" t="s">
        <v>22</v>
      </c>
      <c r="AN319" s="7" t="s">
        <v>22</v>
      </c>
      <c r="AO319" s="7" t="s">
        <v>22</v>
      </c>
      <c r="AP319" s="7" t="s">
        <v>22</v>
      </c>
    </row>
    <row r="320" spans="11:42" x14ac:dyDescent="0.3">
      <c r="K320" s="22">
        <v>316</v>
      </c>
      <c r="L320" s="24" t="str">
        <f t="shared" si="46"/>
        <v/>
      </c>
      <c r="M320" s="24" t="str">
        <f t="shared" si="47"/>
        <v/>
      </c>
      <c r="N320" s="24" t="str">
        <f t="shared" si="48"/>
        <v/>
      </c>
      <c r="O320" s="24" t="str">
        <f t="shared" si="49"/>
        <v/>
      </c>
      <c r="P320" s="24" t="str">
        <f t="shared" si="50"/>
        <v/>
      </c>
      <c r="Q320" s="24" t="str">
        <f t="shared" si="51"/>
        <v/>
      </c>
      <c r="R320" s="24" t="str">
        <f t="shared" si="52"/>
        <v/>
      </c>
      <c r="T320" s="13" t="s">
        <v>22</v>
      </c>
      <c r="U320" s="7" t="s">
        <v>22</v>
      </c>
      <c r="V320" s="7" t="s">
        <v>22</v>
      </c>
      <c r="W320" s="7" t="s">
        <v>22</v>
      </c>
      <c r="X320" s="7" t="s">
        <v>22</v>
      </c>
      <c r="Y320" s="7" t="s">
        <v>22</v>
      </c>
      <c r="Z320" s="7" t="s">
        <v>22</v>
      </c>
      <c r="AB320" s="7" t="s">
        <v>22</v>
      </c>
      <c r="AC320" s="7" t="s">
        <v>22</v>
      </c>
      <c r="AD320" s="7" t="s">
        <v>22</v>
      </c>
      <c r="AE320" s="7" t="s">
        <v>22</v>
      </c>
      <c r="AF320" s="7" t="s">
        <v>22</v>
      </c>
      <c r="AG320" s="7" t="s">
        <v>22</v>
      </c>
      <c r="AH320" s="7" t="s">
        <v>22</v>
      </c>
      <c r="AJ320" s="7" t="s">
        <v>22</v>
      </c>
      <c r="AK320" s="7" t="s">
        <v>22</v>
      </c>
      <c r="AL320" s="7" t="s">
        <v>22</v>
      </c>
      <c r="AM320" s="7" t="s">
        <v>22</v>
      </c>
      <c r="AN320" s="7" t="s">
        <v>22</v>
      </c>
      <c r="AO320" s="7" t="s">
        <v>22</v>
      </c>
      <c r="AP320" s="7" t="s">
        <v>22</v>
      </c>
    </row>
    <row r="321" spans="11:42" x14ac:dyDescent="0.3">
      <c r="K321" s="21">
        <v>317</v>
      </c>
      <c r="L321" s="24" t="str">
        <f t="shared" si="46"/>
        <v/>
      </c>
      <c r="M321" s="24" t="str">
        <f t="shared" si="47"/>
        <v/>
      </c>
      <c r="N321" s="24" t="str">
        <f t="shared" si="48"/>
        <v/>
      </c>
      <c r="O321" s="24" t="str">
        <f t="shared" si="49"/>
        <v/>
      </c>
      <c r="P321" s="24" t="str">
        <f t="shared" si="50"/>
        <v/>
      </c>
      <c r="Q321" s="24" t="str">
        <f t="shared" si="51"/>
        <v/>
      </c>
      <c r="R321" s="24" t="str">
        <f t="shared" si="52"/>
        <v/>
      </c>
      <c r="T321" s="13" t="s">
        <v>22</v>
      </c>
      <c r="U321" s="7" t="s">
        <v>22</v>
      </c>
      <c r="V321" s="7" t="s">
        <v>22</v>
      </c>
      <c r="W321" s="7" t="s">
        <v>22</v>
      </c>
      <c r="X321" s="7" t="s">
        <v>22</v>
      </c>
      <c r="Y321" s="7" t="s">
        <v>22</v>
      </c>
      <c r="Z321" s="7" t="s">
        <v>22</v>
      </c>
      <c r="AB321" s="7" t="s">
        <v>22</v>
      </c>
      <c r="AC321" s="7" t="s">
        <v>22</v>
      </c>
      <c r="AD321" s="7" t="s">
        <v>22</v>
      </c>
      <c r="AE321" s="7" t="s">
        <v>22</v>
      </c>
      <c r="AF321" s="7" t="s">
        <v>22</v>
      </c>
      <c r="AG321" s="7" t="s">
        <v>22</v>
      </c>
      <c r="AH321" s="7" t="s">
        <v>22</v>
      </c>
      <c r="AJ321" s="7" t="s">
        <v>22</v>
      </c>
      <c r="AK321" s="7" t="s">
        <v>22</v>
      </c>
      <c r="AL321" s="7" t="s">
        <v>22</v>
      </c>
      <c r="AM321" s="7" t="s">
        <v>22</v>
      </c>
      <c r="AN321" s="7" t="s">
        <v>22</v>
      </c>
      <c r="AO321" s="7" t="s">
        <v>22</v>
      </c>
      <c r="AP321" s="7" t="s">
        <v>22</v>
      </c>
    </row>
    <row r="322" spans="11:42" x14ac:dyDescent="0.3">
      <c r="K322" s="22">
        <v>318</v>
      </c>
      <c r="L322" s="24" t="str">
        <f t="shared" si="46"/>
        <v/>
      </c>
      <c r="M322" s="24" t="str">
        <f t="shared" si="47"/>
        <v/>
      </c>
      <c r="N322" s="24" t="str">
        <f t="shared" si="48"/>
        <v/>
      </c>
      <c r="O322" s="24" t="str">
        <f t="shared" si="49"/>
        <v/>
      </c>
      <c r="P322" s="24" t="str">
        <f t="shared" si="50"/>
        <v/>
      </c>
      <c r="Q322" s="24" t="str">
        <f t="shared" si="51"/>
        <v/>
      </c>
      <c r="R322" s="24" t="str">
        <f t="shared" si="52"/>
        <v/>
      </c>
      <c r="T322" s="13" t="s">
        <v>22</v>
      </c>
      <c r="U322" s="7" t="s">
        <v>22</v>
      </c>
      <c r="V322" s="7" t="s">
        <v>22</v>
      </c>
      <c r="W322" s="7" t="s">
        <v>22</v>
      </c>
      <c r="X322" s="7" t="s">
        <v>22</v>
      </c>
      <c r="Y322" s="7" t="s">
        <v>22</v>
      </c>
      <c r="Z322" s="7" t="s">
        <v>22</v>
      </c>
      <c r="AB322" s="7" t="s">
        <v>22</v>
      </c>
      <c r="AC322" s="7" t="s">
        <v>22</v>
      </c>
      <c r="AD322" s="7" t="s">
        <v>22</v>
      </c>
      <c r="AE322" s="7" t="s">
        <v>22</v>
      </c>
      <c r="AF322" s="7" t="s">
        <v>22</v>
      </c>
      <c r="AG322" s="7" t="s">
        <v>22</v>
      </c>
      <c r="AH322" s="7" t="s">
        <v>22</v>
      </c>
      <c r="AJ322" s="7" t="s">
        <v>22</v>
      </c>
      <c r="AK322" s="7" t="s">
        <v>22</v>
      </c>
      <c r="AL322" s="7" t="s">
        <v>22</v>
      </c>
      <c r="AM322" s="7" t="s">
        <v>22</v>
      </c>
      <c r="AN322" s="7" t="s">
        <v>22</v>
      </c>
      <c r="AO322" s="7" t="s">
        <v>22</v>
      </c>
      <c r="AP322" s="7" t="s">
        <v>22</v>
      </c>
    </row>
    <row r="323" spans="11:42" x14ac:dyDescent="0.3">
      <c r="K323" s="21">
        <v>319</v>
      </c>
      <c r="L323" s="24" t="str">
        <f t="shared" si="46"/>
        <v/>
      </c>
      <c r="M323" s="24" t="str">
        <f t="shared" si="47"/>
        <v/>
      </c>
      <c r="N323" s="24" t="str">
        <f t="shared" si="48"/>
        <v/>
      </c>
      <c r="O323" s="24" t="str">
        <f t="shared" si="49"/>
        <v/>
      </c>
      <c r="P323" s="24" t="str">
        <f t="shared" si="50"/>
        <v/>
      </c>
      <c r="Q323" s="24" t="str">
        <f t="shared" si="51"/>
        <v/>
      </c>
      <c r="R323" s="24" t="str">
        <f t="shared" si="52"/>
        <v/>
      </c>
      <c r="T323" s="13" t="s">
        <v>22</v>
      </c>
      <c r="U323" s="7" t="s">
        <v>22</v>
      </c>
      <c r="V323" s="7" t="s">
        <v>22</v>
      </c>
      <c r="W323" s="7" t="s">
        <v>22</v>
      </c>
      <c r="X323" s="7" t="s">
        <v>22</v>
      </c>
      <c r="Y323" s="7" t="s">
        <v>22</v>
      </c>
      <c r="Z323" s="7" t="s">
        <v>22</v>
      </c>
      <c r="AB323" s="7" t="s">
        <v>22</v>
      </c>
      <c r="AC323" s="7" t="s">
        <v>22</v>
      </c>
      <c r="AD323" s="7" t="s">
        <v>22</v>
      </c>
      <c r="AE323" s="7" t="s">
        <v>22</v>
      </c>
      <c r="AF323" s="7" t="s">
        <v>22</v>
      </c>
      <c r="AG323" s="7" t="s">
        <v>22</v>
      </c>
      <c r="AH323" s="7" t="s">
        <v>22</v>
      </c>
      <c r="AJ323" s="7" t="s">
        <v>22</v>
      </c>
      <c r="AK323" s="7" t="s">
        <v>22</v>
      </c>
      <c r="AL323" s="7" t="s">
        <v>22</v>
      </c>
      <c r="AM323" s="7" t="s">
        <v>22</v>
      </c>
      <c r="AN323" s="7" t="s">
        <v>22</v>
      </c>
      <c r="AO323" s="7" t="s">
        <v>22</v>
      </c>
      <c r="AP323" s="7" t="s">
        <v>22</v>
      </c>
    </row>
    <row r="324" spans="11:42" x14ac:dyDescent="0.3">
      <c r="K324" s="22">
        <v>320</v>
      </c>
      <c r="L324" s="24" t="str">
        <f t="shared" si="46"/>
        <v/>
      </c>
      <c r="M324" s="24" t="str">
        <f t="shared" si="47"/>
        <v/>
      </c>
      <c r="N324" s="24" t="str">
        <f t="shared" si="48"/>
        <v/>
      </c>
      <c r="O324" s="24" t="str">
        <f t="shared" si="49"/>
        <v/>
      </c>
      <c r="P324" s="24" t="str">
        <f t="shared" si="50"/>
        <v/>
      </c>
      <c r="Q324" s="24" t="str">
        <f t="shared" si="51"/>
        <v/>
      </c>
      <c r="R324" s="24" t="str">
        <f t="shared" si="52"/>
        <v/>
      </c>
      <c r="T324" s="13" t="s">
        <v>22</v>
      </c>
      <c r="U324" s="7" t="s">
        <v>22</v>
      </c>
      <c r="V324" s="7" t="s">
        <v>22</v>
      </c>
      <c r="W324" s="7" t="s">
        <v>22</v>
      </c>
      <c r="X324" s="7" t="s">
        <v>22</v>
      </c>
      <c r="Y324" s="7" t="s">
        <v>22</v>
      </c>
      <c r="Z324" s="7" t="s">
        <v>22</v>
      </c>
      <c r="AB324" s="7" t="s">
        <v>22</v>
      </c>
      <c r="AC324" s="7" t="s">
        <v>22</v>
      </c>
      <c r="AD324" s="7" t="s">
        <v>22</v>
      </c>
      <c r="AE324" s="7" t="s">
        <v>22</v>
      </c>
      <c r="AF324" s="7" t="s">
        <v>22</v>
      </c>
      <c r="AG324" s="7" t="s">
        <v>22</v>
      </c>
      <c r="AH324" s="7" t="s">
        <v>22</v>
      </c>
      <c r="AJ324" s="7" t="s">
        <v>22</v>
      </c>
      <c r="AK324" s="7" t="s">
        <v>22</v>
      </c>
      <c r="AL324" s="7" t="s">
        <v>22</v>
      </c>
      <c r="AM324" s="7" t="s">
        <v>22</v>
      </c>
      <c r="AN324" s="7" t="s">
        <v>22</v>
      </c>
      <c r="AO324" s="7" t="s">
        <v>22</v>
      </c>
      <c r="AP324" s="7" t="s">
        <v>22</v>
      </c>
    </row>
    <row r="325" spans="11:42" x14ac:dyDescent="0.3">
      <c r="K325" s="21">
        <v>321</v>
      </c>
      <c r="L325" s="24" t="str">
        <f t="shared" si="46"/>
        <v/>
      </c>
      <c r="M325" s="24" t="str">
        <f t="shared" si="47"/>
        <v/>
      </c>
      <c r="N325" s="24" t="str">
        <f t="shared" si="48"/>
        <v/>
      </c>
      <c r="O325" s="24" t="str">
        <f t="shared" si="49"/>
        <v/>
      </c>
      <c r="P325" s="24" t="str">
        <f t="shared" si="50"/>
        <v/>
      </c>
      <c r="Q325" s="24" t="str">
        <f t="shared" si="51"/>
        <v/>
      </c>
      <c r="R325" s="24" t="str">
        <f t="shared" si="52"/>
        <v/>
      </c>
      <c r="T325" s="13" t="s">
        <v>22</v>
      </c>
      <c r="U325" s="7" t="s">
        <v>22</v>
      </c>
      <c r="V325" s="7" t="s">
        <v>22</v>
      </c>
      <c r="W325" s="7" t="s">
        <v>22</v>
      </c>
      <c r="X325" s="7" t="s">
        <v>22</v>
      </c>
      <c r="Y325" s="7" t="s">
        <v>22</v>
      </c>
      <c r="Z325" s="7" t="s">
        <v>22</v>
      </c>
      <c r="AB325" s="7" t="s">
        <v>22</v>
      </c>
      <c r="AC325" s="7" t="s">
        <v>22</v>
      </c>
      <c r="AD325" s="7" t="s">
        <v>22</v>
      </c>
      <c r="AE325" s="7" t="s">
        <v>22</v>
      </c>
      <c r="AF325" s="7" t="s">
        <v>22</v>
      </c>
      <c r="AG325" s="7" t="s">
        <v>22</v>
      </c>
      <c r="AH325" s="7" t="s">
        <v>22</v>
      </c>
      <c r="AJ325" s="7" t="s">
        <v>22</v>
      </c>
      <c r="AK325" s="7" t="s">
        <v>22</v>
      </c>
      <c r="AL325" s="7" t="s">
        <v>22</v>
      </c>
      <c r="AM325" s="7" t="s">
        <v>22</v>
      </c>
      <c r="AN325" s="7" t="s">
        <v>22</v>
      </c>
      <c r="AO325" s="7" t="s">
        <v>22</v>
      </c>
      <c r="AP325" s="7" t="s">
        <v>22</v>
      </c>
    </row>
    <row r="326" spans="11:42" x14ac:dyDescent="0.3">
      <c r="K326" s="22">
        <v>322</v>
      </c>
      <c r="L326" s="24" t="str">
        <f t="shared" si="46"/>
        <v/>
      </c>
      <c r="M326" s="24" t="str">
        <f t="shared" si="47"/>
        <v/>
      </c>
      <c r="N326" s="24" t="str">
        <f t="shared" si="48"/>
        <v/>
      </c>
      <c r="O326" s="24" t="str">
        <f t="shared" si="49"/>
        <v/>
      </c>
      <c r="P326" s="24" t="str">
        <f t="shared" si="50"/>
        <v/>
      </c>
      <c r="Q326" s="24" t="str">
        <f t="shared" si="51"/>
        <v/>
      </c>
      <c r="R326" s="24" t="str">
        <f t="shared" si="52"/>
        <v/>
      </c>
      <c r="T326" s="13" t="s">
        <v>22</v>
      </c>
      <c r="U326" s="7" t="s">
        <v>22</v>
      </c>
      <c r="V326" s="7" t="s">
        <v>22</v>
      </c>
      <c r="W326" s="7" t="s">
        <v>22</v>
      </c>
      <c r="X326" s="7" t="s">
        <v>22</v>
      </c>
      <c r="Y326" s="7" t="s">
        <v>22</v>
      </c>
      <c r="Z326" s="7" t="s">
        <v>22</v>
      </c>
      <c r="AB326" s="7" t="s">
        <v>22</v>
      </c>
      <c r="AC326" s="7" t="s">
        <v>22</v>
      </c>
      <c r="AD326" s="7" t="s">
        <v>22</v>
      </c>
      <c r="AE326" s="7" t="s">
        <v>22</v>
      </c>
      <c r="AF326" s="7" t="s">
        <v>22</v>
      </c>
      <c r="AG326" s="7" t="s">
        <v>22</v>
      </c>
      <c r="AH326" s="7" t="s">
        <v>22</v>
      </c>
      <c r="AJ326" s="7" t="s">
        <v>22</v>
      </c>
      <c r="AK326" s="7" t="s">
        <v>22</v>
      </c>
      <c r="AL326" s="7" t="s">
        <v>22</v>
      </c>
      <c r="AM326" s="7" t="s">
        <v>22</v>
      </c>
      <c r="AN326" s="7" t="s">
        <v>22</v>
      </c>
      <c r="AO326" s="7" t="s">
        <v>22</v>
      </c>
      <c r="AP326" s="7" t="s">
        <v>22</v>
      </c>
    </row>
    <row r="327" spans="11:42" x14ac:dyDescent="0.3">
      <c r="K327" s="21">
        <v>323</v>
      </c>
      <c r="L327" s="24" t="str">
        <f t="shared" si="46"/>
        <v/>
      </c>
      <c r="M327" s="24" t="str">
        <f t="shared" si="47"/>
        <v/>
      </c>
      <c r="N327" s="24" t="str">
        <f t="shared" si="48"/>
        <v/>
      </c>
      <c r="O327" s="24" t="str">
        <f t="shared" si="49"/>
        <v/>
      </c>
      <c r="P327" s="24" t="str">
        <f t="shared" si="50"/>
        <v/>
      </c>
      <c r="Q327" s="24" t="str">
        <f t="shared" si="51"/>
        <v/>
      </c>
      <c r="R327" s="24" t="str">
        <f t="shared" si="52"/>
        <v/>
      </c>
      <c r="T327" s="13" t="s">
        <v>22</v>
      </c>
      <c r="U327" s="7" t="s">
        <v>22</v>
      </c>
      <c r="V327" s="7" t="s">
        <v>22</v>
      </c>
      <c r="W327" s="7" t="s">
        <v>22</v>
      </c>
      <c r="X327" s="7" t="s">
        <v>22</v>
      </c>
      <c r="Y327" s="7" t="s">
        <v>22</v>
      </c>
      <c r="Z327" s="7" t="s">
        <v>22</v>
      </c>
      <c r="AB327" s="7" t="s">
        <v>22</v>
      </c>
      <c r="AC327" s="7" t="s">
        <v>22</v>
      </c>
      <c r="AD327" s="7" t="s">
        <v>22</v>
      </c>
      <c r="AE327" s="7" t="s">
        <v>22</v>
      </c>
      <c r="AF327" s="7" t="s">
        <v>22</v>
      </c>
      <c r="AG327" s="7" t="s">
        <v>22</v>
      </c>
      <c r="AH327" s="7" t="s">
        <v>22</v>
      </c>
      <c r="AJ327" s="7" t="s">
        <v>22</v>
      </c>
      <c r="AK327" s="7" t="s">
        <v>22</v>
      </c>
      <c r="AL327" s="7" t="s">
        <v>22</v>
      </c>
      <c r="AM327" s="7" t="s">
        <v>22</v>
      </c>
      <c r="AN327" s="7" t="s">
        <v>22</v>
      </c>
      <c r="AO327" s="7" t="s">
        <v>22</v>
      </c>
      <c r="AP327" s="7" t="s">
        <v>22</v>
      </c>
    </row>
    <row r="328" spans="11:42" x14ac:dyDescent="0.3">
      <c r="K328" s="22">
        <v>324</v>
      </c>
      <c r="L328" s="24" t="str">
        <f t="shared" si="46"/>
        <v/>
      </c>
      <c r="M328" s="24" t="str">
        <f t="shared" si="47"/>
        <v/>
      </c>
      <c r="N328" s="24" t="str">
        <f t="shared" si="48"/>
        <v/>
      </c>
      <c r="O328" s="24" t="str">
        <f t="shared" si="49"/>
        <v/>
      </c>
      <c r="P328" s="24" t="str">
        <f t="shared" si="50"/>
        <v/>
      </c>
      <c r="Q328" s="24" t="str">
        <f t="shared" si="51"/>
        <v/>
      </c>
      <c r="R328" s="24" t="str">
        <f t="shared" si="52"/>
        <v/>
      </c>
      <c r="T328" s="13" t="s">
        <v>22</v>
      </c>
      <c r="U328" s="7" t="s">
        <v>22</v>
      </c>
      <c r="V328" s="7" t="s">
        <v>22</v>
      </c>
      <c r="W328" s="7" t="s">
        <v>22</v>
      </c>
      <c r="X328" s="7" t="s">
        <v>22</v>
      </c>
      <c r="Y328" s="7" t="s">
        <v>22</v>
      </c>
      <c r="Z328" s="7" t="s">
        <v>22</v>
      </c>
      <c r="AB328" s="7" t="s">
        <v>22</v>
      </c>
      <c r="AC328" s="7" t="s">
        <v>22</v>
      </c>
      <c r="AD328" s="7" t="s">
        <v>22</v>
      </c>
      <c r="AE328" s="7" t="s">
        <v>22</v>
      </c>
      <c r="AF328" s="7" t="s">
        <v>22</v>
      </c>
      <c r="AG328" s="7" t="s">
        <v>22</v>
      </c>
      <c r="AH328" s="7" t="s">
        <v>22</v>
      </c>
      <c r="AJ328" s="7" t="s">
        <v>22</v>
      </c>
      <c r="AK328" s="7" t="s">
        <v>22</v>
      </c>
      <c r="AL328" s="7" t="s">
        <v>22</v>
      </c>
      <c r="AM328" s="7" t="s">
        <v>22</v>
      </c>
      <c r="AN328" s="7" t="s">
        <v>22</v>
      </c>
      <c r="AO328" s="7" t="s">
        <v>22</v>
      </c>
      <c r="AP328" s="7" t="s">
        <v>22</v>
      </c>
    </row>
    <row r="329" spans="11:42" x14ac:dyDescent="0.3">
      <c r="K329" s="21">
        <v>325</v>
      </c>
      <c r="L329" s="24" t="str">
        <f t="shared" si="46"/>
        <v/>
      </c>
      <c r="M329" s="24" t="str">
        <f t="shared" si="47"/>
        <v/>
      </c>
      <c r="N329" s="24" t="str">
        <f t="shared" si="48"/>
        <v/>
      </c>
      <c r="O329" s="24" t="str">
        <f t="shared" si="49"/>
        <v/>
      </c>
      <c r="P329" s="24" t="str">
        <f t="shared" si="50"/>
        <v/>
      </c>
      <c r="Q329" s="24" t="str">
        <f t="shared" si="51"/>
        <v/>
      </c>
      <c r="R329" s="24" t="str">
        <f t="shared" si="52"/>
        <v/>
      </c>
      <c r="T329" s="13" t="s">
        <v>22</v>
      </c>
      <c r="U329" s="7" t="s">
        <v>22</v>
      </c>
      <c r="V329" s="7" t="s">
        <v>22</v>
      </c>
      <c r="W329" s="7" t="s">
        <v>22</v>
      </c>
      <c r="X329" s="7" t="s">
        <v>22</v>
      </c>
      <c r="Y329" s="7" t="s">
        <v>22</v>
      </c>
      <c r="Z329" s="7" t="s">
        <v>22</v>
      </c>
      <c r="AB329" s="7" t="s">
        <v>22</v>
      </c>
      <c r="AC329" s="7" t="s">
        <v>22</v>
      </c>
      <c r="AD329" s="7" t="s">
        <v>22</v>
      </c>
      <c r="AE329" s="7" t="s">
        <v>22</v>
      </c>
      <c r="AF329" s="7" t="s">
        <v>22</v>
      </c>
      <c r="AG329" s="7" t="s">
        <v>22</v>
      </c>
      <c r="AH329" s="7" t="s">
        <v>22</v>
      </c>
      <c r="AJ329" s="7" t="s">
        <v>22</v>
      </c>
      <c r="AK329" s="7" t="s">
        <v>22</v>
      </c>
      <c r="AL329" s="7" t="s">
        <v>22</v>
      </c>
      <c r="AM329" s="7" t="s">
        <v>22</v>
      </c>
      <c r="AN329" s="7" t="s">
        <v>22</v>
      </c>
      <c r="AO329" s="7" t="s">
        <v>22</v>
      </c>
      <c r="AP329" s="7" t="s">
        <v>22</v>
      </c>
    </row>
    <row r="330" spans="11:42" x14ac:dyDescent="0.3">
      <c r="K330" s="22">
        <v>326</v>
      </c>
      <c r="L330" s="24" t="str">
        <f t="shared" si="46"/>
        <v/>
      </c>
      <c r="M330" s="24" t="str">
        <f t="shared" si="47"/>
        <v/>
      </c>
      <c r="N330" s="24" t="str">
        <f t="shared" si="48"/>
        <v/>
      </c>
      <c r="O330" s="24" t="str">
        <f t="shared" si="49"/>
        <v/>
      </c>
      <c r="P330" s="24" t="str">
        <f t="shared" si="50"/>
        <v/>
      </c>
      <c r="Q330" s="24" t="str">
        <f t="shared" si="51"/>
        <v/>
      </c>
      <c r="R330" s="24" t="str">
        <f t="shared" si="52"/>
        <v/>
      </c>
      <c r="T330" s="13" t="s">
        <v>22</v>
      </c>
      <c r="U330" s="7" t="s">
        <v>22</v>
      </c>
      <c r="V330" s="7" t="s">
        <v>22</v>
      </c>
      <c r="W330" s="7" t="s">
        <v>22</v>
      </c>
      <c r="X330" s="7" t="s">
        <v>22</v>
      </c>
      <c r="Y330" s="7" t="s">
        <v>22</v>
      </c>
      <c r="Z330" s="7" t="s">
        <v>22</v>
      </c>
      <c r="AB330" s="7" t="s">
        <v>22</v>
      </c>
      <c r="AC330" s="7" t="s">
        <v>22</v>
      </c>
      <c r="AD330" s="7" t="s">
        <v>22</v>
      </c>
      <c r="AE330" s="7" t="s">
        <v>22</v>
      </c>
      <c r="AF330" s="7" t="s">
        <v>22</v>
      </c>
      <c r="AG330" s="7" t="s">
        <v>22</v>
      </c>
      <c r="AH330" s="7" t="s">
        <v>22</v>
      </c>
      <c r="AJ330" s="7" t="s">
        <v>22</v>
      </c>
      <c r="AK330" s="7" t="s">
        <v>22</v>
      </c>
      <c r="AL330" s="7" t="s">
        <v>22</v>
      </c>
      <c r="AM330" s="7" t="s">
        <v>22</v>
      </c>
      <c r="AN330" s="7" t="s">
        <v>22</v>
      </c>
      <c r="AO330" s="7" t="s">
        <v>22</v>
      </c>
      <c r="AP330" s="7" t="s">
        <v>22</v>
      </c>
    </row>
    <row r="331" spans="11:42" x14ac:dyDescent="0.3">
      <c r="K331" s="21">
        <v>327</v>
      </c>
      <c r="L331" s="24" t="str">
        <f t="shared" si="46"/>
        <v/>
      </c>
      <c r="M331" s="24" t="str">
        <f t="shared" si="47"/>
        <v/>
      </c>
      <c r="N331" s="24" t="str">
        <f t="shared" si="48"/>
        <v/>
      </c>
      <c r="O331" s="24" t="str">
        <f t="shared" si="49"/>
        <v/>
      </c>
      <c r="P331" s="24" t="str">
        <f t="shared" si="50"/>
        <v/>
      </c>
      <c r="Q331" s="24" t="str">
        <f t="shared" si="51"/>
        <v/>
      </c>
      <c r="R331" s="24" t="str">
        <f t="shared" si="52"/>
        <v/>
      </c>
      <c r="T331" s="13" t="s">
        <v>22</v>
      </c>
      <c r="U331" s="7" t="s">
        <v>22</v>
      </c>
      <c r="V331" s="7" t="s">
        <v>22</v>
      </c>
      <c r="W331" s="7" t="s">
        <v>22</v>
      </c>
      <c r="X331" s="7" t="s">
        <v>22</v>
      </c>
      <c r="Y331" s="7" t="s">
        <v>22</v>
      </c>
      <c r="Z331" s="7" t="s">
        <v>22</v>
      </c>
      <c r="AB331" s="7" t="s">
        <v>22</v>
      </c>
      <c r="AC331" s="7" t="s">
        <v>22</v>
      </c>
      <c r="AD331" s="7" t="s">
        <v>22</v>
      </c>
      <c r="AE331" s="7" t="s">
        <v>22</v>
      </c>
      <c r="AF331" s="7" t="s">
        <v>22</v>
      </c>
      <c r="AG331" s="7" t="s">
        <v>22</v>
      </c>
      <c r="AH331" s="7" t="s">
        <v>22</v>
      </c>
      <c r="AJ331" s="7" t="s">
        <v>22</v>
      </c>
      <c r="AK331" s="7" t="s">
        <v>22</v>
      </c>
      <c r="AL331" s="7" t="s">
        <v>22</v>
      </c>
      <c r="AM331" s="7" t="s">
        <v>22</v>
      </c>
      <c r="AN331" s="7" t="s">
        <v>22</v>
      </c>
      <c r="AO331" s="7" t="s">
        <v>22</v>
      </c>
      <c r="AP331" s="7" t="s">
        <v>22</v>
      </c>
    </row>
    <row r="332" spans="11:42" x14ac:dyDescent="0.3">
      <c r="K332" s="22">
        <v>328</v>
      </c>
      <c r="L332" s="24" t="str">
        <f t="shared" si="46"/>
        <v/>
      </c>
      <c r="M332" s="24" t="str">
        <f t="shared" si="47"/>
        <v/>
      </c>
      <c r="N332" s="24" t="str">
        <f t="shared" si="48"/>
        <v/>
      </c>
      <c r="O332" s="24" t="str">
        <f t="shared" si="49"/>
        <v/>
      </c>
      <c r="P332" s="24" t="str">
        <f t="shared" si="50"/>
        <v/>
      </c>
      <c r="Q332" s="24" t="str">
        <f t="shared" si="51"/>
        <v/>
      </c>
      <c r="R332" s="24" t="str">
        <f t="shared" si="52"/>
        <v/>
      </c>
      <c r="T332" s="13" t="s">
        <v>22</v>
      </c>
      <c r="U332" s="7" t="s">
        <v>22</v>
      </c>
      <c r="V332" s="7" t="s">
        <v>22</v>
      </c>
      <c r="W332" s="7" t="s">
        <v>22</v>
      </c>
      <c r="X332" s="7" t="s">
        <v>22</v>
      </c>
      <c r="Y332" s="7" t="s">
        <v>22</v>
      </c>
      <c r="Z332" s="7" t="s">
        <v>22</v>
      </c>
      <c r="AB332" s="7" t="s">
        <v>22</v>
      </c>
      <c r="AC332" s="7" t="s">
        <v>22</v>
      </c>
      <c r="AD332" s="7" t="s">
        <v>22</v>
      </c>
      <c r="AE332" s="7" t="s">
        <v>22</v>
      </c>
      <c r="AF332" s="7" t="s">
        <v>22</v>
      </c>
      <c r="AG332" s="7" t="s">
        <v>22</v>
      </c>
      <c r="AH332" s="7" t="s">
        <v>22</v>
      </c>
      <c r="AJ332" s="7" t="s">
        <v>22</v>
      </c>
      <c r="AK332" s="7" t="s">
        <v>22</v>
      </c>
      <c r="AL332" s="7" t="s">
        <v>22</v>
      </c>
      <c r="AM332" s="7" t="s">
        <v>22</v>
      </c>
      <c r="AN332" s="7" t="s">
        <v>22</v>
      </c>
      <c r="AO332" s="7" t="s">
        <v>22</v>
      </c>
      <c r="AP332" s="7" t="s">
        <v>22</v>
      </c>
    </row>
    <row r="333" spans="11:42" x14ac:dyDescent="0.3">
      <c r="K333" s="21">
        <v>329</v>
      </c>
      <c r="L333" s="24" t="str">
        <f t="shared" si="46"/>
        <v/>
      </c>
      <c r="M333" s="24" t="str">
        <f t="shared" si="47"/>
        <v/>
      </c>
      <c r="N333" s="24" t="str">
        <f t="shared" si="48"/>
        <v/>
      </c>
      <c r="O333" s="24" t="str">
        <f t="shared" si="49"/>
        <v/>
      </c>
      <c r="P333" s="24" t="str">
        <f t="shared" si="50"/>
        <v/>
      </c>
      <c r="Q333" s="24" t="str">
        <f t="shared" si="51"/>
        <v/>
      </c>
      <c r="R333" s="24" t="str">
        <f t="shared" si="52"/>
        <v/>
      </c>
      <c r="T333" s="13" t="s">
        <v>22</v>
      </c>
      <c r="U333" s="7" t="s">
        <v>22</v>
      </c>
      <c r="V333" s="7" t="s">
        <v>22</v>
      </c>
      <c r="W333" s="7" t="s">
        <v>22</v>
      </c>
      <c r="X333" s="7" t="s">
        <v>22</v>
      </c>
      <c r="Y333" s="7" t="s">
        <v>22</v>
      </c>
      <c r="Z333" s="7" t="s">
        <v>22</v>
      </c>
      <c r="AB333" s="7" t="s">
        <v>22</v>
      </c>
      <c r="AC333" s="7" t="s">
        <v>22</v>
      </c>
      <c r="AD333" s="7" t="s">
        <v>22</v>
      </c>
      <c r="AE333" s="7" t="s">
        <v>22</v>
      </c>
      <c r="AF333" s="7" t="s">
        <v>22</v>
      </c>
      <c r="AG333" s="7" t="s">
        <v>22</v>
      </c>
      <c r="AH333" s="7" t="s">
        <v>22</v>
      </c>
      <c r="AJ333" s="7" t="s">
        <v>22</v>
      </c>
      <c r="AK333" s="7" t="s">
        <v>22</v>
      </c>
      <c r="AL333" s="7" t="s">
        <v>22</v>
      </c>
      <c r="AM333" s="7" t="s">
        <v>22</v>
      </c>
      <c r="AN333" s="7" t="s">
        <v>22</v>
      </c>
      <c r="AO333" s="7" t="s">
        <v>22</v>
      </c>
      <c r="AP333" s="7" t="s">
        <v>22</v>
      </c>
    </row>
    <row r="334" spans="11:42" x14ac:dyDescent="0.3">
      <c r="K334" s="22">
        <v>330</v>
      </c>
      <c r="L334" s="24" t="str">
        <f t="shared" si="46"/>
        <v/>
      </c>
      <c r="M334" s="24" t="str">
        <f t="shared" si="47"/>
        <v/>
      </c>
      <c r="N334" s="24" t="str">
        <f t="shared" si="48"/>
        <v/>
      </c>
      <c r="O334" s="24" t="str">
        <f t="shared" si="49"/>
        <v/>
      </c>
      <c r="P334" s="24" t="str">
        <f t="shared" si="50"/>
        <v/>
      </c>
      <c r="Q334" s="24" t="str">
        <f t="shared" si="51"/>
        <v/>
      </c>
      <c r="R334" s="24" t="str">
        <f t="shared" si="52"/>
        <v/>
      </c>
      <c r="T334" s="13" t="s">
        <v>22</v>
      </c>
      <c r="U334" s="7" t="s">
        <v>22</v>
      </c>
      <c r="V334" s="7" t="s">
        <v>22</v>
      </c>
      <c r="W334" s="7" t="s">
        <v>22</v>
      </c>
      <c r="X334" s="7" t="s">
        <v>22</v>
      </c>
      <c r="Y334" s="7" t="s">
        <v>22</v>
      </c>
      <c r="Z334" s="7" t="s">
        <v>22</v>
      </c>
      <c r="AB334" s="7" t="s">
        <v>22</v>
      </c>
      <c r="AC334" s="7" t="s">
        <v>22</v>
      </c>
      <c r="AD334" s="7" t="s">
        <v>22</v>
      </c>
      <c r="AE334" s="7" t="s">
        <v>22</v>
      </c>
      <c r="AF334" s="7" t="s">
        <v>22</v>
      </c>
      <c r="AG334" s="7" t="s">
        <v>22</v>
      </c>
      <c r="AH334" s="7" t="s">
        <v>22</v>
      </c>
      <c r="AJ334" s="7" t="s">
        <v>22</v>
      </c>
      <c r="AK334" s="7" t="s">
        <v>22</v>
      </c>
      <c r="AL334" s="7" t="s">
        <v>22</v>
      </c>
      <c r="AM334" s="7" t="s">
        <v>22</v>
      </c>
      <c r="AN334" s="7" t="s">
        <v>22</v>
      </c>
      <c r="AO334" s="7" t="s">
        <v>22</v>
      </c>
      <c r="AP334" s="7" t="s">
        <v>22</v>
      </c>
    </row>
    <row r="335" spans="11:42" x14ac:dyDescent="0.3">
      <c r="K335" s="21">
        <v>331</v>
      </c>
      <c r="L335" s="24" t="str">
        <f t="shared" si="46"/>
        <v/>
      </c>
      <c r="M335" s="24" t="str">
        <f t="shared" si="47"/>
        <v/>
      </c>
      <c r="N335" s="24" t="str">
        <f t="shared" si="48"/>
        <v/>
      </c>
      <c r="O335" s="24" t="str">
        <f t="shared" si="49"/>
        <v/>
      </c>
      <c r="P335" s="24" t="str">
        <f t="shared" si="50"/>
        <v/>
      </c>
      <c r="Q335" s="24" t="str">
        <f t="shared" si="51"/>
        <v/>
      </c>
      <c r="R335" s="24" t="str">
        <f t="shared" si="52"/>
        <v/>
      </c>
      <c r="T335" s="13" t="s">
        <v>22</v>
      </c>
      <c r="U335" s="7" t="s">
        <v>22</v>
      </c>
      <c r="V335" s="7" t="s">
        <v>22</v>
      </c>
      <c r="W335" s="7" t="s">
        <v>22</v>
      </c>
      <c r="X335" s="7" t="s">
        <v>22</v>
      </c>
      <c r="Y335" s="7" t="s">
        <v>22</v>
      </c>
      <c r="Z335" s="7" t="s">
        <v>22</v>
      </c>
      <c r="AB335" s="7" t="s">
        <v>22</v>
      </c>
      <c r="AC335" s="7" t="s">
        <v>22</v>
      </c>
      <c r="AD335" s="7" t="s">
        <v>22</v>
      </c>
      <c r="AE335" s="7" t="s">
        <v>22</v>
      </c>
      <c r="AF335" s="7" t="s">
        <v>22</v>
      </c>
      <c r="AG335" s="7" t="s">
        <v>22</v>
      </c>
      <c r="AH335" s="7" t="s">
        <v>22</v>
      </c>
      <c r="AJ335" s="7" t="s">
        <v>22</v>
      </c>
      <c r="AK335" s="7" t="s">
        <v>22</v>
      </c>
      <c r="AL335" s="7" t="s">
        <v>22</v>
      </c>
      <c r="AM335" s="7" t="s">
        <v>22</v>
      </c>
      <c r="AN335" s="7" t="s">
        <v>22</v>
      </c>
      <c r="AO335" s="7" t="s">
        <v>22</v>
      </c>
      <c r="AP335" s="7" t="s">
        <v>22</v>
      </c>
    </row>
    <row r="336" spans="11:42" x14ac:dyDescent="0.3">
      <c r="K336" s="22">
        <v>332</v>
      </c>
      <c r="L336" s="24" t="str">
        <f t="shared" si="46"/>
        <v/>
      </c>
      <c r="M336" s="24" t="str">
        <f t="shared" si="47"/>
        <v/>
      </c>
      <c r="N336" s="24" t="str">
        <f t="shared" si="48"/>
        <v/>
      </c>
      <c r="O336" s="24" t="str">
        <f t="shared" si="49"/>
        <v/>
      </c>
      <c r="P336" s="24" t="str">
        <f t="shared" si="50"/>
        <v/>
      </c>
      <c r="Q336" s="24" t="str">
        <f t="shared" si="51"/>
        <v/>
      </c>
      <c r="R336" s="24" t="str">
        <f t="shared" si="52"/>
        <v/>
      </c>
      <c r="T336" s="13" t="s">
        <v>22</v>
      </c>
      <c r="U336" s="7" t="s">
        <v>22</v>
      </c>
      <c r="V336" s="7" t="s">
        <v>22</v>
      </c>
      <c r="W336" s="7" t="s">
        <v>22</v>
      </c>
      <c r="X336" s="7" t="s">
        <v>22</v>
      </c>
      <c r="Y336" s="7" t="s">
        <v>22</v>
      </c>
      <c r="Z336" s="7" t="s">
        <v>22</v>
      </c>
      <c r="AB336" s="7" t="s">
        <v>22</v>
      </c>
      <c r="AC336" s="7" t="s">
        <v>22</v>
      </c>
      <c r="AD336" s="7" t="s">
        <v>22</v>
      </c>
      <c r="AE336" s="7" t="s">
        <v>22</v>
      </c>
      <c r="AF336" s="7" t="s">
        <v>22</v>
      </c>
      <c r="AG336" s="7" t="s">
        <v>22</v>
      </c>
      <c r="AH336" s="7" t="s">
        <v>22</v>
      </c>
      <c r="AJ336" s="7" t="s">
        <v>22</v>
      </c>
      <c r="AK336" s="7" t="s">
        <v>22</v>
      </c>
      <c r="AL336" s="7" t="s">
        <v>22</v>
      </c>
      <c r="AM336" s="7" t="s">
        <v>22</v>
      </c>
      <c r="AN336" s="7" t="s">
        <v>22</v>
      </c>
      <c r="AO336" s="7" t="s">
        <v>22</v>
      </c>
      <c r="AP336" s="7" t="s">
        <v>22</v>
      </c>
    </row>
    <row r="337" spans="11:42" x14ac:dyDescent="0.3">
      <c r="K337" s="21">
        <v>333</v>
      </c>
      <c r="L337" s="24" t="str">
        <f t="shared" si="46"/>
        <v/>
      </c>
      <c r="M337" s="24" t="str">
        <f t="shared" si="47"/>
        <v/>
      </c>
      <c r="N337" s="24" t="str">
        <f t="shared" si="48"/>
        <v/>
      </c>
      <c r="O337" s="24" t="str">
        <f t="shared" si="49"/>
        <v/>
      </c>
      <c r="P337" s="24" t="str">
        <f t="shared" si="50"/>
        <v/>
      </c>
      <c r="Q337" s="24" t="str">
        <f t="shared" si="51"/>
        <v/>
      </c>
      <c r="R337" s="24" t="str">
        <f t="shared" si="52"/>
        <v/>
      </c>
      <c r="T337" s="13" t="s">
        <v>22</v>
      </c>
      <c r="U337" s="7" t="s">
        <v>22</v>
      </c>
      <c r="V337" s="7" t="s">
        <v>22</v>
      </c>
      <c r="W337" s="7" t="s">
        <v>22</v>
      </c>
      <c r="X337" s="7" t="s">
        <v>22</v>
      </c>
      <c r="Y337" s="7" t="s">
        <v>22</v>
      </c>
      <c r="Z337" s="7" t="s">
        <v>22</v>
      </c>
      <c r="AB337" s="7" t="s">
        <v>22</v>
      </c>
      <c r="AC337" s="7" t="s">
        <v>22</v>
      </c>
      <c r="AD337" s="7" t="s">
        <v>22</v>
      </c>
      <c r="AE337" s="7" t="s">
        <v>22</v>
      </c>
      <c r="AF337" s="7" t="s">
        <v>22</v>
      </c>
      <c r="AG337" s="7" t="s">
        <v>22</v>
      </c>
      <c r="AH337" s="7" t="s">
        <v>22</v>
      </c>
      <c r="AJ337" s="7" t="s">
        <v>22</v>
      </c>
      <c r="AK337" s="7" t="s">
        <v>22</v>
      </c>
      <c r="AL337" s="7" t="s">
        <v>22</v>
      </c>
      <c r="AM337" s="7" t="s">
        <v>22</v>
      </c>
      <c r="AN337" s="7" t="s">
        <v>22</v>
      </c>
      <c r="AO337" s="7" t="s">
        <v>22</v>
      </c>
      <c r="AP337" s="7" t="s">
        <v>22</v>
      </c>
    </row>
    <row r="338" spans="11:42" x14ac:dyDescent="0.3">
      <c r="K338" s="22">
        <v>334</v>
      </c>
      <c r="L338" s="24" t="str">
        <f t="shared" si="46"/>
        <v/>
      </c>
      <c r="M338" s="24" t="str">
        <f t="shared" si="47"/>
        <v/>
      </c>
      <c r="N338" s="24" t="str">
        <f t="shared" si="48"/>
        <v/>
      </c>
      <c r="O338" s="24" t="str">
        <f t="shared" si="49"/>
        <v/>
      </c>
      <c r="P338" s="24" t="str">
        <f t="shared" si="50"/>
        <v/>
      </c>
      <c r="Q338" s="24" t="str">
        <f t="shared" si="51"/>
        <v/>
      </c>
      <c r="R338" s="24" t="str">
        <f t="shared" ref="R338:R369" si="53">IF(Z338&lt;&gt;"",_xlfn.XLOOKUP(Z338,$K$4:$K$27,$A$4:$A$27),"")</f>
        <v/>
      </c>
      <c r="T338" s="13" t="s">
        <v>22</v>
      </c>
      <c r="U338" s="7" t="s">
        <v>22</v>
      </c>
      <c r="V338" s="7" t="s">
        <v>22</v>
      </c>
      <c r="W338" s="7" t="s">
        <v>22</v>
      </c>
      <c r="X338" s="7" t="s">
        <v>22</v>
      </c>
      <c r="Y338" s="7" t="s">
        <v>22</v>
      </c>
      <c r="Z338" s="7" t="s">
        <v>22</v>
      </c>
      <c r="AB338" s="7" t="s">
        <v>22</v>
      </c>
      <c r="AC338" s="7" t="s">
        <v>22</v>
      </c>
      <c r="AD338" s="7" t="s">
        <v>22</v>
      </c>
      <c r="AE338" s="7" t="s">
        <v>22</v>
      </c>
      <c r="AF338" s="7" t="s">
        <v>22</v>
      </c>
      <c r="AG338" s="7" t="s">
        <v>22</v>
      </c>
      <c r="AH338" s="7" t="s">
        <v>22</v>
      </c>
      <c r="AJ338" s="7" t="s">
        <v>22</v>
      </c>
      <c r="AK338" s="7" t="s">
        <v>22</v>
      </c>
      <c r="AL338" s="7" t="s">
        <v>22</v>
      </c>
      <c r="AM338" s="7" t="s">
        <v>22</v>
      </c>
      <c r="AN338" s="7" t="s">
        <v>22</v>
      </c>
      <c r="AO338" s="7" t="s">
        <v>22</v>
      </c>
      <c r="AP338" s="7" t="s">
        <v>22</v>
      </c>
    </row>
    <row r="339" spans="11:42" x14ac:dyDescent="0.3">
      <c r="K339" s="21">
        <v>335</v>
      </c>
      <c r="L339" s="24" t="str">
        <f t="shared" si="46"/>
        <v/>
      </c>
      <c r="M339" s="24" t="str">
        <f t="shared" si="47"/>
        <v/>
      </c>
      <c r="N339" s="24" t="str">
        <f t="shared" si="48"/>
        <v/>
      </c>
      <c r="O339" s="24" t="str">
        <f t="shared" si="49"/>
        <v/>
      </c>
      <c r="P339" s="24" t="str">
        <f t="shared" si="50"/>
        <v/>
      </c>
      <c r="Q339" s="24" t="str">
        <f t="shared" si="51"/>
        <v/>
      </c>
      <c r="R339" s="24" t="str">
        <f t="shared" si="53"/>
        <v/>
      </c>
      <c r="T339" s="13" t="s">
        <v>22</v>
      </c>
      <c r="U339" s="7" t="s">
        <v>22</v>
      </c>
      <c r="V339" s="7" t="s">
        <v>22</v>
      </c>
      <c r="W339" s="7" t="s">
        <v>22</v>
      </c>
      <c r="X339" s="7" t="s">
        <v>22</v>
      </c>
      <c r="Y339" s="7" t="s">
        <v>22</v>
      </c>
      <c r="Z339" s="7" t="s">
        <v>22</v>
      </c>
      <c r="AB339" s="7" t="s">
        <v>22</v>
      </c>
      <c r="AC339" s="7" t="s">
        <v>22</v>
      </c>
      <c r="AD339" s="7" t="s">
        <v>22</v>
      </c>
      <c r="AE339" s="7" t="s">
        <v>22</v>
      </c>
      <c r="AF339" s="7" t="s">
        <v>22</v>
      </c>
      <c r="AG339" s="7" t="s">
        <v>22</v>
      </c>
      <c r="AH339" s="7" t="s">
        <v>22</v>
      </c>
      <c r="AJ339" s="7" t="s">
        <v>22</v>
      </c>
      <c r="AK339" s="7" t="s">
        <v>22</v>
      </c>
      <c r="AL339" s="7" t="s">
        <v>22</v>
      </c>
      <c r="AM339" s="7" t="s">
        <v>22</v>
      </c>
      <c r="AN339" s="7" t="s">
        <v>22</v>
      </c>
      <c r="AO339" s="7" t="s">
        <v>22</v>
      </c>
      <c r="AP339" s="7" t="s">
        <v>22</v>
      </c>
    </row>
    <row r="340" spans="11:42" x14ac:dyDescent="0.3">
      <c r="K340" s="22">
        <v>336</v>
      </c>
      <c r="L340" s="24" t="str">
        <f t="shared" si="46"/>
        <v/>
      </c>
      <c r="M340" s="24" t="str">
        <f t="shared" si="47"/>
        <v/>
      </c>
      <c r="N340" s="24" t="str">
        <f t="shared" si="48"/>
        <v/>
      </c>
      <c r="O340" s="24" t="str">
        <f t="shared" si="49"/>
        <v/>
      </c>
      <c r="P340" s="24" t="str">
        <f t="shared" si="50"/>
        <v/>
      </c>
      <c r="Q340" s="24" t="str">
        <f t="shared" si="51"/>
        <v/>
      </c>
      <c r="R340" s="24" t="str">
        <f t="shared" si="53"/>
        <v/>
      </c>
      <c r="T340" s="13" t="s">
        <v>22</v>
      </c>
      <c r="U340" s="7" t="s">
        <v>22</v>
      </c>
      <c r="V340" s="7" t="s">
        <v>22</v>
      </c>
      <c r="W340" s="7" t="s">
        <v>22</v>
      </c>
      <c r="X340" s="7" t="s">
        <v>22</v>
      </c>
      <c r="Y340" s="7" t="s">
        <v>22</v>
      </c>
      <c r="Z340" s="7" t="s">
        <v>22</v>
      </c>
      <c r="AB340" s="7" t="s">
        <v>22</v>
      </c>
      <c r="AC340" s="7" t="s">
        <v>22</v>
      </c>
      <c r="AD340" s="7" t="s">
        <v>22</v>
      </c>
      <c r="AE340" s="7" t="s">
        <v>22</v>
      </c>
      <c r="AF340" s="7" t="s">
        <v>22</v>
      </c>
      <c r="AG340" s="7" t="s">
        <v>22</v>
      </c>
      <c r="AH340" s="7" t="s">
        <v>22</v>
      </c>
      <c r="AJ340" s="7" t="s">
        <v>22</v>
      </c>
      <c r="AK340" s="7" t="s">
        <v>22</v>
      </c>
      <c r="AL340" s="7" t="s">
        <v>22</v>
      </c>
      <c r="AM340" s="7" t="s">
        <v>22</v>
      </c>
      <c r="AN340" s="7" t="s">
        <v>22</v>
      </c>
      <c r="AO340" s="7" t="s">
        <v>22</v>
      </c>
      <c r="AP340" s="7" t="s">
        <v>22</v>
      </c>
    </row>
    <row r="341" spans="11:42" x14ac:dyDescent="0.3">
      <c r="K341" s="21">
        <v>337</v>
      </c>
      <c r="L341" s="24" t="str">
        <f t="shared" si="46"/>
        <v/>
      </c>
      <c r="M341" s="24" t="str">
        <f t="shared" si="47"/>
        <v/>
      </c>
      <c r="N341" s="24" t="str">
        <f t="shared" si="48"/>
        <v/>
      </c>
      <c r="O341" s="24" t="str">
        <f t="shared" si="49"/>
        <v/>
      </c>
      <c r="P341" s="24" t="str">
        <f t="shared" si="50"/>
        <v/>
      </c>
      <c r="Q341" s="24" t="str">
        <f t="shared" si="51"/>
        <v/>
      </c>
      <c r="R341" s="24" t="str">
        <f t="shared" si="53"/>
        <v/>
      </c>
      <c r="T341" s="13" t="s">
        <v>22</v>
      </c>
      <c r="U341" s="7" t="s">
        <v>22</v>
      </c>
      <c r="V341" s="7" t="s">
        <v>22</v>
      </c>
      <c r="W341" s="7" t="s">
        <v>22</v>
      </c>
      <c r="X341" s="7" t="s">
        <v>22</v>
      </c>
      <c r="Y341" s="7" t="s">
        <v>22</v>
      </c>
      <c r="Z341" s="7" t="s">
        <v>22</v>
      </c>
      <c r="AB341" s="7" t="s">
        <v>22</v>
      </c>
      <c r="AC341" s="7" t="s">
        <v>22</v>
      </c>
      <c r="AD341" s="7" t="s">
        <v>22</v>
      </c>
      <c r="AE341" s="7" t="s">
        <v>22</v>
      </c>
      <c r="AF341" s="7" t="s">
        <v>22</v>
      </c>
      <c r="AG341" s="7" t="s">
        <v>22</v>
      </c>
      <c r="AH341" s="7" t="s">
        <v>22</v>
      </c>
      <c r="AJ341" s="7" t="s">
        <v>22</v>
      </c>
      <c r="AK341" s="7" t="s">
        <v>22</v>
      </c>
      <c r="AL341" s="7" t="s">
        <v>22</v>
      </c>
      <c r="AM341" s="7" t="s">
        <v>22</v>
      </c>
      <c r="AN341" s="7" t="s">
        <v>22</v>
      </c>
      <c r="AO341" s="7" t="s">
        <v>22</v>
      </c>
      <c r="AP341" s="7" t="s">
        <v>22</v>
      </c>
    </row>
    <row r="342" spans="11:42" x14ac:dyDescent="0.3">
      <c r="K342" s="22">
        <v>338</v>
      </c>
      <c r="L342" s="24" t="str">
        <f t="shared" ref="L342:L373" si="54">IF(T342&lt;&gt;"",_xlfn.XLOOKUP(T342,$K$4:$K$27,$A$4:$A$27),"")</f>
        <v/>
      </c>
      <c r="M342" s="24" t="str">
        <f t="shared" ref="M342:M373" si="55">IF(U342&lt;&gt;"",_xlfn.XLOOKUP(U342,$K$4:$K$27,$A$4:$A$27),"")</f>
        <v/>
      </c>
      <c r="N342" s="24" t="str">
        <f t="shared" ref="N342:N373" si="56">IF(V342&lt;&gt;"",_xlfn.XLOOKUP(V342,$K$4:$K$27,$A$4:$A$27),"")</f>
        <v/>
      </c>
      <c r="O342" s="24" t="str">
        <f t="shared" ref="O342:O373" si="57">IF(W342&lt;&gt;"",_xlfn.XLOOKUP(W342,$K$4:$K$27,$A$4:$A$27),"")</f>
        <v/>
      </c>
      <c r="P342" s="24" t="str">
        <f t="shared" ref="P342:P373" si="58">IF(X342&lt;&gt;"",_xlfn.XLOOKUP(X342,$K$4:$K$27,$A$4:$A$27),"")</f>
        <v/>
      </c>
      <c r="Q342" s="24" t="str">
        <f t="shared" ref="Q342:Q373" si="59">IF(Y342&lt;&gt;"",_xlfn.XLOOKUP(Y342,$K$4:$K$27,$A$4:$A$27),"")</f>
        <v/>
      </c>
      <c r="R342" s="24" t="str">
        <f t="shared" si="53"/>
        <v/>
      </c>
      <c r="T342" s="13" t="s">
        <v>22</v>
      </c>
      <c r="U342" s="7" t="s">
        <v>22</v>
      </c>
      <c r="V342" s="7" t="s">
        <v>22</v>
      </c>
      <c r="W342" s="7" t="s">
        <v>22</v>
      </c>
      <c r="X342" s="7" t="s">
        <v>22</v>
      </c>
      <c r="Y342" s="7" t="s">
        <v>22</v>
      </c>
      <c r="Z342" s="7" t="s">
        <v>22</v>
      </c>
      <c r="AB342" s="7" t="s">
        <v>22</v>
      </c>
      <c r="AC342" s="7" t="s">
        <v>22</v>
      </c>
      <c r="AD342" s="7" t="s">
        <v>22</v>
      </c>
      <c r="AE342" s="7" t="s">
        <v>22</v>
      </c>
      <c r="AF342" s="7" t="s">
        <v>22</v>
      </c>
      <c r="AG342" s="7" t="s">
        <v>22</v>
      </c>
      <c r="AH342" s="7" t="s">
        <v>22</v>
      </c>
      <c r="AJ342" s="7" t="s">
        <v>22</v>
      </c>
      <c r="AK342" s="7" t="s">
        <v>22</v>
      </c>
      <c r="AL342" s="7" t="s">
        <v>22</v>
      </c>
      <c r="AM342" s="7" t="s">
        <v>22</v>
      </c>
      <c r="AN342" s="7" t="s">
        <v>22</v>
      </c>
      <c r="AO342" s="7" t="s">
        <v>22</v>
      </c>
      <c r="AP342" s="7" t="s">
        <v>22</v>
      </c>
    </row>
    <row r="343" spans="11:42" x14ac:dyDescent="0.3">
      <c r="K343" s="21">
        <v>339</v>
      </c>
      <c r="L343" s="24" t="str">
        <f t="shared" si="54"/>
        <v/>
      </c>
      <c r="M343" s="24" t="str">
        <f t="shared" si="55"/>
        <v/>
      </c>
      <c r="N343" s="24" t="str">
        <f t="shared" si="56"/>
        <v/>
      </c>
      <c r="O343" s="24" t="str">
        <f t="shared" si="57"/>
        <v/>
      </c>
      <c r="P343" s="24" t="str">
        <f t="shared" si="58"/>
        <v/>
      </c>
      <c r="Q343" s="24" t="str">
        <f t="shared" si="59"/>
        <v/>
      </c>
      <c r="R343" s="24" t="str">
        <f t="shared" si="53"/>
        <v/>
      </c>
      <c r="T343" s="13" t="s">
        <v>22</v>
      </c>
      <c r="U343" s="7" t="s">
        <v>22</v>
      </c>
      <c r="V343" s="7" t="s">
        <v>22</v>
      </c>
      <c r="W343" s="7" t="s">
        <v>22</v>
      </c>
      <c r="X343" s="7" t="s">
        <v>22</v>
      </c>
      <c r="Y343" s="7" t="s">
        <v>22</v>
      </c>
      <c r="Z343" s="7" t="s">
        <v>22</v>
      </c>
      <c r="AB343" s="7" t="s">
        <v>22</v>
      </c>
      <c r="AC343" s="7" t="s">
        <v>22</v>
      </c>
      <c r="AD343" s="7" t="s">
        <v>22</v>
      </c>
      <c r="AE343" s="7" t="s">
        <v>22</v>
      </c>
      <c r="AF343" s="7" t="s">
        <v>22</v>
      </c>
      <c r="AG343" s="7" t="s">
        <v>22</v>
      </c>
      <c r="AH343" s="7" t="s">
        <v>22</v>
      </c>
      <c r="AJ343" s="7" t="s">
        <v>22</v>
      </c>
      <c r="AK343" s="7" t="s">
        <v>22</v>
      </c>
      <c r="AL343" s="7" t="s">
        <v>22</v>
      </c>
      <c r="AM343" s="7" t="s">
        <v>22</v>
      </c>
      <c r="AN343" s="7" t="s">
        <v>22</v>
      </c>
      <c r="AO343" s="7" t="s">
        <v>22</v>
      </c>
      <c r="AP343" s="7" t="s">
        <v>22</v>
      </c>
    </row>
    <row r="344" spans="11:42" x14ac:dyDescent="0.3">
      <c r="K344" s="22">
        <v>340</v>
      </c>
      <c r="L344" s="24" t="str">
        <f t="shared" si="54"/>
        <v/>
      </c>
      <c r="M344" s="24" t="str">
        <f t="shared" si="55"/>
        <v/>
      </c>
      <c r="N344" s="24" t="str">
        <f t="shared" si="56"/>
        <v/>
      </c>
      <c r="O344" s="24" t="str">
        <f t="shared" si="57"/>
        <v/>
      </c>
      <c r="P344" s="24" t="str">
        <f t="shared" si="58"/>
        <v/>
      </c>
      <c r="Q344" s="24" t="str">
        <f t="shared" si="59"/>
        <v/>
      </c>
      <c r="R344" s="24" t="str">
        <f t="shared" si="53"/>
        <v/>
      </c>
      <c r="T344" s="13" t="s">
        <v>22</v>
      </c>
      <c r="U344" s="7" t="s">
        <v>22</v>
      </c>
      <c r="V344" s="7" t="s">
        <v>22</v>
      </c>
      <c r="W344" s="7" t="s">
        <v>22</v>
      </c>
      <c r="X344" s="7" t="s">
        <v>22</v>
      </c>
      <c r="Y344" s="7" t="s">
        <v>22</v>
      </c>
      <c r="Z344" s="7" t="s">
        <v>22</v>
      </c>
      <c r="AB344" s="7" t="s">
        <v>22</v>
      </c>
      <c r="AC344" s="7" t="s">
        <v>22</v>
      </c>
      <c r="AD344" s="7" t="s">
        <v>22</v>
      </c>
      <c r="AE344" s="7" t="s">
        <v>22</v>
      </c>
      <c r="AF344" s="7" t="s">
        <v>22</v>
      </c>
      <c r="AG344" s="7" t="s">
        <v>22</v>
      </c>
      <c r="AH344" s="7" t="s">
        <v>22</v>
      </c>
      <c r="AJ344" s="7" t="s">
        <v>22</v>
      </c>
      <c r="AK344" s="7" t="s">
        <v>22</v>
      </c>
      <c r="AL344" s="7" t="s">
        <v>22</v>
      </c>
      <c r="AM344" s="7" t="s">
        <v>22</v>
      </c>
      <c r="AN344" s="7" t="s">
        <v>22</v>
      </c>
      <c r="AO344" s="7" t="s">
        <v>22</v>
      </c>
      <c r="AP344" s="7" t="s">
        <v>22</v>
      </c>
    </row>
    <row r="345" spans="11:42" x14ac:dyDescent="0.3">
      <c r="K345" s="21">
        <v>341</v>
      </c>
      <c r="L345" s="24" t="str">
        <f t="shared" si="54"/>
        <v/>
      </c>
      <c r="M345" s="24" t="str">
        <f t="shared" si="55"/>
        <v/>
      </c>
      <c r="N345" s="24" t="str">
        <f t="shared" si="56"/>
        <v/>
      </c>
      <c r="O345" s="24" t="str">
        <f t="shared" si="57"/>
        <v/>
      </c>
      <c r="P345" s="24" t="str">
        <f t="shared" si="58"/>
        <v/>
      </c>
      <c r="Q345" s="24" t="str">
        <f t="shared" si="59"/>
        <v/>
      </c>
      <c r="R345" s="24" t="str">
        <f t="shared" si="53"/>
        <v/>
      </c>
      <c r="T345" s="13" t="s">
        <v>22</v>
      </c>
      <c r="U345" s="7" t="s">
        <v>22</v>
      </c>
      <c r="V345" s="7" t="s">
        <v>22</v>
      </c>
      <c r="W345" s="7" t="s">
        <v>22</v>
      </c>
      <c r="X345" s="7" t="s">
        <v>22</v>
      </c>
      <c r="Y345" s="7" t="s">
        <v>22</v>
      </c>
      <c r="Z345" s="7" t="s">
        <v>22</v>
      </c>
      <c r="AB345" s="7" t="s">
        <v>22</v>
      </c>
      <c r="AC345" s="7" t="s">
        <v>22</v>
      </c>
      <c r="AD345" s="7" t="s">
        <v>22</v>
      </c>
      <c r="AE345" s="7" t="s">
        <v>22</v>
      </c>
      <c r="AF345" s="7" t="s">
        <v>22</v>
      </c>
      <c r="AG345" s="7" t="s">
        <v>22</v>
      </c>
      <c r="AH345" s="7" t="s">
        <v>22</v>
      </c>
      <c r="AJ345" s="7" t="s">
        <v>22</v>
      </c>
      <c r="AK345" s="7" t="s">
        <v>22</v>
      </c>
      <c r="AL345" s="7" t="s">
        <v>22</v>
      </c>
      <c r="AM345" s="7" t="s">
        <v>22</v>
      </c>
      <c r="AN345" s="7" t="s">
        <v>22</v>
      </c>
      <c r="AO345" s="7" t="s">
        <v>22</v>
      </c>
      <c r="AP345" s="7" t="s">
        <v>22</v>
      </c>
    </row>
    <row r="346" spans="11:42" x14ac:dyDescent="0.3">
      <c r="K346" s="22">
        <v>342</v>
      </c>
      <c r="L346" s="24" t="str">
        <f t="shared" si="54"/>
        <v/>
      </c>
      <c r="M346" s="24" t="str">
        <f t="shared" si="55"/>
        <v/>
      </c>
      <c r="N346" s="24" t="str">
        <f t="shared" si="56"/>
        <v/>
      </c>
      <c r="O346" s="24" t="str">
        <f t="shared" si="57"/>
        <v/>
      </c>
      <c r="P346" s="24" t="str">
        <f t="shared" si="58"/>
        <v/>
      </c>
      <c r="Q346" s="24" t="str">
        <f t="shared" si="59"/>
        <v/>
      </c>
      <c r="R346" s="24" t="str">
        <f t="shared" si="53"/>
        <v/>
      </c>
      <c r="T346" s="13" t="s">
        <v>22</v>
      </c>
      <c r="U346" s="7" t="s">
        <v>22</v>
      </c>
      <c r="V346" s="7" t="s">
        <v>22</v>
      </c>
      <c r="W346" s="7" t="s">
        <v>22</v>
      </c>
      <c r="X346" s="7" t="s">
        <v>22</v>
      </c>
      <c r="Y346" s="7" t="s">
        <v>22</v>
      </c>
      <c r="Z346" s="7" t="s">
        <v>22</v>
      </c>
      <c r="AB346" s="7" t="s">
        <v>22</v>
      </c>
      <c r="AC346" s="7" t="s">
        <v>22</v>
      </c>
      <c r="AD346" s="7" t="s">
        <v>22</v>
      </c>
      <c r="AE346" s="7" t="s">
        <v>22</v>
      </c>
      <c r="AF346" s="7" t="s">
        <v>22</v>
      </c>
      <c r="AG346" s="7" t="s">
        <v>22</v>
      </c>
      <c r="AH346" s="7" t="s">
        <v>22</v>
      </c>
      <c r="AJ346" s="7" t="s">
        <v>22</v>
      </c>
      <c r="AK346" s="7" t="s">
        <v>22</v>
      </c>
      <c r="AL346" s="7" t="s">
        <v>22</v>
      </c>
      <c r="AM346" s="7" t="s">
        <v>22</v>
      </c>
      <c r="AN346" s="7" t="s">
        <v>22</v>
      </c>
      <c r="AO346" s="7" t="s">
        <v>22</v>
      </c>
      <c r="AP346" s="7" t="s">
        <v>22</v>
      </c>
    </row>
    <row r="347" spans="11:42" x14ac:dyDescent="0.3">
      <c r="K347" s="21">
        <v>343</v>
      </c>
      <c r="L347" s="24" t="str">
        <f t="shared" si="54"/>
        <v/>
      </c>
      <c r="M347" s="24" t="str">
        <f t="shared" si="55"/>
        <v/>
      </c>
      <c r="N347" s="24" t="str">
        <f t="shared" si="56"/>
        <v/>
      </c>
      <c r="O347" s="24" t="str">
        <f t="shared" si="57"/>
        <v/>
      </c>
      <c r="P347" s="24" t="str">
        <f t="shared" si="58"/>
        <v/>
      </c>
      <c r="Q347" s="24" t="str">
        <f t="shared" si="59"/>
        <v/>
      </c>
      <c r="R347" s="24" t="str">
        <f t="shared" si="53"/>
        <v/>
      </c>
      <c r="T347" s="13" t="s">
        <v>22</v>
      </c>
      <c r="U347" s="7" t="s">
        <v>22</v>
      </c>
      <c r="V347" s="7" t="s">
        <v>22</v>
      </c>
      <c r="W347" s="7" t="s">
        <v>22</v>
      </c>
      <c r="X347" s="7" t="s">
        <v>22</v>
      </c>
      <c r="Y347" s="7" t="s">
        <v>22</v>
      </c>
      <c r="Z347" s="7" t="s">
        <v>22</v>
      </c>
      <c r="AB347" s="7" t="s">
        <v>22</v>
      </c>
      <c r="AC347" s="7" t="s">
        <v>22</v>
      </c>
      <c r="AD347" s="7" t="s">
        <v>22</v>
      </c>
      <c r="AE347" s="7" t="s">
        <v>22</v>
      </c>
      <c r="AF347" s="7" t="s">
        <v>22</v>
      </c>
      <c r="AG347" s="7" t="s">
        <v>22</v>
      </c>
      <c r="AH347" s="7" t="s">
        <v>22</v>
      </c>
      <c r="AJ347" s="7" t="s">
        <v>22</v>
      </c>
      <c r="AK347" s="7" t="s">
        <v>22</v>
      </c>
      <c r="AL347" s="7" t="s">
        <v>22</v>
      </c>
      <c r="AM347" s="7" t="s">
        <v>22</v>
      </c>
      <c r="AN347" s="7" t="s">
        <v>22</v>
      </c>
      <c r="AO347" s="7" t="s">
        <v>22</v>
      </c>
      <c r="AP347" s="7" t="s">
        <v>22</v>
      </c>
    </row>
    <row r="348" spans="11:42" x14ac:dyDescent="0.3">
      <c r="K348" s="22">
        <v>344</v>
      </c>
      <c r="L348" s="24" t="str">
        <f t="shared" si="54"/>
        <v/>
      </c>
      <c r="M348" s="24" t="str">
        <f t="shared" si="55"/>
        <v/>
      </c>
      <c r="N348" s="24" t="str">
        <f t="shared" si="56"/>
        <v/>
      </c>
      <c r="O348" s="24" t="str">
        <f t="shared" si="57"/>
        <v/>
      </c>
      <c r="P348" s="24" t="str">
        <f t="shared" si="58"/>
        <v/>
      </c>
      <c r="Q348" s="24" t="str">
        <f t="shared" si="59"/>
        <v/>
      </c>
      <c r="R348" s="24" t="str">
        <f t="shared" si="53"/>
        <v/>
      </c>
      <c r="T348" s="13" t="s">
        <v>22</v>
      </c>
      <c r="U348" s="7" t="s">
        <v>22</v>
      </c>
      <c r="V348" s="7" t="s">
        <v>22</v>
      </c>
      <c r="W348" s="7" t="s">
        <v>22</v>
      </c>
      <c r="X348" s="7" t="s">
        <v>22</v>
      </c>
      <c r="Y348" s="7" t="s">
        <v>22</v>
      </c>
      <c r="Z348" s="7" t="s">
        <v>22</v>
      </c>
      <c r="AB348" s="7" t="s">
        <v>22</v>
      </c>
      <c r="AC348" s="7" t="s">
        <v>22</v>
      </c>
      <c r="AD348" s="7" t="s">
        <v>22</v>
      </c>
      <c r="AE348" s="7" t="s">
        <v>22</v>
      </c>
      <c r="AF348" s="7" t="s">
        <v>22</v>
      </c>
      <c r="AG348" s="7" t="s">
        <v>22</v>
      </c>
      <c r="AH348" s="7" t="s">
        <v>22</v>
      </c>
      <c r="AJ348" s="7" t="s">
        <v>22</v>
      </c>
      <c r="AK348" s="7" t="s">
        <v>22</v>
      </c>
      <c r="AL348" s="7" t="s">
        <v>22</v>
      </c>
      <c r="AM348" s="7" t="s">
        <v>22</v>
      </c>
      <c r="AN348" s="7" t="s">
        <v>22</v>
      </c>
      <c r="AO348" s="7" t="s">
        <v>22</v>
      </c>
      <c r="AP348" s="7" t="s">
        <v>22</v>
      </c>
    </row>
    <row r="349" spans="11:42" x14ac:dyDescent="0.3">
      <c r="K349" s="21">
        <v>345</v>
      </c>
      <c r="L349" s="24" t="str">
        <f t="shared" si="54"/>
        <v/>
      </c>
      <c r="M349" s="24" t="str">
        <f t="shared" si="55"/>
        <v/>
      </c>
      <c r="N349" s="24" t="str">
        <f t="shared" si="56"/>
        <v/>
      </c>
      <c r="O349" s="24" t="str">
        <f t="shared" si="57"/>
        <v/>
      </c>
      <c r="P349" s="24" t="str">
        <f t="shared" si="58"/>
        <v/>
      </c>
      <c r="Q349" s="24" t="str">
        <f t="shared" si="59"/>
        <v/>
      </c>
      <c r="R349" s="24" t="str">
        <f t="shared" si="53"/>
        <v/>
      </c>
      <c r="T349" s="13" t="s">
        <v>22</v>
      </c>
      <c r="U349" s="7" t="s">
        <v>22</v>
      </c>
      <c r="V349" s="7" t="s">
        <v>22</v>
      </c>
      <c r="W349" s="7" t="s">
        <v>22</v>
      </c>
      <c r="X349" s="7" t="s">
        <v>22</v>
      </c>
      <c r="Y349" s="7" t="s">
        <v>22</v>
      </c>
      <c r="Z349" s="7" t="s">
        <v>22</v>
      </c>
      <c r="AB349" s="7" t="s">
        <v>22</v>
      </c>
      <c r="AC349" s="7" t="s">
        <v>22</v>
      </c>
      <c r="AD349" s="7" t="s">
        <v>22</v>
      </c>
      <c r="AE349" s="7" t="s">
        <v>22</v>
      </c>
      <c r="AF349" s="7" t="s">
        <v>22</v>
      </c>
      <c r="AG349" s="7" t="s">
        <v>22</v>
      </c>
      <c r="AH349" s="7" t="s">
        <v>22</v>
      </c>
      <c r="AJ349" s="7" t="s">
        <v>22</v>
      </c>
      <c r="AK349" s="7" t="s">
        <v>22</v>
      </c>
      <c r="AL349" s="7" t="s">
        <v>22</v>
      </c>
      <c r="AM349" s="7" t="s">
        <v>22</v>
      </c>
      <c r="AN349" s="7" t="s">
        <v>22</v>
      </c>
      <c r="AO349" s="7" t="s">
        <v>22</v>
      </c>
      <c r="AP349" s="7" t="s">
        <v>22</v>
      </c>
    </row>
    <row r="350" spans="11:42" x14ac:dyDescent="0.3">
      <c r="K350" s="22">
        <v>346</v>
      </c>
      <c r="L350" s="24" t="str">
        <f t="shared" si="54"/>
        <v/>
      </c>
      <c r="M350" s="24" t="str">
        <f t="shared" si="55"/>
        <v/>
      </c>
      <c r="N350" s="24" t="str">
        <f t="shared" si="56"/>
        <v/>
      </c>
      <c r="O350" s="24" t="str">
        <f t="shared" si="57"/>
        <v/>
      </c>
      <c r="P350" s="24" t="str">
        <f t="shared" si="58"/>
        <v/>
      </c>
      <c r="Q350" s="24" t="str">
        <f t="shared" si="59"/>
        <v/>
      </c>
      <c r="R350" s="24" t="str">
        <f t="shared" si="53"/>
        <v/>
      </c>
      <c r="T350" s="13" t="s">
        <v>22</v>
      </c>
      <c r="U350" s="7" t="s">
        <v>22</v>
      </c>
      <c r="V350" s="7" t="s">
        <v>22</v>
      </c>
      <c r="W350" s="7" t="s">
        <v>22</v>
      </c>
      <c r="X350" s="7" t="s">
        <v>22</v>
      </c>
      <c r="Y350" s="7" t="s">
        <v>22</v>
      </c>
      <c r="Z350" s="7" t="s">
        <v>22</v>
      </c>
      <c r="AB350" s="7" t="s">
        <v>22</v>
      </c>
      <c r="AC350" s="7" t="s">
        <v>22</v>
      </c>
      <c r="AD350" s="7" t="s">
        <v>22</v>
      </c>
      <c r="AE350" s="7" t="s">
        <v>22</v>
      </c>
      <c r="AF350" s="7" t="s">
        <v>22</v>
      </c>
      <c r="AG350" s="7" t="s">
        <v>22</v>
      </c>
      <c r="AH350" s="7" t="s">
        <v>22</v>
      </c>
      <c r="AJ350" s="7" t="s">
        <v>22</v>
      </c>
      <c r="AK350" s="7" t="s">
        <v>22</v>
      </c>
      <c r="AL350" s="7" t="s">
        <v>22</v>
      </c>
      <c r="AM350" s="7" t="s">
        <v>22</v>
      </c>
      <c r="AN350" s="7" t="s">
        <v>22</v>
      </c>
      <c r="AO350" s="7" t="s">
        <v>22</v>
      </c>
      <c r="AP350" s="7" t="s">
        <v>22</v>
      </c>
    </row>
    <row r="351" spans="11:42" x14ac:dyDescent="0.3">
      <c r="K351" s="21">
        <v>347</v>
      </c>
      <c r="L351" s="24" t="str">
        <f t="shared" si="54"/>
        <v/>
      </c>
      <c r="M351" s="24" t="str">
        <f t="shared" si="55"/>
        <v/>
      </c>
      <c r="N351" s="24" t="str">
        <f t="shared" si="56"/>
        <v/>
      </c>
      <c r="O351" s="24" t="str">
        <f t="shared" si="57"/>
        <v/>
      </c>
      <c r="P351" s="24" t="str">
        <f t="shared" si="58"/>
        <v/>
      </c>
      <c r="Q351" s="24" t="str">
        <f t="shared" si="59"/>
        <v/>
      </c>
      <c r="R351" s="24" t="str">
        <f t="shared" si="53"/>
        <v/>
      </c>
      <c r="T351" s="13" t="s">
        <v>22</v>
      </c>
      <c r="U351" s="7" t="s">
        <v>22</v>
      </c>
      <c r="V351" s="7" t="s">
        <v>22</v>
      </c>
      <c r="W351" s="7" t="s">
        <v>22</v>
      </c>
      <c r="X351" s="7" t="s">
        <v>22</v>
      </c>
      <c r="Y351" s="7" t="s">
        <v>22</v>
      </c>
      <c r="Z351" s="7" t="s">
        <v>22</v>
      </c>
      <c r="AB351" s="7" t="s">
        <v>22</v>
      </c>
      <c r="AC351" s="7" t="s">
        <v>22</v>
      </c>
      <c r="AD351" s="7" t="s">
        <v>22</v>
      </c>
      <c r="AE351" s="7" t="s">
        <v>22</v>
      </c>
      <c r="AF351" s="7" t="s">
        <v>22</v>
      </c>
      <c r="AG351" s="7" t="s">
        <v>22</v>
      </c>
      <c r="AH351" s="7" t="s">
        <v>22</v>
      </c>
      <c r="AJ351" s="7" t="s">
        <v>22</v>
      </c>
      <c r="AK351" s="7" t="s">
        <v>22</v>
      </c>
      <c r="AL351" s="7" t="s">
        <v>22</v>
      </c>
      <c r="AM351" s="7" t="s">
        <v>22</v>
      </c>
      <c r="AN351" s="7" t="s">
        <v>22</v>
      </c>
      <c r="AO351" s="7" t="s">
        <v>22</v>
      </c>
      <c r="AP351" s="7" t="s">
        <v>22</v>
      </c>
    </row>
    <row r="352" spans="11:42" x14ac:dyDescent="0.3">
      <c r="K352" s="22">
        <v>348</v>
      </c>
      <c r="L352" s="24" t="str">
        <f t="shared" si="54"/>
        <v/>
      </c>
      <c r="M352" s="24" t="str">
        <f t="shared" si="55"/>
        <v/>
      </c>
      <c r="N352" s="24" t="str">
        <f t="shared" si="56"/>
        <v/>
      </c>
      <c r="O352" s="24" t="str">
        <f t="shared" si="57"/>
        <v/>
      </c>
      <c r="P352" s="24" t="str">
        <f t="shared" si="58"/>
        <v/>
      </c>
      <c r="Q352" s="24" t="str">
        <f t="shared" si="59"/>
        <v/>
      </c>
      <c r="R352" s="24" t="str">
        <f t="shared" si="53"/>
        <v/>
      </c>
      <c r="T352" s="13" t="s">
        <v>22</v>
      </c>
      <c r="U352" s="7" t="s">
        <v>22</v>
      </c>
      <c r="V352" s="7" t="s">
        <v>22</v>
      </c>
      <c r="W352" s="7" t="s">
        <v>22</v>
      </c>
      <c r="X352" s="7" t="s">
        <v>22</v>
      </c>
      <c r="Y352" s="7" t="s">
        <v>22</v>
      </c>
      <c r="Z352" s="7" t="s">
        <v>22</v>
      </c>
      <c r="AB352" s="7" t="s">
        <v>22</v>
      </c>
      <c r="AC352" s="7" t="s">
        <v>22</v>
      </c>
      <c r="AD352" s="7" t="s">
        <v>22</v>
      </c>
      <c r="AE352" s="7" t="s">
        <v>22</v>
      </c>
      <c r="AF352" s="7" t="s">
        <v>22</v>
      </c>
      <c r="AG352" s="7" t="s">
        <v>22</v>
      </c>
      <c r="AH352" s="7" t="s">
        <v>22</v>
      </c>
      <c r="AJ352" s="7" t="s">
        <v>22</v>
      </c>
      <c r="AK352" s="7" t="s">
        <v>22</v>
      </c>
      <c r="AL352" s="7" t="s">
        <v>22</v>
      </c>
      <c r="AM352" s="7" t="s">
        <v>22</v>
      </c>
      <c r="AN352" s="7" t="s">
        <v>22</v>
      </c>
      <c r="AO352" s="7" t="s">
        <v>22</v>
      </c>
      <c r="AP352" s="7" t="s">
        <v>22</v>
      </c>
    </row>
    <row r="353" spans="11:42" x14ac:dyDescent="0.3">
      <c r="K353" s="21">
        <v>349</v>
      </c>
      <c r="L353" s="24" t="str">
        <f t="shared" si="54"/>
        <v/>
      </c>
      <c r="M353" s="24" t="str">
        <f t="shared" si="55"/>
        <v/>
      </c>
      <c r="N353" s="24" t="str">
        <f t="shared" si="56"/>
        <v/>
      </c>
      <c r="O353" s="24" t="str">
        <f t="shared" si="57"/>
        <v/>
      </c>
      <c r="P353" s="24" t="str">
        <f t="shared" si="58"/>
        <v/>
      </c>
      <c r="Q353" s="24" t="str">
        <f t="shared" si="59"/>
        <v/>
      </c>
      <c r="R353" s="24" t="str">
        <f t="shared" si="53"/>
        <v/>
      </c>
      <c r="T353" s="13" t="s">
        <v>22</v>
      </c>
      <c r="U353" s="7" t="s">
        <v>22</v>
      </c>
      <c r="V353" s="7" t="s">
        <v>22</v>
      </c>
      <c r="W353" s="7" t="s">
        <v>22</v>
      </c>
      <c r="X353" s="7" t="s">
        <v>22</v>
      </c>
      <c r="Y353" s="7" t="s">
        <v>22</v>
      </c>
      <c r="Z353" s="7" t="s">
        <v>22</v>
      </c>
      <c r="AB353" s="7" t="s">
        <v>22</v>
      </c>
      <c r="AC353" s="7" t="s">
        <v>22</v>
      </c>
      <c r="AD353" s="7" t="s">
        <v>22</v>
      </c>
      <c r="AE353" s="7" t="s">
        <v>22</v>
      </c>
      <c r="AF353" s="7" t="s">
        <v>22</v>
      </c>
      <c r="AG353" s="7" t="s">
        <v>22</v>
      </c>
      <c r="AH353" s="7" t="s">
        <v>22</v>
      </c>
      <c r="AJ353" s="7" t="s">
        <v>22</v>
      </c>
      <c r="AK353" s="7" t="s">
        <v>22</v>
      </c>
      <c r="AL353" s="7" t="s">
        <v>22</v>
      </c>
      <c r="AM353" s="7" t="s">
        <v>22</v>
      </c>
      <c r="AN353" s="7" t="s">
        <v>22</v>
      </c>
      <c r="AO353" s="7" t="s">
        <v>22</v>
      </c>
      <c r="AP353" s="7" t="s">
        <v>22</v>
      </c>
    </row>
    <row r="354" spans="11:42" x14ac:dyDescent="0.3">
      <c r="K354" s="22">
        <v>350</v>
      </c>
      <c r="L354" s="24" t="str">
        <f t="shared" si="54"/>
        <v/>
      </c>
      <c r="M354" s="24" t="str">
        <f t="shared" si="55"/>
        <v/>
      </c>
      <c r="N354" s="24" t="str">
        <f t="shared" si="56"/>
        <v/>
      </c>
      <c r="O354" s="24" t="str">
        <f t="shared" si="57"/>
        <v/>
      </c>
      <c r="P354" s="24" t="str">
        <f t="shared" si="58"/>
        <v/>
      </c>
      <c r="Q354" s="24" t="str">
        <f t="shared" si="59"/>
        <v/>
      </c>
      <c r="R354" s="24" t="str">
        <f t="shared" si="53"/>
        <v/>
      </c>
      <c r="T354" s="13" t="s">
        <v>22</v>
      </c>
      <c r="U354" s="7" t="s">
        <v>22</v>
      </c>
      <c r="V354" s="7" t="s">
        <v>22</v>
      </c>
      <c r="W354" s="7" t="s">
        <v>22</v>
      </c>
      <c r="X354" s="7" t="s">
        <v>22</v>
      </c>
      <c r="Y354" s="7" t="s">
        <v>22</v>
      </c>
      <c r="Z354" s="7" t="s">
        <v>22</v>
      </c>
      <c r="AB354" s="7" t="s">
        <v>22</v>
      </c>
      <c r="AC354" s="7" t="s">
        <v>22</v>
      </c>
      <c r="AD354" s="7" t="s">
        <v>22</v>
      </c>
      <c r="AE354" s="7" t="s">
        <v>22</v>
      </c>
      <c r="AF354" s="7" t="s">
        <v>22</v>
      </c>
      <c r="AG354" s="7" t="s">
        <v>22</v>
      </c>
      <c r="AH354" s="7" t="s">
        <v>22</v>
      </c>
      <c r="AJ354" s="7" t="s">
        <v>22</v>
      </c>
      <c r="AK354" s="7" t="s">
        <v>22</v>
      </c>
      <c r="AL354" s="7" t="s">
        <v>22</v>
      </c>
      <c r="AM354" s="7" t="s">
        <v>22</v>
      </c>
      <c r="AN354" s="7" t="s">
        <v>22</v>
      </c>
      <c r="AO354" s="7" t="s">
        <v>22</v>
      </c>
      <c r="AP354" s="7" t="s">
        <v>22</v>
      </c>
    </row>
    <row r="355" spans="11:42" x14ac:dyDescent="0.3">
      <c r="K355" s="21">
        <v>351</v>
      </c>
      <c r="L355" s="24" t="str">
        <f t="shared" si="54"/>
        <v/>
      </c>
      <c r="M355" s="24" t="str">
        <f t="shared" si="55"/>
        <v/>
      </c>
      <c r="N355" s="24" t="str">
        <f t="shared" si="56"/>
        <v/>
      </c>
      <c r="O355" s="24" t="str">
        <f t="shared" si="57"/>
        <v/>
      </c>
      <c r="P355" s="24" t="str">
        <f t="shared" si="58"/>
        <v/>
      </c>
      <c r="Q355" s="24" t="str">
        <f t="shared" si="59"/>
        <v/>
      </c>
      <c r="R355" s="24" t="str">
        <f t="shared" si="53"/>
        <v/>
      </c>
      <c r="T355" s="13" t="s">
        <v>22</v>
      </c>
      <c r="U355" s="7" t="s">
        <v>22</v>
      </c>
      <c r="V355" s="7" t="s">
        <v>22</v>
      </c>
      <c r="W355" s="7" t="s">
        <v>22</v>
      </c>
      <c r="X355" s="7" t="s">
        <v>22</v>
      </c>
      <c r="Y355" s="7" t="s">
        <v>22</v>
      </c>
      <c r="Z355" s="7" t="s">
        <v>22</v>
      </c>
      <c r="AB355" s="7" t="s">
        <v>22</v>
      </c>
      <c r="AC355" s="7" t="s">
        <v>22</v>
      </c>
      <c r="AD355" s="7" t="s">
        <v>22</v>
      </c>
      <c r="AE355" s="7" t="s">
        <v>22</v>
      </c>
      <c r="AF355" s="7" t="s">
        <v>22</v>
      </c>
      <c r="AG355" s="7" t="s">
        <v>22</v>
      </c>
      <c r="AH355" s="7" t="s">
        <v>22</v>
      </c>
      <c r="AJ355" s="7" t="s">
        <v>22</v>
      </c>
      <c r="AK355" s="7" t="s">
        <v>22</v>
      </c>
      <c r="AL355" s="7" t="s">
        <v>22</v>
      </c>
      <c r="AM355" s="7" t="s">
        <v>22</v>
      </c>
      <c r="AN355" s="7" t="s">
        <v>22</v>
      </c>
      <c r="AO355" s="7" t="s">
        <v>22</v>
      </c>
      <c r="AP355" s="7" t="s">
        <v>22</v>
      </c>
    </row>
    <row r="356" spans="11:42" x14ac:dyDescent="0.3">
      <c r="K356" s="22">
        <v>352</v>
      </c>
      <c r="L356" s="24" t="str">
        <f t="shared" si="54"/>
        <v/>
      </c>
      <c r="M356" s="24" t="str">
        <f t="shared" si="55"/>
        <v/>
      </c>
      <c r="N356" s="24" t="str">
        <f t="shared" si="56"/>
        <v/>
      </c>
      <c r="O356" s="24" t="str">
        <f t="shared" si="57"/>
        <v/>
      </c>
      <c r="P356" s="24" t="str">
        <f t="shared" si="58"/>
        <v/>
      </c>
      <c r="Q356" s="24" t="str">
        <f t="shared" si="59"/>
        <v/>
      </c>
      <c r="R356" s="24" t="str">
        <f t="shared" si="53"/>
        <v/>
      </c>
      <c r="T356" s="13" t="s">
        <v>22</v>
      </c>
      <c r="U356" s="7" t="s">
        <v>22</v>
      </c>
      <c r="V356" s="7" t="s">
        <v>22</v>
      </c>
      <c r="W356" s="7" t="s">
        <v>22</v>
      </c>
      <c r="X356" s="7" t="s">
        <v>22</v>
      </c>
      <c r="Y356" s="7" t="s">
        <v>22</v>
      </c>
      <c r="Z356" s="7" t="s">
        <v>22</v>
      </c>
      <c r="AB356" s="7" t="s">
        <v>22</v>
      </c>
      <c r="AC356" s="7" t="s">
        <v>22</v>
      </c>
      <c r="AD356" s="7" t="s">
        <v>22</v>
      </c>
      <c r="AE356" s="7" t="s">
        <v>22</v>
      </c>
      <c r="AF356" s="7" t="s">
        <v>22</v>
      </c>
      <c r="AG356" s="7" t="s">
        <v>22</v>
      </c>
      <c r="AH356" s="7" t="s">
        <v>22</v>
      </c>
      <c r="AJ356" s="7" t="s">
        <v>22</v>
      </c>
      <c r="AK356" s="7" t="s">
        <v>22</v>
      </c>
      <c r="AL356" s="7" t="s">
        <v>22</v>
      </c>
      <c r="AM356" s="7" t="s">
        <v>22</v>
      </c>
      <c r="AN356" s="7" t="s">
        <v>22</v>
      </c>
      <c r="AO356" s="7" t="s">
        <v>22</v>
      </c>
      <c r="AP356" s="7" t="s">
        <v>22</v>
      </c>
    </row>
    <row r="357" spans="11:42" x14ac:dyDescent="0.3">
      <c r="K357" s="21">
        <v>353</v>
      </c>
      <c r="L357" s="24" t="str">
        <f t="shared" si="54"/>
        <v/>
      </c>
      <c r="M357" s="24" t="str">
        <f t="shared" si="55"/>
        <v/>
      </c>
      <c r="N357" s="24" t="str">
        <f t="shared" si="56"/>
        <v/>
      </c>
      <c r="O357" s="24" t="str">
        <f t="shared" si="57"/>
        <v/>
      </c>
      <c r="P357" s="24" t="str">
        <f t="shared" si="58"/>
        <v/>
      </c>
      <c r="Q357" s="24" t="str">
        <f t="shared" si="59"/>
        <v/>
      </c>
      <c r="R357" s="24" t="str">
        <f t="shared" si="53"/>
        <v/>
      </c>
      <c r="T357" s="13" t="s">
        <v>22</v>
      </c>
      <c r="U357" s="7" t="s">
        <v>22</v>
      </c>
      <c r="V357" s="7" t="s">
        <v>22</v>
      </c>
      <c r="W357" s="7" t="s">
        <v>22</v>
      </c>
      <c r="X357" s="7" t="s">
        <v>22</v>
      </c>
      <c r="Y357" s="7" t="s">
        <v>22</v>
      </c>
      <c r="Z357" s="7" t="s">
        <v>22</v>
      </c>
      <c r="AB357" s="7" t="s">
        <v>22</v>
      </c>
      <c r="AC357" s="7" t="s">
        <v>22</v>
      </c>
      <c r="AD357" s="7" t="s">
        <v>22</v>
      </c>
      <c r="AE357" s="7" t="s">
        <v>22</v>
      </c>
      <c r="AF357" s="7" t="s">
        <v>22</v>
      </c>
      <c r="AG357" s="7" t="s">
        <v>22</v>
      </c>
      <c r="AH357" s="7" t="s">
        <v>22</v>
      </c>
      <c r="AJ357" s="7" t="s">
        <v>22</v>
      </c>
      <c r="AK357" s="7" t="s">
        <v>22</v>
      </c>
      <c r="AL357" s="7" t="s">
        <v>22</v>
      </c>
      <c r="AM357" s="7" t="s">
        <v>22</v>
      </c>
      <c r="AN357" s="7" t="s">
        <v>22</v>
      </c>
      <c r="AO357" s="7" t="s">
        <v>22</v>
      </c>
      <c r="AP357" s="7" t="s">
        <v>22</v>
      </c>
    </row>
    <row r="358" spans="11:42" x14ac:dyDescent="0.3">
      <c r="K358" s="22">
        <v>354</v>
      </c>
      <c r="L358" s="24" t="str">
        <f t="shared" si="54"/>
        <v/>
      </c>
      <c r="M358" s="24" t="str">
        <f t="shared" si="55"/>
        <v/>
      </c>
      <c r="N358" s="24" t="str">
        <f t="shared" si="56"/>
        <v/>
      </c>
      <c r="O358" s="24" t="str">
        <f t="shared" si="57"/>
        <v/>
      </c>
      <c r="P358" s="24" t="str">
        <f t="shared" si="58"/>
        <v/>
      </c>
      <c r="Q358" s="24" t="str">
        <f t="shared" si="59"/>
        <v/>
      </c>
      <c r="R358" s="24" t="str">
        <f t="shared" si="53"/>
        <v/>
      </c>
      <c r="T358" s="13" t="s">
        <v>22</v>
      </c>
      <c r="U358" s="7" t="s">
        <v>22</v>
      </c>
      <c r="V358" s="7" t="s">
        <v>22</v>
      </c>
      <c r="W358" s="7" t="s">
        <v>22</v>
      </c>
      <c r="X358" s="7" t="s">
        <v>22</v>
      </c>
      <c r="Y358" s="7" t="s">
        <v>22</v>
      </c>
      <c r="Z358" s="7" t="s">
        <v>22</v>
      </c>
      <c r="AB358" s="7" t="s">
        <v>22</v>
      </c>
      <c r="AC358" s="7" t="s">
        <v>22</v>
      </c>
      <c r="AD358" s="7" t="s">
        <v>22</v>
      </c>
      <c r="AE358" s="7" t="s">
        <v>22</v>
      </c>
      <c r="AF358" s="7" t="s">
        <v>22</v>
      </c>
      <c r="AG358" s="7" t="s">
        <v>22</v>
      </c>
      <c r="AH358" s="7" t="s">
        <v>22</v>
      </c>
      <c r="AJ358" s="7" t="s">
        <v>22</v>
      </c>
      <c r="AK358" s="7" t="s">
        <v>22</v>
      </c>
      <c r="AL358" s="7" t="s">
        <v>22</v>
      </c>
      <c r="AM358" s="7" t="s">
        <v>22</v>
      </c>
      <c r="AN358" s="7" t="s">
        <v>22</v>
      </c>
      <c r="AO358" s="7" t="s">
        <v>22</v>
      </c>
      <c r="AP358" s="7" t="s">
        <v>22</v>
      </c>
    </row>
    <row r="359" spans="11:42" x14ac:dyDescent="0.3">
      <c r="K359" s="21">
        <v>355</v>
      </c>
      <c r="L359" s="24" t="str">
        <f t="shared" si="54"/>
        <v/>
      </c>
      <c r="M359" s="24" t="str">
        <f t="shared" si="55"/>
        <v/>
      </c>
      <c r="N359" s="24" t="str">
        <f t="shared" si="56"/>
        <v/>
      </c>
      <c r="O359" s="24" t="str">
        <f t="shared" si="57"/>
        <v/>
      </c>
      <c r="P359" s="24" t="str">
        <f t="shared" si="58"/>
        <v/>
      </c>
      <c r="Q359" s="24" t="str">
        <f t="shared" si="59"/>
        <v/>
      </c>
      <c r="R359" s="24" t="str">
        <f t="shared" si="53"/>
        <v/>
      </c>
      <c r="T359" s="13" t="s">
        <v>22</v>
      </c>
      <c r="U359" s="7" t="s">
        <v>22</v>
      </c>
      <c r="V359" s="7" t="s">
        <v>22</v>
      </c>
      <c r="W359" s="7" t="s">
        <v>22</v>
      </c>
      <c r="X359" s="7" t="s">
        <v>22</v>
      </c>
      <c r="Y359" s="7" t="s">
        <v>22</v>
      </c>
      <c r="Z359" s="7" t="s">
        <v>22</v>
      </c>
      <c r="AB359" s="7" t="s">
        <v>22</v>
      </c>
      <c r="AC359" s="7" t="s">
        <v>22</v>
      </c>
      <c r="AD359" s="7" t="s">
        <v>22</v>
      </c>
      <c r="AE359" s="7" t="s">
        <v>22</v>
      </c>
      <c r="AF359" s="7" t="s">
        <v>22</v>
      </c>
      <c r="AG359" s="7" t="s">
        <v>22</v>
      </c>
      <c r="AH359" s="7" t="s">
        <v>22</v>
      </c>
      <c r="AJ359" s="7" t="s">
        <v>22</v>
      </c>
      <c r="AK359" s="7" t="s">
        <v>22</v>
      </c>
      <c r="AL359" s="7" t="s">
        <v>22</v>
      </c>
      <c r="AM359" s="7" t="s">
        <v>22</v>
      </c>
      <c r="AN359" s="7" t="s">
        <v>22</v>
      </c>
      <c r="AO359" s="7" t="s">
        <v>22</v>
      </c>
      <c r="AP359" s="7" t="s">
        <v>22</v>
      </c>
    </row>
    <row r="360" spans="11:42" x14ac:dyDescent="0.3">
      <c r="K360" s="22">
        <v>356</v>
      </c>
      <c r="L360" s="24" t="str">
        <f t="shared" si="54"/>
        <v/>
      </c>
      <c r="M360" s="24" t="str">
        <f t="shared" si="55"/>
        <v/>
      </c>
      <c r="N360" s="24" t="str">
        <f t="shared" si="56"/>
        <v/>
      </c>
      <c r="O360" s="24" t="str">
        <f t="shared" si="57"/>
        <v/>
      </c>
      <c r="P360" s="24" t="str">
        <f t="shared" si="58"/>
        <v/>
      </c>
      <c r="Q360" s="24" t="str">
        <f t="shared" si="59"/>
        <v/>
      </c>
      <c r="R360" s="24" t="str">
        <f t="shared" si="53"/>
        <v/>
      </c>
      <c r="T360" s="13" t="s">
        <v>22</v>
      </c>
      <c r="U360" s="7" t="s">
        <v>22</v>
      </c>
      <c r="V360" s="7" t="s">
        <v>22</v>
      </c>
      <c r="W360" s="7" t="s">
        <v>22</v>
      </c>
      <c r="X360" s="7" t="s">
        <v>22</v>
      </c>
      <c r="Y360" s="7" t="s">
        <v>22</v>
      </c>
      <c r="Z360" s="7" t="s">
        <v>22</v>
      </c>
      <c r="AB360" s="7" t="s">
        <v>22</v>
      </c>
      <c r="AC360" s="7" t="s">
        <v>22</v>
      </c>
      <c r="AD360" s="7" t="s">
        <v>22</v>
      </c>
      <c r="AE360" s="7" t="s">
        <v>22</v>
      </c>
      <c r="AF360" s="7" t="s">
        <v>22</v>
      </c>
      <c r="AG360" s="7" t="s">
        <v>22</v>
      </c>
      <c r="AH360" s="7" t="s">
        <v>22</v>
      </c>
      <c r="AJ360" s="7" t="s">
        <v>22</v>
      </c>
      <c r="AK360" s="7" t="s">
        <v>22</v>
      </c>
      <c r="AL360" s="7" t="s">
        <v>22</v>
      </c>
      <c r="AM360" s="7" t="s">
        <v>22</v>
      </c>
      <c r="AN360" s="7" t="s">
        <v>22</v>
      </c>
      <c r="AO360" s="7" t="s">
        <v>22</v>
      </c>
      <c r="AP360" s="7" t="s">
        <v>22</v>
      </c>
    </row>
    <row r="361" spans="11:42" x14ac:dyDescent="0.3">
      <c r="K361" s="21">
        <v>357</v>
      </c>
      <c r="L361" s="24" t="str">
        <f t="shared" si="54"/>
        <v/>
      </c>
      <c r="M361" s="24" t="str">
        <f t="shared" si="55"/>
        <v/>
      </c>
      <c r="N361" s="24" t="str">
        <f t="shared" si="56"/>
        <v/>
      </c>
      <c r="O361" s="24" t="str">
        <f t="shared" si="57"/>
        <v/>
      </c>
      <c r="P361" s="24" t="str">
        <f t="shared" si="58"/>
        <v/>
      </c>
      <c r="Q361" s="24" t="str">
        <f t="shared" si="59"/>
        <v/>
      </c>
      <c r="R361" s="24" t="str">
        <f t="shared" si="53"/>
        <v/>
      </c>
      <c r="T361" s="13" t="s">
        <v>22</v>
      </c>
      <c r="U361" s="7" t="s">
        <v>22</v>
      </c>
      <c r="V361" s="7" t="s">
        <v>22</v>
      </c>
      <c r="W361" s="7" t="s">
        <v>22</v>
      </c>
      <c r="X361" s="7" t="s">
        <v>22</v>
      </c>
      <c r="Y361" s="7" t="s">
        <v>22</v>
      </c>
      <c r="Z361" s="7" t="s">
        <v>22</v>
      </c>
      <c r="AB361" s="7" t="s">
        <v>22</v>
      </c>
      <c r="AC361" s="7" t="s">
        <v>22</v>
      </c>
      <c r="AD361" s="7" t="s">
        <v>22</v>
      </c>
      <c r="AE361" s="7" t="s">
        <v>22</v>
      </c>
      <c r="AF361" s="7" t="s">
        <v>22</v>
      </c>
      <c r="AG361" s="7" t="s">
        <v>22</v>
      </c>
      <c r="AH361" s="7" t="s">
        <v>22</v>
      </c>
      <c r="AJ361" s="7" t="s">
        <v>22</v>
      </c>
      <c r="AK361" s="7" t="s">
        <v>22</v>
      </c>
      <c r="AL361" s="7" t="s">
        <v>22</v>
      </c>
      <c r="AM361" s="7" t="s">
        <v>22</v>
      </c>
      <c r="AN361" s="7" t="s">
        <v>22</v>
      </c>
      <c r="AO361" s="7" t="s">
        <v>22</v>
      </c>
      <c r="AP361" s="7" t="s">
        <v>22</v>
      </c>
    </row>
    <row r="362" spans="11:42" x14ac:dyDescent="0.3">
      <c r="K362" s="22">
        <v>358</v>
      </c>
      <c r="L362" s="24" t="str">
        <f t="shared" si="54"/>
        <v/>
      </c>
      <c r="M362" s="24" t="str">
        <f t="shared" si="55"/>
        <v/>
      </c>
      <c r="N362" s="24" t="str">
        <f t="shared" si="56"/>
        <v/>
      </c>
      <c r="O362" s="24" t="str">
        <f t="shared" si="57"/>
        <v/>
      </c>
      <c r="P362" s="24" t="str">
        <f t="shared" si="58"/>
        <v/>
      </c>
      <c r="Q362" s="24" t="str">
        <f t="shared" si="59"/>
        <v/>
      </c>
      <c r="R362" s="24" t="str">
        <f t="shared" si="53"/>
        <v/>
      </c>
      <c r="T362" s="13" t="s">
        <v>22</v>
      </c>
      <c r="U362" s="7" t="s">
        <v>22</v>
      </c>
      <c r="V362" s="7" t="s">
        <v>22</v>
      </c>
      <c r="W362" s="7" t="s">
        <v>22</v>
      </c>
      <c r="X362" s="7" t="s">
        <v>22</v>
      </c>
      <c r="Y362" s="7" t="s">
        <v>22</v>
      </c>
      <c r="Z362" s="7" t="s">
        <v>22</v>
      </c>
      <c r="AB362" s="7" t="s">
        <v>22</v>
      </c>
      <c r="AC362" s="7" t="s">
        <v>22</v>
      </c>
      <c r="AD362" s="7" t="s">
        <v>22</v>
      </c>
      <c r="AE362" s="7" t="s">
        <v>22</v>
      </c>
      <c r="AF362" s="7" t="s">
        <v>22</v>
      </c>
      <c r="AG362" s="7" t="s">
        <v>22</v>
      </c>
      <c r="AH362" s="7" t="s">
        <v>22</v>
      </c>
      <c r="AJ362" s="7" t="s">
        <v>22</v>
      </c>
      <c r="AK362" s="7" t="s">
        <v>22</v>
      </c>
      <c r="AL362" s="7" t="s">
        <v>22</v>
      </c>
      <c r="AM362" s="7" t="s">
        <v>22</v>
      </c>
      <c r="AN362" s="7" t="s">
        <v>22</v>
      </c>
      <c r="AO362" s="7" t="s">
        <v>22</v>
      </c>
      <c r="AP362" s="7" t="s">
        <v>22</v>
      </c>
    </row>
    <row r="363" spans="11:42" x14ac:dyDescent="0.3">
      <c r="K363" s="21">
        <v>359</v>
      </c>
      <c r="L363" s="24" t="str">
        <f t="shared" si="54"/>
        <v/>
      </c>
      <c r="M363" s="24" t="str">
        <f t="shared" si="55"/>
        <v/>
      </c>
      <c r="N363" s="24" t="str">
        <f t="shared" si="56"/>
        <v/>
      </c>
      <c r="O363" s="24" t="str">
        <f t="shared" si="57"/>
        <v/>
      </c>
      <c r="P363" s="24" t="str">
        <f t="shared" si="58"/>
        <v/>
      </c>
      <c r="Q363" s="24" t="str">
        <f t="shared" si="59"/>
        <v/>
      </c>
      <c r="R363" s="24" t="str">
        <f t="shared" si="53"/>
        <v/>
      </c>
      <c r="T363" s="13" t="s">
        <v>22</v>
      </c>
      <c r="U363" s="7" t="s">
        <v>22</v>
      </c>
      <c r="V363" s="7" t="s">
        <v>22</v>
      </c>
      <c r="W363" s="7" t="s">
        <v>22</v>
      </c>
      <c r="X363" s="7" t="s">
        <v>22</v>
      </c>
      <c r="Y363" s="7" t="s">
        <v>22</v>
      </c>
      <c r="Z363" s="7" t="s">
        <v>22</v>
      </c>
      <c r="AB363" s="7" t="s">
        <v>22</v>
      </c>
      <c r="AC363" s="7" t="s">
        <v>22</v>
      </c>
      <c r="AD363" s="7" t="s">
        <v>22</v>
      </c>
      <c r="AE363" s="7" t="s">
        <v>22</v>
      </c>
      <c r="AF363" s="7" t="s">
        <v>22</v>
      </c>
      <c r="AG363" s="7" t="s">
        <v>22</v>
      </c>
      <c r="AH363" s="7" t="s">
        <v>22</v>
      </c>
      <c r="AJ363" s="7" t="s">
        <v>22</v>
      </c>
      <c r="AK363" s="7" t="s">
        <v>22</v>
      </c>
      <c r="AL363" s="7" t="s">
        <v>22</v>
      </c>
      <c r="AM363" s="7" t="s">
        <v>22</v>
      </c>
      <c r="AN363" s="7" t="s">
        <v>22</v>
      </c>
      <c r="AO363" s="7" t="s">
        <v>22</v>
      </c>
      <c r="AP363" s="7" t="s">
        <v>22</v>
      </c>
    </row>
    <row r="364" spans="11:42" x14ac:dyDescent="0.3">
      <c r="K364" s="22">
        <v>360</v>
      </c>
      <c r="L364" s="24" t="str">
        <f t="shared" si="54"/>
        <v/>
      </c>
      <c r="M364" s="24" t="str">
        <f t="shared" si="55"/>
        <v/>
      </c>
      <c r="N364" s="24" t="str">
        <f t="shared" si="56"/>
        <v/>
      </c>
      <c r="O364" s="24" t="str">
        <f t="shared" si="57"/>
        <v/>
      </c>
      <c r="P364" s="24" t="str">
        <f t="shared" si="58"/>
        <v/>
      </c>
      <c r="Q364" s="24" t="str">
        <f t="shared" si="59"/>
        <v/>
      </c>
      <c r="R364" s="24" t="str">
        <f t="shared" si="53"/>
        <v/>
      </c>
      <c r="T364" s="13" t="s">
        <v>22</v>
      </c>
      <c r="U364" s="7" t="s">
        <v>22</v>
      </c>
      <c r="V364" s="7" t="s">
        <v>22</v>
      </c>
      <c r="W364" s="7" t="s">
        <v>22</v>
      </c>
      <c r="X364" s="7" t="s">
        <v>22</v>
      </c>
      <c r="Y364" s="7" t="s">
        <v>22</v>
      </c>
      <c r="Z364" s="7" t="s">
        <v>22</v>
      </c>
      <c r="AB364" s="7" t="s">
        <v>22</v>
      </c>
      <c r="AC364" s="7" t="s">
        <v>22</v>
      </c>
      <c r="AD364" s="7" t="s">
        <v>22</v>
      </c>
      <c r="AE364" s="7" t="s">
        <v>22</v>
      </c>
      <c r="AF364" s="7" t="s">
        <v>22</v>
      </c>
      <c r="AG364" s="7" t="s">
        <v>22</v>
      </c>
      <c r="AH364" s="7" t="s">
        <v>22</v>
      </c>
      <c r="AJ364" s="7" t="s">
        <v>22</v>
      </c>
      <c r="AK364" s="7" t="s">
        <v>22</v>
      </c>
      <c r="AL364" s="7" t="s">
        <v>22</v>
      </c>
      <c r="AM364" s="7" t="s">
        <v>22</v>
      </c>
      <c r="AN364" s="7" t="s">
        <v>22</v>
      </c>
      <c r="AO364" s="7" t="s">
        <v>22</v>
      </c>
      <c r="AP364" s="7" t="s">
        <v>22</v>
      </c>
    </row>
    <row r="365" spans="11:42" x14ac:dyDescent="0.3">
      <c r="K365" s="21">
        <v>361</v>
      </c>
      <c r="L365" s="24" t="str">
        <f t="shared" si="54"/>
        <v/>
      </c>
      <c r="M365" s="24" t="str">
        <f t="shared" si="55"/>
        <v/>
      </c>
      <c r="N365" s="24" t="str">
        <f t="shared" si="56"/>
        <v/>
      </c>
      <c r="O365" s="24" t="str">
        <f t="shared" si="57"/>
        <v/>
      </c>
      <c r="P365" s="24" t="str">
        <f t="shared" si="58"/>
        <v/>
      </c>
      <c r="Q365" s="24" t="str">
        <f t="shared" si="59"/>
        <v/>
      </c>
      <c r="R365" s="24" t="str">
        <f t="shared" si="53"/>
        <v/>
      </c>
      <c r="T365" s="13" t="s">
        <v>22</v>
      </c>
      <c r="U365" s="7" t="s">
        <v>22</v>
      </c>
      <c r="V365" s="7" t="s">
        <v>22</v>
      </c>
      <c r="W365" s="7" t="s">
        <v>22</v>
      </c>
      <c r="X365" s="7" t="s">
        <v>22</v>
      </c>
      <c r="Y365" s="7" t="s">
        <v>22</v>
      </c>
      <c r="Z365" s="7" t="s">
        <v>22</v>
      </c>
      <c r="AB365" s="7" t="s">
        <v>22</v>
      </c>
      <c r="AC365" s="7" t="s">
        <v>22</v>
      </c>
      <c r="AD365" s="7" t="s">
        <v>22</v>
      </c>
      <c r="AE365" s="7" t="s">
        <v>22</v>
      </c>
      <c r="AF365" s="7" t="s">
        <v>22</v>
      </c>
      <c r="AG365" s="7" t="s">
        <v>22</v>
      </c>
      <c r="AH365" s="7" t="s">
        <v>22</v>
      </c>
      <c r="AJ365" s="7" t="s">
        <v>22</v>
      </c>
      <c r="AK365" s="7" t="s">
        <v>22</v>
      </c>
      <c r="AL365" s="7" t="s">
        <v>22</v>
      </c>
      <c r="AM365" s="7" t="s">
        <v>22</v>
      </c>
      <c r="AN365" s="7" t="s">
        <v>22</v>
      </c>
      <c r="AO365" s="7" t="s">
        <v>22</v>
      </c>
      <c r="AP365" s="7" t="s">
        <v>22</v>
      </c>
    </row>
    <row r="366" spans="11:42" x14ac:dyDescent="0.3">
      <c r="K366" s="22">
        <v>362</v>
      </c>
      <c r="L366" s="24" t="str">
        <f t="shared" si="54"/>
        <v/>
      </c>
      <c r="M366" s="24" t="str">
        <f t="shared" si="55"/>
        <v/>
      </c>
      <c r="N366" s="24" t="str">
        <f t="shared" si="56"/>
        <v/>
      </c>
      <c r="O366" s="24" t="str">
        <f t="shared" si="57"/>
        <v/>
      </c>
      <c r="P366" s="24" t="str">
        <f t="shared" si="58"/>
        <v/>
      </c>
      <c r="Q366" s="24" t="str">
        <f t="shared" si="59"/>
        <v/>
      </c>
      <c r="R366" s="24" t="str">
        <f t="shared" si="53"/>
        <v/>
      </c>
      <c r="T366" s="13" t="s">
        <v>22</v>
      </c>
      <c r="U366" s="7" t="s">
        <v>22</v>
      </c>
      <c r="V366" s="7" t="s">
        <v>22</v>
      </c>
      <c r="W366" s="7" t="s">
        <v>22</v>
      </c>
      <c r="X366" s="7" t="s">
        <v>22</v>
      </c>
      <c r="Y366" s="7" t="s">
        <v>22</v>
      </c>
      <c r="Z366" s="7" t="s">
        <v>22</v>
      </c>
      <c r="AB366" s="7" t="s">
        <v>22</v>
      </c>
      <c r="AC366" s="7" t="s">
        <v>22</v>
      </c>
      <c r="AD366" s="7" t="s">
        <v>22</v>
      </c>
      <c r="AE366" s="7" t="s">
        <v>22</v>
      </c>
      <c r="AF366" s="7" t="s">
        <v>22</v>
      </c>
      <c r="AG366" s="7" t="s">
        <v>22</v>
      </c>
      <c r="AH366" s="7" t="s">
        <v>22</v>
      </c>
      <c r="AJ366" s="7" t="s">
        <v>22</v>
      </c>
      <c r="AK366" s="7" t="s">
        <v>22</v>
      </c>
      <c r="AL366" s="7" t="s">
        <v>22</v>
      </c>
      <c r="AM366" s="7" t="s">
        <v>22</v>
      </c>
      <c r="AN366" s="7" t="s">
        <v>22</v>
      </c>
      <c r="AO366" s="7" t="s">
        <v>22</v>
      </c>
      <c r="AP366" s="7" t="s">
        <v>22</v>
      </c>
    </row>
    <row r="367" spans="11:42" x14ac:dyDescent="0.3">
      <c r="K367" s="21">
        <v>363</v>
      </c>
      <c r="L367" s="24" t="str">
        <f t="shared" si="54"/>
        <v/>
      </c>
      <c r="M367" s="24" t="str">
        <f t="shared" si="55"/>
        <v/>
      </c>
      <c r="N367" s="24" t="str">
        <f t="shared" si="56"/>
        <v/>
      </c>
      <c r="O367" s="24" t="str">
        <f t="shared" si="57"/>
        <v/>
      </c>
      <c r="P367" s="24" t="str">
        <f t="shared" si="58"/>
        <v/>
      </c>
      <c r="Q367" s="24" t="str">
        <f t="shared" si="59"/>
        <v/>
      </c>
      <c r="R367" s="24" t="str">
        <f t="shared" si="53"/>
        <v/>
      </c>
      <c r="T367" s="13" t="s">
        <v>22</v>
      </c>
      <c r="U367" s="7" t="s">
        <v>22</v>
      </c>
      <c r="V367" s="7" t="s">
        <v>22</v>
      </c>
      <c r="W367" s="7" t="s">
        <v>22</v>
      </c>
      <c r="X367" s="7" t="s">
        <v>22</v>
      </c>
      <c r="Y367" s="7" t="s">
        <v>22</v>
      </c>
      <c r="Z367" s="7" t="s">
        <v>22</v>
      </c>
      <c r="AB367" s="7" t="s">
        <v>22</v>
      </c>
      <c r="AC367" s="7" t="s">
        <v>22</v>
      </c>
      <c r="AD367" s="7" t="s">
        <v>22</v>
      </c>
      <c r="AE367" s="7" t="s">
        <v>22</v>
      </c>
      <c r="AF367" s="7" t="s">
        <v>22</v>
      </c>
      <c r="AG367" s="7" t="s">
        <v>22</v>
      </c>
      <c r="AH367" s="7" t="s">
        <v>22</v>
      </c>
      <c r="AJ367" s="7" t="s">
        <v>22</v>
      </c>
      <c r="AK367" s="7" t="s">
        <v>22</v>
      </c>
      <c r="AL367" s="7" t="s">
        <v>22</v>
      </c>
      <c r="AM367" s="7" t="s">
        <v>22</v>
      </c>
      <c r="AN367" s="7" t="s">
        <v>22</v>
      </c>
      <c r="AO367" s="7" t="s">
        <v>22</v>
      </c>
      <c r="AP367" s="7" t="s">
        <v>22</v>
      </c>
    </row>
    <row r="368" spans="11:42" x14ac:dyDescent="0.3">
      <c r="K368" s="22">
        <v>364</v>
      </c>
      <c r="L368" s="24" t="str">
        <f t="shared" si="54"/>
        <v/>
      </c>
      <c r="M368" s="24" t="str">
        <f t="shared" si="55"/>
        <v/>
      </c>
      <c r="N368" s="24" t="str">
        <f t="shared" si="56"/>
        <v/>
      </c>
      <c r="O368" s="24" t="str">
        <f t="shared" si="57"/>
        <v/>
      </c>
      <c r="P368" s="24" t="str">
        <f t="shared" si="58"/>
        <v/>
      </c>
      <c r="Q368" s="24" t="str">
        <f t="shared" si="59"/>
        <v/>
      </c>
      <c r="R368" s="24" t="str">
        <f t="shared" si="53"/>
        <v/>
      </c>
      <c r="T368" s="13" t="s">
        <v>22</v>
      </c>
      <c r="U368" s="7" t="s">
        <v>22</v>
      </c>
      <c r="V368" s="7" t="s">
        <v>22</v>
      </c>
      <c r="W368" s="7" t="s">
        <v>22</v>
      </c>
      <c r="X368" s="7" t="s">
        <v>22</v>
      </c>
      <c r="Y368" s="7" t="s">
        <v>22</v>
      </c>
      <c r="Z368" s="7" t="s">
        <v>22</v>
      </c>
      <c r="AB368" s="7" t="s">
        <v>22</v>
      </c>
      <c r="AC368" s="7" t="s">
        <v>22</v>
      </c>
      <c r="AD368" s="7" t="s">
        <v>22</v>
      </c>
      <c r="AE368" s="7" t="s">
        <v>22</v>
      </c>
      <c r="AF368" s="7" t="s">
        <v>22</v>
      </c>
      <c r="AG368" s="7" t="s">
        <v>22</v>
      </c>
      <c r="AH368" s="7" t="s">
        <v>22</v>
      </c>
      <c r="AJ368" s="7" t="s">
        <v>22</v>
      </c>
      <c r="AK368" s="7" t="s">
        <v>22</v>
      </c>
      <c r="AL368" s="7" t="s">
        <v>22</v>
      </c>
      <c r="AM368" s="7" t="s">
        <v>22</v>
      </c>
      <c r="AN368" s="7" t="s">
        <v>22</v>
      </c>
      <c r="AO368" s="7" t="s">
        <v>22</v>
      </c>
      <c r="AP368" s="7" t="s">
        <v>22</v>
      </c>
    </row>
    <row r="369" spans="11:42" x14ac:dyDescent="0.3">
      <c r="K369" s="21">
        <v>365</v>
      </c>
      <c r="L369" s="24" t="str">
        <f t="shared" si="54"/>
        <v/>
      </c>
      <c r="M369" s="24" t="str">
        <f t="shared" si="55"/>
        <v/>
      </c>
      <c r="N369" s="24" t="str">
        <f t="shared" si="56"/>
        <v/>
      </c>
      <c r="O369" s="24" t="str">
        <f t="shared" si="57"/>
        <v/>
      </c>
      <c r="P369" s="24" t="str">
        <f t="shared" si="58"/>
        <v/>
      </c>
      <c r="Q369" s="24" t="str">
        <f t="shared" si="59"/>
        <v/>
      </c>
      <c r="R369" s="24" t="str">
        <f t="shared" si="53"/>
        <v/>
      </c>
      <c r="T369" s="13" t="s">
        <v>22</v>
      </c>
      <c r="U369" s="7" t="s">
        <v>22</v>
      </c>
      <c r="V369" s="7" t="s">
        <v>22</v>
      </c>
      <c r="W369" s="7" t="s">
        <v>22</v>
      </c>
      <c r="X369" s="7" t="s">
        <v>22</v>
      </c>
      <c r="Y369" s="7" t="s">
        <v>22</v>
      </c>
      <c r="Z369" s="7" t="s">
        <v>22</v>
      </c>
      <c r="AB369" s="7" t="s">
        <v>22</v>
      </c>
      <c r="AC369" s="7" t="s">
        <v>22</v>
      </c>
      <c r="AD369" s="7" t="s">
        <v>22</v>
      </c>
      <c r="AE369" s="7" t="s">
        <v>22</v>
      </c>
      <c r="AF369" s="7" t="s">
        <v>22</v>
      </c>
      <c r="AG369" s="7" t="s">
        <v>22</v>
      </c>
      <c r="AH369" s="7" t="s">
        <v>22</v>
      </c>
      <c r="AJ369" s="7" t="s">
        <v>22</v>
      </c>
      <c r="AK369" s="7" t="s">
        <v>22</v>
      </c>
      <c r="AL369" s="7" t="s">
        <v>22</v>
      </c>
      <c r="AM369" s="7" t="s">
        <v>22</v>
      </c>
      <c r="AN369" s="7" t="s">
        <v>22</v>
      </c>
      <c r="AO369" s="7" t="s">
        <v>22</v>
      </c>
      <c r="AP369" s="7" t="s">
        <v>22</v>
      </c>
    </row>
    <row r="370" spans="11:42" x14ac:dyDescent="0.3">
      <c r="K370" s="22">
        <v>366</v>
      </c>
      <c r="L370" s="24" t="str">
        <f t="shared" si="54"/>
        <v/>
      </c>
      <c r="M370" s="24" t="str">
        <f t="shared" si="55"/>
        <v/>
      </c>
      <c r="N370" s="24" t="str">
        <f t="shared" si="56"/>
        <v/>
      </c>
      <c r="O370" s="24" t="str">
        <f t="shared" si="57"/>
        <v/>
      </c>
      <c r="P370" s="24" t="str">
        <f t="shared" si="58"/>
        <v/>
      </c>
      <c r="Q370" s="24" t="str">
        <f t="shared" si="59"/>
        <v/>
      </c>
      <c r="R370" s="24" t="str">
        <f t="shared" ref="R370:R403" si="60">IF(Z370&lt;&gt;"",_xlfn.XLOOKUP(Z370,$K$4:$K$27,$A$4:$A$27),"")</f>
        <v/>
      </c>
      <c r="T370" s="13" t="s">
        <v>22</v>
      </c>
      <c r="U370" s="7" t="s">
        <v>22</v>
      </c>
      <c r="V370" s="7" t="s">
        <v>22</v>
      </c>
      <c r="W370" s="7" t="s">
        <v>22</v>
      </c>
      <c r="X370" s="7" t="s">
        <v>22</v>
      </c>
      <c r="Y370" s="7" t="s">
        <v>22</v>
      </c>
      <c r="Z370" s="7" t="s">
        <v>22</v>
      </c>
      <c r="AB370" s="7" t="s">
        <v>22</v>
      </c>
      <c r="AC370" s="7" t="s">
        <v>22</v>
      </c>
      <c r="AD370" s="7" t="s">
        <v>22</v>
      </c>
      <c r="AE370" s="7" t="s">
        <v>22</v>
      </c>
      <c r="AF370" s="7" t="s">
        <v>22</v>
      </c>
      <c r="AG370" s="7" t="s">
        <v>22</v>
      </c>
      <c r="AH370" s="7" t="s">
        <v>22</v>
      </c>
      <c r="AJ370" s="7" t="s">
        <v>22</v>
      </c>
      <c r="AK370" s="7" t="s">
        <v>22</v>
      </c>
      <c r="AL370" s="7" t="s">
        <v>22</v>
      </c>
      <c r="AM370" s="7" t="s">
        <v>22</v>
      </c>
      <c r="AN370" s="7" t="s">
        <v>22</v>
      </c>
      <c r="AO370" s="7" t="s">
        <v>22</v>
      </c>
      <c r="AP370" s="7" t="s">
        <v>22</v>
      </c>
    </row>
    <row r="371" spans="11:42" x14ac:dyDescent="0.3">
      <c r="K371" s="21">
        <v>367</v>
      </c>
      <c r="L371" s="24" t="str">
        <f t="shared" si="54"/>
        <v/>
      </c>
      <c r="M371" s="24" t="str">
        <f t="shared" si="55"/>
        <v/>
      </c>
      <c r="N371" s="24" t="str">
        <f t="shared" si="56"/>
        <v/>
      </c>
      <c r="O371" s="24" t="str">
        <f t="shared" si="57"/>
        <v/>
      </c>
      <c r="P371" s="24" t="str">
        <f t="shared" si="58"/>
        <v/>
      </c>
      <c r="Q371" s="24" t="str">
        <f t="shared" si="59"/>
        <v/>
      </c>
      <c r="R371" s="24" t="str">
        <f t="shared" si="60"/>
        <v/>
      </c>
      <c r="T371" s="13" t="s">
        <v>22</v>
      </c>
      <c r="U371" s="7" t="s">
        <v>22</v>
      </c>
      <c r="V371" s="7" t="s">
        <v>22</v>
      </c>
      <c r="W371" s="7" t="s">
        <v>22</v>
      </c>
      <c r="X371" s="7" t="s">
        <v>22</v>
      </c>
      <c r="Y371" s="7" t="s">
        <v>22</v>
      </c>
      <c r="Z371" s="7" t="s">
        <v>22</v>
      </c>
      <c r="AB371" s="7" t="s">
        <v>22</v>
      </c>
      <c r="AC371" s="7" t="s">
        <v>22</v>
      </c>
      <c r="AD371" s="7" t="s">
        <v>22</v>
      </c>
      <c r="AE371" s="7" t="s">
        <v>22</v>
      </c>
      <c r="AF371" s="7" t="s">
        <v>22</v>
      </c>
      <c r="AG371" s="7" t="s">
        <v>22</v>
      </c>
      <c r="AH371" s="7" t="s">
        <v>22</v>
      </c>
      <c r="AJ371" s="7" t="s">
        <v>22</v>
      </c>
      <c r="AK371" s="7" t="s">
        <v>22</v>
      </c>
      <c r="AL371" s="7" t="s">
        <v>22</v>
      </c>
      <c r="AM371" s="7" t="s">
        <v>22</v>
      </c>
      <c r="AN371" s="7" t="s">
        <v>22</v>
      </c>
      <c r="AO371" s="7" t="s">
        <v>22</v>
      </c>
      <c r="AP371" s="7" t="s">
        <v>22</v>
      </c>
    </row>
    <row r="372" spans="11:42" x14ac:dyDescent="0.3">
      <c r="K372" s="22">
        <v>368</v>
      </c>
      <c r="L372" s="24" t="str">
        <f t="shared" si="54"/>
        <v/>
      </c>
      <c r="M372" s="24" t="str">
        <f t="shared" si="55"/>
        <v/>
      </c>
      <c r="N372" s="24" t="str">
        <f t="shared" si="56"/>
        <v/>
      </c>
      <c r="O372" s="24" t="str">
        <f t="shared" si="57"/>
        <v/>
      </c>
      <c r="P372" s="24" t="str">
        <f t="shared" si="58"/>
        <v/>
      </c>
      <c r="Q372" s="24" t="str">
        <f t="shared" si="59"/>
        <v/>
      </c>
      <c r="R372" s="24" t="str">
        <f t="shared" si="60"/>
        <v/>
      </c>
      <c r="T372" s="13" t="s">
        <v>22</v>
      </c>
      <c r="U372" s="7" t="s">
        <v>22</v>
      </c>
      <c r="V372" s="7" t="s">
        <v>22</v>
      </c>
      <c r="W372" s="7" t="s">
        <v>22</v>
      </c>
      <c r="X372" s="7" t="s">
        <v>22</v>
      </c>
      <c r="Y372" s="7" t="s">
        <v>22</v>
      </c>
      <c r="Z372" s="7" t="s">
        <v>22</v>
      </c>
      <c r="AB372" s="7" t="s">
        <v>22</v>
      </c>
      <c r="AC372" s="7" t="s">
        <v>22</v>
      </c>
      <c r="AD372" s="7" t="s">
        <v>22</v>
      </c>
      <c r="AE372" s="7" t="s">
        <v>22</v>
      </c>
      <c r="AF372" s="7" t="s">
        <v>22</v>
      </c>
      <c r="AG372" s="7" t="s">
        <v>22</v>
      </c>
      <c r="AH372" s="7" t="s">
        <v>22</v>
      </c>
      <c r="AJ372" s="7" t="s">
        <v>22</v>
      </c>
      <c r="AK372" s="7" t="s">
        <v>22</v>
      </c>
      <c r="AL372" s="7" t="s">
        <v>22</v>
      </c>
      <c r="AM372" s="7" t="s">
        <v>22</v>
      </c>
      <c r="AN372" s="7" t="s">
        <v>22</v>
      </c>
      <c r="AO372" s="7" t="s">
        <v>22</v>
      </c>
      <c r="AP372" s="7" t="s">
        <v>22</v>
      </c>
    </row>
    <row r="373" spans="11:42" x14ac:dyDescent="0.3">
      <c r="K373" s="21">
        <v>369</v>
      </c>
      <c r="L373" s="24" t="str">
        <f t="shared" si="54"/>
        <v/>
      </c>
      <c r="M373" s="24" t="str">
        <f t="shared" si="55"/>
        <v/>
      </c>
      <c r="N373" s="24" t="str">
        <f t="shared" si="56"/>
        <v/>
      </c>
      <c r="O373" s="24" t="str">
        <f t="shared" si="57"/>
        <v/>
      </c>
      <c r="P373" s="24" t="str">
        <f t="shared" si="58"/>
        <v/>
      </c>
      <c r="Q373" s="24" t="str">
        <f t="shared" si="59"/>
        <v/>
      </c>
      <c r="R373" s="24" t="str">
        <f t="shared" si="60"/>
        <v/>
      </c>
      <c r="T373" s="13" t="s">
        <v>22</v>
      </c>
      <c r="U373" s="7" t="s">
        <v>22</v>
      </c>
      <c r="V373" s="7" t="s">
        <v>22</v>
      </c>
      <c r="W373" s="7" t="s">
        <v>22</v>
      </c>
      <c r="X373" s="7" t="s">
        <v>22</v>
      </c>
      <c r="Y373" s="7" t="s">
        <v>22</v>
      </c>
      <c r="Z373" s="7" t="s">
        <v>22</v>
      </c>
      <c r="AB373" s="7" t="s">
        <v>22</v>
      </c>
      <c r="AC373" s="7" t="s">
        <v>22</v>
      </c>
      <c r="AD373" s="7" t="s">
        <v>22</v>
      </c>
      <c r="AE373" s="7" t="s">
        <v>22</v>
      </c>
      <c r="AF373" s="7" t="s">
        <v>22</v>
      </c>
      <c r="AG373" s="7" t="s">
        <v>22</v>
      </c>
      <c r="AH373" s="7" t="s">
        <v>22</v>
      </c>
      <c r="AJ373" s="7" t="s">
        <v>22</v>
      </c>
      <c r="AK373" s="7" t="s">
        <v>22</v>
      </c>
      <c r="AL373" s="7" t="s">
        <v>22</v>
      </c>
      <c r="AM373" s="7" t="s">
        <v>22</v>
      </c>
      <c r="AN373" s="7" t="s">
        <v>22</v>
      </c>
      <c r="AO373" s="7" t="s">
        <v>22</v>
      </c>
      <c r="AP373" s="7" t="s">
        <v>22</v>
      </c>
    </row>
    <row r="374" spans="11:42" x14ac:dyDescent="0.3">
      <c r="K374" s="22">
        <v>370</v>
      </c>
      <c r="L374" s="24" t="str">
        <f t="shared" ref="L374:L403" si="61">IF(T374&lt;&gt;"",_xlfn.XLOOKUP(T374,$K$4:$K$27,$A$4:$A$27),"")</f>
        <v/>
      </c>
      <c r="M374" s="24" t="str">
        <f t="shared" ref="M374:M403" si="62">IF(U374&lt;&gt;"",_xlfn.XLOOKUP(U374,$K$4:$K$27,$A$4:$A$27),"")</f>
        <v/>
      </c>
      <c r="N374" s="24" t="str">
        <f t="shared" ref="N374:N403" si="63">IF(V374&lt;&gt;"",_xlfn.XLOOKUP(V374,$K$4:$K$27,$A$4:$A$27),"")</f>
        <v/>
      </c>
      <c r="O374" s="24" t="str">
        <f t="shared" ref="O374:O403" si="64">IF(W374&lt;&gt;"",_xlfn.XLOOKUP(W374,$K$4:$K$27,$A$4:$A$27),"")</f>
        <v/>
      </c>
      <c r="P374" s="24" t="str">
        <f t="shared" ref="P374:P403" si="65">IF(X374&lt;&gt;"",_xlfn.XLOOKUP(X374,$K$4:$K$27,$A$4:$A$27),"")</f>
        <v/>
      </c>
      <c r="Q374" s="24" t="str">
        <f t="shared" ref="Q374:Q403" si="66">IF(Y374&lt;&gt;"",_xlfn.XLOOKUP(Y374,$K$4:$K$27,$A$4:$A$27),"")</f>
        <v/>
      </c>
      <c r="R374" s="24" t="str">
        <f t="shared" si="60"/>
        <v/>
      </c>
      <c r="T374" s="13" t="s">
        <v>22</v>
      </c>
      <c r="U374" s="7" t="s">
        <v>22</v>
      </c>
      <c r="V374" s="7" t="s">
        <v>22</v>
      </c>
      <c r="W374" s="7" t="s">
        <v>22</v>
      </c>
      <c r="X374" s="7" t="s">
        <v>22</v>
      </c>
      <c r="Y374" s="7" t="s">
        <v>22</v>
      </c>
      <c r="Z374" s="7" t="s">
        <v>22</v>
      </c>
      <c r="AB374" s="7" t="s">
        <v>22</v>
      </c>
      <c r="AC374" s="7" t="s">
        <v>22</v>
      </c>
      <c r="AD374" s="7" t="s">
        <v>22</v>
      </c>
      <c r="AE374" s="7" t="s">
        <v>22</v>
      </c>
      <c r="AF374" s="7" t="s">
        <v>22</v>
      </c>
      <c r="AG374" s="7" t="s">
        <v>22</v>
      </c>
      <c r="AH374" s="7" t="s">
        <v>22</v>
      </c>
      <c r="AJ374" s="7" t="s">
        <v>22</v>
      </c>
      <c r="AK374" s="7" t="s">
        <v>22</v>
      </c>
      <c r="AL374" s="7" t="s">
        <v>22</v>
      </c>
      <c r="AM374" s="7" t="s">
        <v>22</v>
      </c>
      <c r="AN374" s="7" t="s">
        <v>22</v>
      </c>
      <c r="AO374" s="7" t="s">
        <v>22</v>
      </c>
      <c r="AP374" s="7" t="s">
        <v>22</v>
      </c>
    </row>
    <row r="375" spans="11:42" x14ac:dyDescent="0.3">
      <c r="K375" s="21">
        <v>371</v>
      </c>
      <c r="L375" s="24" t="str">
        <f t="shared" si="61"/>
        <v/>
      </c>
      <c r="M375" s="24" t="str">
        <f t="shared" si="62"/>
        <v/>
      </c>
      <c r="N375" s="24" t="str">
        <f t="shared" si="63"/>
        <v/>
      </c>
      <c r="O375" s="24" t="str">
        <f t="shared" si="64"/>
        <v/>
      </c>
      <c r="P375" s="24" t="str">
        <f t="shared" si="65"/>
        <v/>
      </c>
      <c r="Q375" s="24" t="str">
        <f t="shared" si="66"/>
        <v/>
      </c>
      <c r="R375" s="24" t="str">
        <f t="shared" si="60"/>
        <v/>
      </c>
      <c r="T375" s="13" t="s">
        <v>22</v>
      </c>
      <c r="U375" s="7" t="s">
        <v>22</v>
      </c>
      <c r="V375" s="7" t="s">
        <v>22</v>
      </c>
      <c r="W375" s="7" t="s">
        <v>22</v>
      </c>
      <c r="X375" s="7" t="s">
        <v>22</v>
      </c>
      <c r="Y375" s="7" t="s">
        <v>22</v>
      </c>
      <c r="Z375" s="7" t="s">
        <v>22</v>
      </c>
      <c r="AB375" s="7" t="s">
        <v>22</v>
      </c>
      <c r="AC375" s="7" t="s">
        <v>22</v>
      </c>
      <c r="AD375" s="7" t="s">
        <v>22</v>
      </c>
      <c r="AE375" s="7" t="s">
        <v>22</v>
      </c>
      <c r="AF375" s="7" t="s">
        <v>22</v>
      </c>
      <c r="AG375" s="7" t="s">
        <v>22</v>
      </c>
      <c r="AH375" s="7" t="s">
        <v>22</v>
      </c>
      <c r="AJ375" s="7" t="s">
        <v>22</v>
      </c>
      <c r="AK375" s="7" t="s">
        <v>22</v>
      </c>
      <c r="AL375" s="7" t="s">
        <v>22</v>
      </c>
      <c r="AM375" s="7" t="s">
        <v>22</v>
      </c>
      <c r="AN375" s="7" t="s">
        <v>22</v>
      </c>
      <c r="AO375" s="7" t="s">
        <v>22</v>
      </c>
      <c r="AP375" s="7" t="s">
        <v>22</v>
      </c>
    </row>
    <row r="376" spans="11:42" x14ac:dyDescent="0.3">
      <c r="K376" s="22">
        <v>372</v>
      </c>
      <c r="L376" s="24" t="str">
        <f t="shared" si="61"/>
        <v/>
      </c>
      <c r="M376" s="24" t="str">
        <f t="shared" si="62"/>
        <v/>
      </c>
      <c r="N376" s="24" t="str">
        <f t="shared" si="63"/>
        <v/>
      </c>
      <c r="O376" s="24" t="str">
        <f t="shared" si="64"/>
        <v/>
      </c>
      <c r="P376" s="24" t="str">
        <f t="shared" si="65"/>
        <v/>
      </c>
      <c r="Q376" s="24" t="str">
        <f t="shared" si="66"/>
        <v/>
      </c>
      <c r="R376" s="24" t="str">
        <f t="shared" si="60"/>
        <v/>
      </c>
      <c r="T376" s="13" t="s">
        <v>22</v>
      </c>
      <c r="U376" s="7" t="s">
        <v>22</v>
      </c>
      <c r="V376" s="7" t="s">
        <v>22</v>
      </c>
      <c r="W376" s="7" t="s">
        <v>22</v>
      </c>
      <c r="X376" s="7" t="s">
        <v>22</v>
      </c>
      <c r="Y376" s="7" t="s">
        <v>22</v>
      </c>
      <c r="Z376" s="7" t="s">
        <v>22</v>
      </c>
      <c r="AB376" s="7" t="s">
        <v>22</v>
      </c>
      <c r="AC376" s="7" t="s">
        <v>22</v>
      </c>
      <c r="AD376" s="7" t="s">
        <v>22</v>
      </c>
      <c r="AE376" s="7" t="s">
        <v>22</v>
      </c>
      <c r="AF376" s="7" t="s">
        <v>22</v>
      </c>
      <c r="AG376" s="7" t="s">
        <v>22</v>
      </c>
      <c r="AH376" s="7" t="s">
        <v>22</v>
      </c>
      <c r="AJ376" s="7" t="s">
        <v>22</v>
      </c>
      <c r="AK376" s="7" t="s">
        <v>22</v>
      </c>
      <c r="AL376" s="7" t="s">
        <v>22</v>
      </c>
      <c r="AM376" s="7" t="s">
        <v>22</v>
      </c>
      <c r="AN376" s="7" t="s">
        <v>22</v>
      </c>
      <c r="AO376" s="7" t="s">
        <v>22</v>
      </c>
      <c r="AP376" s="7" t="s">
        <v>22</v>
      </c>
    </row>
    <row r="377" spans="11:42" x14ac:dyDescent="0.3">
      <c r="K377" s="21">
        <v>373</v>
      </c>
      <c r="L377" s="24" t="str">
        <f t="shared" si="61"/>
        <v/>
      </c>
      <c r="M377" s="24" t="str">
        <f t="shared" si="62"/>
        <v/>
      </c>
      <c r="N377" s="24" t="str">
        <f t="shared" si="63"/>
        <v/>
      </c>
      <c r="O377" s="24" t="str">
        <f t="shared" si="64"/>
        <v/>
      </c>
      <c r="P377" s="24" t="str">
        <f t="shared" si="65"/>
        <v/>
      </c>
      <c r="Q377" s="24" t="str">
        <f t="shared" si="66"/>
        <v/>
      </c>
      <c r="R377" s="24" t="str">
        <f t="shared" si="60"/>
        <v/>
      </c>
      <c r="T377" s="13" t="s">
        <v>22</v>
      </c>
      <c r="U377" s="7" t="s">
        <v>22</v>
      </c>
      <c r="V377" s="7" t="s">
        <v>22</v>
      </c>
      <c r="W377" s="7" t="s">
        <v>22</v>
      </c>
      <c r="X377" s="7" t="s">
        <v>22</v>
      </c>
      <c r="Y377" s="7" t="s">
        <v>22</v>
      </c>
      <c r="Z377" s="7" t="s">
        <v>22</v>
      </c>
      <c r="AB377" s="7" t="s">
        <v>22</v>
      </c>
      <c r="AC377" s="7" t="s">
        <v>22</v>
      </c>
      <c r="AD377" s="7" t="s">
        <v>22</v>
      </c>
      <c r="AE377" s="7" t="s">
        <v>22</v>
      </c>
      <c r="AF377" s="7" t="s">
        <v>22</v>
      </c>
      <c r="AG377" s="7" t="s">
        <v>22</v>
      </c>
      <c r="AH377" s="7" t="s">
        <v>22</v>
      </c>
      <c r="AJ377" s="7" t="s">
        <v>22</v>
      </c>
      <c r="AK377" s="7" t="s">
        <v>22</v>
      </c>
      <c r="AL377" s="7" t="s">
        <v>22</v>
      </c>
      <c r="AM377" s="7" t="s">
        <v>22</v>
      </c>
      <c r="AN377" s="7" t="s">
        <v>22</v>
      </c>
      <c r="AO377" s="7" t="s">
        <v>22</v>
      </c>
      <c r="AP377" s="7" t="s">
        <v>22</v>
      </c>
    </row>
    <row r="378" spans="11:42" x14ac:dyDescent="0.3">
      <c r="K378" s="22">
        <v>374</v>
      </c>
      <c r="L378" s="24" t="str">
        <f t="shared" si="61"/>
        <v/>
      </c>
      <c r="M378" s="24" t="str">
        <f t="shared" si="62"/>
        <v/>
      </c>
      <c r="N378" s="24" t="str">
        <f t="shared" si="63"/>
        <v/>
      </c>
      <c r="O378" s="24" t="str">
        <f t="shared" si="64"/>
        <v/>
      </c>
      <c r="P378" s="24" t="str">
        <f t="shared" si="65"/>
        <v/>
      </c>
      <c r="Q378" s="24" t="str">
        <f t="shared" si="66"/>
        <v/>
      </c>
      <c r="R378" s="24" t="str">
        <f t="shared" si="60"/>
        <v/>
      </c>
      <c r="T378" s="13" t="s">
        <v>22</v>
      </c>
      <c r="U378" s="7" t="s">
        <v>22</v>
      </c>
      <c r="V378" s="7" t="s">
        <v>22</v>
      </c>
      <c r="W378" s="7" t="s">
        <v>22</v>
      </c>
      <c r="X378" s="7" t="s">
        <v>22</v>
      </c>
      <c r="Y378" s="7" t="s">
        <v>22</v>
      </c>
      <c r="Z378" s="7" t="s">
        <v>22</v>
      </c>
      <c r="AB378" s="7" t="s">
        <v>22</v>
      </c>
      <c r="AC378" s="7" t="s">
        <v>22</v>
      </c>
      <c r="AD378" s="7" t="s">
        <v>22</v>
      </c>
      <c r="AE378" s="7" t="s">
        <v>22</v>
      </c>
      <c r="AF378" s="7" t="s">
        <v>22</v>
      </c>
      <c r="AG378" s="7" t="s">
        <v>22</v>
      </c>
      <c r="AH378" s="7" t="s">
        <v>22</v>
      </c>
      <c r="AJ378" s="7" t="s">
        <v>22</v>
      </c>
      <c r="AK378" s="7" t="s">
        <v>22</v>
      </c>
      <c r="AL378" s="7" t="s">
        <v>22</v>
      </c>
      <c r="AM378" s="7" t="s">
        <v>22</v>
      </c>
      <c r="AN378" s="7" t="s">
        <v>22</v>
      </c>
      <c r="AO378" s="7" t="s">
        <v>22</v>
      </c>
      <c r="AP378" s="7" t="s">
        <v>22</v>
      </c>
    </row>
    <row r="379" spans="11:42" x14ac:dyDescent="0.3">
      <c r="K379" s="21">
        <v>375</v>
      </c>
      <c r="L379" s="24" t="str">
        <f t="shared" si="61"/>
        <v/>
      </c>
      <c r="M379" s="24" t="str">
        <f t="shared" si="62"/>
        <v/>
      </c>
      <c r="N379" s="24" t="str">
        <f t="shared" si="63"/>
        <v/>
      </c>
      <c r="O379" s="24" t="str">
        <f t="shared" si="64"/>
        <v/>
      </c>
      <c r="P379" s="24" t="str">
        <f t="shared" si="65"/>
        <v/>
      </c>
      <c r="Q379" s="24" t="str">
        <f t="shared" si="66"/>
        <v/>
      </c>
      <c r="R379" s="24" t="str">
        <f t="shared" si="60"/>
        <v/>
      </c>
      <c r="T379" s="13" t="s">
        <v>22</v>
      </c>
      <c r="U379" s="7" t="s">
        <v>22</v>
      </c>
      <c r="V379" s="7" t="s">
        <v>22</v>
      </c>
      <c r="W379" s="7" t="s">
        <v>22</v>
      </c>
      <c r="X379" s="7" t="s">
        <v>22</v>
      </c>
      <c r="Y379" s="7" t="s">
        <v>22</v>
      </c>
      <c r="Z379" s="7" t="s">
        <v>22</v>
      </c>
      <c r="AB379" s="7" t="s">
        <v>22</v>
      </c>
      <c r="AC379" s="7" t="s">
        <v>22</v>
      </c>
      <c r="AD379" s="7" t="s">
        <v>22</v>
      </c>
      <c r="AE379" s="7" t="s">
        <v>22</v>
      </c>
      <c r="AF379" s="7" t="s">
        <v>22</v>
      </c>
      <c r="AG379" s="7" t="s">
        <v>22</v>
      </c>
      <c r="AH379" s="7" t="s">
        <v>22</v>
      </c>
      <c r="AJ379" s="7" t="s">
        <v>22</v>
      </c>
      <c r="AK379" s="7" t="s">
        <v>22</v>
      </c>
      <c r="AL379" s="7" t="s">
        <v>22</v>
      </c>
      <c r="AM379" s="7" t="s">
        <v>22</v>
      </c>
      <c r="AN379" s="7" t="s">
        <v>22</v>
      </c>
      <c r="AO379" s="7" t="s">
        <v>22</v>
      </c>
      <c r="AP379" s="7" t="s">
        <v>22</v>
      </c>
    </row>
    <row r="380" spans="11:42" x14ac:dyDescent="0.3">
      <c r="K380" s="22">
        <v>376</v>
      </c>
      <c r="L380" s="24" t="str">
        <f t="shared" si="61"/>
        <v/>
      </c>
      <c r="M380" s="24" t="str">
        <f t="shared" si="62"/>
        <v/>
      </c>
      <c r="N380" s="24" t="str">
        <f t="shared" si="63"/>
        <v/>
      </c>
      <c r="O380" s="24" t="str">
        <f t="shared" si="64"/>
        <v/>
      </c>
      <c r="P380" s="24" t="str">
        <f t="shared" si="65"/>
        <v/>
      </c>
      <c r="Q380" s="24" t="str">
        <f t="shared" si="66"/>
        <v/>
      </c>
      <c r="R380" s="24" t="str">
        <f t="shared" si="60"/>
        <v/>
      </c>
      <c r="T380" s="13" t="s">
        <v>22</v>
      </c>
      <c r="U380" s="7" t="s">
        <v>22</v>
      </c>
      <c r="V380" s="7" t="s">
        <v>22</v>
      </c>
      <c r="W380" s="7" t="s">
        <v>22</v>
      </c>
      <c r="X380" s="7" t="s">
        <v>22</v>
      </c>
      <c r="Y380" s="7" t="s">
        <v>22</v>
      </c>
      <c r="Z380" s="7" t="s">
        <v>22</v>
      </c>
      <c r="AB380" s="7" t="s">
        <v>22</v>
      </c>
      <c r="AC380" s="7" t="s">
        <v>22</v>
      </c>
      <c r="AD380" s="7" t="s">
        <v>22</v>
      </c>
      <c r="AE380" s="7" t="s">
        <v>22</v>
      </c>
      <c r="AF380" s="7" t="s">
        <v>22</v>
      </c>
      <c r="AG380" s="7" t="s">
        <v>22</v>
      </c>
      <c r="AH380" s="7" t="s">
        <v>22</v>
      </c>
      <c r="AJ380" s="7" t="s">
        <v>22</v>
      </c>
      <c r="AK380" s="7" t="s">
        <v>22</v>
      </c>
      <c r="AL380" s="7" t="s">
        <v>22</v>
      </c>
      <c r="AM380" s="7" t="s">
        <v>22</v>
      </c>
      <c r="AN380" s="7" t="s">
        <v>22</v>
      </c>
      <c r="AO380" s="7" t="s">
        <v>22</v>
      </c>
      <c r="AP380" s="7" t="s">
        <v>22</v>
      </c>
    </row>
    <row r="381" spans="11:42" x14ac:dyDescent="0.3">
      <c r="K381" s="21">
        <v>377</v>
      </c>
      <c r="L381" s="24" t="str">
        <f t="shared" si="61"/>
        <v/>
      </c>
      <c r="M381" s="24" t="str">
        <f t="shared" si="62"/>
        <v/>
      </c>
      <c r="N381" s="24" t="str">
        <f t="shared" si="63"/>
        <v/>
      </c>
      <c r="O381" s="24" t="str">
        <f t="shared" si="64"/>
        <v/>
      </c>
      <c r="P381" s="24" t="str">
        <f t="shared" si="65"/>
        <v/>
      </c>
      <c r="Q381" s="24" t="str">
        <f t="shared" si="66"/>
        <v/>
      </c>
      <c r="R381" s="24" t="str">
        <f t="shared" si="60"/>
        <v/>
      </c>
      <c r="T381" s="13" t="s">
        <v>22</v>
      </c>
      <c r="U381" s="7" t="s">
        <v>22</v>
      </c>
      <c r="V381" s="7" t="s">
        <v>22</v>
      </c>
      <c r="W381" s="7" t="s">
        <v>22</v>
      </c>
      <c r="X381" s="7" t="s">
        <v>22</v>
      </c>
      <c r="Y381" s="7" t="s">
        <v>22</v>
      </c>
      <c r="Z381" s="7" t="s">
        <v>22</v>
      </c>
      <c r="AB381" s="7" t="s">
        <v>22</v>
      </c>
      <c r="AC381" s="7" t="s">
        <v>22</v>
      </c>
      <c r="AD381" s="7" t="s">
        <v>22</v>
      </c>
      <c r="AE381" s="7" t="s">
        <v>22</v>
      </c>
      <c r="AF381" s="7" t="s">
        <v>22</v>
      </c>
      <c r="AG381" s="7" t="s">
        <v>22</v>
      </c>
      <c r="AH381" s="7" t="s">
        <v>22</v>
      </c>
      <c r="AJ381" s="7" t="s">
        <v>22</v>
      </c>
      <c r="AK381" s="7" t="s">
        <v>22</v>
      </c>
      <c r="AL381" s="7" t="s">
        <v>22</v>
      </c>
      <c r="AM381" s="7" t="s">
        <v>22</v>
      </c>
      <c r="AN381" s="7" t="s">
        <v>22</v>
      </c>
      <c r="AO381" s="7" t="s">
        <v>22</v>
      </c>
      <c r="AP381" s="7" t="s">
        <v>22</v>
      </c>
    </row>
    <row r="382" spans="11:42" x14ac:dyDescent="0.3">
      <c r="K382" s="22">
        <v>378</v>
      </c>
      <c r="L382" s="24" t="str">
        <f t="shared" si="61"/>
        <v/>
      </c>
      <c r="M382" s="24" t="str">
        <f t="shared" si="62"/>
        <v/>
      </c>
      <c r="N382" s="24" t="str">
        <f t="shared" si="63"/>
        <v/>
      </c>
      <c r="O382" s="24" t="str">
        <f t="shared" si="64"/>
        <v/>
      </c>
      <c r="P382" s="24" t="str">
        <f t="shared" si="65"/>
        <v/>
      </c>
      <c r="Q382" s="24" t="str">
        <f t="shared" si="66"/>
        <v/>
      </c>
      <c r="R382" s="24" t="str">
        <f t="shared" si="60"/>
        <v/>
      </c>
      <c r="T382" s="13" t="s">
        <v>22</v>
      </c>
      <c r="U382" s="7" t="s">
        <v>22</v>
      </c>
      <c r="V382" s="7" t="s">
        <v>22</v>
      </c>
      <c r="W382" s="7" t="s">
        <v>22</v>
      </c>
      <c r="X382" s="7" t="s">
        <v>22</v>
      </c>
      <c r="Y382" s="7" t="s">
        <v>22</v>
      </c>
      <c r="Z382" s="7" t="s">
        <v>22</v>
      </c>
      <c r="AB382" s="7" t="s">
        <v>22</v>
      </c>
      <c r="AC382" s="7" t="s">
        <v>22</v>
      </c>
      <c r="AD382" s="7" t="s">
        <v>22</v>
      </c>
      <c r="AE382" s="7" t="s">
        <v>22</v>
      </c>
      <c r="AF382" s="7" t="s">
        <v>22</v>
      </c>
      <c r="AG382" s="7" t="s">
        <v>22</v>
      </c>
      <c r="AH382" s="7" t="s">
        <v>22</v>
      </c>
      <c r="AJ382" s="7" t="s">
        <v>22</v>
      </c>
      <c r="AK382" s="7" t="s">
        <v>22</v>
      </c>
      <c r="AL382" s="7" t="s">
        <v>22</v>
      </c>
      <c r="AM382" s="7" t="s">
        <v>22</v>
      </c>
      <c r="AN382" s="7" t="s">
        <v>22</v>
      </c>
      <c r="AO382" s="7" t="s">
        <v>22</v>
      </c>
      <c r="AP382" s="7" t="s">
        <v>22</v>
      </c>
    </row>
    <row r="383" spans="11:42" x14ac:dyDescent="0.3">
      <c r="K383" s="21">
        <v>379</v>
      </c>
      <c r="L383" s="24" t="str">
        <f t="shared" si="61"/>
        <v/>
      </c>
      <c r="M383" s="24" t="str">
        <f t="shared" si="62"/>
        <v/>
      </c>
      <c r="N383" s="24" t="str">
        <f t="shared" si="63"/>
        <v/>
      </c>
      <c r="O383" s="24" t="str">
        <f t="shared" si="64"/>
        <v/>
      </c>
      <c r="P383" s="24" t="str">
        <f t="shared" si="65"/>
        <v/>
      </c>
      <c r="Q383" s="24" t="str">
        <f t="shared" si="66"/>
        <v/>
      </c>
      <c r="R383" s="24" t="str">
        <f t="shared" si="60"/>
        <v/>
      </c>
      <c r="T383" s="13" t="s">
        <v>22</v>
      </c>
      <c r="U383" s="7" t="s">
        <v>22</v>
      </c>
      <c r="V383" s="7" t="s">
        <v>22</v>
      </c>
      <c r="W383" s="7" t="s">
        <v>22</v>
      </c>
      <c r="X383" s="7" t="s">
        <v>22</v>
      </c>
      <c r="Y383" s="7" t="s">
        <v>22</v>
      </c>
      <c r="Z383" s="7" t="s">
        <v>22</v>
      </c>
      <c r="AB383" s="7" t="s">
        <v>22</v>
      </c>
      <c r="AC383" s="7" t="s">
        <v>22</v>
      </c>
      <c r="AD383" s="7" t="s">
        <v>22</v>
      </c>
      <c r="AE383" s="7" t="s">
        <v>22</v>
      </c>
      <c r="AF383" s="7" t="s">
        <v>22</v>
      </c>
      <c r="AG383" s="7" t="s">
        <v>22</v>
      </c>
      <c r="AH383" s="7" t="s">
        <v>22</v>
      </c>
      <c r="AJ383" s="7" t="s">
        <v>22</v>
      </c>
      <c r="AK383" s="7" t="s">
        <v>22</v>
      </c>
      <c r="AL383" s="7" t="s">
        <v>22</v>
      </c>
      <c r="AM383" s="7" t="s">
        <v>22</v>
      </c>
      <c r="AN383" s="7" t="s">
        <v>22</v>
      </c>
      <c r="AO383" s="7" t="s">
        <v>22</v>
      </c>
      <c r="AP383" s="7" t="s">
        <v>22</v>
      </c>
    </row>
    <row r="384" spans="11:42" x14ac:dyDescent="0.3">
      <c r="K384" s="22">
        <v>380</v>
      </c>
      <c r="L384" s="24" t="str">
        <f t="shared" si="61"/>
        <v/>
      </c>
      <c r="M384" s="24" t="str">
        <f t="shared" si="62"/>
        <v/>
      </c>
      <c r="N384" s="24" t="str">
        <f t="shared" si="63"/>
        <v/>
      </c>
      <c r="O384" s="24" t="str">
        <f t="shared" si="64"/>
        <v/>
      </c>
      <c r="P384" s="24" t="str">
        <f t="shared" si="65"/>
        <v/>
      </c>
      <c r="Q384" s="24" t="str">
        <f t="shared" si="66"/>
        <v/>
      </c>
      <c r="R384" s="24" t="str">
        <f t="shared" si="60"/>
        <v/>
      </c>
      <c r="T384" s="13" t="s">
        <v>22</v>
      </c>
      <c r="U384" s="7" t="s">
        <v>22</v>
      </c>
      <c r="V384" s="7" t="s">
        <v>22</v>
      </c>
      <c r="W384" s="7" t="s">
        <v>22</v>
      </c>
      <c r="X384" s="7" t="s">
        <v>22</v>
      </c>
      <c r="Y384" s="7" t="s">
        <v>22</v>
      </c>
      <c r="Z384" s="7" t="s">
        <v>22</v>
      </c>
      <c r="AB384" s="7" t="s">
        <v>22</v>
      </c>
      <c r="AC384" s="7" t="s">
        <v>22</v>
      </c>
      <c r="AD384" s="7" t="s">
        <v>22</v>
      </c>
      <c r="AE384" s="7" t="s">
        <v>22</v>
      </c>
      <c r="AF384" s="7" t="s">
        <v>22</v>
      </c>
      <c r="AG384" s="7" t="s">
        <v>22</v>
      </c>
      <c r="AH384" s="7" t="s">
        <v>22</v>
      </c>
      <c r="AJ384" s="7" t="s">
        <v>22</v>
      </c>
      <c r="AK384" s="7" t="s">
        <v>22</v>
      </c>
      <c r="AL384" s="7" t="s">
        <v>22</v>
      </c>
      <c r="AM384" s="7" t="s">
        <v>22</v>
      </c>
      <c r="AN384" s="7" t="s">
        <v>22</v>
      </c>
      <c r="AO384" s="7" t="s">
        <v>22</v>
      </c>
      <c r="AP384" s="7" t="s">
        <v>22</v>
      </c>
    </row>
    <row r="385" spans="11:42" x14ac:dyDescent="0.3">
      <c r="K385" s="21">
        <v>381</v>
      </c>
      <c r="L385" s="24" t="str">
        <f t="shared" si="61"/>
        <v/>
      </c>
      <c r="M385" s="24" t="str">
        <f t="shared" si="62"/>
        <v/>
      </c>
      <c r="N385" s="24" t="str">
        <f t="shared" si="63"/>
        <v/>
      </c>
      <c r="O385" s="24" t="str">
        <f t="shared" si="64"/>
        <v/>
      </c>
      <c r="P385" s="24" t="str">
        <f t="shared" si="65"/>
        <v/>
      </c>
      <c r="Q385" s="24" t="str">
        <f t="shared" si="66"/>
        <v/>
      </c>
      <c r="R385" s="24" t="str">
        <f t="shared" si="60"/>
        <v/>
      </c>
      <c r="T385" s="13" t="s">
        <v>22</v>
      </c>
      <c r="U385" s="7" t="s">
        <v>22</v>
      </c>
      <c r="V385" s="7" t="s">
        <v>22</v>
      </c>
      <c r="W385" s="7" t="s">
        <v>22</v>
      </c>
      <c r="X385" s="7" t="s">
        <v>22</v>
      </c>
      <c r="Y385" s="7" t="s">
        <v>22</v>
      </c>
      <c r="Z385" s="7" t="s">
        <v>22</v>
      </c>
      <c r="AB385" s="7" t="s">
        <v>22</v>
      </c>
      <c r="AC385" s="7" t="s">
        <v>22</v>
      </c>
      <c r="AD385" s="7" t="s">
        <v>22</v>
      </c>
      <c r="AE385" s="7" t="s">
        <v>22</v>
      </c>
      <c r="AF385" s="7" t="s">
        <v>22</v>
      </c>
      <c r="AG385" s="7" t="s">
        <v>22</v>
      </c>
      <c r="AH385" s="7" t="s">
        <v>22</v>
      </c>
      <c r="AJ385" s="7" t="s">
        <v>22</v>
      </c>
      <c r="AK385" s="7" t="s">
        <v>22</v>
      </c>
      <c r="AL385" s="7" t="s">
        <v>22</v>
      </c>
      <c r="AM385" s="7" t="s">
        <v>22</v>
      </c>
      <c r="AN385" s="7" t="s">
        <v>22</v>
      </c>
      <c r="AO385" s="7" t="s">
        <v>22</v>
      </c>
      <c r="AP385" s="7" t="s">
        <v>22</v>
      </c>
    </row>
    <row r="386" spans="11:42" x14ac:dyDescent="0.3">
      <c r="K386" s="22">
        <v>382</v>
      </c>
      <c r="L386" s="24" t="str">
        <f t="shared" si="61"/>
        <v/>
      </c>
      <c r="M386" s="24" t="str">
        <f t="shared" si="62"/>
        <v/>
      </c>
      <c r="N386" s="24" t="str">
        <f t="shared" si="63"/>
        <v/>
      </c>
      <c r="O386" s="24" t="str">
        <f t="shared" si="64"/>
        <v/>
      </c>
      <c r="P386" s="24" t="str">
        <f t="shared" si="65"/>
        <v/>
      </c>
      <c r="Q386" s="24" t="str">
        <f t="shared" si="66"/>
        <v/>
      </c>
      <c r="R386" s="24" t="str">
        <f t="shared" si="60"/>
        <v/>
      </c>
      <c r="T386" s="13" t="s">
        <v>22</v>
      </c>
      <c r="U386" s="7" t="s">
        <v>22</v>
      </c>
      <c r="V386" s="7" t="s">
        <v>22</v>
      </c>
      <c r="W386" s="7" t="s">
        <v>22</v>
      </c>
      <c r="X386" s="7" t="s">
        <v>22</v>
      </c>
      <c r="Y386" s="7" t="s">
        <v>22</v>
      </c>
      <c r="Z386" s="7" t="s">
        <v>22</v>
      </c>
      <c r="AB386" s="7" t="s">
        <v>22</v>
      </c>
      <c r="AC386" s="7" t="s">
        <v>22</v>
      </c>
      <c r="AD386" s="7" t="s">
        <v>22</v>
      </c>
      <c r="AE386" s="7" t="s">
        <v>22</v>
      </c>
      <c r="AF386" s="7" t="s">
        <v>22</v>
      </c>
      <c r="AG386" s="7" t="s">
        <v>22</v>
      </c>
      <c r="AH386" s="7" t="s">
        <v>22</v>
      </c>
      <c r="AJ386" s="7" t="s">
        <v>22</v>
      </c>
      <c r="AK386" s="7" t="s">
        <v>22</v>
      </c>
      <c r="AL386" s="7" t="s">
        <v>22</v>
      </c>
      <c r="AM386" s="7" t="s">
        <v>22</v>
      </c>
      <c r="AN386" s="7" t="s">
        <v>22</v>
      </c>
      <c r="AO386" s="7" t="s">
        <v>22</v>
      </c>
      <c r="AP386" s="7" t="s">
        <v>22</v>
      </c>
    </row>
    <row r="387" spans="11:42" x14ac:dyDescent="0.3">
      <c r="K387" s="21">
        <v>383</v>
      </c>
      <c r="L387" s="24" t="str">
        <f t="shared" si="61"/>
        <v/>
      </c>
      <c r="M387" s="24" t="str">
        <f t="shared" si="62"/>
        <v/>
      </c>
      <c r="N387" s="24" t="str">
        <f t="shared" si="63"/>
        <v/>
      </c>
      <c r="O387" s="24" t="str">
        <f t="shared" si="64"/>
        <v/>
      </c>
      <c r="P387" s="24" t="str">
        <f t="shared" si="65"/>
        <v/>
      </c>
      <c r="Q387" s="24" t="str">
        <f t="shared" si="66"/>
        <v/>
      </c>
      <c r="R387" s="24" t="str">
        <f t="shared" si="60"/>
        <v/>
      </c>
      <c r="T387" s="13" t="s">
        <v>22</v>
      </c>
      <c r="U387" s="7" t="s">
        <v>22</v>
      </c>
      <c r="V387" s="7" t="s">
        <v>22</v>
      </c>
      <c r="W387" s="7" t="s">
        <v>22</v>
      </c>
      <c r="X387" s="7" t="s">
        <v>22</v>
      </c>
      <c r="Y387" s="7" t="s">
        <v>22</v>
      </c>
      <c r="Z387" s="7" t="s">
        <v>22</v>
      </c>
      <c r="AB387" s="7" t="s">
        <v>22</v>
      </c>
      <c r="AC387" s="7" t="s">
        <v>22</v>
      </c>
      <c r="AD387" s="7" t="s">
        <v>22</v>
      </c>
      <c r="AE387" s="7" t="s">
        <v>22</v>
      </c>
      <c r="AF387" s="7" t="s">
        <v>22</v>
      </c>
      <c r="AG387" s="7" t="s">
        <v>22</v>
      </c>
      <c r="AH387" s="7" t="s">
        <v>22</v>
      </c>
      <c r="AJ387" s="7" t="s">
        <v>22</v>
      </c>
      <c r="AK387" s="7" t="s">
        <v>22</v>
      </c>
      <c r="AL387" s="7" t="s">
        <v>22</v>
      </c>
      <c r="AM387" s="7" t="s">
        <v>22</v>
      </c>
      <c r="AN387" s="7" t="s">
        <v>22</v>
      </c>
      <c r="AO387" s="7" t="s">
        <v>22</v>
      </c>
      <c r="AP387" s="7" t="s">
        <v>22</v>
      </c>
    </row>
    <row r="388" spans="11:42" x14ac:dyDescent="0.3">
      <c r="K388" s="22">
        <v>384</v>
      </c>
      <c r="L388" s="24" t="str">
        <f t="shared" si="61"/>
        <v/>
      </c>
      <c r="M388" s="24" t="str">
        <f t="shared" si="62"/>
        <v/>
      </c>
      <c r="N388" s="24" t="str">
        <f t="shared" si="63"/>
        <v/>
      </c>
      <c r="O388" s="24" t="str">
        <f t="shared" si="64"/>
        <v/>
      </c>
      <c r="P388" s="24" t="str">
        <f t="shared" si="65"/>
        <v/>
      </c>
      <c r="Q388" s="24" t="str">
        <f t="shared" si="66"/>
        <v/>
      </c>
      <c r="R388" s="24" t="str">
        <f t="shared" si="60"/>
        <v/>
      </c>
      <c r="T388" s="13" t="s">
        <v>22</v>
      </c>
      <c r="U388" s="7" t="s">
        <v>22</v>
      </c>
      <c r="V388" s="7" t="s">
        <v>22</v>
      </c>
      <c r="W388" s="7" t="s">
        <v>22</v>
      </c>
      <c r="X388" s="7" t="s">
        <v>22</v>
      </c>
      <c r="Y388" s="7" t="s">
        <v>22</v>
      </c>
      <c r="Z388" s="7" t="s">
        <v>22</v>
      </c>
      <c r="AB388" s="7" t="s">
        <v>22</v>
      </c>
      <c r="AC388" s="7" t="s">
        <v>22</v>
      </c>
      <c r="AD388" s="7" t="s">
        <v>22</v>
      </c>
      <c r="AE388" s="7" t="s">
        <v>22</v>
      </c>
      <c r="AF388" s="7" t="s">
        <v>22</v>
      </c>
      <c r="AG388" s="7" t="s">
        <v>22</v>
      </c>
      <c r="AH388" s="7" t="s">
        <v>22</v>
      </c>
      <c r="AJ388" s="7" t="s">
        <v>22</v>
      </c>
      <c r="AK388" s="7" t="s">
        <v>22</v>
      </c>
      <c r="AL388" s="7" t="s">
        <v>22</v>
      </c>
      <c r="AM388" s="7" t="s">
        <v>22</v>
      </c>
      <c r="AN388" s="7" t="s">
        <v>22</v>
      </c>
      <c r="AO388" s="7" t="s">
        <v>22</v>
      </c>
      <c r="AP388" s="7" t="s">
        <v>22</v>
      </c>
    </row>
    <row r="389" spans="11:42" x14ac:dyDescent="0.3">
      <c r="K389" s="21">
        <v>385</v>
      </c>
      <c r="L389" s="24" t="str">
        <f t="shared" si="61"/>
        <v/>
      </c>
      <c r="M389" s="24" t="str">
        <f t="shared" si="62"/>
        <v/>
      </c>
      <c r="N389" s="24" t="str">
        <f t="shared" si="63"/>
        <v/>
      </c>
      <c r="O389" s="24" t="str">
        <f t="shared" si="64"/>
        <v/>
      </c>
      <c r="P389" s="24" t="str">
        <f t="shared" si="65"/>
        <v/>
      </c>
      <c r="Q389" s="24" t="str">
        <f t="shared" si="66"/>
        <v/>
      </c>
      <c r="R389" s="24" t="str">
        <f t="shared" si="60"/>
        <v/>
      </c>
      <c r="T389" s="13" t="s">
        <v>22</v>
      </c>
      <c r="U389" s="7" t="s">
        <v>22</v>
      </c>
      <c r="V389" s="7" t="s">
        <v>22</v>
      </c>
      <c r="W389" s="7" t="s">
        <v>22</v>
      </c>
      <c r="X389" s="7" t="s">
        <v>22</v>
      </c>
      <c r="Y389" s="7" t="s">
        <v>22</v>
      </c>
      <c r="Z389" s="7" t="s">
        <v>22</v>
      </c>
      <c r="AB389" s="7" t="s">
        <v>22</v>
      </c>
      <c r="AC389" s="7" t="s">
        <v>22</v>
      </c>
      <c r="AD389" s="7" t="s">
        <v>22</v>
      </c>
      <c r="AE389" s="7" t="s">
        <v>22</v>
      </c>
      <c r="AF389" s="7" t="s">
        <v>22</v>
      </c>
      <c r="AG389" s="7" t="s">
        <v>22</v>
      </c>
      <c r="AH389" s="7" t="s">
        <v>22</v>
      </c>
      <c r="AJ389" s="7" t="s">
        <v>22</v>
      </c>
      <c r="AK389" s="7" t="s">
        <v>22</v>
      </c>
      <c r="AL389" s="7" t="s">
        <v>22</v>
      </c>
      <c r="AM389" s="7" t="s">
        <v>22</v>
      </c>
      <c r="AN389" s="7" t="s">
        <v>22</v>
      </c>
      <c r="AO389" s="7" t="s">
        <v>22</v>
      </c>
      <c r="AP389" s="7" t="s">
        <v>22</v>
      </c>
    </row>
    <row r="390" spans="11:42" x14ac:dyDescent="0.3">
      <c r="K390" s="22">
        <v>386</v>
      </c>
      <c r="L390" s="24" t="str">
        <f t="shared" si="61"/>
        <v/>
      </c>
      <c r="M390" s="24" t="str">
        <f t="shared" si="62"/>
        <v/>
      </c>
      <c r="N390" s="24" t="str">
        <f t="shared" si="63"/>
        <v/>
      </c>
      <c r="O390" s="24" t="str">
        <f t="shared" si="64"/>
        <v/>
      </c>
      <c r="P390" s="24" t="str">
        <f t="shared" si="65"/>
        <v/>
      </c>
      <c r="Q390" s="24" t="str">
        <f t="shared" si="66"/>
        <v/>
      </c>
      <c r="R390" s="24" t="str">
        <f t="shared" si="60"/>
        <v/>
      </c>
      <c r="T390" s="13" t="s">
        <v>22</v>
      </c>
      <c r="U390" s="7" t="s">
        <v>22</v>
      </c>
      <c r="V390" s="7" t="s">
        <v>22</v>
      </c>
      <c r="W390" s="7" t="s">
        <v>22</v>
      </c>
      <c r="X390" s="7" t="s">
        <v>22</v>
      </c>
      <c r="Y390" s="7" t="s">
        <v>22</v>
      </c>
      <c r="Z390" s="7" t="s">
        <v>22</v>
      </c>
      <c r="AB390" s="7" t="s">
        <v>22</v>
      </c>
      <c r="AC390" s="7" t="s">
        <v>22</v>
      </c>
      <c r="AD390" s="7" t="s">
        <v>22</v>
      </c>
      <c r="AE390" s="7" t="s">
        <v>22</v>
      </c>
      <c r="AF390" s="7" t="s">
        <v>22</v>
      </c>
      <c r="AG390" s="7" t="s">
        <v>22</v>
      </c>
      <c r="AH390" s="7" t="s">
        <v>22</v>
      </c>
      <c r="AJ390" s="7" t="s">
        <v>22</v>
      </c>
      <c r="AK390" s="7" t="s">
        <v>22</v>
      </c>
      <c r="AL390" s="7" t="s">
        <v>22</v>
      </c>
      <c r="AM390" s="7" t="s">
        <v>22</v>
      </c>
      <c r="AN390" s="7" t="s">
        <v>22</v>
      </c>
      <c r="AO390" s="7" t="s">
        <v>22</v>
      </c>
      <c r="AP390" s="7" t="s">
        <v>22</v>
      </c>
    </row>
    <row r="391" spans="11:42" x14ac:dyDescent="0.3">
      <c r="K391" s="21">
        <v>387</v>
      </c>
      <c r="L391" s="24" t="str">
        <f t="shared" si="61"/>
        <v/>
      </c>
      <c r="M391" s="24" t="str">
        <f t="shared" si="62"/>
        <v/>
      </c>
      <c r="N391" s="24" t="str">
        <f t="shared" si="63"/>
        <v/>
      </c>
      <c r="O391" s="24" t="str">
        <f t="shared" si="64"/>
        <v/>
      </c>
      <c r="P391" s="24" t="str">
        <f t="shared" si="65"/>
        <v/>
      </c>
      <c r="Q391" s="24" t="str">
        <f t="shared" si="66"/>
        <v/>
      </c>
      <c r="R391" s="24" t="str">
        <f t="shared" si="60"/>
        <v/>
      </c>
      <c r="T391" s="13" t="s">
        <v>22</v>
      </c>
      <c r="U391" s="7" t="s">
        <v>22</v>
      </c>
      <c r="V391" s="7" t="s">
        <v>22</v>
      </c>
      <c r="W391" s="7" t="s">
        <v>22</v>
      </c>
      <c r="X391" s="7" t="s">
        <v>22</v>
      </c>
      <c r="Y391" s="7" t="s">
        <v>22</v>
      </c>
      <c r="Z391" s="7" t="s">
        <v>22</v>
      </c>
      <c r="AB391" s="7" t="s">
        <v>22</v>
      </c>
      <c r="AC391" s="7" t="s">
        <v>22</v>
      </c>
      <c r="AD391" s="7" t="s">
        <v>22</v>
      </c>
      <c r="AE391" s="7" t="s">
        <v>22</v>
      </c>
      <c r="AF391" s="7" t="s">
        <v>22</v>
      </c>
      <c r="AG391" s="7" t="s">
        <v>22</v>
      </c>
      <c r="AH391" s="7" t="s">
        <v>22</v>
      </c>
      <c r="AJ391" s="7" t="s">
        <v>22</v>
      </c>
      <c r="AK391" s="7" t="s">
        <v>22</v>
      </c>
      <c r="AL391" s="7" t="s">
        <v>22</v>
      </c>
      <c r="AM391" s="7" t="s">
        <v>22</v>
      </c>
      <c r="AN391" s="7" t="s">
        <v>22</v>
      </c>
      <c r="AO391" s="7" t="s">
        <v>22</v>
      </c>
      <c r="AP391" s="7" t="s">
        <v>22</v>
      </c>
    </row>
    <row r="392" spans="11:42" x14ac:dyDescent="0.3">
      <c r="K392" s="22">
        <v>388</v>
      </c>
      <c r="L392" s="24" t="str">
        <f t="shared" si="61"/>
        <v/>
      </c>
      <c r="M392" s="24" t="str">
        <f t="shared" si="62"/>
        <v/>
      </c>
      <c r="N392" s="24" t="str">
        <f t="shared" si="63"/>
        <v/>
      </c>
      <c r="O392" s="24" t="str">
        <f t="shared" si="64"/>
        <v/>
      </c>
      <c r="P392" s="24" t="str">
        <f t="shared" si="65"/>
        <v/>
      </c>
      <c r="Q392" s="24" t="str">
        <f t="shared" si="66"/>
        <v/>
      </c>
      <c r="R392" s="24" t="str">
        <f t="shared" si="60"/>
        <v/>
      </c>
      <c r="T392" s="13" t="s">
        <v>22</v>
      </c>
      <c r="U392" s="7" t="s">
        <v>22</v>
      </c>
      <c r="V392" s="7" t="s">
        <v>22</v>
      </c>
      <c r="W392" s="7" t="s">
        <v>22</v>
      </c>
      <c r="X392" s="7" t="s">
        <v>22</v>
      </c>
      <c r="Y392" s="7" t="s">
        <v>22</v>
      </c>
      <c r="Z392" s="7" t="s">
        <v>22</v>
      </c>
      <c r="AB392" s="7" t="s">
        <v>22</v>
      </c>
      <c r="AC392" s="7" t="s">
        <v>22</v>
      </c>
      <c r="AD392" s="7" t="s">
        <v>22</v>
      </c>
      <c r="AE392" s="7" t="s">
        <v>22</v>
      </c>
      <c r="AF392" s="7" t="s">
        <v>22</v>
      </c>
      <c r="AG392" s="7" t="s">
        <v>22</v>
      </c>
      <c r="AH392" s="7" t="s">
        <v>22</v>
      </c>
      <c r="AJ392" s="7" t="s">
        <v>22</v>
      </c>
      <c r="AK392" s="7" t="s">
        <v>22</v>
      </c>
      <c r="AL392" s="7" t="s">
        <v>22</v>
      </c>
      <c r="AM392" s="7" t="s">
        <v>22</v>
      </c>
      <c r="AN392" s="7" t="s">
        <v>22</v>
      </c>
      <c r="AO392" s="7" t="s">
        <v>22</v>
      </c>
      <c r="AP392" s="7" t="s">
        <v>22</v>
      </c>
    </row>
    <row r="393" spans="11:42" x14ac:dyDescent="0.3">
      <c r="K393" s="21">
        <v>389</v>
      </c>
      <c r="L393" s="24" t="str">
        <f t="shared" si="61"/>
        <v/>
      </c>
      <c r="M393" s="24" t="str">
        <f t="shared" si="62"/>
        <v/>
      </c>
      <c r="N393" s="24" t="str">
        <f t="shared" si="63"/>
        <v/>
      </c>
      <c r="O393" s="24" t="str">
        <f t="shared" si="64"/>
        <v/>
      </c>
      <c r="P393" s="24" t="str">
        <f t="shared" si="65"/>
        <v/>
      </c>
      <c r="Q393" s="24" t="str">
        <f t="shared" si="66"/>
        <v/>
      </c>
      <c r="R393" s="24" t="str">
        <f t="shared" si="60"/>
        <v/>
      </c>
      <c r="T393" s="13" t="s">
        <v>22</v>
      </c>
      <c r="U393" s="7" t="s">
        <v>22</v>
      </c>
      <c r="V393" s="7" t="s">
        <v>22</v>
      </c>
      <c r="W393" s="7" t="s">
        <v>22</v>
      </c>
      <c r="X393" s="7" t="s">
        <v>22</v>
      </c>
      <c r="Y393" s="7" t="s">
        <v>22</v>
      </c>
      <c r="Z393" s="7" t="s">
        <v>22</v>
      </c>
      <c r="AB393" s="7" t="s">
        <v>22</v>
      </c>
      <c r="AC393" s="7" t="s">
        <v>22</v>
      </c>
      <c r="AD393" s="7" t="s">
        <v>22</v>
      </c>
      <c r="AE393" s="7" t="s">
        <v>22</v>
      </c>
      <c r="AF393" s="7" t="s">
        <v>22</v>
      </c>
      <c r="AG393" s="7" t="s">
        <v>22</v>
      </c>
      <c r="AH393" s="7" t="s">
        <v>22</v>
      </c>
      <c r="AJ393" s="7" t="s">
        <v>22</v>
      </c>
      <c r="AK393" s="7" t="s">
        <v>22</v>
      </c>
      <c r="AL393" s="7" t="s">
        <v>22</v>
      </c>
      <c r="AM393" s="7" t="s">
        <v>22</v>
      </c>
      <c r="AN393" s="7" t="s">
        <v>22</v>
      </c>
      <c r="AO393" s="7" t="s">
        <v>22</v>
      </c>
      <c r="AP393" s="7" t="s">
        <v>22</v>
      </c>
    </row>
    <row r="394" spans="11:42" x14ac:dyDescent="0.3">
      <c r="K394" s="22">
        <v>390</v>
      </c>
      <c r="L394" s="24" t="str">
        <f t="shared" si="61"/>
        <v/>
      </c>
      <c r="M394" s="24" t="str">
        <f t="shared" si="62"/>
        <v/>
      </c>
      <c r="N394" s="24" t="str">
        <f t="shared" si="63"/>
        <v/>
      </c>
      <c r="O394" s="24" t="str">
        <f t="shared" si="64"/>
        <v/>
      </c>
      <c r="P394" s="24" t="str">
        <f t="shared" si="65"/>
        <v/>
      </c>
      <c r="Q394" s="24" t="str">
        <f t="shared" si="66"/>
        <v/>
      </c>
      <c r="R394" s="24" t="str">
        <f t="shared" si="60"/>
        <v/>
      </c>
      <c r="T394" s="13" t="s">
        <v>22</v>
      </c>
      <c r="U394" s="7" t="s">
        <v>22</v>
      </c>
      <c r="V394" s="7" t="s">
        <v>22</v>
      </c>
      <c r="W394" s="7" t="s">
        <v>22</v>
      </c>
      <c r="X394" s="7" t="s">
        <v>22</v>
      </c>
      <c r="Y394" s="7" t="s">
        <v>22</v>
      </c>
      <c r="Z394" s="7" t="s">
        <v>22</v>
      </c>
      <c r="AB394" s="7" t="s">
        <v>22</v>
      </c>
      <c r="AC394" s="7" t="s">
        <v>22</v>
      </c>
      <c r="AD394" s="7" t="s">
        <v>22</v>
      </c>
      <c r="AE394" s="7" t="s">
        <v>22</v>
      </c>
      <c r="AF394" s="7" t="s">
        <v>22</v>
      </c>
      <c r="AG394" s="7" t="s">
        <v>22</v>
      </c>
      <c r="AH394" s="7" t="s">
        <v>22</v>
      </c>
      <c r="AJ394" s="7" t="s">
        <v>22</v>
      </c>
      <c r="AK394" s="7" t="s">
        <v>22</v>
      </c>
      <c r="AL394" s="7" t="s">
        <v>22</v>
      </c>
      <c r="AM394" s="7" t="s">
        <v>22</v>
      </c>
      <c r="AN394" s="7" t="s">
        <v>22</v>
      </c>
      <c r="AO394" s="7" t="s">
        <v>22</v>
      </c>
      <c r="AP394" s="7" t="s">
        <v>22</v>
      </c>
    </row>
    <row r="395" spans="11:42" x14ac:dyDescent="0.3">
      <c r="K395" s="21">
        <v>391</v>
      </c>
      <c r="L395" s="24" t="str">
        <f t="shared" si="61"/>
        <v/>
      </c>
      <c r="M395" s="24" t="str">
        <f t="shared" si="62"/>
        <v/>
      </c>
      <c r="N395" s="24" t="str">
        <f t="shared" si="63"/>
        <v/>
      </c>
      <c r="O395" s="24" t="str">
        <f t="shared" si="64"/>
        <v/>
      </c>
      <c r="P395" s="24" t="str">
        <f t="shared" si="65"/>
        <v/>
      </c>
      <c r="Q395" s="24" t="str">
        <f t="shared" si="66"/>
        <v/>
      </c>
      <c r="R395" s="24" t="str">
        <f t="shared" si="60"/>
        <v/>
      </c>
      <c r="T395" s="13" t="s">
        <v>22</v>
      </c>
      <c r="U395" s="7" t="s">
        <v>22</v>
      </c>
      <c r="V395" s="7" t="s">
        <v>22</v>
      </c>
      <c r="W395" s="7" t="s">
        <v>22</v>
      </c>
      <c r="X395" s="7" t="s">
        <v>22</v>
      </c>
      <c r="Y395" s="7" t="s">
        <v>22</v>
      </c>
      <c r="Z395" s="7" t="s">
        <v>22</v>
      </c>
      <c r="AB395" s="7" t="s">
        <v>22</v>
      </c>
      <c r="AC395" s="7" t="s">
        <v>22</v>
      </c>
      <c r="AD395" s="7" t="s">
        <v>22</v>
      </c>
      <c r="AE395" s="7" t="s">
        <v>22</v>
      </c>
      <c r="AF395" s="7" t="s">
        <v>22</v>
      </c>
      <c r="AG395" s="7" t="s">
        <v>22</v>
      </c>
      <c r="AH395" s="7" t="s">
        <v>22</v>
      </c>
      <c r="AJ395" s="7" t="s">
        <v>22</v>
      </c>
      <c r="AK395" s="7" t="s">
        <v>22</v>
      </c>
      <c r="AL395" s="7" t="s">
        <v>22</v>
      </c>
      <c r="AM395" s="7" t="s">
        <v>22</v>
      </c>
      <c r="AN395" s="7" t="s">
        <v>22</v>
      </c>
      <c r="AO395" s="7" t="s">
        <v>22</v>
      </c>
      <c r="AP395" s="7" t="s">
        <v>22</v>
      </c>
    </row>
    <row r="396" spans="11:42" x14ac:dyDescent="0.3">
      <c r="K396" s="22">
        <v>392</v>
      </c>
      <c r="L396" s="24" t="str">
        <f t="shared" si="61"/>
        <v/>
      </c>
      <c r="M396" s="24" t="str">
        <f t="shared" si="62"/>
        <v/>
      </c>
      <c r="N396" s="24" t="str">
        <f t="shared" si="63"/>
        <v/>
      </c>
      <c r="O396" s="24" t="str">
        <f t="shared" si="64"/>
        <v/>
      </c>
      <c r="P396" s="24" t="str">
        <f t="shared" si="65"/>
        <v/>
      </c>
      <c r="Q396" s="24" t="str">
        <f t="shared" si="66"/>
        <v/>
      </c>
      <c r="R396" s="24" t="str">
        <f t="shared" si="60"/>
        <v/>
      </c>
      <c r="T396" s="13" t="s">
        <v>22</v>
      </c>
      <c r="U396" s="7" t="s">
        <v>22</v>
      </c>
      <c r="V396" s="7" t="s">
        <v>22</v>
      </c>
      <c r="W396" s="7" t="s">
        <v>22</v>
      </c>
      <c r="X396" s="7" t="s">
        <v>22</v>
      </c>
      <c r="Y396" s="7" t="s">
        <v>22</v>
      </c>
      <c r="Z396" s="7" t="s">
        <v>22</v>
      </c>
      <c r="AB396" s="7" t="s">
        <v>22</v>
      </c>
      <c r="AC396" s="7" t="s">
        <v>22</v>
      </c>
      <c r="AD396" s="7" t="s">
        <v>22</v>
      </c>
      <c r="AE396" s="7" t="s">
        <v>22</v>
      </c>
      <c r="AF396" s="7" t="s">
        <v>22</v>
      </c>
      <c r="AG396" s="7" t="s">
        <v>22</v>
      </c>
      <c r="AH396" s="7" t="s">
        <v>22</v>
      </c>
      <c r="AJ396" s="7" t="s">
        <v>22</v>
      </c>
      <c r="AK396" s="7" t="s">
        <v>22</v>
      </c>
      <c r="AL396" s="7" t="s">
        <v>22</v>
      </c>
      <c r="AM396" s="7" t="s">
        <v>22</v>
      </c>
      <c r="AN396" s="7" t="s">
        <v>22</v>
      </c>
      <c r="AO396" s="7" t="s">
        <v>22</v>
      </c>
      <c r="AP396" s="7" t="s">
        <v>22</v>
      </c>
    </row>
    <row r="397" spans="11:42" x14ac:dyDescent="0.3">
      <c r="K397" s="21">
        <v>393</v>
      </c>
      <c r="L397" s="24" t="str">
        <f t="shared" si="61"/>
        <v/>
      </c>
      <c r="M397" s="24" t="str">
        <f t="shared" si="62"/>
        <v/>
      </c>
      <c r="N397" s="24" t="str">
        <f t="shared" si="63"/>
        <v/>
      </c>
      <c r="O397" s="24" t="str">
        <f t="shared" si="64"/>
        <v/>
      </c>
      <c r="P397" s="24" t="str">
        <f t="shared" si="65"/>
        <v/>
      </c>
      <c r="Q397" s="24" t="str">
        <f t="shared" si="66"/>
        <v/>
      </c>
      <c r="R397" s="24" t="str">
        <f t="shared" si="60"/>
        <v/>
      </c>
      <c r="T397" s="13" t="s">
        <v>22</v>
      </c>
      <c r="U397" s="7" t="s">
        <v>22</v>
      </c>
      <c r="V397" s="7" t="s">
        <v>22</v>
      </c>
      <c r="W397" s="7" t="s">
        <v>22</v>
      </c>
      <c r="X397" s="7" t="s">
        <v>22</v>
      </c>
      <c r="Y397" s="7" t="s">
        <v>22</v>
      </c>
      <c r="Z397" s="7" t="s">
        <v>22</v>
      </c>
      <c r="AB397" s="7" t="s">
        <v>22</v>
      </c>
      <c r="AC397" s="7" t="s">
        <v>22</v>
      </c>
      <c r="AD397" s="7" t="s">
        <v>22</v>
      </c>
      <c r="AE397" s="7" t="s">
        <v>22</v>
      </c>
      <c r="AF397" s="7" t="s">
        <v>22</v>
      </c>
      <c r="AG397" s="7" t="s">
        <v>22</v>
      </c>
      <c r="AH397" s="7" t="s">
        <v>22</v>
      </c>
      <c r="AJ397" s="7" t="s">
        <v>22</v>
      </c>
      <c r="AK397" s="7" t="s">
        <v>22</v>
      </c>
      <c r="AL397" s="7" t="s">
        <v>22</v>
      </c>
      <c r="AM397" s="7" t="s">
        <v>22</v>
      </c>
      <c r="AN397" s="7" t="s">
        <v>22</v>
      </c>
      <c r="AO397" s="7" t="s">
        <v>22</v>
      </c>
      <c r="AP397" s="7" t="s">
        <v>22</v>
      </c>
    </row>
    <row r="398" spans="11:42" x14ac:dyDescent="0.3">
      <c r="K398" s="22">
        <v>394</v>
      </c>
      <c r="L398" s="24" t="str">
        <f t="shared" si="61"/>
        <v/>
      </c>
      <c r="M398" s="24" t="str">
        <f t="shared" si="62"/>
        <v/>
      </c>
      <c r="N398" s="24" t="str">
        <f t="shared" si="63"/>
        <v/>
      </c>
      <c r="O398" s="24" t="str">
        <f t="shared" si="64"/>
        <v/>
      </c>
      <c r="P398" s="24" t="str">
        <f t="shared" si="65"/>
        <v/>
      </c>
      <c r="Q398" s="24" t="str">
        <f t="shared" si="66"/>
        <v/>
      </c>
      <c r="R398" s="24" t="str">
        <f t="shared" si="60"/>
        <v/>
      </c>
      <c r="T398" s="13" t="s">
        <v>22</v>
      </c>
      <c r="U398" s="7" t="s">
        <v>22</v>
      </c>
      <c r="V398" s="7" t="s">
        <v>22</v>
      </c>
      <c r="W398" s="7" t="s">
        <v>22</v>
      </c>
      <c r="X398" s="7" t="s">
        <v>22</v>
      </c>
      <c r="Y398" s="7" t="s">
        <v>22</v>
      </c>
      <c r="Z398" s="7" t="s">
        <v>22</v>
      </c>
      <c r="AB398" s="7" t="s">
        <v>22</v>
      </c>
      <c r="AC398" s="7" t="s">
        <v>22</v>
      </c>
      <c r="AD398" s="7" t="s">
        <v>22</v>
      </c>
      <c r="AE398" s="7" t="s">
        <v>22</v>
      </c>
      <c r="AF398" s="7" t="s">
        <v>22</v>
      </c>
      <c r="AG398" s="7" t="s">
        <v>22</v>
      </c>
      <c r="AH398" s="7" t="s">
        <v>22</v>
      </c>
      <c r="AJ398" s="7" t="s">
        <v>22</v>
      </c>
      <c r="AK398" s="7" t="s">
        <v>22</v>
      </c>
      <c r="AL398" s="7" t="s">
        <v>22</v>
      </c>
      <c r="AM398" s="7" t="s">
        <v>22</v>
      </c>
      <c r="AN398" s="7" t="s">
        <v>22</v>
      </c>
      <c r="AO398" s="7" t="s">
        <v>22</v>
      </c>
      <c r="AP398" s="7" t="s">
        <v>22</v>
      </c>
    </row>
    <row r="399" spans="11:42" x14ac:dyDescent="0.3">
      <c r="K399" s="21">
        <v>395</v>
      </c>
      <c r="L399" s="24" t="str">
        <f t="shared" si="61"/>
        <v/>
      </c>
      <c r="M399" s="24" t="str">
        <f t="shared" si="62"/>
        <v/>
      </c>
      <c r="N399" s="24" t="str">
        <f t="shared" si="63"/>
        <v/>
      </c>
      <c r="O399" s="24" t="str">
        <f t="shared" si="64"/>
        <v/>
      </c>
      <c r="P399" s="24" t="str">
        <f t="shared" si="65"/>
        <v/>
      </c>
      <c r="Q399" s="24" t="str">
        <f t="shared" si="66"/>
        <v/>
      </c>
      <c r="R399" s="24" t="str">
        <f t="shared" si="60"/>
        <v/>
      </c>
      <c r="T399" s="13" t="s">
        <v>22</v>
      </c>
      <c r="U399" s="7" t="s">
        <v>22</v>
      </c>
      <c r="V399" s="7" t="s">
        <v>22</v>
      </c>
      <c r="W399" s="7" t="s">
        <v>22</v>
      </c>
      <c r="X399" s="7" t="s">
        <v>22</v>
      </c>
      <c r="Y399" s="7" t="s">
        <v>22</v>
      </c>
      <c r="Z399" s="7" t="s">
        <v>22</v>
      </c>
      <c r="AB399" s="7" t="s">
        <v>22</v>
      </c>
      <c r="AC399" s="7" t="s">
        <v>22</v>
      </c>
      <c r="AD399" s="7" t="s">
        <v>22</v>
      </c>
      <c r="AE399" s="7" t="s">
        <v>22</v>
      </c>
      <c r="AF399" s="7" t="s">
        <v>22</v>
      </c>
      <c r="AG399" s="7" t="s">
        <v>22</v>
      </c>
      <c r="AH399" s="7" t="s">
        <v>22</v>
      </c>
      <c r="AJ399" s="7" t="s">
        <v>22</v>
      </c>
      <c r="AK399" s="7" t="s">
        <v>22</v>
      </c>
      <c r="AL399" s="7" t="s">
        <v>22</v>
      </c>
      <c r="AM399" s="7" t="s">
        <v>22</v>
      </c>
      <c r="AN399" s="7" t="s">
        <v>22</v>
      </c>
      <c r="AO399" s="7" t="s">
        <v>22</v>
      </c>
      <c r="AP399" s="7" t="s">
        <v>22</v>
      </c>
    </row>
    <row r="400" spans="11:42" x14ac:dyDescent="0.3">
      <c r="K400" s="22">
        <v>396</v>
      </c>
      <c r="L400" s="24" t="str">
        <f t="shared" si="61"/>
        <v/>
      </c>
      <c r="M400" s="24" t="str">
        <f t="shared" si="62"/>
        <v/>
      </c>
      <c r="N400" s="24" t="str">
        <f t="shared" si="63"/>
        <v/>
      </c>
      <c r="O400" s="24" t="str">
        <f t="shared" si="64"/>
        <v/>
      </c>
      <c r="P400" s="24" t="str">
        <f t="shared" si="65"/>
        <v/>
      </c>
      <c r="Q400" s="24" t="str">
        <f t="shared" si="66"/>
        <v/>
      </c>
      <c r="R400" s="24" t="str">
        <f t="shared" si="60"/>
        <v/>
      </c>
      <c r="T400" s="13" t="s">
        <v>22</v>
      </c>
      <c r="U400" s="7" t="s">
        <v>22</v>
      </c>
      <c r="V400" s="7" t="s">
        <v>22</v>
      </c>
      <c r="W400" s="7" t="s">
        <v>22</v>
      </c>
      <c r="X400" s="7" t="s">
        <v>22</v>
      </c>
      <c r="Y400" s="7" t="s">
        <v>22</v>
      </c>
      <c r="Z400" s="7" t="s">
        <v>22</v>
      </c>
      <c r="AB400" s="7" t="s">
        <v>22</v>
      </c>
      <c r="AC400" s="7" t="s">
        <v>22</v>
      </c>
      <c r="AD400" s="7" t="s">
        <v>22</v>
      </c>
      <c r="AE400" s="7" t="s">
        <v>22</v>
      </c>
      <c r="AF400" s="7" t="s">
        <v>22</v>
      </c>
      <c r="AG400" s="7" t="s">
        <v>22</v>
      </c>
      <c r="AH400" s="7" t="s">
        <v>22</v>
      </c>
      <c r="AJ400" s="7" t="s">
        <v>22</v>
      </c>
      <c r="AK400" s="7" t="s">
        <v>22</v>
      </c>
      <c r="AL400" s="7" t="s">
        <v>22</v>
      </c>
      <c r="AM400" s="7" t="s">
        <v>22</v>
      </c>
      <c r="AN400" s="7" t="s">
        <v>22</v>
      </c>
      <c r="AO400" s="7" t="s">
        <v>22</v>
      </c>
      <c r="AP400" s="7" t="s">
        <v>22</v>
      </c>
    </row>
    <row r="401" spans="11:42" x14ac:dyDescent="0.3">
      <c r="K401" s="21">
        <v>397</v>
      </c>
      <c r="L401" s="24" t="str">
        <f t="shared" si="61"/>
        <v/>
      </c>
      <c r="M401" s="24" t="str">
        <f t="shared" si="62"/>
        <v/>
      </c>
      <c r="N401" s="24" t="str">
        <f t="shared" si="63"/>
        <v/>
      </c>
      <c r="O401" s="24" t="str">
        <f t="shared" si="64"/>
        <v/>
      </c>
      <c r="P401" s="24" t="str">
        <f t="shared" si="65"/>
        <v/>
      </c>
      <c r="Q401" s="24" t="str">
        <f t="shared" si="66"/>
        <v/>
      </c>
      <c r="R401" s="24" t="str">
        <f t="shared" si="60"/>
        <v/>
      </c>
      <c r="T401" s="13" t="s">
        <v>22</v>
      </c>
      <c r="U401" s="7" t="s">
        <v>22</v>
      </c>
      <c r="V401" s="7" t="s">
        <v>22</v>
      </c>
      <c r="W401" s="7" t="s">
        <v>22</v>
      </c>
      <c r="X401" s="7" t="s">
        <v>22</v>
      </c>
      <c r="Y401" s="7" t="s">
        <v>22</v>
      </c>
      <c r="Z401" s="7" t="s">
        <v>22</v>
      </c>
      <c r="AB401" s="7" t="s">
        <v>22</v>
      </c>
      <c r="AC401" s="7" t="s">
        <v>22</v>
      </c>
      <c r="AD401" s="7" t="s">
        <v>22</v>
      </c>
      <c r="AE401" s="7" t="s">
        <v>22</v>
      </c>
      <c r="AF401" s="7" t="s">
        <v>22</v>
      </c>
      <c r="AG401" s="7" t="s">
        <v>22</v>
      </c>
      <c r="AH401" s="7" t="s">
        <v>22</v>
      </c>
      <c r="AJ401" s="7" t="s">
        <v>22</v>
      </c>
      <c r="AK401" s="7" t="s">
        <v>22</v>
      </c>
      <c r="AL401" s="7" t="s">
        <v>22</v>
      </c>
      <c r="AM401" s="7" t="s">
        <v>22</v>
      </c>
      <c r="AN401" s="7" t="s">
        <v>22</v>
      </c>
      <c r="AO401" s="7" t="s">
        <v>22</v>
      </c>
      <c r="AP401" s="7" t="s">
        <v>22</v>
      </c>
    </row>
    <row r="402" spans="11:42" x14ac:dyDescent="0.3">
      <c r="K402" s="22">
        <v>398</v>
      </c>
      <c r="L402" s="24" t="str">
        <f t="shared" si="61"/>
        <v/>
      </c>
      <c r="M402" s="24" t="str">
        <f t="shared" si="62"/>
        <v/>
      </c>
      <c r="N402" s="24" t="str">
        <f t="shared" si="63"/>
        <v/>
      </c>
      <c r="O402" s="24" t="str">
        <f t="shared" si="64"/>
        <v/>
      </c>
      <c r="P402" s="24" t="str">
        <f t="shared" si="65"/>
        <v/>
      </c>
      <c r="Q402" s="24" t="str">
        <f t="shared" si="66"/>
        <v/>
      </c>
      <c r="R402" s="24" t="str">
        <f t="shared" si="60"/>
        <v/>
      </c>
      <c r="T402" s="13" t="s">
        <v>22</v>
      </c>
      <c r="U402" s="7" t="s">
        <v>22</v>
      </c>
      <c r="V402" s="7" t="s">
        <v>22</v>
      </c>
      <c r="W402" s="7" t="s">
        <v>22</v>
      </c>
      <c r="X402" s="7" t="s">
        <v>22</v>
      </c>
      <c r="Y402" s="7" t="s">
        <v>22</v>
      </c>
      <c r="Z402" s="7" t="s">
        <v>22</v>
      </c>
      <c r="AB402" s="7" t="s">
        <v>22</v>
      </c>
      <c r="AC402" s="7" t="s">
        <v>22</v>
      </c>
      <c r="AD402" s="7" t="s">
        <v>22</v>
      </c>
      <c r="AE402" s="7" t="s">
        <v>22</v>
      </c>
      <c r="AF402" s="7" t="s">
        <v>22</v>
      </c>
      <c r="AG402" s="7" t="s">
        <v>22</v>
      </c>
      <c r="AH402" s="7" t="s">
        <v>22</v>
      </c>
      <c r="AJ402" s="7" t="s">
        <v>22</v>
      </c>
      <c r="AK402" s="7" t="s">
        <v>22</v>
      </c>
      <c r="AL402" s="7" t="s">
        <v>22</v>
      </c>
      <c r="AM402" s="7" t="s">
        <v>22</v>
      </c>
      <c r="AN402" s="7" t="s">
        <v>22</v>
      </c>
      <c r="AO402" s="7" t="s">
        <v>22</v>
      </c>
      <c r="AP402" s="7" t="s">
        <v>22</v>
      </c>
    </row>
    <row r="403" spans="11:42" x14ac:dyDescent="0.3">
      <c r="K403" s="21">
        <v>399</v>
      </c>
      <c r="L403" s="24" t="str">
        <f t="shared" si="61"/>
        <v/>
      </c>
      <c r="M403" s="24" t="str">
        <f t="shared" si="62"/>
        <v/>
      </c>
      <c r="N403" s="24" t="str">
        <f t="shared" si="63"/>
        <v/>
      </c>
      <c r="O403" s="24" t="str">
        <f t="shared" si="64"/>
        <v/>
      </c>
      <c r="P403" s="24" t="str">
        <f t="shared" si="65"/>
        <v/>
      </c>
      <c r="Q403" s="24" t="str">
        <f t="shared" si="66"/>
        <v/>
      </c>
      <c r="R403" s="24" t="str">
        <f t="shared" si="60"/>
        <v/>
      </c>
      <c r="T403" s="13" t="s">
        <v>22</v>
      </c>
      <c r="U403" s="7" t="s">
        <v>22</v>
      </c>
      <c r="V403" s="7" t="s">
        <v>22</v>
      </c>
      <c r="W403" s="7" t="s">
        <v>22</v>
      </c>
      <c r="X403" s="7" t="s">
        <v>22</v>
      </c>
      <c r="Y403" s="7" t="s">
        <v>22</v>
      </c>
      <c r="Z403" s="7" t="s">
        <v>22</v>
      </c>
      <c r="AB403" s="7" t="s">
        <v>22</v>
      </c>
      <c r="AC403" s="7" t="s">
        <v>22</v>
      </c>
      <c r="AD403" s="7" t="s">
        <v>22</v>
      </c>
      <c r="AE403" s="7" t="s">
        <v>22</v>
      </c>
      <c r="AF403" s="7" t="s">
        <v>22</v>
      </c>
      <c r="AG403" s="7" t="s">
        <v>22</v>
      </c>
      <c r="AH403" s="7" t="s">
        <v>22</v>
      </c>
      <c r="AJ403" s="7" t="s">
        <v>22</v>
      </c>
      <c r="AK403" s="7" t="s">
        <v>22</v>
      </c>
      <c r="AL403" s="7" t="s">
        <v>22</v>
      </c>
      <c r="AM403" s="7" t="s">
        <v>22</v>
      </c>
      <c r="AN403" s="7" t="s">
        <v>22</v>
      </c>
      <c r="AO403" s="7" t="s">
        <v>22</v>
      </c>
      <c r="AP403" s="7" t="s">
        <v>22</v>
      </c>
    </row>
    <row r="404" spans="11:42" x14ac:dyDescent="0.3">
      <c r="T404" s="1" t="s">
        <v>22</v>
      </c>
      <c r="U404" s="145" t="s">
        <v>22</v>
      </c>
      <c r="V404" s="145" t="s">
        <v>22</v>
      </c>
      <c r="W404" s="145" t="s">
        <v>22</v>
      </c>
      <c r="X404" s="145" t="s">
        <v>22</v>
      </c>
      <c r="Y404" s="145" t="s">
        <v>22</v>
      </c>
      <c r="Z404" s="145" t="s">
        <v>22</v>
      </c>
      <c r="AB404" s="7" t="s">
        <v>22</v>
      </c>
      <c r="AC404" s="7" t="s">
        <v>22</v>
      </c>
      <c r="AD404" s="7" t="s">
        <v>22</v>
      </c>
      <c r="AE404" s="7" t="s">
        <v>22</v>
      </c>
      <c r="AF404" s="7" t="s">
        <v>22</v>
      </c>
      <c r="AG404" s="7" t="s">
        <v>22</v>
      </c>
      <c r="AH404" s="7" t="s">
        <v>22</v>
      </c>
      <c r="AJ404" s="7" t="s">
        <v>22</v>
      </c>
      <c r="AK404" s="7" t="s">
        <v>22</v>
      </c>
      <c r="AL404" s="7" t="s">
        <v>22</v>
      </c>
      <c r="AM404" s="7" t="s">
        <v>22</v>
      </c>
      <c r="AN404" s="7" t="s">
        <v>22</v>
      </c>
      <c r="AO404" s="7" t="s">
        <v>22</v>
      </c>
      <c r="AP404" s="7" t="s">
        <v>22</v>
      </c>
    </row>
  </sheetData>
  <mergeCells count="1">
    <mergeCell ref="K2:R2"/>
  </mergeCells>
  <phoneticPr fontId="20" type="noConversion"/>
  <conditionalFormatting sqref="A4:A29">
    <cfRule type="containsText" dxfId="42" priority="50" operator="containsText" text="M1">
      <formula>NOT(ISERROR(SEARCH("M1",A4)))</formula>
    </cfRule>
  </conditionalFormatting>
  <conditionalFormatting sqref="A4:A29">
    <cfRule type="containsText" dxfId="41" priority="51" operator="containsText" text="M2">
      <formula>NOT(ISERROR(SEARCH("M2",A4)))</formula>
    </cfRule>
  </conditionalFormatting>
  <conditionalFormatting sqref="A4:A29">
    <cfRule type="containsText" dxfId="40" priority="52" operator="containsText" text="M3">
      <formula>NOT(ISERROR(SEARCH("M3",A4)))</formula>
    </cfRule>
  </conditionalFormatting>
  <conditionalFormatting sqref="A4:A29">
    <cfRule type="containsText" dxfId="39" priority="53" operator="containsText" text="M4">
      <formula>NOT(ISERROR(SEARCH("M4",A4)))</formula>
    </cfRule>
  </conditionalFormatting>
  <conditionalFormatting sqref="A4:A29">
    <cfRule type="containsText" dxfId="38" priority="54" operator="containsText" text="M5">
      <formula>NOT(ISERROR(SEARCH("M5",A4)))</formula>
    </cfRule>
  </conditionalFormatting>
  <conditionalFormatting sqref="A4:A29">
    <cfRule type="containsText" dxfId="37" priority="55" operator="containsText" text="M6">
      <formula>NOT(ISERROR(SEARCH("M6",A4)))</formula>
    </cfRule>
  </conditionalFormatting>
  <conditionalFormatting sqref="A4:A29">
    <cfRule type="containsText" dxfId="36" priority="56" operator="containsText" text="A">
      <formula>NOT(ISERROR(SEARCH("A",A4)))</formula>
    </cfRule>
  </conditionalFormatting>
  <conditionalFormatting sqref="A4:A29">
    <cfRule type="containsText" dxfId="35" priority="57" operator="containsText" text="K">
      <formula>NOT(ISERROR(SEARCH("K",A4)))</formula>
    </cfRule>
  </conditionalFormatting>
  <conditionalFormatting sqref="A4:A29">
    <cfRule type="containsText" dxfId="34" priority="58" operator="containsText" text="Q">
      <formula>NOT(ISERROR(SEARCH("Q",A4)))</formula>
    </cfRule>
  </conditionalFormatting>
  <conditionalFormatting sqref="A4:A29">
    <cfRule type="containsText" dxfId="33" priority="59" operator="containsText" text="J">
      <formula>NOT(ISERROR(SEARCH("J",A4)))</formula>
    </cfRule>
  </conditionalFormatting>
  <conditionalFormatting sqref="A4:A29">
    <cfRule type="containsText" dxfId="32" priority="60" operator="containsText" text="TE">
      <formula>NOT(ISERROR(SEARCH("TE",A4)))</formula>
    </cfRule>
  </conditionalFormatting>
  <conditionalFormatting sqref="A4:A29">
    <cfRule type="containsText" dxfId="31" priority="61" operator="containsText" text="MY">
      <formula>NOT(ISERROR(SEARCH("MY",A4)))</formula>
    </cfRule>
  </conditionalFormatting>
  <conditionalFormatting sqref="L404:R1048576">
    <cfRule type="cellIs" dxfId="30" priority="11" operator="equal">
      <formula>"TE"</formula>
    </cfRule>
    <cfRule type="cellIs" dxfId="29" priority="12" operator="equal">
      <formula>"J"</formula>
    </cfRule>
    <cfRule type="cellIs" dxfId="28" priority="13" operator="equal">
      <formula>"Q"</formula>
    </cfRule>
    <cfRule type="cellIs" dxfId="27" priority="14" operator="equal">
      <formula>"K"</formula>
    </cfRule>
    <cfRule type="cellIs" dxfId="26" priority="15" operator="equal">
      <formula>"A"</formula>
    </cfRule>
    <cfRule type="cellIs" dxfId="25" priority="16" operator="equal">
      <formula>"M4"</formula>
    </cfRule>
    <cfRule type="cellIs" dxfId="24" priority="17" operator="equal">
      <formula>"M3"</formula>
    </cfRule>
    <cfRule type="cellIs" dxfId="23" priority="18" operator="equal">
      <formula>"M2"</formula>
    </cfRule>
    <cfRule type="cellIs" dxfId="22" priority="19" operator="equal">
      <formula>"M1"</formula>
    </cfRule>
  </conditionalFormatting>
  <conditionalFormatting sqref="L1:R1">
    <cfRule type="cellIs" dxfId="21" priority="2" operator="equal">
      <formula>"TE"</formula>
    </cfRule>
    <cfRule type="cellIs" dxfId="20" priority="3" operator="equal">
      <formula>"J"</formula>
    </cfRule>
    <cfRule type="cellIs" dxfId="19" priority="4" operator="equal">
      <formula>"Q"</formula>
    </cfRule>
    <cfRule type="cellIs" dxfId="18" priority="5" operator="equal">
      <formula>"K"</formula>
    </cfRule>
    <cfRule type="cellIs" dxfId="17" priority="6" operator="equal">
      <formula>"A"</formula>
    </cfRule>
    <cfRule type="cellIs" dxfId="16" priority="7" operator="equal">
      <formula>"M4"</formula>
    </cfRule>
    <cfRule type="cellIs" dxfId="15" priority="8" operator="equal">
      <formula>"M3"</formula>
    </cfRule>
    <cfRule type="cellIs" dxfId="14" priority="9" operator="equal">
      <formula>"M2"</formula>
    </cfRule>
    <cfRule type="cellIs" dxfId="13" priority="10" operator="equal">
      <formula>"M1"</formula>
    </cfRule>
  </conditionalFormatting>
  <conditionalFormatting sqref="L4:R304">
    <cfRule type="containsText" dxfId="12" priority="20" operator="containsText" text="M1">
      <formula>NOT(ISERROR(SEARCH("M1",L4)))</formula>
    </cfRule>
  </conditionalFormatting>
  <conditionalFormatting sqref="L4:R304">
    <cfRule type="containsText" dxfId="11" priority="21" operator="containsText" text="M2">
      <formula>NOT(ISERROR(SEARCH("M2",L4)))</formula>
    </cfRule>
  </conditionalFormatting>
  <conditionalFormatting sqref="L4:R304">
    <cfRule type="containsText" dxfId="10" priority="22" operator="containsText" text="M3">
      <formula>NOT(ISERROR(SEARCH("M3",L4)))</formula>
    </cfRule>
  </conditionalFormatting>
  <conditionalFormatting sqref="L4:R304">
    <cfRule type="containsText" dxfId="9" priority="23" operator="containsText" text="M4">
      <formula>NOT(ISERROR(SEARCH("M4",L4)))</formula>
    </cfRule>
  </conditionalFormatting>
  <conditionalFormatting sqref="L4:R304">
    <cfRule type="containsText" dxfId="8" priority="24" operator="containsText" text="M5">
      <formula>NOT(ISERROR(SEARCH("M5",L4)))</formula>
    </cfRule>
  </conditionalFormatting>
  <conditionalFormatting sqref="L4:R304">
    <cfRule type="containsText" dxfId="7" priority="25" operator="containsText" text="M6">
      <formula>NOT(ISERROR(SEARCH("M6",L4)))</formula>
    </cfRule>
  </conditionalFormatting>
  <conditionalFormatting sqref="L4:R304">
    <cfRule type="containsText" dxfId="6" priority="26" operator="containsText" text="A">
      <formula>NOT(ISERROR(SEARCH("A",L4)))</formula>
    </cfRule>
  </conditionalFormatting>
  <conditionalFormatting sqref="L4:R304">
    <cfRule type="containsText" dxfId="5" priority="27" operator="containsText" text="K">
      <formula>NOT(ISERROR(SEARCH("K",L4)))</formula>
    </cfRule>
  </conditionalFormatting>
  <conditionalFormatting sqref="L4:R304">
    <cfRule type="containsText" dxfId="4" priority="28" operator="containsText" text="Q">
      <formula>NOT(ISERROR(SEARCH("Q",L4)))</formula>
    </cfRule>
  </conditionalFormatting>
  <conditionalFormatting sqref="L4:R304">
    <cfRule type="containsText" dxfId="3" priority="29" operator="containsText" text="J">
      <formula>NOT(ISERROR(SEARCH("J",L4)))</formula>
    </cfRule>
  </conditionalFormatting>
  <conditionalFormatting sqref="L4:R304">
    <cfRule type="containsText" dxfId="2" priority="30" operator="containsText" text="TE">
      <formula>NOT(ISERROR(SEARCH("TE",L4)))</formula>
    </cfRule>
  </conditionalFormatting>
  <conditionalFormatting sqref="L4:R304">
    <cfRule type="containsText" dxfId="1" priority="31" operator="containsText" text="MY">
      <formula>NOT(ISERROR(SEARCH("MY",L4)))</formula>
    </cfRule>
  </conditionalFormatting>
  <conditionalFormatting sqref="AR4:AX403">
    <cfRule type="cellIs" dxfId="0" priority="1" operator="equal">
      <formula>"ERROR"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Description</vt:lpstr>
      <vt:lpstr>Parameter</vt:lpstr>
      <vt:lpstr>Multiplier_Weight</vt:lpstr>
      <vt:lpstr>Multiplier_Weight_Newbie</vt:lpstr>
      <vt:lpstr>OP Jackpot</vt:lpstr>
      <vt:lpstr>工作表2</vt:lpstr>
      <vt:lpstr>BG_Symbol</vt:lpstr>
      <vt:lpstr>FG_Symbol</vt:lpstr>
      <vt:lpstr>BF_Symbol</vt:lpstr>
      <vt:lpstr>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2026-07-14T03:45:28Z</dcterms:modified>
</cp:coreProperties>
</file>