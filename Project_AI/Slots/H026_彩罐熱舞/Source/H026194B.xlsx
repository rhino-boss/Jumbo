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7C3FE839-6C7E-47E5-80A1-AE4335774AB5}" xr6:coauthVersionLast="47" xr6:coauthVersionMax="47" xr10:uidLastSave="{00000000-0000-0000-0000-000000000000}"/>
  <bookViews>
    <workbookView xWindow="24" yWindow="348" windowWidth="23016" windowHeight="12216" xr2:uid="{CA2922FF-5D7F-4BBC-97A1-E49FF5419D9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G11" i="53"/>
  <c r="G9" i="53"/>
  <c r="G7" i="53"/>
  <c r="G5" i="53"/>
  <c r="H292" i="48" l="1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I248" i="48" a="1"/>
  <c r="I248" i="48" s="1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G231" i="48"/>
  <c r="H230" i="48"/>
  <c r="H229" i="48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I178" i="48" a="1"/>
  <c r="I178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G161" i="48"/>
  <c r="H160" i="48"/>
  <c r="H159" i="48"/>
  <c r="I152" i="48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G90" i="48"/>
  <c r="I94" i="48" s="1" a="1"/>
  <c r="I94" i="48" s="1"/>
  <c r="H89" i="48"/>
  <c r="H88" i="48"/>
  <c r="H79" i="48"/>
  <c r="H78" i="48"/>
  <c r="H77" i="48"/>
  <c r="H76" i="48"/>
  <c r="H75" i="48"/>
  <c r="H74" i="48"/>
  <c r="H73" i="48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I22" i="48" a="1"/>
  <c r="I22" i="48" s="1"/>
  <c r="H22" i="48"/>
  <c r="H21" i="48"/>
  <c r="H20" i="48"/>
  <c r="H19" i="48"/>
  <c r="H18" i="48"/>
  <c r="G18" i="48"/>
  <c r="H17" i="48"/>
  <c r="H16" i="48"/>
  <c r="H222" i="77" l="1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I178" i="77" a="1"/>
  <c r="I178" i="77" s="1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G161" i="77"/>
  <c r="H160" i="77"/>
  <c r="H159" i="77"/>
  <c r="I152" i="77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94" i="77" s="1" a="1"/>
  <c r="I94" i="77" s="1"/>
  <c r="H89" i="77"/>
  <c r="H8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W4" i="72" l="1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E159" i="77" a="1"/>
  <c r="E159" i="77" s="1"/>
  <c r="B157" i="77"/>
  <c r="D152" i="77" a="1"/>
  <c r="C152" i="77" s="1"/>
  <c r="C88" i="77" a="1"/>
  <c r="M81" i="77"/>
  <c r="C80" i="77"/>
  <c r="E16" i="77" a="1"/>
  <c r="E16" i="77" s="1"/>
  <c r="B3" i="77"/>
  <c r="F159" i="77" s="1" a="1"/>
  <c r="F159" i="77" s="1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V33" i="75" l="1"/>
  <c r="U33" i="75"/>
  <c r="D19" i="75" a="1"/>
  <c r="T19" i="75" l="1" a="1"/>
  <c r="T19" i="75" s="1"/>
  <c r="D19" i="75"/>
  <c r="D32" i="75" s="1"/>
  <c r="D34" i="75"/>
  <c r="G2" i="75" l="1"/>
  <c r="F2" i="75" l="1"/>
  <c r="F4" i="75" s="1" a="1"/>
  <c r="F4" i="75" s="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M159" i="48" l="1"/>
  <c r="S159" i="48" s="1" a="1"/>
  <c r="S159" i="48" s="1"/>
  <c r="P159" i="48" l="1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<sst xmlns="http://schemas.openxmlformats.org/spreadsheetml/2006/main" count="9216" uniqueCount="328">
  <si>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</si>
  <si>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</si>
  <si>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</si>
  <si>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</si>
  <si>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</si>
  <si>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</si>
  <si>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</si>
  <si>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</si>
  <si>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</si>
  <si>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</si>
  <si>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</si>
  <si>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</si>
  <si>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</si>
  <si>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</si>
  <si>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</si>
  <si>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</si>
  <si>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</si>
  <si>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</si>
  <si>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</si>
  <si>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</si>
  <si>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</si>
  <si>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</si>
  <si>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</si>
  <si>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</si>
  <si>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</si>
  <si>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</si>
  <si>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</si>
  <si>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</si>
  <si>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</si>
  <si>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</si>
  <si>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</si>
  <si>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</si>
  <si>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</si>
  <si>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</si>
  <si>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</si>
  <si>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</si>
  <si>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</si>
  <si>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</si>
  <si>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</si>
  <si>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</si>
  <si>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</si>
  <si>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</si>
  <si>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</si>
  <si>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</si>
  <si>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</si>
  <si>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</si>
  <si>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</si>
  <si>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</si>
  <si>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</si>
  <si>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</si>
  <si>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</si>
  <si>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</si>
  <si>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</si>
  <si>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</si>
  <si>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</si>
  <si>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</si>
  <si>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</si>
  <si>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</si>
  <si>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</si>
  <si>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</si>
  <si>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</si>
  <si>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</si>
  <si>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</si>
  <si>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</si>
  <si>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</si>
  <si>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</si>
  <si>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</si>
  <si>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</si>
  <si>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</si>
  <si>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</si>
  <si>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</si>
  <si>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</si>
  <si>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</si>
  <si>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</si>
  <si>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</si>
  <si>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</si>
  <si>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</si>
  <si>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</si>
  <si>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</si>
  <si>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</si>
  <si>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</si>
  <si>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</si>
  <si>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</si>
  <si>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</si>
  <si>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</si>
  <si>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</si>
  <si>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</si>
  <si>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</si>
  <si>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</si>
  <si>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</si>
  <si>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</si>
  <si>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</si>
  <si>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</si>
  <si>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</si>
  <si>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</si>
  <si>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</si>
  <si>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</si>
  <si>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</si>
  <si>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</si>
  <si>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</si>
  <si>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</si>
  <si>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</si>
  <si>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</si>
  <si>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</si>
  <si>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</si>
  <si>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</si>
  <si>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</si>
  <si>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</si>
  <si>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</si>
  <si>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</si>
  <si>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</si>
  <si>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</si>
  <si>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</si>
  <si>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</si>
  <si>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</si>
  <si>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</si>
  <si>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</si>
  <si>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</si>
  <si>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</si>
  <si>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</si>
  <si>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</si>
  <si>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</si>
  <si>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</si>
  <si>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</si>
  <si>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</si>
  <si>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</si>
  <si>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</si>
  <si>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</si>
  <si>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</si>
  <si>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</si>
  <si>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</si>
  <si>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</si>
  <si>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</si>
  <si>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</si>
  <si>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</si>
  <si>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</si>
  <si>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</si>
  <si>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</si>
  <si>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</si>
  <si>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</si>
  <si>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</si>
  <si>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</si>
  <si>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</si>
  <si>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</si>
  <si>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</si>
  <si>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</si>
  <si>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</si>
  <si>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</si>
  <si>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</si>
  <si>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</si>
  <si>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</si>
  <si>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</si>
  <si>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</si>
  <si>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</si>
  <si>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</si>
  <si>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</si>
  <si>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</si>
  <si>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</si>
  <si>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</si>
  <si>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</si>
  <si>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</si>
  <si>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</si>
  <si>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</si>
  <si>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</si>
  <si>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</si>
  <si>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</si>
  <si>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</si>
  <si>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</si>
  <si>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</si>
  <si>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</si>
  <si>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</si>
  <si>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</si>
  <si>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</si>
  <si>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</si>
  <si>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</si>
  <si>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</si>
  <si>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</si>
  <si>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</si>
  <si>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</si>
  <si>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</si>
  <si>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</si>
  <si>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</si>
  <si>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</si>
  <si>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</si>
  <si>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</si>
  <si>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</si>
  <si>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</si>
  <si>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</si>
  <si>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</si>
  <si>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</si>
  <si>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</si>
  <si>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</si>
  <si>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</si>
  <si>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</si>
  <si>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</si>
  <si>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</si>
  <si>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</si>
  <si>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</si>
  <si>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</si>
  <si>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</si>
  <si>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</si>
  <si>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</si>
  <si>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</si>
  <si>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</si>
  <si>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</si>
  <si>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</si>
  <si>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</si>
  <si>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</si>
  <si>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</si>
  <si>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</si>
  <si>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</si>
  <si>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</si>
  <si>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</si>
  <si>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</si>
  <si>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</si>
  <si>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</si>
  <si>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</si>
  <si>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</si>
  <si>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</si>
  <si>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</si>
  <si>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</si>
  <si>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</si>
  <si>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</si>
  <si>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</si>
  <si>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</si>
  <si>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</si>
  <si>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</si>
  <si>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</si>
  <si>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</si>
  <si>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</si>
  <si>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</si>
  <si>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</si>
  <si>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</si>
  <si>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</si>
  <si>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</si>
  <si>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</si>
  <si>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</si>
  <si>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</si>
  <si>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</si>
  <si>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</si>
  <si>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</si>
  <si>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</si>
  <si>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</si>
  <si>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</si>
  <si>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</si>
  <si>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</si>
  <si>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</si>
  <si>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</si>
  <si>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</si>
  <si>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</si>
  <si>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</si>
  <si>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</si>
  <si>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</si>
  <si>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</si>
  <si>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</si>
  <si>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</si>
  <si>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</si>
  <si>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</si>
  <si>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</si>
  <si>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</si>
  <si>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</si>
  <si>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</si>
  <si>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</si>
  <si>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</si>
  <si>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</si>
  <si>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</si>
  <si>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</si>
  <si>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</si>
  <si>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</si>
  <si>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</si>
  <si>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</si>
  <si>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</si>
  <si>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</si>
  <si>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</si>
  <si>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</si>
  <si>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</si>
  <si>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</si>
  <si>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</si>
  <si>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</si>
  <si>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</si>
  <si>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</si>
  <si>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</si>
  <si>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</si>
  <si>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</si>
  <si>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</si>
  <si>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</si>
  <si>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</si>
  <si>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</si>
  <si>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</si>
  <si>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</si>
  <si>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</si>
  <si>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</si>
  <si>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</si>
  <si>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</si>
  <si>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</si>
  <si>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</si>
  <si>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</si>
  <si>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</si>
  <si>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</si>
  <si>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</si>
  <si>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</si>
  <si>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</si>
  <si>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</si>
  <si>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</si>
  <si>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</si>
  <si>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</si>
  <si>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Rainbow M1</t>
  </si>
  <si>
    <t>Rainbow M2</t>
  </si>
  <si>
    <t>Rainbow M3</t>
  </si>
  <si>
    <t>Rainbow M4</t>
  </si>
  <si>
    <t>Rainbow M5</t>
  </si>
  <si>
    <t>Rainbow A</t>
  </si>
  <si>
    <t>Rainbow K</t>
  </si>
  <si>
    <t>Rainbow Q</t>
  </si>
  <si>
    <t>Rainbow J</t>
  </si>
  <si>
    <t>Normal Symbol</t>
  </si>
  <si>
    <t>Rainbow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</si>
  <si>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</si>
  <si>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</si>
  <si>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</si>
  <si>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</si>
  <si>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</si>
  <si>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</si>
  <si>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H026194B</t>
    <phoneticPr fontId="22" type="noConversion"/>
  </si>
  <si>
    <t>H026194A_2004_2607010001_betmode0_108_9402_oldhand_card.xlsx</t>
    <phoneticPr fontId="20" type="noConversion"/>
  </si>
  <si>
    <t>H026194A_2004_2607010103_betmode1_108_9393_oldhand_card.xlsx</t>
    <phoneticPr fontId="20" type="noConversion"/>
  </si>
  <si>
    <t>H026194A_2004_2607010454_betmode2_107_9260_card.xlsx</t>
    <phoneticPr fontId="20" type="noConversion"/>
  </si>
  <si>
    <t>3.0.0.3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</si>
</sst>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181" fontId="25" fillId="0" borderId="0" xfId="1" applyNumberFormat="1" applyFont="1" applyAlignment="1">
      <alignment vertical="center"/>
    </xf>
    <xf numFmtId="0" fontId="25" fillId="36" borderId="15" xfId="0" applyFont="1" applyFill="1" applyBorder="1" applyAlignment="1">
      <alignment horizontal="center" vertical="center"/>
    </xf>
    <xf numFmtId="0" fontId="25" fillId="33" borderId="15" xfId="0" applyFont="1" applyFill="1" applyBorder="1" applyAlignment="1">
      <alignment vertical="center"/>
    </xf>
    <xf numFmtId="181" fontId="19" fillId="33" borderId="15" xfId="0" applyNumberFormat="1" applyFont="1" applyFill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Font="1" applyFill="1" applyBorder="1" applyAlignment="1">
      <alignment horizontal="center"/>
    </xf>
    <xf numFmtId="0" fontId="25" fillId="33" borderId="15" xfId="0" applyFont="1" applyFill="1" applyBorder="1"/>
    <xf numFmtId="0" fontId="25" fillId="35" borderId="10" xfId="0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0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B3" sqref="B3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323</v>
      </c>
      <c r="C2" s="5"/>
    </row>
    <row r="3" spans="1:9">
      <c r="A3" s="16" t="s">
        <v>34</v>
      </c>
      <c r="B3" s="36" t="s">
        <v>327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6">
        <f>SUM(B18:B19)</f>
        <v>0.94000021117836896</v>
      </c>
      <c r="D11" s="96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78">
        <f>B22+B23</f>
        <v>0.94000039643441136</v>
      </c>
      <c r="D12" s="178" t="s">
        <v>262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9"/>
      <c r="G17" s="7"/>
      <c r="H17" s="7"/>
      <c r="I17" s="11"/>
    </row>
    <row r="18" spans="1:9">
      <c r="A18" s="212" t="str">
        <f>D11</f>
        <v>Normal Bet</v>
      </c>
      <c r="B18" s="39">
        <f>Multiplier_Weight_Oldhand!C7</f>
        <v>0.6999998150421699</v>
      </c>
      <c r="C18" s="213">
        <f>1/D18</f>
        <v>4.1955920723702666E-3</v>
      </c>
      <c r="D18" s="215">
        <f>Multiplier_Weight_Oldhand!G7</f>
        <v>238.34538314280346</v>
      </c>
      <c r="E18" s="27" t="s">
        <v>43</v>
      </c>
      <c r="F18" s="99"/>
      <c r="G18" s="7"/>
      <c r="H18" s="7"/>
      <c r="I18" s="11"/>
    </row>
    <row r="19" spans="1:9">
      <c r="A19" s="212"/>
      <c r="B19" s="39">
        <f>Multiplier_Weight_Oldhand!D7</f>
        <v>0.24000039613619903</v>
      </c>
      <c r="C19" s="214"/>
      <c r="D19" s="216"/>
      <c r="E19" s="27" t="s">
        <v>51</v>
      </c>
      <c r="F19" s="99"/>
      <c r="G19" s="7"/>
      <c r="H19" s="7"/>
      <c r="I19" s="11"/>
    </row>
    <row r="20" spans="1:9">
      <c r="A20" s="42"/>
      <c r="B20" s="43"/>
      <c r="C20" s="44"/>
      <c r="D20" s="41"/>
      <c r="E20" s="7"/>
      <c r="F20" s="99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9"/>
      <c r="G21" s="7"/>
      <c r="H21" s="7"/>
      <c r="I21" s="11"/>
    </row>
    <row r="22" spans="1:9">
      <c r="A22" s="212" t="str">
        <f>D12</f>
        <v>Extra Bet</v>
      </c>
      <c r="B22" s="39">
        <f>Multiplier_Weight_Oldhand!C8</f>
        <v>0.34024087210571241</v>
      </c>
      <c r="C22" s="213">
        <f>1/D22</f>
        <v>2.0969517935079052E-2</v>
      </c>
      <c r="D22" s="215">
        <f>Multiplier_Weight_Oldhand!G8</f>
        <v>47.68826842352636</v>
      </c>
      <c r="E22" s="27" t="s">
        <v>43</v>
      </c>
      <c r="F22" s="99"/>
      <c r="G22" s="7"/>
      <c r="H22" s="7"/>
      <c r="I22" s="11"/>
    </row>
    <row r="23" spans="1:9">
      <c r="A23" s="212"/>
      <c r="B23" s="39">
        <f>Multiplier_Weight_Oldhand!D8</f>
        <v>0.59975952432869895</v>
      </c>
      <c r="C23" s="214"/>
      <c r="D23" s="216"/>
      <c r="E23" s="27" t="s">
        <v>51</v>
      </c>
      <c r="F23" s="99"/>
      <c r="G23" s="7"/>
      <c r="H23" s="7"/>
      <c r="I23" s="11"/>
    </row>
    <row r="24" spans="1:9">
      <c r="A24" s="42"/>
      <c r="B24" s="43"/>
      <c r="C24" s="44"/>
      <c r="D24" s="41"/>
      <c r="E24" s="7"/>
      <c r="F24" s="99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9"/>
      <c r="G25" s="7"/>
      <c r="H25" s="7"/>
      <c r="I25" s="11"/>
    </row>
    <row r="26" spans="1:9">
      <c r="A26" s="212" t="str">
        <f>D13</f>
        <v>Buy Feature</v>
      </c>
      <c r="B26" s="39">
        <f>Multiplier_Weight_Oldhand!C9</f>
        <v>0</v>
      </c>
      <c r="C26" s="213">
        <f>1/D26</f>
        <v>1</v>
      </c>
      <c r="D26" s="217">
        <v>1</v>
      </c>
      <c r="E26" s="27" t="s">
        <v>43</v>
      </c>
      <c r="F26" s="99"/>
      <c r="G26" s="7"/>
      <c r="H26" s="7"/>
      <c r="I26" s="11"/>
    </row>
    <row r="27" spans="1:9">
      <c r="A27" s="212"/>
      <c r="B27" s="39">
        <f>Multiplier_Weight_Oldhand!D9</f>
        <v>0.92500031791134818</v>
      </c>
      <c r="C27" s="214"/>
      <c r="D27" s="218"/>
      <c r="E27" s="27" t="s">
        <v>51</v>
      </c>
      <c r="F27" s="99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15</v>
      </c>
      <c r="C36" s="37">
        <v>15</v>
      </c>
    </row>
    <row r="37" spans="1:7">
      <c r="A37" s="20">
        <v>4</v>
      </c>
      <c r="B37" s="37">
        <v>17</v>
      </c>
      <c r="C37" s="37">
        <v>17</v>
      </c>
    </row>
    <row r="38" spans="1:7">
      <c r="A38" s="8">
        <v>5</v>
      </c>
      <c r="B38" s="38">
        <v>19</v>
      </c>
      <c r="C38" s="38">
        <v>19</v>
      </c>
    </row>
    <row r="39" spans="1:7">
      <c r="A39" s="133" t="s">
        <v>124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5" t="s">
        <v>20</v>
      </c>
      <c r="B45" s="125" t="s">
        <v>20</v>
      </c>
      <c r="C45" s="125">
        <v>250</v>
      </c>
      <c r="D45" s="125">
        <v>1250</v>
      </c>
      <c r="E45" s="125">
        <v>5000</v>
      </c>
      <c r="F45" s="126">
        <v>2</v>
      </c>
    </row>
    <row r="46" spans="1:7">
      <c r="A46" s="125" t="s">
        <v>21</v>
      </c>
      <c r="B46" s="125" t="s">
        <v>21</v>
      </c>
      <c r="C46" s="125">
        <v>100</v>
      </c>
      <c r="D46" s="125">
        <v>500</v>
      </c>
      <c r="E46" s="125">
        <v>2000</v>
      </c>
      <c r="F46" s="127">
        <v>3</v>
      </c>
    </row>
    <row r="47" spans="1:7">
      <c r="A47" s="125" t="s">
        <v>22</v>
      </c>
      <c r="B47" s="125" t="s">
        <v>22</v>
      </c>
      <c r="C47" s="125">
        <v>75</v>
      </c>
      <c r="D47" s="125">
        <v>250</v>
      </c>
      <c r="E47" s="125">
        <v>1000</v>
      </c>
      <c r="F47" s="126">
        <v>4</v>
      </c>
    </row>
    <row r="48" spans="1:7">
      <c r="A48" s="125" t="s">
        <v>23</v>
      </c>
      <c r="B48" s="125" t="s">
        <v>23</v>
      </c>
      <c r="C48" s="125">
        <v>50</v>
      </c>
      <c r="D48" s="125">
        <v>200</v>
      </c>
      <c r="E48" s="125">
        <v>750</v>
      </c>
      <c r="F48" s="127">
        <v>5</v>
      </c>
    </row>
    <row r="49" spans="1:9">
      <c r="A49" s="125" t="s">
        <v>95</v>
      </c>
      <c r="B49" s="125" t="s">
        <v>95</v>
      </c>
      <c r="C49" s="128">
        <v>25</v>
      </c>
      <c r="D49" s="128">
        <v>100</v>
      </c>
      <c r="E49" s="128">
        <v>500</v>
      </c>
      <c r="F49" s="126">
        <v>6</v>
      </c>
    </row>
    <row r="50" spans="1:9">
      <c r="A50" s="125" t="s">
        <v>17</v>
      </c>
      <c r="B50" s="125" t="s">
        <v>17</v>
      </c>
      <c r="C50" s="125">
        <v>10</v>
      </c>
      <c r="D50" s="125">
        <v>50</v>
      </c>
      <c r="E50" s="125">
        <v>250</v>
      </c>
      <c r="F50" s="127">
        <v>7</v>
      </c>
    </row>
    <row r="51" spans="1:9">
      <c r="A51" s="125" t="s">
        <v>25</v>
      </c>
      <c r="B51" s="125" t="s">
        <v>25</v>
      </c>
      <c r="C51" s="125">
        <v>10</v>
      </c>
      <c r="D51" s="125">
        <v>50</v>
      </c>
      <c r="E51" s="125">
        <v>250</v>
      </c>
      <c r="F51" s="126">
        <v>8</v>
      </c>
    </row>
    <row r="52" spans="1:9">
      <c r="A52" s="125" t="s">
        <v>26</v>
      </c>
      <c r="B52" s="125" t="s">
        <v>26</v>
      </c>
      <c r="C52" s="125">
        <v>10</v>
      </c>
      <c r="D52" s="125">
        <v>50</v>
      </c>
      <c r="E52" s="125">
        <v>250</v>
      </c>
      <c r="F52" s="127">
        <v>9</v>
      </c>
    </row>
    <row r="53" spans="1:9">
      <c r="A53" s="125" t="s">
        <v>27</v>
      </c>
      <c r="B53" s="125" t="s">
        <v>27</v>
      </c>
      <c r="C53" s="125">
        <v>10</v>
      </c>
      <c r="D53" s="125">
        <v>50</v>
      </c>
      <c r="E53" s="125">
        <v>250</v>
      </c>
      <c r="F53" s="126">
        <v>10</v>
      </c>
    </row>
    <row r="54" spans="1:9">
      <c r="A54" s="8" t="s">
        <v>78</v>
      </c>
      <c r="B54" s="8" t="s">
        <v>275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276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277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278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279</v>
      </c>
      <c r="C58" s="117">
        <v>25</v>
      </c>
      <c r="D58" s="117">
        <v>100</v>
      </c>
      <c r="E58" s="117">
        <v>500</v>
      </c>
      <c r="F58" s="34">
        <v>15</v>
      </c>
    </row>
    <row r="59" spans="1:9">
      <c r="A59" s="8" t="s">
        <v>83</v>
      </c>
      <c r="B59" s="8" t="s">
        <v>280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281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282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283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130</v>
      </c>
    </row>
    <row r="5" spans="2:2">
      <c r="B5" s="22" t="s">
        <v>131</v>
      </c>
    </row>
    <row r="7" spans="2:2">
      <c r="B7" s="22" t="s">
        <v>132</v>
      </c>
    </row>
    <row r="8" spans="2:2">
      <c r="B8" s="22" t="s">
        <v>133</v>
      </c>
    </row>
    <row r="9" spans="2:2">
      <c r="B9" s="22" t="s">
        <v>134</v>
      </c>
    </row>
    <row r="10" spans="2:2">
      <c r="B10" s="22" t="s">
        <v>135</v>
      </c>
    </row>
    <row r="11" spans="2:2">
      <c r="B11" s="22" t="s">
        <v>284</v>
      </c>
    </row>
    <row r="12" spans="2:2">
      <c r="B12" s="22" t="s">
        <v>285</v>
      </c>
    </row>
    <row r="13" spans="2:2">
      <c r="B13" s="22" t="s">
        <v>136</v>
      </c>
    </row>
    <row r="14" spans="2:2">
      <c r="B14" s="22" t="s">
        <v>286</v>
      </c>
    </row>
    <row r="15" spans="2:2">
      <c r="B15" s="22" t="s">
        <v>287</v>
      </c>
    </row>
    <row r="16" spans="2:2">
      <c r="B16" s="22" t="s">
        <v>137</v>
      </c>
    </row>
    <row r="18" spans="2:2">
      <c r="B18" s="22" t="s">
        <v>138</v>
      </c>
    </row>
    <row r="19" spans="2:2">
      <c r="B19" s="22" t="s">
        <v>129</v>
      </c>
    </row>
    <row r="20" spans="2:2">
      <c r="B20" s="22" t="s">
        <v>139</v>
      </c>
    </row>
    <row r="21" spans="2:2">
      <c r="B21" s="22" t="s">
        <v>140</v>
      </c>
    </row>
    <row r="22" spans="2:2">
      <c r="B22" s="22" t="s">
        <v>288</v>
      </c>
    </row>
    <row r="23" spans="2:2">
      <c r="B23" s="22" t="s">
        <v>141</v>
      </c>
    </row>
    <row r="24" spans="2:2">
      <c r="B24" s="22" t="s">
        <v>289</v>
      </c>
    </row>
    <row r="25" spans="2:2">
      <c r="B25" s="22" t="s">
        <v>142</v>
      </c>
    </row>
    <row r="26" spans="2:2">
      <c r="B26" s="22" t="s">
        <v>143</v>
      </c>
    </row>
    <row r="28" spans="2:2">
      <c r="B28" s="22" t="s">
        <v>144</v>
      </c>
    </row>
    <row r="30" spans="2:2">
      <c r="B30" s="22" t="s">
        <v>145</v>
      </c>
    </row>
    <row r="31" spans="2:2">
      <c r="B31" s="22" t="s">
        <v>146</v>
      </c>
    </row>
    <row r="33" spans="2:2">
      <c r="B33" s="22" t="s">
        <v>147</v>
      </c>
    </row>
    <row r="35" spans="2:2">
      <c r="B35" s="22" t="s">
        <v>148</v>
      </c>
    </row>
    <row r="37" spans="2:2">
      <c r="B37" s="22" t="s">
        <v>149</v>
      </c>
    </row>
    <row r="38" spans="2:2">
      <c r="B38" s="22" t="s">
        <v>150</v>
      </c>
    </row>
    <row r="39" spans="2:2">
      <c r="B39" s="22" t="s">
        <v>151</v>
      </c>
    </row>
    <row r="40" spans="2:2">
      <c r="B40" s="22" t="s">
        <v>152</v>
      </c>
    </row>
    <row r="42" spans="2:2">
      <c r="B42" s="22" t="s">
        <v>153</v>
      </c>
    </row>
    <row r="43" spans="2:2">
      <c r="B43" s="22" t="s">
        <v>129</v>
      </c>
    </row>
    <row r="44" spans="2:2">
      <c r="B44" s="22" t="s">
        <v>154</v>
      </c>
    </row>
    <row r="46" spans="2:2">
      <c r="B46" s="22" t="s">
        <v>155</v>
      </c>
    </row>
    <row r="47" spans="2:2">
      <c r="B47" s="22" t="s">
        <v>156</v>
      </c>
    </row>
    <row r="48" spans="2:2">
      <c r="B48" s="22" t="s">
        <v>290</v>
      </c>
    </row>
    <row r="49" spans="2:2">
      <c r="B49" s="22" t="s">
        <v>157</v>
      </c>
    </row>
    <row r="50" spans="2:2">
      <c r="B50" s="22" t="s">
        <v>158</v>
      </c>
    </row>
    <row r="51" spans="2:2">
      <c r="B51" s="22" t="s">
        <v>159</v>
      </c>
    </row>
    <row r="53" spans="2:2">
      <c r="B53" s="22" t="s">
        <v>160</v>
      </c>
    </row>
    <row r="55" spans="2:2">
      <c r="B55" s="22" t="s">
        <v>161</v>
      </c>
    </row>
    <row r="56" spans="2:2">
      <c r="B56" s="22" t="s">
        <v>291</v>
      </c>
    </row>
    <row r="57" spans="2:2">
      <c r="B57" s="22" t="s">
        <v>162</v>
      </c>
    </row>
    <row r="58" spans="2:2">
      <c r="B58" s="22" t="s">
        <v>292</v>
      </c>
    </row>
    <row r="59" spans="2:2">
      <c r="B59" s="22" t="s">
        <v>163</v>
      </c>
    </row>
    <row r="60" spans="2:2">
      <c r="B60" s="22" t="s">
        <v>164</v>
      </c>
    </row>
    <row r="62" spans="2:2">
      <c r="B62" s="22" t="s">
        <v>165</v>
      </c>
    </row>
    <row r="64" spans="2:2">
      <c r="B64" s="22" t="s">
        <v>166</v>
      </c>
    </row>
    <row r="65" spans="2:2">
      <c r="B65" s="22" t="s">
        <v>167</v>
      </c>
    </row>
    <row r="67" spans="2:2">
      <c r="B67" s="22" t="s">
        <v>168</v>
      </c>
    </row>
    <row r="69" spans="2:2">
      <c r="B69" s="22" t="s">
        <v>169</v>
      </c>
    </row>
    <row r="70" spans="2:2">
      <c r="B70" s="22" t="s">
        <v>170</v>
      </c>
    </row>
    <row r="71" spans="2:2">
      <c r="B71" s="22" t="s">
        <v>293</v>
      </c>
    </row>
    <row r="72" spans="2:2">
      <c r="B72" s="22" t="s">
        <v>171</v>
      </c>
    </row>
    <row r="73" spans="2:2">
      <c r="B73" s="22" t="s">
        <v>294</v>
      </c>
    </row>
    <row r="74" spans="2:2">
      <c r="B74" s="22" t="s">
        <v>172</v>
      </c>
    </row>
    <row r="75" spans="2:2">
      <c r="B75" s="22" t="s">
        <v>173</v>
      </c>
    </row>
    <row r="77" spans="2:2">
      <c r="B77" s="22" t="s">
        <v>174</v>
      </c>
    </row>
    <row r="79" spans="2:2">
      <c r="B79" s="22" t="s">
        <v>175</v>
      </c>
    </row>
    <row r="80" spans="2:2">
      <c r="B80" s="22" t="s">
        <v>176</v>
      </c>
    </row>
    <row r="81" spans="2:2">
      <c r="B81" s="22" t="s">
        <v>177</v>
      </c>
    </row>
    <row r="82" spans="2:2">
      <c r="B82" s="22" t="s">
        <v>295</v>
      </c>
    </row>
    <row r="83" spans="2:2">
      <c r="B83" s="22" t="s">
        <v>178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2"/>
  </cols>
  <sheetData>
    <row r="3" spans="2:38">
      <c r="B3" s="15" t="s">
        <v>119</v>
      </c>
      <c r="I3" s="15" t="s">
        <v>110</v>
      </c>
      <c r="N3" s="15" t="s">
        <v>106</v>
      </c>
      <c r="Y3" s="15">
        <v>4.7619047619047619</v>
      </c>
      <c r="AA3" s="15">
        <v>10</v>
      </c>
      <c r="AC3" s="15" t="s">
        <v>105</v>
      </c>
    </row>
    <row r="4" spans="2:38">
      <c r="B4" s="119" t="s">
        <v>114</v>
      </c>
      <c r="C4" s="119" t="s">
        <v>118</v>
      </c>
      <c r="D4" s="119" t="s">
        <v>317</v>
      </c>
      <c r="E4" s="119" t="s">
        <v>318</v>
      </c>
      <c r="F4" s="119" t="s">
        <v>319</v>
      </c>
      <c r="G4" s="119" t="s">
        <v>320</v>
      </c>
      <c r="I4" s="118" t="s">
        <v>103</v>
      </c>
      <c r="J4" s="119" t="s">
        <v>90</v>
      </c>
      <c r="K4" s="119" t="s">
        <v>115</v>
      </c>
      <c r="N4" s="119" t="s">
        <v>104</v>
      </c>
      <c r="O4" s="119">
        <v>0</v>
      </c>
      <c r="P4" s="119">
        <v>2</v>
      </c>
      <c r="Q4" s="119">
        <v>3</v>
      </c>
      <c r="R4" s="119">
        <v>5</v>
      </c>
      <c r="S4" s="119">
        <v>8</v>
      </c>
      <c r="T4" s="119">
        <v>10</v>
      </c>
      <c r="U4" s="119">
        <v>15</v>
      </c>
      <c r="V4" s="119">
        <v>20</v>
      </c>
      <c r="W4" s="119">
        <v>25</v>
      </c>
      <c r="X4" s="119">
        <v>50</v>
      </c>
      <c r="Y4" s="119">
        <v>100</v>
      </c>
      <c r="Z4" s="119">
        <v>500</v>
      </c>
      <c r="AA4" s="119">
        <v>1000</v>
      </c>
      <c r="AC4" s="119" t="s">
        <v>104</v>
      </c>
      <c r="AD4" s="119">
        <v>1</v>
      </c>
      <c r="AE4" s="119">
        <v>2</v>
      </c>
      <c r="AF4" s="119">
        <v>3</v>
      </c>
      <c r="AG4" s="119">
        <v>4</v>
      </c>
      <c r="AH4" s="119">
        <v>5</v>
      </c>
      <c r="AI4" s="119">
        <v>6</v>
      </c>
      <c r="AJ4" s="119">
        <v>7</v>
      </c>
      <c r="AK4" s="119">
        <v>8</v>
      </c>
      <c r="AL4" s="119">
        <v>9</v>
      </c>
    </row>
    <row r="5" spans="2:38">
      <c r="B5" s="111">
        <v>0</v>
      </c>
      <c r="C5" s="131">
        <v>1</v>
      </c>
      <c r="D5" s="131">
        <v>1</v>
      </c>
      <c r="E5" s="131">
        <v>1</v>
      </c>
      <c r="F5" s="131">
        <v>1</v>
      </c>
      <c r="G5" s="131">
        <v>1</v>
      </c>
      <c r="I5" s="111" t="s">
        <v>97</v>
      </c>
      <c r="J5" s="120">
        <v>7000</v>
      </c>
      <c r="K5" s="200"/>
      <c r="L5" s="123">
        <v>0.7</v>
      </c>
      <c r="N5" s="111" t="s">
        <v>97</v>
      </c>
      <c r="O5" s="189">
        <v>0</v>
      </c>
      <c r="P5" s="190">
        <v>0</v>
      </c>
      <c r="Q5" s="190">
        <v>0</v>
      </c>
      <c r="R5" s="190">
        <v>0</v>
      </c>
      <c r="S5" s="190">
        <v>0</v>
      </c>
      <c r="T5" s="121">
        <v>2680</v>
      </c>
      <c r="U5" s="121">
        <v>3000</v>
      </c>
      <c r="V5" s="121">
        <v>2000</v>
      </c>
      <c r="W5" s="121">
        <v>500</v>
      </c>
      <c r="X5" s="121">
        <v>100</v>
      </c>
      <c r="Y5" s="121">
        <v>1200</v>
      </c>
      <c r="Z5" s="121">
        <v>20</v>
      </c>
      <c r="AA5" s="121">
        <v>500</v>
      </c>
      <c r="AB5" s="134">
        <v>75.930000000000007</v>
      </c>
      <c r="AC5" s="111" t="s">
        <v>97</v>
      </c>
      <c r="AD5" s="121">
        <v>300</v>
      </c>
      <c r="AE5" s="121">
        <v>600</v>
      </c>
      <c r="AF5" s="121">
        <v>1080</v>
      </c>
      <c r="AG5" s="121">
        <v>1440</v>
      </c>
      <c r="AH5" s="121">
        <v>2250</v>
      </c>
      <c r="AI5" s="121">
        <v>2700</v>
      </c>
      <c r="AJ5" s="121">
        <v>3150</v>
      </c>
      <c r="AK5" s="121">
        <v>3600</v>
      </c>
      <c r="AL5" s="121">
        <v>4050</v>
      </c>
    </row>
    <row r="6" spans="2:38">
      <c r="B6" s="111">
        <v>1</v>
      </c>
      <c r="C6" s="131">
        <v>0</v>
      </c>
      <c r="D6" s="131">
        <v>0</v>
      </c>
      <c r="E6" s="131">
        <v>0</v>
      </c>
      <c r="F6" s="131">
        <v>0</v>
      </c>
      <c r="G6" s="131">
        <v>0</v>
      </c>
      <c r="I6" s="111" t="s">
        <v>98</v>
      </c>
      <c r="J6" s="121">
        <v>1000</v>
      </c>
      <c r="K6" s="111"/>
      <c r="L6" s="123">
        <v>0.1</v>
      </c>
      <c r="N6" s="111" t="s">
        <v>98</v>
      </c>
      <c r="O6" s="189">
        <v>0</v>
      </c>
      <c r="P6" s="190">
        <v>0</v>
      </c>
      <c r="Q6" s="190">
        <v>0</v>
      </c>
      <c r="R6" s="190">
        <v>0</v>
      </c>
      <c r="S6" s="190">
        <v>0</v>
      </c>
      <c r="T6" s="121">
        <v>2680</v>
      </c>
      <c r="U6" s="121">
        <v>3000</v>
      </c>
      <c r="V6" s="121">
        <v>2000</v>
      </c>
      <c r="W6" s="121">
        <v>500</v>
      </c>
      <c r="X6" s="121">
        <v>100</v>
      </c>
      <c r="Y6" s="121">
        <v>1200</v>
      </c>
      <c r="Z6" s="121">
        <v>20</v>
      </c>
      <c r="AA6" s="121">
        <v>500</v>
      </c>
      <c r="AB6" s="134">
        <v>75.930000000000007</v>
      </c>
      <c r="AC6" s="111" t="s">
        <v>98</v>
      </c>
      <c r="AD6" s="190">
        <v>0</v>
      </c>
      <c r="AE6" s="190">
        <v>0</v>
      </c>
      <c r="AF6" s="121">
        <v>525</v>
      </c>
      <c r="AG6" s="121">
        <v>700</v>
      </c>
      <c r="AH6" s="121">
        <v>1750</v>
      </c>
      <c r="AI6" s="121">
        <v>2100</v>
      </c>
      <c r="AJ6" s="121">
        <v>3675</v>
      </c>
      <c r="AK6" s="121">
        <v>4200</v>
      </c>
      <c r="AL6" s="121">
        <v>4725</v>
      </c>
    </row>
    <row r="7" spans="2:38">
      <c r="B7" s="111">
        <v>2</v>
      </c>
      <c r="C7" s="131">
        <v>2</v>
      </c>
      <c r="D7" s="131">
        <v>2</v>
      </c>
      <c r="E7" s="131">
        <v>2</v>
      </c>
      <c r="F7" s="131">
        <v>2</v>
      </c>
      <c r="G7" s="131">
        <v>2</v>
      </c>
      <c r="I7" s="111" t="s">
        <v>113</v>
      </c>
      <c r="J7" s="121">
        <v>2000</v>
      </c>
      <c r="K7" s="111"/>
      <c r="L7" s="123">
        <v>0.2</v>
      </c>
      <c r="N7" s="111" t="s">
        <v>113</v>
      </c>
      <c r="O7" s="189">
        <v>10000</v>
      </c>
      <c r="P7" s="190">
        <v>0</v>
      </c>
      <c r="Q7" s="190">
        <v>0</v>
      </c>
      <c r="R7" s="190">
        <v>0</v>
      </c>
      <c r="S7" s="190">
        <v>0</v>
      </c>
      <c r="T7" s="190">
        <v>0</v>
      </c>
      <c r="U7" s="190">
        <v>0</v>
      </c>
      <c r="V7" s="190">
        <v>0</v>
      </c>
      <c r="W7" s="190">
        <v>0</v>
      </c>
      <c r="X7" s="190">
        <v>0</v>
      </c>
      <c r="Y7" s="190">
        <v>0</v>
      </c>
      <c r="Z7" s="190">
        <v>0</v>
      </c>
      <c r="AA7" s="190">
        <v>0</v>
      </c>
      <c r="AB7" s="134">
        <v>0</v>
      </c>
      <c r="AC7" s="111" t="s">
        <v>113</v>
      </c>
      <c r="AD7" s="190">
        <v>0</v>
      </c>
      <c r="AE7" s="190">
        <v>0</v>
      </c>
      <c r="AF7" s="190">
        <v>0</v>
      </c>
      <c r="AG7" s="190">
        <v>0</v>
      </c>
      <c r="AH7" s="190">
        <v>0</v>
      </c>
      <c r="AI7" s="190">
        <v>0</v>
      </c>
      <c r="AJ7" s="190">
        <v>0</v>
      </c>
      <c r="AK7" s="190">
        <v>0</v>
      </c>
      <c r="AL7" s="190">
        <v>0</v>
      </c>
    </row>
    <row r="8" spans="2:38">
      <c r="B8" s="111">
        <v>3</v>
      </c>
      <c r="C8" s="131">
        <v>0</v>
      </c>
      <c r="D8" s="131">
        <v>1</v>
      </c>
      <c r="E8" s="131">
        <v>2</v>
      </c>
      <c r="F8" s="131">
        <v>1</v>
      </c>
      <c r="G8" s="131">
        <v>0</v>
      </c>
      <c r="J8" s="47">
        <v>10000</v>
      </c>
      <c r="K8" s="47">
        <v>0</v>
      </c>
      <c r="L8" s="47"/>
      <c r="N8" s="111" t="s">
        <v>100</v>
      </c>
      <c r="O8" s="189">
        <v>0</v>
      </c>
      <c r="P8" s="190">
        <v>0</v>
      </c>
      <c r="Q8" s="190">
        <v>0</v>
      </c>
      <c r="R8" s="190">
        <v>0</v>
      </c>
      <c r="S8" s="190">
        <v>0</v>
      </c>
      <c r="T8" s="121">
        <v>3600</v>
      </c>
      <c r="U8" s="121">
        <v>2500</v>
      </c>
      <c r="V8" s="121">
        <v>1500</v>
      </c>
      <c r="W8" s="121">
        <v>250</v>
      </c>
      <c r="X8" s="121">
        <v>50</v>
      </c>
      <c r="Y8" s="121">
        <v>1000</v>
      </c>
      <c r="Z8" s="121">
        <v>100</v>
      </c>
      <c r="AA8" s="121">
        <v>1000</v>
      </c>
      <c r="AB8" s="134">
        <v>126.22499999999999</v>
      </c>
      <c r="AC8" s="111" t="s">
        <v>100</v>
      </c>
      <c r="AD8" s="190">
        <v>0</v>
      </c>
      <c r="AE8" s="190">
        <v>0</v>
      </c>
      <c r="AF8" s="121">
        <v>525</v>
      </c>
      <c r="AG8" s="121">
        <v>700</v>
      </c>
      <c r="AH8" s="121">
        <v>1750</v>
      </c>
      <c r="AI8" s="121">
        <v>2100</v>
      </c>
      <c r="AJ8" s="121">
        <v>3675</v>
      </c>
      <c r="AK8" s="121">
        <v>4200</v>
      </c>
      <c r="AL8" s="121">
        <v>4725</v>
      </c>
    </row>
    <row r="9" spans="2:38">
      <c r="B9" s="111">
        <v>4</v>
      </c>
      <c r="C9" s="131">
        <v>2</v>
      </c>
      <c r="D9" s="131">
        <v>1</v>
      </c>
      <c r="E9" s="131">
        <v>0</v>
      </c>
      <c r="F9" s="131">
        <v>1</v>
      </c>
      <c r="G9" s="131">
        <v>2</v>
      </c>
      <c r="L9" s="47"/>
      <c r="N9" s="111" t="s">
        <v>101</v>
      </c>
      <c r="O9" s="189">
        <v>0</v>
      </c>
      <c r="P9" s="190">
        <v>0</v>
      </c>
      <c r="Q9" s="190">
        <v>0</v>
      </c>
      <c r="R9" s="190">
        <v>0</v>
      </c>
      <c r="S9" s="190">
        <v>0</v>
      </c>
      <c r="T9" s="121">
        <v>3430</v>
      </c>
      <c r="U9" s="121">
        <v>2500</v>
      </c>
      <c r="V9" s="121">
        <v>2000</v>
      </c>
      <c r="W9" s="121">
        <v>500</v>
      </c>
      <c r="X9" s="121">
        <v>100</v>
      </c>
      <c r="Y9" s="121">
        <v>700</v>
      </c>
      <c r="Z9" s="121">
        <v>70</v>
      </c>
      <c r="AA9" s="121">
        <v>700</v>
      </c>
      <c r="AB9" s="134">
        <v>93.43</v>
      </c>
      <c r="AC9" s="111" t="s">
        <v>101</v>
      </c>
      <c r="AD9" s="190">
        <v>0</v>
      </c>
      <c r="AE9" s="190">
        <v>0</v>
      </c>
      <c r="AF9" s="121">
        <v>525</v>
      </c>
      <c r="AG9" s="121">
        <v>700</v>
      </c>
      <c r="AH9" s="121">
        <v>1750</v>
      </c>
      <c r="AI9" s="121">
        <v>2100</v>
      </c>
      <c r="AJ9" s="121">
        <v>3675</v>
      </c>
      <c r="AK9" s="121">
        <v>4200</v>
      </c>
      <c r="AL9" s="121">
        <v>4725</v>
      </c>
    </row>
    <row r="10" spans="2:38">
      <c r="B10" s="111">
        <v>5</v>
      </c>
      <c r="C10" s="131">
        <v>0</v>
      </c>
      <c r="D10" s="131">
        <v>0</v>
      </c>
      <c r="E10" s="131">
        <v>1</v>
      </c>
      <c r="F10" s="131">
        <v>0</v>
      </c>
      <c r="G10" s="131">
        <v>0</v>
      </c>
      <c r="I10" s="15" t="s">
        <v>109</v>
      </c>
      <c r="L10" s="47"/>
      <c r="N10" s="111" t="s">
        <v>102</v>
      </c>
      <c r="O10" s="189">
        <v>0</v>
      </c>
      <c r="P10" s="190">
        <v>0</v>
      </c>
      <c r="Q10" s="190">
        <v>0</v>
      </c>
      <c r="R10" s="190">
        <v>0</v>
      </c>
      <c r="S10" s="190">
        <v>0</v>
      </c>
      <c r="T10" s="121">
        <v>4480</v>
      </c>
      <c r="U10" s="121">
        <v>2500</v>
      </c>
      <c r="V10" s="121">
        <v>2000</v>
      </c>
      <c r="W10" s="121">
        <v>500</v>
      </c>
      <c r="X10" s="121">
        <v>100</v>
      </c>
      <c r="Y10" s="121">
        <v>200</v>
      </c>
      <c r="Z10" s="121">
        <v>20</v>
      </c>
      <c r="AA10" s="121">
        <v>200</v>
      </c>
      <c r="AB10" s="134">
        <v>36.980000000000004</v>
      </c>
      <c r="AC10" s="111" t="s">
        <v>102</v>
      </c>
      <c r="AD10" s="190">
        <v>0</v>
      </c>
      <c r="AE10" s="190">
        <v>0</v>
      </c>
      <c r="AF10" s="121">
        <v>525</v>
      </c>
      <c r="AG10" s="121">
        <v>700</v>
      </c>
      <c r="AH10" s="121">
        <v>1750</v>
      </c>
      <c r="AI10" s="121">
        <v>2100</v>
      </c>
      <c r="AJ10" s="121">
        <v>3675</v>
      </c>
      <c r="AK10" s="121">
        <v>4200</v>
      </c>
      <c r="AL10" s="121">
        <v>4725</v>
      </c>
    </row>
    <row r="11" spans="2:38" ht="15.6" customHeight="1">
      <c r="B11" s="111">
        <v>6</v>
      </c>
      <c r="C11" s="131">
        <v>2</v>
      </c>
      <c r="D11" s="131">
        <v>2</v>
      </c>
      <c r="E11" s="131">
        <v>1</v>
      </c>
      <c r="F11" s="131">
        <v>2</v>
      </c>
      <c r="G11" s="131">
        <v>2</v>
      </c>
      <c r="I11" s="118" t="s">
        <v>103</v>
      </c>
      <c r="J11" s="119" t="s">
        <v>90</v>
      </c>
      <c r="K11" s="119" t="s">
        <v>115</v>
      </c>
      <c r="N11" s="111" t="s">
        <v>112</v>
      </c>
      <c r="O11" s="189">
        <v>10000</v>
      </c>
      <c r="P11" s="190">
        <v>0</v>
      </c>
      <c r="Q11" s="190">
        <v>0</v>
      </c>
      <c r="R11" s="190">
        <v>0</v>
      </c>
      <c r="S11" s="190">
        <v>0</v>
      </c>
      <c r="T11" s="190">
        <v>0</v>
      </c>
      <c r="U11" s="190">
        <v>0</v>
      </c>
      <c r="V11" s="190">
        <v>0</v>
      </c>
      <c r="W11" s="190">
        <v>0</v>
      </c>
      <c r="X11" s="190">
        <v>0</v>
      </c>
      <c r="Y11" s="190">
        <v>0</v>
      </c>
      <c r="Z11" s="190">
        <v>0</v>
      </c>
      <c r="AA11" s="190">
        <v>0</v>
      </c>
      <c r="AB11" s="134">
        <v>0</v>
      </c>
      <c r="AC11" s="111" t="s">
        <v>112</v>
      </c>
      <c r="AD11" s="190">
        <v>0</v>
      </c>
      <c r="AE11" s="190">
        <v>0</v>
      </c>
      <c r="AF11" s="190">
        <v>0</v>
      </c>
      <c r="AG11" s="190">
        <v>0</v>
      </c>
      <c r="AH11" s="190">
        <v>0</v>
      </c>
      <c r="AI11" s="190">
        <v>0</v>
      </c>
      <c r="AJ11" s="190">
        <v>0</v>
      </c>
      <c r="AK11" s="190">
        <v>0</v>
      </c>
      <c r="AL11" s="190">
        <v>0</v>
      </c>
    </row>
    <row r="12" spans="2:38" ht="15.6" customHeight="1">
      <c r="B12" s="111">
        <v>7</v>
      </c>
      <c r="C12" s="131">
        <v>1</v>
      </c>
      <c r="D12" s="131">
        <v>2</v>
      </c>
      <c r="E12" s="131">
        <v>2</v>
      </c>
      <c r="F12" s="131">
        <v>2</v>
      </c>
      <c r="G12" s="131">
        <v>1</v>
      </c>
      <c r="I12" s="111" t="s">
        <v>100</v>
      </c>
      <c r="J12" s="120">
        <v>10000</v>
      </c>
      <c r="K12" s="200"/>
      <c r="L12" s="123">
        <v>1</v>
      </c>
    </row>
    <row r="13" spans="2:38" ht="15.6" customHeight="1">
      <c r="B13" s="111">
        <v>8</v>
      </c>
      <c r="C13" s="131">
        <v>1</v>
      </c>
      <c r="D13" s="131">
        <v>0</v>
      </c>
      <c r="E13" s="131">
        <v>0</v>
      </c>
      <c r="F13" s="131">
        <v>0</v>
      </c>
      <c r="G13" s="131">
        <v>1</v>
      </c>
      <c r="I13" s="111" t="s">
        <v>101</v>
      </c>
      <c r="J13" s="121">
        <v>0</v>
      </c>
      <c r="K13" s="111"/>
      <c r="L13" s="123">
        <v>0</v>
      </c>
    </row>
    <row r="14" spans="2:38" ht="15.6" customHeight="1">
      <c r="B14" s="111">
        <v>9</v>
      </c>
      <c r="C14" s="131">
        <v>0</v>
      </c>
      <c r="D14" s="131">
        <v>1</v>
      </c>
      <c r="E14" s="131">
        <v>1</v>
      </c>
      <c r="F14" s="131">
        <v>1</v>
      </c>
      <c r="G14" s="131">
        <v>0</v>
      </c>
      <c r="I14" s="111" t="s">
        <v>102</v>
      </c>
      <c r="J14" s="121">
        <v>0</v>
      </c>
      <c r="K14" s="111"/>
      <c r="L14" s="123">
        <v>0</v>
      </c>
      <c r="N14" s="15" t="s">
        <v>122</v>
      </c>
      <c r="AD14" s="155"/>
      <c r="AE14" s="155"/>
      <c r="AF14" s="155"/>
      <c r="AG14" s="155"/>
      <c r="AH14" s="155"/>
      <c r="AI14" s="155"/>
      <c r="AJ14" s="155"/>
      <c r="AK14" s="155"/>
      <c r="AL14" s="155"/>
    </row>
    <row r="15" spans="2:38" ht="15.6" customHeight="1">
      <c r="B15" s="111">
        <v>10</v>
      </c>
      <c r="C15" s="131">
        <v>2</v>
      </c>
      <c r="D15" s="131">
        <v>1</v>
      </c>
      <c r="E15" s="131">
        <v>1</v>
      </c>
      <c r="F15" s="131">
        <v>1</v>
      </c>
      <c r="G15" s="131">
        <v>2</v>
      </c>
      <c r="J15" s="47">
        <v>10000</v>
      </c>
      <c r="K15" s="47">
        <v>0</v>
      </c>
      <c r="L15" s="47"/>
      <c r="N15" s="119" t="s">
        <v>104</v>
      </c>
      <c r="O15" s="119">
        <v>0</v>
      </c>
      <c r="P15" s="119">
        <v>2</v>
      </c>
      <c r="Q15" s="119">
        <v>3</v>
      </c>
      <c r="R15" s="119">
        <v>5</v>
      </c>
      <c r="S15" s="119">
        <v>8</v>
      </c>
      <c r="T15" s="119">
        <v>10</v>
      </c>
      <c r="U15" s="119">
        <v>15</v>
      </c>
      <c r="V15" s="119">
        <v>20</v>
      </c>
      <c r="W15" s="119">
        <v>25</v>
      </c>
      <c r="X15" s="119">
        <v>50</v>
      </c>
      <c r="Y15" s="119">
        <v>100</v>
      </c>
      <c r="Z15" s="119">
        <v>500</v>
      </c>
      <c r="AA15" s="119">
        <v>1000</v>
      </c>
    </row>
    <row r="16" spans="2:38" ht="15.6" customHeight="1">
      <c r="B16" s="111">
        <v>11</v>
      </c>
      <c r="C16" s="131">
        <v>1</v>
      </c>
      <c r="D16" s="131">
        <v>1</v>
      </c>
      <c r="E16" s="131">
        <v>0</v>
      </c>
      <c r="F16" s="131">
        <v>1</v>
      </c>
      <c r="G16" s="131">
        <v>1</v>
      </c>
      <c r="L16" s="47"/>
      <c r="N16" s="200" t="s">
        <v>97</v>
      </c>
      <c r="O16" s="189">
        <v>10000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  <c r="U16" s="189">
        <v>0</v>
      </c>
      <c r="V16" s="189">
        <v>0</v>
      </c>
      <c r="W16" s="189">
        <v>0</v>
      </c>
      <c r="X16" s="189">
        <v>0</v>
      </c>
      <c r="Y16" s="189">
        <v>0</v>
      </c>
      <c r="Z16" s="189">
        <v>0</v>
      </c>
      <c r="AA16" s="189">
        <v>0</v>
      </c>
      <c r="AB16" s="134">
        <v>0</v>
      </c>
      <c r="AD16" s="149"/>
      <c r="AE16" s="149"/>
    </row>
    <row r="17" spans="2:31" ht="15.6" customHeight="1">
      <c r="B17" s="111">
        <v>12</v>
      </c>
      <c r="C17" s="131">
        <v>1</v>
      </c>
      <c r="D17" s="131">
        <v>1</v>
      </c>
      <c r="E17" s="131">
        <v>2</v>
      </c>
      <c r="F17" s="131">
        <v>1</v>
      </c>
      <c r="G17" s="131">
        <v>1</v>
      </c>
      <c r="I17" s="15" t="s">
        <v>111</v>
      </c>
      <c r="L17" s="47"/>
      <c r="N17" s="111" t="s">
        <v>98</v>
      </c>
      <c r="O17" s="190">
        <v>0</v>
      </c>
      <c r="P17" s="120">
        <v>3600</v>
      </c>
      <c r="Q17" s="120">
        <v>3400</v>
      </c>
      <c r="R17" s="120">
        <v>1500</v>
      </c>
      <c r="S17" s="120">
        <v>1500</v>
      </c>
      <c r="T17" s="189">
        <v>0</v>
      </c>
      <c r="U17" s="189">
        <v>0</v>
      </c>
      <c r="V17" s="189">
        <v>0</v>
      </c>
      <c r="W17" s="189">
        <v>0</v>
      </c>
      <c r="X17" s="189">
        <v>0</v>
      </c>
      <c r="Y17" s="189">
        <v>0</v>
      </c>
      <c r="Z17" s="189">
        <v>0</v>
      </c>
      <c r="AA17" s="189">
        <v>0</v>
      </c>
      <c r="AB17" s="134">
        <v>3.6900000000000004</v>
      </c>
      <c r="AD17" s="149"/>
      <c r="AE17" s="149"/>
    </row>
    <row r="18" spans="2:31" ht="15.6" customHeight="1">
      <c r="B18" s="111">
        <v>13</v>
      </c>
      <c r="C18" s="131">
        <v>1</v>
      </c>
      <c r="D18" s="131">
        <v>0</v>
      </c>
      <c r="E18" s="131">
        <v>1</v>
      </c>
      <c r="F18" s="131">
        <v>0</v>
      </c>
      <c r="G18" s="131">
        <v>1</v>
      </c>
      <c r="I18" s="118" t="s">
        <v>103</v>
      </c>
      <c r="J18" s="119" t="s">
        <v>90</v>
      </c>
      <c r="K18" s="119" t="s">
        <v>115</v>
      </c>
      <c r="N18" s="111" t="s">
        <v>113</v>
      </c>
      <c r="O18" s="190">
        <v>10000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  <c r="U18" s="189">
        <v>0</v>
      </c>
      <c r="V18" s="189">
        <v>0</v>
      </c>
      <c r="W18" s="189">
        <v>0</v>
      </c>
      <c r="X18" s="189">
        <v>0</v>
      </c>
      <c r="Y18" s="189">
        <v>0</v>
      </c>
      <c r="Z18" s="189">
        <v>0</v>
      </c>
      <c r="AA18" s="189">
        <v>0</v>
      </c>
      <c r="AB18" s="134">
        <v>0</v>
      </c>
      <c r="AD18" s="149"/>
      <c r="AE18" s="149"/>
    </row>
    <row r="19" spans="2:31" ht="15.6" customHeight="1">
      <c r="B19" s="111">
        <v>14</v>
      </c>
      <c r="C19" s="131">
        <v>1</v>
      </c>
      <c r="D19" s="131">
        <v>2</v>
      </c>
      <c r="E19" s="131">
        <v>1</v>
      </c>
      <c r="F19" s="131">
        <v>2</v>
      </c>
      <c r="G19" s="131">
        <v>1</v>
      </c>
      <c r="I19" s="111" t="s">
        <v>100</v>
      </c>
      <c r="J19" s="120">
        <v>10000</v>
      </c>
      <c r="K19" s="200"/>
      <c r="L19" s="123">
        <v>1</v>
      </c>
      <c r="N19" s="111" t="s">
        <v>100</v>
      </c>
      <c r="O19" s="190">
        <v>0</v>
      </c>
      <c r="P19" s="120">
        <v>6000</v>
      </c>
      <c r="Q19" s="121">
        <v>2800</v>
      </c>
      <c r="R19" s="121">
        <v>900</v>
      </c>
      <c r="S19" s="121">
        <v>300</v>
      </c>
      <c r="T19" s="190">
        <v>0</v>
      </c>
      <c r="U19" s="190">
        <v>0</v>
      </c>
      <c r="V19" s="190">
        <v>0</v>
      </c>
      <c r="W19" s="190">
        <v>0</v>
      </c>
      <c r="X19" s="190">
        <v>0</v>
      </c>
      <c r="Y19" s="190">
        <v>0</v>
      </c>
      <c r="Z19" s="190">
        <v>0</v>
      </c>
      <c r="AA19" s="190">
        <v>0</v>
      </c>
      <c r="AB19" s="134">
        <v>2.7300000000000004</v>
      </c>
    </row>
    <row r="20" spans="2:31" ht="15.6" customHeight="1">
      <c r="B20" s="111">
        <v>15</v>
      </c>
      <c r="C20" s="131">
        <v>0</v>
      </c>
      <c r="D20" s="131">
        <v>1</v>
      </c>
      <c r="E20" s="131">
        <v>0</v>
      </c>
      <c r="F20" s="131">
        <v>1</v>
      </c>
      <c r="G20" s="131">
        <v>0</v>
      </c>
      <c r="I20" s="111" t="s">
        <v>101</v>
      </c>
      <c r="J20" s="121">
        <v>0</v>
      </c>
      <c r="K20" s="111"/>
      <c r="L20" s="123">
        <v>0</v>
      </c>
      <c r="N20" s="111" t="s">
        <v>101</v>
      </c>
      <c r="O20" s="190">
        <v>0</v>
      </c>
      <c r="P20" s="120">
        <v>6000</v>
      </c>
      <c r="Q20" s="121">
        <v>2800</v>
      </c>
      <c r="R20" s="121">
        <v>900</v>
      </c>
      <c r="S20" s="121">
        <v>300</v>
      </c>
      <c r="T20" s="190">
        <v>0</v>
      </c>
      <c r="U20" s="190">
        <v>0</v>
      </c>
      <c r="V20" s="190">
        <v>0</v>
      </c>
      <c r="W20" s="190">
        <v>0</v>
      </c>
      <c r="X20" s="190">
        <v>0</v>
      </c>
      <c r="Y20" s="190">
        <v>0</v>
      </c>
      <c r="Z20" s="190">
        <v>0</v>
      </c>
      <c r="AA20" s="190">
        <v>0</v>
      </c>
      <c r="AB20" s="134">
        <v>2.7300000000000004</v>
      </c>
    </row>
    <row r="21" spans="2:31" ht="15.6" customHeight="1">
      <c r="B21" s="111">
        <v>16</v>
      </c>
      <c r="C21" s="131">
        <v>2</v>
      </c>
      <c r="D21" s="131">
        <v>1</v>
      </c>
      <c r="E21" s="131">
        <v>2</v>
      </c>
      <c r="F21" s="131">
        <v>1</v>
      </c>
      <c r="G21" s="131">
        <v>2</v>
      </c>
      <c r="I21" s="111" t="s">
        <v>102</v>
      </c>
      <c r="J21" s="121">
        <v>0</v>
      </c>
      <c r="K21" s="111"/>
      <c r="L21" s="123">
        <v>0</v>
      </c>
      <c r="N21" s="111" t="s">
        <v>102</v>
      </c>
      <c r="O21" s="190">
        <v>0</v>
      </c>
      <c r="P21" s="120">
        <v>6000</v>
      </c>
      <c r="Q21" s="121">
        <v>2800</v>
      </c>
      <c r="R21" s="121">
        <v>900</v>
      </c>
      <c r="S21" s="121">
        <v>300</v>
      </c>
      <c r="T21" s="190">
        <v>0</v>
      </c>
      <c r="U21" s="190">
        <v>0</v>
      </c>
      <c r="V21" s="190">
        <v>0</v>
      </c>
      <c r="W21" s="190">
        <v>0</v>
      </c>
      <c r="X21" s="190">
        <v>0</v>
      </c>
      <c r="Y21" s="190">
        <v>0</v>
      </c>
      <c r="Z21" s="190">
        <v>0</v>
      </c>
      <c r="AA21" s="190">
        <v>0</v>
      </c>
      <c r="AB21" s="134">
        <v>2.7300000000000004</v>
      </c>
    </row>
    <row r="22" spans="2:31" ht="15.6" customHeight="1">
      <c r="B22" s="111">
        <v>17</v>
      </c>
      <c r="C22" s="131">
        <v>0</v>
      </c>
      <c r="D22" s="131">
        <v>0</v>
      </c>
      <c r="E22" s="131">
        <v>1</v>
      </c>
      <c r="F22" s="131">
        <v>2</v>
      </c>
      <c r="G22" s="131">
        <v>2</v>
      </c>
      <c r="J22" s="47">
        <v>10000</v>
      </c>
      <c r="K22" s="47">
        <v>0</v>
      </c>
      <c r="N22" s="111" t="s">
        <v>112</v>
      </c>
      <c r="O22" s="190">
        <v>10000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  <c r="U22" s="189">
        <v>0</v>
      </c>
      <c r="V22" s="189">
        <v>0</v>
      </c>
      <c r="W22" s="189">
        <v>0</v>
      </c>
      <c r="X22" s="189">
        <v>0</v>
      </c>
      <c r="Y22" s="189">
        <v>0</v>
      </c>
      <c r="Z22" s="189">
        <v>0</v>
      </c>
      <c r="AA22" s="189">
        <v>0</v>
      </c>
      <c r="AB22" s="134">
        <v>0</v>
      </c>
    </row>
    <row r="23" spans="2:31" ht="15.6" customHeight="1">
      <c r="B23" s="111">
        <v>18</v>
      </c>
      <c r="C23" s="131">
        <v>2</v>
      </c>
      <c r="D23" s="131">
        <v>2</v>
      </c>
      <c r="E23" s="131">
        <v>1</v>
      </c>
      <c r="F23" s="131">
        <v>0</v>
      </c>
      <c r="G23" s="131">
        <v>0</v>
      </c>
      <c r="P23" s="155"/>
      <c r="Q23" s="155"/>
      <c r="R23" s="155"/>
      <c r="S23" s="155"/>
    </row>
    <row r="24" spans="2:31" ht="15.6" customHeight="1">
      <c r="B24" s="111">
        <v>19</v>
      </c>
      <c r="C24" s="131">
        <v>0</v>
      </c>
      <c r="D24" s="131">
        <v>2</v>
      </c>
      <c r="E24" s="131">
        <v>0</v>
      </c>
      <c r="F24" s="131">
        <v>2</v>
      </c>
      <c r="G24" s="131">
        <v>0</v>
      </c>
      <c r="I24" s="15" t="s">
        <v>117</v>
      </c>
    </row>
    <row r="25" spans="2:31" ht="15.6" customHeight="1">
      <c r="I25" s="119" t="s">
        <v>116</v>
      </c>
      <c r="N25" s="15" t="s">
        <v>123</v>
      </c>
    </row>
    <row r="26" spans="2:31" ht="15.6" customHeight="1">
      <c r="I26" s="130">
        <v>0</v>
      </c>
      <c r="N26" s="119" t="s">
        <v>104</v>
      </c>
      <c r="O26" s="119">
        <v>0</v>
      </c>
      <c r="P26" s="119">
        <v>2</v>
      </c>
      <c r="Q26" s="119">
        <v>3</v>
      </c>
      <c r="R26" s="119">
        <v>5</v>
      </c>
      <c r="S26" s="119">
        <v>8</v>
      </c>
      <c r="T26" s="119">
        <v>10</v>
      </c>
      <c r="U26" s="119">
        <v>15</v>
      </c>
      <c r="V26" s="119">
        <v>20</v>
      </c>
      <c r="W26" s="119">
        <v>25</v>
      </c>
      <c r="X26" s="119">
        <v>50</v>
      </c>
      <c r="Y26" s="119">
        <v>100</v>
      </c>
      <c r="Z26" s="119">
        <v>500</v>
      </c>
      <c r="AA26" s="119">
        <v>1000</v>
      </c>
    </row>
    <row r="27" spans="2:31" ht="15.6" customHeight="1">
      <c r="I27" s="131">
        <v>2</v>
      </c>
      <c r="N27" s="200" t="s">
        <v>97</v>
      </c>
      <c r="O27" s="189">
        <v>10000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  <c r="U27" s="189">
        <v>0</v>
      </c>
      <c r="V27" s="189">
        <v>0</v>
      </c>
      <c r="W27" s="189">
        <v>0</v>
      </c>
      <c r="X27" s="189">
        <v>0</v>
      </c>
      <c r="Y27" s="189">
        <v>0</v>
      </c>
      <c r="Z27" s="189">
        <v>0</v>
      </c>
      <c r="AA27" s="189">
        <v>0</v>
      </c>
      <c r="AB27" s="134">
        <v>0</v>
      </c>
    </row>
    <row r="28" spans="2:31">
      <c r="I28" s="131">
        <v>3</v>
      </c>
      <c r="N28" s="111" t="s">
        <v>98</v>
      </c>
      <c r="O28" s="189">
        <v>0</v>
      </c>
      <c r="P28" s="120">
        <v>3500</v>
      </c>
      <c r="Q28" s="120">
        <v>3400</v>
      </c>
      <c r="R28" s="120">
        <v>1500</v>
      </c>
      <c r="S28" s="120">
        <v>1500</v>
      </c>
      <c r="T28" s="121">
        <v>20</v>
      </c>
      <c r="U28" s="121">
        <v>20</v>
      </c>
      <c r="V28" s="121">
        <v>5</v>
      </c>
      <c r="W28" s="121">
        <v>5</v>
      </c>
      <c r="X28" s="121">
        <v>5</v>
      </c>
      <c r="Y28" s="121">
        <v>20</v>
      </c>
      <c r="Z28" s="121">
        <v>5</v>
      </c>
      <c r="AA28" s="121">
        <v>20</v>
      </c>
      <c r="AB28" s="134">
        <v>6.2174999999999994</v>
      </c>
    </row>
    <row r="29" spans="2:31">
      <c r="I29" s="131">
        <v>5</v>
      </c>
      <c r="N29" s="111" t="s">
        <v>113</v>
      </c>
      <c r="O29" s="189">
        <v>10000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  <c r="U29" s="189">
        <v>0</v>
      </c>
      <c r="V29" s="189">
        <v>0</v>
      </c>
      <c r="W29" s="189">
        <v>0</v>
      </c>
      <c r="X29" s="189">
        <v>0</v>
      </c>
      <c r="Y29" s="189">
        <v>0</v>
      </c>
      <c r="Z29" s="189">
        <v>0</v>
      </c>
      <c r="AA29" s="189">
        <v>0</v>
      </c>
      <c r="AB29" s="134">
        <v>0</v>
      </c>
      <c r="AD29" s="149"/>
      <c r="AE29" s="149"/>
    </row>
    <row r="30" spans="2:31">
      <c r="I30" s="131">
        <v>8</v>
      </c>
      <c r="N30" s="111" t="s">
        <v>100</v>
      </c>
      <c r="O30" s="189">
        <v>0</v>
      </c>
      <c r="P30" s="120">
        <v>5800</v>
      </c>
      <c r="Q30" s="121">
        <v>2800</v>
      </c>
      <c r="R30" s="121">
        <v>900</v>
      </c>
      <c r="S30" s="121">
        <v>300</v>
      </c>
      <c r="T30" s="121">
        <v>20</v>
      </c>
      <c r="U30" s="121">
        <v>20</v>
      </c>
      <c r="V30" s="121">
        <v>5</v>
      </c>
      <c r="W30" s="121">
        <v>5</v>
      </c>
      <c r="X30" s="121">
        <v>5</v>
      </c>
      <c r="Y30" s="121">
        <v>70</v>
      </c>
      <c r="Z30" s="121">
        <v>5</v>
      </c>
      <c r="AA30" s="121">
        <v>70</v>
      </c>
      <c r="AB30" s="134">
        <v>10.737500000000001</v>
      </c>
    </row>
    <row r="31" spans="2:31">
      <c r="I31" s="131">
        <v>10</v>
      </c>
      <c r="N31" s="111" t="s">
        <v>101</v>
      </c>
      <c r="O31" s="189">
        <v>0</v>
      </c>
      <c r="P31" s="120">
        <v>5880</v>
      </c>
      <c r="Q31" s="121">
        <v>2800</v>
      </c>
      <c r="R31" s="121">
        <v>900</v>
      </c>
      <c r="S31" s="121">
        <v>300</v>
      </c>
      <c r="T31" s="121">
        <v>20</v>
      </c>
      <c r="U31" s="121">
        <v>20</v>
      </c>
      <c r="V31" s="121">
        <v>5</v>
      </c>
      <c r="W31" s="121">
        <v>5</v>
      </c>
      <c r="X31" s="121">
        <v>5</v>
      </c>
      <c r="Y31" s="121">
        <v>30</v>
      </c>
      <c r="Z31" s="121">
        <v>5</v>
      </c>
      <c r="AA31" s="121">
        <v>30</v>
      </c>
      <c r="AB31" s="134">
        <v>6.3535000000000004</v>
      </c>
      <c r="AD31" s="149"/>
      <c r="AE31" s="149"/>
    </row>
    <row r="32" spans="2:31">
      <c r="I32" s="131">
        <v>15</v>
      </c>
      <c r="N32" s="111" t="s">
        <v>102</v>
      </c>
      <c r="O32" s="189">
        <v>0</v>
      </c>
      <c r="P32" s="120">
        <v>5900</v>
      </c>
      <c r="Q32" s="121">
        <v>2800</v>
      </c>
      <c r="R32" s="121">
        <v>900</v>
      </c>
      <c r="S32" s="121">
        <v>300</v>
      </c>
      <c r="T32" s="121">
        <v>20</v>
      </c>
      <c r="U32" s="121">
        <v>20</v>
      </c>
      <c r="V32" s="121">
        <v>5</v>
      </c>
      <c r="W32" s="121">
        <v>5</v>
      </c>
      <c r="X32" s="121">
        <v>5</v>
      </c>
      <c r="Y32" s="121">
        <v>20</v>
      </c>
      <c r="Z32" s="121">
        <v>5</v>
      </c>
      <c r="AA32" s="121">
        <v>20</v>
      </c>
      <c r="AB32" s="134">
        <v>5.2575000000000003</v>
      </c>
      <c r="AD32" s="149"/>
      <c r="AE32" s="149"/>
    </row>
    <row r="33" spans="9:31">
      <c r="I33" s="131">
        <v>20</v>
      </c>
      <c r="N33" s="111" t="s">
        <v>112</v>
      </c>
      <c r="O33" s="189">
        <v>10000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  <c r="U33" s="189">
        <v>0</v>
      </c>
      <c r="V33" s="189">
        <v>0</v>
      </c>
      <c r="W33" s="189">
        <v>0</v>
      </c>
      <c r="X33" s="189">
        <v>0</v>
      </c>
      <c r="Y33" s="189">
        <v>0</v>
      </c>
      <c r="Z33" s="189">
        <v>0</v>
      </c>
      <c r="AA33" s="189">
        <v>0</v>
      </c>
      <c r="AB33" s="134">
        <v>0</v>
      </c>
      <c r="AD33" s="149"/>
      <c r="AE33" s="149"/>
    </row>
    <row r="34" spans="9:31">
      <c r="I34" s="131">
        <v>25</v>
      </c>
    </row>
    <row r="35" spans="9:31">
      <c r="I35" s="131">
        <v>50</v>
      </c>
    </row>
    <row r="36" spans="9:31">
      <c r="I36" s="131">
        <v>100</v>
      </c>
      <c r="N36" s="15" t="s">
        <v>108</v>
      </c>
    </row>
    <row r="37" spans="9:31">
      <c r="I37" s="131">
        <v>500</v>
      </c>
      <c r="N37" s="119" t="s">
        <v>104</v>
      </c>
      <c r="O37" s="119">
        <v>0</v>
      </c>
      <c r="P37" s="119">
        <v>2</v>
      </c>
      <c r="Q37" s="119">
        <v>3</v>
      </c>
      <c r="R37" s="119">
        <v>5</v>
      </c>
      <c r="S37" s="119">
        <v>8</v>
      </c>
      <c r="T37" s="119">
        <v>10</v>
      </c>
      <c r="U37" s="119">
        <v>15</v>
      </c>
      <c r="V37" s="119">
        <v>20</v>
      </c>
      <c r="W37" s="119">
        <v>25</v>
      </c>
      <c r="X37" s="119">
        <v>50</v>
      </c>
      <c r="Y37" s="119">
        <v>100</v>
      </c>
      <c r="Z37" s="119">
        <v>500</v>
      </c>
      <c r="AA37" s="119">
        <v>1000</v>
      </c>
    </row>
    <row r="38" spans="9:31">
      <c r="I38" s="131">
        <v>1000</v>
      </c>
      <c r="N38" s="111" t="s">
        <v>97</v>
      </c>
      <c r="O38" s="120">
        <v>8500</v>
      </c>
      <c r="P38" s="120">
        <v>500</v>
      </c>
      <c r="Q38" s="120">
        <v>400</v>
      </c>
      <c r="R38" s="120">
        <v>300</v>
      </c>
      <c r="S38" s="120">
        <v>300</v>
      </c>
      <c r="T38" s="189">
        <v>0</v>
      </c>
      <c r="U38" s="189">
        <v>0</v>
      </c>
      <c r="V38" s="189">
        <v>0</v>
      </c>
      <c r="W38" s="189">
        <v>0</v>
      </c>
      <c r="X38" s="189">
        <v>0</v>
      </c>
      <c r="Y38" s="189">
        <v>0</v>
      </c>
      <c r="Z38" s="189">
        <v>0</v>
      </c>
      <c r="AA38" s="189">
        <v>0</v>
      </c>
      <c r="AB38" s="134">
        <v>4.0666666666666664</v>
      </c>
      <c r="AC38" s="134"/>
      <c r="AD38" s="149"/>
      <c r="AE38" s="149"/>
    </row>
    <row r="39" spans="9:31">
      <c r="N39" s="111" t="s">
        <v>98</v>
      </c>
      <c r="O39" s="120">
        <v>8500</v>
      </c>
      <c r="P39" s="120">
        <v>500</v>
      </c>
      <c r="Q39" s="120">
        <v>400</v>
      </c>
      <c r="R39" s="120">
        <v>300</v>
      </c>
      <c r="S39" s="120">
        <v>300</v>
      </c>
      <c r="T39" s="189">
        <v>0</v>
      </c>
      <c r="U39" s="189">
        <v>0</v>
      </c>
      <c r="V39" s="189">
        <v>0</v>
      </c>
      <c r="W39" s="189">
        <v>0</v>
      </c>
      <c r="X39" s="189">
        <v>0</v>
      </c>
      <c r="Y39" s="189">
        <v>0</v>
      </c>
      <c r="Z39" s="189">
        <v>0</v>
      </c>
      <c r="AA39" s="189">
        <v>0</v>
      </c>
      <c r="AB39" s="134">
        <v>4.0666666666666664</v>
      </c>
      <c r="AC39" s="134"/>
      <c r="AD39" s="149"/>
      <c r="AE39" s="149"/>
    </row>
    <row r="40" spans="9:31">
      <c r="N40" s="111" t="s">
        <v>113</v>
      </c>
      <c r="O40" s="121">
        <v>8500</v>
      </c>
      <c r="P40" s="120">
        <v>500</v>
      </c>
      <c r="Q40" s="120">
        <v>400</v>
      </c>
      <c r="R40" s="120">
        <v>300</v>
      </c>
      <c r="S40" s="120">
        <v>300</v>
      </c>
      <c r="T40" s="189">
        <v>0</v>
      </c>
      <c r="U40" s="189">
        <v>0</v>
      </c>
      <c r="V40" s="189">
        <v>0</v>
      </c>
      <c r="W40" s="189">
        <v>0</v>
      </c>
      <c r="X40" s="189">
        <v>0</v>
      </c>
      <c r="Y40" s="189">
        <v>0</v>
      </c>
      <c r="Z40" s="189">
        <v>0</v>
      </c>
      <c r="AA40" s="189">
        <v>0</v>
      </c>
      <c r="AB40" s="134">
        <v>4.0666666666666664</v>
      </c>
      <c r="AC40" s="134"/>
      <c r="AD40" s="149"/>
      <c r="AE40" s="149"/>
    </row>
    <row r="41" spans="9:31">
      <c r="I41" s="15" t="s">
        <v>120</v>
      </c>
      <c r="N41" s="111" t="s">
        <v>100</v>
      </c>
      <c r="O41" s="121">
        <v>6710</v>
      </c>
      <c r="P41" s="120">
        <v>2100</v>
      </c>
      <c r="Q41" s="120">
        <v>860</v>
      </c>
      <c r="R41" s="121">
        <v>220</v>
      </c>
      <c r="S41" s="121">
        <v>110</v>
      </c>
      <c r="T41" s="190">
        <v>0</v>
      </c>
      <c r="U41" s="190">
        <v>0</v>
      </c>
      <c r="V41" s="190">
        <v>0</v>
      </c>
      <c r="W41" s="190">
        <v>0</v>
      </c>
      <c r="X41" s="190">
        <v>0</v>
      </c>
      <c r="Y41" s="190">
        <v>0</v>
      </c>
      <c r="Z41" s="190">
        <v>0</v>
      </c>
      <c r="AA41" s="190">
        <v>0</v>
      </c>
      <c r="AB41" s="134">
        <v>2.6626139817629175</v>
      </c>
      <c r="AC41" s="134"/>
      <c r="AD41" s="149"/>
      <c r="AE41" s="149"/>
    </row>
    <row r="42" spans="9:31">
      <c r="I42" s="118"/>
      <c r="J42" s="119" t="s">
        <v>121</v>
      </c>
      <c r="K42" s="119" t="s">
        <v>89</v>
      </c>
      <c r="N42" s="111" t="s">
        <v>101</v>
      </c>
      <c r="O42" s="121">
        <v>6710</v>
      </c>
      <c r="P42" s="120">
        <v>2100</v>
      </c>
      <c r="Q42" s="120">
        <v>860</v>
      </c>
      <c r="R42" s="121">
        <v>220</v>
      </c>
      <c r="S42" s="121">
        <v>110</v>
      </c>
      <c r="T42" s="190">
        <v>0</v>
      </c>
      <c r="U42" s="190">
        <v>0</v>
      </c>
      <c r="V42" s="190">
        <v>0</v>
      </c>
      <c r="W42" s="190">
        <v>0</v>
      </c>
      <c r="X42" s="190">
        <v>0</v>
      </c>
      <c r="Y42" s="190">
        <v>0</v>
      </c>
      <c r="Z42" s="190">
        <v>0</v>
      </c>
      <c r="AA42" s="190">
        <v>0</v>
      </c>
      <c r="AB42" s="134">
        <v>2.6626139817629175</v>
      </c>
      <c r="AC42" s="134"/>
      <c r="AD42" s="149"/>
      <c r="AE42" s="149"/>
    </row>
    <row r="43" spans="9:31">
      <c r="I43" s="111" t="s">
        <v>43</v>
      </c>
      <c r="J43" s="120">
        <v>10</v>
      </c>
      <c r="K43" s="120">
        <v>0</v>
      </c>
      <c r="N43" s="111" t="s">
        <v>102</v>
      </c>
      <c r="O43" s="121">
        <v>6710</v>
      </c>
      <c r="P43" s="120">
        <v>2100</v>
      </c>
      <c r="Q43" s="120">
        <v>860</v>
      </c>
      <c r="R43" s="121">
        <v>220</v>
      </c>
      <c r="S43" s="121">
        <v>110</v>
      </c>
      <c r="T43" s="190">
        <v>0</v>
      </c>
      <c r="U43" s="190">
        <v>0</v>
      </c>
      <c r="V43" s="190">
        <v>0</v>
      </c>
      <c r="W43" s="190">
        <v>0</v>
      </c>
      <c r="X43" s="190">
        <v>0</v>
      </c>
      <c r="Y43" s="190">
        <v>0</v>
      </c>
      <c r="Z43" s="190">
        <v>0</v>
      </c>
      <c r="AA43" s="190">
        <v>0</v>
      </c>
      <c r="AB43" s="134">
        <v>2.6626139817629175</v>
      </c>
      <c r="AC43" s="134"/>
      <c r="AD43" s="149"/>
      <c r="AE43" s="149"/>
    </row>
    <row r="44" spans="9:31">
      <c r="I44" s="111" t="s">
        <v>44</v>
      </c>
      <c r="J44" s="121">
        <v>10</v>
      </c>
      <c r="K44" s="121">
        <v>0</v>
      </c>
      <c r="N44" s="111" t="s">
        <v>112</v>
      </c>
      <c r="O44" s="190">
        <v>10000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0</v>
      </c>
      <c r="W44" s="189">
        <v>0</v>
      </c>
      <c r="X44" s="189">
        <v>0</v>
      </c>
      <c r="Y44" s="189">
        <v>0</v>
      </c>
      <c r="Z44" s="189">
        <v>0</v>
      </c>
      <c r="AA44" s="189">
        <v>0</v>
      </c>
      <c r="AB44" s="134" t="e">
        <v>#DIV/0!</v>
      </c>
      <c r="AC44" s="134"/>
      <c r="AD44" s="149"/>
      <c r="AE44" s="149"/>
    </row>
    <row r="46" spans="9:31">
      <c r="P46" s="155"/>
      <c r="Q46" s="155"/>
      <c r="R46" s="155"/>
      <c r="S46" s="155"/>
    </row>
    <row r="47" spans="9:31">
      <c r="N47" s="15" t="s">
        <v>107</v>
      </c>
    </row>
    <row r="48" spans="9:31">
      <c r="N48" s="119" t="s">
        <v>104</v>
      </c>
      <c r="O48" s="119">
        <v>0</v>
      </c>
      <c r="P48" s="119">
        <v>2</v>
      </c>
      <c r="Q48" s="119">
        <v>3</v>
      </c>
      <c r="R48" s="119">
        <v>5</v>
      </c>
      <c r="S48" s="119">
        <v>8</v>
      </c>
      <c r="T48" s="119">
        <v>10</v>
      </c>
      <c r="U48" s="119">
        <v>15</v>
      </c>
      <c r="V48" s="119">
        <v>20</v>
      </c>
      <c r="W48" s="119">
        <v>25</v>
      </c>
      <c r="X48" s="119">
        <v>50</v>
      </c>
      <c r="Y48" s="119">
        <v>100</v>
      </c>
      <c r="Z48" s="119">
        <v>500</v>
      </c>
      <c r="AA48" s="119">
        <v>1000</v>
      </c>
    </row>
    <row r="49" spans="14:31">
      <c r="N49" s="111" t="s">
        <v>97</v>
      </c>
      <c r="O49" s="120">
        <v>8400</v>
      </c>
      <c r="P49" s="120">
        <v>500</v>
      </c>
      <c r="Q49" s="120">
        <v>400</v>
      </c>
      <c r="R49" s="120">
        <v>300</v>
      </c>
      <c r="S49" s="120">
        <v>300</v>
      </c>
      <c r="T49" s="121">
        <v>20</v>
      </c>
      <c r="U49" s="121">
        <v>20</v>
      </c>
      <c r="V49" s="121">
        <v>5</v>
      </c>
      <c r="W49" s="121">
        <v>5</v>
      </c>
      <c r="X49" s="121">
        <v>5</v>
      </c>
      <c r="Y49" s="121">
        <v>20</v>
      </c>
      <c r="Z49" s="121">
        <v>5</v>
      </c>
      <c r="AA49" s="121">
        <v>20</v>
      </c>
      <c r="AB49" s="134">
        <v>19.734375</v>
      </c>
      <c r="AC49" s="134"/>
      <c r="AD49" s="149"/>
      <c r="AE49" s="149"/>
    </row>
    <row r="50" spans="14:31">
      <c r="N50" s="111" t="s">
        <v>98</v>
      </c>
      <c r="O50" s="120">
        <v>8400</v>
      </c>
      <c r="P50" s="120">
        <v>500</v>
      </c>
      <c r="Q50" s="120">
        <v>400</v>
      </c>
      <c r="R50" s="120">
        <v>300</v>
      </c>
      <c r="S50" s="120">
        <v>300</v>
      </c>
      <c r="T50" s="121">
        <v>20</v>
      </c>
      <c r="U50" s="121">
        <v>20</v>
      </c>
      <c r="V50" s="121">
        <v>5</v>
      </c>
      <c r="W50" s="121">
        <v>5</v>
      </c>
      <c r="X50" s="121">
        <v>5</v>
      </c>
      <c r="Y50" s="121">
        <v>20</v>
      </c>
      <c r="Z50" s="121">
        <v>5</v>
      </c>
      <c r="AA50" s="121">
        <v>20</v>
      </c>
      <c r="AB50" s="134">
        <v>19.734375</v>
      </c>
      <c r="AC50" s="134"/>
      <c r="AD50" s="149"/>
      <c r="AE50" s="149"/>
    </row>
    <row r="51" spans="14:31">
      <c r="N51" s="111" t="s">
        <v>113</v>
      </c>
      <c r="O51" s="120">
        <v>8500</v>
      </c>
      <c r="P51" s="120">
        <v>500</v>
      </c>
      <c r="Q51" s="120">
        <v>400</v>
      </c>
      <c r="R51" s="120">
        <v>300</v>
      </c>
      <c r="S51" s="120">
        <v>300</v>
      </c>
      <c r="T51" s="189">
        <v>0</v>
      </c>
      <c r="U51" s="189">
        <v>0</v>
      </c>
      <c r="V51" s="189">
        <v>0</v>
      </c>
      <c r="W51" s="189">
        <v>0</v>
      </c>
      <c r="X51" s="189">
        <v>0</v>
      </c>
      <c r="Y51" s="189">
        <v>0</v>
      </c>
      <c r="Z51" s="189">
        <v>0</v>
      </c>
      <c r="AA51" s="189">
        <v>0</v>
      </c>
      <c r="AB51" s="134">
        <v>4.0666666666666664</v>
      </c>
      <c r="AC51" s="134"/>
      <c r="AD51" s="149"/>
      <c r="AE51" s="149"/>
    </row>
    <row r="52" spans="14:31">
      <c r="N52" s="111" t="s">
        <v>100</v>
      </c>
      <c r="O52" s="120">
        <v>6550</v>
      </c>
      <c r="P52" s="120">
        <v>2000</v>
      </c>
      <c r="Q52" s="120">
        <v>1000</v>
      </c>
      <c r="R52" s="121">
        <v>200</v>
      </c>
      <c r="S52" s="121">
        <v>50</v>
      </c>
      <c r="T52" s="121">
        <v>20</v>
      </c>
      <c r="U52" s="121">
        <v>20</v>
      </c>
      <c r="V52" s="121">
        <v>5</v>
      </c>
      <c r="W52" s="121">
        <v>5</v>
      </c>
      <c r="X52" s="121">
        <v>5</v>
      </c>
      <c r="Y52" s="121">
        <v>70</v>
      </c>
      <c r="Z52" s="121">
        <v>5</v>
      </c>
      <c r="AA52" s="121">
        <v>70</v>
      </c>
      <c r="AB52" s="134">
        <v>25.760869565217391</v>
      </c>
      <c r="AC52" s="134"/>
      <c r="AD52" s="149"/>
      <c r="AE52" s="149"/>
    </row>
    <row r="53" spans="14:31">
      <c r="N53" s="111" t="s">
        <v>101</v>
      </c>
      <c r="O53" s="120">
        <v>6630</v>
      </c>
      <c r="P53" s="120">
        <v>2000</v>
      </c>
      <c r="Q53" s="120">
        <v>1000</v>
      </c>
      <c r="R53" s="121">
        <v>200</v>
      </c>
      <c r="S53" s="121">
        <v>50</v>
      </c>
      <c r="T53" s="121">
        <v>20</v>
      </c>
      <c r="U53" s="121">
        <v>20</v>
      </c>
      <c r="V53" s="121">
        <v>5</v>
      </c>
      <c r="W53" s="121">
        <v>5</v>
      </c>
      <c r="X53" s="121">
        <v>5</v>
      </c>
      <c r="Y53" s="121">
        <v>30</v>
      </c>
      <c r="Z53" s="121">
        <v>5</v>
      </c>
      <c r="AA53" s="121">
        <v>30</v>
      </c>
      <c r="AB53" s="134">
        <v>13.316023738872405</v>
      </c>
      <c r="AC53" s="134"/>
      <c r="AD53" s="149"/>
      <c r="AE53" s="149"/>
    </row>
    <row r="54" spans="14:31">
      <c r="N54" s="111" t="s">
        <v>102</v>
      </c>
      <c r="O54" s="120">
        <v>6650</v>
      </c>
      <c r="P54" s="120">
        <v>2000</v>
      </c>
      <c r="Q54" s="120">
        <v>1000</v>
      </c>
      <c r="R54" s="121">
        <v>200</v>
      </c>
      <c r="S54" s="121">
        <v>50</v>
      </c>
      <c r="T54" s="121">
        <v>20</v>
      </c>
      <c r="U54" s="121">
        <v>20</v>
      </c>
      <c r="V54" s="121">
        <v>5</v>
      </c>
      <c r="W54" s="121">
        <v>5</v>
      </c>
      <c r="X54" s="121">
        <v>5</v>
      </c>
      <c r="Y54" s="121">
        <v>20</v>
      </c>
      <c r="Z54" s="121">
        <v>5</v>
      </c>
      <c r="AA54" s="121">
        <v>20</v>
      </c>
      <c r="AB54" s="134">
        <v>10.111940298507463</v>
      </c>
      <c r="AC54" s="134"/>
      <c r="AD54" s="149"/>
      <c r="AE54" s="149"/>
    </row>
    <row r="55" spans="14:31">
      <c r="N55" s="111" t="s">
        <v>112</v>
      </c>
      <c r="O55" s="190">
        <v>10000</v>
      </c>
      <c r="P55" s="189">
        <v>0</v>
      </c>
      <c r="Q55" s="189">
        <v>0</v>
      </c>
      <c r="R55" s="189">
        <v>0</v>
      </c>
      <c r="S55" s="189">
        <v>0</v>
      </c>
      <c r="T55" s="189">
        <v>0</v>
      </c>
      <c r="U55" s="189">
        <v>0</v>
      </c>
      <c r="V55" s="189">
        <v>0</v>
      </c>
      <c r="W55" s="189">
        <v>0</v>
      </c>
      <c r="X55" s="189">
        <v>0</v>
      </c>
      <c r="Y55" s="189">
        <v>0</v>
      </c>
      <c r="Z55" s="189">
        <v>0</v>
      </c>
      <c r="AA55" s="189">
        <v>0</v>
      </c>
      <c r="AB55" s="134" t="e">
        <v>#DIV/0!</v>
      </c>
      <c r="AC55" s="134"/>
      <c r="AD55" s="149"/>
      <c r="AE55" s="149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B2" s="15" t="s">
        <v>17</v>
      </c>
      <c r="C2" s="15" t="s">
        <v>261</v>
      </c>
      <c r="D2" s="15" t="s">
        <v>261</v>
      </c>
      <c r="E2" s="15" t="s">
        <v>261</v>
      </c>
      <c r="F2" s="15" t="s">
        <v>261</v>
      </c>
      <c r="G2" s="15" t="s">
        <v>260</v>
      </c>
      <c r="H2" s="15" t="s">
        <v>260</v>
      </c>
      <c r="I2" s="15" t="s">
        <v>260</v>
      </c>
      <c r="J2" s="15" t="s">
        <v>260</v>
      </c>
      <c r="K2" s="15" t="s">
        <v>260</v>
      </c>
    </row>
    <row r="3" spans="2:11">
      <c r="B3" s="119" t="s">
        <v>296</v>
      </c>
      <c r="C3" s="119" t="s">
        <v>263</v>
      </c>
      <c r="D3" s="119" t="s">
        <v>264</v>
      </c>
      <c r="E3" s="119" t="s">
        <v>265</v>
      </c>
      <c r="F3" s="119" t="s">
        <v>266</v>
      </c>
      <c r="G3" s="119" t="s">
        <v>263</v>
      </c>
      <c r="H3" s="119" t="s">
        <v>264</v>
      </c>
      <c r="I3" s="119" t="s">
        <v>265</v>
      </c>
      <c r="J3" s="119" t="s">
        <v>266</v>
      </c>
      <c r="K3" s="119" t="s">
        <v>267</v>
      </c>
    </row>
    <row r="4" spans="2:11">
      <c r="B4" s="166" t="s">
        <v>259</v>
      </c>
      <c r="C4" s="121" cm="1">
        <f t="array" ref="C4:C68">_xlfn.ANCHORARRAY(Multiplier_Weight_Newbie!L16)</f>
        <v>714982560</v>
      </c>
      <c r="D4" s="121" cm="1">
        <f t="array" ref="D4:D67">_xlfn.ANCHORARRAY(Multiplier_Weight_Newbie!L159)</f>
        <v>0</v>
      </c>
      <c r="E4" s="121" cm="1">
        <f t="array" ref="E4:E68">_xlfn.ANCHORARRAY(Multiplier_Weight_Newbie!L88)</f>
        <v>712373722</v>
      </c>
      <c r="F4" s="121" cm="1">
        <f t="array" ref="F4:F67">_xlfn.ANCHORARRAY(Multiplier_Weight_Newbie!L159)</f>
        <v>0</v>
      </c>
      <c r="G4" s="179" cm="1">
        <f t="array" ref="G4:G68">_xlfn.ANCHORARRAY(Multiplier_Weight_Oldhand!L16)</f>
        <v>715922996</v>
      </c>
      <c r="H4" s="179" cm="1">
        <f t="array" ref="H4:H67">_xlfn.ANCHORARRAY(Multiplier_Weight_Oldhand!L159)</f>
        <v>0</v>
      </c>
      <c r="I4" s="179" cm="1">
        <f t="array" ref="I4:I68">_xlfn.ANCHORARRAY(Multiplier_Weight_Oldhand!L88)</f>
        <v>711945709</v>
      </c>
      <c r="J4" s="179" cm="1">
        <f t="array" ref="J4:J67">_xlfn.ANCHORARRAY(Multiplier_Weight_Oldhand!L159)</f>
        <v>0</v>
      </c>
      <c r="K4" s="179" cm="1">
        <f t="array" ref="K4:K67">_xlfn.ANCHORARRAY(Multiplier_Weight_Oldhand!L229)</f>
        <v>0</v>
      </c>
    </row>
    <row r="5" spans="2:11">
      <c r="B5" s="166" t="s">
        <v>258</v>
      </c>
      <c r="C5" s="121">
        <v>160158655</v>
      </c>
      <c r="D5" s="121">
        <v>0</v>
      </c>
      <c r="E5" s="121">
        <v>157929170</v>
      </c>
      <c r="F5" s="121">
        <v>0</v>
      </c>
      <c r="G5" s="179">
        <v>160369316</v>
      </c>
      <c r="H5" s="179">
        <v>0</v>
      </c>
      <c r="I5" s="179">
        <v>157834282</v>
      </c>
      <c r="J5" s="179">
        <v>0</v>
      </c>
      <c r="K5" s="179">
        <v>0</v>
      </c>
    </row>
    <row r="6" spans="2:11">
      <c r="B6" s="166" t="s">
        <v>257</v>
      </c>
      <c r="C6" s="121">
        <v>45291493</v>
      </c>
      <c r="D6" s="121">
        <v>0</v>
      </c>
      <c r="E6" s="121">
        <v>44320090</v>
      </c>
      <c r="F6" s="121">
        <v>0</v>
      </c>
      <c r="G6" s="179">
        <v>45351066</v>
      </c>
      <c r="H6" s="179">
        <v>0</v>
      </c>
      <c r="I6" s="179">
        <v>44293462</v>
      </c>
      <c r="J6" s="179">
        <v>0</v>
      </c>
      <c r="K6" s="179">
        <v>0</v>
      </c>
    </row>
    <row r="7" spans="2:11">
      <c r="B7" s="166" t="s">
        <v>256</v>
      </c>
      <c r="C7" s="121">
        <v>21474133</v>
      </c>
      <c r="D7" s="121">
        <v>0</v>
      </c>
      <c r="E7" s="121">
        <v>21015991</v>
      </c>
      <c r="F7" s="121">
        <v>0</v>
      </c>
      <c r="G7" s="179">
        <v>21502379</v>
      </c>
      <c r="H7" s="179">
        <v>0</v>
      </c>
      <c r="I7" s="179">
        <v>21003364</v>
      </c>
      <c r="J7" s="179">
        <v>0</v>
      </c>
      <c r="K7" s="179">
        <v>0</v>
      </c>
    </row>
    <row r="8" spans="2:11">
      <c r="B8" s="166" t="s">
        <v>255</v>
      </c>
      <c r="C8" s="121">
        <v>11563125</v>
      </c>
      <c r="D8" s="121">
        <v>0</v>
      </c>
      <c r="E8" s="121">
        <v>8551620</v>
      </c>
      <c r="F8" s="121">
        <v>0</v>
      </c>
      <c r="G8" s="179">
        <v>11578334</v>
      </c>
      <c r="H8" s="179">
        <v>0</v>
      </c>
      <c r="I8" s="179">
        <v>8546482</v>
      </c>
      <c r="J8" s="179">
        <v>0</v>
      </c>
      <c r="K8" s="179">
        <v>0</v>
      </c>
    </row>
    <row r="9" spans="2:11">
      <c r="B9" s="166" t="s">
        <v>254</v>
      </c>
      <c r="C9" s="121">
        <v>9108389</v>
      </c>
      <c r="D9" s="121">
        <v>0</v>
      </c>
      <c r="E9" s="121">
        <v>6708476</v>
      </c>
      <c r="F9" s="121">
        <v>0</v>
      </c>
      <c r="G9" s="179">
        <v>9120370</v>
      </c>
      <c r="H9" s="179">
        <v>0</v>
      </c>
      <c r="I9" s="179">
        <v>6704446</v>
      </c>
      <c r="J9" s="179">
        <v>0</v>
      </c>
      <c r="K9" s="179">
        <v>0</v>
      </c>
    </row>
    <row r="10" spans="2:11">
      <c r="B10" s="166" t="s">
        <v>253</v>
      </c>
      <c r="C10" s="121">
        <v>7949728</v>
      </c>
      <c r="D10" s="121">
        <v>0</v>
      </c>
      <c r="E10" s="121">
        <v>5440871</v>
      </c>
      <c r="F10" s="121">
        <v>0</v>
      </c>
      <c r="G10" s="179">
        <v>7554765</v>
      </c>
      <c r="H10" s="179">
        <v>0</v>
      </c>
      <c r="I10" s="179">
        <v>5528426</v>
      </c>
      <c r="J10" s="179">
        <v>0</v>
      </c>
      <c r="K10" s="179">
        <v>0</v>
      </c>
    </row>
    <row r="11" spans="2:11">
      <c r="B11" s="184" t="s">
        <v>252</v>
      </c>
      <c r="C11" s="121">
        <v>3671230</v>
      </c>
      <c r="D11" s="121">
        <v>0</v>
      </c>
      <c r="E11" s="121">
        <v>3329350</v>
      </c>
      <c r="F11" s="121">
        <v>0</v>
      </c>
      <c r="G11" s="179">
        <v>3488834</v>
      </c>
      <c r="H11" s="179">
        <v>0</v>
      </c>
      <c r="I11" s="179">
        <v>3382926</v>
      </c>
      <c r="J11" s="179">
        <v>0</v>
      </c>
      <c r="K11" s="179">
        <v>0</v>
      </c>
    </row>
    <row r="12" spans="2:11">
      <c r="B12" s="184" t="s">
        <v>251</v>
      </c>
      <c r="C12" s="121">
        <v>3128381</v>
      </c>
      <c r="D12" s="121">
        <v>0</v>
      </c>
      <c r="E12" s="121">
        <v>2832078</v>
      </c>
      <c r="F12" s="121">
        <v>0</v>
      </c>
      <c r="G12" s="179">
        <v>2972955</v>
      </c>
      <c r="H12" s="179">
        <v>0</v>
      </c>
      <c r="I12" s="179">
        <v>2877652</v>
      </c>
      <c r="J12" s="179">
        <v>0</v>
      </c>
      <c r="K12" s="179">
        <v>0</v>
      </c>
    </row>
    <row r="13" spans="2:11">
      <c r="B13" s="184" t="s">
        <v>250</v>
      </c>
      <c r="C13" s="121">
        <v>2833105</v>
      </c>
      <c r="D13" s="121">
        <v>0</v>
      </c>
      <c r="E13" s="121">
        <v>2549049</v>
      </c>
      <c r="F13" s="121">
        <v>0</v>
      </c>
      <c r="G13" s="179">
        <v>2692349</v>
      </c>
      <c r="H13" s="179">
        <v>0</v>
      </c>
      <c r="I13" s="179">
        <v>2590069</v>
      </c>
      <c r="J13" s="179">
        <v>0</v>
      </c>
      <c r="K13" s="179">
        <v>0</v>
      </c>
    </row>
    <row r="14" spans="2:11">
      <c r="B14" s="184" t="s">
        <v>249</v>
      </c>
      <c r="C14" s="121">
        <v>2525352</v>
      </c>
      <c r="D14" s="121">
        <v>0</v>
      </c>
      <c r="E14" s="121">
        <v>2289719</v>
      </c>
      <c r="F14" s="121">
        <v>0</v>
      </c>
      <c r="G14" s="179">
        <v>2399886</v>
      </c>
      <c r="H14" s="179">
        <v>0</v>
      </c>
      <c r="I14" s="179">
        <v>2326565</v>
      </c>
      <c r="J14" s="179">
        <v>0</v>
      </c>
      <c r="K14" s="179">
        <v>0</v>
      </c>
    </row>
    <row r="15" spans="2:11">
      <c r="B15" s="184" t="s">
        <v>248</v>
      </c>
      <c r="C15" s="121">
        <v>3452326</v>
      </c>
      <c r="D15" s="121">
        <v>123594578</v>
      </c>
      <c r="E15" s="121">
        <v>3024773</v>
      </c>
      <c r="F15" s="121">
        <v>123594578</v>
      </c>
      <c r="G15" s="179">
        <v>3280806</v>
      </c>
      <c r="H15" s="179">
        <v>140656533</v>
      </c>
      <c r="I15" s="179">
        <v>3073448</v>
      </c>
      <c r="J15" s="179">
        <v>140656533</v>
      </c>
      <c r="K15" s="179">
        <v>124227685</v>
      </c>
    </row>
    <row r="16" spans="2:11">
      <c r="B16" s="184" t="s">
        <v>247</v>
      </c>
      <c r="C16" s="121">
        <v>5465497</v>
      </c>
      <c r="D16" s="121">
        <v>122562797</v>
      </c>
      <c r="E16" s="121">
        <v>3935552</v>
      </c>
      <c r="F16" s="121">
        <v>122562797</v>
      </c>
      <c r="G16" s="179">
        <v>5193957</v>
      </c>
      <c r="H16" s="179">
        <v>139482317</v>
      </c>
      <c r="I16" s="179">
        <v>3998883</v>
      </c>
      <c r="J16" s="179">
        <v>139482317</v>
      </c>
      <c r="K16" s="179">
        <v>123193249</v>
      </c>
    </row>
    <row r="17" spans="2:11">
      <c r="B17" s="184" t="s">
        <v>246</v>
      </c>
      <c r="C17" s="121">
        <v>1804950</v>
      </c>
      <c r="D17" s="121">
        <v>123203727</v>
      </c>
      <c r="E17" s="121">
        <v>1650173</v>
      </c>
      <c r="F17" s="121">
        <v>123203727</v>
      </c>
      <c r="G17" s="179">
        <v>1715276</v>
      </c>
      <c r="H17" s="179">
        <v>140211727</v>
      </c>
      <c r="I17" s="179">
        <v>1676728</v>
      </c>
      <c r="J17" s="179">
        <v>140211727</v>
      </c>
      <c r="K17" s="179">
        <v>123820857</v>
      </c>
    </row>
    <row r="18" spans="2:11">
      <c r="B18" s="184" t="s">
        <v>245</v>
      </c>
      <c r="C18" s="121">
        <v>535473</v>
      </c>
      <c r="D18" s="121">
        <v>122792228</v>
      </c>
      <c r="E18" s="121">
        <v>660900</v>
      </c>
      <c r="F18" s="121">
        <v>122792228</v>
      </c>
      <c r="G18" s="179">
        <v>508869</v>
      </c>
      <c r="H18" s="179">
        <v>139743420</v>
      </c>
      <c r="I18" s="179">
        <v>671536</v>
      </c>
      <c r="J18" s="179">
        <v>139743420</v>
      </c>
      <c r="K18" s="179">
        <v>123451025</v>
      </c>
    </row>
    <row r="19" spans="2:11">
      <c r="B19" s="184" t="s">
        <v>244</v>
      </c>
      <c r="C19" s="121">
        <v>441416</v>
      </c>
      <c r="D19" s="121">
        <v>32329589</v>
      </c>
      <c r="E19" s="121">
        <v>550314</v>
      </c>
      <c r="F19" s="121">
        <v>32329589</v>
      </c>
      <c r="G19" s="179">
        <v>419485</v>
      </c>
      <c r="H19" s="179">
        <v>36792617</v>
      </c>
      <c r="I19" s="179">
        <v>559170</v>
      </c>
      <c r="J19" s="179">
        <v>36792617</v>
      </c>
      <c r="K19" s="179">
        <v>32672669</v>
      </c>
    </row>
    <row r="20" spans="2:11">
      <c r="B20" s="184" t="s">
        <v>243</v>
      </c>
      <c r="C20" s="121">
        <v>571577</v>
      </c>
      <c r="D20" s="121">
        <v>26337230</v>
      </c>
      <c r="E20" s="121">
        <v>950115</v>
      </c>
      <c r="F20" s="121">
        <v>26337230</v>
      </c>
      <c r="G20" s="179">
        <v>543179</v>
      </c>
      <c r="H20" s="179">
        <v>29973026</v>
      </c>
      <c r="I20" s="179">
        <v>965405</v>
      </c>
      <c r="J20" s="179">
        <v>29973026</v>
      </c>
      <c r="K20" s="179">
        <v>26641369</v>
      </c>
    </row>
    <row r="21" spans="2:11">
      <c r="B21" s="184" t="s">
        <v>242</v>
      </c>
      <c r="C21" s="121">
        <v>228440</v>
      </c>
      <c r="D21" s="121">
        <v>26024842</v>
      </c>
      <c r="E21" s="121">
        <v>208851</v>
      </c>
      <c r="F21" s="121">
        <v>26024842</v>
      </c>
      <c r="G21" s="179">
        <v>217091</v>
      </c>
      <c r="H21" s="179">
        <v>29617513</v>
      </c>
      <c r="I21" s="179">
        <v>212212</v>
      </c>
      <c r="J21" s="179">
        <v>29617513</v>
      </c>
      <c r="K21" s="179">
        <v>26317044</v>
      </c>
    </row>
    <row r="22" spans="2:11">
      <c r="B22" s="184" t="s">
        <v>241</v>
      </c>
      <c r="C22" s="121">
        <v>241351</v>
      </c>
      <c r="D22" s="121">
        <v>23803672</v>
      </c>
      <c r="E22" s="121">
        <v>209622</v>
      </c>
      <c r="F22" s="121">
        <v>23803672</v>
      </c>
      <c r="G22" s="179">
        <v>229360</v>
      </c>
      <c r="H22" s="179">
        <v>27089716</v>
      </c>
      <c r="I22" s="179">
        <v>212995</v>
      </c>
      <c r="J22" s="179">
        <v>27089716</v>
      </c>
      <c r="K22" s="179">
        <v>24088437</v>
      </c>
    </row>
    <row r="23" spans="2:11">
      <c r="B23" s="184" t="s">
        <v>240</v>
      </c>
      <c r="C23" s="121">
        <v>400734</v>
      </c>
      <c r="D23" s="121">
        <v>26569562</v>
      </c>
      <c r="E23" s="121">
        <v>622831</v>
      </c>
      <c r="F23" s="121">
        <v>26569562</v>
      </c>
      <c r="G23" s="179">
        <v>380825</v>
      </c>
      <c r="H23" s="179">
        <v>20696379</v>
      </c>
      <c r="I23" s="179">
        <v>632853</v>
      </c>
      <c r="J23" s="179">
        <v>20696379</v>
      </c>
      <c r="K23" s="179">
        <v>19407769</v>
      </c>
    </row>
    <row r="24" spans="2:11">
      <c r="B24" s="184" t="s">
        <v>239</v>
      </c>
      <c r="C24" s="121">
        <v>0</v>
      </c>
      <c r="D24" s="121">
        <v>78155280</v>
      </c>
      <c r="E24" s="121">
        <v>147022</v>
      </c>
      <c r="F24" s="121">
        <v>78155280</v>
      </c>
      <c r="G24" s="179">
        <v>152822</v>
      </c>
      <c r="H24" s="179">
        <v>60879109</v>
      </c>
      <c r="I24" s="179">
        <v>149388</v>
      </c>
      <c r="J24" s="179">
        <v>60879109</v>
      </c>
      <c r="K24" s="179">
        <v>63365378</v>
      </c>
    </row>
    <row r="25" spans="2:11">
      <c r="B25" s="184" t="s">
        <v>238</v>
      </c>
      <c r="C25" s="121">
        <v>0</v>
      </c>
      <c r="D25" s="121">
        <v>70183745</v>
      </c>
      <c r="E25" s="121">
        <v>129719</v>
      </c>
      <c r="F25" s="121">
        <v>70183745</v>
      </c>
      <c r="G25" s="179">
        <v>134837</v>
      </c>
      <c r="H25" s="179">
        <v>54669677</v>
      </c>
      <c r="I25" s="179">
        <v>131807</v>
      </c>
      <c r="J25" s="179">
        <v>54669677</v>
      </c>
      <c r="K25" s="179">
        <v>56902356</v>
      </c>
    </row>
    <row r="26" spans="2:11">
      <c r="B26" s="184" t="s">
        <v>237</v>
      </c>
      <c r="C26" s="121">
        <v>0</v>
      </c>
      <c r="D26" s="121">
        <v>35735988</v>
      </c>
      <c r="E26" s="121">
        <v>0</v>
      </c>
      <c r="F26" s="121">
        <v>35735988</v>
      </c>
      <c r="G26" s="179">
        <v>0</v>
      </c>
      <c r="H26" s="179">
        <v>27836573</v>
      </c>
      <c r="I26" s="179">
        <v>0</v>
      </c>
      <c r="J26" s="179">
        <v>27836573</v>
      </c>
      <c r="K26" s="179">
        <v>26064426</v>
      </c>
    </row>
    <row r="27" spans="2:11">
      <c r="B27" s="184" t="s">
        <v>236</v>
      </c>
      <c r="C27" s="121">
        <v>0</v>
      </c>
      <c r="D27" s="121">
        <v>31573791</v>
      </c>
      <c r="E27" s="121">
        <v>0</v>
      </c>
      <c r="F27" s="121">
        <v>31573791</v>
      </c>
      <c r="G27" s="179">
        <v>0</v>
      </c>
      <c r="H27" s="179">
        <v>24594426</v>
      </c>
      <c r="I27" s="179">
        <v>0</v>
      </c>
      <c r="J27" s="179">
        <v>24594426</v>
      </c>
      <c r="K27" s="179">
        <v>22954836</v>
      </c>
    </row>
    <row r="28" spans="2:11">
      <c r="B28" s="184" t="s">
        <v>235</v>
      </c>
      <c r="C28" s="121">
        <v>0</v>
      </c>
      <c r="D28" s="121">
        <v>49272774</v>
      </c>
      <c r="E28" s="121">
        <v>0</v>
      </c>
      <c r="F28" s="121">
        <v>49272774</v>
      </c>
      <c r="G28" s="179">
        <v>92672</v>
      </c>
      <c r="H28" s="179">
        <v>38381062</v>
      </c>
      <c r="I28" s="179">
        <v>124561</v>
      </c>
      <c r="J28" s="179">
        <v>38381062</v>
      </c>
      <c r="K28" s="179">
        <v>50934366</v>
      </c>
    </row>
    <row r="29" spans="2:11">
      <c r="B29" s="184" t="s">
        <v>234</v>
      </c>
      <c r="C29" s="121">
        <v>0</v>
      </c>
      <c r="D29" s="121">
        <v>21625110</v>
      </c>
      <c r="E29" s="121">
        <v>0</v>
      </c>
      <c r="F29" s="121">
        <v>21625110</v>
      </c>
      <c r="G29" s="179">
        <v>0</v>
      </c>
      <c r="H29" s="179">
        <v>16844894</v>
      </c>
      <c r="I29" s="179">
        <v>0</v>
      </c>
      <c r="J29" s="179">
        <v>16844894</v>
      </c>
      <c r="K29" s="179">
        <v>24236560</v>
      </c>
    </row>
    <row r="30" spans="2:11">
      <c r="B30" s="184" t="s">
        <v>233</v>
      </c>
      <c r="C30" s="121">
        <v>0</v>
      </c>
      <c r="D30" s="121">
        <v>33044234</v>
      </c>
      <c r="E30" s="121">
        <v>0</v>
      </c>
      <c r="F30" s="121">
        <v>33044234</v>
      </c>
      <c r="G30" s="179">
        <v>0</v>
      </c>
      <c r="H30" s="179">
        <v>25739829</v>
      </c>
      <c r="I30" s="179">
        <v>0</v>
      </c>
      <c r="J30" s="179">
        <v>25739829</v>
      </c>
      <c r="K30" s="179">
        <v>37715526</v>
      </c>
    </row>
    <row r="31" spans="2:11">
      <c r="B31" s="184" t="s">
        <v>232</v>
      </c>
      <c r="C31" s="121">
        <v>0</v>
      </c>
      <c r="D31" s="121">
        <v>9678601</v>
      </c>
      <c r="E31" s="121">
        <v>0</v>
      </c>
      <c r="F31" s="121">
        <v>9678601</v>
      </c>
      <c r="G31" s="179">
        <v>0</v>
      </c>
      <c r="H31" s="179">
        <v>7539153</v>
      </c>
      <c r="I31" s="179">
        <v>0</v>
      </c>
      <c r="J31" s="179">
        <v>7539153</v>
      </c>
      <c r="K31" s="179">
        <v>18571346</v>
      </c>
    </row>
    <row r="32" spans="2:11">
      <c r="B32" s="184" t="s">
        <v>231</v>
      </c>
      <c r="C32" s="121">
        <v>0</v>
      </c>
      <c r="D32" s="121">
        <v>8338397</v>
      </c>
      <c r="E32" s="121">
        <v>0</v>
      </c>
      <c r="F32" s="121">
        <v>8338397</v>
      </c>
      <c r="G32" s="179">
        <v>0</v>
      </c>
      <c r="H32" s="179">
        <v>6495200</v>
      </c>
      <c r="I32" s="179">
        <v>0</v>
      </c>
      <c r="J32" s="179">
        <v>6495200</v>
      </c>
      <c r="K32" s="179">
        <v>16121098</v>
      </c>
    </row>
    <row r="33" spans="2:11">
      <c r="B33" s="184" t="s">
        <v>230</v>
      </c>
      <c r="C33" s="121">
        <v>0</v>
      </c>
      <c r="D33" s="121">
        <v>23290565</v>
      </c>
      <c r="E33" s="121">
        <v>0</v>
      </c>
      <c r="F33" s="121">
        <v>23290565</v>
      </c>
      <c r="G33" s="179">
        <v>0</v>
      </c>
      <c r="H33" s="179">
        <v>18142202</v>
      </c>
      <c r="I33" s="179">
        <v>0</v>
      </c>
      <c r="J33" s="179">
        <v>18142202</v>
      </c>
      <c r="K33" s="179">
        <v>31471866</v>
      </c>
    </row>
    <row r="34" spans="2:11">
      <c r="B34" s="184" t="s">
        <v>229</v>
      </c>
      <c r="C34" s="121">
        <v>0</v>
      </c>
      <c r="D34" s="121">
        <v>6537346</v>
      </c>
      <c r="E34" s="121">
        <v>0</v>
      </c>
      <c r="F34" s="121">
        <v>6537346</v>
      </c>
      <c r="G34" s="179">
        <v>0</v>
      </c>
      <c r="H34" s="179">
        <v>5092270</v>
      </c>
      <c r="I34" s="179">
        <v>0</v>
      </c>
      <c r="J34" s="179">
        <v>5092270</v>
      </c>
      <c r="K34" s="179">
        <v>12367218</v>
      </c>
    </row>
    <row r="35" spans="2:11">
      <c r="B35" s="184" t="s">
        <v>228</v>
      </c>
      <c r="C35" s="121">
        <v>0</v>
      </c>
      <c r="D35" s="121">
        <v>5345932</v>
      </c>
      <c r="E35" s="121">
        <v>0</v>
      </c>
      <c r="F35" s="121">
        <v>5345932</v>
      </c>
      <c r="G35" s="179">
        <v>0</v>
      </c>
      <c r="H35" s="179">
        <v>4164218</v>
      </c>
      <c r="I35" s="179">
        <v>0</v>
      </c>
      <c r="J35" s="179">
        <v>4164218</v>
      </c>
      <c r="K35" s="179">
        <v>10293920</v>
      </c>
    </row>
    <row r="36" spans="2:11">
      <c r="B36" s="184" t="s">
        <v>227</v>
      </c>
      <c r="C36" s="121">
        <v>0</v>
      </c>
      <c r="D36" s="121">
        <v>0</v>
      </c>
      <c r="E36" s="121">
        <v>0</v>
      </c>
      <c r="F36" s="121">
        <v>0</v>
      </c>
      <c r="G36" s="179">
        <v>0</v>
      </c>
      <c r="H36" s="179">
        <v>473484</v>
      </c>
      <c r="I36" s="179">
        <v>0</v>
      </c>
      <c r="J36" s="179">
        <v>473484</v>
      </c>
      <c r="K36" s="179">
        <v>492821</v>
      </c>
    </row>
    <row r="37" spans="2:11">
      <c r="B37" s="184" t="s">
        <v>226</v>
      </c>
      <c r="C37" s="121">
        <v>0</v>
      </c>
      <c r="D37" s="121">
        <v>0</v>
      </c>
      <c r="E37" s="121">
        <v>0</v>
      </c>
      <c r="F37" s="121">
        <v>0</v>
      </c>
      <c r="G37" s="179">
        <v>0</v>
      </c>
      <c r="H37" s="179">
        <v>427360</v>
      </c>
      <c r="I37" s="179">
        <v>0</v>
      </c>
      <c r="J37" s="179">
        <v>427360</v>
      </c>
      <c r="K37" s="179">
        <v>444813</v>
      </c>
    </row>
    <row r="38" spans="2:11">
      <c r="B38" s="184" t="s">
        <v>225</v>
      </c>
      <c r="C38" s="121">
        <v>0</v>
      </c>
      <c r="D38" s="121">
        <v>0</v>
      </c>
      <c r="E38" s="121">
        <v>0</v>
      </c>
      <c r="F38" s="121">
        <v>0</v>
      </c>
      <c r="G38" s="179">
        <v>0</v>
      </c>
      <c r="H38" s="179">
        <v>384476</v>
      </c>
      <c r="I38" s="179">
        <v>0</v>
      </c>
      <c r="J38" s="179">
        <v>384476</v>
      </c>
      <c r="K38" s="179">
        <v>400178</v>
      </c>
    </row>
    <row r="39" spans="2:11">
      <c r="B39" s="184" t="s">
        <v>224</v>
      </c>
      <c r="C39" s="121">
        <v>0</v>
      </c>
      <c r="D39" s="121">
        <v>0</v>
      </c>
      <c r="E39" s="121">
        <v>0</v>
      </c>
      <c r="F39" s="121">
        <v>0</v>
      </c>
      <c r="G39" s="179">
        <v>0</v>
      </c>
      <c r="H39" s="179">
        <v>346085</v>
      </c>
      <c r="I39" s="179">
        <v>0</v>
      </c>
      <c r="J39" s="179">
        <v>346085</v>
      </c>
      <c r="K39" s="179">
        <v>360219</v>
      </c>
    </row>
    <row r="40" spans="2:11">
      <c r="B40" s="184" t="s">
        <v>223</v>
      </c>
      <c r="C40" s="121">
        <v>0</v>
      </c>
      <c r="D40" s="121">
        <v>0</v>
      </c>
      <c r="E40" s="121">
        <v>0</v>
      </c>
      <c r="F40" s="121">
        <v>0</v>
      </c>
      <c r="G40" s="179">
        <v>0</v>
      </c>
      <c r="H40" s="179">
        <v>310159</v>
      </c>
      <c r="I40" s="179">
        <v>0</v>
      </c>
      <c r="J40" s="179">
        <v>310159</v>
      </c>
      <c r="K40" s="179">
        <v>322826</v>
      </c>
    </row>
    <row r="41" spans="2:11">
      <c r="B41" s="184" t="s">
        <v>222</v>
      </c>
      <c r="C41" s="121">
        <v>0</v>
      </c>
      <c r="D41" s="121">
        <v>0</v>
      </c>
      <c r="E41" s="121">
        <v>0</v>
      </c>
      <c r="F41" s="121">
        <v>0</v>
      </c>
      <c r="G41" s="179">
        <v>0</v>
      </c>
      <c r="H41" s="179">
        <v>277500</v>
      </c>
      <c r="I41" s="179">
        <v>0</v>
      </c>
      <c r="J41" s="179">
        <v>277500</v>
      </c>
      <c r="K41" s="179">
        <v>288833</v>
      </c>
    </row>
    <row r="42" spans="2:11">
      <c r="B42" s="184" t="s">
        <v>221</v>
      </c>
      <c r="C42" s="121">
        <v>0</v>
      </c>
      <c r="D42" s="121">
        <v>0</v>
      </c>
      <c r="E42" s="121">
        <v>0</v>
      </c>
      <c r="F42" s="121">
        <v>0</v>
      </c>
      <c r="G42" s="179">
        <v>0</v>
      </c>
      <c r="H42" s="179">
        <v>249831</v>
      </c>
      <c r="I42" s="179">
        <v>0</v>
      </c>
      <c r="J42" s="179">
        <v>249831</v>
      </c>
      <c r="K42" s="179">
        <v>260034</v>
      </c>
    </row>
    <row r="43" spans="2:11">
      <c r="B43" s="184" t="s">
        <v>220</v>
      </c>
      <c r="C43" s="121">
        <v>0</v>
      </c>
      <c r="D43" s="121">
        <v>0</v>
      </c>
      <c r="E43" s="121">
        <v>0</v>
      </c>
      <c r="F43" s="121">
        <v>0</v>
      </c>
      <c r="G43" s="179">
        <v>0</v>
      </c>
      <c r="H43" s="179">
        <v>223926</v>
      </c>
      <c r="I43" s="179">
        <v>0</v>
      </c>
      <c r="J43" s="179">
        <v>223926</v>
      </c>
      <c r="K43" s="179">
        <v>233071</v>
      </c>
    </row>
    <row r="44" spans="2:11">
      <c r="B44" s="184" t="s">
        <v>219</v>
      </c>
      <c r="C44" s="121">
        <v>0</v>
      </c>
      <c r="D44" s="121">
        <v>0</v>
      </c>
      <c r="E44" s="121">
        <v>0</v>
      </c>
      <c r="F44" s="121">
        <v>0</v>
      </c>
      <c r="G44" s="179">
        <v>0</v>
      </c>
      <c r="H44" s="179">
        <v>201470</v>
      </c>
      <c r="I44" s="179">
        <v>0</v>
      </c>
      <c r="J44" s="179">
        <v>201470</v>
      </c>
      <c r="K44" s="179">
        <v>209698</v>
      </c>
    </row>
    <row r="45" spans="2:11">
      <c r="B45" s="184" t="s">
        <v>218</v>
      </c>
      <c r="C45" s="121">
        <v>0</v>
      </c>
      <c r="D45" s="121">
        <v>0</v>
      </c>
      <c r="E45" s="121">
        <v>0</v>
      </c>
      <c r="F45" s="121">
        <v>0</v>
      </c>
      <c r="G45" s="179">
        <v>0</v>
      </c>
      <c r="H45" s="179">
        <v>181111</v>
      </c>
      <c r="I45" s="179">
        <v>0</v>
      </c>
      <c r="J45" s="179">
        <v>181111</v>
      </c>
      <c r="K45" s="179">
        <v>188508</v>
      </c>
    </row>
    <row r="46" spans="2:11">
      <c r="B46" s="184" t="s">
        <v>217</v>
      </c>
      <c r="C46" s="121">
        <v>0</v>
      </c>
      <c r="D46" s="121">
        <v>0</v>
      </c>
      <c r="E46" s="121">
        <v>0</v>
      </c>
      <c r="F46" s="121">
        <v>0</v>
      </c>
      <c r="G46" s="179">
        <v>0</v>
      </c>
      <c r="H46" s="179">
        <v>163464</v>
      </c>
      <c r="I46" s="179">
        <v>0</v>
      </c>
      <c r="J46" s="179">
        <v>163464</v>
      </c>
      <c r="K46" s="179">
        <v>170140</v>
      </c>
    </row>
    <row r="47" spans="2:11">
      <c r="B47" s="184" t="s">
        <v>216</v>
      </c>
      <c r="C47" s="121">
        <v>0</v>
      </c>
      <c r="D47" s="121">
        <v>0</v>
      </c>
      <c r="E47" s="121">
        <v>0</v>
      </c>
      <c r="F47" s="121">
        <v>0</v>
      </c>
      <c r="G47" s="179">
        <v>0</v>
      </c>
      <c r="H47" s="179">
        <v>148018</v>
      </c>
      <c r="I47" s="179">
        <v>0</v>
      </c>
      <c r="J47" s="179">
        <v>148018</v>
      </c>
      <c r="K47" s="179">
        <v>154063</v>
      </c>
    </row>
    <row r="48" spans="2:11">
      <c r="B48" s="166" t="s">
        <v>215</v>
      </c>
      <c r="C48" s="121">
        <v>0</v>
      </c>
      <c r="D48" s="121">
        <v>0</v>
      </c>
      <c r="E48" s="121">
        <v>0</v>
      </c>
      <c r="F48" s="121">
        <v>0</v>
      </c>
      <c r="G48" s="179">
        <v>0</v>
      </c>
      <c r="H48" s="179">
        <v>132886</v>
      </c>
      <c r="I48" s="179">
        <v>0</v>
      </c>
      <c r="J48" s="179">
        <v>132886</v>
      </c>
      <c r="K48" s="179">
        <v>138313</v>
      </c>
    </row>
    <row r="49" spans="2:11">
      <c r="B49" s="166" t="s">
        <v>214</v>
      </c>
      <c r="C49" s="121">
        <v>0</v>
      </c>
      <c r="D49" s="121">
        <v>0</v>
      </c>
      <c r="E49" s="121">
        <v>0</v>
      </c>
      <c r="F49" s="121">
        <v>0</v>
      </c>
      <c r="G49" s="179">
        <v>0</v>
      </c>
      <c r="H49" s="179">
        <v>1169811</v>
      </c>
      <c r="I49" s="179">
        <v>0</v>
      </c>
      <c r="J49" s="179">
        <v>1169811</v>
      </c>
      <c r="K49" s="179">
        <v>1217585</v>
      </c>
    </row>
    <row r="50" spans="2:11">
      <c r="B50" s="166" t="s">
        <v>213</v>
      </c>
      <c r="C50" s="121">
        <v>0</v>
      </c>
      <c r="D50" s="121">
        <v>0</v>
      </c>
      <c r="E50" s="121">
        <v>0</v>
      </c>
      <c r="F50" s="121">
        <v>0</v>
      </c>
      <c r="G50" s="179">
        <v>0</v>
      </c>
      <c r="H50" s="179">
        <v>275826</v>
      </c>
      <c r="I50" s="179">
        <v>0</v>
      </c>
      <c r="J50" s="179">
        <v>275826</v>
      </c>
      <c r="K50" s="179">
        <v>0</v>
      </c>
    </row>
    <row r="51" spans="2:11">
      <c r="B51" s="166" t="s">
        <v>212</v>
      </c>
      <c r="C51" s="121">
        <v>0</v>
      </c>
      <c r="D51" s="121">
        <v>0</v>
      </c>
      <c r="E51" s="121">
        <v>0</v>
      </c>
      <c r="F51" s="121">
        <v>0</v>
      </c>
      <c r="G51" s="179">
        <v>0</v>
      </c>
      <c r="H51" s="179">
        <v>104601</v>
      </c>
      <c r="I51" s="179">
        <v>0</v>
      </c>
      <c r="J51" s="179">
        <v>104601</v>
      </c>
      <c r="K51" s="179">
        <v>0</v>
      </c>
    </row>
    <row r="52" spans="2:11">
      <c r="B52" s="166" t="s">
        <v>211</v>
      </c>
      <c r="C52" s="121">
        <v>0</v>
      </c>
      <c r="D52" s="121">
        <v>0</v>
      </c>
      <c r="E52" s="121">
        <v>0</v>
      </c>
      <c r="F52" s="121">
        <v>0</v>
      </c>
      <c r="G52" s="179">
        <v>0</v>
      </c>
      <c r="H52" s="179">
        <v>52748</v>
      </c>
      <c r="I52" s="179">
        <v>0</v>
      </c>
      <c r="J52" s="179">
        <v>52748</v>
      </c>
      <c r="K52" s="179">
        <v>54902</v>
      </c>
    </row>
    <row r="53" spans="2:11">
      <c r="B53" s="166" t="s">
        <v>210</v>
      </c>
      <c r="C53" s="121">
        <v>0</v>
      </c>
      <c r="D53" s="121">
        <v>0</v>
      </c>
      <c r="E53" s="121">
        <v>0</v>
      </c>
      <c r="F53" s="121">
        <v>0</v>
      </c>
      <c r="G53" s="179">
        <v>0</v>
      </c>
      <c r="H53" s="179">
        <v>33335</v>
      </c>
      <c r="I53" s="179">
        <v>0</v>
      </c>
      <c r="J53" s="179">
        <v>33335</v>
      </c>
      <c r="K53" s="179">
        <v>34697</v>
      </c>
    </row>
    <row r="54" spans="2:11">
      <c r="B54" s="166" t="s">
        <v>209</v>
      </c>
      <c r="C54" s="121">
        <v>0</v>
      </c>
      <c r="D54" s="121">
        <v>0</v>
      </c>
      <c r="E54" s="121">
        <v>0</v>
      </c>
      <c r="F54" s="121">
        <v>0</v>
      </c>
      <c r="G54" s="179">
        <v>0</v>
      </c>
      <c r="H54" s="179">
        <v>24352</v>
      </c>
      <c r="I54" s="179">
        <v>0</v>
      </c>
      <c r="J54" s="179">
        <v>24352</v>
      </c>
      <c r="K54" s="179">
        <v>25346</v>
      </c>
    </row>
    <row r="55" spans="2:11">
      <c r="B55" s="166" t="s">
        <v>208</v>
      </c>
      <c r="C55" s="121">
        <v>0</v>
      </c>
      <c r="D55" s="121">
        <v>0</v>
      </c>
      <c r="E55" s="121">
        <v>0</v>
      </c>
      <c r="F55" s="121">
        <v>0</v>
      </c>
      <c r="G55" s="179">
        <v>0</v>
      </c>
      <c r="H55" s="179">
        <v>20013</v>
      </c>
      <c r="I55" s="179">
        <v>0</v>
      </c>
      <c r="J55" s="179">
        <v>20013</v>
      </c>
      <c r="K55" s="179">
        <v>20830</v>
      </c>
    </row>
    <row r="56" spans="2:11">
      <c r="B56" s="166" t="s">
        <v>207</v>
      </c>
      <c r="C56" s="121">
        <v>0</v>
      </c>
      <c r="D56" s="121">
        <v>0</v>
      </c>
      <c r="E56" s="121">
        <v>0</v>
      </c>
      <c r="F56" s="121">
        <v>0</v>
      </c>
      <c r="G56" s="179">
        <v>0</v>
      </c>
      <c r="H56" s="179">
        <v>17986</v>
      </c>
      <c r="I56" s="179">
        <v>0</v>
      </c>
      <c r="J56" s="179">
        <v>17986</v>
      </c>
      <c r="K56" s="179">
        <v>18721</v>
      </c>
    </row>
    <row r="57" spans="2:11">
      <c r="B57" s="166" t="s">
        <v>206</v>
      </c>
      <c r="C57" s="121">
        <v>0</v>
      </c>
      <c r="D57" s="121">
        <v>0</v>
      </c>
      <c r="E57" s="121">
        <v>0</v>
      </c>
      <c r="F57" s="121">
        <v>0</v>
      </c>
      <c r="G57" s="179">
        <v>0</v>
      </c>
      <c r="H57" s="179">
        <v>16508</v>
      </c>
      <c r="I57" s="179">
        <v>0</v>
      </c>
      <c r="J57" s="179">
        <v>16508</v>
      </c>
      <c r="K57" s="179">
        <v>17182</v>
      </c>
    </row>
    <row r="58" spans="2:11">
      <c r="B58" s="166" t="s">
        <v>205</v>
      </c>
      <c r="C58" s="121">
        <v>0</v>
      </c>
      <c r="D58" s="121">
        <v>0</v>
      </c>
      <c r="E58" s="121">
        <v>0</v>
      </c>
      <c r="F58" s="121">
        <v>0</v>
      </c>
      <c r="G58" s="179">
        <v>0</v>
      </c>
      <c r="H58" s="179">
        <v>123168</v>
      </c>
      <c r="I58" s="179">
        <v>0</v>
      </c>
      <c r="J58" s="179">
        <v>123168</v>
      </c>
      <c r="K58" s="179">
        <v>128198</v>
      </c>
    </row>
    <row r="59" spans="2:11">
      <c r="B59" s="166" t="s">
        <v>204</v>
      </c>
      <c r="C59" s="121">
        <v>0</v>
      </c>
      <c r="D59" s="121">
        <v>0</v>
      </c>
      <c r="E59" s="121">
        <v>0</v>
      </c>
      <c r="F59" s="121">
        <v>0</v>
      </c>
      <c r="G59" s="179">
        <v>0</v>
      </c>
      <c r="H59" s="179">
        <v>0</v>
      </c>
      <c r="I59" s="179">
        <v>0</v>
      </c>
      <c r="J59" s="179">
        <v>0</v>
      </c>
      <c r="K59" s="179">
        <v>0</v>
      </c>
    </row>
    <row r="60" spans="2:11">
      <c r="B60" s="166" t="s">
        <v>203</v>
      </c>
      <c r="C60" s="121">
        <v>0</v>
      </c>
      <c r="D60" s="121">
        <v>0</v>
      </c>
      <c r="E60" s="121">
        <v>0</v>
      </c>
      <c r="F60" s="121">
        <v>0</v>
      </c>
      <c r="G60" s="179">
        <v>0</v>
      </c>
      <c r="H60" s="179">
        <v>0</v>
      </c>
      <c r="I60" s="179">
        <v>0</v>
      </c>
      <c r="J60" s="179">
        <v>0</v>
      </c>
      <c r="K60" s="179">
        <v>0</v>
      </c>
    </row>
    <row r="61" spans="2:11">
      <c r="B61" s="166" t="s">
        <v>202</v>
      </c>
      <c r="C61" s="121">
        <v>0</v>
      </c>
      <c r="D61" s="121">
        <v>0</v>
      </c>
      <c r="E61" s="121">
        <v>0</v>
      </c>
      <c r="F61" s="121">
        <v>0</v>
      </c>
      <c r="G61" s="179">
        <v>0</v>
      </c>
      <c r="H61" s="179">
        <v>0</v>
      </c>
      <c r="I61" s="179">
        <v>0</v>
      </c>
      <c r="J61" s="179">
        <v>0</v>
      </c>
      <c r="K61" s="179">
        <v>0</v>
      </c>
    </row>
    <row r="62" spans="2:11">
      <c r="B62" s="166" t="s">
        <v>201</v>
      </c>
      <c r="C62" s="121">
        <v>0</v>
      </c>
      <c r="D62" s="121">
        <v>0</v>
      </c>
      <c r="E62" s="121">
        <v>0</v>
      </c>
      <c r="F62" s="121">
        <v>0</v>
      </c>
      <c r="G62" s="179">
        <v>0</v>
      </c>
      <c r="H62" s="179">
        <v>0</v>
      </c>
      <c r="I62" s="179">
        <v>0</v>
      </c>
      <c r="J62" s="179">
        <v>0</v>
      </c>
      <c r="K62" s="179">
        <v>0</v>
      </c>
    </row>
    <row r="63" spans="2:11">
      <c r="B63" s="166" t="s">
        <v>200</v>
      </c>
      <c r="C63" s="121">
        <v>0</v>
      </c>
      <c r="D63" s="121">
        <v>0</v>
      </c>
      <c r="E63" s="121">
        <v>0</v>
      </c>
      <c r="F63" s="121">
        <v>0</v>
      </c>
      <c r="G63" s="179">
        <v>0</v>
      </c>
      <c r="H63" s="179">
        <v>0</v>
      </c>
      <c r="I63" s="179">
        <v>0</v>
      </c>
      <c r="J63" s="179">
        <v>0</v>
      </c>
      <c r="K63" s="179">
        <v>0</v>
      </c>
    </row>
    <row r="64" spans="2:11">
      <c r="B64" s="166" t="s">
        <v>199</v>
      </c>
      <c r="C64" s="121">
        <v>0</v>
      </c>
      <c r="D64" s="121">
        <v>0</v>
      </c>
      <c r="E64" s="121">
        <v>0</v>
      </c>
      <c r="F64" s="121">
        <v>0</v>
      </c>
      <c r="G64" s="179">
        <v>0</v>
      </c>
      <c r="H64" s="179">
        <v>0</v>
      </c>
      <c r="I64" s="179">
        <v>0</v>
      </c>
      <c r="J64" s="179">
        <v>0</v>
      </c>
      <c r="K64" s="179">
        <v>0</v>
      </c>
    </row>
    <row r="65" spans="2:11">
      <c r="B65" s="166" t="s">
        <v>198</v>
      </c>
      <c r="C65" s="121">
        <v>0</v>
      </c>
      <c r="D65" s="121">
        <v>0</v>
      </c>
      <c r="E65" s="121">
        <v>0</v>
      </c>
      <c r="F65" s="121">
        <v>0</v>
      </c>
      <c r="G65" s="179">
        <v>0</v>
      </c>
      <c r="H65" s="179">
        <v>0</v>
      </c>
      <c r="I65" s="179">
        <v>0</v>
      </c>
      <c r="J65" s="179">
        <v>0</v>
      </c>
      <c r="K65" s="179">
        <v>0</v>
      </c>
    </row>
    <row r="66" spans="2:11">
      <c r="B66" s="166" t="s">
        <v>197</v>
      </c>
      <c r="C66" s="121">
        <v>0</v>
      </c>
      <c r="D66" s="121">
        <v>0</v>
      </c>
      <c r="E66" s="121">
        <v>0</v>
      </c>
      <c r="F66" s="121">
        <v>0</v>
      </c>
      <c r="G66" s="179">
        <v>0</v>
      </c>
      <c r="H66" s="179">
        <v>0</v>
      </c>
      <c r="I66" s="179">
        <v>0</v>
      </c>
      <c r="J66" s="179">
        <v>0</v>
      </c>
      <c r="K66" s="179">
        <v>0</v>
      </c>
    </row>
    <row r="67" spans="2:11">
      <c r="B67" s="166" t="s">
        <v>196</v>
      </c>
      <c r="C67" s="121">
        <v>0</v>
      </c>
      <c r="D67" s="121">
        <v>0</v>
      </c>
      <c r="E67" s="121">
        <v>0</v>
      </c>
      <c r="F67" s="121">
        <v>0</v>
      </c>
      <c r="G67" s="179">
        <v>0</v>
      </c>
      <c r="H67" s="179">
        <v>0</v>
      </c>
      <c r="I67" s="179">
        <v>0</v>
      </c>
      <c r="J67" s="179">
        <v>0</v>
      </c>
      <c r="K67" s="179">
        <v>0</v>
      </c>
    </row>
    <row r="68" spans="2:11">
      <c r="B68" s="166" t="s">
        <v>195</v>
      </c>
      <c r="C68" s="121">
        <v>4195668</v>
      </c>
      <c r="D68" s="129"/>
      <c r="E68" s="121">
        <v>20978340</v>
      </c>
      <c r="F68" s="129"/>
      <c r="G68" s="179">
        <v>4195668</v>
      </c>
      <c r="H68" s="129"/>
      <c r="I68" s="179">
        <v>20978340</v>
      </c>
      <c r="J68" s="129"/>
      <c r="K68" s="129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workbookViewId="0">
      <selection activeCell="D11" sqref="D1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6.8867187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8"/>
      <c r="G2" s="98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8"/>
      <c r="G3" s="95"/>
    </row>
    <row r="4" spans="1:19">
      <c r="F4" s="98"/>
      <c r="G4" s="98"/>
      <c r="I4" s="1"/>
      <c r="L4" s="114"/>
      <c r="M4" s="115"/>
      <c r="N4" s="112"/>
      <c r="O4" s="113"/>
    </row>
    <row r="5" spans="1:19">
      <c r="A5" s="48"/>
      <c r="B5" s="48"/>
      <c r="C5" s="1" t="s">
        <v>75</v>
      </c>
      <c r="I5" s="98"/>
      <c r="L5" s="116"/>
      <c r="M5" s="115"/>
      <c r="N5" s="112"/>
      <c r="O5" s="113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7" t="s">
        <v>91</v>
      </c>
      <c r="J6" s="188" t="s">
        <v>92</v>
      </c>
      <c r="L6" s="95"/>
      <c r="M6" s="95"/>
      <c r="N6" s="107"/>
    </row>
    <row r="7" spans="1:19">
      <c r="A7" s="54" t="s">
        <v>47</v>
      </c>
      <c r="B7" s="54" cm="1">
        <f t="array" ref="B7:B8">Overview!B11:B12</f>
        <v>1</v>
      </c>
      <c r="C7" s="77">
        <f>SUM(N16:N80)</f>
        <v>0.6899999291700909</v>
      </c>
      <c r="D7" s="77">
        <f>SUM(_xlfn.ANCHORARRAY(N159))*F7</f>
        <v>0.23999958382185591</v>
      </c>
      <c r="E7" s="93">
        <f>SUM(C7:D7)</f>
        <v>0.92999951299194683</v>
      </c>
      <c r="F7" s="69">
        <f>M80</f>
        <v>4.195569055894955E-3</v>
      </c>
      <c r="G7" s="70">
        <f>1/F7</f>
        <v>238.34669068191286</v>
      </c>
      <c r="H7" s="90">
        <f>D7*G7</f>
        <v>57.203106568975706</v>
      </c>
      <c r="I7" s="185" cm="1">
        <f t="array" ref="I7">LOOKUP(2,1/(L16:L79&lt;&gt;0),B16:B79)</f>
        <v>60</v>
      </c>
      <c r="J7" s="185" cm="1">
        <f t="array" ref="J7">LOOKUP(2,1/(_xlfn.ANCHORARRAY(L159)&lt;&gt;0),B16:B79)</f>
        <v>350</v>
      </c>
      <c r="L7" s="207"/>
      <c r="M7" s="95"/>
      <c r="N7" s="107"/>
    </row>
    <row r="8" spans="1:19">
      <c r="A8" s="175" t="s">
        <v>262</v>
      </c>
      <c r="B8" s="175">
        <v>2</v>
      </c>
      <c r="C8" s="176">
        <f>SUM(_xlfn.ANCHORARRAY(N88))/B8</f>
        <v>0.33023183186607352</v>
      </c>
      <c r="D8" s="77">
        <f>SUM(_xlfn.ANCHORARRAY(N159))*F8/B8</f>
        <v>0.59976819518713465</v>
      </c>
      <c r="E8" s="93">
        <f>SUM(C8:D8)</f>
        <v>0.93000002705320817</v>
      </c>
      <c r="F8" s="177">
        <f>M152</f>
        <v>2.096977703348793E-2</v>
      </c>
      <c r="G8" s="70">
        <f>1/F8</f>
        <v>47.687679196733392</v>
      </c>
      <c r="H8" s="90">
        <f>D8*G8</f>
        <v>28.601553284487853</v>
      </c>
      <c r="I8" s="185" cm="1">
        <f t="array" ref="I8">LOOKUP(2,1/(L88:L151&lt;&gt;0),B16:B79)</f>
        <v>80</v>
      </c>
      <c r="J8" s="186"/>
      <c r="L8" s="98"/>
      <c r="M8" s="95"/>
      <c r="N8" s="107"/>
    </row>
    <row r="9" spans="1:19">
      <c r="A9" s="48"/>
      <c r="B9" s="48"/>
      <c r="C9" s="48"/>
      <c r="D9" s="48"/>
      <c r="E9" s="48"/>
      <c r="F9" s="48"/>
      <c r="G9" s="48"/>
      <c r="H9" s="48"/>
      <c r="I9" s="186"/>
      <c r="J9" s="186"/>
      <c r="L9" s="100"/>
      <c r="M9" s="95"/>
      <c r="N9" s="107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9"/>
      <c r="M10" s="98"/>
      <c r="N10" s="98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9"/>
      <c r="M11" s="98"/>
      <c r="N11" s="98"/>
    </row>
    <row r="12" spans="1:19" s="53" customFormat="1">
      <c r="A12" s="219" t="s">
        <v>43</v>
      </c>
      <c r="B12" s="219"/>
      <c r="C12" s="219"/>
      <c r="D12" s="219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93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18" t="s">
        <v>52</v>
      </c>
      <c r="B15" s="119" t="s">
        <v>53</v>
      </c>
      <c r="C15" s="194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322</v>
      </c>
      <c r="Q15" s="180" t="s">
        <v>322</v>
      </c>
      <c r="R15" s="81" t="s">
        <v>321</v>
      </c>
      <c r="S15" s="81" t="s">
        <v>74</v>
      </c>
    </row>
    <row r="16" spans="1:19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1.0000000000000001E-5</v>
      </c>
      <c r="H16" s="57" t="str">
        <f>"("&amp;$A16&amp;", "&amp;$B16&amp;"]"</f>
        <v>(-1, 0]</v>
      </c>
      <c r="I16" s="195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0.71498256045444286</v>
      </c>
      <c r="L16" s="106" cm="1">
        <f t="array" ref="L16:L80">INT(K16:K80*$B$2)</f>
        <v>714982560</v>
      </c>
      <c r="M16" s="55" cm="1">
        <f t="array" ref="M16:M80">_xlfn.LET(_xlpm.x, L16:L80, _xlpm.x/SUM(_xlpm.x))</f>
        <v>0.71496569896392137</v>
      </c>
      <c r="N16" s="55" cm="1">
        <f t="array" ref="N16:N80">M16:M80*F16:F80</f>
        <v>0</v>
      </c>
      <c r="O16" s="108"/>
      <c r="P16" s="55" cm="1">
        <f t="array" ref="P16:P79">M16:M79</f>
        <v>0.71496569896392137</v>
      </c>
      <c r="Q16" s="204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1.01</v>
      </c>
    </row>
    <row r="17" spans="1:19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5965</v>
      </c>
      <c r="H17" s="57" t="str">
        <f t="shared" ref="H17:H79" si="0">"("&amp;$A17&amp;", "&amp;$B17&amp;"]"</f>
        <v>(0, 1]</v>
      </c>
      <c r="I17" s="195">
        <v>1.18</v>
      </c>
      <c r="J17" s="55">
        <v>0.16106442614279243</v>
      </c>
      <c r="K17" s="55">
        <v>0.16015865514118333</v>
      </c>
      <c r="L17" s="106">
        <v>160158655</v>
      </c>
      <c r="M17" s="55">
        <v>0.16015487806751053</v>
      </c>
      <c r="N17" s="55">
        <v>6.9800386326258304E-2</v>
      </c>
      <c r="O17" s="108"/>
      <c r="P17" s="55">
        <v>0.16015487806751053</v>
      </c>
      <c r="Q17" s="204">
        <v>0.16136085442046003</v>
      </c>
      <c r="R17" s="55">
        <v>0.15905886499823757</v>
      </c>
      <c r="S17" s="78">
        <v>1.01</v>
      </c>
    </row>
    <row r="18" spans="1:19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1.05965</v>
      </c>
      <c r="H18" s="57" t="str">
        <f t="shared" si="0"/>
        <v>(1, 2]</v>
      </c>
      <c r="I18" s="195">
        <v>1.31</v>
      </c>
      <c r="J18" s="55">
        <v>4.5547637985484168E-2</v>
      </c>
      <c r="K18" s="55">
        <v>4.5291493716591018E-2</v>
      </c>
      <c r="L18" s="106">
        <v>45291493</v>
      </c>
      <c r="M18" s="55">
        <v>4.5290424915909205E-2</v>
      </c>
      <c r="N18" s="55">
        <v>6.7811596629254345E-2</v>
      </c>
      <c r="O18" s="108"/>
      <c r="P18" s="55">
        <v>4.5290424915909205E-2</v>
      </c>
      <c r="Q18" s="204">
        <v>4.5756934610305687E-2</v>
      </c>
      <c r="R18" s="55">
        <v>4.9788508988367994E-2</v>
      </c>
      <c r="S18" s="78">
        <v>1.01</v>
      </c>
    </row>
    <row r="19" spans="1:19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5">
        <v>1.33</v>
      </c>
      <c r="J19" s="55">
        <v>2.159558005121447E-2</v>
      </c>
      <c r="K19" s="55">
        <v>2.1474133927810557E-2</v>
      </c>
      <c r="L19" s="106">
        <v>21474133</v>
      </c>
      <c r="M19" s="55">
        <v>2.1473626587464188E-2</v>
      </c>
      <c r="N19" s="55">
        <v>5.406707438678867E-2</v>
      </c>
      <c r="O19" s="108"/>
      <c r="P19" s="55">
        <v>2.1473626587464188E-2</v>
      </c>
      <c r="Q19" s="204">
        <v>2.1758000231243222E-2</v>
      </c>
      <c r="R19" s="55">
        <v>2.1457525555163906E-2</v>
      </c>
      <c r="S19" s="78">
        <v>1.01</v>
      </c>
    </row>
    <row r="20" spans="1:19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202"/>
      <c r="H20" s="57" t="str">
        <f t="shared" si="0"/>
        <v>(3, 4]</v>
      </c>
      <c r="I20" s="195">
        <v>1.44</v>
      </c>
      <c r="J20" s="55">
        <v>1.1628520302489266E-2</v>
      </c>
      <c r="K20" s="55">
        <v>1.1563125499093763E-2</v>
      </c>
      <c r="L20" s="106">
        <v>11563125</v>
      </c>
      <c r="M20" s="55">
        <v>1.1562852313253897E-2</v>
      </c>
      <c r="N20" s="55">
        <v>4.1249861943912058E-2</v>
      </c>
      <c r="O20" s="108"/>
      <c r="P20" s="55">
        <v>1.1562852313253897E-2</v>
      </c>
      <c r="Q20" s="204">
        <v>8.5068854662453865E-3</v>
      </c>
      <c r="R20" s="55">
        <v>9.4289742685935846E-3</v>
      </c>
      <c r="S20" s="78">
        <v>0.74</v>
      </c>
    </row>
    <row r="21" spans="1:19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202"/>
      <c r="H21" s="57" t="str">
        <f t="shared" si="0"/>
        <v>(4, 5]</v>
      </c>
      <c r="I21" s="195">
        <v>1.62</v>
      </c>
      <c r="J21" s="55">
        <v>9.1599021243855185E-3</v>
      </c>
      <c r="K21" s="55">
        <v>9.1083899815707515E-3</v>
      </c>
      <c r="L21" s="106">
        <v>9108389</v>
      </c>
      <c r="M21" s="55">
        <v>9.1081742019277958E-3</v>
      </c>
      <c r="N21" s="55">
        <v>4.1865085931333292E-2</v>
      </c>
      <c r="O21" s="108"/>
      <c r="P21" s="55">
        <v>9.1081742019277958E-3</v>
      </c>
      <c r="Q21" s="204">
        <v>6.6698354145381805E-3</v>
      </c>
      <c r="R21" s="55">
        <v>6.2566090941134998E-3</v>
      </c>
      <c r="S21" s="78">
        <v>0.73</v>
      </c>
    </row>
    <row r="22" spans="1:19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202">
        <v>1.79</v>
      </c>
      <c r="H22" s="57" t="str">
        <f t="shared" si="0"/>
        <v>(5, 6]</v>
      </c>
      <c r="I22" s="195" cm="1">
        <f t="array" ref="I22:I79">G22:G79*G18</f>
        <v>1.8967735000000001</v>
      </c>
      <c r="J22" s="55">
        <v>7.9946880146267805E-3</v>
      </c>
      <c r="K22" s="55">
        <v>7.9497286356752742E-3</v>
      </c>
      <c r="L22" s="106">
        <v>7949728</v>
      </c>
      <c r="M22" s="55">
        <v>7.9495405259857755E-3</v>
      </c>
      <c r="N22" s="55">
        <v>4.4400960263357887E-2</v>
      </c>
      <c r="O22" s="108"/>
      <c r="P22" s="55">
        <v>7.9495405259857755E-3</v>
      </c>
      <c r="Q22" s="204">
        <v>5.4541948981352501E-3</v>
      </c>
      <c r="R22" s="55">
        <v>5.37539654564681E-3</v>
      </c>
      <c r="S22" s="78">
        <v>0.69</v>
      </c>
    </row>
    <row r="23" spans="1:19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202">
        <v>1.24</v>
      </c>
      <c r="H23" s="57" t="str">
        <f t="shared" si="0"/>
        <v>(6, 7]</v>
      </c>
      <c r="I23" s="195">
        <v>1.313966</v>
      </c>
      <c r="J23" s="55">
        <v>3.691993267584679E-3</v>
      </c>
      <c r="K23" s="55">
        <v>3.6712307657709672E-3</v>
      </c>
      <c r="L23" s="106">
        <v>3671230</v>
      </c>
      <c r="M23" s="55">
        <v>3.6711434234246456E-3</v>
      </c>
      <c r="N23" s="55">
        <v>2.4082938188079259E-2</v>
      </c>
      <c r="O23" s="108"/>
      <c r="P23" s="55">
        <v>3.6711434234246456E-3</v>
      </c>
      <c r="Q23" s="204">
        <v>3.3318405313007824E-3</v>
      </c>
      <c r="R23" s="55">
        <v>2.5114557631300671E-3</v>
      </c>
      <c r="S23" s="78">
        <v>0.91</v>
      </c>
    </row>
    <row r="24" spans="1:19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202">
        <v>1.02</v>
      </c>
      <c r="H24" s="57" t="str">
        <f t="shared" si="0"/>
        <v>(7, 8]</v>
      </c>
      <c r="I24" s="195">
        <v>1.080843</v>
      </c>
      <c r="J24" s="55">
        <v>3.1460743298654345E-3</v>
      </c>
      <c r="K24" s="55">
        <v>3.1283818886160396E-3</v>
      </c>
      <c r="L24" s="106">
        <v>3128381</v>
      </c>
      <c r="M24" s="55">
        <v>3.12830722513071E-3</v>
      </c>
      <c r="N24" s="55">
        <v>2.3841974140610647E-2</v>
      </c>
      <c r="O24" s="108"/>
      <c r="P24" s="55">
        <v>3.12830722513071E-3</v>
      </c>
      <c r="Q24" s="204">
        <v>2.8156200112303422E-3</v>
      </c>
      <c r="R24" s="55">
        <v>3.0842439196334154E-3</v>
      </c>
      <c r="S24" s="78">
        <v>0.9</v>
      </c>
    </row>
    <row r="25" spans="1:19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202">
        <v>1.26</v>
      </c>
      <c r="H25" s="57" t="str">
        <f t="shared" si="0"/>
        <v>(8, 9]</v>
      </c>
      <c r="I25" s="195">
        <v>1.335159</v>
      </c>
      <c r="J25" s="55">
        <v>2.8491283426435371E-3</v>
      </c>
      <c r="K25" s="55">
        <v>2.8331058236153988E-3</v>
      </c>
      <c r="L25" s="106">
        <v>2833105</v>
      </c>
      <c r="M25" s="55">
        <v>2.8330381884604013E-3</v>
      </c>
      <c r="N25" s="55">
        <v>2.4360192206454027E-2</v>
      </c>
      <c r="O25" s="108"/>
      <c r="P25" s="55">
        <v>2.8330381884604013E-3</v>
      </c>
      <c r="Q25" s="204">
        <v>2.5445965127515817E-3</v>
      </c>
      <c r="R25" s="55">
        <v>2.687698272823405E-3</v>
      </c>
      <c r="S25" s="78">
        <v>0.9</v>
      </c>
    </row>
    <row r="26" spans="1:19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202">
        <v>1.21</v>
      </c>
      <c r="H26" s="57" t="str">
        <f t="shared" si="0"/>
        <v>(9, 10]</v>
      </c>
      <c r="I26" s="195">
        <v>1.2821764999999998</v>
      </c>
      <c r="J26" s="55">
        <v>2.5396341973850157E-3</v>
      </c>
      <c r="K26" s="55">
        <v>2.5253521671082199E-3</v>
      </c>
      <c r="L26" s="106">
        <v>2525352</v>
      </c>
      <c r="M26" s="55">
        <v>2.5252924460282453E-3</v>
      </c>
      <c r="N26" s="55">
        <v>2.435975642052178E-2</v>
      </c>
      <c r="O26" s="108"/>
      <c r="P26" s="55">
        <v>2.5252924460282453E-3</v>
      </c>
      <c r="Q26" s="204">
        <v>2.2718729170527617E-3</v>
      </c>
      <c r="R26" s="55">
        <v>2.2470919985900597E-3</v>
      </c>
      <c r="S26" s="78">
        <v>0.9</v>
      </c>
    </row>
    <row r="27" spans="1:19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202">
        <v>0.48</v>
      </c>
      <c r="H27" s="57" t="str">
        <f t="shared" si="0"/>
        <v>(10, 15]</v>
      </c>
      <c r="I27" s="195">
        <v>0.50863199999999997</v>
      </c>
      <c r="J27" s="55">
        <v>3.4718513221449476E-3</v>
      </c>
      <c r="K27" s="55">
        <v>3.4523268230062668E-3</v>
      </c>
      <c r="L27" s="106">
        <v>3452326</v>
      </c>
      <c r="M27" s="55">
        <v>3.4522445857159351E-3</v>
      </c>
      <c r="N27" s="55">
        <v>4.2972030072627662E-2</v>
      </c>
      <c r="O27" s="108"/>
      <c r="P27" s="55">
        <v>3.4522445857159351E-3</v>
      </c>
      <c r="Q27" s="204">
        <v>3.0238589193723043E-3</v>
      </c>
      <c r="R27" s="55">
        <v>4.9788508988367992E-3</v>
      </c>
      <c r="S27" s="78">
        <v>0.88</v>
      </c>
    </row>
    <row r="28" spans="1:19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202">
        <v>1.1299999999999999</v>
      </c>
      <c r="H28" s="103" t="str">
        <f t="shared" si="0"/>
        <v>(15, 20]</v>
      </c>
      <c r="I28" s="195">
        <v>1.1974044999999998</v>
      </c>
      <c r="J28" s="55">
        <v>5.4964076339065185E-3</v>
      </c>
      <c r="K28" s="55">
        <v>5.4654977255733051E-3</v>
      </c>
      <c r="L28" s="106">
        <v>5465497</v>
      </c>
      <c r="M28" s="55">
        <v>5.4653681102238569E-3</v>
      </c>
      <c r="N28" s="55">
        <v>9.5566758448057079E-2</v>
      </c>
      <c r="O28" s="108"/>
      <c r="P28" s="55">
        <v>5.4653681102238569E-3</v>
      </c>
      <c r="Q28" s="204">
        <v>3.9646257171216332E-3</v>
      </c>
      <c r="R28" s="55">
        <v>2.3352132534367291E-3</v>
      </c>
      <c r="S28" s="78">
        <v>0.73</v>
      </c>
    </row>
    <row r="29" spans="1:19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202">
        <v>0.54</v>
      </c>
      <c r="H29" s="57" t="str">
        <f t="shared" si="0"/>
        <v>(20, 25]</v>
      </c>
      <c r="I29" s="195">
        <v>0.57221100000000003</v>
      </c>
      <c r="J29" s="55">
        <v>1.8151585996400508E-3</v>
      </c>
      <c r="K29" s="55">
        <v>1.8049507712433711E-3</v>
      </c>
      <c r="L29" s="106">
        <v>1804950</v>
      </c>
      <c r="M29" s="55">
        <v>1.8049074348679636E-3</v>
      </c>
      <c r="N29" s="55">
        <v>4.0681221930655653E-2</v>
      </c>
      <c r="O29" s="108"/>
      <c r="P29" s="55">
        <v>1.8049074348679636E-3</v>
      </c>
      <c r="Q29" s="204">
        <v>1.6558466895929445E-3</v>
      </c>
      <c r="R29" s="55">
        <v>1.8064857243567148E-3</v>
      </c>
      <c r="S29" s="78">
        <v>0.92</v>
      </c>
    </row>
    <row r="30" spans="1:19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202">
        <v>0.2</v>
      </c>
      <c r="H30" s="57" t="str">
        <f t="shared" si="0"/>
        <v>(25, 30]</v>
      </c>
      <c r="I30" s="195">
        <v>0.21193000000000001</v>
      </c>
      <c r="J30" s="55">
        <v>5.3850207841159617E-4</v>
      </c>
      <c r="K30" s="55">
        <v>5.3547372771608614E-4</v>
      </c>
      <c r="L30" s="106">
        <v>535473</v>
      </c>
      <c r="M30" s="55">
        <v>5.3546037223804147E-4</v>
      </c>
      <c r="N30" s="55">
        <v>1.4749024232804215E-2</v>
      </c>
      <c r="O30" s="108"/>
      <c r="P30" s="55">
        <v>5.3546037223804147E-4</v>
      </c>
      <c r="Q30" s="204">
        <v>6.70909365952092E-4</v>
      </c>
      <c r="R30" s="55">
        <v>8.8121254846669017E-4</v>
      </c>
      <c r="S30" s="78">
        <v>1.25</v>
      </c>
    </row>
    <row r="31" spans="1:19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202">
        <v>0.22</v>
      </c>
      <c r="H31" s="57" t="str">
        <f t="shared" si="0"/>
        <v>(30, 35]</v>
      </c>
      <c r="I31" s="195">
        <v>0.233123</v>
      </c>
      <c r="J31" s="55">
        <v>4.4391251150044874E-4</v>
      </c>
      <c r="K31" s="55">
        <v>4.4141610003456676E-4</v>
      </c>
      <c r="L31" s="106">
        <v>441416</v>
      </c>
      <c r="M31" s="55">
        <v>4.4140559033196318E-4</v>
      </c>
      <c r="N31" s="55">
        <v>1.4359805530360516E-2</v>
      </c>
      <c r="O31" s="108"/>
      <c r="P31" s="55">
        <v>4.4140559033196318E-4</v>
      </c>
      <c r="Q31" s="204">
        <v>5.6786647344428387E-4</v>
      </c>
      <c r="R31" s="55">
        <v>4.8466690165667957E-4</v>
      </c>
      <c r="S31" s="78">
        <v>1.29</v>
      </c>
    </row>
    <row r="32" spans="1:19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202">
        <v>0.33</v>
      </c>
      <c r="H32" s="103" t="str">
        <f t="shared" si="0"/>
        <v>(35, 40]</v>
      </c>
      <c r="I32" s="195">
        <v>0.34968450000000001</v>
      </c>
      <c r="J32" s="55">
        <v>5.7480965724632357E-4</v>
      </c>
      <c r="K32" s="55">
        <v>5.7157712520031483E-4</v>
      </c>
      <c r="L32" s="106">
        <v>571577</v>
      </c>
      <c r="M32" s="55">
        <v>5.7156352081748861E-4</v>
      </c>
      <c r="N32" s="55">
        <v>2.1459309305883877E-2</v>
      </c>
      <c r="O32" s="108"/>
      <c r="P32" s="55">
        <v>5.7156352081748861E-4</v>
      </c>
      <c r="Q32" s="204">
        <v>9.7218159420446463E-4</v>
      </c>
      <c r="R32" s="55">
        <v>7.0497003877335212E-4</v>
      </c>
      <c r="S32" s="78">
        <v>1.7</v>
      </c>
    </row>
    <row r="33" spans="1:19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202">
        <v>0.16</v>
      </c>
      <c r="H33" s="57" t="str">
        <f t="shared" si="0"/>
        <v>(40, 45]</v>
      </c>
      <c r="I33" s="195">
        <v>0.169544</v>
      </c>
      <c r="J33" s="55">
        <v>2.2973247587589876E-4</v>
      </c>
      <c r="K33" s="55">
        <v>2.2844053935236271E-4</v>
      </c>
      <c r="L33" s="106">
        <v>228440</v>
      </c>
      <c r="M33" s="55">
        <v>2.2843461282652571E-4</v>
      </c>
      <c r="N33" s="55">
        <v>9.7372461606214655E-3</v>
      </c>
      <c r="O33" s="108"/>
      <c r="P33" s="55">
        <v>2.2843461282652571E-4</v>
      </c>
      <c r="Q33" s="204">
        <v>2.2260372959427685E-4</v>
      </c>
      <c r="R33" s="55">
        <v>3.5248501938667606E-4</v>
      </c>
      <c r="S33" s="78">
        <v>0.97</v>
      </c>
    </row>
    <row r="34" spans="1:19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202">
        <v>0.2</v>
      </c>
      <c r="H34" s="57" t="str">
        <f t="shared" si="0"/>
        <v>(45, 50]</v>
      </c>
      <c r="I34" s="195">
        <v>0.21193000000000001</v>
      </c>
      <c r="J34" s="55">
        <v>2.4271633473934979E-4</v>
      </c>
      <c r="K34" s="55">
        <v>2.4135138145395553E-4</v>
      </c>
      <c r="L34" s="106">
        <v>241351</v>
      </c>
      <c r="M34" s="55">
        <v>2.4134530835359311E-4</v>
      </c>
      <c r="N34" s="55">
        <v>1.1504022803680323E-2</v>
      </c>
      <c r="O34" s="108"/>
      <c r="P34" s="55">
        <v>2.4134530835359311E-4</v>
      </c>
      <c r="Q34" s="204">
        <v>2.1215213191966382E-4</v>
      </c>
      <c r="R34" s="55">
        <v>1.3218188227000352E-4</v>
      </c>
      <c r="S34" s="78">
        <v>0.88</v>
      </c>
    </row>
    <row r="35" spans="1:19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202">
        <v>0.2</v>
      </c>
      <c r="H35" s="103" t="str">
        <f t="shared" si="0"/>
        <v>(50, 60]</v>
      </c>
      <c r="I35" s="195">
        <v>0.21193000000000001</v>
      </c>
      <c r="J35" s="55">
        <v>4.0300114039036822E-4</v>
      </c>
      <c r="K35" s="55">
        <v>4.0073480042118487E-4</v>
      </c>
      <c r="L35" s="106">
        <v>400734</v>
      </c>
      <c r="M35" s="55">
        <v>4.0072454971294414E-4</v>
      </c>
      <c r="N35" s="55">
        <v>2.2000284845038746E-2</v>
      </c>
      <c r="O35" s="108"/>
      <c r="P35" s="55">
        <v>4.0072454971294414E-4</v>
      </c>
      <c r="Q35" s="204">
        <v>6.2280361502472517E-4</v>
      </c>
      <c r="R35" s="55">
        <v>3.0842439196334157E-4</v>
      </c>
      <c r="S35" s="78">
        <v>1.55</v>
      </c>
    </row>
    <row r="36" spans="1:19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202">
        <v>0</v>
      </c>
      <c r="H36" s="57" t="str">
        <f t="shared" si="0"/>
        <v>(60, 70]</v>
      </c>
      <c r="I36" s="195">
        <v>0</v>
      </c>
      <c r="J36" s="55">
        <v>0</v>
      </c>
      <c r="K36" s="55">
        <v>0</v>
      </c>
      <c r="L36" s="106">
        <v>0</v>
      </c>
      <c r="M36" s="55">
        <v>0</v>
      </c>
      <c r="N36" s="55">
        <v>0</v>
      </c>
      <c r="O36" s="108"/>
      <c r="P36" s="55">
        <v>0</v>
      </c>
      <c r="Q36" s="204">
        <v>1.5079862341928023E-4</v>
      </c>
      <c r="R36" s="55">
        <v>1.7624250969333803E-4</v>
      </c>
      <c r="S36" s="78">
        <v>0</v>
      </c>
    </row>
    <row r="37" spans="1:19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202">
        <v>0</v>
      </c>
      <c r="H37" s="57" t="str">
        <f t="shared" si="0"/>
        <v>(70, 80]</v>
      </c>
      <c r="I37" s="195">
        <v>0</v>
      </c>
      <c r="J37" s="55">
        <v>0</v>
      </c>
      <c r="K37" s="55">
        <v>0</v>
      </c>
      <c r="L37" s="106">
        <v>0</v>
      </c>
      <c r="M37" s="55">
        <v>0</v>
      </c>
      <c r="N37" s="55">
        <v>0</v>
      </c>
      <c r="O37" s="108"/>
      <c r="P37" s="55">
        <v>0</v>
      </c>
      <c r="Q37" s="204">
        <v>1.2982942429562834E-4</v>
      </c>
      <c r="R37" s="55">
        <v>1.3218188227000352E-4</v>
      </c>
      <c r="S37" s="78">
        <v>0</v>
      </c>
    </row>
    <row r="38" spans="1:19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202">
        <v>0</v>
      </c>
      <c r="H38" s="57" t="str">
        <f t="shared" si="0"/>
        <v>(80, 90]</v>
      </c>
      <c r="I38" s="195">
        <v>0</v>
      </c>
      <c r="J38" s="55">
        <v>0</v>
      </c>
      <c r="K38" s="55">
        <v>0</v>
      </c>
      <c r="L38" s="106">
        <v>0</v>
      </c>
      <c r="M38" s="55">
        <v>0</v>
      </c>
      <c r="N38" s="55">
        <v>0</v>
      </c>
      <c r="O38" s="108"/>
      <c r="P38" s="55">
        <v>0</v>
      </c>
      <c r="Q38" s="204">
        <v>1.1201240542940448E-4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202">
        <v>0</v>
      </c>
      <c r="H39" s="57" t="str">
        <f t="shared" si="0"/>
        <v>(90, 100]</v>
      </c>
      <c r="I39" s="195">
        <v>0</v>
      </c>
      <c r="J39" s="55">
        <v>0</v>
      </c>
      <c r="K39" s="55">
        <v>0</v>
      </c>
      <c r="L39" s="106">
        <v>0</v>
      </c>
      <c r="M39" s="55">
        <v>0</v>
      </c>
      <c r="N39" s="55">
        <v>0</v>
      </c>
      <c r="O39" s="108"/>
      <c r="P39" s="55">
        <v>0</v>
      </c>
      <c r="Q39" s="204">
        <v>1.0128479197082886E-4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202">
        <v>0</v>
      </c>
      <c r="H40" s="57" t="str">
        <f t="shared" si="0"/>
        <v>(100, 120]</v>
      </c>
      <c r="I40" s="195">
        <v>0</v>
      </c>
      <c r="J40" s="55">
        <v>0</v>
      </c>
      <c r="K40" s="55">
        <v>0</v>
      </c>
      <c r="L40" s="106">
        <v>0</v>
      </c>
      <c r="M40" s="55">
        <v>0</v>
      </c>
      <c r="N40" s="55">
        <v>0</v>
      </c>
      <c r="O40" s="108"/>
      <c r="P40" s="55">
        <v>0</v>
      </c>
      <c r="Q40" s="204">
        <v>0</v>
      </c>
      <c r="R40" s="55">
        <v>0</v>
      </c>
      <c r="S40" s="78">
        <v>0</v>
      </c>
    </row>
    <row r="41" spans="1:19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202">
        <v>0</v>
      </c>
      <c r="H41" s="57" t="str">
        <f t="shared" si="0"/>
        <v>(120, 140]</v>
      </c>
      <c r="I41" s="195">
        <v>0</v>
      </c>
      <c r="J41" s="55">
        <v>0</v>
      </c>
      <c r="K41" s="55">
        <v>0</v>
      </c>
      <c r="L41" s="106">
        <v>0</v>
      </c>
      <c r="M41" s="55">
        <v>0</v>
      </c>
      <c r="N41" s="55">
        <v>0</v>
      </c>
      <c r="O41" s="108"/>
      <c r="P41" s="55">
        <v>0</v>
      </c>
      <c r="Q41" s="204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202">
        <v>0</v>
      </c>
      <c r="H42" s="57" t="str">
        <f t="shared" si="0"/>
        <v>(140, 160]</v>
      </c>
      <c r="I42" s="195">
        <v>0</v>
      </c>
      <c r="J42" s="55">
        <v>0</v>
      </c>
      <c r="K42" s="55">
        <v>0</v>
      </c>
      <c r="L42" s="106">
        <v>0</v>
      </c>
      <c r="M42" s="55">
        <v>0</v>
      </c>
      <c r="N42" s="55">
        <v>0</v>
      </c>
      <c r="O42" s="108"/>
      <c r="P42" s="55">
        <v>0</v>
      </c>
      <c r="Q42" s="204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202">
        <v>0</v>
      </c>
      <c r="H43" s="57" t="str">
        <f t="shared" si="0"/>
        <v>(160, 180]</v>
      </c>
      <c r="I43" s="195">
        <v>0</v>
      </c>
      <c r="J43" s="55">
        <v>0</v>
      </c>
      <c r="K43" s="55">
        <v>0</v>
      </c>
      <c r="L43" s="106">
        <v>0</v>
      </c>
      <c r="M43" s="55">
        <v>0</v>
      </c>
      <c r="N43" s="55">
        <v>0</v>
      </c>
      <c r="O43" s="108"/>
      <c r="P43" s="55">
        <v>0</v>
      </c>
      <c r="Q43" s="204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202">
        <v>0</v>
      </c>
      <c r="H44" s="57" t="str">
        <f t="shared" si="0"/>
        <v>(180, 200]</v>
      </c>
      <c r="I44" s="195">
        <v>0</v>
      </c>
      <c r="J44" s="55">
        <v>0</v>
      </c>
      <c r="K44" s="55">
        <v>0</v>
      </c>
      <c r="L44" s="106">
        <v>0</v>
      </c>
      <c r="M44" s="55">
        <v>0</v>
      </c>
      <c r="N44" s="55">
        <v>0</v>
      </c>
      <c r="O44" s="108"/>
      <c r="P44" s="55">
        <v>0</v>
      </c>
      <c r="Q44" s="204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202">
        <v>0</v>
      </c>
      <c r="H45" s="57" t="str">
        <f t="shared" si="0"/>
        <v>(200, 250]</v>
      </c>
      <c r="I45" s="195">
        <v>0</v>
      </c>
      <c r="J45" s="55">
        <v>0</v>
      </c>
      <c r="K45" s="55">
        <v>0</v>
      </c>
      <c r="L45" s="106">
        <v>0</v>
      </c>
      <c r="M45" s="55">
        <v>0</v>
      </c>
      <c r="N45" s="55">
        <v>0</v>
      </c>
      <c r="O45" s="108"/>
      <c r="P45" s="55">
        <v>0</v>
      </c>
      <c r="Q45" s="204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202">
        <v>0</v>
      </c>
      <c r="H46" s="57" t="str">
        <f t="shared" si="0"/>
        <v>(250, 300]</v>
      </c>
      <c r="I46" s="195">
        <v>0</v>
      </c>
      <c r="J46" s="55">
        <v>0</v>
      </c>
      <c r="K46" s="55">
        <v>0</v>
      </c>
      <c r="L46" s="106">
        <v>0</v>
      </c>
      <c r="M46" s="55">
        <v>0</v>
      </c>
      <c r="N46" s="55">
        <v>0</v>
      </c>
      <c r="O46" s="108"/>
      <c r="P46" s="55">
        <v>0</v>
      </c>
      <c r="Q46" s="204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202">
        <v>0</v>
      </c>
      <c r="H47" s="57" t="str">
        <f t="shared" si="0"/>
        <v>(300, 350]</v>
      </c>
      <c r="I47" s="195">
        <v>0</v>
      </c>
      <c r="J47" s="55">
        <v>0</v>
      </c>
      <c r="K47" s="55">
        <v>0</v>
      </c>
      <c r="L47" s="106">
        <v>0</v>
      </c>
      <c r="M47" s="55">
        <v>0</v>
      </c>
      <c r="N47" s="55">
        <v>0</v>
      </c>
      <c r="O47" s="108"/>
      <c r="P47" s="55">
        <v>0</v>
      </c>
      <c r="Q47" s="204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202">
        <v>0</v>
      </c>
      <c r="H48" s="57" t="str">
        <f t="shared" si="0"/>
        <v>(350, 400]</v>
      </c>
      <c r="I48" s="195">
        <v>0</v>
      </c>
      <c r="J48" s="55">
        <v>0</v>
      </c>
      <c r="K48" s="55">
        <v>0</v>
      </c>
      <c r="L48" s="106">
        <v>0</v>
      </c>
      <c r="M48" s="55">
        <v>0</v>
      </c>
      <c r="N48" s="55">
        <v>0</v>
      </c>
      <c r="O48" s="108"/>
      <c r="P48" s="55">
        <v>0</v>
      </c>
      <c r="Q48" s="204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202">
        <v>0</v>
      </c>
      <c r="H49" s="57" t="str">
        <f t="shared" si="0"/>
        <v>(400, 450]</v>
      </c>
      <c r="I49" s="195">
        <v>0</v>
      </c>
      <c r="J49" s="55">
        <v>0</v>
      </c>
      <c r="K49" s="55">
        <v>0</v>
      </c>
      <c r="L49" s="106">
        <v>0</v>
      </c>
      <c r="M49" s="55">
        <v>0</v>
      </c>
      <c r="N49" s="55">
        <v>0</v>
      </c>
      <c r="O49" s="108"/>
      <c r="P49" s="55">
        <v>0</v>
      </c>
      <c r="Q49" s="204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202">
        <v>0</v>
      </c>
      <c r="H50" s="57" t="str">
        <f t="shared" si="0"/>
        <v>(450, 500]</v>
      </c>
      <c r="I50" s="195">
        <v>0</v>
      </c>
      <c r="J50" s="55">
        <v>0</v>
      </c>
      <c r="K50" s="55">
        <v>0</v>
      </c>
      <c r="L50" s="106">
        <v>0</v>
      </c>
      <c r="M50" s="55">
        <v>0</v>
      </c>
      <c r="N50" s="55">
        <v>0</v>
      </c>
      <c r="O50" s="108"/>
      <c r="P50" s="55">
        <v>0</v>
      </c>
      <c r="Q50" s="204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202">
        <v>0</v>
      </c>
      <c r="H51" s="57" t="str">
        <f t="shared" si="0"/>
        <v>(500, 550]</v>
      </c>
      <c r="I51" s="195">
        <v>0</v>
      </c>
      <c r="J51" s="55">
        <v>0</v>
      </c>
      <c r="K51" s="55">
        <v>0</v>
      </c>
      <c r="L51" s="106">
        <v>0</v>
      </c>
      <c r="M51" s="55">
        <v>0</v>
      </c>
      <c r="N51" s="55">
        <v>0</v>
      </c>
      <c r="O51" s="108"/>
      <c r="P51" s="55">
        <v>0</v>
      </c>
      <c r="Q51" s="204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202">
        <v>0</v>
      </c>
      <c r="H52" s="57" t="str">
        <f t="shared" si="0"/>
        <v>(550, 600]</v>
      </c>
      <c r="I52" s="195">
        <v>0</v>
      </c>
      <c r="J52" s="55">
        <v>0</v>
      </c>
      <c r="K52" s="55">
        <v>0</v>
      </c>
      <c r="L52" s="106">
        <v>0</v>
      </c>
      <c r="M52" s="55">
        <v>0</v>
      </c>
      <c r="N52" s="55">
        <v>0</v>
      </c>
      <c r="O52" s="108"/>
      <c r="P52" s="55">
        <v>0</v>
      </c>
      <c r="Q52" s="204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202">
        <v>0</v>
      </c>
      <c r="H53" s="57" t="str">
        <f t="shared" si="0"/>
        <v>(600, 650]</v>
      </c>
      <c r="I53" s="195">
        <v>0</v>
      </c>
      <c r="J53" s="55">
        <v>0</v>
      </c>
      <c r="K53" s="55">
        <v>0</v>
      </c>
      <c r="L53" s="106">
        <v>0</v>
      </c>
      <c r="M53" s="55">
        <v>0</v>
      </c>
      <c r="N53" s="55">
        <v>0</v>
      </c>
      <c r="O53" s="108"/>
      <c r="P53" s="55">
        <v>0</v>
      </c>
      <c r="Q53" s="204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202">
        <v>0</v>
      </c>
      <c r="H54" s="57" t="str">
        <f t="shared" si="0"/>
        <v>(650, 700]</v>
      </c>
      <c r="I54" s="195">
        <v>0</v>
      </c>
      <c r="J54" s="55">
        <v>0</v>
      </c>
      <c r="K54" s="55">
        <v>0</v>
      </c>
      <c r="L54" s="106">
        <v>0</v>
      </c>
      <c r="M54" s="55">
        <v>0</v>
      </c>
      <c r="N54" s="55">
        <v>0</v>
      </c>
      <c r="O54" s="108"/>
      <c r="P54" s="55">
        <v>0</v>
      </c>
      <c r="Q54" s="204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202">
        <v>0</v>
      </c>
      <c r="H55" s="57" t="str">
        <f t="shared" si="0"/>
        <v>(700, 750]</v>
      </c>
      <c r="I55" s="195">
        <v>0</v>
      </c>
      <c r="J55" s="55">
        <v>0</v>
      </c>
      <c r="K55" s="55">
        <v>0</v>
      </c>
      <c r="L55" s="106">
        <v>0</v>
      </c>
      <c r="M55" s="55">
        <v>0</v>
      </c>
      <c r="N55" s="55">
        <v>0</v>
      </c>
      <c r="O55" s="108"/>
      <c r="P55" s="55">
        <v>0</v>
      </c>
      <c r="Q55" s="204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202">
        <v>0</v>
      </c>
      <c r="H56" s="57" t="str">
        <f t="shared" si="0"/>
        <v>(750, 800]</v>
      </c>
      <c r="I56" s="195">
        <v>0</v>
      </c>
      <c r="J56" s="55">
        <v>0</v>
      </c>
      <c r="K56" s="55">
        <v>0</v>
      </c>
      <c r="L56" s="106">
        <v>0</v>
      </c>
      <c r="M56" s="55">
        <v>0</v>
      </c>
      <c r="N56" s="55">
        <v>0</v>
      </c>
      <c r="O56" s="108"/>
      <c r="P56" s="55">
        <v>0</v>
      </c>
      <c r="Q56" s="204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202">
        <v>0</v>
      </c>
      <c r="H57" s="57" t="str">
        <f t="shared" si="0"/>
        <v>(800, 850]</v>
      </c>
      <c r="I57" s="195">
        <v>0</v>
      </c>
      <c r="J57" s="55">
        <v>0</v>
      </c>
      <c r="K57" s="55">
        <v>0</v>
      </c>
      <c r="L57" s="106">
        <v>0</v>
      </c>
      <c r="M57" s="55">
        <v>0</v>
      </c>
      <c r="N57" s="55">
        <v>0</v>
      </c>
      <c r="O57" s="108"/>
      <c r="P57" s="55">
        <v>0</v>
      </c>
      <c r="Q57" s="204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202">
        <v>0</v>
      </c>
      <c r="H58" s="57" t="str">
        <f t="shared" si="0"/>
        <v>(850, 900]</v>
      </c>
      <c r="I58" s="195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08"/>
      <c r="P58" s="55">
        <v>0</v>
      </c>
      <c r="Q58" s="204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202">
        <v>0</v>
      </c>
      <c r="H59" s="57" t="str">
        <f t="shared" si="0"/>
        <v>(900, 950]</v>
      </c>
      <c r="I59" s="195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08"/>
      <c r="P59" s="55">
        <v>0</v>
      </c>
      <c r="Q59" s="204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202">
        <v>0</v>
      </c>
      <c r="H60" s="57" t="str">
        <f t="shared" si="0"/>
        <v>(950, 1000]</v>
      </c>
      <c r="I60" s="195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08"/>
      <c r="P60" s="55">
        <v>0</v>
      </c>
      <c r="Q60" s="204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202">
        <v>0</v>
      </c>
      <c r="H61" s="57" t="str">
        <f t="shared" si="0"/>
        <v>(1000, 2000]</v>
      </c>
      <c r="I61" s="195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08"/>
      <c r="P61" s="55">
        <v>0</v>
      </c>
      <c r="Q61" s="204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202">
        <v>0</v>
      </c>
      <c r="H62" s="57" t="str">
        <f t="shared" si="0"/>
        <v>(2000, 3000]</v>
      </c>
      <c r="I62" s="195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08"/>
      <c r="P62" s="55">
        <v>0</v>
      </c>
      <c r="Q62" s="204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202">
        <v>0</v>
      </c>
      <c r="H63" s="57" t="str">
        <f t="shared" si="0"/>
        <v>(3000, 4000]</v>
      </c>
      <c r="I63" s="195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08"/>
      <c r="P63" s="55">
        <v>0</v>
      </c>
      <c r="Q63" s="204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202">
        <v>0</v>
      </c>
      <c r="H64" s="57" t="str">
        <f t="shared" si="0"/>
        <v>(4000, 5000]</v>
      </c>
      <c r="I64" s="195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08"/>
      <c r="P64" s="55">
        <v>0</v>
      </c>
      <c r="Q64" s="204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202">
        <v>0</v>
      </c>
      <c r="H65" s="57" t="str">
        <f t="shared" si="0"/>
        <v>(5000, 6000]</v>
      </c>
      <c r="I65" s="195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08"/>
      <c r="P65" s="55">
        <v>0</v>
      </c>
      <c r="Q65" s="204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202">
        <v>0</v>
      </c>
      <c r="H66" s="57" t="str">
        <f t="shared" si="0"/>
        <v>(6000, 7000]</v>
      </c>
      <c r="I66" s="195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08"/>
      <c r="P66" s="55">
        <v>0</v>
      </c>
      <c r="Q66" s="204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202">
        <v>0</v>
      </c>
      <c r="H67" s="57" t="str">
        <f t="shared" si="0"/>
        <v>(7000, 8000]</v>
      </c>
      <c r="I67" s="195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08"/>
      <c r="P67" s="55">
        <v>0</v>
      </c>
      <c r="Q67" s="204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202">
        <v>0</v>
      </c>
      <c r="H68" s="57" t="str">
        <f t="shared" si="0"/>
        <v>(8000, 9000]</v>
      </c>
      <c r="I68" s="195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08"/>
      <c r="P68" s="55">
        <v>0</v>
      </c>
      <c r="Q68" s="204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202">
        <v>0</v>
      </c>
      <c r="H69" s="57" t="str">
        <f t="shared" si="0"/>
        <v>(9000, 10000]</v>
      </c>
      <c r="I69" s="195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08"/>
      <c r="P69" s="55">
        <v>0</v>
      </c>
      <c r="Q69" s="204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202">
        <v>0</v>
      </c>
      <c r="H70" s="57" t="str">
        <f t="shared" si="0"/>
        <v>(10000, 20000]</v>
      </c>
      <c r="I70" s="195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08"/>
      <c r="P70" s="55">
        <v>0</v>
      </c>
      <c r="Q70" s="204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202">
        <v>0</v>
      </c>
      <c r="H71" s="57" t="str">
        <f t="shared" si="0"/>
        <v>(20000, 30000]</v>
      </c>
      <c r="I71" s="195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08"/>
      <c r="P71" s="55">
        <v>0</v>
      </c>
      <c r="Q71" s="204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202">
        <v>0</v>
      </c>
      <c r="H72" s="57" t="str">
        <f t="shared" si="0"/>
        <v>(30000, 40000]</v>
      </c>
      <c r="I72" s="195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08"/>
      <c r="P72" s="55">
        <v>0</v>
      </c>
      <c r="Q72" s="204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202">
        <v>0</v>
      </c>
      <c r="H73" s="57" t="str">
        <f t="shared" si="0"/>
        <v>(40000, 50000]</v>
      </c>
      <c r="I73" s="195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08"/>
      <c r="P73" s="55">
        <v>0</v>
      </c>
      <c r="Q73" s="204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202">
        <v>0</v>
      </c>
      <c r="H74" s="57" t="str">
        <f t="shared" si="0"/>
        <v>(50000, 60000]</v>
      </c>
      <c r="I74" s="195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08"/>
      <c r="P74" s="55">
        <v>0</v>
      </c>
      <c r="Q74" s="204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202">
        <v>0</v>
      </c>
      <c r="H75" s="57" t="str">
        <f t="shared" si="0"/>
        <v>(60000, 70000]</v>
      </c>
      <c r="I75" s="195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08"/>
      <c r="P75" s="55">
        <v>0</v>
      </c>
      <c r="Q75" s="204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202">
        <v>0</v>
      </c>
      <c r="H76" s="57" t="str">
        <f t="shared" si="0"/>
        <v>(70000, 80000]</v>
      </c>
      <c r="I76" s="195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08"/>
      <c r="P76" s="55">
        <v>0</v>
      </c>
      <c r="Q76" s="204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202">
        <v>0</v>
      </c>
      <c r="H77" s="57" t="str">
        <f t="shared" si="0"/>
        <v>(80000, 90000]</v>
      </c>
      <c r="I77" s="195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08"/>
      <c r="P77" s="55">
        <v>0</v>
      </c>
      <c r="Q77" s="204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202">
        <v>0</v>
      </c>
      <c r="H78" s="57" t="str">
        <f t="shared" si="0"/>
        <v>(90000, 100000]</v>
      </c>
      <c r="I78" s="195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08"/>
      <c r="P78" s="55">
        <v>0</v>
      </c>
      <c r="Q78" s="204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202">
        <v>0</v>
      </c>
      <c r="H79" s="57" t="str">
        <f t="shared" si="0"/>
        <v>(100000, 9999999]</v>
      </c>
      <c r="I79" s="195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08"/>
      <c r="P79" s="55">
        <v>0</v>
      </c>
      <c r="Q79" s="204">
        <v>0</v>
      </c>
      <c r="R79" s="55">
        <v>0</v>
      </c>
      <c r="S79" s="78">
        <v>0</v>
      </c>
    </row>
    <row r="80" spans="1:20">
      <c r="A80" s="220" t="s">
        <v>72</v>
      </c>
      <c r="B80" s="221"/>
      <c r="C80" s="68">
        <f>E80*B14</f>
        <v>13362000</v>
      </c>
      <c r="D80" s="91" cm="1">
        <f t="array" ref="D80:D81">Multiplier_Weight_Oldhand!D80:D81</f>
        <v>360008300</v>
      </c>
      <c r="E80" s="174">
        <f>Multiplier_Weight_Oldhand!E80</f>
        <v>1.3362000000000001E-2</v>
      </c>
      <c r="F80" s="88">
        <v>0.26942695704235892</v>
      </c>
      <c r="G80" s="202"/>
      <c r="H80" s="57" t="s">
        <v>72</v>
      </c>
      <c r="I80" s="195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4.195569055894955E-3</v>
      </c>
      <c r="N80" s="55">
        <v>1.1303994037908604E-3</v>
      </c>
      <c r="P80" s="47"/>
      <c r="Q80" s="47"/>
      <c r="R80" s="47"/>
      <c r="S80" s="47"/>
      <c r="T80" s="47"/>
    </row>
    <row r="81" spans="1:20">
      <c r="A81" s="220" t="s">
        <v>73</v>
      </c>
      <c r="B81" s="221"/>
      <c r="C81" s="68">
        <v>10000000</v>
      </c>
      <c r="D81" s="91">
        <v>0</v>
      </c>
      <c r="E81" s="55">
        <v>1</v>
      </c>
      <c r="F81" s="88">
        <v>0</v>
      </c>
      <c r="G81" s="202"/>
      <c r="H81" s="57" t="s">
        <v>73</v>
      </c>
      <c r="I81" s="76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0">
      <c r="A83" s="48"/>
      <c r="D83" s="104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3" customFormat="1">
      <c r="A84" s="222" t="s">
        <v>262</v>
      </c>
      <c r="B84" s="222"/>
      <c r="C84" s="222"/>
      <c r="D84" s="222"/>
      <c r="E84" s="168"/>
      <c r="F84" s="168"/>
      <c r="G84" s="169"/>
      <c r="H84" s="170"/>
      <c r="I84" s="171"/>
      <c r="J84" s="172"/>
      <c r="K84" s="172"/>
      <c r="L84" s="172"/>
      <c r="M84" s="172"/>
      <c r="N84" s="172"/>
      <c r="O84" s="169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3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322</v>
      </c>
      <c r="Q87" s="180" t="s">
        <v>322</v>
      </c>
      <c r="R87" s="81" t="s">
        <v>321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1.0000000000000001E-5</v>
      </c>
      <c r="H88" s="57" t="str">
        <f>"("&amp;$A88&amp;", "&amp;$B88&amp;"]"</f>
        <v>(-1, 0]</v>
      </c>
      <c r="I88" s="205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0.71237372251426712</v>
      </c>
      <c r="L88" s="106" cm="1">
        <f t="array" ref="L88:L152">INT(K88:K152*$B$2)</f>
        <v>712373722</v>
      </c>
      <c r="M88" s="55" cm="1">
        <f t="array" ref="M88:M152">_xlfn.LET(_xlpm.x, L88:L152, _xlpm.x/SUM(_xlpm.x))</f>
        <v>0.71208294435383901</v>
      </c>
      <c r="N88" s="55" cm="1">
        <f t="array" ref="N88:N152">M88:M152*F88:F152</f>
        <v>0</v>
      </c>
      <c r="O88" s="108"/>
      <c r="P88" s="55" cm="1">
        <f t="array" ref="P88:P151">M88:M151</f>
        <v>0.71208294435383901</v>
      </c>
      <c r="Q88" s="204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-1754</v>
      </c>
      <c r="H89" s="57" t="str">
        <f t="shared" ref="H89:H151" si="1">"("&amp;$A89&amp;", "&amp;$B89&amp;"]"</f>
        <v>(0, 1]</v>
      </c>
      <c r="I89" s="205">
        <v>1.18</v>
      </c>
      <c r="J89" s="55">
        <v>0.16106442614279243</v>
      </c>
      <c r="K89" s="55">
        <v>0.15792917056902514</v>
      </c>
      <c r="L89" s="106">
        <v>157929170</v>
      </c>
      <c r="M89" s="55">
        <v>0.15786470626292695</v>
      </c>
      <c r="N89" s="55">
        <v>6.8802259521490911E-2</v>
      </c>
      <c r="O89" s="108"/>
      <c r="P89" s="55">
        <v>0.15786470626292695</v>
      </c>
      <c r="Q89" s="204">
        <v>0.16136085442046003</v>
      </c>
      <c r="R89" s="55"/>
      <c r="S89" s="78">
        <v>1.02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0.98246</v>
      </c>
      <c r="H90" s="57" t="str">
        <f t="shared" si="1"/>
        <v>(1, 2]</v>
      </c>
      <c r="I90" s="205">
        <v>1.3</v>
      </c>
      <c r="J90" s="55">
        <v>4.5199946092465207E-2</v>
      </c>
      <c r="K90" s="55">
        <v>4.4320090830107364E-2</v>
      </c>
      <c r="L90" s="106">
        <v>44320090</v>
      </c>
      <c r="M90" s="55">
        <v>4.430199936716242E-2</v>
      </c>
      <c r="N90" s="55">
        <v>6.6331665391379774E-2</v>
      </c>
      <c r="O90" s="108"/>
      <c r="P90" s="55">
        <v>4.430199936716242E-2</v>
      </c>
      <c r="Q90" s="204">
        <v>4.5756934610305687E-2</v>
      </c>
      <c r="R90" s="55"/>
      <c r="S90" s="78">
        <v>1.03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2"/>
      <c r="H91" s="57" t="str">
        <f t="shared" si="1"/>
        <v>(2, 3]</v>
      </c>
      <c r="I91" s="205">
        <v>1.32</v>
      </c>
      <c r="J91" s="55">
        <v>2.1433207268874512E-2</v>
      </c>
      <c r="K91" s="55">
        <v>2.1015991722507538E-2</v>
      </c>
      <c r="L91" s="106">
        <v>21015991</v>
      </c>
      <c r="M91" s="55">
        <v>2.100741266505305E-2</v>
      </c>
      <c r="N91" s="55">
        <v>5.2893224095572629E-2</v>
      </c>
      <c r="O91" s="108"/>
      <c r="P91" s="55">
        <v>2.100741266505305E-2</v>
      </c>
      <c r="Q91" s="204">
        <v>2.1758000231243222E-2</v>
      </c>
      <c r="R91" s="55"/>
      <c r="S91" s="78">
        <v>1.04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2"/>
      <c r="H92" s="57" t="str">
        <f t="shared" si="1"/>
        <v>(3, 4]</v>
      </c>
      <c r="I92" s="205">
        <v>1.08</v>
      </c>
      <c r="J92" s="55">
        <v>8.7213902268669496E-3</v>
      </c>
      <c r="K92" s="55">
        <v>8.5516209738132534E-3</v>
      </c>
      <c r="L92" s="106">
        <v>8551620</v>
      </c>
      <c r="M92" s="55">
        <v>8.5481293884604806E-3</v>
      </c>
      <c r="N92" s="55">
        <v>3.0494997912281094E-2</v>
      </c>
      <c r="O92" s="108"/>
      <c r="P92" s="55">
        <v>8.5481293884604806E-3</v>
      </c>
      <c r="Q92" s="204">
        <v>8.5068854662453865E-3</v>
      </c>
      <c r="R92" s="55"/>
      <c r="S92" s="78">
        <v>1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2"/>
      <c r="H93" s="57" t="str">
        <f t="shared" si="1"/>
        <v>(4, 5]</v>
      </c>
      <c r="I93" s="205">
        <v>1.21</v>
      </c>
      <c r="J93" s="55">
        <v>6.8416552904360974E-3</v>
      </c>
      <c r="K93" s="55">
        <v>6.7084766711914155E-3</v>
      </c>
      <c r="L93" s="106">
        <v>6708476</v>
      </c>
      <c r="M93" s="55">
        <v>6.7057377254113038E-3</v>
      </c>
      <c r="N93" s="55">
        <v>3.0822454630688584E-2</v>
      </c>
      <c r="O93" s="108"/>
      <c r="P93" s="55">
        <v>6.7057377254113038E-3</v>
      </c>
      <c r="Q93" s="204">
        <v>6.6698354145381805E-3</v>
      </c>
      <c r="R93" s="55"/>
      <c r="S93" s="78">
        <v>0.99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2">
        <v>1.34</v>
      </c>
      <c r="H94" s="57" t="str">
        <f t="shared" si="1"/>
        <v>(5, 6]</v>
      </c>
      <c r="I94" s="195" cm="1">
        <f t="array" ref="I94:I151">G94:G151*G90</f>
        <v>1.3164964000000001</v>
      </c>
      <c r="J94" s="55">
        <v>5.5488849830405713E-3</v>
      </c>
      <c r="K94" s="55">
        <v>5.440871233586996E-3</v>
      </c>
      <c r="L94" s="106">
        <v>5440871</v>
      </c>
      <c r="M94" s="55">
        <v>5.4386501380934097E-3</v>
      </c>
      <c r="N94" s="55">
        <v>3.0376760503129419E-2</v>
      </c>
      <c r="O94" s="108"/>
      <c r="P94" s="55">
        <v>5.4386501380934097E-3</v>
      </c>
      <c r="Q94" s="204">
        <v>5.4541948981352501E-3</v>
      </c>
      <c r="R94" s="55"/>
      <c r="S94" s="78">
        <v>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2">
        <v>1.23</v>
      </c>
      <c r="H95" s="57" t="str">
        <f t="shared" si="1"/>
        <v>(6, 7]</v>
      </c>
      <c r="I95" s="195">
        <v>1.2084257999999999</v>
      </c>
      <c r="J95" s="55">
        <v>3.395445481828015E-3</v>
      </c>
      <c r="K95" s="55">
        <v>3.3293502575300915E-3</v>
      </c>
      <c r="L95" s="106">
        <v>3329350</v>
      </c>
      <c r="M95" s="55">
        <v>3.3279910215223436E-3</v>
      </c>
      <c r="N95" s="55">
        <v>2.1831836247639447E-2</v>
      </c>
      <c r="O95" s="108"/>
      <c r="P95" s="55">
        <v>3.3279910215223436E-3</v>
      </c>
      <c r="Q95" s="204">
        <v>3.3318405313007824E-3</v>
      </c>
      <c r="R95" s="55"/>
      <c r="S95" s="78">
        <v>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2">
        <v>1.01</v>
      </c>
      <c r="H96" s="57" t="str">
        <f t="shared" si="1"/>
        <v>(7, 8]</v>
      </c>
      <c r="I96" s="195">
        <v>0.99228459999999996</v>
      </c>
      <c r="J96" s="55">
        <v>2.8883021012124708E-3</v>
      </c>
      <c r="K96" s="55">
        <v>2.8320788526751315E-3</v>
      </c>
      <c r="L96" s="106">
        <v>2832078</v>
      </c>
      <c r="M96" s="55">
        <v>2.8309219986636896E-3</v>
      </c>
      <c r="N96" s="55">
        <v>2.1575492504066752E-2</v>
      </c>
      <c r="O96" s="108"/>
      <c r="P96" s="55">
        <v>2.8309219986636896E-3</v>
      </c>
      <c r="Q96" s="204">
        <v>2.8156200112303422E-3</v>
      </c>
      <c r="R96" s="55"/>
      <c r="S96" s="78">
        <v>0.99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2">
        <v>1.24</v>
      </c>
      <c r="H97" s="57" t="str">
        <f t="shared" si="1"/>
        <v>(8, 9]</v>
      </c>
      <c r="I97" s="195">
        <v>1.2182504000000001</v>
      </c>
      <c r="J97" s="55">
        <v>2.599654230752162E-3</v>
      </c>
      <c r="K97" s="55">
        <v>2.5490497576725044E-3</v>
      </c>
      <c r="L97" s="106">
        <v>2549049</v>
      </c>
      <c r="M97" s="55">
        <v>2.5480085258145005E-3</v>
      </c>
      <c r="N97" s="55">
        <v>2.1909333127011741E-2</v>
      </c>
      <c r="O97" s="108"/>
      <c r="P97" s="55">
        <v>2.5480085258145005E-3</v>
      </c>
      <c r="Q97" s="204">
        <v>2.5445965127515817E-3</v>
      </c>
      <c r="R97" s="55"/>
      <c r="S97" s="78">
        <v>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2">
        <v>1.2</v>
      </c>
      <c r="H98" s="57" t="str">
        <f t="shared" si="1"/>
        <v>(9, 10]</v>
      </c>
      <c r="I98" s="195">
        <v>1.178952</v>
      </c>
      <c r="J98" s="55">
        <v>2.3351752401291549E-3</v>
      </c>
      <c r="K98" s="55">
        <v>2.2897190747755004E-3</v>
      </c>
      <c r="L98" s="106">
        <v>2289719</v>
      </c>
      <c r="M98" s="55">
        <v>2.2887843794762094E-3</v>
      </c>
      <c r="N98" s="55">
        <v>2.2078326045296356E-2</v>
      </c>
      <c r="O98" s="108"/>
      <c r="P98" s="55">
        <v>2.2887843794762094E-3</v>
      </c>
      <c r="Q98" s="204">
        <v>2.2718729170527617E-3</v>
      </c>
      <c r="R98" s="55"/>
      <c r="S98" s="78">
        <v>0.99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2">
        <v>0.46</v>
      </c>
      <c r="H99" s="57" t="str">
        <f t="shared" si="1"/>
        <v>(10, 15]</v>
      </c>
      <c r="I99" s="195">
        <v>0.45193160000000004</v>
      </c>
      <c r="J99" s="55">
        <v>3.084822274216097E-3</v>
      </c>
      <c r="K99" s="55">
        <v>3.0247735939399013E-3</v>
      </c>
      <c r="L99" s="106">
        <v>3024773</v>
      </c>
      <c r="M99" s="55">
        <v>3.0235383441642371E-3</v>
      </c>
      <c r="N99" s="55">
        <v>3.7635682358300733E-2</v>
      </c>
      <c r="O99" s="108"/>
      <c r="P99" s="55">
        <v>3.0235383441642371E-3</v>
      </c>
      <c r="Q99" s="204">
        <v>3.0238589193723043E-3</v>
      </c>
      <c r="R99" s="55"/>
      <c r="S99" s="78">
        <v>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2">
        <v>0.89</v>
      </c>
      <c r="H100" s="103" t="str">
        <f t="shared" si="1"/>
        <v>(15, 20]</v>
      </c>
      <c r="I100" s="195">
        <v>0.87438939999999998</v>
      </c>
      <c r="J100" s="55">
        <v>4.013681736762257E-3</v>
      </c>
      <c r="K100" s="55">
        <v>3.935552019742339E-3</v>
      </c>
      <c r="L100" s="106">
        <v>3935552</v>
      </c>
      <c r="M100" s="55">
        <v>3.9339455811898119E-3</v>
      </c>
      <c r="N100" s="55">
        <v>6.8788491373908481E-2</v>
      </c>
      <c r="O100" s="108"/>
      <c r="P100" s="55">
        <v>3.9339455811898119E-3</v>
      </c>
      <c r="Q100" s="204">
        <v>3.9646257171216332E-3</v>
      </c>
      <c r="R100" s="55"/>
      <c r="S100" s="78">
        <v>1.01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2">
        <v>0.54</v>
      </c>
      <c r="H101" s="57" t="str">
        <f t="shared" si="1"/>
        <v>(20, 25]</v>
      </c>
      <c r="I101" s="195">
        <v>0.53052840000000001</v>
      </c>
      <c r="J101" s="55">
        <v>1.6829337213253096E-3</v>
      </c>
      <c r="K101" s="55">
        <v>1.6501739899778781E-3</v>
      </c>
      <c r="L101" s="106">
        <v>1650173</v>
      </c>
      <c r="M101" s="55">
        <v>1.6494994302066739E-3</v>
      </c>
      <c r="N101" s="55">
        <v>3.7178445330985445E-2</v>
      </c>
      <c r="O101" s="108"/>
      <c r="P101" s="55">
        <v>1.6494994302066739E-3</v>
      </c>
      <c r="Q101" s="204">
        <v>1.6558466895929445E-3</v>
      </c>
      <c r="R101" s="55"/>
      <c r="S101" s="78">
        <v>1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2">
        <v>0.27</v>
      </c>
      <c r="H102" s="57" t="str">
        <f t="shared" si="1"/>
        <v>(25, 30]</v>
      </c>
      <c r="I102" s="195">
        <v>0.26526420000000001</v>
      </c>
      <c r="J102" s="55">
        <v>6.7402124771476116E-4</v>
      </c>
      <c r="K102" s="55">
        <v>6.6090085282469527E-4</v>
      </c>
      <c r="L102" s="106">
        <v>660900</v>
      </c>
      <c r="M102" s="55">
        <v>6.6063023296562893E-4</v>
      </c>
      <c r="N102" s="55">
        <v>1.8196773879284513E-2</v>
      </c>
      <c r="O102" s="108"/>
      <c r="P102" s="55">
        <v>6.6063023296562893E-4</v>
      </c>
      <c r="Q102" s="204">
        <v>6.70909365952092E-4</v>
      </c>
      <c r="R102" s="55"/>
      <c r="S102" s="78">
        <v>1.02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2">
        <v>0.3</v>
      </c>
      <c r="H103" s="57" t="str">
        <f t="shared" si="1"/>
        <v>(30, 35]</v>
      </c>
      <c r="I103" s="195">
        <v>0.294738</v>
      </c>
      <c r="J103" s="55">
        <v>5.6123971386186377E-4</v>
      </c>
      <c r="K103" s="55">
        <v>5.5031470712235599E-4</v>
      </c>
      <c r="L103" s="106">
        <v>550314</v>
      </c>
      <c r="M103" s="55">
        <v>5.5008937210507963E-4</v>
      </c>
      <c r="N103" s="55">
        <v>1.7895506039709231E-2</v>
      </c>
      <c r="O103" s="108"/>
      <c r="P103" s="55">
        <v>5.5008937210507963E-4</v>
      </c>
      <c r="Q103" s="204">
        <v>5.6786647344428387E-4</v>
      </c>
      <c r="R103" s="55"/>
      <c r="S103" s="78">
        <v>1.03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2">
        <v>0.6</v>
      </c>
      <c r="H104" s="103" t="str">
        <f t="shared" si="1"/>
        <v>(35, 40]</v>
      </c>
      <c r="I104" s="195">
        <v>0.589476</v>
      </c>
      <c r="J104" s="55">
        <v>9.6897774283656785E-4</v>
      </c>
      <c r="K104" s="55">
        <v>9.501157697625668E-4</v>
      </c>
      <c r="L104" s="106">
        <v>950115</v>
      </c>
      <c r="M104" s="55">
        <v>9.4972718080517252E-4</v>
      </c>
      <c r="N104" s="55">
        <v>3.5657435414971468E-2</v>
      </c>
      <c r="O104" s="108"/>
      <c r="P104" s="55">
        <v>9.4972718080517252E-4</v>
      </c>
      <c r="Q104" s="204">
        <v>9.7218159420446463E-4</v>
      </c>
      <c r="R104" s="55"/>
      <c r="S104" s="78">
        <v>1.02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2">
        <v>0.16</v>
      </c>
      <c r="H105" s="57" t="str">
        <f t="shared" si="1"/>
        <v>(40, 45]</v>
      </c>
      <c r="I105" s="195">
        <v>0.15719360000000002</v>
      </c>
      <c r="J105" s="55">
        <v>2.1299765795218753E-4</v>
      </c>
      <c r="K105" s="55">
        <v>2.0885147800242055E-4</v>
      </c>
      <c r="L105" s="106">
        <v>208851</v>
      </c>
      <c r="M105" s="55">
        <v>2.0876575092314202E-4</v>
      </c>
      <c r="N105" s="55">
        <v>8.8988419114459771E-3</v>
      </c>
      <c r="O105" s="108"/>
      <c r="P105" s="55">
        <v>2.0876575092314202E-4</v>
      </c>
      <c r="Q105" s="204">
        <v>2.2260372959427685E-4</v>
      </c>
      <c r="R105" s="55"/>
      <c r="S105" s="78">
        <v>1.07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2">
        <v>0.19</v>
      </c>
      <c r="H106" s="57" t="str">
        <f t="shared" si="1"/>
        <v>(45, 50]</v>
      </c>
      <c r="I106" s="195">
        <v>0.18666740000000001</v>
      </c>
      <c r="J106" s="55">
        <v>2.1378392461342944E-4</v>
      </c>
      <c r="K106" s="55">
        <v>2.0962243931665838E-4</v>
      </c>
      <c r="L106" s="106">
        <v>209622</v>
      </c>
      <c r="M106" s="55">
        <v>2.0953643621534433E-4</v>
      </c>
      <c r="N106" s="55">
        <v>9.9878135475979773E-3</v>
      </c>
      <c r="O106" s="108"/>
      <c r="P106" s="55">
        <v>2.0953643621534433E-4</v>
      </c>
      <c r="Q106" s="204">
        <v>2.1215213191966382E-4</v>
      </c>
      <c r="R106" s="55"/>
      <c r="S106" s="78">
        <v>1.01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2">
        <v>0.34</v>
      </c>
      <c r="H107" s="103" t="str">
        <f t="shared" si="1"/>
        <v>(50, 60]</v>
      </c>
      <c r="I107" s="195">
        <v>0.33403640000000001</v>
      </c>
      <c r="J107" s="55">
        <v>6.3519581999666494E-4</v>
      </c>
      <c r="K107" s="55">
        <v>6.2283119496573075E-4</v>
      </c>
      <c r="L107" s="106">
        <v>622831</v>
      </c>
      <c r="M107" s="55">
        <v>6.2257677202029905E-4</v>
      </c>
      <c r="N107" s="55">
        <v>3.4180252575398661E-2</v>
      </c>
      <c r="O107" s="108"/>
      <c r="P107" s="55">
        <v>6.2257677202029905E-4</v>
      </c>
      <c r="Q107" s="204">
        <v>6.2280361502472517E-4</v>
      </c>
      <c r="R107" s="55"/>
      <c r="S107" s="78">
        <v>1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2">
        <v>0.11</v>
      </c>
      <c r="H108" s="57" t="str">
        <f t="shared" si="1"/>
        <v>(60, 70]</v>
      </c>
      <c r="I108" s="195">
        <v>0.1080706</v>
      </c>
      <c r="J108" s="55">
        <v>1.4994142371948922E-4</v>
      </c>
      <c r="K108" s="55">
        <v>1.4702268681579607E-4</v>
      </c>
      <c r="L108" s="106">
        <v>147022</v>
      </c>
      <c r="M108" s="55">
        <v>1.4696198836597473E-4</v>
      </c>
      <c r="N108" s="55">
        <v>9.5532711232363121E-3</v>
      </c>
      <c r="O108" s="108"/>
      <c r="P108" s="55">
        <v>1.4696198836597473E-4</v>
      </c>
      <c r="Q108" s="204">
        <v>1.5079862341928023E-4</v>
      </c>
      <c r="R108" s="55"/>
      <c r="S108" s="78">
        <v>1.03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2">
        <v>0.12</v>
      </c>
      <c r="H109" s="57" t="str">
        <f t="shared" si="1"/>
        <v>(70, 80]</v>
      </c>
      <c r="I109" s="195">
        <v>0.11789519999999999</v>
      </c>
      <c r="J109" s="55">
        <v>1.3229521836764891E-4</v>
      </c>
      <c r="K109" s="55">
        <v>1.297199798081286E-4</v>
      </c>
      <c r="L109" s="106">
        <v>129719</v>
      </c>
      <c r="M109" s="55">
        <v>1.2966605112735424E-4</v>
      </c>
      <c r="N109" s="55">
        <v>9.7249769827621093E-3</v>
      </c>
      <c r="O109" s="108"/>
      <c r="P109" s="55">
        <v>1.2966605112735424E-4</v>
      </c>
      <c r="Q109" s="204">
        <v>1.2982942429562834E-4</v>
      </c>
      <c r="R109" s="55"/>
      <c r="S109" s="78">
        <v>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2">
        <v>0</v>
      </c>
      <c r="H110" s="57" t="str">
        <f t="shared" si="1"/>
        <v>(80, 90]</v>
      </c>
      <c r="I110" s="195">
        <v>0</v>
      </c>
      <c r="J110" s="55">
        <v>0</v>
      </c>
      <c r="K110" s="55">
        <v>0</v>
      </c>
      <c r="L110" s="106">
        <v>0</v>
      </c>
      <c r="M110" s="55">
        <v>0</v>
      </c>
      <c r="N110" s="55">
        <v>0</v>
      </c>
      <c r="O110" s="108"/>
      <c r="P110" s="55">
        <v>0</v>
      </c>
      <c r="Q110" s="204">
        <v>1.1201240542940448E-4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2">
        <v>0</v>
      </c>
      <c r="H111" s="57" t="str">
        <f t="shared" si="1"/>
        <v>(90, 100]</v>
      </c>
      <c r="I111" s="195">
        <v>0</v>
      </c>
      <c r="J111" s="55">
        <v>0</v>
      </c>
      <c r="K111" s="55">
        <v>0</v>
      </c>
      <c r="L111" s="106">
        <v>0</v>
      </c>
      <c r="M111" s="55">
        <v>0</v>
      </c>
      <c r="N111" s="55">
        <v>0</v>
      </c>
      <c r="O111" s="108"/>
      <c r="P111" s="55">
        <v>0</v>
      </c>
      <c r="Q111" s="204">
        <v>1.0128479197082886E-4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2">
        <v>0</v>
      </c>
      <c r="H112" s="57" t="str">
        <f t="shared" si="1"/>
        <v>(100, 120]</v>
      </c>
      <c r="I112" s="195">
        <v>0</v>
      </c>
      <c r="J112" s="55">
        <v>0</v>
      </c>
      <c r="K112" s="55">
        <v>0</v>
      </c>
      <c r="L112" s="106">
        <v>0</v>
      </c>
      <c r="M112" s="55">
        <v>0</v>
      </c>
      <c r="N112" s="55">
        <v>0</v>
      </c>
      <c r="O112" s="108"/>
      <c r="P112" s="55">
        <v>0</v>
      </c>
      <c r="Q112" s="204">
        <v>0</v>
      </c>
      <c r="R112" s="55"/>
      <c r="S112" s="78">
        <v>0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2">
        <v>0</v>
      </c>
      <c r="H113" s="57" t="str">
        <f t="shared" si="1"/>
        <v>(120, 140]</v>
      </c>
      <c r="I113" s="195">
        <v>0</v>
      </c>
      <c r="J113" s="55">
        <v>0</v>
      </c>
      <c r="K113" s="55">
        <v>0</v>
      </c>
      <c r="L113" s="106">
        <v>0</v>
      </c>
      <c r="M113" s="55">
        <v>0</v>
      </c>
      <c r="N113" s="55">
        <v>0</v>
      </c>
      <c r="O113" s="108"/>
      <c r="P113" s="55">
        <v>0</v>
      </c>
      <c r="Q113" s="204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2">
        <v>0</v>
      </c>
      <c r="H114" s="57" t="str">
        <f t="shared" si="1"/>
        <v>(140, 160]</v>
      </c>
      <c r="I114" s="195">
        <v>0</v>
      </c>
      <c r="J114" s="55">
        <v>0</v>
      </c>
      <c r="K114" s="55">
        <v>0</v>
      </c>
      <c r="L114" s="106">
        <v>0</v>
      </c>
      <c r="M114" s="55">
        <v>0</v>
      </c>
      <c r="N114" s="55">
        <v>0</v>
      </c>
      <c r="O114" s="108"/>
      <c r="P114" s="55">
        <v>0</v>
      </c>
      <c r="Q114" s="204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2">
        <v>0</v>
      </c>
      <c r="H115" s="57" t="str">
        <f t="shared" si="1"/>
        <v>(160, 180]</v>
      </c>
      <c r="I115" s="195">
        <v>0</v>
      </c>
      <c r="J115" s="55">
        <v>0</v>
      </c>
      <c r="K115" s="55">
        <v>0</v>
      </c>
      <c r="L115" s="106">
        <v>0</v>
      </c>
      <c r="M115" s="55">
        <v>0</v>
      </c>
      <c r="N115" s="55">
        <v>0</v>
      </c>
      <c r="O115" s="108"/>
      <c r="P115" s="55">
        <v>0</v>
      </c>
      <c r="Q115" s="204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2">
        <v>0</v>
      </c>
      <c r="H116" s="57" t="str">
        <f t="shared" si="1"/>
        <v>(180, 200]</v>
      </c>
      <c r="I116" s="195">
        <v>0</v>
      </c>
      <c r="J116" s="55">
        <v>0</v>
      </c>
      <c r="K116" s="55">
        <v>0</v>
      </c>
      <c r="L116" s="106">
        <v>0</v>
      </c>
      <c r="M116" s="55">
        <v>0</v>
      </c>
      <c r="N116" s="55">
        <v>0</v>
      </c>
      <c r="O116" s="108"/>
      <c r="P116" s="55">
        <v>0</v>
      </c>
      <c r="Q116" s="204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2">
        <v>0</v>
      </c>
      <c r="H117" s="57" t="str">
        <f t="shared" si="1"/>
        <v>(200, 250]</v>
      </c>
      <c r="I117" s="195">
        <v>0</v>
      </c>
      <c r="J117" s="55">
        <v>0</v>
      </c>
      <c r="K117" s="55">
        <v>0</v>
      </c>
      <c r="L117" s="106">
        <v>0</v>
      </c>
      <c r="M117" s="55">
        <v>0</v>
      </c>
      <c r="N117" s="55">
        <v>0</v>
      </c>
      <c r="O117" s="108"/>
      <c r="P117" s="55">
        <v>0</v>
      </c>
      <c r="Q117" s="204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2">
        <v>0</v>
      </c>
      <c r="H118" s="57" t="str">
        <f t="shared" si="1"/>
        <v>(250, 300]</v>
      </c>
      <c r="I118" s="195">
        <v>0</v>
      </c>
      <c r="J118" s="55">
        <v>0</v>
      </c>
      <c r="K118" s="55">
        <v>0</v>
      </c>
      <c r="L118" s="106">
        <v>0</v>
      </c>
      <c r="M118" s="55">
        <v>0</v>
      </c>
      <c r="N118" s="55">
        <v>0</v>
      </c>
      <c r="O118" s="108"/>
      <c r="P118" s="55">
        <v>0</v>
      </c>
      <c r="Q118" s="204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2">
        <v>0</v>
      </c>
      <c r="H119" s="57" t="str">
        <f t="shared" si="1"/>
        <v>(300, 350]</v>
      </c>
      <c r="I119" s="195">
        <v>0</v>
      </c>
      <c r="J119" s="55">
        <v>0</v>
      </c>
      <c r="K119" s="55">
        <v>0</v>
      </c>
      <c r="L119" s="106">
        <v>0</v>
      </c>
      <c r="M119" s="55">
        <v>0</v>
      </c>
      <c r="N119" s="55">
        <v>0</v>
      </c>
      <c r="O119" s="108"/>
      <c r="P119" s="55">
        <v>0</v>
      </c>
      <c r="Q119" s="204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2">
        <v>0</v>
      </c>
      <c r="H120" s="57" t="str">
        <f t="shared" si="1"/>
        <v>(350, 400]</v>
      </c>
      <c r="I120" s="195">
        <v>0</v>
      </c>
      <c r="J120" s="55">
        <v>0</v>
      </c>
      <c r="K120" s="55">
        <v>0</v>
      </c>
      <c r="L120" s="106">
        <v>0</v>
      </c>
      <c r="M120" s="55">
        <v>0</v>
      </c>
      <c r="N120" s="55">
        <v>0</v>
      </c>
      <c r="O120" s="108"/>
      <c r="P120" s="55">
        <v>0</v>
      </c>
      <c r="Q120" s="204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2">
        <v>0</v>
      </c>
      <c r="H121" s="57" t="str">
        <f t="shared" si="1"/>
        <v>(400, 450]</v>
      </c>
      <c r="I121" s="195">
        <v>0</v>
      </c>
      <c r="J121" s="55">
        <v>0</v>
      </c>
      <c r="K121" s="55">
        <v>0</v>
      </c>
      <c r="L121" s="106">
        <v>0</v>
      </c>
      <c r="M121" s="55">
        <v>0</v>
      </c>
      <c r="N121" s="55">
        <v>0</v>
      </c>
      <c r="O121" s="108"/>
      <c r="P121" s="55">
        <v>0</v>
      </c>
      <c r="Q121" s="204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2">
        <v>0</v>
      </c>
      <c r="H122" s="57" t="str">
        <f t="shared" si="1"/>
        <v>(450, 500]</v>
      </c>
      <c r="I122" s="195">
        <v>0</v>
      </c>
      <c r="J122" s="55">
        <v>0</v>
      </c>
      <c r="K122" s="55">
        <v>0</v>
      </c>
      <c r="L122" s="106">
        <v>0</v>
      </c>
      <c r="M122" s="55">
        <v>0</v>
      </c>
      <c r="N122" s="55">
        <v>0</v>
      </c>
      <c r="O122" s="108"/>
      <c r="P122" s="55">
        <v>0</v>
      </c>
      <c r="Q122" s="204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2">
        <v>0</v>
      </c>
      <c r="H123" s="57" t="str">
        <f t="shared" si="1"/>
        <v>(500, 550]</v>
      </c>
      <c r="I123" s="195">
        <v>0</v>
      </c>
      <c r="J123" s="55">
        <v>0</v>
      </c>
      <c r="K123" s="55">
        <v>0</v>
      </c>
      <c r="L123" s="106">
        <v>0</v>
      </c>
      <c r="M123" s="55">
        <v>0</v>
      </c>
      <c r="N123" s="55">
        <v>0</v>
      </c>
      <c r="O123" s="108"/>
      <c r="P123" s="55">
        <v>0</v>
      </c>
      <c r="Q123" s="204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2">
        <v>0</v>
      </c>
      <c r="H124" s="57" t="str">
        <f t="shared" si="1"/>
        <v>(550, 600]</v>
      </c>
      <c r="I124" s="195">
        <v>0</v>
      </c>
      <c r="J124" s="55">
        <v>0</v>
      </c>
      <c r="K124" s="55">
        <v>0</v>
      </c>
      <c r="L124" s="106">
        <v>0</v>
      </c>
      <c r="M124" s="55">
        <v>0</v>
      </c>
      <c r="N124" s="55">
        <v>0</v>
      </c>
      <c r="O124" s="108"/>
      <c r="P124" s="55">
        <v>0</v>
      </c>
      <c r="Q124" s="204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2">
        <v>0</v>
      </c>
      <c r="H125" s="57" t="str">
        <f t="shared" si="1"/>
        <v>(600, 650]</v>
      </c>
      <c r="I125" s="195">
        <v>0</v>
      </c>
      <c r="J125" s="55">
        <v>0</v>
      </c>
      <c r="K125" s="55">
        <v>0</v>
      </c>
      <c r="L125" s="106">
        <v>0</v>
      </c>
      <c r="M125" s="55">
        <v>0</v>
      </c>
      <c r="N125" s="55">
        <v>0</v>
      </c>
      <c r="O125" s="108"/>
      <c r="P125" s="55">
        <v>0</v>
      </c>
      <c r="Q125" s="204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2">
        <v>0</v>
      </c>
      <c r="H126" s="57" t="str">
        <f t="shared" si="1"/>
        <v>(650, 700]</v>
      </c>
      <c r="I126" s="195">
        <v>0</v>
      </c>
      <c r="J126" s="55">
        <v>0</v>
      </c>
      <c r="K126" s="55">
        <v>0</v>
      </c>
      <c r="L126" s="106">
        <v>0</v>
      </c>
      <c r="M126" s="55">
        <v>0</v>
      </c>
      <c r="N126" s="55">
        <v>0</v>
      </c>
      <c r="O126" s="108"/>
      <c r="P126" s="55">
        <v>0</v>
      </c>
      <c r="Q126" s="204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2">
        <v>0</v>
      </c>
      <c r="H127" s="57" t="str">
        <f t="shared" si="1"/>
        <v>(700, 750]</v>
      </c>
      <c r="I127" s="195">
        <v>0</v>
      </c>
      <c r="J127" s="55">
        <v>0</v>
      </c>
      <c r="K127" s="55">
        <v>0</v>
      </c>
      <c r="L127" s="106">
        <v>0</v>
      </c>
      <c r="M127" s="55">
        <v>0</v>
      </c>
      <c r="N127" s="55">
        <v>0</v>
      </c>
      <c r="O127" s="108"/>
      <c r="P127" s="55">
        <v>0</v>
      </c>
      <c r="Q127" s="204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2">
        <v>0</v>
      </c>
      <c r="H128" s="57" t="str">
        <f t="shared" si="1"/>
        <v>(750, 800]</v>
      </c>
      <c r="I128" s="195">
        <v>0</v>
      </c>
      <c r="J128" s="55">
        <v>0</v>
      </c>
      <c r="K128" s="55">
        <v>0</v>
      </c>
      <c r="L128" s="106">
        <v>0</v>
      </c>
      <c r="M128" s="55">
        <v>0</v>
      </c>
      <c r="N128" s="55">
        <v>0</v>
      </c>
      <c r="O128" s="108"/>
      <c r="P128" s="55">
        <v>0</v>
      </c>
      <c r="Q128" s="204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2">
        <v>0</v>
      </c>
      <c r="H129" s="57" t="str">
        <f t="shared" si="1"/>
        <v>(800, 850]</v>
      </c>
      <c r="I129" s="195">
        <v>0</v>
      </c>
      <c r="J129" s="55">
        <v>0</v>
      </c>
      <c r="K129" s="55">
        <v>0</v>
      </c>
      <c r="L129" s="106">
        <v>0</v>
      </c>
      <c r="M129" s="55">
        <v>0</v>
      </c>
      <c r="N129" s="55">
        <v>0</v>
      </c>
      <c r="O129" s="108"/>
      <c r="P129" s="55">
        <v>0</v>
      </c>
      <c r="Q129" s="204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2">
        <v>0</v>
      </c>
      <c r="H130" s="57" t="str">
        <f t="shared" si="1"/>
        <v>(850, 900]</v>
      </c>
      <c r="I130" s="195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08"/>
      <c r="P130" s="55">
        <v>0</v>
      </c>
      <c r="Q130" s="204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2">
        <v>0</v>
      </c>
      <c r="H131" s="57" t="str">
        <f t="shared" si="1"/>
        <v>(900, 950]</v>
      </c>
      <c r="I131" s="195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08"/>
      <c r="P131" s="55">
        <v>0</v>
      </c>
      <c r="Q131" s="204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2">
        <v>0</v>
      </c>
      <c r="H132" s="57" t="str">
        <f t="shared" si="1"/>
        <v>(950, 1000]</v>
      </c>
      <c r="I132" s="195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08"/>
      <c r="P132" s="55">
        <v>0</v>
      </c>
      <c r="Q132" s="204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2">
        <v>0</v>
      </c>
      <c r="H133" s="57" t="str">
        <f t="shared" si="1"/>
        <v>(1000, 2000]</v>
      </c>
      <c r="I133" s="195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08"/>
      <c r="P133" s="55">
        <v>0</v>
      </c>
      <c r="Q133" s="204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2">
        <v>0</v>
      </c>
      <c r="H134" s="57" t="str">
        <f t="shared" si="1"/>
        <v>(2000, 3000]</v>
      </c>
      <c r="I134" s="195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08"/>
      <c r="P134" s="55">
        <v>0</v>
      </c>
      <c r="Q134" s="204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2">
        <v>0</v>
      </c>
      <c r="H135" s="57" t="str">
        <f t="shared" si="1"/>
        <v>(3000, 4000]</v>
      </c>
      <c r="I135" s="195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08"/>
      <c r="P135" s="55">
        <v>0</v>
      </c>
      <c r="Q135" s="204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2">
        <v>0</v>
      </c>
      <c r="H136" s="57" t="str">
        <f t="shared" si="1"/>
        <v>(4000, 5000]</v>
      </c>
      <c r="I136" s="195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08"/>
      <c r="P136" s="55">
        <v>0</v>
      </c>
      <c r="Q136" s="204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2">
        <v>0</v>
      </c>
      <c r="H137" s="57" t="str">
        <f t="shared" si="1"/>
        <v>(5000, 6000]</v>
      </c>
      <c r="I137" s="195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08"/>
      <c r="P137" s="55">
        <v>0</v>
      </c>
      <c r="Q137" s="204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2">
        <v>0</v>
      </c>
      <c r="H138" s="57" t="str">
        <f t="shared" si="1"/>
        <v>(6000, 7000]</v>
      </c>
      <c r="I138" s="195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08"/>
      <c r="P138" s="55">
        <v>0</v>
      </c>
      <c r="Q138" s="204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2">
        <v>0</v>
      </c>
      <c r="H139" s="57" t="str">
        <f t="shared" si="1"/>
        <v>(7000, 8000]</v>
      </c>
      <c r="I139" s="195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08"/>
      <c r="P139" s="55">
        <v>0</v>
      </c>
      <c r="Q139" s="204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2">
        <v>0</v>
      </c>
      <c r="H140" s="57" t="str">
        <f t="shared" si="1"/>
        <v>(8000, 9000]</v>
      </c>
      <c r="I140" s="195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08"/>
      <c r="P140" s="55">
        <v>0</v>
      </c>
      <c r="Q140" s="204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2">
        <v>0</v>
      </c>
      <c r="H141" s="57" t="str">
        <f t="shared" si="1"/>
        <v>(9000, 10000]</v>
      </c>
      <c r="I141" s="195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08"/>
      <c r="P141" s="55">
        <v>0</v>
      </c>
      <c r="Q141" s="204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2">
        <v>0</v>
      </c>
      <c r="H142" s="57" t="str">
        <f t="shared" si="1"/>
        <v>(10000, 20000]</v>
      </c>
      <c r="I142" s="195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08"/>
      <c r="P142" s="55">
        <v>0</v>
      </c>
      <c r="Q142" s="204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2">
        <v>0</v>
      </c>
      <c r="H143" s="57" t="str">
        <f t="shared" si="1"/>
        <v>(20000, 30000]</v>
      </c>
      <c r="I143" s="195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08"/>
      <c r="P143" s="55">
        <v>0</v>
      </c>
      <c r="Q143" s="204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2">
        <v>0</v>
      </c>
      <c r="H144" s="57" t="str">
        <f t="shared" si="1"/>
        <v>(30000, 40000]</v>
      </c>
      <c r="I144" s="195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08"/>
      <c r="P144" s="55">
        <v>0</v>
      </c>
      <c r="Q144" s="204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2">
        <v>0</v>
      </c>
      <c r="H145" s="57" t="str">
        <f t="shared" si="1"/>
        <v>(40000, 50000]</v>
      </c>
      <c r="I145" s="195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08"/>
      <c r="P145" s="55">
        <v>0</v>
      </c>
      <c r="Q145" s="204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2">
        <v>0</v>
      </c>
      <c r="H146" s="57" t="str">
        <f t="shared" si="1"/>
        <v>(50000, 60000]</v>
      </c>
      <c r="I146" s="195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08"/>
      <c r="P146" s="55">
        <v>0</v>
      </c>
      <c r="Q146" s="204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2">
        <v>0</v>
      </c>
      <c r="H147" s="57" t="str">
        <f t="shared" si="1"/>
        <v>(60000, 70000]</v>
      </c>
      <c r="I147" s="195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08"/>
      <c r="P147" s="55">
        <v>0</v>
      </c>
      <c r="Q147" s="204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2">
        <v>0</v>
      </c>
      <c r="H148" s="57" t="str">
        <f t="shared" si="1"/>
        <v>(70000, 80000]</v>
      </c>
      <c r="I148" s="195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08"/>
      <c r="P148" s="55">
        <v>0</v>
      </c>
      <c r="Q148" s="204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2">
        <v>0</v>
      </c>
      <c r="H149" s="57" t="str">
        <f t="shared" si="1"/>
        <v>(80000, 90000]</v>
      </c>
      <c r="I149" s="195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08"/>
      <c r="P149" s="55">
        <v>0</v>
      </c>
      <c r="Q149" s="204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2">
        <v>0</v>
      </c>
      <c r="H150" s="57" t="str">
        <f t="shared" si="1"/>
        <v>(90000, 100000]</v>
      </c>
      <c r="I150" s="195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08"/>
      <c r="P150" s="55">
        <v>0</v>
      </c>
      <c r="Q150" s="204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2">
        <v>0</v>
      </c>
      <c r="H151" s="57" t="str">
        <f t="shared" si="1"/>
        <v>(100000, 9999999]</v>
      </c>
      <c r="I151" s="195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08"/>
      <c r="P151" s="55">
        <v>0</v>
      </c>
      <c r="Q151" s="204">
        <v>0</v>
      </c>
      <c r="R151" s="55"/>
      <c r="S151" s="78">
        <v>0</v>
      </c>
    </row>
    <row r="152" spans="1:20">
      <c r="A152" s="220" t="s">
        <v>72</v>
      </c>
      <c r="B152" s="221"/>
      <c r="C152" s="68">
        <f>E152*B86</f>
        <v>13362000</v>
      </c>
      <c r="D152" s="91" cm="1">
        <f t="array" ref="D152:E152">D80:E80</f>
        <v>360008300</v>
      </c>
      <c r="E152" s="174">
        <v>1.3362000000000001E-2</v>
      </c>
      <c r="F152" s="88">
        <v>0.26942695704235892</v>
      </c>
      <c r="G152" s="202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2.096977703348793E-2</v>
      </c>
      <c r="N152" s="55">
        <v>5.6498232159893974E-3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4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19" t="s">
        <v>44</v>
      </c>
      <c r="B155" s="219"/>
      <c r="C155" s="219"/>
      <c r="D155" s="219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3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322</v>
      </c>
      <c r="Q158" s="180" t="s">
        <v>322</v>
      </c>
      <c r="R158" s="81" t="s">
        <v>321</v>
      </c>
      <c r="S158" s="81" t="s">
        <v>74</v>
      </c>
    </row>
    <row r="159" spans="1:20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9.9999999999999995E-7</v>
      </c>
      <c r="H159" s="57" t="str">
        <f>"("&amp;$A159&amp;", "&amp;$B159&amp;"]"</f>
        <v>(-1, 0]</v>
      </c>
      <c r="I159" s="205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6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08"/>
      <c r="P159" s="55" cm="1">
        <f t="array" ref="P159:P222">_xlfn.ANCHORARRAY(M159)</f>
        <v>0</v>
      </c>
      <c r="Q159" s="204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319094</v>
      </c>
      <c r="H160" s="57" t="str">
        <f t="shared" ref="H160:H222" si="2">"("&amp;$A160&amp;", "&amp;$B160&amp;"]"</f>
        <v>(0, 1]</v>
      </c>
      <c r="I160" s="205">
        <v>0</v>
      </c>
      <c r="J160" s="55">
        <v>0</v>
      </c>
      <c r="K160" s="55">
        <v>0</v>
      </c>
      <c r="L160" s="106">
        <v>0</v>
      </c>
      <c r="M160" s="55">
        <v>0</v>
      </c>
      <c r="N160" s="55">
        <v>0</v>
      </c>
      <c r="O160" s="108"/>
      <c r="P160" s="55">
        <v>0</v>
      </c>
      <c r="Q160" s="204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1.319094</v>
      </c>
      <c r="H161" s="57" t="str">
        <f t="shared" si="2"/>
        <v>(1, 2]</v>
      </c>
      <c r="I161" s="205">
        <v>0</v>
      </c>
      <c r="J161" s="55">
        <v>0</v>
      </c>
      <c r="K161" s="55">
        <v>0</v>
      </c>
      <c r="L161" s="106">
        <v>0</v>
      </c>
      <c r="M161" s="55">
        <v>0</v>
      </c>
      <c r="N161" s="55">
        <v>0</v>
      </c>
      <c r="O161" s="108"/>
      <c r="P161" s="55">
        <v>0</v>
      </c>
      <c r="Q161" s="204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108"/>
      <c r="H162" s="57" t="str">
        <f t="shared" si="2"/>
        <v>(2, 3]</v>
      </c>
      <c r="I162" s="205">
        <v>0</v>
      </c>
      <c r="J162" s="55">
        <v>0</v>
      </c>
      <c r="K162" s="55">
        <v>0</v>
      </c>
      <c r="L162" s="106">
        <v>0</v>
      </c>
      <c r="M162" s="55">
        <v>0</v>
      </c>
      <c r="N162" s="55">
        <v>0</v>
      </c>
      <c r="O162" s="108"/>
      <c r="P162" s="55">
        <v>0</v>
      </c>
      <c r="Q162" s="204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108"/>
      <c r="H163" s="57" t="str">
        <f t="shared" si="2"/>
        <v>(3, 4]</v>
      </c>
      <c r="I163" s="205">
        <v>0</v>
      </c>
      <c r="J163" s="55">
        <v>0</v>
      </c>
      <c r="K163" s="55">
        <v>0</v>
      </c>
      <c r="L163" s="106">
        <v>0</v>
      </c>
      <c r="M163" s="55">
        <v>0</v>
      </c>
      <c r="N163" s="55">
        <v>0</v>
      </c>
      <c r="O163" s="108"/>
      <c r="P163" s="55">
        <v>0</v>
      </c>
      <c r="Q163" s="204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108"/>
      <c r="H164" s="57" t="str">
        <f t="shared" si="2"/>
        <v>(4, 5]</v>
      </c>
      <c r="I164" s="205">
        <v>0</v>
      </c>
      <c r="J164" s="55">
        <v>0</v>
      </c>
      <c r="K164" s="55">
        <v>0</v>
      </c>
      <c r="L164" s="106">
        <v>0</v>
      </c>
      <c r="M164" s="55">
        <v>0</v>
      </c>
      <c r="N164" s="55">
        <v>0</v>
      </c>
      <c r="O164" s="108"/>
      <c r="P164" s="55">
        <v>0</v>
      </c>
      <c r="Q164" s="204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108"/>
      <c r="H165" s="57" t="str">
        <f t="shared" si="2"/>
        <v>(5, 6]</v>
      </c>
      <c r="I165" s="205">
        <v>0</v>
      </c>
      <c r="J165" s="55">
        <v>0</v>
      </c>
      <c r="K165" s="55">
        <v>0</v>
      </c>
      <c r="L165" s="106">
        <v>0</v>
      </c>
      <c r="M165" s="55">
        <v>0</v>
      </c>
      <c r="N165" s="55">
        <v>0</v>
      </c>
      <c r="O165" s="108"/>
      <c r="P165" s="55">
        <v>0</v>
      </c>
      <c r="Q165" s="204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108"/>
      <c r="H166" s="57" t="str">
        <f t="shared" si="2"/>
        <v>(6, 7]</v>
      </c>
      <c r="I166" s="205">
        <v>0</v>
      </c>
      <c r="J166" s="55">
        <v>0</v>
      </c>
      <c r="K166" s="55">
        <v>0</v>
      </c>
      <c r="L166" s="106">
        <v>0</v>
      </c>
      <c r="M166" s="55">
        <v>0</v>
      </c>
      <c r="N166" s="55">
        <v>0</v>
      </c>
      <c r="O166" s="108"/>
      <c r="P166" s="55">
        <v>0</v>
      </c>
      <c r="Q166" s="204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108"/>
      <c r="H167" s="57" t="str">
        <f t="shared" si="2"/>
        <v>(7, 8]</v>
      </c>
      <c r="I167" s="205">
        <v>0</v>
      </c>
      <c r="J167" s="55">
        <v>0</v>
      </c>
      <c r="K167" s="55">
        <v>0</v>
      </c>
      <c r="L167" s="106">
        <v>0</v>
      </c>
      <c r="M167" s="55">
        <v>0</v>
      </c>
      <c r="N167" s="55">
        <v>0</v>
      </c>
      <c r="O167" s="108"/>
      <c r="P167" s="55">
        <v>0</v>
      </c>
      <c r="Q167" s="204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108"/>
      <c r="H168" s="57" t="str">
        <f t="shared" si="2"/>
        <v>(8, 9]</v>
      </c>
      <c r="I168" s="205">
        <v>0</v>
      </c>
      <c r="J168" s="55">
        <v>0</v>
      </c>
      <c r="K168" s="55">
        <v>0</v>
      </c>
      <c r="L168" s="106">
        <v>0</v>
      </c>
      <c r="M168" s="55">
        <v>0</v>
      </c>
      <c r="N168" s="55">
        <v>0</v>
      </c>
      <c r="O168" s="108"/>
      <c r="P168" s="55">
        <v>0</v>
      </c>
      <c r="Q168" s="204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108"/>
      <c r="H169" s="57" t="str">
        <f t="shared" si="2"/>
        <v>(9, 10]</v>
      </c>
      <c r="I169" s="205">
        <v>0</v>
      </c>
      <c r="J169" s="55">
        <v>0</v>
      </c>
      <c r="K169" s="55">
        <v>0</v>
      </c>
      <c r="L169" s="106">
        <v>0</v>
      </c>
      <c r="M169" s="55">
        <v>0</v>
      </c>
      <c r="N169" s="55">
        <v>0</v>
      </c>
      <c r="O169" s="108"/>
      <c r="P169" s="55">
        <v>0</v>
      </c>
      <c r="Q169" s="204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108"/>
      <c r="H170" s="57" t="str">
        <f t="shared" si="2"/>
        <v>(10, 15]</v>
      </c>
      <c r="I170" s="205">
        <v>36.94</v>
      </c>
      <c r="J170" s="55">
        <v>0.13617586811186608</v>
      </c>
      <c r="K170" s="55">
        <v>0.12359457817118767</v>
      </c>
      <c r="L170" s="106">
        <v>123594578</v>
      </c>
      <c r="M170" s="55">
        <v>0.12359457948313496</v>
      </c>
      <c r="N170" s="55">
        <v>1.5540583456185728</v>
      </c>
      <c r="O170" s="108"/>
      <c r="P170" s="55">
        <v>0.12359457948313496</v>
      </c>
      <c r="Q170" s="204">
        <v>0.13126626188785775</v>
      </c>
      <c r="R170" s="55">
        <v>7.2289156626506021E-2</v>
      </c>
      <c r="S170" s="78">
        <v>1.06</v>
      </c>
      <c r="T170" s="94"/>
    </row>
    <row r="171" spans="1:20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108"/>
      <c r="H171" s="103" t="str">
        <f t="shared" si="2"/>
        <v>(15, 20]</v>
      </c>
      <c r="I171" s="205">
        <v>34.56</v>
      </c>
      <c r="J171" s="55">
        <v>0.13503905770749616</v>
      </c>
      <c r="K171" s="55">
        <v>0.12256279769248131</v>
      </c>
      <c r="L171" s="106">
        <v>122562797</v>
      </c>
      <c r="M171" s="55">
        <v>0.12256279847075358</v>
      </c>
      <c r="N171" s="55">
        <v>2.1534749063189351</v>
      </c>
      <c r="O171" s="108"/>
      <c r="P171" s="55">
        <v>0.12256279847075358</v>
      </c>
      <c r="Q171" s="204">
        <v>0.13125249088755481</v>
      </c>
      <c r="R171" s="55">
        <v>7.2289156626506021E-2</v>
      </c>
      <c r="S171" s="78">
        <v>1.07</v>
      </c>
      <c r="T171" s="94"/>
    </row>
    <row r="172" spans="1:20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108"/>
      <c r="H172" s="57" t="str">
        <f t="shared" si="2"/>
        <v>(20, 25]</v>
      </c>
      <c r="I172" s="205">
        <v>33.090000000000003</v>
      </c>
      <c r="J172" s="55">
        <v>0.13574523138908007</v>
      </c>
      <c r="K172" s="55">
        <v>0.12320372797991858</v>
      </c>
      <c r="L172" s="106">
        <v>123203727</v>
      </c>
      <c r="M172" s="55">
        <v>0.12320372847844474</v>
      </c>
      <c r="N172" s="55">
        <v>2.7796286943881672</v>
      </c>
      <c r="O172" s="108"/>
      <c r="P172" s="55">
        <v>0.12320372847844474</v>
      </c>
      <c r="Q172" s="204">
        <v>0.1312781858881201</v>
      </c>
      <c r="R172" s="55">
        <v>7.2289156626506021E-2</v>
      </c>
      <c r="S172" s="78">
        <v>1.07</v>
      </c>
      <c r="T172" s="94"/>
    </row>
    <row r="173" spans="1:20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108"/>
      <c r="H173" s="57" t="str">
        <f t="shared" si="2"/>
        <v>(25, 30]</v>
      </c>
      <c r="I173" s="205">
        <v>31.66</v>
      </c>
      <c r="J173" s="55">
        <v>0.13529184309786624</v>
      </c>
      <c r="K173" s="55">
        <v>0.12279222823787693</v>
      </c>
      <c r="L173" s="106">
        <v>122792228</v>
      </c>
      <c r="M173" s="55">
        <v>0.12279222947350675</v>
      </c>
      <c r="N173" s="55">
        <v>3.3835385172786969</v>
      </c>
      <c r="O173" s="108"/>
      <c r="P173" s="55">
        <v>0.12279222947350675</v>
      </c>
      <c r="Q173" s="204">
        <v>0.13224971290949369</v>
      </c>
      <c r="R173" s="55">
        <v>8.4337349397590355E-2</v>
      </c>
      <c r="S173" s="78">
        <v>1.08</v>
      </c>
      <c r="T173" s="94"/>
    </row>
    <row r="174" spans="1:20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108"/>
      <c r="H174" s="57" t="str">
        <f t="shared" si="2"/>
        <v>(30, 35]</v>
      </c>
      <c r="I174" s="205">
        <v>8.01</v>
      </c>
      <c r="J174" s="55">
        <v>3.5620575340560533E-2</v>
      </c>
      <c r="K174" s="55">
        <v>3.2329589996187902E-2</v>
      </c>
      <c r="L174" s="106">
        <v>32329589</v>
      </c>
      <c r="M174" s="55">
        <v>3.232958938795507E-2</v>
      </c>
      <c r="N174" s="55">
        <v>1.0526081233629514</v>
      </c>
      <c r="O174" s="108"/>
      <c r="P174" s="55">
        <v>3.232958938795507E-2</v>
      </c>
      <c r="Q174" s="204">
        <v>3.6550552804112159E-2</v>
      </c>
      <c r="R174" s="55">
        <v>3.614457831325301E-2</v>
      </c>
      <c r="S174" s="78">
        <v>1.1299999999999999</v>
      </c>
      <c r="T174" s="94"/>
    </row>
    <row r="175" spans="1:20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108"/>
      <c r="H175" s="103" t="str">
        <f t="shared" si="2"/>
        <v>(35, 40]</v>
      </c>
      <c r="I175" s="205">
        <v>6.26</v>
      </c>
      <c r="J175" s="55">
        <v>2.9018224983922918E-2</v>
      </c>
      <c r="K175" s="55">
        <v>2.6337230861038681E-2</v>
      </c>
      <c r="L175" s="106">
        <v>26337230</v>
      </c>
      <c r="M175" s="55">
        <v>2.6337230316046765E-2</v>
      </c>
      <c r="N175" s="55">
        <v>0.98908871753691019</v>
      </c>
      <c r="O175" s="108"/>
      <c r="P175" s="55">
        <v>2.6337230316046765E-2</v>
      </c>
      <c r="Q175" s="204">
        <v>2.9855874656829241E-2</v>
      </c>
      <c r="R175" s="55">
        <v>2.4096385542168676E-2</v>
      </c>
      <c r="S175" s="78">
        <v>1.1299999999999999</v>
      </c>
      <c r="T175" s="94"/>
    </row>
    <row r="176" spans="1:20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108"/>
      <c r="H176" s="57" t="str">
        <f t="shared" si="2"/>
        <v>(40, 45]</v>
      </c>
      <c r="I176" s="205">
        <v>5.94</v>
      </c>
      <c r="J176" s="55">
        <v>2.8674036585905362E-2</v>
      </c>
      <c r="K176" s="55">
        <v>2.6024842032869425E-2</v>
      </c>
      <c r="L176" s="106">
        <v>26024842</v>
      </c>
      <c r="M176" s="55">
        <v>2.6024842312298107E-2</v>
      </c>
      <c r="N176" s="55">
        <v>1.1074820434106489</v>
      </c>
      <c r="O176" s="108"/>
      <c r="P176" s="55">
        <v>2.6024842312298107E-2</v>
      </c>
      <c r="Q176" s="204">
        <v>2.9391089646603974E-2</v>
      </c>
      <c r="R176" s="55">
        <v>3.614457831325301E-2</v>
      </c>
      <c r="S176" s="78">
        <v>1.1299999999999999</v>
      </c>
      <c r="T176" s="94"/>
    </row>
    <row r="177" spans="1:20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108"/>
      <c r="H177" s="57" t="str">
        <f t="shared" si="2"/>
        <v>(45, 50]</v>
      </c>
      <c r="I177" s="205">
        <v>5.27</v>
      </c>
      <c r="J177" s="55">
        <v>2.622676383603989E-2</v>
      </c>
      <c r="K177" s="55">
        <v>2.3803672839066366E-2</v>
      </c>
      <c r="L177" s="106">
        <v>23803672</v>
      </c>
      <c r="M177" s="55">
        <v>2.3803672285644069E-2</v>
      </c>
      <c r="N177" s="55">
        <v>1.1319827350694598</v>
      </c>
      <c r="O177" s="108"/>
      <c r="P177" s="55">
        <v>2.3803672285644069E-2</v>
      </c>
      <c r="Q177" s="204">
        <v>2.7000172594003797E-2</v>
      </c>
      <c r="R177" s="55">
        <v>2.4096385542168676E-2</v>
      </c>
      <c r="S177" s="78">
        <v>1.1299999999999999</v>
      </c>
      <c r="T177" s="94"/>
    </row>
    <row r="178" spans="1:20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08">
        <v>2.12</v>
      </c>
      <c r="H178" s="103" t="str">
        <f t="shared" si="2"/>
        <v>(50, 60]</v>
      </c>
      <c r="I178" s="205" cm="1">
        <f t="array" ref="I178:I222">G178:G222*G161</f>
        <v>2.7964792800000002</v>
      </c>
      <c r="J178" s="55">
        <v>2.9274206806538087E-2</v>
      </c>
      <c r="K178" s="55">
        <v>2.6569562520269402E-2</v>
      </c>
      <c r="L178" s="106">
        <v>26569562</v>
      </c>
      <c r="M178" s="55">
        <v>2.6569562318834748E-2</v>
      </c>
      <c r="N178" s="55">
        <v>1.4638596837285685</v>
      </c>
      <c r="O178" s="108"/>
      <c r="P178" s="55">
        <v>2.6569562318834748E-2</v>
      </c>
      <c r="Q178" s="204">
        <v>2.2800440501609689E-2</v>
      </c>
      <c r="R178" s="55">
        <v>2.4096385542168676E-2</v>
      </c>
      <c r="S178" s="78">
        <v>0.86</v>
      </c>
      <c r="T178" s="94"/>
    </row>
    <row r="179" spans="1:20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08">
        <v>5.94</v>
      </c>
      <c r="H179" s="57" t="str">
        <f t="shared" si="2"/>
        <v>(60, 70]</v>
      </c>
      <c r="I179" s="205">
        <v>7.8354183600000002</v>
      </c>
      <c r="J179" s="55">
        <v>8.6111084599601512E-2</v>
      </c>
      <c r="K179" s="55">
        <v>7.8155280553881101E-2</v>
      </c>
      <c r="L179" s="106">
        <v>78155280</v>
      </c>
      <c r="M179" s="55">
        <v>7.8155280937863378E-2</v>
      </c>
      <c r="N179" s="55">
        <v>5.0855017037128389</v>
      </c>
      <c r="O179" s="108"/>
      <c r="P179" s="55">
        <v>7.8155280937863378E-2</v>
      </c>
      <c r="Q179" s="204">
        <v>6.7250440479509691E-2</v>
      </c>
      <c r="R179" s="55">
        <v>6.0240963855421686E-2</v>
      </c>
      <c r="S179" s="78">
        <v>0.86</v>
      </c>
      <c r="T179" s="94"/>
    </row>
    <row r="180" spans="1:20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08">
        <v>5.07</v>
      </c>
      <c r="H180" s="57" t="str">
        <f t="shared" si="2"/>
        <v>(70, 80]</v>
      </c>
      <c r="I180" s="205">
        <v>6.6878065800000002</v>
      </c>
      <c r="J180" s="55">
        <v>7.7328088514163298E-2</v>
      </c>
      <c r="K180" s="55">
        <v>7.0183745572608328E-2</v>
      </c>
      <c r="L180" s="106">
        <v>70183745</v>
      </c>
      <c r="M180" s="55">
        <v>7.018374584220495E-2</v>
      </c>
      <c r="N180" s="55">
        <v>5.2684519410022235</v>
      </c>
      <c r="O180" s="108"/>
      <c r="P180" s="55">
        <v>7.018374584220495E-2</v>
      </c>
      <c r="Q180" s="204">
        <v>6.064221133412865E-2</v>
      </c>
      <c r="R180" s="55">
        <v>4.8192771084337352E-2</v>
      </c>
      <c r="S180" s="78">
        <v>0.86</v>
      </c>
      <c r="T180" s="94"/>
    </row>
    <row r="181" spans="1:20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08">
        <v>2.4900000000000002</v>
      </c>
      <c r="H181" s="57" t="str">
        <f t="shared" si="2"/>
        <v>(80, 90]</v>
      </c>
      <c r="I181" s="205">
        <v>3.2845440600000004</v>
      </c>
      <c r="J181" s="55">
        <v>3.9373727739807518E-2</v>
      </c>
      <c r="K181" s="55">
        <v>3.5735988604317585E-2</v>
      </c>
      <c r="L181" s="106">
        <v>35735988</v>
      </c>
      <c r="M181" s="55">
        <v>3.5735988428831862E-2</v>
      </c>
      <c r="N181" s="55">
        <v>3.0394816141009726</v>
      </c>
      <c r="O181" s="108"/>
      <c r="P181" s="55">
        <v>3.5735988428831862E-2</v>
      </c>
      <c r="Q181" s="204">
        <v>3.0830899678279792E-2</v>
      </c>
      <c r="R181" s="55">
        <v>2.4096385542168676E-2</v>
      </c>
      <c r="S181" s="78">
        <v>0.86</v>
      </c>
      <c r="T181" s="94"/>
    </row>
    <row r="182" spans="1:20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08">
        <v>2.13</v>
      </c>
      <c r="H182" s="57" t="str">
        <f t="shared" si="2"/>
        <v>(90, 100]</v>
      </c>
      <c r="I182" s="206">
        <v>2.8096702199999997</v>
      </c>
      <c r="J182" s="105">
        <v>3.4787839995489206E-2</v>
      </c>
      <c r="K182" s="105">
        <v>3.1573791078733739E-2</v>
      </c>
      <c r="L182" s="106">
        <v>31573791</v>
      </c>
      <c r="M182" s="105">
        <v>3.1573791378885496E-2</v>
      </c>
      <c r="N182" s="105">
        <v>3.0010356128756039</v>
      </c>
      <c r="O182" s="108"/>
      <c r="P182" s="55">
        <v>3.1573791378885496E-2</v>
      </c>
      <c r="Q182" s="204">
        <v>2.7035605594783324E-2</v>
      </c>
      <c r="R182" s="55">
        <v>1.2048192771084338E-2</v>
      </c>
      <c r="S182" s="78">
        <v>0.86</v>
      </c>
      <c r="T182" s="94"/>
    </row>
    <row r="183" spans="1:20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08">
        <v>1.6</v>
      </c>
      <c r="H183" s="57" t="str">
        <f t="shared" si="2"/>
        <v>(100, 120]</v>
      </c>
      <c r="I183" s="206">
        <v>2.1105504000000002</v>
      </c>
      <c r="J183" s="105">
        <v>5.4288488963288563E-2</v>
      </c>
      <c r="K183" s="105">
        <v>4.9272774875625362E-2</v>
      </c>
      <c r="L183" s="106">
        <v>49272774</v>
      </c>
      <c r="M183" s="105">
        <v>4.9272774591273293E-2</v>
      </c>
      <c r="N183" s="105">
        <v>5.4248905983178703</v>
      </c>
      <c r="O183" s="108"/>
      <c r="P183" s="55">
        <v>4.9272774591273293E-2</v>
      </c>
      <c r="Q183" s="204">
        <v>4.2740282940286221E-2</v>
      </c>
      <c r="R183" s="55">
        <v>6.0240963855421686E-2</v>
      </c>
      <c r="S183" s="78">
        <v>0.87</v>
      </c>
      <c r="T183" s="94"/>
    </row>
    <row r="184" spans="1:20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08">
        <v>0.68</v>
      </c>
      <c r="H184" s="57" t="str">
        <f t="shared" si="2"/>
        <v>(120, 140]</v>
      </c>
      <c r="I184" s="206">
        <v>0.89698392000000005</v>
      </c>
      <c r="J184" s="105">
        <v>2.3826435110653962E-2</v>
      </c>
      <c r="K184" s="105">
        <v>2.1625110510808974E-2</v>
      </c>
      <c r="L184" s="106">
        <v>21625110</v>
      </c>
      <c r="M184" s="105">
        <v>2.1625110259501323E-2</v>
      </c>
      <c r="N184" s="105">
        <v>2.8128096892036001</v>
      </c>
      <c r="O184" s="108"/>
      <c r="P184" s="55">
        <v>2.1625110259501323E-2</v>
      </c>
      <c r="Q184" s="204">
        <v>1.8780093413162054E-2</v>
      </c>
      <c r="R184" s="55">
        <v>7.2289156626506021E-2</v>
      </c>
      <c r="S184" s="78">
        <v>0.87</v>
      </c>
      <c r="T184" s="94"/>
    </row>
    <row r="185" spans="1:20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08">
        <v>1.03</v>
      </c>
      <c r="H185" s="57" t="str">
        <f t="shared" si="2"/>
        <v>(140, 160]</v>
      </c>
      <c r="I185" s="206">
        <v>1.3586668200000001</v>
      </c>
      <c r="J185" s="105">
        <v>3.6407966963173131E-2</v>
      </c>
      <c r="K185" s="105">
        <v>3.3044234498196046E-2</v>
      </c>
      <c r="L185" s="106">
        <v>33044234</v>
      </c>
      <c r="M185" s="105">
        <v>3.3044234396530814E-2</v>
      </c>
      <c r="N185" s="105">
        <v>4.958028569419529</v>
      </c>
      <c r="O185" s="108"/>
      <c r="P185" s="55">
        <v>3.3044234396530814E-2</v>
      </c>
      <c r="Q185" s="204">
        <v>2.8816647633966248E-2</v>
      </c>
      <c r="R185" s="55">
        <v>2.4096385542168676E-2</v>
      </c>
      <c r="S185" s="78">
        <v>0.87</v>
      </c>
      <c r="T185" s="94"/>
    </row>
    <row r="186" spans="1:20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08">
        <v>0.3</v>
      </c>
      <c r="H186" s="57" t="str">
        <f t="shared" si="2"/>
        <v>(160, 180]</v>
      </c>
      <c r="I186" s="206">
        <v>0.39572819999999997</v>
      </c>
      <c r="J186" s="105">
        <v>1.0663832901534604E-2</v>
      </c>
      <c r="K186" s="105">
        <v>9.6786012634080994E-3</v>
      </c>
      <c r="L186" s="106">
        <v>9678601</v>
      </c>
      <c r="M186" s="105">
        <v>9.6786011161432133E-3</v>
      </c>
      <c r="N186" s="105">
        <v>1.6455827175386446</v>
      </c>
      <c r="O186" s="108"/>
      <c r="P186" s="55">
        <v>9.6786011161432133E-3</v>
      </c>
      <c r="Q186" s="204">
        <v>8.5080991871781825E-3</v>
      </c>
      <c r="R186" s="55">
        <v>3.614457831325301E-2</v>
      </c>
      <c r="S186" s="78">
        <v>0.88</v>
      </c>
      <c r="T186" s="94"/>
    </row>
    <row r="187" spans="1:20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08">
        <v>0.26</v>
      </c>
      <c r="H187" s="57" t="str">
        <f t="shared" si="2"/>
        <v>(180, 200]</v>
      </c>
      <c r="I187" s="206">
        <v>0.34296443999999998</v>
      </c>
      <c r="J187" s="105">
        <v>9.1872028430642558E-3</v>
      </c>
      <c r="K187" s="105">
        <v>8.3383970721514263E-3</v>
      </c>
      <c r="L187" s="106">
        <v>8338397</v>
      </c>
      <c r="M187" s="105">
        <v>8.3383971000607644E-3</v>
      </c>
      <c r="N187" s="105">
        <v>1.5843960760807079</v>
      </c>
      <c r="O187" s="108"/>
      <c r="P187" s="55">
        <v>8.3383971000607644E-3</v>
      </c>
      <c r="Q187" s="204">
        <v>7.4870671647154774E-3</v>
      </c>
      <c r="R187" s="55">
        <v>0</v>
      </c>
      <c r="S187" s="78">
        <v>0.9</v>
      </c>
      <c r="T187" s="94"/>
    </row>
    <row r="188" spans="1:20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08">
        <v>0.3</v>
      </c>
      <c r="H188" s="57" t="str">
        <f t="shared" si="2"/>
        <v>(200, 250]</v>
      </c>
      <c r="I188" s="206">
        <v>0.39572819999999997</v>
      </c>
      <c r="J188" s="105">
        <v>2.5661425312987519E-2</v>
      </c>
      <c r="K188" s="105">
        <v>2.3290565948327246E-2</v>
      </c>
      <c r="L188" s="106">
        <v>23290565</v>
      </c>
      <c r="M188" s="105">
        <v>2.3290565279486784E-2</v>
      </c>
      <c r="N188" s="105">
        <v>5.2359741250748799</v>
      </c>
      <c r="O188" s="108"/>
      <c r="P188" s="55">
        <v>2.3290565279486784E-2</v>
      </c>
      <c r="Q188" s="204">
        <v>2.0060522441331493E-2</v>
      </c>
      <c r="R188" s="55">
        <v>6.0240963855421686E-2</v>
      </c>
      <c r="S188" s="78">
        <v>0.86</v>
      </c>
      <c r="T188" s="94"/>
    </row>
    <row r="189" spans="1:20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08">
        <v>0.09</v>
      </c>
      <c r="H189" s="57" t="str">
        <f t="shared" si="2"/>
        <v>(250, 300]</v>
      </c>
      <c r="I189" s="206">
        <v>0.11871846</v>
      </c>
      <c r="J189" s="105">
        <v>7.2028149461830409E-3</v>
      </c>
      <c r="K189" s="105">
        <v>6.537346794714842E-3</v>
      </c>
      <c r="L189" s="106">
        <v>6537346</v>
      </c>
      <c r="M189" s="105">
        <v>6.5373460784481528E-3</v>
      </c>
      <c r="N189" s="105">
        <v>1.7958575086215118</v>
      </c>
      <c r="O189" s="108"/>
      <c r="P189" s="55">
        <v>6.5373460784481528E-3</v>
      </c>
      <c r="Q189" s="204">
        <v>5.6530021243660468E-3</v>
      </c>
      <c r="R189" s="55">
        <v>2.4096385542168676E-2</v>
      </c>
      <c r="S189" s="78">
        <v>0.86</v>
      </c>
      <c r="T189" s="94"/>
    </row>
    <row r="190" spans="1:20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08">
        <v>0.08</v>
      </c>
      <c r="H190" s="57" t="str">
        <f t="shared" si="2"/>
        <v>(300, 350]</v>
      </c>
      <c r="I190" s="206">
        <v>0.10552752</v>
      </c>
      <c r="J190" s="105">
        <v>5.8901212641979282E-3</v>
      </c>
      <c r="K190" s="105">
        <v>5.3459328963312135E-3</v>
      </c>
      <c r="L190" s="106">
        <v>5345932</v>
      </c>
      <c r="M190" s="105">
        <v>5.3459320641511847E-3</v>
      </c>
      <c r="N190" s="105">
        <v>1.7353746463144093</v>
      </c>
      <c r="O190" s="108"/>
      <c r="P190" s="55">
        <v>5.3459320641511847E-3</v>
      </c>
      <c r="Q190" s="204">
        <v>4.8534741067764306E-3</v>
      </c>
      <c r="R190" s="55">
        <v>1.2048192771084338E-2</v>
      </c>
      <c r="S190" s="78">
        <v>0.91</v>
      </c>
      <c r="T190" s="94"/>
    </row>
    <row r="191" spans="1:20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08">
        <v>0</v>
      </c>
      <c r="H191" s="57" t="str">
        <f t="shared" si="2"/>
        <v>(350, 400]</v>
      </c>
      <c r="I191" s="206">
        <v>0</v>
      </c>
      <c r="J191" s="105">
        <v>0</v>
      </c>
      <c r="K191" s="105">
        <v>0</v>
      </c>
      <c r="L191" s="106">
        <v>0</v>
      </c>
      <c r="M191" s="105">
        <v>0</v>
      </c>
      <c r="N191" s="105">
        <v>0</v>
      </c>
      <c r="O191" s="108"/>
      <c r="P191" s="55">
        <v>0</v>
      </c>
      <c r="Q191" s="204">
        <v>6.8415601505143232E-4</v>
      </c>
      <c r="R191" s="55">
        <v>0</v>
      </c>
      <c r="S191" s="78">
        <v>0</v>
      </c>
      <c r="T191" s="94"/>
    </row>
    <row r="192" spans="1:20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08">
        <v>0</v>
      </c>
      <c r="H192" s="57" t="str">
        <f t="shared" si="2"/>
        <v>(400, 450]</v>
      </c>
      <c r="I192" s="206">
        <v>0</v>
      </c>
      <c r="J192" s="105">
        <v>0</v>
      </c>
      <c r="K192" s="105">
        <v>0</v>
      </c>
      <c r="L192" s="106">
        <v>0</v>
      </c>
      <c r="M192" s="105">
        <v>0</v>
      </c>
      <c r="N192" s="105">
        <v>0</v>
      </c>
      <c r="O192" s="108"/>
      <c r="P192" s="55">
        <v>0</v>
      </c>
      <c r="Q192" s="204">
        <v>6.1849301360684635E-4</v>
      </c>
      <c r="R192" s="55">
        <v>0</v>
      </c>
      <c r="S192" s="78">
        <v>0</v>
      </c>
      <c r="T192" s="94"/>
    </row>
    <row r="193" spans="1:20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08">
        <v>0</v>
      </c>
      <c r="H193" s="57" t="str">
        <f t="shared" si="2"/>
        <v>(450, 500]</v>
      </c>
      <c r="I193" s="206">
        <v>0</v>
      </c>
      <c r="J193" s="105">
        <v>0</v>
      </c>
      <c r="K193" s="105">
        <v>0</v>
      </c>
      <c r="L193" s="106">
        <v>0</v>
      </c>
      <c r="M193" s="105">
        <v>0</v>
      </c>
      <c r="N193" s="105">
        <v>0</v>
      </c>
      <c r="O193" s="108"/>
      <c r="P193" s="55">
        <v>0</v>
      </c>
      <c r="Q193" s="204">
        <v>5.5034501210759026E-4</v>
      </c>
      <c r="R193" s="55">
        <v>0</v>
      </c>
      <c r="S193" s="78">
        <v>0</v>
      </c>
      <c r="T193" s="94"/>
    </row>
    <row r="194" spans="1:20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08">
        <v>0</v>
      </c>
      <c r="H194" s="57" t="str">
        <f t="shared" si="2"/>
        <v>(500, 550]</v>
      </c>
      <c r="I194" s="206">
        <v>0</v>
      </c>
      <c r="J194" s="105">
        <v>0</v>
      </c>
      <c r="K194" s="105">
        <v>0</v>
      </c>
      <c r="L194" s="106">
        <v>0</v>
      </c>
      <c r="M194" s="105">
        <v>0</v>
      </c>
      <c r="N194" s="105">
        <v>0</v>
      </c>
      <c r="O194" s="108"/>
      <c r="P194" s="55">
        <v>0</v>
      </c>
      <c r="Q194" s="204">
        <v>4.9546201090016424E-4</v>
      </c>
      <c r="R194" s="55">
        <v>0</v>
      </c>
      <c r="S194" s="78">
        <v>0</v>
      </c>
      <c r="T194" s="94"/>
    </row>
    <row r="195" spans="1:20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08">
        <v>0</v>
      </c>
      <c r="H195" s="57" t="str">
        <f t="shared" si="2"/>
        <v>(550, 600]</v>
      </c>
      <c r="I195" s="205">
        <v>0</v>
      </c>
      <c r="J195" s="55">
        <v>0</v>
      </c>
      <c r="K195" s="55">
        <v>0</v>
      </c>
      <c r="L195" s="106">
        <v>0</v>
      </c>
      <c r="M195" s="55">
        <v>0</v>
      </c>
      <c r="N195" s="55">
        <v>0</v>
      </c>
      <c r="O195" s="108"/>
      <c r="P195" s="55">
        <v>0</v>
      </c>
      <c r="Q195" s="204">
        <v>4.4155900971429822E-4</v>
      </c>
      <c r="R195" s="55">
        <v>0</v>
      </c>
      <c r="S195" s="78">
        <v>0</v>
      </c>
      <c r="T195" s="94"/>
    </row>
    <row r="196" spans="1:20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08">
        <v>0</v>
      </c>
      <c r="H196" s="57" t="str">
        <f t="shared" si="2"/>
        <v>(600, 650]</v>
      </c>
      <c r="I196" s="205">
        <v>0</v>
      </c>
      <c r="J196" s="55">
        <v>0</v>
      </c>
      <c r="K196" s="55">
        <v>0</v>
      </c>
      <c r="L196" s="106">
        <v>0</v>
      </c>
      <c r="M196" s="55">
        <v>0</v>
      </c>
      <c r="N196" s="55">
        <v>0</v>
      </c>
      <c r="O196" s="108"/>
      <c r="P196" s="55">
        <v>0</v>
      </c>
      <c r="Q196" s="204">
        <v>3.923070086307542E-4</v>
      </c>
      <c r="R196" s="55">
        <v>0</v>
      </c>
      <c r="S196" s="78">
        <v>0</v>
      </c>
      <c r="T196" s="94"/>
    </row>
    <row r="197" spans="1:20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08">
        <v>0</v>
      </c>
      <c r="H197" s="57" t="str">
        <f t="shared" si="2"/>
        <v>(650, 700]</v>
      </c>
      <c r="I197" s="205">
        <v>0</v>
      </c>
      <c r="J197" s="55">
        <v>0</v>
      </c>
      <c r="K197" s="55">
        <v>0</v>
      </c>
      <c r="L197" s="106">
        <v>0</v>
      </c>
      <c r="M197" s="55">
        <v>0</v>
      </c>
      <c r="N197" s="55">
        <v>0</v>
      </c>
      <c r="O197" s="108"/>
      <c r="P197" s="55">
        <v>0</v>
      </c>
      <c r="Q197" s="204">
        <v>3.4953800768983617E-4</v>
      </c>
      <c r="R197" s="55">
        <v>0</v>
      </c>
      <c r="S197" s="78">
        <v>0</v>
      </c>
      <c r="T197" s="94"/>
    </row>
    <row r="198" spans="1:20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08">
        <v>0</v>
      </c>
      <c r="H198" s="57" t="str">
        <f t="shared" si="2"/>
        <v>(700, 750]</v>
      </c>
      <c r="I198" s="205">
        <v>0</v>
      </c>
      <c r="J198" s="55">
        <v>0</v>
      </c>
      <c r="K198" s="55">
        <v>0</v>
      </c>
      <c r="L198" s="106">
        <v>0</v>
      </c>
      <c r="M198" s="55">
        <v>0</v>
      </c>
      <c r="N198" s="55">
        <v>0</v>
      </c>
      <c r="O198" s="108"/>
      <c r="P198" s="55">
        <v>0</v>
      </c>
      <c r="Q198" s="204">
        <v>3.0851800678739614E-4</v>
      </c>
      <c r="R198" s="55">
        <v>0</v>
      </c>
      <c r="S198" s="78">
        <v>0</v>
      </c>
      <c r="T198" s="94"/>
    </row>
    <row r="199" spans="1:20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08">
        <v>0</v>
      </c>
      <c r="H199" s="57" t="str">
        <f t="shared" si="2"/>
        <v>(750, 800]</v>
      </c>
      <c r="I199" s="205">
        <v>0</v>
      </c>
      <c r="J199" s="55">
        <v>0</v>
      </c>
      <c r="K199" s="55">
        <v>0</v>
      </c>
      <c r="L199" s="106">
        <v>0</v>
      </c>
      <c r="M199" s="55">
        <v>0</v>
      </c>
      <c r="N199" s="55">
        <v>0</v>
      </c>
      <c r="O199" s="108"/>
      <c r="P199" s="55">
        <v>0</v>
      </c>
      <c r="Q199" s="204">
        <v>2.7821700612077412E-4</v>
      </c>
      <c r="R199" s="55">
        <v>0</v>
      </c>
      <c r="S199" s="78">
        <v>0</v>
      </c>
      <c r="T199" s="94"/>
    </row>
    <row r="200" spans="1:20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08">
        <v>0</v>
      </c>
      <c r="H200" s="57" t="str">
        <f t="shared" si="2"/>
        <v>(800, 850]</v>
      </c>
      <c r="I200" s="205">
        <v>0</v>
      </c>
      <c r="J200" s="55">
        <v>0</v>
      </c>
      <c r="K200" s="55">
        <v>0</v>
      </c>
      <c r="L200" s="106">
        <v>0</v>
      </c>
      <c r="M200" s="55">
        <v>0</v>
      </c>
      <c r="N200" s="55">
        <v>0</v>
      </c>
      <c r="O200" s="108"/>
      <c r="P200" s="55">
        <v>0</v>
      </c>
      <c r="Q200" s="204">
        <v>2.487020054714441E-4</v>
      </c>
      <c r="R200" s="55">
        <v>0</v>
      </c>
      <c r="S200" s="78">
        <v>0</v>
      </c>
      <c r="T200" s="94"/>
    </row>
    <row r="201" spans="1:20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08">
        <v>0</v>
      </c>
      <c r="H201" s="57" t="str">
        <f t="shared" si="2"/>
        <v>(850, 900]</v>
      </c>
      <c r="I201" s="205">
        <v>0</v>
      </c>
      <c r="J201" s="55">
        <v>0</v>
      </c>
      <c r="K201" s="55">
        <v>0</v>
      </c>
      <c r="L201" s="79">
        <v>0</v>
      </c>
      <c r="M201" s="55">
        <v>0</v>
      </c>
      <c r="N201" s="55">
        <v>0</v>
      </c>
      <c r="O201" s="108"/>
      <c r="P201" s="55">
        <v>0</v>
      </c>
      <c r="Q201" s="204">
        <v>2.218730048812061E-4</v>
      </c>
      <c r="R201" s="55">
        <v>0</v>
      </c>
      <c r="S201" s="78">
        <v>0</v>
      </c>
      <c r="T201" s="94"/>
    </row>
    <row r="202" spans="1:20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08">
        <v>0</v>
      </c>
      <c r="H202" s="57" t="str">
        <f t="shared" si="2"/>
        <v>(900, 950]</v>
      </c>
      <c r="I202" s="205">
        <v>0</v>
      </c>
      <c r="J202" s="55">
        <v>0</v>
      </c>
      <c r="K202" s="55">
        <v>0</v>
      </c>
      <c r="L202" s="79">
        <v>0</v>
      </c>
      <c r="M202" s="55">
        <v>0</v>
      </c>
      <c r="N202" s="55">
        <v>0</v>
      </c>
      <c r="O202" s="108"/>
      <c r="P202" s="55">
        <v>0</v>
      </c>
      <c r="Q202" s="204">
        <v>1.9943400438754809E-4</v>
      </c>
      <c r="R202" s="55">
        <v>0</v>
      </c>
      <c r="S202" s="78">
        <v>0</v>
      </c>
      <c r="T202" s="94"/>
    </row>
    <row r="203" spans="1:20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08">
        <v>0</v>
      </c>
      <c r="H203" s="57" t="str">
        <f t="shared" si="2"/>
        <v>(950, 1000]</v>
      </c>
      <c r="I203" s="205">
        <v>0</v>
      </c>
      <c r="J203" s="55">
        <v>0</v>
      </c>
      <c r="K203" s="55">
        <v>0</v>
      </c>
      <c r="L203" s="79">
        <v>0</v>
      </c>
      <c r="M203" s="55">
        <v>0</v>
      </c>
      <c r="N203" s="55">
        <v>0</v>
      </c>
      <c r="O203" s="108"/>
      <c r="P203" s="55">
        <v>0</v>
      </c>
      <c r="Q203" s="204">
        <v>1.7992900395843807E-4</v>
      </c>
      <c r="R203" s="55">
        <v>0</v>
      </c>
      <c r="S203" s="78">
        <v>0</v>
      </c>
      <c r="T203" s="94"/>
    </row>
    <row r="204" spans="1:20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08">
        <v>0</v>
      </c>
      <c r="H204" s="57" t="str">
        <f t="shared" si="2"/>
        <v>(1000, 2000]</v>
      </c>
      <c r="I204" s="205">
        <v>0</v>
      </c>
      <c r="J204" s="55">
        <v>0</v>
      </c>
      <c r="K204" s="55">
        <v>0</v>
      </c>
      <c r="L204" s="79">
        <v>0</v>
      </c>
      <c r="M204" s="55">
        <v>0</v>
      </c>
      <c r="N204" s="55">
        <v>0</v>
      </c>
      <c r="O204" s="108"/>
      <c r="P204" s="55">
        <v>0</v>
      </c>
      <c r="Q204" s="204">
        <v>1.4766200324856408E-4</v>
      </c>
      <c r="R204" s="55">
        <v>0</v>
      </c>
      <c r="S204" s="78">
        <v>0</v>
      </c>
      <c r="T204" s="94"/>
    </row>
    <row r="205" spans="1:20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08">
        <v>0</v>
      </c>
      <c r="H205" s="57" t="str">
        <f t="shared" si="2"/>
        <v>(2000, 3000]</v>
      </c>
      <c r="I205" s="205">
        <v>0</v>
      </c>
      <c r="J205" s="55">
        <v>0</v>
      </c>
      <c r="K205" s="55">
        <v>0</v>
      </c>
      <c r="L205" s="79">
        <v>0</v>
      </c>
      <c r="M205" s="55">
        <v>0</v>
      </c>
      <c r="N205" s="55">
        <v>0</v>
      </c>
      <c r="O205" s="108"/>
      <c r="P205" s="55">
        <v>0</v>
      </c>
      <c r="Q205" s="204">
        <v>4.7172001037784021E-4</v>
      </c>
      <c r="R205" s="55">
        <v>0</v>
      </c>
      <c r="S205" s="78">
        <v>0</v>
      </c>
      <c r="T205" s="94"/>
    </row>
    <row r="206" spans="1:20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08">
        <v>0</v>
      </c>
      <c r="H206" s="57" t="str">
        <f t="shared" si="2"/>
        <v>(3000, 4000]</v>
      </c>
      <c r="I206" s="205">
        <v>0</v>
      </c>
      <c r="J206" s="55">
        <v>0</v>
      </c>
      <c r="K206" s="55">
        <v>0</v>
      </c>
      <c r="L206" s="79">
        <v>0</v>
      </c>
      <c r="M206" s="55">
        <v>0</v>
      </c>
      <c r="N206" s="55">
        <v>0</v>
      </c>
      <c r="O206" s="108"/>
      <c r="P206" s="55">
        <v>0</v>
      </c>
      <c r="Q206" s="204">
        <v>6.3183001390026028E-5</v>
      </c>
      <c r="R206" s="55">
        <v>0</v>
      </c>
      <c r="S206" s="78">
        <v>0</v>
      </c>
    </row>
    <row r="207" spans="1:20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08">
        <v>0</v>
      </c>
      <c r="H207" s="57" t="str">
        <f t="shared" si="2"/>
        <v>(4000, 5000]</v>
      </c>
      <c r="I207" s="205">
        <v>0</v>
      </c>
      <c r="J207" s="55">
        <v>0</v>
      </c>
      <c r="K207" s="55">
        <v>0</v>
      </c>
      <c r="L207" s="79">
        <v>0</v>
      </c>
      <c r="M207" s="55">
        <v>0</v>
      </c>
      <c r="N207" s="55">
        <v>0</v>
      </c>
      <c r="O207" s="108"/>
      <c r="P207" s="55">
        <v>0</v>
      </c>
      <c r="Q207" s="204">
        <v>3.2266000709852017E-5</v>
      </c>
      <c r="R207" s="55">
        <v>0</v>
      </c>
      <c r="S207" s="78">
        <v>0</v>
      </c>
    </row>
    <row r="208" spans="1:20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08">
        <v>0</v>
      </c>
      <c r="H208" s="57" t="str">
        <f t="shared" si="2"/>
        <v>(5000, 6000]</v>
      </c>
      <c r="I208" s="205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08"/>
      <c r="P208" s="55">
        <v>0</v>
      </c>
      <c r="Q208" s="204">
        <v>1.3508000297176007E-5</v>
      </c>
      <c r="R208" s="55">
        <v>0</v>
      </c>
      <c r="S208" s="78">
        <v>0</v>
      </c>
    </row>
    <row r="209" spans="1:19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08">
        <v>0</v>
      </c>
      <c r="H209" s="57" t="str">
        <f t="shared" si="2"/>
        <v>(6000, 7000]</v>
      </c>
      <c r="I209" s="205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08"/>
      <c r="P209" s="55">
        <v>0</v>
      </c>
      <c r="Q209" s="204">
        <v>0</v>
      </c>
      <c r="R209" s="55">
        <v>0</v>
      </c>
      <c r="S209" s="78">
        <v>0</v>
      </c>
    </row>
    <row r="210" spans="1:19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08">
        <v>0</v>
      </c>
      <c r="H210" s="57" t="str">
        <f t="shared" si="2"/>
        <v>(7000, 8000]</v>
      </c>
      <c r="I210" s="205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08"/>
      <c r="P210" s="55">
        <v>0</v>
      </c>
      <c r="Q210" s="204">
        <v>0</v>
      </c>
      <c r="R210" s="55">
        <v>0</v>
      </c>
      <c r="S210" s="78">
        <v>0</v>
      </c>
    </row>
    <row r="211" spans="1:19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08">
        <v>0</v>
      </c>
      <c r="H211" s="57" t="str">
        <f t="shared" si="2"/>
        <v>(8000, 9000]</v>
      </c>
      <c r="I211" s="205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08"/>
      <c r="P211" s="55">
        <v>0</v>
      </c>
      <c r="Q211" s="204">
        <v>0</v>
      </c>
      <c r="R211" s="55">
        <v>0</v>
      </c>
      <c r="S211" s="78">
        <v>0</v>
      </c>
    </row>
    <row r="212" spans="1:19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08">
        <v>0</v>
      </c>
      <c r="H212" s="57" t="str">
        <f t="shared" si="2"/>
        <v>(9000, 10000]</v>
      </c>
      <c r="I212" s="205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08"/>
      <c r="P212" s="55">
        <v>0</v>
      </c>
      <c r="Q212" s="204">
        <v>0</v>
      </c>
      <c r="R212" s="55">
        <v>0</v>
      </c>
      <c r="S212" s="78">
        <v>0</v>
      </c>
    </row>
    <row r="213" spans="1:19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08">
        <v>0</v>
      </c>
      <c r="H213" s="57" t="str">
        <f t="shared" si="2"/>
        <v>(10000, 20000]</v>
      </c>
      <c r="I213" s="205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08"/>
      <c r="P213" s="55">
        <v>0</v>
      </c>
      <c r="Q213" s="204">
        <v>0</v>
      </c>
      <c r="R213" s="55">
        <v>0</v>
      </c>
      <c r="S213" s="78">
        <v>0</v>
      </c>
    </row>
    <row r="214" spans="1:19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08">
        <v>0</v>
      </c>
      <c r="H214" s="57" t="str">
        <f t="shared" si="2"/>
        <v>(20000, 30000]</v>
      </c>
      <c r="I214" s="205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08"/>
      <c r="P214" s="55">
        <v>0</v>
      </c>
      <c r="Q214" s="204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08">
        <v>0</v>
      </c>
      <c r="H215" s="57" t="str">
        <f t="shared" si="2"/>
        <v>(30000, 40000]</v>
      </c>
      <c r="I215" s="205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08"/>
      <c r="P215" s="55">
        <v>0</v>
      </c>
      <c r="Q215" s="204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08">
        <v>0</v>
      </c>
      <c r="H216" s="57" t="str">
        <f t="shared" si="2"/>
        <v>(40000, 50000]</v>
      </c>
      <c r="I216" s="205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08"/>
      <c r="P216" s="55">
        <v>0</v>
      </c>
      <c r="Q216" s="204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08">
        <v>0</v>
      </c>
      <c r="H217" s="57" t="str">
        <f t="shared" si="2"/>
        <v>(50000, 60000]</v>
      </c>
      <c r="I217" s="205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08"/>
      <c r="P217" s="55">
        <v>0</v>
      </c>
      <c r="Q217" s="204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08">
        <v>0</v>
      </c>
      <c r="H218" s="57" t="str">
        <f t="shared" si="2"/>
        <v>(60000, 70000]</v>
      </c>
      <c r="I218" s="205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08"/>
      <c r="P218" s="55">
        <v>0</v>
      </c>
      <c r="Q218" s="204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08">
        <v>0</v>
      </c>
      <c r="H219" s="57" t="str">
        <f t="shared" si="2"/>
        <v>(70000, 80000]</v>
      </c>
      <c r="I219" s="205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08"/>
      <c r="P219" s="55">
        <v>0</v>
      </c>
      <c r="Q219" s="204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08">
        <v>0</v>
      </c>
      <c r="H220" s="57" t="str">
        <f t="shared" si="2"/>
        <v>(80000, 90000]</v>
      </c>
      <c r="I220" s="205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08"/>
      <c r="P220" s="55">
        <v>0</v>
      </c>
      <c r="Q220" s="204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08">
        <v>0</v>
      </c>
      <c r="H221" s="57" t="str">
        <f t="shared" si="2"/>
        <v>(90000, 100000]</v>
      </c>
      <c r="I221" s="205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08"/>
      <c r="P221" s="55">
        <v>0</v>
      </c>
      <c r="Q221" s="204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08">
        <v>0</v>
      </c>
      <c r="H222" s="57" t="str">
        <f t="shared" si="2"/>
        <v>(100000, 9999999]</v>
      </c>
      <c r="I222" s="205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08"/>
      <c r="P222" s="55">
        <v>0</v>
      </c>
      <c r="Q222" s="204">
        <v>0</v>
      </c>
      <c r="R222" s="55">
        <v>0</v>
      </c>
      <c r="S222" s="78">
        <v>0</v>
      </c>
    </row>
    <row r="225" spans="7:7">
      <c r="G225" s="22"/>
    </row>
    <row r="226" spans="7:7">
      <c r="G226" s="22"/>
    </row>
    <row r="227" spans="7:7">
      <c r="G227" s="22"/>
    </row>
    <row r="228" spans="7:7">
      <c r="G228" s="22"/>
    </row>
    <row r="229" spans="7:7">
      <c r="G229" s="22"/>
    </row>
    <row r="230" spans="7:7">
      <c r="G230" s="22"/>
    </row>
    <row r="231" spans="7:7">
      <c r="G231" s="22"/>
    </row>
    <row r="232" spans="7:7">
      <c r="G232" s="22"/>
    </row>
    <row r="233" spans="7:7">
      <c r="G233" s="22"/>
    </row>
    <row r="234" spans="7:7">
      <c r="G234" s="22"/>
    </row>
    <row r="235" spans="7:7">
      <c r="G235" s="22"/>
    </row>
    <row r="236" spans="7:7">
      <c r="G236" s="22"/>
    </row>
    <row r="237" spans="7:7">
      <c r="G237" s="22"/>
    </row>
    <row r="238" spans="7:7">
      <c r="G238" s="22"/>
    </row>
    <row r="239" spans="7:7">
      <c r="G239" s="22"/>
    </row>
    <row r="240" spans="7:7">
      <c r="G240" s="22"/>
    </row>
    <row r="241" spans="7:7">
      <c r="G241" s="22"/>
    </row>
    <row r="242" spans="7:7">
      <c r="G242" s="22"/>
    </row>
    <row r="243" spans="7:7">
      <c r="G243" s="22"/>
    </row>
    <row r="244" spans="7:7">
      <c r="G244" s="22"/>
    </row>
    <row r="245" spans="7:7">
      <c r="G245" s="22"/>
    </row>
    <row r="246" spans="7:7">
      <c r="G246" s="22"/>
    </row>
    <row r="247" spans="7:7">
      <c r="G247" s="22"/>
    </row>
    <row r="248" spans="7:7">
      <c r="G248" s="22"/>
    </row>
    <row r="249" spans="7:7">
      <c r="G249" s="22"/>
    </row>
    <row r="250" spans="7:7">
      <c r="G250" s="22"/>
    </row>
    <row r="251" spans="7:7">
      <c r="G251" s="22"/>
    </row>
    <row r="252" spans="7:7">
      <c r="G252" s="22"/>
    </row>
    <row r="253" spans="7:7">
      <c r="G253" s="22"/>
    </row>
    <row r="254" spans="7:7">
      <c r="G254" s="22"/>
    </row>
    <row r="255" spans="7:7">
      <c r="G255" s="22"/>
    </row>
    <row r="256" spans="7:7">
      <c r="G256" s="22"/>
    </row>
    <row r="257" spans="7:7">
      <c r="G257" s="22"/>
    </row>
    <row r="258" spans="7:7">
      <c r="G258" s="22"/>
    </row>
    <row r="259" spans="7:7">
      <c r="G259" s="22"/>
    </row>
    <row r="260" spans="7:7">
      <c r="G260" s="22"/>
    </row>
    <row r="261" spans="7:7">
      <c r="G261" s="22"/>
    </row>
    <row r="262" spans="7:7">
      <c r="G262" s="22"/>
    </row>
    <row r="263" spans="7:7">
      <c r="G263" s="22"/>
    </row>
    <row r="264" spans="7:7">
      <c r="G264" s="22"/>
    </row>
    <row r="265" spans="7:7">
      <c r="G265" s="22"/>
    </row>
    <row r="266" spans="7:7">
      <c r="G266" s="22"/>
    </row>
    <row r="267" spans="7:7">
      <c r="G267" s="22"/>
    </row>
    <row r="268" spans="7:7">
      <c r="G268" s="22"/>
    </row>
    <row r="269" spans="7:7">
      <c r="G269" s="22"/>
    </row>
    <row r="270" spans="7:7">
      <c r="G270" s="22"/>
    </row>
    <row r="271" spans="7:7">
      <c r="G271" s="22"/>
    </row>
    <row r="272" spans="7:7">
      <c r="G272" s="22"/>
    </row>
    <row r="273" spans="7:7">
      <c r="G273" s="22"/>
    </row>
    <row r="274" spans="7:7">
      <c r="G274" s="22"/>
    </row>
    <row r="275" spans="7:7">
      <c r="G275" s="22"/>
    </row>
    <row r="276" spans="7:7">
      <c r="G276" s="22"/>
    </row>
    <row r="277" spans="7:7">
      <c r="G277" s="22"/>
    </row>
    <row r="278" spans="7:7">
      <c r="G278" s="22"/>
    </row>
    <row r="279" spans="7:7">
      <c r="G279" s="22"/>
    </row>
    <row r="280" spans="7:7">
      <c r="G280" s="22"/>
    </row>
    <row r="281" spans="7:7">
      <c r="G281" s="22"/>
    </row>
    <row r="282" spans="7:7">
      <c r="G282" s="22"/>
    </row>
    <row r="283" spans="7:7">
      <c r="G283" s="22"/>
    </row>
    <row r="284" spans="7:7">
      <c r="G284" s="22"/>
    </row>
    <row r="285" spans="7:7">
      <c r="G285" s="22"/>
    </row>
    <row r="286" spans="7:7">
      <c r="G286" s="22"/>
    </row>
    <row r="287" spans="7:7">
      <c r="G287" s="22"/>
    </row>
    <row r="288" spans="7:7">
      <c r="G288" s="22"/>
    </row>
    <row r="289" spans="7:7">
      <c r="G289" s="22"/>
    </row>
    <row r="290" spans="7:7">
      <c r="G290" s="22"/>
    </row>
    <row r="291" spans="7:7">
      <c r="G291" s="22"/>
    </row>
    <row r="292" spans="7:7">
      <c r="G292" s="22"/>
    </row>
    <row r="293" spans="7:7">
      <c r="G293" s="22"/>
    </row>
    <row r="294" spans="7:7">
      <c r="G294" s="22"/>
    </row>
    <row r="295" spans="7:7">
      <c r="G295" s="22"/>
    </row>
    <row r="296" spans="7:7">
      <c r="G296" s="22"/>
    </row>
    <row r="297" spans="7:7">
      <c r="G297" s="22"/>
    </row>
    <row r="298" spans="7:7">
      <c r="G298" s="22"/>
    </row>
    <row r="299" spans="7:7">
      <c r="G299" s="22"/>
    </row>
    <row r="300" spans="7:7">
      <c r="G300" s="22"/>
    </row>
    <row r="301" spans="7:7">
      <c r="G301" s="22"/>
    </row>
    <row r="302" spans="7:7">
      <c r="G302" s="22"/>
    </row>
    <row r="303" spans="7:7">
      <c r="G303" s="22"/>
    </row>
    <row r="304" spans="7:7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59" priority="20" operator="lessThan">
      <formula>0.001</formula>
    </cfRule>
  </conditionalFormatting>
  <conditionalFormatting sqref="E159:E222">
    <cfRule type="cellIs" dxfId="158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7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topLeftCell="B1" workbookViewId="0">
      <selection activeCell="G14" sqref="G14:I300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8"/>
      <c r="G2" s="98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8"/>
      <c r="G3" s="95"/>
    </row>
    <row r="4" spans="1:19">
      <c r="F4" s="98"/>
      <c r="G4" s="98"/>
      <c r="I4" s="1"/>
      <c r="L4" s="114"/>
      <c r="M4" s="115"/>
      <c r="N4" s="112"/>
      <c r="O4" s="113"/>
    </row>
    <row r="5" spans="1:19">
      <c r="A5" s="48"/>
      <c r="B5" s="48"/>
      <c r="C5" s="1" t="s">
        <v>75</v>
      </c>
      <c r="I5" s="98"/>
      <c r="K5" s="203"/>
      <c r="L5" s="116"/>
      <c r="M5" s="115"/>
      <c r="N5" s="112"/>
      <c r="O5" s="113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7" t="s">
        <v>91</v>
      </c>
      <c r="J6" s="188" t="s">
        <v>92</v>
      </c>
      <c r="L6" s="95"/>
      <c r="M6" s="95"/>
      <c r="N6" s="107"/>
    </row>
    <row r="7" spans="1:19">
      <c r="A7" s="54" t="s">
        <v>47</v>
      </c>
      <c r="B7" s="54" cm="1">
        <f t="array" ref="B7:B9">Overview!B11:B13</f>
        <v>1</v>
      </c>
      <c r="C7" s="77">
        <f>SUM(N16:N80)</f>
        <v>0.6999998150421699</v>
      </c>
      <c r="D7" s="77">
        <f>SUM(_xlfn.ANCHORARRAY(N159))*F7</f>
        <v>0.24000039613619903</v>
      </c>
      <c r="E7" s="93">
        <f>SUM(C7:D7)</f>
        <v>0.94000021117836896</v>
      </c>
      <c r="F7" s="69">
        <f>M80</f>
        <v>4.1955920723702666E-3</v>
      </c>
      <c r="G7" s="70">
        <f>1/F7</f>
        <v>238.34538314280346</v>
      </c>
      <c r="H7" s="90">
        <f>D7*G7</f>
        <v>57.202986371506967</v>
      </c>
      <c r="I7" s="185" cm="1">
        <f t="array" ref="I7">LOOKUP(2,1/(L16:L79&lt;&gt;0),B16:B79)</f>
        <v>120</v>
      </c>
      <c r="J7" s="185" cm="1">
        <f t="array" ref="J7">LOOKUP(2,1/(_xlfn.ANCHORARRAY(L159)&lt;&gt;0),B16:B79)</f>
        <v>20000</v>
      </c>
      <c r="L7" s="98"/>
      <c r="M7" s="95"/>
      <c r="N7" s="107"/>
    </row>
    <row r="8" spans="1:19">
      <c r="A8" s="175" t="s">
        <v>262</v>
      </c>
      <c r="B8" s="175">
        <v>2</v>
      </c>
      <c r="C8" s="176">
        <f>SUM(_xlfn.ANCHORARRAY(N88))/B8</f>
        <v>0.34024087210571241</v>
      </c>
      <c r="D8" s="77">
        <f>SUM(_xlfn.ANCHORARRAY(N159))*F8/B8</f>
        <v>0.59975952432869895</v>
      </c>
      <c r="E8" s="93">
        <f>SUM(C8:D8)</f>
        <v>0.94000039643441136</v>
      </c>
      <c r="F8" s="177">
        <f>M152</f>
        <v>2.0969517935079052E-2</v>
      </c>
      <c r="G8" s="70">
        <f>1/F8</f>
        <v>47.68826842352636</v>
      </c>
      <c r="H8" s="90">
        <f>D8*G8</f>
        <v>28.601493185753483</v>
      </c>
      <c r="I8" s="185" cm="1">
        <f t="array" ref="I8">LOOKUP(2,1/(L88:L151&lt;&gt;0),B16:B79)</f>
        <v>120</v>
      </c>
      <c r="J8" s="185">
        <f>J7</f>
        <v>20000</v>
      </c>
      <c r="L8" s="98"/>
      <c r="M8" s="95"/>
      <c r="N8" s="107"/>
    </row>
    <row r="9" spans="1:19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86"/>
      <c r="J9" s="186" cm="1">
        <f t="array" ref="J9">LOOKUP(2,1/(_xlfn.ANCHORARRAY(L229)&lt;&gt;0),B16:B79)</f>
        <v>20000</v>
      </c>
      <c r="L9" s="100"/>
      <c r="M9" s="95"/>
      <c r="N9" s="107"/>
    </row>
    <row r="10" spans="1:19">
      <c r="A10" s="48"/>
      <c r="B10" s="48"/>
      <c r="C10" s="1"/>
      <c r="D10" s="97"/>
      <c r="E10" s="48"/>
      <c r="F10" s="1"/>
      <c r="H10" s="12"/>
      <c r="I10" s="48"/>
      <c r="J10" s="48"/>
      <c r="K10" s="48"/>
      <c r="L10" s="109"/>
      <c r="M10" s="98"/>
      <c r="N10" s="98"/>
    </row>
    <row r="11" spans="1:19">
      <c r="A11" s="48"/>
      <c r="B11" s="48"/>
      <c r="C11" s="1"/>
      <c r="D11" s="1"/>
      <c r="E11" s="97"/>
      <c r="F11" s="1"/>
      <c r="H11" s="12"/>
      <c r="I11" s="48"/>
      <c r="J11" s="48"/>
      <c r="K11" s="48"/>
      <c r="L11" s="109"/>
      <c r="M11" s="98"/>
      <c r="N11" s="98"/>
    </row>
    <row r="12" spans="1:19" s="53" customFormat="1">
      <c r="A12" s="219" t="s">
        <v>43</v>
      </c>
      <c r="B12" s="219"/>
      <c r="C12" s="219"/>
      <c r="D12" s="219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67">
        <v>1000000000</v>
      </c>
      <c r="C14" s="196" t="s">
        <v>297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77</v>
      </c>
      <c r="H15" s="119" t="s">
        <v>55</v>
      </c>
      <c r="I15" s="119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322</v>
      </c>
      <c r="Q15" s="180" t="s">
        <v>322</v>
      </c>
      <c r="R15" s="81" t="s">
        <v>321</v>
      </c>
      <c r="S15" s="81" t="s">
        <v>74</v>
      </c>
    </row>
    <row r="16" spans="1:19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166" t="str">
        <f>"("&amp;$A16&amp;", "&amp;$B16&amp;"]"</f>
        <v>(-1, 0]</v>
      </c>
      <c r="I16" s="195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0.71592299624319</v>
      </c>
      <c r="L16" s="106" cm="1">
        <f t="array" ref="L16:L80">INT(K16:K80*$B$2)</f>
        <v>715922996</v>
      </c>
      <c r="M16" s="55" cm="1">
        <f t="array" ref="M16:M80">_xlfn.LET(_xlpm.x, L16:L80, _xlpm.x/SUM(_xlpm.x))</f>
        <v>0.7159100401760029</v>
      </c>
      <c r="N16" s="55" cm="1">
        <f t="array" ref="N16:N80">M16:M80*F16:F80</f>
        <v>0</v>
      </c>
      <c r="O16" s="108"/>
      <c r="P16" s="55" cm="1">
        <f t="array" ref="P16:P79">M16:M79</f>
        <v>0.7159100401760029</v>
      </c>
      <c r="Q16" s="204">
        <v>0.71597520301991424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5681</v>
      </c>
      <c r="H17" s="166" t="str">
        <f t="shared" ref="H17:H79" si="0">"("&amp;$A17&amp;", "&amp;$B17&amp;"]"</f>
        <v>(0, 1]</v>
      </c>
      <c r="I17" s="195">
        <v>1.18</v>
      </c>
      <c r="J17" s="55">
        <v>0.16106442614279243</v>
      </c>
      <c r="K17" s="55">
        <v>0.16036931612720326</v>
      </c>
      <c r="L17" s="106">
        <v>160369316</v>
      </c>
      <c r="M17" s="55">
        <v>0.16036641384900857</v>
      </c>
      <c r="N17" s="55">
        <v>6.9892580079258873E-2</v>
      </c>
      <c r="O17" s="108"/>
      <c r="P17" s="55">
        <v>0.16036641384900857</v>
      </c>
      <c r="Q17" s="204">
        <v>0.1605030923729048</v>
      </c>
      <c r="R17" s="55">
        <v>0.15905886499823757</v>
      </c>
      <c r="S17" s="78">
        <v>1</v>
      </c>
    </row>
    <row r="18" spans="1:19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1.005681</v>
      </c>
      <c r="H18" s="166" t="str">
        <f t="shared" si="0"/>
        <v>(1, 2]</v>
      </c>
      <c r="I18" s="195">
        <v>1.31</v>
      </c>
      <c r="J18" s="55">
        <v>4.5547637985484168E-2</v>
      </c>
      <c r="K18" s="55">
        <v>4.5351066836234424E-2</v>
      </c>
      <c r="L18" s="106">
        <v>45351066</v>
      </c>
      <c r="M18" s="55">
        <v>4.5350245296610865E-2</v>
      </c>
      <c r="N18" s="55">
        <v>6.7901163365134631E-2</v>
      </c>
      <c r="O18" s="108"/>
      <c r="P18" s="55">
        <v>4.5350245296610865E-2</v>
      </c>
      <c r="Q18" s="204">
        <v>4.5308267133215174E-2</v>
      </c>
      <c r="R18" s="55">
        <v>4.9788508988367994E-2</v>
      </c>
      <c r="S18" s="78">
        <v>1</v>
      </c>
    </row>
    <row r="19" spans="1:19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166" t="str">
        <f t="shared" si="0"/>
        <v>(2, 3]</v>
      </c>
      <c r="I19" s="195">
        <v>1.33</v>
      </c>
      <c r="J19" s="55">
        <v>2.159558005121447E-2</v>
      </c>
      <c r="K19" s="55">
        <v>2.1502379433638318E-2</v>
      </c>
      <c r="L19" s="106">
        <v>21502379</v>
      </c>
      <c r="M19" s="55">
        <v>2.1501989878489169E-2</v>
      </c>
      <c r="N19" s="55">
        <v>5.4138488507708381E-2</v>
      </c>
      <c r="O19" s="108"/>
      <c r="P19" s="55">
        <v>2.1501989878489169E-2</v>
      </c>
      <c r="Q19" s="204">
        <v>2.1479350425469574E-2</v>
      </c>
      <c r="R19" s="55">
        <v>2.1457525555163906E-2</v>
      </c>
      <c r="S19" s="78">
        <v>1</v>
      </c>
    </row>
    <row r="20" spans="1:19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202"/>
      <c r="H20" s="166" t="str">
        <f t="shared" si="0"/>
        <v>(3, 4]</v>
      </c>
      <c r="I20" s="195">
        <v>1.44</v>
      </c>
      <c r="J20" s="55">
        <v>1.1628520302489266E-2</v>
      </c>
      <c r="K20" s="55">
        <v>1.1578334789012963E-2</v>
      </c>
      <c r="L20" s="106">
        <v>11578334</v>
      </c>
      <c r="M20" s="55">
        <v>1.1578124470681454E-2</v>
      </c>
      <c r="N20" s="55">
        <v>4.1304344554984614E-2</v>
      </c>
      <c r="O20" s="108"/>
      <c r="P20" s="55">
        <v>1.1578124470681454E-2</v>
      </c>
      <c r="Q20" s="204">
        <v>1.1610889855249249E-2</v>
      </c>
      <c r="R20" s="55">
        <v>9.4289742685935846E-3</v>
      </c>
      <c r="S20" s="78">
        <v>1</v>
      </c>
    </row>
    <row r="21" spans="1:19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202"/>
      <c r="H21" s="166" t="str">
        <f t="shared" si="0"/>
        <v>(4, 5]</v>
      </c>
      <c r="I21" s="195">
        <v>1.62</v>
      </c>
      <c r="J21" s="55">
        <v>9.1599021243855185E-3</v>
      </c>
      <c r="K21" s="55">
        <v>9.1203704918521381E-3</v>
      </c>
      <c r="L21" s="106">
        <v>9120370</v>
      </c>
      <c r="M21" s="55">
        <v>9.1202049516509905E-3</v>
      </c>
      <c r="N21" s="55">
        <v>4.192038443131952E-2</v>
      </c>
      <c r="O21" s="108"/>
      <c r="P21" s="55">
        <v>9.1202049516509905E-3</v>
      </c>
      <c r="Q21" s="204">
        <v>9.1491636697612396E-3</v>
      </c>
      <c r="R21" s="55">
        <v>6.2566090941134998E-3</v>
      </c>
      <c r="S21" s="78">
        <v>1</v>
      </c>
    </row>
    <row r="22" spans="1:19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202">
        <v>1.79</v>
      </c>
      <c r="H22" s="166" t="str">
        <f t="shared" si="0"/>
        <v>(5, 6]</v>
      </c>
      <c r="I22" s="195" cm="1">
        <f t="array" ref="I22:I79">G22:G79*G18</f>
        <v>1.8001689900000002</v>
      </c>
      <c r="J22" s="55">
        <v>7.5875108170036102E-3</v>
      </c>
      <c r="K22" s="55">
        <v>7.5547651953378151E-3</v>
      </c>
      <c r="L22" s="106">
        <v>7554765</v>
      </c>
      <c r="M22" s="55">
        <v>7.5546282838919463E-3</v>
      </c>
      <c r="N22" s="55">
        <v>4.2195237465744086E-2</v>
      </c>
      <c r="O22" s="108"/>
      <c r="P22" s="55">
        <v>7.5546282838919463E-3</v>
      </c>
      <c r="Q22" s="204">
        <v>7.5282777778765504E-3</v>
      </c>
      <c r="R22" s="55">
        <v>5.37539654564681E-3</v>
      </c>
      <c r="S22" s="78">
        <v>1</v>
      </c>
    </row>
    <row r="23" spans="1:19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202">
        <v>1.24</v>
      </c>
      <c r="H23" s="166" t="str">
        <f t="shared" si="0"/>
        <v>(6, 7]</v>
      </c>
      <c r="I23" s="195">
        <v>1.24704444</v>
      </c>
      <c r="J23" s="55">
        <v>3.5039564774574884E-3</v>
      </c>
      <c r="K23" s="55">
        <v>3.488834359557227E-3</v>
      </c>
      <c r="L23" s="106">
        <v>3488834</v>
      </c>
      <c r="M23" s="55">
        <v>3.4887708637136795E-3</v>
      </c>
      <c r="N23" s="55">
        <v>2.2886562406436866E-2</v>
      </c>
      <c r="O23" s="108"/>
      <c r="P23" s="55">
        <v>3.4887708637136795E-3</v>
      </c>
      <c r="Q23" s="204">
        <v>3.4769539997344823E-3</v>
      </c>
      <c r="R23" s="55">
        <v>2.5114557631300671E-3</v>
      </c>
      <c r="S23" s="78">
        <v>1</v>
      </c>
    </row>
    <row r="24" spans="1:19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202">
        <v>1.02</v>
      </c>
      <c r="H24" s="166" t="str">
        <f t="shared" si="0"/>
        <v>(7, 8]</v>
      </c>
      <c r="I24" s="195">
        <v>1.0257946200000001</v>
      </c>
      <c r="J24" s="55">
        <v>2.9858417195615535E-3</v>
      </c>
      <c r="K24" s="55">
        <v>2.9729556432631712E-3</v>
      </c>
      <c r="L24" s="106">
        <v>2972955</v>
      </c>
      <c r="M24" s="55">
        <v>2.9729011994069944E-3</v>
      </c>
      <c r="N24" s="55">
        <v>2.2657567949033636E-2</v>
      </c>
      <c r="O24" s="108"/>
      <c r="P24" s="55">
        <v>2.9729011994069944E-3</v>
      </c>
      <c r="Q24" s="204">
        <v>2.960660064440217E-3</v>
      </c>
      <c r="R24" s="55">
        <v>3.0842439196334154E-3</v>
      </c>
      <c r="S24" s="78">
        <v>1</v>
      </c>
    </row>
    <row r="25" spans="1:19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202">
        <v>1.26</v>
      </c>
      <c r="H25" s="166" t="str">
        <f t="shared" si="0"/>
        <v>(8, 9]</v>
      </c>
      <c r="I25" s="195">
        <v>1.2671580600000001</v>
      </c>
      <c r="J25" s="55">
        <v>2.7040194788449912E-3</v>
      </c>
      <c r="K25" s="55">
        <v>2.6923496702652432E-3</v>
      </c>
      <c r="L25" s="106">
        <v>2692349</v>
      </c>
      <c r="M25" s="55">
        <v>2.6923002774418793E-3</v>
      </c>
      <c r="N25" s="55">
        <v>2.3150041712503514E-2</v>
      </c>
      <c r="O25" s="108"/>
      <c r="P25" s="55">
        <v>2.6923002774418793E-3</v>
      </c>
      <c r="Q25" s="204">
        <v>2.6694708929012037E-3</v>
      </c>
      <c r="R25" s="55">
        <v>2.687698272823405E-3</v>
      </c>
      <c r="S25" s="78">
        <v>0.99</v>
      </c>
    </row>
    <row r="26" spans="1:19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202">
        <v>1.21</v>
      </c>
      <c r="H26" s="166" t="str">
        <f t="shared" si="0"/>
        <v>(9, 10]</v>
      </c>
      <c r="I26" s="195">
        <v>1.21687401</v>
      </c>
      <c r="J26" s="55">
        <v>2.4102881699243715E-3</v>
      </c>
      <c r="K26" s="55">
        <v>2.3998860253447536E-3</v>
      </c>
      <c r="L26" s="106">
        <v>2399886</v>
      </c>
      <c r="M26" s="55">
        <v>2.3998425700490099E-3</v>
      </c>
      <c r="N26" s="55">
        <v>2.314962789594429E-2</v>
      </c>
      <c r="O26" s="108"/>
      <c r="P26" s="55">
        <v>2.3998425700490099E-3</v>
      </c>
      <c r="Q26" s="204">
        <v>2.3901200778528079E-3</v>
      </c>
      <c r="R26" s="55">
        <v>2.2470919985900597E-3</v>
      </c>
      <c r="S26" s="78">
        <v>1</v>
      </c>
    </row>
    <row r="27" spans="1:19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202">
        <v>0.48</v>
      </c>
      <c r="H27" s="166" t="str">
        <f t="shared" si="0"/>
        <v>(10, 15]</v>
      </c>
      <c r="I27" s="195">
        <v>0.48272688000000002</v>
      </c>
      <c r="J27" s="55">
        <v>3.295026574346297E-3</v>
      </c>
      <c r="K27" s="55">
        <v>3.2808061407700461E-3</v>
      </c>
      <c r="L27" s="106">
        <v>3280806</v>
      </c>
      <c r="M27" s="55">
        <v>3.2807466283282672E-3</v>
      </c>
      <c r="N27" s="55">
        <v>4.0837298538034278E-2</v>
      </c>
      <c r="O27" s="108"/>
      <c r="P27" s="55">
        <v>3.2807466283282672E-3</v>
      </c>
      <c r="Q27" s="204">
        <v>3.2553520455735068E-3</v>
      </c>
      <c r="R27" s="55">
        <v>4.9788508988367992E-3</v>
      </c>
      <c r="S27" s="78">
        <v>0.99</v>
      </c>
    </row>
    <row r="28" spans="1:19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202">
        <v>1.1299999999999999</v>
      </c>
      <c r="H28" s="208" t="str">
        <f t="shared" si="0"/>
        <v>(15, 20]</v>
      </c>
      <c r="I28" s="195">
        <v>1.13641953</v>
      </c>
      <c r="J28" s="55">
        <v>5.2164702738401762E-3</v>
      </c>
      <c r="K28" s="55">
        <v>5.1939574147302769E-3</v>
      </c>
      <c r="L28" s="106">
        <v>5193957</v>
      </c>
      <c r="M28" s="55">
        <v>5.1938630066611681E-3</v>
      </c>
      <c r="N28" s="55">
        <v>9.0819253407902076E-2</v>
      </c>
      <c r="O28" s="108"/>
      <c r="P28" s="55">
        <v>5.1938630066611681E-3</v>
      </c>
      <c r="Q28" s="204">
        <v>5.1523509285082278E-3</v>
      </c>
      <c r="R28" s="55">
        <v>2.3352132534367291E-3</v>
      </c>
      <c r="S28" s="78">
        <v>0.99</v>
      </c>
    </row>
    <row r="29" spans="1:19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202">
        <v>0.54</v>
      </c>
      <c r="H29" s="166" t="str">
        <f t="shared" si="0"/>
        <v>(20, 25]</v>
      </c>
      <c r="I29" s="195">
        <v>0.54306774000000002</v>
      </c>
      <c r="J29" s="55">
        <v>1.7227108155000292E-3</v>
      </c>
      <c r="K29" s="55">
        <v>1.7152760667445454E-3</v>
      </c>
      <c r="L29" s="106">
        <v>1715276</v>
      </c>
      <c r="M29" s="55">
        <v>1.7152449592119732E-3</v>
      </c>
      <c r="N29" s="55">
        <v>3.8660298862498318E-2</v>
      </c>
      <c r="O29" s="108"/>
      <c r="P29" s="55">
        <v>1.7152449592119732E-3</v>
      </c>
      <c r="Q29" s="204">
        <v>1.7133368664346144E-3</v>
      </c>
      <c r="R29" s="55">
        <v>1.8064857243567148E-3</v>
      </c>
      <c r="S29" s="78">
        <v>1</v>
      </c>
    </row>
    <row r="30" spans="1:19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202">
        <v>0.2</v>
      </c>
      <c r="H30" s="166" t="str">
        <f t="shared" si="0"/>
        <v>(25, 30]</v>
      </c>
      <c r="I30" s="195">
        <v>0.20113620000000001</v>
      </c>
      <c r="J30" s="55">
        <v>5.1107564641065682E-4</v>
      </c>
      <c r="K30" s="55">
        <v>5.0886998368890345E-4</v>
      </c>
      <c r="L30" s="106">
        <v>508869</v>
      </c>
      <c r="M30" s="55">
        <v>5.0885979116435925E-4</v>
      </c>
      <c r="N30" s="55">
        <v>1.4016322738531919E-2</v>
      </c>
      <c r="O30" s="108"/>
      <c r="P30" s="55">
        <v>5.0885979116435925E-4</v>
      </c>
      <c r="Q30" s="204">
        <v>4.9677799614168574E-4</v>
      </c>
      <c r="R30" s="55">
        <v>8.8121254846669017E-4</v>
      </c>
      <c r="S30" s="78">
        <v>0.98</v>
      </c>
    </row>
    <row r="31" spans="1:19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202">
        <v>0.22</v>
      </c>
      <c r="H31" s="166" t="str">
        <f t="shared" si="0"/>
        <v>(30, 35]</v>
      </c>
      <c r="I31" s="195">
        <v>0.22124982000000001</v>
      </c>
      <c r="J31" s="55">
        <v>4.2130361768346415E-4</v>
      </c>
      <c r="K31" s="55">
        <v>4.1948538648698574E-4</v>
      </c>
      <c r="L31" s="106">
        <v>419485</v>
      </c>
      <c r="M31" s="55">
        <v>4.1947740871733447E-4</v>
      </c>
      <c r="N31" s="55">
        <v>1.3646437982424198E-2</v>
      </c>
      <c r="O31" s="108"/>
      <c r="P31" s="55">
        <v>4.1947740871733447E-4</v>
      </c>
      <c r="Q31" s="204">
        <v>4.1474145548396282E-4</v>
      </c>
      <c r="R31" s="55">
        <v>4.8466690165667957E-4</v>
      </c>
      <c r="S31" s="78">
        <v>0.99</v>
      </c>
    </row>
    <row r="32" spans="1:19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202">
        <v>0.33</v>
      </c>
      <c r="H32" s="208" t="str">
        <f t="shared" si="0"/>
        <v>(35, 40]</v>
      </c>
      <c r="I32" s="195">
        <v>0.33187473000000001</v>
      </c>
      <c r="J32" s="55">
        <v>5.4553404511785961E-4</v>
      </c>
      <c r="K32" s="55">
        <v>5.4317966937091403E-4</v>
      </c>
      <c r="L32" s="106">
        <v>543179</v>
      </c>
      <c r="M32" s="55">
        <v>5.4316917026752569E-4</v>
      </c>
      <c r="N32" s="55">
        <v>2.0393245554789594E-2</v>
      </c>
      <c r="O32" s="108"/>
      <c r="P32" s="55">
        <v>5.4316917026752569E-4</v>
      </c>
      <c r="Q32" s="204">
        <v>5.3879471219703441E-4</v>
      </c>
      <c r="R32" s="55">
        <v>7.0497003877335212E-4</v>
      </c>
      <c r="S32" s="78">
        <v>0.99</v>
      </c>
    </row>
    <row r="33" spans="1:19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202">
        <v>0.16</v>
      </c>
      <c r="H33" s="166" t="str">
        <f t="shared" si="0"/>
        <v>(40, 45]</v>
      </c>
      <c r="I33" s="195">
        <v>0.16090896000000002</v>
      </c>
      <c r="J33" s="55">
        <v>2.1803197855079485E-4</v>
      </c>
      <c r="K33" s="55">
        <v>2.1709101215840838E-4</v>
      </c>
      <c r="L33" s="106">
        <v>217091</v>
      </c>
      <c r="M33" s="55">
        <v>2.1708707137526933E-4</v>
      </c>
      <c r="N33" s="55">
        <v>9.2535462385231939E-3</v>
      </c>
      <c r="O33" s="108"/>
      <c r="P33" s="55">
        <v>2.1708707137526933E-4</v>
      </c>
      <c r="Q33" s="204">
        <v>2.2212092595070716E-4</v>
      </c>
      <c r="R33" s="55">
        <v>3.5248501938667606E-4</v>
      </c>
      <c r="S33" s="78">
        <v>1.02</v>
      </c>
    </row>
    <row r="34" spans="1:19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202">
        <v>0.2</v>
      </c>
      <c r="H34" s="166" t="str">
        <f t="shared" si="0"/>
        <v>(45, 50]</v>
      </c>
      <c r="I34" s="195">
        <v>0.20113620000000001</v>
      </c>
      <c r="J34" s="55">
        <v>2.3035455691691034E-4</v>
      </c>
      <c r="K34" s="55">
        <v>2.2936040964625486E-4</v>
      </c>
      <c r="L34" s="106">
        <v>229360</v>
      </c>
      <c r="M34" s="55">
        <v>2.2935584934719437E-4</v>
      </c>
      <c r="N34" s="55">
        <v>1.0932530402380665E-2</v>
      </c>
      <c r="O34" s="108"/>
      <c r="P34" s="55">
        <v>2.2935584934719437E-4</v>
      </c>
      <c r="Q34" s="204">
        <v>2.2429880756541837E-4</v>
      </c>
      <c r="R34" s="55">
        <v>1.3218188227000352E-4</v>
      </c>
      <c r="S34" s="78">
        <v>0.98</v>
      </c>
    </row>
    <row r="35" spans="1:19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202">
        <v>0.2</v>
      </c>
      <c r="H35" s="208" t="str">
        <f t="shared" si="0"/>
        <v>(50, 60]</v>
      </c>
      <c r="I35" s="195">
        <v>0.20113620000000001</v>
      </c>
      <c r="J35" s="55">
        <v>3.8247590229691493E-4</v>
      </c>
      <c r="K35" s="55">
        <v>3.8082524090150296E-4</v>
      </c>
      <c r="L35" s="106">
        <v>380825</v>
      </c>
      <c r="M35" s="55">
        <v>3.8081810833469348E-4</v>
      </c>
      <c r="N35" s="55">
        <v>2.0907396024310642E-2</v>
      </c>
      <c r="O35" s="108"/>
      <c r="P35" s="55">
        <v>3.8081810833469348E-4</v>
      </c>
      <c r="Q35" s="204">
        <v>3.7520660451939152E-4</v>
      </c>
      <c r="R35" s="55">
        <v>3.0842439196334157E-4</v>
      </c>
      <c r="S35" s="78">
        <v>0.99</v>
      </c>
    </row>
    <row r="36" spans="1:19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202">
        <v>0.11</v>
      </c>
      <c r="H36" s="166" t="str">
        <f t="shared" si="0"/>
        <v>(60, 70]</v>
      </c>
      <c r="I36" s="195">
        <v>0.11062491000000001</v>
      </c>
      <c r="J36" s="55">
        <v>1.534853744148766E-4</v>
      </c>
      <c r="K36" s="55">
        <v>1.5282297351383811E-4</v>
      </c>
      <c r="L36" s="106">
        <v>152822</v>
      </c>
      <c r="M36" s="55">
        <v>1.5281923443031452E-4</v>
      </c>
      <c r="N36" s="55">
        <v>9.9340216854075444E-3</v>
      </c>
      <c r="O36" s="108"/>
      <c r="P36" s="55">
        <v>1.5281923443031452E-4</v>
      </c>
      <c r="Q36" s="204">
        <v>1.5254370802911894E-4</v>
      </c>
      <c r="R36" s="55">
        <v>1.7624250969333803E-4</v>
      </c>
      <c r="S36" s="78">
        <v>1</v>
      </c>
    </row>
    <row r="37" spans="1:19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202">
        <v>0.12</v>
      </c>
      <c r="H37" s="166" t="str">
        <f t="shared" si="0"/>
        <v>(70, 80]</v>
      </c>
      <c r="I37" s="195">
        <v>0.12068172000000001</v>
      </c>
      <c r="J37" s="55">
        <v>1.3542209097896661E-4</v>
      </c>
      <c r="K37" s="55">
        <v>1.3483764626931948E-4</v>
      </c>
      <c r="L37" s="106">
        <v>134837</v>
      </c>
      <c r="M37" s="55">
        <v>1.3483455989896952E-4</v>
      </c>
      <c r="N37" s="55">
        <v>1.0112616063324493E-2</v>
      </c>
      <c r="O37" s="108"/>
      <c r="P37" s="55">
        <v>1.3483455989896952E-4</v>
      </c>
      <c r="Q37" s="204">
        <v>1.3574462119388114E-4</v>
      </c>
      <c r="R37" s="55">
        <v>1.3218188227000352E-4</v>
      </c>
      <c r="S37" s="78">
        <v>1.01</v>
      </c>
    </row>
    <row r="38" spans="1:19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202">
        <v>0</v>
      </c>
      <c r="H38" s="166" t="str">
        <f t="shared" si="0"/>
        <v>(80, 90]</v>
      </c>
      <c r="I38" s="195">
        <v>0</v>
      </c>
      <c r="J38" s="55">
        <v>0</v>
      </c>
      <c r="K38" s="55">
        <v>0</v>
      </c>
      <c r="L38" s="106">
        <v>0</v>
      </c>
      <c r="M38" s="55">
        <v>0</v>
      </c>
      <c r="N38" s="55">
        <v>0</v>
      </c>
      <c r="O38" s="108"/>
      <c r="P38" s="55">
        <v>0</v>
      </c>
      <c r="Q38" s="204">
        <v>0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202">
        <v>0</v>
      </c>
      <c r="H39" s="166" t="str">
        <f t="shared" si="0"/>
        <v>(90, 100]</v>
      </c>
      <c r="I39" s="195">
        <v>0</v>
      </c>
      <c r="J39" s="55">
        <v>0</v>
      </c>
      <c r="K39" s="55">
        <v>0</v>
      </c>
      <c r="L39" s="106">
        <v>0</v>
      </c>
      <c r="M39" s="55">
        <v>0</v>
      </c>
      <c r="N39" s="55">
        <v>0</v>
      </c>
      <c r="O39" s="108"/>
      <c r="P39" s="55">
        <v>0</v>
      </c>
      <c r="Q39" s="204">
        <v>0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202">
        <v>0.08</v>
      </c>
      <c r="H40" s="166" t="str">
        <f t="shared" si="0"/>
        <v>(100, 120]</v>
      </c>
      <c r="I40" s="195">
        <v>8.0454480000000009E-2</v>
      </c>
      <c r="J40" s="55">
        <v>9.3074279620075219E-5</v>
      </c>
      <c r="K40" s="55">
        <v>9.2672596483040962E-5</v>
      </c>
      <c r="L40" s="106">
        <v>92672</v>
      </c>
      <c r="M40" s="55">
        <v>9.2670322945165664E-5</v>
      </c>
      <c r="N40" s="55">
        <v>1.0160443570924826E-2</v>
      </c>
      <c r="O40" s="108"/>
      <c r="P40" s="55">
        <v>9.2670322945165664E-5</v>
      </c>
      <c r="Q40" s="204">
        <v>8.9040159954985172E-5</v>
      </c>
      <c r="R40" s="55">
        <v>0</v>
      </c>
      <c r="S40" s="78">
        <v>0.96</v>
      </c>
    </row>
    <row r="41" spans="1:19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202">
        <v>0</v>
      </c>
      <c r="H41" s="166" t="str">
        <f t="shared" si="0"/>
        <v>(120, 140]</v>
      </c>
      <c r="I41" s="195">
        <v>0</v>
      </c>
      <c r="J41" s="55">
        <v>0</v>
      </c>
      <c r="K41" s="55">
        <v>0</v>
      </c>
      <c r="L41" s="106">
        <v>0</v>
      </c>
      <c r="M41" s="55">
        <v>0</v>
      </c>
      <c r="N41" s="55">
        <v>0</v>
      </c>
      <c r="O41" s="108"/>
      <c r="P41" s="55">
        <v>0</v>
      </c>
      <c r="Q41" s="204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202">
        <v>0</v>
      </c>
      <c r="H42" s="166" t="str">
        <f t="shared" si="0"/>
        <v>(140, 160]</v>
      </c>
      <c r="I42" s="195">
        <v>0</v>
      </c>
      <c r="J42" s="55">
        <v>0</v>
      </c>
      <c r="K42" s="55">
        <v>0</v>
      </c>
      <c r="L42" s="106">
        <v>0</v>
      </c>
      <c r="M42" s="55">
        <v>0</v>
      </c>
      <c r="N42" s="55">
        <v>0</v>
      </c>
      <c r="O42" s="108"/>
      <c r="P42" s="55">
        <v>0</v>
      </c>
      <c r="Q42" s="204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202">
        <v>0</v>
      </c>
      <c r="H43" s="166" t="str">
        <f t="shared" si="0"/>
        <v>(160, 180]</v>
      </c>
      <c r="I43" s="195">
        <v>0</v>
      </c>
      <c r="J43" s="55">
        <v>0</v>
      </c>
      <c r="K43" s="55">
        <v>0</v>
      </c>
      <c r="L43" s="106">
        <v>0</v>
      </c>
      <c r="M43" s="55">
        <v>0</v>
      </c>
      <c r="N43" s="55">
        <v>0</v>
      </c>
      <c r="O43" s="108"/>
      <c r="P43" s="55">
        <v>0</v>
      </c>
      <c r="Q43" s="204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202">
        <v>0</v>
      </c>
      <c r="H44" s="166" t="str">
        <f t="shared" si="0"/>
        <v>(180, 200]</v>
      </c>
      <c r="I44" s="195">
        <v>0</v>
      </c>
      <c r="J44" s="55">
        <v>0</v>
      </c>
      <c r="K44" s="55">
        <v>0</v>
      </c>
      <c r="L44" s="106">
        <v>0</v>
      </c>
      <c r="M44" s="55">
        <v>0</v>
      </c>
      <c r="N44" s="55">
        <v>0</v>
      </c>
      <c r="O44" s="108"/>
      <c r="P44" s="55">
        <v>0</v>
      </c>
      <c r="Q44" s="204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202">
        <v>0</v>
      </c>
      <c r="H45" s="166" t="str">
        <f t="shared" si="0"/>
        <v>(200, 250]</v>
      </c>
      <c r="I45" s="195">
        <v>0</v>
      </c>
      <c r="J45" s="55">
        <v>0</v>
      </c>
      <c r="K45" s="55">
        <v>0</v>
      </c>
      <c r="L45" s="106">
        <v>0</v>
      </c>
      <c r="M45" s="55">
        <v>0</v>
      </c>
      <c r="N45" s="55">
        <v>0</v>
      </c>
      <c r="O45" s="108"/>
      <c r="P45" s="55">
        <v>0</v>
      </c>
      <c r="Q45" s="204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202">
        <v>0</v>
      </c>
      <c r="H46" s="166" t="str">
        <f t="shared" si="0"/>
        <v>(250, 300]</v>
      </c>
      <c r="I46" s="195">
        <v>0</v>
      </c>
      <c r="J46" s="55">
        <v>0</v>
      </c>
      <c r="K46" s="55">
        <v>0</v>
      </c>
      <c r="L46" s="106">
        <v>0</v>
      </c>
      <c r="M46" s="55">
        <v>0</v>
      </c>
      <c r="N46" s="55">
        <v>0</v>
      </c>
      <c r="O46" s="108"/>
      <c r="P46" s="55">
        <v>0</v>
      </c>
      <c r="Q46" s="204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202">
        <v>0</v>
      </c>
      <c r="H47" s="166" t="str">
        <f t="shared" si="0"/>
        <v>(300, 350]</v>
      </c>
      <c r="I47" s="195">
        <v>0</v>
      </c>
      <c r="J47" s="55">
        <v>0</v>
      </c>
      <c r="K47" s="55">
        <v>0</v>
      </c>
      <c r="L47" s="106">
        <v>0</v>
      </c>
      <c r="M47" s="55">
        <v>0</v>
      </c>
      <c r="N47" s="55">
        <v>0</v>
      </c>
      <c r="O47" s="108"/>
      <c r="P47" s="55">
        <v>0</v>
      </c>
      <c r="Q47" s="204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202">
        <v>0</v>
      </c>
      <c r="H48" s="166" t="str">
        <f t="shared" si="0"/>
        <v>(350, 400]</v>
      </c>
      <c r="I48" s="195">
        <v>0</v>
      </c>
      <c r="J48" s="55">
        <v>0</v>
      </c>
      <c r="K48" s="55">
        <v>0</v>
      </c>
      <c r="L48" s="106">
        <v>0</v>
      </c>
      <c r="M48" s="55">
        <v>0</v>
      </c>
      <c r="N48" s="55">
        <v>0</v>
      </c>
      <c r="O48" s="108"/>
      <c r="P48" s="55">
        <v>0</v>
      </c>
      <c r="Q48" s="204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202">
        <v>0</v>
      </c>
      <c r="H49" s="166" t="str">
        <f t="shared" si="0"/>
        <v>(400, 450]</v>
      </c>
      <c r="I49" s="195">
        <v>0</v>
      </c>
      <c r="J49" s="55">
        <v>0</v>
      </c>
      <c r="K49" s="55">
        <v>0</v>
      </c>
      <c r="L49" s="106">
        <v>0</v>
      </c>
      <c r="M49" s="55">
        <v>0</v>
      </c>
      <c r="N49" s="55">
        <v>0</v>
      </c>
      <c r="O49" s="108"/>
      <c r="P49" s="55">
        <v>0</v>
      </c>
      <c r="Q49" s="204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202">
        <v>0</v>
      </c>
      <c r="H50" s="166" t="str">
        <f t="shared" si="0"/>
        <v>(450, 500]</v>
      </c>
      <c r="I50" s="195">
        <v>0</v>
      </c>
      <c r="J50" s="55">
        <v>0</v>
      </c>
      <c r="K50" s="55">
        <v>0</v>
      </c>
      <c r="L50" s="106">
        <v>0</v>
      </c>
      <c r="M50" s="55">
        <v>0</v>
      </c>
      <c r="N50" s="55">
        <v>0</v>
      </c>
      <c r="O50" s="108"/>
      <c r="P50" s="55">
        <v>0</v>
      </c>
      <c r="Q50" s="204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202">
        <v>0</v>
      </c>
      <c r="H51" s="166" t="str">
        <f t="shared" si="0"/>
        <v>(500, 550]</v>
      </c>
      <c r="I51" s="195">
        <v>0</v>
      </c>
      <c r="J51" s="55">
        <v>0</v>
      </c>
      <c r="K51" s="55">
        <v>0</v>
      </c>
      <c r="L51" s="106">
        <v>0</v>
      </c>
      <c r="M51" s="55">
        <v>0</v>
      </c>
      <c r="N51" s="55">
        <v>0</v>
      </c>
      <c r="O51" s="108"/>
      <c r="P51" s="55">
        <v>0</v>
      </c>
      <c r="Q51" s="204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202">
        <v>0</v>
      </c>
      <c r="H52" s="166" t="str">
        <f t="shared" si="0"/>
        <v>(550, 600]</v>
      </c>
      <c r="I52" s="195">
        <v>0</v>
      </c>
      <c r="J52" s="55">
        <v>0</v>
      </c>
      <c r="K52" s="55">
        <v>0</v>
      </c>
      <c r="L52" s="106">
        <v>0</v>
      </c>
      <c r="M52" s="55">
        <v>0</v>
      </c>
      <c r="N52" s="55">
        <v>0</v>
      </c>
      <c r="O52" s="108"/>
      <c r="P52" s="55">
        <v>0</v>
      </c>
      <c r="Q52" s="204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202">
        <v>0</v>
      </c>
      <c r="H53" s="166" t="str">
        <f t="shared" si="0"/>
        <v>(600, 650]</v>
      </c>
      <c r="I53" s="195">
        <v>0</v>
      </c>
      <c r="J53" s="55">
        <v>0</v>
      </c>
      <c r="K53" s="55">
        <v>0</v>
      </c>
      <c r="L53" s="106">
        <v>0</v>
      </c>
      <c r="M53" s="55">
        <v>0</v>
      </c>
      <c r="N53" s="55">
        <v>0</v>
      </c>
      <c r="O53" s="108"/>
      <c r="P53" s="55">
        <v>0</v>
      </c>
      <c r="Q53" s="204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202">
        <v>0</v>
      </c>
      <c r="H54" s="166" t="str">
        <f t="shared" si="0"/>
        <v>(650, 700]</v>
      </c>
      <c r="I54" s="195">
        <v>0</v>
      </c>
      <c r="J54" s="55">
        <v>0</v>
      </c>
      <c r="K54" s="55">
        <v>0</v>
      </c>
      <c r="L54" s="106">
        <v>0</v>
      </c>
      <c r="M54" s="55">
        <v>0</v>
      </c>
      <c r="N54" s="55">
        <v>0</v>
      </c>
      <c r="O54" s="108"/>
      <c r="P54" s="55">
        <v>0</v>
      </c>
      <c r="Q54" s="204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202">
        <v>0</v>
      </c>
      <c r="H55" s="166" t="str">
        <f t="shared" si="0"/>
        <v>(700, 750]</v>
      </c>
      <c r="I55" s="195">
        <v>0</v>
      </c>
      <c r="J55" s="55">
        <v>0</v>
      </c>
      <c r="K55" s="55">
        <v>0</v>
      </c>
      <c r="L55" s="106">
        <v>0</v>
      </c>
      <c r="M55" s="55">
        <v>0</v>
      </c>
      <c r="N55" s="55">
        <v>0</v>
      </c>
      <c r="O55" s="108"/>
      <c r="P55" s="55">
        <v>0</v>
      </c>
      <c r="Q55" s="204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202">
        <v>0</v>
      </c>
      <c r="H56" s="166" t="str">
        <f t="shared" si="0"/>
        <v>(750, 800]</v>
      </c>
      <c r="I56" s="195">
        <v>0</v>
      </c>
      <c r="J56" s="55">
        <v>0</v>
      </c>
      <c r="K56" s="55">
        <v>0</v>
      </c>
      <c r="L56" s="106">
        <v>0</v>
      </c>
      <c r="M56" s="55">
        <v>0</v>
      </c>
      <c r="N56" s="55">
        <v>0</v>
      </c>
      <c r="O56" s="108"/>
      <c r="P56" s="55">
        <v>0</v>
      </c>
      <c r="Q56" s="204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202">
        <v>0</v>
      </c>
      <c r="H57" s="166" t="str">
        <f t="shared" si="0"/>
        <v>(800, 850]</v>
      </c>
      <c r="I57" s="195">
        <v>0</v>
      </c>
      <c r="J57" s="55">
        <v>0</v>
      </c>
      <c r="K57" s="55">
        <v>0</v>
      </c>
      <c r="L57" s="106">
        <v>0</v>
      </c>
      <c r="M57" s="55">
        <v>0</v>
      </c>
      <c r="N57" s="55">
        <v>0</v>
      </c>
      <c r="O57" s="108"/>
      <c r="P57" s="55">
        <v>0</v>
      </c>
      <c r="Q57" s="204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202">
        <v>0</v>
      </c>
      <c r="H58" s="166" t="str">
        <f t="shared" si="0"/>
        <v>(850, 900]</v>
      </c>
      <c r="I58" s="195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08"/>
      <c r="P58" s="55">
        <v>0</v>
      </c>
      <c r="Q58" s="204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202">
        <v>0</v>
      </c>
      <c r="H59" s="166" t="str">
        <f t="shared" si="0"/>
        <v>(900, 950]</v>
      </c>
      <c r="I59" s="195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08"/>
      <c r="P59" s="55">
        <v>0</v>
      </c>
      <c r="Q59" s="204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202">
        <v>0</v>
      </c>
      <c r="H60" s="166" t="str">
        <f t="shared" si="0"/>
        <v>(950, 1000]</v>
      </c>
      <c r="I60" s="195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08"/>
      <c r="P60" s="55">
        <v>0</v>
      </c>
      <c r="Q60" s="204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202">
        <v>0</v>
      </c>
      <c r="H61" s="166" t="str">
        <f t="shared" si="0"/>
        <v>(1000, 2000]</v>
      </c>
      <c r="I61" s="195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08"/>
      <c r="P61" s="55">
        <v>0</v>
      </c>
      <c r="Q61" s="204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202">
        <v>0</v>
      </c>
      <c r="H62" s="166" t="str">
        <f t="shared" si="0"/>
        <v>(2000, 3000]</v>
      </c>
      <c r="I62" s="195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08"/>
      <c r="P62" s="55">
        <v>0</v>
      </c>
      <c r="Q62" s="204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202">
        <v>0</v>
      </c>
      <c r="H63" s="166" t="str">
        <f t="shared" si="0"/>
        <v>(3000, 4000]</v>
      </c>
      <c r="I63" s="195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08"/>
      <c r="P63" s="55">
        <v>0</v>
      </c>
      <c r="Q63" s="204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202">
        <v>0</v>
      </c>
      <c r="H64" s="166" t="str">
        <f t="shared" si="0"/>
        <v>(4000, 5000]</v>
      </c>
      <c r="I64" s="195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08"/>
      <c r="P64" s="55">
        <v>0</v>
      </c>
      <c r="Q64" s="204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202">
        <v>0</v>
      </c>
      <c r="H65" s="166" t="str">
        <f t="shared" si="0"/>
        <v>(5000, 6000]</v>
      </c>
      <c r="I65" s="195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08"/>
      <c r="P65" s="55">
        <v>0</v>
      </c>
      <c r="Q65" s="204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202">
        <v>0</v>
      </c>
      <c r="H66" s="166" t="str">
        <f t="shared" si="0"/>
        <v>(6000, 7000]</v>
      </c>
      <c r="I66" s="195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08"/>
      <c r="P66" s="55">
        <v>0</v>
      </c>
      <c r="Q66" s="204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202">
        <v>0</v>
      </c>
      <c r="H67" s="166" t="str">
        <f t="shared" si="0"/>
        <v>(7000, 8000]</v>
      </c>
      <c r="I67" s="195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08"/>
      <c r="P67" s="55">
        <v>0</v>
      </c>
      <c r="Q67" s="204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202">
        <v>0</v>
      </c>
      <c r="H68" s="166" t="str">
        <f t="shared" si="0"/>
        <v>(8000, 9000]</v>
      </c>
      <c r="I68" s="195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08"/>
      <c r="P68" s="55">
        <v>0</v>
      </c>
      <c r="Q68" s="204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202">
        <v>0</v>
      </c>
      <c r="H69" s="166" t="str">
        <f t="shared" si="0"/>
        <v>(9000, 10000]</v>
      </c>
      <c r="I69" s="195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08"/>
      <c r="P69" s="55">
        <v>0</v>
      </c>
      <c r="Q69" s="204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202">
        <v>0</v>
      </c>
      <c r="H70" s="166" t="str">
        <f t="shared" si="0"/>
        <v>(10000, 20000]</v>
      </c>
      <c r="I70" s="195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08"/>
      <c r="P70" s="55">
        <v>0</v>
      </c>
      <c r="Q70" s="204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202">
        <v>0</v>
      </c>
      <c r="H71" s="166" t="str">
        <f t="shared" si="0"/>
        <v>(20000, 30000]</v>
      </c>
      <c r="I71" s="195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08"/>
      <c r="P71" s="55">
        <v>0</v>
      </c>
      <c r="Q71" s="204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202">
        <v>0</v>
      </c>
      <c r="H72" s="166" t="str">
        <f t="shared" si="0"/>
        <v>(30000, 40000]</v>
      </c>
      <c r="I72" s="195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08"/>
      <c r="P72" s="55">
        <v>0</v>
      </c>
      <c r="Q72" s="204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202">
        <v>0</v>
      </c>
      <c r="H73" s="166" t="str">
        <f t="shared" si="0"/>
        <v>(40000, 50000]</v>
      </c>
      <c r="I73" s="195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08"/>
      <c r="P73" s="55">
        <v>0</v>
      </c>
      <c r="Q73" s="204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202">
        <v>0</v>
      </c>
      <c r="H74" s="166" t="str">
        <f t="shared" si="0"/>
        <v>(50000, 60000]</v>
      </c>
      <c r="I74" s="195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08"/>
      <c r="P74" s="55">
        <v>0</v>
      </c>
      <c r="Q74" s="204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202">
        <v>0</v>
      </c>
      <c r="H75" s="166" t="str">
        <f t="shared" si="0"/>
        <v>(60000, 70000]</v>
      </c>
      <c r="I75" s="195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08"/>
      <c r="P75" s="55">
        <v>0</v>
      </c>
      <c r="Q75" s="204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202">
        <v>0</v>
      </c>
      <c r="H76" s="166" t="str">
        <f t="shared" si="0"/>
        <v>(70000, 80000]</v>
      </c>
      <c r="I76" s="195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08"/>
      <c r="P76" s="55">
        <v>0</v>
      </c>
      <c r="Q76" s="204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202">
        <v>0</v>
      </c>
      <c r="H77" s="166" t="str">
        <f t="shared" si="0"/>
        <v>(80000, 90000]</v>
      </c>
      <c r="I77" s="195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08"/>
      <c r="P77" s="55">
        <v>0</v>
      </c>
      <c r="Q77" s="204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202">
        <v>0</v>
      </c>
      <c r="H78" s="166" t="str">
        <f t="shared" si="0"/>
        <v>(90000, 100000]</v>
      </c>
      <c r="I78" s="195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08"/>
      <c r="P78" s="55">
        <v>0</v>
      </c>
      <c r="Q78" s="204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202">
        <v>0</v>
      </c>
      <c r="H79" s="166" t="str">
        <f t="shared" si="0"/>
        <v>(100000, 9999999]</v>
      </c>
      <c r="I79" s="195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08"/>
      <c r="P79" s="55">
        <v>0</v>
      </c>
      <c r="Q79" s="204">
        <v>0</v>
      </c>
      <c r="R79" s="55">
        <v>0</v>
      </c>
      <c r="S79" s="78">
        <v>0</v>
      </c>
    </row>
    <row r="80" spans="1:20">
      <c r="A80" s="220" t="s">
        <v>72</v>
      </c>
      <c r="B80" s="221"/>
      <c r="C80" s="68">
        <f>E80*B14</f>
        <v>13362000</v>
      </c>
      <c r="D80" s="67">
        <v>360008300</v>
      </c>
      <c r="E80" s="201">
        <v>1.3362000000000001E-2</v>
      </c>
      <c r="F80" s="88">
        <v>0.26942695704235892</v>
      </c>
      <c r="G80" s="202"/>
      <c r="H80" s="166" t="s">
        <v>72</v>
      </c>
      <c r="I80" s="195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4.1955920723702666E-3</v>
      </c>
      <c r="N80" s="55">
        <v>1.1304056050497654E-3</v>
      </c>
      <c r="P80" s="47"/>
      <c r="Q80" s="47"/>
      <c r="R80" s="47"/>
      <c r="S80" s="47"/>
      <c r="T80" s="47"/>
    </row>
    <row r="81" spans="1:20">
      <c r="A81" s="220" t="s">
        <v>73</v>
      </c>
      <c r="B81" s="221"/>
      <c r="C81" s="68">
        <v>10000000</v>
      </c>
      <c r="D81" s="67">
        <v>0</v>
      </c>
      <c r="E81" s="55">
        <v>1</v>
      </c>
      <c r="F81" s="88">
        <v>0</v>
      </c>
      <c r="G81" s="202"/>
      <c r="H81" s="166" t="s">
        <v>73</v>
      </c>
      <c r="I81" s="175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</row>
    <row r="83" spans="1:20">
      <c r="A83" s="48"/>
      <c r="D83" s="104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3" customFormat="1">
      <c r="A84" s="222" t="s">
        <v>262</v>
      </c>
      <c r="B84" s="222"/>
      <c r="C84" s="222"/>
      <c r="D84" s="222"/>
      <c r="E84" s="168"/>
      <c r="F84" s="168"/>
      <c r="G84" s="169"/>
      <c r="H84" s="170"/>
      <c r="I84" s="171"/>
      <c r="J84" s="172"/>
      <c r="K84" s="172"/>
      <c r="L84" s="172"/>
      <c r="M84" s="172"/>
      <c r="N84" s="172"/>
      <c r="O84" s="169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3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9" t="s">
        <v>55</v>
      </c>
      <c r="I87" s="119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322</v>
      </c>
      <c r="Q87" s="180" t="s">
        <v>322</v>
      </c>
      <c r="R87" s="81" t="s">
        <v>321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166" t="str">
        <f>"("&amp;$A88&amp;", "&amp;$B88&amp;"]"</f>
        <v>(-1, 0]</v>
      </c>
      <c r="I88" s="195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0.71194570953648262</v>
      </c>
      <c r="L88" s="106" cm="1">
        <f t="array" ref="L88:L152">INT(K88:K152*$B$2)</f>
        <v>711945709</v>
      </c>
      <c r="M88" s="55" cm="1">
        <f t="array" ref="M88:M152">_xlfn.LET(_xlpm.x, L88:L152, _xlpm.x/SUM(_xlpm.x))</f>
        <v>0.71164631299130776</v>
      </c>
      <c r="N88" s="55" cm="1">
        <f t="array" ref="N88:N152">M88:M152*F88:F152</f>
        <v>0</v>
      </c>
      <c r="O88" s="108"/>
      <c r="P88" s="55" cm="1">
        <f t="array" ref="P88:P151">M88:M151</f>
        <v>0.71164631299130776</v>
      </c>
      <c r="Q88" s="204">
        <v>0.71129077639443383</v>
      </c>
      <c r="R88" s="55"/>
      <c r="S88" s="78" cm="1">
        <f t="array" ref="S88:S151">_xlfn.LET(_xlpm.x, Q88:Q151/M88:M151, IF(ISERR(_xlpm.x), 0, ROUND(_xlpm.x,2)))</f>
        <v>1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-1130</v>
      </c>
      <c r="H89" s="166" t="str">
        <f t="shared" ref="H89:H151" si="1">"("&amp;$A89&amp;", "&amp;$B89&amp;"]"</f>
        <v>(0, 1]</v>
      </c>
      <c r="I89" s="195">
        <v>1.18</v>
      </c>
      <c r="J89" s="55">
        <v>0.16106442614279243</v>
      </c>
      <c r="K89" s="55">
        <v>0.15783428254545276</v>
      </c>
      <c r="L89" s="106">
        <v>157834282</v>
      </c>
      <c r="M89" s="55">
        <v>0.15776790762135254</v>
      </c>
      <c r="N89" s="55">
        <v>6.8760071717664517E-2</v>
      </c>
      <c r="O89" s="108"/>
      <c r="P89" s="55">
        <v>0.15776790762135254</v>
      </c>
      <c r="Q89" s="204">
        <v>0.15819743034039788</v>
      </c>
      <c r="R89" s="55"/>
      <c r="S89" s="78">
        <v>1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0.99887000000000004</v>
      </c>
      <c r="H90" s="166" t="str">
        <f t="shared" si="1"/>
        <v>(1, 2]</v>
      </c>
      <c r="I90" s="195">
        <v>1.3</v>
      </c>
      <c r="J90" s="55">
        <v>4.5199946092465207E-2</v>
      </c>
      <c r="K90" s="55">
        <v>4.4293462147082782E-2</v>
      </c>
      <c r="L90" s="106">
        <v>44293462</v>
      </c>
      <c r="M90" s="55">
        <v>4.4274835178366945E-2</v>
      </c>
      <c r="N90" s="55">
        <v>6.6290993505064302E-2</v>
      </c>
      <c r="O90" s="108"/>
      <c r="P90" s="55">
        <v>4.4274835178366945E-2</v>
      </c>
      <c r="Q90" s="204">
        <v>4.4334957957697756E-2</v>
      </c>
      <c r="R90" s="55"/>
      <c r="S90" s="78">
        <v>1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2"/>
      <c r="H91" s="166" t="str">
        <f t="shared" si="1"/>
        <v>(2, 3]</v>
      </c>
      <c r="I91" s="195">
        <v>1.32</v>
      </c>
      <c r="J91" s="55">
        <v>2.1433207268874512E-2</v>
      </c>
      <c r="K91" s="55">
        <v>2.1003364758718789E-2</v>
      </c>
      <c r="L91" s="106">
        <v>21003364</v>
      </c>
      <c r="M91" s="55">
        <v>2.0994531411684322E-2</v>
      </c>
      <c r="N91" s="55">
        <v>5.2860791209527719E-2</v>
      </c>
      <c r="O91" s="108"/>
      <c r="P91" s="55">
        <v>2.0994531411684322E-2</v>
      </c>
      <c r="Q91" s="204">
        <v>2.1022686010241088E-2</v>
      </c>
      <c r="R91" s="55"/>
      <c r="S91" s="78">
        <v>1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2"/>
      <c r="H92" s="166" t="str">
        <f t="shared" si="1"/>
        <v>(3, 4]</v>
      </c>
      <c r="I92" s="195">
        <v>1.08</v>
      </c>
      <c r="J92" s="55">
        <v>8.7213902268669496E-3</v>
      </c>
      <c r="K92" s="55">
        <v>8.5464829337056434E-3</v>
      </c>
      <c r="L92" s="106">
        <v>8546482</v>
      </c>
      <c r="M92" s="55">
        <v>8.5428879301617903E-3</v>
      </c>
      <c r="N92" s="55">
        <v>3.0476299287984222E-2</v>
      </c>
      <c r="O92" s="108"/>
      <c r="P92" s="55">
        <v>8.5428879301617903E-3</v>
      </c>
      <c r="Q92" s="204">
        <v>8.5021580020264356E-3</v>
      </c>
      <c r="R92" s="55"/>
      <c r="S92" s="78">
        <v>1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2"/>
      <c r="H93" s="166" t="str">
        <f t="shared" si="1"/>
        <v>(4, 5]</v>
      </c>
      <c r="I93" s="195">
        <v>1.21</v>
      </c>
      <c r="J93" s="55">
        <v>6.8416552904360974E-3</v>
      </c>
      <c r="K93" s="55">
        <v>6.7044460409397821E-3</v>
      </c>
      <c r="L93" s="106">
        <v>6704446</v>
      </c>
      <c r="M93" s="55">
        <v>6.7016265653893018E-3</v>
      </c>
      <c r="N93" s="55">
        <v>3.0803557971074612E-2</v>
      </c>
      <c r="O93" s="108"/>
      <c r="P93" s="55">
        <v>6.7016265653893018E-3</v>
      </c>
      <c r="Q93" s="204">
        <v>6.6995414411689979E-3</v>
      </c>
      <c r="R93" s="55"/>
      <c r="S93" s="78">
        <v>1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2">
        <v>1.34</v>
      </c>
      <c r="H94" s="166" t="str">
        <f t="shared" si="1"/>
        <v>(5, 6]</v>
      </c>
      <c r="I94" s="195" cm="1">
        <f t="array" ref="I94:I151">G94:G151*G90</f>
        <v>1.3384858000000002</v>
      </c>
      <c r="J94" s="55">
        <v>5.6415678429755263E-3</v>
      </c>
      <c r="K94" s="55">
        <v>5.5284263213909342E-3</v>
      </c>
      <c r="L94" s="106">
        <v>5528426</v>
      </c>
      <c r="M94" s="55">
        <v>5.5261011195241062E-3</v>
      </c>
      <c r="N94" s="55">
        <v>3.0865204777210848E-2</v>
      </c>
      <c r="O94" s="108"/>
      <c r="P94" s="55">
        <v>5.5261011195241062E-3</v>
      </c>
      <c r="Q94" s="204">
        <v>5.5126358034368909E-3</v>
      </c>
      <c r="R94" s="55"/>
      <c r="S94" s="78">
        <v>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2">
        <v>1.23</v>
      </c>
      <c r="H95" s="166" t="str">
        <f t="shared" si="1"/>
        <v>(6, 7]</v>
      </c>
      <c r="I95" s="195">
        <v>1.2286101</v>
      </c>
      <c r="J95" s="55">
        <v>3.452159506171803E-3</v>
      </c>
      <c r="K95" s="55">
        <v>3.3829265216270337E-3</v>
      </c>
      <c r="L95" s="106">
        <v>3382926</v>
      </c>
      <c r="M95" s="55">
        <v>3.3815033710982486E-3</v>
      </c>
      <c r="N95" s="55">
        <v>2.2182880720299471E-2</v>
      </c>
      <c r="O95" s="108"/>
      <c r="P95" s="55">
        <v>3.3815033710982486E-3</v>
      </c>
      <c r="Q95" s="204">
        <v>3.3734937393716416E-3</v>
      </c>
      <c r="R95" s="55"/>
      <c r="S95" s="78">
        <v>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2">
        <v>1.01</v>
      </c>
      <c r="H96" s="166" t="str">
        <f t="shared" si="1"/>
        <v>(7, 8]</v>
      </c>
      <c r="I96" s="195">
        <v>1.0088587</v>
      </c>
      <c r="J96" s="55">
        <v>2.9365453248357191E-3</v>
      </c>
      <c r="K96" s="55">
        <v>2.8776529715925118E-3</v>
      </c>
      <c r="L96" s="106">
        <v>2877652</v>
      </c>
      <c r="M96" s="55">
        <v>2.8764418550236148E-3</v>
      </c>
      <c r="N96" s="55">
        <v>2.1922415986996822E-2</v>
      </c>
      <c r="O96" s="108"/>
      <c r="P96" s="55">
        <v>2.8764418550236148E-3</v>
      </c>
      <c r="Q96" s="204">
        <v>2.8725629428765611E-3</v>
      </c>
      <c r="R96" s="55"/>
      <c r="S96" s="78">
        <v>1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2">
        <v>1.24</v>
      </c>
      <c r="H97" s="166" t="str">
        <f t="shared" si="1"/>
        <v>(8, 9]</v>
      </c>
      <c r="I97" s="195">
        <v>1.2385988000000001</v>
      </c>
      <c r="J97" s="55">
        <v>2.6430761776269898E-3</v>
      </c>
      <c r="K97" s="55">
        <v>2.5900693418104089E-3</v>
      </c>
      <c r="L97" s="106">
        <v>2590069</v>
      </c>
      <c r="M97" s="55">
        <v>2.5889797929003087E-3</v>
      </c>
      <c r="N97" s="55">
        <v>2.2261629098600692E-2</v>
      </c>
      <c r="O97" s="108"/>
      <c r="P97" s="55">
        <v>2.5889797929003087E-3</v>
      </c>
      <c r="Q97" s="204">
        <v>2.5900388573001747E-3</v>
      </c>
      <c r="R97" s="55"/>
      <c r="S97" s="78">
        <v>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2">
        <v>1.2</v>
      </c>
      <c r="H98" s="166" t="str">
        <f t="shared" si="1"/>
        <v>(9, 10]</v>
      </c>
      <c r="I98" s="195">
        <v>1.198644</v>
      </c>
      <c r="J98" s="55">
        <v>2.3741796023327251E-3</v>
      </c>
      <c r="K98" s="55">
        <v>2.3265654815422623E-3</v>
      </c>
      <c r="L98" s="106">
        <v>2326565</v>
      </c>
      <c r="M98" s="55">
        <v>2.3255866047850876E-3</v>
      </c>
      <c r="N98" s="55">
        <v>2.2433331757869341E-2</v>
      </c>
      <c r="O98" s="108"/>
      <c r="P98" s="55">
        <v>2.3255866047850876E-3</v>
      </c>
      <c r="Q98" s="204">
        <v>2.319000181430489E-3</v>
      </c>
      <c r="R98" s="55"/>
      <c r="S98" s="78">
        <v>1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2">
        <v>0.46</v>
      </c>
      <c r="H99" s="166" t="str">
        <f t="shared" si="1"/>
        <v>(10, 15]</v>
      </c>
      <c r="I99" s="195">
        <v>0.45948020000000006</v>
      </c>
      <c r="J99" s="55">
        <v>3.1363479684121827E-3</v>
      </c>
      <c r="K99" s="55">
        <v>3.0734485774553347E-3</v>
      </c>
      <c r="L99" s="106">
        <v>3073448</v>
      </c>
      <c r="M99" s="55">
        <v>3.0721555165247982E-3</v>
      </c>
      <c r="N99" s="55">
        <v>3.8240847647390726E-2</v>
      </c>
      <c r="O99" s="108"/>
      <c r="P99" s="55">
        <v>3.0721555165247982E-3</v>
      </c>
      <c r="Q99" s="204">
        <v>3.0882977216676651E-3</v>
      </c>
      <c r="R99" s="55"/>
      <c r="S99" s="78">
        <v>1.01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2">
        <v>0.89</v>
      </c>
      <c r="H100" s="208" t="str">
        <f t="shared" si="1"/>
        <v>(15, 20]</v>
      </c>
      <c r="I100" s="195">
        <v>0.88899430000000002</v>
      </c>
      <c r="J100" s="55">
        <v>4.0807221427841493E-3</v>
      </c>
      <c r="K100" s="55">
        <v>3.9988833480999004E-3</v>
      </c>
      <c r="L100" s="106">
        <v>3998883</v>
      </c>
      <c r="M100" s="55">
        <v>3.9972013414208522E-3</v>
      </c>
      <c r="N100" s="55">
        <v>6.9894573862138251E-2</v>
      </c>
      <c r="O100" s="108"/>
      <c r="P100" s="55">
        <v>3.9972013414208522E-3</v>
      </c>
      <c r="Q100" s="204">
        <v>3.9992306554785398E-3</v>
      </c>
      <c r="R100" s="55"/>
      <c r="S100" s="78">
        <v>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2">
        <v>0.54</v>
      </c>
      <c r="H101" s="166" t="str">
        <f t="shared" si="1"/>
        <v>(20, 25]</v>
      </c>
      <c r="I101" s="195">
        <v>0.53938980000000003</v>
      </c>
      <c r="J101" s="55">
        <v>1.711043712945272E-3</v>
      </c>
      <c r="K101" s="55">
        <v>1.6767287681340663E-3</v>
      </c>
      <c r="L101" s="106">
        <v>1676728</v>
      </c>
      <c r="M101" s="55">
        <v>1.6760228820892991E-3</v>
      </c>
      <c r="N101" s="55">
        <v>3.7776263485844487E-2</v>
      </c>
      <c r="O101" s="108"/>
      <c r="P101" s="55">
        <v>1.6760228820892991E-3</v>
      </c>
      <c r="Q101" s="204">
        <v>1.6623546183661599E-3</v>
      </c>
      <c r="R101" s="55"/>
      <c r="S101" s="78">
        <v>0.99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2">
        <v>0.27</v>
      </c>
      <c r="H102" s="166" t="str">
        <f t="shared" si="1"/>
        <v>(25, 30]</v>
      </c>
      <c r="I102" s="195">
        <v>0.26969490000000002</v>
      </c>
      <c r="J102" s="55">
        <v>6.8527940445905534E-4</v>
      </c>
      <c r="K102" s="55">
        <v>6.7153614076195735E-4</v>
      </c>
      <c r="L102" s="106">
        <v>671536</v>
      </c>
      <c r="M102" s="55">
        <v>6.7125359757021978E-4</v>
      </c>
      <c r="N102" s="55">
        <v>1.8489389860056604E-2</v>
      </c>
      <c r="O102" s="108"/>
      <c r="P102" s="55">
        <v>6.7125359757021978E-4</v>
      </c>
      <c r="Q102" s="204">
        <v>6.6943944982116607E-4</v>
      </c>
      <c r="R102" s="55"/>
      <c r="S102" s="78">
        <v>1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2">
        <v>0.3</v>
      </c>
      <c r="H103" s="166" t="str">
        <f t="shared" si="1"/>
        <v>(30, 35]</v>
      </c>
      <c r="I103" s="195">
        <v>0.29966100000000001</v>
      </c>
      <c r="J103" s="55">
        <v>5.7061408401889123E-4</v>
      </c>
      <c r="K103" s="55">
        <v>5.5917043085359586E-4</v>
      </c>
      <c r="L103" s="106">
        <v>559170</v>
      </c>
      <c r="M103" s="55">
        <v>5.5893485107773799E-4</v>
      </c>
      <c r="N103" s="55">
        <v>1.8183267138916746E-2</v>
      </c>
      <c r="O103" s="108"/>
      <c r="P103" s="55">
        <v>5.5893485107773799E-4</v>
      </c>
      <c r="Q103" s="204">
        <v>5.6336084551439922E-4</v>
      </c>
      <c r="R103" s="55"/>
      <c r="S103" s="78">
        <v>1.01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2">
        <v>0.6</v>
      </c>
      <c r="H104" s="208" t="str">
        <f t="shared" si="1"/>
        <v>(35, 40]</v>
      </c>
      <c r="I104" s="195">
        <v>0.59932200000000002</v>
      </c>
      <c r="J104" s="55">
        <v>9.8516254909834745E-4</v>
      </c>
      <c r="K104" s="55">
        <v>9.6540513539429562E-4</v>
      </c>
      <c r="L104" s="106">
        <v>965405</v>
      </c>
      <c r="M104" s="55">
        <v>9.6499901622888132E-4</v>
      </c>
      <c r="N104" s="55">
        <v>3.6230815324797043E-2</v>
      </c>
      <c r="O104" s="108"/>
      <c r="P104" s="55">
        <v>9.6499901622888132E-4</v>
      </c>
      <c r="Q104" s="204">
        <v>9.5839796379459594E-4</v>
      </c>
      <c r="R104" s="55"/>
      <c r="S104" s="78">
        <v>0.99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2">
        <v>0.16</v>
      </c>
      <c r="H105" s="166" t="str">
        <f t="shared" si="1"/>
        <v>(40, 45]</v>
      </c>
      <c r="I105" s="195">
        <v>0.15981920000000002</v>
      </c>
      <c r="J105" s="55">
        <v>2.1655535146336907E-4</v>
      </c>
      <c r="K105" s="55">
        <v>2.1221233855387103E-4</v>
      </c>
      <c r="L105" s="106">
        <v>212212</v>
      </c>
      <c r="M105" s="55">
        <v>2.1212275804658498E-4</v>
      </c>
      <c r="N105" s="55">
        <v>9.0419375847305989E-3</v>
      </c>
      <c r="O105" s="108"/>
      <c r="P105" s="55">
        <v>2.1212275804658498E-4</v>
      </c>
      <c r="Q105" s="204">
        <v>2.1551086827985066E-4</v>
      </c>
      <c r="R105" s="55"/>
      <c r="S105" s="78">
        <v>1.02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2">
        <v>0.19</v>
      </c>
      <c r="H106" s="166" t="str">
        <f t="shared" si="1"/>
        <v>(45, 50]</v>
      </c>
      <c r="I106" s="195">
        <v>0.18978530000000002</v>
      </c>
      <c r="J106" s="55">
        <v>2.1735475111314077E-4</v>
      </c>
      <c r="K106" s="55">
        <v>2.1299570626088376E-4</v>
      </c>
      <c r="L106" s="106">
        <v>212995</v>
      </c>
      <c r="M106" s="55">
        <v>2.1290542876996761E-4</v>
      </c>
      <c r="N106" s="55">
        <v>1.0148400747068343E-2</v>
      </c>
      <c r="O106" s="108"/>
      <c r="P106" s="55">
        <v>2.1290542876996761E-4</v>
      </c>
      <c r="Q106" s="204">
        <v>2.1762402372980407E-4</v>
      </c>
      <c r="R106" s="55"/>
      <c r="S106" s="78">
        <v>1.02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2">
        <v>0.34</v>
      </c>
      <c r="H107" s="208" t="str">
        <f t="shared" si="1"/>
        <v>(50, 60]</v>
      </c>
      <c r="I107" s="195">
        <v>0.33961580000000002</v>
      </c>
      <c r="J107" s="55">
        <v>6.4580547678283972E-4</v>
      </c>
      <c r="K107" s="55">
        <v>6.3285386185511143E-4</v>
      </c>
      <c r="L107" s="106">
        <v>632853</v>
      </c>
      <c r="M107" s="55">
        <v>6.3258686501260742E-4</v>
      </c>
      <c r="N107" s="55">
        <v>3.4729819347172106E-2</v>
      </c>
      <c r="O107" s="108"/>
      <c r="P107" s="55">
        <v>6.3258686501260742E-4</v>
      </c>
      <c r="Q107" s="204">
        <v>6.2696042711481799E-4</v>
      </c>
      <c r="R107" s="55"/>
      <c r="S107" s="78">
        <v>0.99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2">
        <v>0.11</v>
      </c>
      <c r="H108" s="166" t="str">
        <f t="shared" si="1"/>
        <v>(60, 70]</v>
      </c>
      <c r="I108" s="195">
        <v>0.10987570000000001</v>
      </c>
      <c r="J108" s="55">
        <v>1.5244589083594876E-4</v>
      </c>
      <c r="K108" s="55">
        <v>1.493885917785646E-4</v>
      </c>
      <c r="L108" s="106">
        <v>149388</v>
      </c>
      <c r="M108" s="55">
        <v>1.4932517755387648E-4</v>
      </c>
      <c r="N108" s="55">
        <v>9.7068903500754679E-3</v>
      </c>
      <c r="O108" s="108"/>
      <c r="P108" s="55">
        <v>1.4932517755387648E-4</v>
      </c>
      <c r="Q108" s="204">
        <v>1.4800484793845838E-4</v>
      </c>
      <c r="R108" s="55"/>
      <c r="S108" s="78">
        <v>0.99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2">
        <v>0.12</v>
      </c>
      <c r="H109" s="166" t="str">
        <f t="shared" si="1"/>
        <v>(70, 80]</v>
      </c>
      <c r="I109" s="195">
        <v>0.1198644</v>
      </c>
      <c r="J109" s="55">
        <v>1.3450494144381806E-4</v>
      </c>
      <c r="K109" s="55">
        <v>1.3180744774008666E-4</v>
      </c>
      <c r="L109" s="106">
        <v>131807</v>
      </c>
      <c r="M109" s="55">
        <v>1.3175157092834631E-4</v>
      </c>
      <c r="N109" s="55">
        <v>9.881391340147162E-3</v>
      </c>
      <c r="O109" s="108"/>
      <c r="P109" s="55">
        <v>1.3175157092834631E-4</v>
      </c>
      <c r="Q109" s="204">
        <v>1.3170536223981115E-4</v>
      </c>
      <c r="R109" s="55"/>
      <c r="S109" s="78">
        <v>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2">
        <v>0</v>
      </c>
      <c r="H110" s="166" t="str">
        <f t="shared" si="1"/>
        <v>(80, 90]</v>
      </c>
      <c r="I110" s="195">
        <v>0</v>
      </c>
      <c r="J110" s="55">
        <v>0</v>
      </c>
      <c r="K110" s="55">
        <v>0</v>
      </c>
      <c r="L110" s="106">
        <v>0</v>
      </c>
      <c r="M110" s="55">
        <v>0</v>
      </c>
      <c r="N110" s="55">
        <v>0</v>
      </c>
      <c r="O110" s="108"/>
      <c r="P110" s="55">
        <v>0</v>
      </c>
      <c r="Q110" s="204">
        <v>0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2">
        <v>0</v>
      </c>
      <c r="H111" s="166" t="str">
        <f t="shared" si="1"/>
        <v>(90, 100]</v>
      </c>
      <c r="I111" s="195">
        <v>0</v>
      </c>
      <c r="J111" s="55">
        <v>0</v>
      </c>
      <c r="K111" s="55">
        <v>0</v>
      </c>
      <c r="L111" s="106">
        <v>0</v>
      </c>
      <c r="M111" s="55">
        <v>0</v>
      </c>
      <c r="N111" s="55">
        <v>0</v>
      </c>
      <c r="O111" s="108"/>
      <c r="P111" s="55">
        <v>0</v>
      </c>
      <c r="Q111" s="204">
        <v>0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2">
        <v>0.11</v>
      </c>
      <c r="H112" s="166" t="str">
        <f t="shared" si="1"/>
        <v>(100, 120]</v>
      </c>
      <c r="I112" s="195">
        <v>0.10987570000000001</v>
      </c>
      <c r="J112" s="55">
        <v>1.2711040609859759E-4</v>
      </c>
      <c r="K112" s="55">
        <v>1.2456120964195343E-4</v>
      </c>
      <c r="L112" s="106">
        <v>124561</v>
      </c>
      <c r="M112" s="55">
        <v>1.2450861810378618E-4</v>
      </c>
      <c r="N112" s="55">
        <v>1.36512180829013E-2</v>
      </c>
      <c r="O112" s="108"/>
      <c r="P112" s="55">
        <v>1.2450861810378618E-4</v>
      </c>
      <c r="Q112" s="204">
        <v>1.1983310714090074E-4</v>
      </c>
      <c r="R112" s="55"/>
      <c r="S112" s="78">
        <v>0.96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2">
        <v>0</v>
      </c>
      <c r="H113" s="166" t="str">
        <f t="shared" si="1"/>
        <v>(120, 140]</v>
      </c>
      <c r="I113" s="195">
        <v>0</v>
      </c>
      <c r="J113" s="55">
        <v>0</v>
      </c>
      <c r="K113" s="55">
        <v>0</v>
      </c>
      <c r="L113" s="106">
        <v>0</v>
      </c>
      <c r="M113" s="55">
        <v>0</v>
      </c>
      <c r="N113" s="55">
        <v>0</v>
      </c>
      <c r="O113" s="108"/>
      <c r="P113" s="55">
        <v>0</v>
      </c>
      <c r="Q113" s="204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2">
        <v>0</v>
      </c>
      <c r="H114" s="166" t="str">
        <f t="shared" si="1"/>
        <v>(140, 160]</v>
      </c>
      <c r="I114" s="195">
        <v>0</v>
      </c>
      <c r="J114" s="55">
        <v>0</v>
      </c>
      <c r="K114" s="55">
        <v>0</v>
      </c>
      <c r="L114" s="106">
        <v>0</v>
      </c>
      <c r="M114" s="55">
        <v>0</v>
      </c>
      <c r="N114" s="55">
        <v>0</v>
      </c>
      <c r="O114" s="108"/>
      <c r="P114" s="55">
        <v>0</v>
      </c>
      <c r="Q114" s="204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2">
        <v>0</v>
      </c>
      <c r="H115" s="166" t="str">
        <f t="shared" si="1"/>
        <v>(160, 180]</v>
      </c>
      <c r="I115" s="195">
        <v>0</v>
      </c>
      <c r="J115" s="55">
        <v>0</v>
      </c>
      <c r="K115" s="55">
        <v>0</v>
      </c>
      <c r="L115" s="106">
        <v>0</v>
      </c>
      <c r="M115" s="55">
        <v>0</v>
      </c>
      <c r="N115" s="55">
        <v>0</v>
      </c>
      <c r="O115" s="108"/>
      <c r="P115" s="55">
        <v>0</v>
      </c>
      <c r="Q115" s="204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2">
        <v>0</v>
      </c>
      <c r="H116" s="166" t="str">
        <f t="shared" si="1"/>
        <v>(180, 200]</v>
      </c>
      <c r="I116" s="195">
        <v>0</v>
      </c>
      <c r="J116" s="55">
        <v>0</v>
      </c>
      <c r="K116" s="55">
        <v>0</v>
      </c>
      <c r="L116" s="106">
        <v>0</v>
      </c>
      <c r="M116" s="55">
        <v>0</v>
      </c>
      <c r="N116" s="55">
        <v>0</v>
      </c>
      <c r="O116" s="108"/>
      <c r="P116" s="55">
        <v>0</v>
      </c>
      <c r="Q116" s="204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2">
        <v>0</v>
      </c>
      <c r="H117" s="166" t="str">
        <f t="shared" si="1"/>
        <v>(200, 250]</v>
      </c>
      <c r="I117" s="195">
        <v>0</v>
      </c>
      <c r="J117" s="55">
        <v>0</v>
      </c>
      <c r="K117" s="55">
        <v>0</v>
      </c>
      <c r="L117" s="106">
        <v>0</v>
      </c>
      <c r="M117" s="55">
        <v>0</v>
      </c>
      <c r="N117" s="55">
        <v>0</v>
      </c>
      <c r="O117" s="108"/>
      <c r="P117" s="55">
        <v>0</v>
      </c>
      <c r="Q117" s="204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2">
        <v>0</v>
      </c>
      <c r="H118" s="166" t="str">
        <f t="shared" si="1"/>
        <v>(250, 300]</v>
      </c>
      <c r="I118" s="195">
        <v>0</v>
      </c>
      <c r="J118" s="55">
        <v>0</v>
      </c>
      <c r="K118" s="55">
        <v>0</v>
      </c>
      <c r="L118" s="106">
        <v>0</v>
      </c>
      <c r="M118" s="55">
        <v>0</v>
      </c>
      <c r="N118" s="55">
        <v>0</v>
      </c>
      <c r="O118" s="108"/>
      <c r="P118" s="55">
        <v>0</v>
      </c>
      <c r="Q118" s="204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2">
        <v>0</v>
      </c>
      <c r="H119" s="166" t="str">
        <f t="shared" si="1"/>
        <v>(300, 350]</v>
      </c>
      <c r="I119" s="195">
        <v>0</v>
      </c>
      <c r="J119" s="55">
        <v>0</v>
      </c>
      <c r="K119" s="55">
        <v>0</v>
      </c>
      <c r="L119" s="106">
        <v>0</v>
      </c>
      <c r="M119" s="55">
        <v>0</v>
      </c>
      <c r="N119" s="55">
        <v>0</v>
      </c>
      <c r="O119" s="108"/>
      <c r="P119" s="55">
        <v>0</v>
      </c>
      <c r="Q119" s="204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2">
        <v>0</v>
      </c>
      <c r="H120" s="166" t="str">
        <f t="shared" si="1"/>
        <v>(350, 400]</v>
      </c>
      <c r="I120" s="195">
        <v>0</v>
      </c>
      <c r="J120" s="55">
        <v>0</v>
      </c>
      <c r="K120" s="55">
        <v>0</v>
      </c>
      <c r="L120" s="106">
        <v>0</v>
      </c>
      <c r="M120" s="55">
        <v>0</v>
      </c>
      <c r="N120" s="55">
        <v>0</v>
      </c>
      <c r="O120" s="108"/>
      <c r="P120" s="55">
        <v>0</v>
      </c>
      <c r="Q120" s="204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2">
        <v>0</v>
      </c>
      <c r="H121" s="166" t="str">
        <f t="shared" si="1"/>
        <v>(400, 450]</v>
      </c>
      <c r="I121" s="195">
        <v>0</v>
      </c>
      <c r="J121" s="55">
        <v>0</v>
      </c>
      <c r="K121" s="55">
        <v>0</v>
      </c>
      <c r="L121" s="106">
        <v>0</v>
      </c>
      <c r="M121" s="55">
        <v>0</v>
      </c>
      <c r="N121" s="55">
        <v>0</v>
      </c>
      <c r="O121" s="108"/>
      <c r="P121" s="55">
        <v>0</v>
      </c>
      <c r="Q121" s="204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2">
        <v>0</v>
      </c>
      <c r="H122" s="166" t="str">
        <f t="shared" si="1"/>
        <v>(450, 500]</v>
      </c>
      <c r="I122" s="195">
        <v>0</v>
      </c>
      <c r="J122" s="55">
        <v>0</v>
      </c>
      <c r="K122" s="55">
        <v>0</v>
      </c>
      <c r="L122" s="106">
        <v>0</v>
      </c>
      <c r="M122" s="55">
        <v>0</v>
      </c>
      <c r="N122" s="55">
        <v>0</v>
      </c>
      <c r="O122" s="108"/>
      <c r="P122" s="55">
        <v>0</v>
      </c>
      <c r="Q122" s="204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2">
        <v>0</v>
      </c>
      <c r="H123" s="166" t="str">
        <f t="shared" si="1"/>
        <v>(500, 550]</v>
      </c>
      <c r="I123" s="195">
        <v>0</v>
      </c>
      <c r="J123" s="55">
        <v>0</v>
      </c>
      <c r="K123" s="55">
        <v>0</v>
      </c>
      <c r="L123" s="106">
        <v>0</v>
      </c>
      <c r="M123" s="55">
        <v>0</v>
      </c>
      <c r="N123" s="55">
        <v>0</v>
      </c>
      <c r="O123" s="108"/>
      <c r="P123" s="55">
        <v>0</v>
      </c>
      <c r="Q123" s="204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2">
        <v>0</v>
      </c>
      <c r="H124" s="166" t="str">
        <f t="shared" si="1"/>
        <v>(550, 600]</v>
      </c>
      <c r="I124" s="195">
        <v>0</v>
      </c>
      <c r="J124" s="55">
        <v>0</v>
      </c>
      <c r="K124" s="55">
        <v>0</v>
      </c>
      <c r="L124" s="106">
        <v>0</v>
      </c>
      <c r="M124" s="55">
        <v>0</v>
      </c>
      <c r="N124" s="55">
        <v>0</v>
      </c>
      <c r="O124" s="108"/>
      <c r="P124" s="55">
        <v>0</v>
      </c>
      <c r="Q124" s="204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2">
        <v>0</v>
      </c>
      <c r="H125" s="166" t="str">
        <f t="shared" si="1"/>
        <v>(600, 650]</v>
      </c>
      <c r="I125" s="195">
        <v>0</v>
      </c>
      <c r="J125" s="55">
        <v>0</v>
      </c>
      <c r="K125" s="55">
        <v>0</v>
      </c>
      <c r="L125" s="106">
        <v>0</v>
      </c>
      <c r="M125" s="55">
        <v>0</v>
      </c>
      <c r="N125" s="55">
        <v>0</v>
      </c>
      <c r="O125" s="108"/>
      <c r="P125" s="55">
        <v>0</v>
      </c>
      <c r="Q125" s="204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2">
        <v>0</v>
      </c>
      <c r="H126" s="166" t="str">
        <f t="shared" si="1"/>
        <v>(650, 700]</v>
      </c>
      <c r="I126" s="195">
        <v>0</v>
      </c>
      <c r="J126" s="55">
        <v>0</v>
      </c>
      <c r="K126" s="55">
        <v>0</v>
      </c>
      <c r="L126" s="106">
        <v>0</v>
      </c>
      <c r="M126" s="55">
        <v>0</v>
      </c>
      <c r="N126" s="55">
        <v>0</v>
      </c>
      <c r="O126" s="108"/>
      <c r="P126" s="55">
        <v>0</v>
      </c>
      <c r="Q126" s="204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2">
        <v>0</v>
      </c>
      <c r="H127" s="166" t="str">
        <f t="shared" si="1"/>
        <v>(700, 750]</v>
      </c>
      <c r="I127" s="195">
        <v>0</v>
      </c>
      <c r="J127" s="55">
        <v>0</v>
      </c>
      <c r="K127" s="55">
        <v>0</v>
      </c>
      <c r="L127" s="106">
        <v>0</v>
      </c>
      <c r="M127" s="55">
        <v>0</v>
      </c>
      <c r="N127" s="55">
        <v>0</v>
      </c>
      <c r="O127" s="108"/>
      <c r="P127" s="55">
        <v>0</v>
      </c>
      <c r="Q127" s="204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2">
        <v>0</v>
      </c>
      <c r="H128" s="166" t="str">
        <f t="shared" si="1"/>
        <v>(750, 800]</v>
      </c>
      <c r="I128" s="195">
        <v>0</v>
      </c>
      <c r="J128" s="55">
        <v>0</v>
      </c>
      <c r="K128" s="55">
        <v>0</v>
      </c>
      <c r="L128" s="106">
        <v>0</v>
      </c>
      <c r="M128" s="55">
        <v>0</v>
      </c>
      <c r="N128" s="55">
        <v>0</v>
      </c>
      <c r="O128" s="108"/>
      <c r="P128" s="55">
        <v>0</v>
      </c>
      <c r="Q128" s="204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2">
        <v>0</v>
      </c>
      <c r="H129" s="166" t="str">
        <f t="shared" si="1"/>
        <v>(800, 850]</v>
      </c>
      <c r="I129" s="195">
        <v>0</v>
      </c>
      <c r="J129" s="55">
        <v>0</v>
      </c>
      <c r="K129" s="55">
        <v>0</v>
      </c>
      <c r="L129" s="106">
        <v>0</v>
      </c>
      <c r="M129" s="55">
        <v>0</v>
      </c>
      <c r="N129" s="55">
        <v>0</v>
      </c>
      <c r="O129" s="108"/>
      <c r="P129" s="55">
        <v>0</v>
      </c>
      <c r="Q129" s="204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2">
        <v>0</v>
      </c>
      <c r="H130" s="166" t="str">
        <f t="shared" si="1"/>
        <v>(850, 900]</v>
      </c>
      <c r="I130" s="195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08"/>
      <c r="P130" s="55">
        <v>0</v>
      </c>
      <c r="Q130" s="204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2">
        <v>0</v>
      </c>
      <c r="H131" s="166" t="str">
        <f t="shared" si="1"/>
        <v>(900, 950]</v>
      </c>
      <c r="I131" s="195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08"/>
      <c r="P131" s="55">
        <v>0</v>
      </c>
      <c r="Q131" s="204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2">
        <v>0</v>
      </c>
      <c r="H132" s="166" t="str">
        <f t="shared" si="1"/>
        <v>(950, 1000]</v>
      </c>
      <c r="I132" s="195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08"/>
      <c r="P132" s="55">
        <v>0</v>
      </c>
      <c r="Q132" s="204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2">
        <v>0</v>
      </c>
      <c r="H133" s="166" t="str">
        <f t="shared" si="1"/>
        <v>(1000, 2000]</v>
      </c>
      <c r="I133" s="195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08"/>
      <c r="P133" s="55">
        <v>0</v>
      </c>
      <c r="Q133" s="204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2">
        <v>0</v>
      </c>
      <c r="H134" s="166" t="str">
        <f t="shared" si="1"/>
        <v>(2000, 3000]</v>
      </c>
      <c r="I134" s="195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08"/>
      <c r="P134" s="55">
        <v>0</v>
      </c>
      <c r="Q134" s="204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2">
        <v>0</v>
      </c>
      <c r="H135" s="166" t="str">
        <f t="shared" si="1"/>
        <v>(3000, 4000]</v>
      </c>
      <c r="I135" s="195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08"/>
      <c r="P135" s="55">
        <v>0</v>
      </c>
      <c r="Q135" s="204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2">
        <v>0</v>
      </c>
      <c r="H136" s="166" t="str">
        <f t="shared" si="1"/>
        <v>(4000, 5000]</v>
      </c>
      <c r="I136" s="195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08"/>
      <c r="P136" s="55">
        <v>0</v>
      </c>
      <c r="Q136" s="204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2">
        <v>0</v>
      </c>
      <c r="H137" s="166" t="str">
        <f t="shared" si="1"/>
        <v>(5000, 6000]</v>
      </c>
      <c r="I137" s="195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08"/>
      <c r="P137" s="55">
        <v>0</v>
      </c>
      <c r="Q137" s="204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2">
        <v>0</v>
      </c>
      <c r="H138" s="166" t="str">
        <f t="shared" si="1"/>
        <v>(6000, 7000]</v>
      </c>
      <c r="I138" s="195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08"/>
      <c r="P138" s="55">
        <v>0</v>
      </c>
      <c r="Q138" s="204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2">
        <v>0</v>
      </c>
      <c r="H139" s="166" t="str">
        <f t="shared" si="1"/>
        <v>(7000, 8000]</v>
      </c>
      <c r="I139" s="195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08"/>
      <c r="P139" s="55">
        <v>0</v>
      </c>
      <c r="Q139" s="204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2">
        <v>0</v>
      </c>
      <c r="H140" s="166" t="str">
        <f t="shared" si="1"/>
        <v>(8000, 9000]</v>
      </c>
      <c r="I140" s="195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08"/>
      <c r="P140" s="55">
        <v>0</v>
      </c>
      <c r="Q140" s="204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2">
        <v>0</v>
      </c>
      <c r="H141" s="166" t="str">
        <f t="shared" si="1"/>
        <v>(9000, 10000]</v>
      </c>
      <c r="I141" s="195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08"/>
      <c r="P141" s="55">
        <v>0</v>
      </c>
      <c r="Q141" s="204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2">
        <v>0</v>
      </c>
      <c r="H142" s="166" t="str">
        <f t="shared" si="1"/>
        <v>(10000, 20000]</v>
      </c>
      <c r="I142" s="195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08"/>
      <c r="P142" s="55">
        <v>0</v>
      </c>
      <c r="Q142" s="204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2">
        <v>0</v>
      </c>
      <c r="H143" s="166" t="str">
        <f t="shared" si="1"/>
        <v>(20000, 30000]</v>
      </c>
      <c r="I143" s="195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08"/>
      <c r="P143" s="55">
        <v>0</v>
      </c>
      <c r="Q143" s="204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2">
        <v>0</v>
      </c>
      <c r="H144" s="166" t="str">
        <f t="shared" si="1"/>
        <v>(30000, 40000]</v>
      </c>
      <c r="I144" s="195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08"/>
      <c r="P144" s="55">
        <v>0</v>
      </c>
      <c r="Q144" s="204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2">
        <v>0</v>
      </c>
      <c r="H145" s="166" t="str">
        <f t="shared" si="1"/>
        <v>(40000, 50000]</v>
      </c>
      <c r="I145" s="195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08"/>
      <c r="P145" s="55">
        <v>0</v>
      </c>
      <c r="Q145" s="204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2">
        <v>0</v>
      </c>
      <c r="H146" s="166" t="str">
        <f t="shared" si="1"/>
        <v>(50000, 60000]</v>
      </c>
      <c r="I146" s="195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08"/>
      <c r="P146" s="55">
        <v>0</v>
      </c>
      <c r="Q146" s="204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2">
        <v>0</v>
      </c>
      <c r="H147" s="166" t="str">
        <f t="shared" si="1"/>
        <v>(60000, 70000]</v>
      </c>
      <c r="I147" s="195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08"/>
      <c r="P147" s="55">
        <v>0</v>
      </c>
      <c r="Q147" s="204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2">
        <v>0</v>
      </c>
      <c r="H148" s="166" t="str">
        <f t="shared" si="1"/>
        <v>(70000, 80000]</v>
      </c>
      <c r="I148" s="195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08"/>
      <c r="P148" s="55">
        <v>0</v>
      </c>
      <c r="Q148" s="204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2">
        <v>0</v>
      </c>
      <c r="H149" s="166" t="str">
        <f t="shared" si="1"/>
        <v>(80000, 90000]</v>
      </c>
      <c r="I149" s="195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08"/>
      <c r="P149" s="55">
        <v>0</v>
      </c>
      <c r="Q149" s="204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2">
        <v>0</v>
      </c>
      <c r="H150" s="166" t="str">
        <f t="shared" si="1"/>
        <v>(90000, 100000]</v>
      </c>
      <c r="I150" s="195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08"/>
      <c r="P150" s="55">
        <v>0</v>
      </c>
      <c r="Q150" s="204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2">
        <v>0</v>
      </c>
      <c r="H151" s="166" t="str">
        <f t="shared" si="1"/>
        <v>(100000, 9999999]</v>
      </c>
      <c r="I151" s="195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08"/>
      <c r="P151" s="55">
        <v>0</v>
      </c>
      <c r="Q151" s="204">
        <v>0</v>
      </c>
      <c r="R151" s="55"/>
      <c r="S151" s="78">
        <v>0</v>
      </c>
    </row>
    <row r="152" spans="1:20">
      <c r="A152" s="220" t="s">
        <v>72</v>
      </c>
      <c r="B152" s="221"/>
      <c r="C152" s="68">
        <f>E152*B86</f>
        <v>13362000</v>
      </c>
      <c r="D152" s="91" cm="1">
        <f t="array" ref="D152:E152">D80:E80</f>
        <v>360008300</v>
      </c>
      <c r="E152" s="174">
        <v>1.3362000000000001E-2</v>
      </c>
      <c r="F152" s="88">
        <v>0.26942695704235892</v>
      </c>
      <c r="G152" s="202"/>
      <c r="H152" s="166" t="s">
        <v>72</v>
      </c>
      <c r="I152" s="209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2.0969517935079052E-2</v>
      </c>
      <c r="N152" s="55">
        <v>5.6497534078935189E-3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4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19" t="s">
        <v>44</v>
      </c>
      <c r="B155" s="219"/>
      <c r="C155" s="219"/>
      <c r="D155" s="219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3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19" t="s">
        <v>55</v>
      </c>
      <c r="I158" s="119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322</v>
      </c>
      <c r="Q158" s="180" t="s">
        <v>322</v>
      </c>
      <c r="R158" s="81" t="s">
        <v>321</v>
      </c>
      <c r="S158" s="81" t="s">
        <v>74</v>
      </c>
    </row>
    <row r="159" spans="1:20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166" t="str">
        <f>"("&amp;$A159&amp;", "&amp;$B159&amp;"]"</f>
        <v>(-1, 0]</v>
      </c>
      <c r="I159" s="195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6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08"/>
      <c r="P159" s="55" cm="1">
        <f t="array" ref="P159:P222">_xlfn.ANCHORARRAY(M159)</f>
        <v>0</v>
      </c>
      <c r="Q159" s="204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-9713</v>
      </c>
      <c r="H160" s="166" t="str">
        <f t="shared" ref="H160:H222" si="2">"("&amp;$A160&amp;", "&amp;$B160&amp;"]"</f>
        <v>(0, 1]</v>
      </c>
      <c r="I160" s="195">
        <v>0</v>
      </c>
      <c r="J160" s="55">
        <v>0</v>
      </c>
      <c r="K160" s="55">
        <v>0</v>
      </c>
      <c r="L160" s="106">
        <v>0</v>
      </c>
      <c r="M160" s="55">
        <v>0</v>
      </c>
      <c r="N160" s="55">
        <v>0</v>
      </c>
      <c r="O160" s="108"/>
      <c r="P160" s="55">
        <v>0</v>
      </c>
      <c r="Q160" s="204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0.90286999999999995</v>
      </c>
      <c r="H161" s="166" t="str">
        <f t="shared" si="2"/>
        <v>(1, 2]</v>
      </c>
      <c r="I161" s="195">
        <v>0</v>
      </c>
      <c r="J161" s="55">
        <v>0</v>
      </c>
      <c r="K161" s="55">
        <v>0</v>
      </c>
      <c r="L161" s="106">
        <v>0</v>
      </c>
      <c r="M161" s="55">
        <v>0</v>
      </c>
      <c r="N161" s="55">
        <v>0</v>
      </c>
      <c r="O161" s="108"/>
      <c r="P161" s="55">
        <v>0</v>
      </c>
      <c r="Q161" s="204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08"/>
      <c r="H162" s="166" t="str">
        <f t="shared" si="2"/>
        <v>(2, 3]</v>
      </c>
      <c r="I162" s="195">
        <v>0</v>
      </c>
      <c r="J162" s="55">
        <v>0</v>
      </c>
      <c r="K162" s="55">
        <v>0</v>
      </c>
      <c r="L162" s="106">
        <v>0</v>
      </c>
      <c r="M162" s="55">
        <v>0</v>
      </c>
      <c r="N162" s="55">
        <v>0</v>
      </c>
      <c r="O162" s="108"/>
      <c r="P162" s="55">
        <v>0</v>
      </c>
      <c r="Q162" s="204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08"/>
      <c r="H163" s="166" t="str">
        <f t="shared" si="2"/>
        <v>(3, 4]</v>
      </c>
      <c r="I163" s="195">
        <v>0</v>
      </c>
      <c r="J163" s="55">
        <v>0</v>
      </c>
      <c r="K163" s="55">
        <v>0</v>
      </c>
      <c r="L163" s="106">
        <v>0</v>
      </c>
      <c r="M163" s="55">
        <v>0</v>
      </c>
      <c r="N163" s="55">
        <v>0</v>
      </c>
      <c r="O163" s="108"/>
      <c r="P163" s="55">
        <v>0</v>
      </c>
      <c r="Q163" s="204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08"/>
      <c r="H164" s="166" t="str">
        <f t="shared" si="2"/>
        <v>(4, 5]</v>
      </c>
      <c r="I164" s="195">
        <v>0</v>
      </c>
      <c r="J164" s="55">
        <v>0</v>
      </c>
      <c r="K164" s="55">
        <v>0</v>
      </c>
      <c r="L164" s="106">
        <v>0</v>
      </c>
      <c r="M164" s="55">
        <v>0</v>
      </c>
      <c r="N164" s="55">
        <v>0</v>
      </c>
      <c r="O164" s="108"/>
      <c r="P164" s="55">
        <v>0</v>
      </c>
      <c r="Q164" s="204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08"/>
      <c r="H165" s="166" t="str">
        <f t="shared" si="2"/>
        <v>(5, 6]</v>
      </c>
      <c r="I165" s="195">
        <v>0</v>
      </c>
      <c r="J165" s="55">
        <v>0</v>
      </c>
      <c r="K165" s="55">
        <v>0</v>
      </c>
      <c r="L165" s="106">
        <v>0</v>
      </c>
      <c r="M165" s="55">
        <v>0</v>
      </c>
      <c r="N165" s="55">
        <v>0</v>
      </c>
      <c r="O165" s="108"/>
      <c r="P165" s="55">
        <v>0</v>
      </c>
      <c r="Q165" s="204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08"/>
      <c r="H166" s="166" t="str">
        <f t="shared" si="2"/>
        <v>(6, 7]</v>
      </c>
      <c r="I166" s="195">
        <v>0</v>
      </c>
      <c r="J166" s="55">
        <v>0</v>
      </c>
      <c r="K166" s="55">
        <v>0</v>
      </c>
      <c r="L166" s="106">
        <v>0</v>
      </c>
      <c r="M166" s="55">
        <v>0</v>
      </c>
      <c r="N166" s="55">
        <v>0</v>
      </c>
      <c r="O166" s="108"/>
      <c r="P166" s="55">
        <v>0</v>
      </c>
      <c r="Q166" s="204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08"/>
      <c r="H167" s="166" t="str">
        <f t="shared" si="2"/>
        <v>(7, 8]</v>
      </c>
      <c r="I167" s="195">
        <v>0</v>
      </c>
      <c r="J167" s="55">
        <v>0</v>
      </c>
      <c r="K167" s="55">
        <v>0</v>
      </c>
      <c r="L167" s="106">
        <v>0</v>
      </c>
      <c r="M167" s="55">
        <v>0</v>
      </c>
      <c r="N167" s="55">
        <v>0</v>
      </c>
      <c r="O167" s="108"/>
      <c r="P167" s="55">
        <v>0</v>
      </c>
      <c r="Q167" s="204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08"/>
      <c r="H168" s="166" t="str">
        <f t="shared" si="2"/>
        <v>(8, 9]</v>
      </c>
      <c r="I168" s="195">
        <v>0</v>
      </c>
      <c r="J168" s="55">
        <v>0</v>
      </c>
      <c r="K168" s="55">
        <v>0</v>
      </c>
      <c r="L168" s="106">
        <v>0</v>
      </c>
      <c r="M168" s="55">
        <v>0</v>
      </c>
      <c r="N168" s="55">
        <v>0</v>
      </c>
      <c r="O168" s="108"/>
      <c r="P168" s="55">
        <v>0</v>
      </c>
      <c r="Q168" s="204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08"/>
      <c r="H169" s="166" t="str">
        <f t="shared" si="2"/>
        <v>(9, 10]</v>
      </c>
      <c r="I169" s="195">
        <v>0</v>
      </c>
      <c r="J169" s="55">
        <v>0</v>
      </c>
      <c r="K169" s="55">
        <v>0</v>
      </c>
      <c r="L169" s="106">
        <v>0</v>
      </c>
      <c r="M169" s="55">
        <v>0</v>
      </c>
      <c r="N169" s="55">
        <v>0</v>
      </c>
      <c r="O169" s="108"/>
      <c r="P169" s="55">
        <v>0</v>
      </c>
      <c r="Q169" s="204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08"/>
      <c r="H170" s="166" t="str">
        <f t="shared" si="2"/>
        <v>(10, 15]</v>
      </c>
      <c r="I170" s="195">
        <v>36.94</v>
      </c>
      <c r="J170" s="55">
        <v>0.13617586811186608</v>
      </c>
      <c r="K170" s="55">
        <v>0.14065653327666333</v>
      </c>
      <c r="L170" s="106">
        <v>140656533</v>
      </c>
      <c r="M170" s="55">
        <v>0.14065653595378724</v>
      </c>
      <c r="N170" s="55">
        <v>1.7685926395712952</v>
      </c>
      <c r="O170" s="108"/>
      <c r="P170" s="55">
        <v>0.14065653595378724</v>
      </c>
      <c r="Q170" s="204">
        <v>0.13618589472371789</v>
      </c>
      <c r="R170" s="55">
        <v>7.2289156626506021E-2</v>
      </c>
      <c r="S170" s="78">
        <v>0.97</v>
      </c>
      <c r="T170" s="94"/>
    </row>
    <row r="171" spans="1:20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08"/>
      <c r="H171" s="208" t="str">
        <f t="shared" si="2"/>
        <v>(15, 20]</v>
      </c>
      <c r="I171" s="195">
        <v>34.56</v>
      </c>
      <c r="J171" s="55">
        <v>0.13503905770749616</v>
      </c>
      <c r="K171" s="55">
        <v>0.13948231781037998</v>
      </c>
      <c r="L171" s="106">
        <v>139482317</v>
      </c>
      <c r="M171" s="55">
        <v>0.13948231992912871</v>
      </c>
      <c r="N171" s="55">
        <v>2.4507573226977519</v>
      </c>
      <c r="O171" s="108"/>
      <c r="P171" s="55">
        <v>0.13948231992912871</v>
      </c>
      <c r="Q171" s="204">
        <v>0.13504160770083215</v>
      </c>
      <c r="R171" s="55">
        <v>7.2289156626506021E-2</v>
      </c>
      <c r="S171" s="78">
        <v>0.97</v>
      </c>
      <c r="T171" s="94"/>
    </row>
    <row r="172" spans="1:20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08"/>
      <c r="H172" s="166" t="str">
        <f t="shared" si="2"/>
        <v>(20, 25]</v>
      </c>
      <c r="I172" s="195">
        <v>33.090000000000003</v>
      </c>
      <c r="J172" s="55">
        <v>0.13574523138908007</v>
      </c>
      <c r="K172" s="55">
        <v>0.14021172709059998</v>
      </c>
      <c r="L172" s="106">
        <v>140211727</v>
      </c>
      <c r="M172" s="55">
        <v>0.14021172994444633</v>
      </c>
      <c r="N172" s="55">
        <v>3.1633502707799503</v>
      </c>
      <c r="O172" s="108"/>
      <c r="P172" s="55">
        <v>0.14021172994444633</v>
      </c>
      <c r="Q172" s="204">
        <v>0.13575890371517807</v>
      </c>
      <c r="R172" s="55">
        <v>7.2289156626506021E-2</v>
      </c>
      <c r="S172" s="78">
        <v>0.97</v>
      </c>
      <c r="T172" s="94"/>
    </row>
    <row r="173" spans="1:20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08"/>
      <c r="H173" s="166" t="str">
        <f t="shared" si="2"/>
        <v>(25, 30]</v>
      </c>
      <c r="I173" s="195">
        <v>31.66</v>
      </c>
      <c r="J173" s="55">
        <v>0.13529184309786624</v>
      </c>
      <c r="K173" s="55">
        <v>0.1397434207294613</v>
      </c>
      <c r="L173" s="106">
        <v>139743420</v>
      </c>
      <c r="M173" s="55">
        <v>0.13974342293461189</v>
      </c>
      <c r="N173" s="55">
        <v>3.8506284645449997</v>
      </c>
      <c r="O173" s="108"/>
      <c r="P173" s="55">
        <v>0.13974342293461189</v>
      </c>
      <c r="Q173" s="204">
        <v>0.1353130747062615</v>
      </c>
      <c r="R173" s="55">
        <v>8.4337349397590355E-2</v>
      </c>
      <c r="S173" s="78">
        <v>0.97</v>
      </c>
      <c r="T173" s="94"/>
    </row>
    <row r="174" spans="1:20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08"/>
      <c r="H174" s="166" t="str">
        <f t="shared" si="2"/>
        <v>(30, 35]</v>
      </c>
      <c r="I174" s="195">
        <v>8.01</v>
      </c>
      <c r="J174" s="55">
        <v>3.5620575340560533E-2</v>
      </c>
      <c r="K174" s="55">
        <v>3.6792617592183073E-2</v>
      </c>
      <c r="L174" s="106">
        <v>36792617</v>
      </c>
      <c r="M174" s="55">
        <v>3.6792617772644975E-2</v>
      </c>
      <c r="N174" s="55">
        <v>1.1979183491177603</v>
      </c>
      <c r="O174" s="108"/>
      <c r="P174" s="55">
        <v>3.6792617772644975E-2</v>
      </c>
      <c r="Q174" s="204">
        <v>3.5604833712096676E-2</v>
      </c>
      <c r="R174" s="55">
        <v>3.614457831325301E-2</v>
      </c>
      <c r="S174" s="78">
        <v>0.97</v>
      </c>
      <c r="T174" s="94"/>
    </row>
    <row r="175" spans="1:20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08"/>
      <c r="H175" s="208" t="str">
        <f t="shared" si="2"/>
        <v>(35, 40]</v>
      </c>
      <c r="I175" s="195">
        <v>6.26</v>
      </c>
      <c r="J175" s="55">
        <v>2.9018224983922918E-2</v>
      </c>
      <c r="K175" s="55">
        <v>2.9973026679939296E-2</v>
      </c>
      <c r="L175" s="106">
        <v>29973026</v>
      </c>
      <c r="M175" s="55">
        <v>2.9973026629433561E-2</v>
      </c>
      <c r="N175" s="55">
        <v>1.1256302243574705</v>
      </c>
      <c r="O175" s="108"/>
      <c r="P175" s="55">
        <v>2.9973026629433561E-2</v>
      </c>
      <c r="Q175" s="204">
        <v>2.903870258077405E-2</v>
      </c>
      <c r="R175" s="55">
        <v>2.4096385542168676E-2</v>
      </c>
      <c r="S175" s="78">
        <v>0.97</v>
      </c>
      <c r="T175" s="94"/>
    </row>
    <row r="176" spans="1:20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08"/>
      <c r="H176" s="166" t="str">
        <f t="shared" si="2"/>
        <v>(40, 45]</v>
      </c>
      <c r="I176" s="195">
        <v>5.94</v>
      </c>
      <c r="J176" s="55">
        <v>2.8674036585905362E-2</v>
      </c>
      <c r="K176" s="55">
        <v>2.9617513272678125E-2</v>
      </c>
      <c r="L176" s="106">
        <v>29617513</v>
      </c>
      <c r="M176" s="55">
        <v>2.9617513621967784E-2</v>
      </c>
      <c r="N176" s="55">
        <v>1.2603674640249205</v>
      </c>
      <c r="O176" s="108"/>
      <c r="P176" s="55">
        <v>2.9617513621967784E-2</v>
      </c>
      <c r="Q176" s="204">
        <v>2.8675389573507792E-2</v>
      </c>
      <c r="R176" s="55">
        <v>3.614457831325301E-2</v>
      </c>
      <c r="S176" s="78">
        <v>0.97</v>
      </c>
      <c r="T176" s="94"/>
    </row>
    <row r="177" spans="1:20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08"/>
      <c r="H177" s="166" t="str">
        <f t="shared" si="2"/>
        <v>(45, 50]</v>
      </c>
      <c r="I177" s="195">
        <v>5.27</v>
      </c>
      <c r="J177" s="55">
        <v>2.622676383603989E-2</v>
      </c>
      <c r="K177" s="55">
        <v>2.7089716639167778E-2</v>
      </c>
      <c r="L177" s="106">
        <v>27089716</v>
      </c>
      <c r="M177" s="55">
        <v>2.7089716568884047E-2</v>
      </c>
      <c r="N177" s="55">
        <v>1.2882504466504465</v>
      </c>
      <c r="O177" s="108"/>
      <c r="P177" s="55">
        <v>2.7089716568884047E-2</v>
      </c>
      <c r="Q177" s="204">
        <v>2.6210230524204611E-2</v>
      </c>
      <c r="R177" s="55">
        <v>2.4096385542168676E-2</v>
      </c>
      <c r="S177" s="78">
        <v>0.97</v>
      </c>
      <c r="T177" s="94"/>
    </row>
    <row r="178" spans="1:20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08">
        <v>2.12</v>
      </c>
      <c r="H178" s="208" t="str">
        <f t="shared" si="2"/>
        <v>(50, 60]</v>
      </c>
      <c r="I178" s="195" cm="1">
        <f t="array" ref="I178:I222">G178:G222*G161</f>
        <v>1.9140843999999999</v>
      </c>
      <c r="J178" s="55">
        <v>2.0037088410241453E-2</v>
      </c>
      <c r="K178" s="55">
        <v>2.0696379114890969E-2</v>
      </c>
      <c r="L178" s="106">
        <v>20696379</v>
      </c>
      <c r="M178" s="55">
        <v>2.069637943462397E-2</v>
      </c>
      <c r="N178" s="55">
        <v>1.1402745400897443</v>
      </c>
      <c r="O178" s="108"/>
      <c r="P178" s="55">
        <v>2.069637943462397E-2</v>
      </c>
      <c r="Q178" s="204">
        <v>2.2162742443254849E-2</v>
      </c>
      <c r="R178" s="55">
        <v>2.4096385542168676E-2</v>
      </c>
      <c r="S178" s="78">
        <v>1.07</v>
      </c>
      <c r="T178" s="94"/>
    </row>
    <row r="179" spans="1:20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08">
        <v>5.94</v>
      </c>
      <c r="H179" s="166" t="str">
        <f t="shared" si="2"/>
        <v>(60, 70]</v>
      </c>
      <c r="I179" s="195">
        <v>5.3630478000000004</v>
      </c>
      <c r="J179" s="55">
        <v>5.89397836336472E-2</v>
      </c>
      <c r="K179" s="55">
        <v>6.087910988145951E-2</v>
      </c>
      <c r="L179" s="106">
        <v>60879109</v>
      </c>
      <c r="M179" s="55">
        <v>6.0879110278461317E-2</v>
      </c>
      <c r="N179" s="55">
        <v>3.9613550783315854</v>
      </c>
      <c r="O179" s="108"/>
      <c r="P179" s="55">
        <v>6.0879110278461317E-2</v>
      </c>
      <c r="Q179" s="204">
        <v>6.5256171305123428E-2</v>
      </c>
      <c r="R179" s="55">
        <v>6.0240963855421686E-2</v>
      </c>
      <c r="S179" s="78">
        <v>1.07</v>
      </c>
      <c r="T179" s="94"/>
    </row>
    <row r="180" spans="1:20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08">
        <v>5.07</v>
      </c>
      <c r="H180" s="166" t="str">
        <f t="shared" si="2"/>
        <v>(70, 80]</v>
      </c>
      <c r="I180" s="195">
        <v>4.5775509000000003</v>
      </c>
      <c r="J180" s="55">
        <v>5.2928154685551308E-2</v>
      </c>
      <c r="K180" s="55">
        <v>5.4669677190417827E-2</v>
      </c>
      <c r="L180" s="106">
        <v>54669677</v>
      </c>
      <c r="M180" s="55">
        <v>5.4669678148063242E-2</v>
      </c>
      <c r="N180" s="55">
        <v>4.1038643420472329</v>
      </c>
      <c r="O180" s="108"/>
      <c r="P180" s="55">
        <v>5.4669678148063242E-2</v>
      </c>
      <c r="Q180" s="204">
        <v>5.8653581173071623E-2</v>
      </c>
      <c r="R180" s="55">
        <v>4.8192771084337352E-2</v>
      </c>
      <c r="S180" s="78">
        <v>1.07</v>
      </c>
      <c r="T180" s="94"/>
    </row>
    <row r="181" spans="1:20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08">
        <v>2.4900000000000002</v>
      </c>
      <c r="H181" s="166" t="str">
        <f t="shared" si="2"/>
        <v>(80, 90]</v>
      </c>
      <c r="I181" s="195">
        <v>2.2481463000000002</v>
      </c>
      <c r="J181" s="55">
        <v>2.6949828870755237E-2</v>
      </c>
      <c r="K181" s="55">
        <v>2.7836573057465643E-2</v>
      </c>
      <c r="L181" s="106">
        <v>27836573</v>
      </c>
      <c r="M181" s="55">
        <v>2.7836573584568047E-2</v>
      </c>
      <c r="N181" s="55">
        <v>2.3676063634943669</v>
      </c>
      <c r="O181" s="108"/>
      <c r="P181" s="55">
        <v>2.7836573584568047E-2</v>
      </c>
      <c r="Q181" s="204">
        <v>2.985243959704879E-2</v>
      </c>
      <c r="R181" s="55">
        <v>2.4096385542168676E-2</v>
      </c>
      <c r="S181" s="78">
        <v>1.07</v>
      </c>
      <c r="T181" s="94"/>
    </row>
    <row r="182" spans="1:20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08">
        <v>2.13</v>
      </c>
      <c r="H182" s="166" t="str">
        <f t="shared" si="2"/>
        <v>(90, 100]</v>
      </c>
      <c r="I182" s="210">
        <v>1.9231130999999999</v>
      </c>
      <c r="J182" s="105">
        <v>2.3810961991129777E-2</v>
      </c>
      <c r="K182" s="105">
        <v>2.4594426414109062E-2</v>
      </c>
      <c r="L182" s="106">
        <v>24594426</v>
      </c>
      <c r="M182" s="105">
        <v>2.4594426516482956E-2</v>
      </c>
      <c r="N182" s="105">
        <v>2.3376587552794166</v>
      </c>
      <c r="O182" s="108"/>
      <c r="P182" s="55">
        <v>2.4594426516482956E-2</v>
      </c>
      <c r="Q182" s="204">
        <v>2.6317903526358072E-2</v>
      </c>
      <c r="R182" s="55">
        <v>1.2048192771084338E-2</v>
      </c>
      <c r="S182" s="78">
        <v>1.07</v>
      </c>
      <c r="T182" s="94"/>
    </row>
    <row r="183" spans="1:20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08">
        <v>1.6</v>
      </c>
      <c r="H183" s="166" t="str">
        <f t="shared" si="2"/>
        <v>(100, 120]</v>
      </c>
      <c r="I183" s="210">
        <v>1.4445920000000001</v>
      </c>
      <c r="J183" s="105">
        <v>3.7158419362292867E-2</v>
      </c>
      <c r="K183" s="105">
        <v>3.8381062092785918E-2</v>
      </c>
      <c r="L183" s="106">
        <v>38381062</v>
      </c>
      <c r="M183" s="105">
        <v>3.8381062806002321E-2</v>
      </c>
      <c r="N183" s="105">
        <v>4.2257223892280331</v>
      </c>
      <c r="O183" s="108"/>
      <c r="P183" s="55">
        <v>3.8381062806002321E-2</v>
      </c>
      <c r="Q183" s="204">
        <v>4.1131499822629994E-2</v>
      </c>
      <c r="R183" s="55">
        <v>6.0240963855421686E-2</v>
      </c>
      <c r="S183" s="78">
        <v>1.07</v>
      </c>
      <c r="T183" s="94"/>
    </row>
    <row r="184" spans="1:20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08">
        <v>0.68</v>
      </c>
      <c r="H184" s="166" t="str">
        <f t="shared" si="2"/>
        <v>(120, 140]</v>
      </c>
      <c r="I184" s="210">
        <v>0.61395160000000004</v>
      </c>
      <c r="J184" s="105">
        <v>1.6308294532729389E-2</v>
      </c>
      <c r="K184" s="105">
        <v>1.6844894799892925E-2</v>
      </c>
      <c r="L184" s="106">
        <v>16844894</v>
      </c>
      <c r="M184" s="105">
        <v>1.6844894353742781E-2</v>
      </c>
      <c r="N184" s="105">
        <v>2.1910400216803949</v>
      </c>
      <c r="O184" s="108"/>
      <c r="P184" s="55">
        <v>1.6844894353742781E-2</v>
      </c>
      <c r="Q184" s="204">
        <v>1.8029524360590486E-2</v>
      </c>
      <c r="R184" s="55">
        <v>7.2289156626506021E-2</v>
      </c>
      <c r="S184" s="78">
        <v>1.07</v>
      </c>
      <c r="T184" s="94"/>
    </row>
    <row r="185" spans="1:20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08">
        <v>1.03</v>
      </c>
      <c r="H185" s="166" t="str">
        <f t="shared" si="2"/>
        <v>(140, 160]</v>
      </c>
      <c r="I185" s="210">
        <v>0.92995609999999995</v>
      </c>
      <c r="J185" s="105">
        <v>2.4919877682742946E-2</v>
      </c>
      <c r="K185" s="105">
        <v>2.5739829333444743E-2</v>
      </c>
      <c r="L185" s="106">
        <v>25739829</v>
      </c>
      <c r="M185" s="105">
        <v>2.573982954053642E-2</v>
      </c>
      <c r="N185" s="105">
        <v>3.8620598287296533</v>
      </c>
      <c r="O185" s="108"/>
      <c r="P185" s="55">
        <v>2.573982954053642E-2</v>
      </c>
      <c r="Q185" s="204">
        <v>2.759787055195741E-2</v>
      </c>
      <c r="R185" s="55">
        <v>2.4096385542168676E-2</v>
      </c>
      <c r="S185" s="78">
        <v>1.07</v>
      </c>
      <c r="T185" s="94"/>
    </row>
    <row r="186" spans="1:20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08">
        <v>0.3</v>
      </c>
      <c r="H186" s="166" t="str">
        <f t="shared" si="2"/>
        <v>(160, 180]</v>
      </c>
      <c r="I186" s="210">
        <v>0.27086099999999996</v>
      </c>
      <c r="J186" s="105">
        <v>7.2989906798215654E-3</v>
      </c>
      <c r="K186" s="105">
        <v>7.5391531530315048E-3</v>
      </c>
      <c r="L186" s="106">
        <v>7539153</v>
      </c>
      <c r="M186" s="105">
        <v>7.5391531583222163E-3</v>
      </c>
      <c r="N186" s="105">
        <v>1.2818278171955149</v>
      </c>
      <c r="O186" s="108"/>
      <c r="P186" s="55">
        <v>7.5391531583222163E-3</v>
      </c>
      <c r="Q186" s="204">
        <v>8.2157541643150828E-3</v>
      </c>
      <c r="R186" s="55">
        <v>3.614457831325301E-2</v>
      </c>
      <c r="S186" s="78">
        <v>1.0900000000000001</v>
      </c>
      <c r="T186" s="94"/>
    </row>
    <row r="187" spans="1:20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08">
        <v>0.26</v>
      </c>
      <c r="H187" s="166" t="str">
        <f t="shared" si="2"/>
        <v>(180, 200]</v>
      </c>
      <c r="I187" s="210">
        <v>0.23474619999999999</v>
      </c>
      <c r="J187" s="105">
        <v>6.2882932004219754E-3</v>
      </c>
      <c r="K187" s="105">
        <v>6.4952001706497422E-3</v>
      </c>
      <c r="L187" s="106">
        <v>6495200</v>
      </c>
      <c r="M187" s="105">
        <v>6.4952001363992031E-3</v>
      </c>
      <c r="N187" s="105">
        <v>1.2341664094403446</v>
      </c>
      <c r="O187" s="108"/>
      <c r="P187" s="55">
        <v>6.4952001363992031E-3</v>
      </c>
      <c r="Q187" s="204">
        <v>7.0812481416249627E-3</v>
      </c>
      <c r="R187" s="55">
        <v>0</v>
      </c>
      <c r="S187" s="78">
        <v>1.0900000000000001</v>
      </c>
      <c r="T187" s="94"/>
    </row>
    <row r="188" spans="1:20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08">
        <v>0.3</v>
      </c>
      <c r="H188" s="166" t="str">
        <f t="shared" si="2"/>
        <v>(200, 250]</v>
      </c>
      <c r="I188" s="210">
        <v>0.27086099999999996</v>
      </c>
      <c r="J188" s="105">
        <v>1.7564275989684616E-2</v>
      </c>
      <c r="K188" s="105">
        <v>1.8142202465667969E-2</v>
      </c>
      <c r="L188" s="106">
        <v>18142202</v>
      </c>
      <c r="M188" s="105">
        <v>1.8142202380986249E-2</v>
      </c>
      <c r="N188" s="105">
        <v>4.0785657668163333</v>
      </c>
      <c r="O188" s="108"/>
      <c r="P188" s="55">
        <v>1.8142202380986249E-2</v>
      </c>
      <c r="Q188" s="204">
        <v>1.9172624383452488E-2</v>
      </c>
      <c r="R188" s="55">
        <v>6.0240963855421686E-2</v>
      </c>
      <c r="S188" s="78">
        <v>1.06</v>
      </c>
      <c r="T188" s="94"/>
    </row>
    <row r="189" spans="1:20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08">
        <v>0.09</v>
      </c>
      <c r="H189" s="166" t="str">
        <f t="shared" si="2"/>
        <v>(250, 300]</v>
      </c>
      <c r="I189" s="210">
        <v>8.1258299999999992E-2</v>
      </c>
      <c r="J189" s="105">
        <v>4.9300546666577834E-3</v>
      </c>
      <c r="K189" s="105">
        <v>5.0922708104703795E-3</v>
      </c>
      <c r="L189" s="106">
        <v>5092270</v>
      </c>
      <c r="M189" s="105">
        <v>5.0922701069376726E-3</v>
      </c>
      <c r="N189" s="105">
        <v>1.3988844093203863</v>
      </c>
      <c r="O189" s="108"/>
      <c r="P189" s="55">
        <v>5.0922701069376726E-3</v>
      </c>
      <c r="Q189" s="204">
        <v>5.5840271116805425E-3</v>
      </c>
      <c r="R189" s="55">
        <v>2.4096385542168676E-2</v>
      </c>
      <c r="S189" s="78">
        <v>1.1000000000000001</v>
      </c>
      <c r="T189" s="94"/>
    </row>
    <row r="190" spans="1:20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08">
        <v>0.08</v>
      </c>
      <c r="H190" s="166" t="str">
        <f t="shared" si="2"/>
        <v>(300, 350]</v>
      </c>
      <c r="I190" s="210">
        <v>7.2229599999999991E-2</v>
      </c>
      <c r="J190" s="105">
        <v>4.0315654424979436E-3</v>
      </c>
      <c r="K190" s="105">
        <v>4.16421812970506E-3</v>
      </c>
      <c r="L190" s="106">
        <v>4164218</v>
      </c>
      <c r="M190" s="105">
        <v>4.1642180874485795E-3</v>
      </c>
      <c r="N190" s="105">
        <v>1.3517714785680781</v>
      </c>
      <c r="O190" s="108"/>
      <c r="P190" s="55">
        <v>4.1642180874485795E-3</v>
      </c>
      <c r="Q190" s="204">
        <v>4.5717610914352219E-3</v>
      </c>
      <c r="R190" s="55">
        <v>1.2048192771084338E-2</v>
      </c>
      <c r="S190" s="78">
        <v>1.1000000000000001</v>
      </c>
      <c r="T190" s="94"/>
    </row>
    <row r="191" spans="1:20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08">
        <v>0.01</v>
      </c>
      <c r="H191" s="166" t="str">
        <f t="shared" si="2"/>
        <v>(350, 400]</v>
      </c>
      <c r="I191" s="210">
        <v>9.0286999999999989E-3</v>
      </c>
      <c r="J191" s="105">
        <v>4.584016697109134E-4</v>
      </c>
      <c r="K191" s="105">
        <v>4.734846974267441E-4</v>
      </c>
      <c r="L191" s="106">
        <v>473484</v>
      </c>
      <c r="M191" s="105">
        <v>4.7348400994316422E-4</v>
      </c>
      <c r="N191" s="105">
        <v>0.17738131065894661</v>
      </c>
      <c r="O191" s="108"/>
      <c r="P191" s="55">
        <v>4.7348400994316422E-4</v>
      </c>
      <c r="Q191" s="204">
        <v>4.676890093537802E-4</v>
      </c>
      <c r="R191" s="55">
        <v>0</v>
      </c>
      <c r="S191" s="78">
        <v>0.99</v>
      </c>
      <c r="T191" s="94"/>
    </row>
    <row r="192" spans="1:20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08">
        <v>0.01</v>
      </c>
      <c r="H192" s="166" t="str">
        <f t="shared" si="2"/>
        <v>(400, 450]</v>
      </c>
      <c r="I192" s="210">
        <v>9.0286999999999989E-3</v>
      </c>
      <c r="J192" s="105">
        <v>4.137463985578646E-4</v>
      </c>
      <c r="K192" s="105">
        <v>4.2736011074331312E-4</v>
      </c>
      <c r="L192" s="106">
        <v>427360</v>
      </c>
      <c r="M192" s="105">
        <v>4.2736000897456019E-4</v>
      </c>
      <c r="N192" s="105">
        <v>0.1814634676731936</v>
      </c>
      <c r="O192" s="108"/>
      <c r="P192" s="55">
        <v>4.2736000897456019E-4</v>
      </c>
      <c r="Q192" s="204">
        <v>4.2307500846150019E-4</v>
      </c>
      <c r="R192" s="55">
        <v>0</v>
      </c>
      <c r="S192" s="78">
        <v>0.99</v>
      </c>
      <c r="T192" s="94"/>
    </row>
    <row r="193" spans="1:20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08">
        <v>0.01</v>
      </c>
      <c r="H193" s="166" t="str">
        <f t="shared" si="2"/>
        <v>(450, 500]</v>
      </c>
      <c r="I193" s="210">
        <v>9.0286999999999989E-3</v>
      </c>
      <c r="J193" s="105">
        <v>3.7222908729711075E-4</v>
      </c>
      <c r="K193" s="105">
        <v>3.84476733872834E-4</v>
      </c>
      <c r="L193" s="106">
        <v>384476</v>
      </c>
      <c r="M193" s="105">
        <v>3.8447600807399619E-4</v>
      </c>
      <c r="N193" s="105">
        <v>0.18246568896444984</v>
      </c>
      <c r="O193" s="108"/>
      <c r="P193" s="55">
        <v>3.8447600807399619E-4</v>
      </c>
      <c r="Q193" s="204">
        <v>3.8122800762456017E-4</v>
      </c>
      <c r="R193" s="55">
        <v>0</v>
      </c>
      <c r="S193" s="78">
        <v>0.99</v>
      </c>
      <c r="T193" s="94"/>
    </row>
    <row r="194" spans="1:20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08">
        <v>0.01</v>
      </c>
      <c r="H194" s="166" t="str">
        <f t="shared" si="2"/>
        <v>(500, 550]</v>
      </c>
      <c r="I194" s="210">
        <v>9.0286999999999989E-3</v>
      </c>
      <c r="J194" s="105">
        <v>3.3506085462927488E-4</v>
      </c>
      <c r="K194" s="105">
        <v>3.4608553558222683E-4</v>
      </c>
      <c r="L194" s="106">
        <v>346085</v>
      </c>
      <c r="M194" s="105">
        <v>3.4608500726778516E-4</v>
      </c>
      <c r="N194" s="105">
        <v>0.18154141877890076</v>
      </c>
      <c r="O194" s="108"/>
      <c r="P194" s="55">
        <v>3.4608500726778516E-4</v>
      </c>
      <c r="Q194" s="204">
        <v>3.4286000685720014E-4</v>
      </c>
      <c r="R194" s="55">
        <v>0</v>
      </c>
      <c r="S194" s="78">
        <v>0.99</v>
      </c>
      <c r="T194" s="94"/>
    </row>
    <row r="195" spans="1:20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08">
        <v>0.01</v>
      </c>
      <c r="H195" s="166" t="str">
        <f t="shared" si="2"/>
        <v>(550, 600]</v>
      </c>
      <c r="I195" s="195">
        <v>9.0286999999999989E-3</v>
      </c>
      <c r="J195" s="55">
        <v>3.0027903944575816E-4</v>
      </c>
      <c r="K195" s="55">
        <v>3.1015927630724174E-4</v>
      </c>
      <c r="L195" s="106">
        <v>310159</v>
      </c>
      <c r="M195" s="55">
        <v>3.1015900651333914E-4</v>
      </c>
      <c r="N195" s="55">
        <v>0.17821803715374546</v>
      </c>
      <c r="O195" s="108"/>
      <c r="P195" s="55">
        <v>3.1015900651333914E-4</v>
      </c>
      <c r="Q195" s="204">
        <v>3.0862000617240011E-4</v>
      </c>
      <c r="R195" s="55">
        <v>0</v>
      </c>
      <c r="S195" s="78">
        <v>1</v>
      </c>
      <c r="T195" s="94"/>
    </row>
    <row r="196" spans="1:20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08">
        <v>0.01</v>
      </c>
      <c r="H196" s="166" t="str">
        <f t="shared" si="2"/>
        <v>(600, 650]</v>
      </c>
      <c r="I196" s="195">
        <v>9.0286999999999989E-3</v>
      </c>
      <c r="J196" s="55">
        <v>2.6866086635912549E-4</v>
      </c>
      <c r="K196" s="55">
        <v>2.7750075408468561E-4</v>
      </c>
      <c r="L196" s="106">
        <v>277500</v>
      </c>
      <c r="M196" s="55">
        <v>2.7750000582750013E-4</v>
      </c>
      <c r="N196" s="55">
        <v>0.17332344460363791</v>
      </c>
      <c r="O196" s="108"/>
      <c r="P196" s="55">
        <v>2.7750000582750013E-4</v>
      </c>
      <c r="Q196" s="204">
        <v>2.7654500553090012E-4</v>
      </c>
      <c r="R196" s="55">
        <v>0</v>
      </c>
      <c r="S196" s="78">
        <v>1</v>
      </c>
      <c r="T196" s="94"/>
    </row>
    <row r="197" spans="1:20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08">
        <v>0.01</v>
      </c>
      <c r="H197" s="166" t="str">
        <f t="shared" si="2"/>
        <v>(650, 700]</v>
      </c>
      <c r="I197" s="195">
        <v>9.0286999999999989E-3</v>
      </c>
      <c r="J197" s="55">
        <v>2.4187297527771185E-4</v>
      </c>
      <c r="K197" s="55">
        <v>2.4983144713957233E-4</v>
      </c>
      <c r="L197" s="106">
        <v>249831</v>
      </c>
      <c r="M197" s="55">
        <v>2.4983100524645111E-4</v>
      </c>
      <c r="N197" s="55">
        <v>0.16853303486686577</v>
      </c>
      <c r="O197" s="108"/>
      <c r="P197" s="55">
        <v>2.4983100524645111E-4</v>
      </c>
      <c r="Q197" s="204">
        <v>2.4799200495984009E-4</v>
      </c>
      <c r="R197" s="55">
        <v>0</v>
      </c>
      <c r="S197" s="78">
        <v>0.99</v>
      </c>
      <c r="T197" s="94"/>
    </row>
    <row r="198" spans="1:20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08">
        <v>0.01</v>
      </c>
      <c r="H198" s="166" t="str">
        <f t="shared" si="2"/>
        <v>(700, 750]</v>
      </c>
      <c r="I198" s="195">
        <v>9.0286999999999989E-3</v>
      </c>
      <c r="J198" s="55">
        <v>2.1679295080147363E-4</v>
      </c>
      <c r="K198" s="55">
        <v>2.2392620161968611E-4</v>
      </c>
      <c r="L198" s="106">
        <v>223926</v>
      </c>
      <c r="M198" s="55">
        <v>2.2392600470244611E-4</v>
      </c>
      <c r="N198" s="55">
        <v>0.16225732046275332</v>
      </c>
      <c r="O198" s="108"/>
      <c r="P198" s="55">
        <v>2.2392600470244611E-4</v>
      </c>
      <c r="Q198" s="204">
        <v>2.2297200445944008E-4</v>
      </c>
      <c r="R198" s="55">
        <v>0</v>
      </c>
      <c r="S198" s="78">
        <v>1</v>
      </c>
      <c r="T198" s="94"/>
    </row>
    <row r="199" spans="1:20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08">
        <v>0.01</v>
      </c>
      <c r="H199" s="166" t="str">
        <f t="shared" si="2"/>
        <v>(750, 800]</v>
      </c>
      <c r="I199" s="195">
        <v>9.0286999999999989E-3</v>
      </c>
      <c r="J199" s="55">
        <v>1.9505296461679728E-4</v>
      </c>
      <c r="K199" s="55">
        <v>2.0147089340232164E-4</v>
      </c>
      <c r="L199" s="106">
        <v>201470</v>
      </c>
      <c r="M199" s="55">
        <v>2.0147000423087008E-4</v>
      </c>
      <c r="N199" s="55">
        <v>0.156054800589635</v>
      </c>
      <c r="O199" s="108"/>
      <c r="P199" s="55">
        <v>2.0147000423087008E-4</v>
      </c>
      <c r="Q199" s="204">
        <v>2.0106800402136009E-4</v>
      </c>
      <c r="R199" s="55">
        <v>0</v>
      </c>
      <c r="S199" s="78">
        <v>1</v>
      </c>
      <c r="T199" s="94"/>
    </row>
    <row r="200" spans="1:20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08">
        <v>0.01</v>
      </c>
      <c r="H200" s="166" t="str">
        <f t="shared" si="2"/>
        <v>(800, 850]</v>
      </c>
      <c r="I200" s="195">
        <v>9.0286999999999989E-3</v>
      </c>
      <c r="J200" s="55">
        <v>1.7534254844214932E-4</v>
      </c>
      <c r="K200" s="55">
        <v>1.8111193518889737E-4</v>
      </c>
      <c r="L200" s="106">
        <v>181111</v>
      </c>
      <c r="M200" s="55">
        <v>1.8111100380333107E-4</v>
      </c>
      <c r="N200" s="55">
        <v>0.14934203816489336</v>
      </c>
      <c r="O200" s="108"/>
      <c r="P200" s="55">
        <v>1.8111100380333107E-4</v>
      </c>
      <c r="Q200" s="204">
        <v>1.8029400360588009E-4</v>
      </c>
      <c r="R200" s="55">
        <v>0</v>
      </c>
      <c r="S200" s="78">
        <v>1</v>
      </c>
      <c r="T200" s="94"/>
    </row>
    <row r="201" spans="1:20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08">
        <v>0.01</v>
      </c>
      <c r="H201" s="166" t="str">
        <f t="shared" si="2"/>
        <v>(850, 900]</v>
      </c>
      <c r="I201" s="195">
        <v>9.0286999999999989E-3</v>
      </c>
      <c r="J201" s="55">
        <v>1.5825712391550343E-4</v>
      </c>
      <c r="K201" s="55">
        <v>1.6346434008413242E-4</v>
      </c>
      <c r="L201" s="79">
        <v>163464</v>
      </c>
      <c r="M201" s="55">
        <v>1.6346400343274407E-4</v>
      </c>
      <c r="N201" s="55">
        <v>0.14296023234885027</v>
      </c>
      <c r="O201" s="108"/>
      <c r="P201" s="55">
        <v>1.6346400343274407E-4</v>
      </c>
      <c r="Q201" s="204">
        <v>1.6296000325920006E-4</v>
      </c>
      <c r="R201" s="55">
        <v>0</v>
      </c>
      <c r="S201" s="78">
        <v>1</v>
      </c>
      <c r="T201" s="94"/>
    </row>
    <row r="202" spans="1:20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08">
        <v>0.01</v>
      </c>
      <c r="H202" s="166" t="str">
        <f t="shared" si="2"/>
        <v>(900, 950]</v>
      </c>
      <c r="I202" s="195">
        <v>9.0286999999999989E-3</v>
      </c>
      <c r="J202" s="55">
        <v>1.4330332236975319E-4</v>
      </c>
      <c r="K202" s="55">
        <v>1.4801850585596671E-4</v>
      </c>
      <c r="L202" s="79">
        <v>148018</v>
      </c>
      <c r="M202" s="55">
        <v>1.4801800310837806E-4</v>
      </c>
      <c r="N202" s="55">
        <v>0.13685605219586877</v>
      </c>
      <c r="O202" s="108"/>
      <c r="P202" s="55">
        <v>1.4801800310837806E-4</v>
      </c>
      <c r="Q202" s="204">
        <v>1.4697800293956005E-4</v>
      </c>
      <c r="R202" s="55">
        <v>0</v>
      </c>
      <c r="S202" s="78">
        <v>0.99</v>
      </c>
      <c r="T202" s="94"/>
    </row>
    <row r="203" spans="1:20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08">
        <v>0.01</v>
      </c>
      <c r="H203" s="166" t="str">
        <f t="shared" si="2"/>
        <v>(950, 1000]</v>
      </c>
      <c r="I203" s="195">
        <v>9.0286999999999989E-3</v>
      </c>
      <c r="J203" s="55">
        <v>1.2865365219413702E-4</v>
      </c>
      <c r="K203" s="55">
        <v>1.3288680999002978E-4</v>
      </c>
      <c r="L203" s="79">
        <v>132886</v>
      </c>
      <c r="M203" s="55">
        <v>1.3288600279060605E-4</v>
      </c>
      <c r="N203" s="55">
        <v>0.12951160261386371</v>
      </c>
      <c r="O203" s="108"/>
      <c r="P203" s="55">
        <v>1.3288600279060605E-4</v>
      </c>
      <c r="Q203" s="204">
        <v>1.3304700266094006E-4</v>
      </c>
      <c r="R203" s="55">
        <v>0</v>
      </c>
      <c r="S203" s="78">
        <v>1</v>
      </c>
      <c r="T203" s="94"/>
    </row>
    <row r="204" spans="1:20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08">
        <v>0.01</v>
      </c>
      <c r="H204" s="166" t="str">
        <f t="shared" si="2"/>
        <v>(1000, 2000]</v>
      </c>
      <c r="I204" s="195">
        <v>9.0286999999999989E-3</v>
      </c>
      <c r="J204" s="55">
        <v>1.1325466990725931E-3</v>
      </c>
      <c r="K204" s="55">
        <v>1.1698114700808603E-3</v>
      </c>
      <c r="L204" s="79">
        <v>1169811</v>
      </c>
      <c r="M204" s="55">
        <v>1.1698110245660315E-3</v>
      </c>
      <c r="N204" s="55">
        <v>1.5960201492645862</v>
      </c>
      <c r="O204" s="108"/>
      <c r="P204" s="55">
        <v>1.1698110245660315E-3</v>
      </c>
      <c r="Q204" s="204">
        <v>6.5201501304030021E-4</v>
      </c>
      <c r="R204" s="55">
        <v>0</v>
      </c>
      <c r="S204" s="78">
        <v>0.56000000000000005</v>
      </c>
      <c r="T204" s="94"/>
    </row>
    <row r="205" spans="1:20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08">
        <v>0.01</v>
      </c>
      <c r="H205" s="166" t="str">
        <f t="shared" si="2"/>
        <v>(2000, 3000]</v>
      </c>
      <c r="I205" s="195">
        <v>9.0286999999999989E-3</v>
      </c>
      <c r="J205" s="55">
        <v>2.670401840800552E-4</v>
      </c>
      <c r="K205" s="55">
        <v>2.758267456566308E-4</v>
      </c>
      <c r="L205" s="79">
        <v>275826</v>
      </c>
      <c r="M205" s="55">
        <v>2.7582600579234611E-4</v>
      </c>
      <c r="N205" s="55">
        <v>0.66373908557098094</v>
      </c>
      <c r="O205" s="108"/>
      <c r="P205" s="55">
        <v>2.7582600579234611E-4</v>
      </c>
      <c r="Q205" s="204">
        <v>6.1764001235280026E-5</v>
      </c>
      <c r="R205" s="55">
        <v>0</v>
      </c>
      <c r="S205" s="78">
        <v>0.22</v>
      </c>
      <c r="T205" s="94"/>
    </row>
    <row r="206" spans="1:20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08">
        <v>0.01</v>
      </c>
      <c r="H206" s="166" t="str">
        <f t="shared" si="2"/>
        <v>(3000, 4000]</v>
      </c>
      <c r="I206" s="195">
        <v>9.0286999999999989E-3</v>
      </c>
      <c r="J206" s="55">
        <v>1.0126898777977133E-4</v>
      </c>
      <c r="K206" s="55">
        <v>1.0460109376969863E-4</v>
      </c>
      <c r="L206" s="79">
        <v>104601</v>
      </c>
      <c r="M206" s="55">
        <v>1.0460100219662104E-4</v>
      </c>
      <c r="N206" s="55">
        <v>0.35927201937609321</v>
      </c>
      <c r="O206" s="108"/>
      <c r="P206" s="55">
        <v>1.0460100219662104E-4</v>
      </c>
      <c r="Q206" s="204">
        <v>5.8286001165720024E-5</v>
      </c>
      <c r="R206" s="55">
        <v>0</v>
      </c>
      <c r="S206" s="78">
        <v>0.56000000000000005</v>
      </c>
    </row>
    <row r="207" spans="1:20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08">
        <v>0.01</v>
      </c>
      <c r="H207" s="166" t="str">
        <f t="shared" si="2"/>
        <v>(4000, 5000]</v>
      </c>
      <c r="I207" s="195">
        <v>9.0286999999999989E-3</v>
      </c>
      <c r="J207" s="55">
        <v>5.1068387977943683E-5</v>
      </c>
      <c r="K207" s="55">
        <v>5.2748717614962418E-5</v>
      </c>
      <c r="L207" s="79">
        <v>52748</v>
      </c>
      <c r="M207" s="55">
        <v>5.2748001107708025E-5</v>
      </c>
      <c r="N207" s="55">
        <v>0.23496525006634461</v>
      </c>
      <c r="O207" s="108"/>
      <c r="P207" s="55">
        <v>5.2748001107708025E-5</v>
      </c>
      <c r="Q207" s="204">
        <v>5.9167001183340025E-5</v>
      </c>
      <c r="R207" s="55">
        <v>0</v>
      </c>
      <c r="S207" s="78">
        <v>1.1200000000000001</v>
      </c>
    </row>
    <row r="208" spans="1:20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08">
        <v>0.01</v>
      </c>
      <c r="H208" s="166" t="str">
        <f t="shared" si="2"/>
        <v>(5000, 6000]</v>
      </c>
      <c r="I208" s="195">
        <v>9.0286999999999989E-3</v>
      </c>
      <c r="J208" s="55">
        <v>3.2273745151144023E-5</v>
      </c>
      <c r="K208" s="55">
        <v>3.3335664914471564E-5</v>
      </c>
      <c r="L208" s="79">
        <v>33335</v>
      </c>
      <c r="M208" s="55">
        <v>3.3335000700035013E-5</v>
      </c>
      <c r="N208" s="55">
        <v>0.18228599029395035</v>
      </c>
      <c r="O208" s="108"/>
      <c r="P208" s="55">
        <v>3.3335000700035013E-5</v>
      </c>
      <c r="Q208" s="204">
        <v>3.7280000745600015E-5</v>
      </c>
      <c r="R208" s="55">
        <v>0</v>
      </c>
      <c r="S208" s="78">
        <v>1.1200000000000001</v>
      </c>
    </row>
    <row r="209" spans="1:19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08">
        <v>0.01</v>
      </c>
      <c r="H209" s="166" t="str">
        <f t="shared" si="2"/>
        <v>(6000, 7000]</v>
      </c>
      <c r="I209" s="195">
        <v>9.0286999999999989E-3</v>
      </c>
      <c r="J209" s="55">
        <v>2.357626381279727E-5</v>
      </c>
      <c r="K209" s="55">
        <v>2.4352005839977089E-5</v>
      </c>
      <c r="L209" s="79">
        <v>24352</v>
      </c>
      <c r="M209" s="55">
        <v>2.4352000511392012E-5</v>
      </c>
      <c r="N209" s="55">
        <v>0.15779060100845413</v>
      </c>
      <c r="O209" s="108"/>
      <c r="P209" s="55">
        <v>2.4352000511392012E-5</v>
      </c>
      <c r="Q209" s="204">
        <v>2.7142000542840009E-5</v>
      </c>
      <c r="R209" s="55">
        <v>0</v>
      </c>
      <c r="S209" s="78">
        <v>1.1100000000000001</v>
      </c>
    </row>
    <row r="210" spans="1:19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08">
        <v>0.01</v>
      </c>
      <c r="H210" s="166" t="str">
        <f t="shared" si="2"/>
        <v>(7000, 8000]</v>
      </c>
      <c r="I210" s="195">
        <v>9.0286999999999989E-3</v>
      </c>
      <c r="J210" s="55">
        <v>1.9375871667500431E-5</v>
      </c>
      <c r="K210" s="55">
        <v>2.0013406014972571E-5</v>
      </c>
      <c r="L210" s="79">
        <v>20013</v>
      </c>
      <c r="M210" s="55">
        <v>2.0013000420273008E-5</v>
      </c>
      <c r="N210" s="55">
        <v>0.1497644202360518</v>
      </c>
      <c r="O210" s="108"/>
      <c r="P210" s="55">
        <v>2.0013000420273008E-5</v>
      </c>
      <c r="Q210" s="204">
        <v>2.2299000445980009E-5</v>
      </c>
      <c r="R210" s="55">
        <v>0</v>
      </c>
      <c r="S210" s="78">
        <v>1.1100000000000001</v>
      </c>
    </row>
    <row r="211" spans="1:19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08">
        <v>0.01</v>
      </c>
      <c r="H211" s="166" t="str">
        <f t="shared" si="2"/>
        <v>(8000, 9000]</v>
      </c>
      <c r="I211" s="195">
        <v>9.0286999999999989E-3</v>
      </c>
      <c r="J211" s="55">
        <v>1.7413886406390736E-5</v>
      </c>
      <c r="K211" s="55">
        <v>1.7986864535972068E-5</v>
      </c>
      <c r="L211" s="79">
        <v>17986</v>
      </c>
      <c r="M211" s="55">
        <v>1.7986000377706008E-5</v>
      </c>
      <c r="N211" s="55">
        <v>0.15269160855331027</v>
      </c>
      <c r="O211" s="108"/>
      <c r="P211" s="55">
        <v>1.7986000377706008E-5</v>
      </c>
      <c r="Q211" s="204">
        <v>1.9632000392640006E-5</v>
      </c>
      <c r="R211" s="55">
        <v>0</v>
      </c>
      <c r="S211" s="78">
        <v>1.0900000000000001</v>
      </c>
    </row>
    <row r="212" spans="1:19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08">
        <v>0.01</v>
      </c>
      <c r="H212" s="166" t="str">
        <f t="shared" si="2"/>
        <v>(9000, 10000]</v>
      </c>
      <c r="I212" s="195">
        <v>9.0286999999999989E-3</v>
      </c>
      <c r="J212" s="55">
        <v>1.5982441424292793E-5</v>
      </c>
      <c r="K212" s="55">
        <v>1.6508319977748486E-5</v>
      </c>
      <c r="L212" s="79">
        <v>16508</v>
      </c>
      <c r="M212" s="55">
        <v>1.6508000346668009E-5</v>
      </c>
      <c r="N212" s="55">
        <v>0.15677725041724616</v>
      </c>
      <c r="O212" s="108"/>
      <c r="P212" s="55">
        <v>1.6508000346668009E-5</v>
      </c>
      <c r="Q212" s="204">
        <v>1.8191000363820006E-5</v>
      </c>
      <c r="R212" s="55">
        <v>0</v>
      </c>
      <c r="S212" s="78">
        <v>1.1000000000000001</v>
      </c>
    </row>
    <row r="213" spans="1:19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08">
        <v>0.01</v>
      </c>
      <c r="H213" s="166" t="str">
        <f t="shared" si="2"/>
        <v>(10000, 20000]</v>
      </c>
      <c r="I213" s="195">
        <v>9.0286999999999989E-3</v>
      </c>
      <c r="J213" s="55">
        <v>1.192451792971656E-4</v>
      </c>
      <c r="K213" s="55">
        <v>1.2316876523316931E-4</v>
      </c>
      <c r="L213" s="79">
        <v>123168</v>
      </c>
      <c r="M213" s="55">
        <v>1.2316800258652805E-4</v>
      </c>
      <c r="N213" s="55">
        <v>1.7894791656786511</v>
      </c>
      <c r="O213" s="108"/>
      <c r="P213" s="55">
        <v>1.2316800258652805E-4</v>
      </c>
      <c r="Q213" s="204">
        <v>9.3111001862220037E-5</v>
      </c>
      <c r="R213" s="55">
        <v>0</v>
      </c>
      <c r="S213" s="78">
        <v>0.76</v>
      </c>
    </row>
    <row r="214" spans="1:19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08">
        <v>0</v>
      </c>
      <c r="H214" s="166" t="str">
        <f t="shared" si="2"/>
        <v>(20000, 30000]</v>
      </c>
      <c r="I214" s="195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08"/>
      <c r="P214" s="55">
        <v>0</v>
      </c>
      <c r="Q214" s="204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08">
        <v>0</v>
      </c>
      <c r="H215" s="166" t="str">
        <f t="shared" si="2"/>
        <v>(30000, 40000]</v>
      </c>
      <c r="I215" s="195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08"/>
      <c r="P215" s="55">
        <v>0</v>
      </c>
      <c r="Q215" s="204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08">
        <v>0</v>
      </c>
      <c r="H216" s="166" t="str">
        <f t="shared" si="2"/>
        <v>(40000, 50000]</v>
      </c>
      <c r="I216" s="195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08"/>
      <c r="P216" s="55">
        <v>0</v>
      </c>
      <c r="Q216" s="204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08">
        <v>0</v>
      </c>
      <c r="H217" s="166" t="str">
        <f t="shared" si="2"/>
        <v>(50000, 60000]</v>
      </c>
      <c r="I217" s="195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08"/>
      <c r="P217" s="55">
        <v>0</v>
      </c>
      <c r="Q217" s="204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08">
        <v>0</v>
      </c>
      <c r="H218" s="166" t="str">
        <f t="shared" si="2"/>
        <v>(60000, 70000]</v>
      </c>
      <c r="I218" s="195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08"/>
      <c r="P218" s="55">
        <v>0</v>
      </c>
      <c r="Q218" s="204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08">
        <v>0</v>
      </c>
      <c r="H219" s="166" t="str">
        <f t="shared" si="2"/>
        <v>(70000, 80000]</v>
      </c>
      <c r="I219" s="195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08"/>
      <c r="P219" s="55">
        <v>0</v>
      </c>
      <c r="Q219" s="204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08">
        <v>0</v>
      </c>
      <c r="H220" s="166" t="str">
        <f t="shared" si="2"/>
        <v>(80000, 90000]</v>
      </c>
      <c r="I220" s="195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08"/>
      <c r="P220" s="55">
        <v>0</v>
      </c>
      <c r="Q220" s="204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08">
        <v>0</v>
      </c>
      <c r="H221" s="166" t="str">
        <f t="shared" si="2"/>
        <v>(90000, 100000]</v>
      </c>
      <c r="I221" s="195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08"/>
      <c r="P221" s="55">
        <v>0</v>
      </c>
      <c r="Q221" s="204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08">
        <v>0</v>
      </c>
      <c r="H222" s="166" t="str">
        <f t="shared" si="2"/>
        <v>(100000, 9999999]</v>
      </c>
      <c r="I222" s="195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08"/>
      <c r="P222" s="55">
        <v>0</v>
      </c>
      <c r="Q222" s="204">
        <v>0</v>
      </c>
      <c r="R222" s="55">
        <v>0</v>
      </c>
      <c r="S222" s="78">
        <v>0</v>
      </c>
    </row>
    <row r="225" spans="1:20" s="164" customFormat="1">
      <c r="A225" s="223" t="s">
        <v>49</v>
      </c>
      <c r="B225" s="223"/>
      <c r="C225" s="223"/>
      <c r="D225" s="223"/>
      <c r="E225" s="159"/>
      <c r="F225" s="159"/>
      <c r="G225" s="160"/>
      <c r="H225" s="161"/>
      <c r="I225" s="162"/>
      <c r="J225" s="163"/>
      <c r="K225" s="163"/>
      <c r="L225" s="163"/>
      <c r="M225" s="163"/>
      <c r="N225" s="163"/>
      <c r="O225" s="160"/>
    </row>
    <row r="226" spans="1:20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0">
      <c r="A227" s="65" t="s">
        <v>69</v>
      </c>
      <c r="B227" s="193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</row>
    <row r="228" spans="1:20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9" t="s">
        <v>55</v>
      </c>
      <c r="I228" s="119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">
        <v>322</v>
      </c>
      <c r="Q228" s="180" t="s">
        <v>322</v>
      </c>
      <c r="R228" s="81" t="s">
        <v>321</v>
      </c>
      <c r="S228" s="81" t="s">
        <v>74</v>
      </c>
    </row>
    <row r="229" spans="1:20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166" t="str">
        <f>"("&amp;$A229&amp;", "&amp;$B229&amp;"]"</f>
        <v>(-1, 0]</v>
      </c>
      <c r="I229" s="195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6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8"/>
      <c r="P229" s="55" cm="1">
        <f t="array" ref="P229:P292">_xlfn.ANCHORARRAY(M229)</f>
        <v>0</v>
      </c>
      <c r="Q229" s="204"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0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166" t="str">
        <f t="shared" ref="H230:H292" si="3">"("&amp;$A230&amp;", "&amp;$B230&amp;"]"</f>
        <v>(0, 1]</v>
      </c>
      <c r="I230" s="195">
        <v>0</v>
      </c>
      <c r="J230" s="55">
        <v>0</v>
      </c>
      <c r="K230" s="55">
        <v>0</v>
      </c>
      <c r="L230" s="106">
        <v>0</v>
      </c>
      <c r="M230" s="55">
        <v>0</v>
      </c>
      <c r="N230" s="55">
        <v>0</v>
      </c>
      <c r="O230" s="108"/>
      <c r="P230" s="55">
        <v>0</v>
      </c>
      <c r="Q230" s="204">
        <v>0</v>
      </c>
      <c r="R230" s="55">
        <v>0</v>
      </c>
      <c r="S230" s="78">
        <v>0</v>
      </c>
    </row>
    <row r="231" spans="1:20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166" t="str">
        <f t="shared" si="3"/>
        <v>(1, 2]</v>
      </c>
      <c r="I231" s="195">
        <v>0</v>
      </c>
      <c r="J231" s="55">
        <v>0</v>
      </c>
      <c r="K231" s="55">
        <v>0</v>
      </c>
      <c r="L231" s="106">
        <v>0</v>
      </c>
      <c r="M231" s="55">
        <v>0</v>
      </c>
      <c r="N231" s="55">
        <v>0</v>
      </c>
      <c r="O231" s="108"/>
      <c r="P231" s="55">
        <v>0</v>
      </c>
      <c r="Q231" s="204">
        <v>0</v>
      </c>
      <c r="R231" s="55">
        <v>0</v>
      </c>
      <c r="S231" s="78">
        <v>0</v>
      </c>
    </row>
    <row r="232" spans="1:20" ht="16.2" customHeight="1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08"/>
      <c r="H232" s="166" t="str">
        <f t="shared" si="3"/>
        <v>(2, 3]</v>
      </c>
      <c r="I232" s="195">
        <v>0</v>
      </c>
      <c r="J232" s="55">
        <v>0</v>
      </c>
      <c r="K232" s="55">
        <v>0</v>
      </c>
      <c r="L232" s="106">
        <v>0</v>
      </c>
      <c r="M232" s="55">
        <v>0</v>
      </c>
      <c r="N232" s="55">
        <v>0</v>
      </c>
      <c r="O232" s="108"/>
      <c r="P232" s="55">
        <v>0</v>
      </c>
      <c r="Q232" s="204">
        <v>0</v>
      </c>
      <c r="R232" s="55">
        <v>0</v>
      </c>
      <c r="S232" s="78">
        <v>0</v>
      </c>
    </row>
    <row r="233" spans="1:20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08"/>
      <c r="H233" s="166" t="str">
        <f t="shared" si="3"/>
        <v>(3, 4]</v>
      </c>
      <c r="I233" s="195">
        <v>0</v>
      </c>
      <c r="J233" s="55">
        <v>0</v>
      </c>
      <c r="K233" s="55">
        <v>0</v>
      </c>
      <c r="L233" s="106">
        <v>0</v>
      </c>
      <c r="M233" s="55">
        <v>0</v>
      </c>
      <c r="N233" s="55">
        <v>0</v>
      </c>
      <c r="O233" s="108"/>
      <c r="P233" s="55">
        <v>0</v>
      </c>
      <c r="Q233" s="204">
        <v>0</v>
      </c>
      <c r="R233" s="55">
        <v>3.614457831325301E-2</v>
      </c>
      <c r="S233" s="78">
        <v>0</v>
      </c>
    </row>
    <row r="234" spans="1:20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08"/>
      <c r="H234" s="166" t="str">
        <f t="shared" si="3"/>
        <v>(4, 5]</v>
      </c>
      <c r="I234" s="195">
        <v>0</v>
      </c>
      <c r="J234" s="55">
        <v>0</v>
      </c>
      <c r="K234" s="55">
        <v>0</v>
      </c>
      <c r="L234" s="106">
        <v>0</v>
      </c>
      <c r="M234" s="55">
        <v>0</v>
      </c>
      <c r="N234" s="55">
        <v>0</v>
      </c>
      <c r="O234" s="108"/>
      <c r="P234" s="55">
        <v>0</v>
      </c>
      <c r="Q234" s="204">
        <v>0</v>
      </c>
      <c r="R234" s="55">
        <v>0</v>
      </c>
      <c r="S234" s="78">
        <v>0</v>
      </c>
    </row>
    <row r="235" spans="1:20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08"/>
      <c r="H235" s="166" t="str">
        <f t="shared" si="3"/>
        <v>(5, 6]</v>
      </c>
      <c r="I235" s="195">
        <v>0</v>
      </c>
      <c r="J235" s="55">
        <v>0</v>
      </c>
      <c r="K235" s="55">
        <v>0</v>
      </c>
      <c r="L235" s="106">
        <v>0</v>
      </c>
      <c r="M235" s="55">
        <v>0</v>
      </c>
      <c r="N235" s="55">
        <v>0</v>
      </c>
      <c r="O235" s="108"/>
      <c r="P235" s="55">
        <v>0</v>
      </c>
      <c r="Q235" s="204">
        <v>0</v>
      </c>
      <c r="R235" s="55">
        <v>0</v>
      </c>
      <c r="S235" s="78">
        <v>0</v>
      </c>
    </row>
    <row r="236" spans="1:20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08"/>
      <c r="H236" s="166" t="str">
        <f t="shared" si="3"/>
        <v>(6, 7]</v>
      </c>
      <c r="I236" s="195">
        <v>0</v>
      </c>
      <c r="J236" s="55">
        <v>0</v>
      </c>
      <c r="K236" s="55">
        <v>0</v>
      </c>
      <c r="L236" s="106">
        <v>0</v>
      </c>
      <c r="M236" s="55">
        <v>0</v>
      </c>
      <c r="N236" s="55">
        <v>0</v>
      </c>
      <c r="O236" s="108"/>
      <c r="P236" s="55">
        <v>0</v>
      </c>
      <c r="Q236" s="204">
        <v>0</v>
      </c>
      <c r="R236" s="55">
        <v>1.2048192771084338E-2</v>
      </c>
      <c r="S236" s="78">
        <v>0</v>
      </c>
    </row>
    <row r="237" spans="1:20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08"/>
      <c r="H237" s="166" t="str">
        <f t="shared" si="3"/>
        <v>(7, 8]</v>
      </c>
      <c r="I237" s="195">
        <v>0</v>
      </c>
      <c r="J237" s="55">
        <v>0</v>
      </c>
      <c r="K237" s="55">
        <v>0</v>
      </c>
      <c r="L237" s="106">
        <v>0</v>
      </c>
      <c r="M237" s="55">
        <v>0</v>
      </c>
      <c r="N237" s="55">
        <v>0</v>
      </c>
      <c r="O237" s="108"/>
      <c r="P237" s="55">
        <v>0</v>
      </c>
      <c r="Q237" s="204">
        <v>0</v>
      </c>
      <c r="R237" s="55">
        <v>3.614457831325301E-2</v>
      </c>
      <c r="S237" s="78">
        <v>0</v>
      </c>
    </row>
    <row r="238" spans="1:20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08"/>
      <c r="H238" s="166" t="str">
        <f t="shared" si="3"/>
        <v>(8, 9]</v>
      </c>
      <c r="I238" s="195">
        <v>0</v>
      </c>
      <c r="J238" s="55">
        <v>0</v>
      </c>
      <c r="K238" s="55">
        <v>0</v>
      </c>
      <c r="L238" s="106">
        <v>0</v>
      </c>
      <c r="M238" s="55">
        <v>0</v>
      </c>
      <c r="N238" s="55">
        <v>0</v>
      </c>
      <c r="O238" s="108"/>
      <c r="P238" s="55">
        <v>0</v>
      </c>
      <c r="Q238" s="204">
        <v>0</v>
      </c>
      <c r="R238" s="55">
        <v>2.4096385542168676E-2</v>
      </c>
      <c r="S238" s="78">
        <v>0</v>
      </c>
    </row>
    <row r="239" spans="1:20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08"/>
      <c r="H239" s="166" t="str">
        <f t="shared" si="3"/>
        <v>(9, 10]</v>
      </c>
      <c r="I239" s="195">
        <v>0</v>
      </c>
      <c r="J239" s="55">
        <v>0</v>
      </c>
      <c r="K239" s="55">
        <v>0</v>
      </c>
      <c r="L239" s="106">
        <v>0</v>
      </c>
      <c r="M239" s="55">
        <v>0</v>
      </c>
      <c r="N239" s="55">
        <v>0</v>
      </c>
      <c r="O239" s="108"/>
      <c r="P239" s="55">
        <v>0</v>
      </c>
      <c r="Q239" s="204">
        <v>0</v>
      </c>
      <c r="R239" s="55">
        <v>1.2048192771084338E-2</v>
      </c>
      <c r="S239" s="78">
        <v>0</v>
      </c>
    </row>
    <row r="240" spans="1:20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08"/>
      <c r="H240" s="166" t="str">
        <f t="shared" si="3"/>
        <v>(10, 15]</v>
      </c>
      <c r="I240" s="195">
        <v>33.07</v>
      </c>
      <c r="J240" s="55">
        <v>0.1219094736994968</v>
      </c>
      <c r="K240" s="55">
        <v>0.12422768551587982</v>
      </c>
      <c r="L240" s="106">
        <v>124227685</v>
      </c>
      <c r="M240" s="55">
        <v>0.12422768773300913</v>
      </c>
      <c r="N240" s="55">
        <v>1.5620189468319228</v>
      </c>
      <c r="O240" s="108"/>
      <c r="P240" s="55">
        <v>0.12422768773300913</v>
      </c>
      <c r="Q240" s="204">
        <v>0.12191531431639097</v>
      </c>
      <c r="R240" s="55">
        <v>7.2289156626506021E-2</v>
      </c>
      <c r="S240" s="78">
        <v>0.98</v>
      </c>
      <c r="T240" s="95"/>
    </row>
    <row r="241" spans="1:20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08"/>
      <c r="H241" s="208" t="str">
        <f t="shared" si="3"/>
        <v>(15, 20]</v>
      </c>
      <c r="I241" s="195">
        <v>30.94</v>
      </c>
      <c r="J241" s="55">
        <v>0.12089434159345866</v>
      </c>
      <c r="K241" s="55">
        <v>0.1231932498137224</v>
      </c>
      <c r="L241" s="106">
        <v>123193249</v>
      </c>
      <c r="M241" s="55">
        <v>0.12319325171025154</v>
      </c>
      <c r="N241" s="55">
        <v>2.1645522091204885</v>
      </c>
      <c r="O241" s="108"/>
      <c r="P241" s="55">
        <v>0.12319325171025154</v>
      </c>
      <c r="Q241" s="204">
        <v>0.12091058729730116</v>
      </c>
      <c r="R241" s="55">
        <v>7.2289156626506021E-2</v>
      </c>
      <c r="S241" s="78">
        <v>0.98</v>
      </c>
      <c r="T241" s="95"/>
    </row>
    <row r="242" spans="1:20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08"/>
      <c r="H242" s="166" t="str">
        <f t="shared" si="3"/>
        <v>(20, 25]</v>
      </c>
      <c r="I242" s="195">
        <v>29.62</v>
      </c>
      <c r="J242" s="55">
        <v>0.1215102373449547</v>
      </c>
      <c r="K242" s="55">
        <v>0.12382085734417582</v>
      </c>
      <c r="L242" s="106">
        <v>123820857</v>
      </c>
      <c r="M242" s="55">
        <v>0.12382085972405892</v>
      </c>
      <c r="N242" s="55">
        <v>2.793551939566683</v>
      </c>
      <c r="O242" s="108"/>
      <c r="P242" s="55">
        <v>0.12382085972405892</v>
      </c>
      <c r="Q242" s="204">
        <v>0.121521263308904</v>
      </c>
      <c r="R242" s="55">
        <v>7.2289156626506021E-2</v>
      </c>
      <c r="S242" s="78">
        <v>0.98</v>
      </c>
      <c r="T242" s="95"/>
    </row>
    <row r="243" spans="1:20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08"/>
      <c r="H243" s="166" t="str">
        <f t="shared" si="3"/>
        <v>(25, 30]</v>
      </c>
      <c r="I243" s="195">
        <v>28.35</v>
      </c>
      <c r="J243" s="55">
        <v>0.12114730738548668</v>
      </c>
      <c r="K243" s="55">
        <v>0.12345102596437493</v>
      </c>
      <c r="L243" s="106">
        <v>123451025</v>
      </c>
      <c r="M243" s="55">
        <v>0.1234510277159226</v>
      </c>
      <c r="N243" s="55">
        <v>3.4016916955204071</v>
      </c>
      <c r="O243" s="108"/>
      <c r="P243" s="55">
        <v>0.1234510277159226</v>
      </c>
      <c r="Q243" s="204">
        <v>0.12114459730174734</v>
      </c>
      <c r="R243" s="55">
        <v>8.4337349397590355E-2</v>
      </c>
      <c r="S243" s="78">
        <v>0.98</v>
      </c>
      <c r="T243" s="95"/>
    </row>
    <row r="244" spans="1:20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08"/>
      <c r="H244" s="166" t="str">
        <f t="shared" si="3"/>
        <v>(30, 35]</v>
      </c>
      <c r="I244" s="195">
        <v>7.21</v>
      </c>
      <c r="J244" s="55">
        <v>3.2062964819655607E-2</v>
      </c>
      <c r="K244" s="55">
        <v>3.2672669231114365E-2</v>
      </c>
      <c r="L244" s="106">
        <v>32672669</v>
      </c>
      <c r="M244" s="55">
        <v>3.2672669718798737E-2</v>
      </c>
      <c r="N244" s="55">
        <v>1.0637783593618855</v>
      </c>
      <c r="O244" s="108"/>
      <c r="P244" s="55">
        <v>3.2672669718798737E-2</v>
      </c>
      <c r="Q244" s="204">
        <v>3.2069605609322503E-2</v>
      </c>
      <c r="R244" s="55">
        <v>3.614457831325301E-2</v>
      </c>
      <c r="S244" s="78">
        <v>0.98</v>
      </c>
      <c r="T244" s="95"/>
    </row>
    <row r="245" spans="1:20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08"/>
      <c r="H245" s="208" t="str">
        <f t="shared" si="3"/>
        <v>(35, 40]</v>
      </c>
      <c r="I245" s="195">
        <v>5.64</v>
      </c>
      <c r="J245" s="55">
        <v>2.6144215480722884E-2</v>
      </c>
      <c r="K245" s="55">
        <v>2.6641369864367194E-2</v>
      </c>
      <c r="L245" s="106">
        <v>26641369</v>
      </c>
      <c r="M245" s="55">
        <v>2.6641369586110131E-2</v>
      </c>
      <c r="N245" s="55">
        <v>1.0005105989181236</v>
      </c>
      <c r="O245" s="108"/>
      <c r="P245" s="55">
        <v>2.6641369586110131E-2</v>
      </c>
      <c r="Q245" s="204">
        <v>2.6163045497097866E-2</v>
      </c>
      <c r="R245" s="55">
        <v>2.4096385542168676E-2</v>
      </c>
      <c r="S245" s="78">
        <v>0.98</v>
      </c>
      <c r="T245" s="95"/>
    </row>
    <row r="246" spans="1:20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08"/>
      <c r="H246" s="166" t="str">
        <f t="shared" si="3"/>
        <v>(40, 45]</v>
      </c>
      <c r="I246" s="195">
        <v>5.35</v>
      </c>
      <c r="J246" s="55">
        <v>2.5825942042860886E-2</v>
      </c>
      <c r="K246" s="55">
        <v>2.6317044187724219E-2</v>
      </c>
      <c r="L246" s="106">
        <v>26317044</v>
      </c>
      <c r="M246" s="55">
        <v>2.631704457897498E-2</v>
      </c>
      <c r="N246" s="55">
        <v>1.1199166533692886</v>
      </c>
      <c r="O246" s="108"/>
      <c r="P246" s="55">
        <v>2.631704457897498E-2</v>
      </c>
      <c r="Q246" s="204">
        <v>2.5833983490845685E-2</v>
      </c>
      <c r="R246" s="55">
        <v>3.614457831325301E-2</v>
      </c>
      <c r="S246" s="78">
        <v>0.98</v>
      </c>
      <c r="T246" s="95"/>
    </row>
    <row r="247" spans="1:20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08"/>
      <c r="H247" s="166" t="str">
        <f t="shared" si="3"/>
        <v>(45, 50]</v>
      </c>
      <c r="I247" s="195">
        <v>4.75</v>
      </c>
      <c r="J247" s="55">
        <v>2.3638923761136528E-2</v>
      </c>
      <c r="K247" s="55">
        <v>2.4088437902463431E-2</v>
      </c>
      <c r="L247" s="106">
        <v>24088437</v>
      </c>
      <c r="M247" s="55">
        <v>2.4088437529945626E-2</v>
      </c>
      <c r="N247" s="55">
        <v>1.1455247354897735</v>
      </c>
      <c r="O247" s="108"/>
      <c r="P247" s="55">
        <v>2.4088437529945626E-2</v>
      </c>
      <c r="Q247" s="204">
        <v>2.3657307449488841E-2</v>
      </c>
      <c r="R247" s="55">
        <v>2.4096385542168676E-2</v>
      </c>
      <c r="S247" s="78">
        <v>0.98</v>
      </c>
      <c r="T247" s="95"/>
    </row>
    <row r="248" spans="1:20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08">
        <v>1.91</v>
      </c>
      <c r="H248" s="208" t="str">
        <f t="shared" si="3"/>
        <v>(50, 60]</v>
      </c>
      <c r="I248" s="195" cm="1">
        <f t="array" ref="I248:I292">G248:G292*G231</f>
        <v>1.8193705</v>
      </c>
      <c r="J248" s="55">
        <v>1.9045600893819101E-2</v>
      </c>
      <c r="K248" s="55">
        <v>1.9407769113419484E-2</v>
      </c>
      <c r="L248" s="106">
        <v>19407769</v>
      </c>
      <c r="M248" s="55">
        <v>1.9407769426970926E-2</v>
      </c>
      <c r="N248" s="55">
        <v>1.0692781038061383</v>
      </c>
      <c r="O248" s="108"/>
      <c r="P248" s="55">
        <v>1.9407769426970926E-2</v>
      </c>
      <c r="Q248" s="204">
        <v>1.9965948379353018E-2</v>
      </c>
      <c r="R248" s="55">
        <v>2.4096385542168676E-2</v>
      </c>
      <c r="S248" s="78">
        <v>1.03</v>
      </c>
      <c r="T248" s="95"/>
    </row>
    <row r="249" spans="1:20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08">
        <v>5.94</v>
      </c>
      <c r="H249" s="166" t="str">
        <f t="shared" si="3"/>
        <v>(60, 70]</v>
      </c>
      <c r="I249" s="195">
        <v>5.6581470000000005</v>
      </c>
      <c r="J249" s="55">
        <v>6.2182917696047765E-2</v>
      </c>
      <c r="K249" s="55">
        <v>6.3365378502461253E-2</v>
      </c>
      <c r="L249" s="106">
        <v>63365378</v>
      </c>
      <c r="M249" s="55">
        <v>6.3365379394038343E-2</v>
      </c>
      <c r="N249" s="55">
        <v>4.1231346237625335</v>
      </c>
      <c r="O249" s="108"/>
      <c r="P249" s="55">
        <v>6.3365379394038343E-2</v>
      </c>
      <c r="Q249" s="204">
        <v>6.533174024130306E-2</v>
      </c>
      <c r="R249" s="55">
        <v>6.0240963855421686E-2</v>
      </c>
      <c r="S249" s="78">
        <v>1.03</v>
      </c>
      <c r="T249" s="95"/>
    </row>
    <row r="250" spans="1:20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08">
        <v>5.07</v>
      </c>
      <c r="H250" s="166" t="str">
        <f t="shared" si="3"/>
        <v>(70, 80]</v>
      </c>
      <c r="I250" s="195">
        <v>4.8294285000000006</v>
      </c>
      <c r="J250" s="55">
        <v>5.58405016732441E-2</v>
      </c>
      <c r="K250" s="55">
        <v>5.6902356071293264E-2</v>
      </c>
      <c r="L250" s="106">
        <v>56902356</v>
      </c>
      <c r="M250" s="55">
        <v>5.6902357251851859E-2</v>
      </c>
      <c r="N250" s="55">
        <v>4.2714638683597297</v>
      </c>
      <c r="O250" s="108"/>
      <c r="P250" s="55">
        <v>5.6902357251851859E-2</v>
      </c>
      <c r="Q250" s="204">
        <v>5.8671827114764714E-2</v>
      </c>
      <c r="R250" s="55">
        <v>4.8192771084337352E-2</v>
      </c>
      <c r="S250" s="78">
        <v>1.03</v>
      </c>
      <c r="T250" s="95"/>
    </row>
    <row r="251" spans="1:20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08">
        <v>2.2400000000000002</v>
      </c>
      <c r="H251" s="166" t="str">
        <f t="shared" si="3"/>
        <v>(80, 90]</v>
      </c>
      <c r="I251" s="195">
        <v>2.1337120000000001</v>
      </c>
      <c r="J251" s="55">
        <v>2.5578038786655877E-2</v>
      </c>
      <c r="K251" s="55">
        <v>2.606442684129788E-2</v>
      </c>
      <c r="L251" s="106">
        <v>26064426</v>
      </c>
      <c r="M251" s="55">
        <v>2.6064426573417385E-2</v>
      </c>
      <c r="N251" s="55">
        <v>2.2168785259643249</v>
      </c>
      <c r="O251" s="108"/>
      <c r="P251" s="55">
        <v>2.6064426573417385E-2</v>
      </c>
      <c r="Q251" s="204">
        <v>2.6865522510444929E-2</v>
      </c>
      <c r="R251" s="55">
        <v>2.4096385542168676E-2</v>
      </c>
      <c r="S251" s="78">
        <v>1.03</v>
      </c>
      <c r="T251" s="95"/>
    </row>
    <row r="252" spans="1:20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08">
        <v>1.91</v>
      </c>
      <c r="H252" s="166" t="str">
        <f t="shared" si="3"/>
        <v>(90, 100]</v>
      </c>
      <c r="I252" s="195">
        <v>1.8193705</v>
      </c>
      <c r="J252" s="55">
        <v>2.2526476380033383E-2</v>
      </c>
      <c r="K252" s="55">
        <v>2.2954836392926146E-2</v>
      </c>
      <c r="L252" s="106">
        <v>22954836</v>
      </c>
      <c r="M252" s="55">
        <v>2.2954836505006404E-2</v>
      </c>
      <c r="N252" s="55">
        <v>2.1818184902979119</v>
      </c>
      <c r="O252" s="108"/>
      <c r="P252" s="55">
        <v>2.2954836505006404E-2</v>
      </c>
      <c r="Q252" s="204">
        <v>2.3695970450223439E-2</v>
      </c>
      <c r="R252" s="55">
        <v>1.2048192771084338E-2</v>
      </c>
      <c r="S252" s="78">
        <v>1.03</v>
      </c>
      <c r="T252" s="95"/>
    </row>
    <row r="253" spans="1:20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08">
        <v>2.04</v>
      </c>
      <c r="H253" s="165" t="str">
        <f t="shared" si="3"/>
        <v>(100, 120]</v>
      </c>
      <c r="I253" s="195">
        <v>1.9432020000000001</v>
      </c>
      <c r="J253" s="55">
        <v>4.9983881138512619E-2</v>
      </c>
      <c r="K253" s="55">
        <v>5.0934366940539849E-2</v>
      </c>
      <c r="L253" s="106">
        <v>50934366</v>
      </c>
      <c r="M253" s="55">
        <v>5.0934367120556073E-2</v>
      </c>
      <c r="N253" s="55">
        <v>5.6078305233599206</v>
      </c>
      <c r="O253" s="108"/>
      <c r="P253" s="55">
        <v>5.0934367120556073E-2</v>
      </c>
      <c r="Q253" s="204">
        <v>5.239324999547175E-2</v>
      </c>
      <c r="R253" s="55">
        <v>6.0240963855421686E-2</v>
      </c>
      <c r="S253" s="78">
        <v>1.03</v>
      </c>
      <c r="T253" s="95"/>
    </row>
    <row r="254" spans="1:20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08">
        <v>0.94</v>
      </c>
      <c r="H254" s="166" t="str">
        <f t="shared" si="3"/>
        <v>(120, 140]</v>
      </c>
      <c r="I254" s="195">
        <v>0.895397</v>
      </c>
      <c r="J254" s="55">
        <v>2.3784282017869644E-2</v>
      </c>
      <c r="K254" s="55">
        <v>2.4236560269467404E-2</v>
      </c>
      <c r="L254" s="106">
        <v>24236560</v>
      </c>
      <c r="M254" s="55">
        <v>2.4236560533204332E-2</v>
      </c>
      <c r="N254" s="55">
        <v>3.1524848420513343</v>
      </c>
      <c r="O254" s="108"/>
      <c r="P254" s="55">
        <v>2.4236560533204332E-2</v>
      </c>
      <c r="Q254" s="204">
        <v>2.4912952473346097E-2</v>
      </c>
      <c r="R254" s="55">
        <v>7.2289156626506021E-2</v>
      </c>
      <c r="S254" s="78">
        <v>1.03</v>
      </c>
      <c r="T254" s="95"/>
    </row>
    <row r="255" spans="1:20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08">
        <v>1.45</v>
      </c>
      <c r="H255" s="165" t="str">
        <f t="shared" si="3"/>
        <v>(140, 160]</v>
      </c>
      <c r="I255" s="195">
        <v>1.3811975000000001</v>
      </c>
      <c r="J255" s="55">
        <v>3.7011717817336059E-2</v>
      </c>
      <c r="K255" s="55">
        <v>3.771552695525654E-2</v>
      </c>
      <c r="L255" s="106">
        <v>37715526</v>
      </c>
      <c r="M255" s="55">
        <v>3.7715526829741587E-2</v>
      </c>
      <c r="N255" s="55">
        <v>5.658919413554317</v>
      </c>
      <c r="O255" s="108"/>
      <c r="P255" s="55">
        <v>3.7715526829741587E-2</v>
      </c>
      <c r="Q255" s="204">
        <v>3.8985507740724644E-2</v>
      </c>
      <c r="R255" s="55">
        <v>2.4096385542168676E-2</v>
      </c>
      <c r="S255" s="78">
        <v>1.03</v>
      </c>
      <c r="T255" s="95"/>
    </row>
    <row r="256" spans="1:20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08">
        <v>0.71</v>
      </c>
      <c r="H256" s="166" t="str">
        <f t="shared" si="3"/>
        <v>(160, 180]</v>
      </c>
      <c r="I256" s="195">
        <v>0.67631049999999993</v>
      </c>
      <c r="J256" s="55">
        <v>1.8224787016829527E-2</v>
      </c>
      <c r="K256" s="55">
        <v>1.8571346765890704E-2</v>
      </c>
      <c r="L256" s="106">
        <v>18571346</v>
      </c>
      <c r="M256" s="55">
        <v>1.8571346408569622E-2</v>
      </c>
      <c r="N256" s="55">
        <v>3.1575520392500223</v>
      </c>
      <c r="O256" s="108"/>
      <c r="P256" s="55">
        <v>1.8571346408569622E-2</v>
      </c>
      <c r="Q256" s="204">
        <v>1.9015299361290688E-2</v>
      </c>
      <c r="R256" s="55">
        <v>3.614457831325301E-2</v>
      </c>
      <c r="S256" s="78">
        <v>1.02</v>
      </c>
      <c r="T256" s="95"/>
    </row>
    <row r="257" spans="1:20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08">
        <v>0.62</v>
      </c>
      <c r="H257" s="166" t="str">
        <f t="shared" si="3"/>
        <v>(180, 200]</v>
      </c>
      <c r="I257" s="195">
        <v>0.59058100000000002</v>
      </c>
      <c r="J257" s="55">
        <v>1.5820262422132546E-2</v>
      </c>
      <c r="K257" s="55">
        <v>1.612109810103696E-2</v>
      </c>
      <c r="L257" s="106">
        <v>16121098</v>
      </c>
      <c r="M257" s="55">
        <v>1.6121098354664163E-2</v>
      </c>
      <c r="N257" s="55">
        <v>3.0632032354341727</v>
      </c>
      <c r="O257" s="108"/>
      <c r="P257" s="55">
        <v>1.6121098354664163E-2</v>
      </c>
      <c r="Q257" s="204">
        <v>1.6718380317649224E-2</v>
      </c>
      <c r="R257" s="55">
        <v>0</v>
      </c>
      <c r="S257" s="78">
        <v>1.04</v>
      </c>
      <c r="T257" s="95"/>
    </row>
    <row r="258" spans="1:20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08">
        <v>0.5</v>
      </c>
      <c r="H258" s="166" t="str">
        <f t="shared" si="3"/>
        <v>(200, 250]</v>
      </c>
      <c r="I258" s="195">
        <v>0.476275</v>
      </c>
      <c r="J258" s="55">
        <v>3.0884570118943081E-2</v>
      </c>
      <c r="K258" s="55">
        <v>3.1471866357873024E-2</v>
      </c>
      <c r="L258" s="106">
        <v>31471866</v>
      </c>
      <c r="M258" s="55">
        <v>3.147186669238107E-2</v>
      </c>
      <c r="N258" s="55">
        <v>7.0752202744623274</v>
      </c>
      <c r="O258" s="108"/>
      <c r="P258" s="55">
        <v>3.147186669238107E-2</v>
      </c>
      <c r="Q258" s="204">
        <v>3.2599244619385646E-2</v>
      </c>
      <c r="R258" s="55">
        <v>6.0240963855421686E-2</v>
      </c>
      <c r="S258" s="78">
        <v>1.04</v>
      </c>
      <c r="T258" s="95"/>
    </row>
    <row r="259" spans="1:20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08">
        <v>0.21</v>
      </c>
      <c r="H259" s="166" t="str">
        <f t="shared" si="3"/>
        <v>(250, 300]</v>
      </c>
      <c r="I259" s="195">
        <v>0.2000355</v>
      </c>
      <c r="J259" s="55">
        <v>1.2136433450764083E-2</v>
      </c>
      <c r="K259" s="55">
        <v>1.2367218004093046E-2</v>
      </c>
      <c r="L259" s="106">
        <v>12367218</v>
      </c>
      <c r="M259" s="55">
        <v>1.2367218272078801E-2</v>
      </c>
      <c r="N259" s="55">
        <v>3.3973666879734883</v>
      </c>
      <c r="O259" s="108"/>
      <c r="P259" s="55">
        <v>1.2367218272078801E-2</v>
      </c>
      <c r="Q259" s="204">
        <v>1.2487138237255627E-2</v>
      </c>
      <c r="R259" s="55">
        <v>2.4096385542168676E-2</v>
      </c>
      <c r="S259" s="78">
        <v>1.01</v>
      </c>
      <c r="T259" s="95"/>
    </row>
    <row r="260" spans="1:20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08">
        <v>0.19</v>
      </c>
      <c r="H260" s="166" t="str">
        <f t="shared" si="3"/>
        <v>(300, 350]</v>
      </c>
      <c r="I260" s="195">
        <v>0.18098449999999999</v>
      </c>
      <c r="J260" s="55">
        <v>1.010182606338356E-2</v>
      </c>
      <c r="K260" s="55">
        <v>1.0293920835319881E-2</v>
      </c>
      <c r="L260" s="106">
        <v>10293920</v>
      </c>
      <c r="M260" s="55">
        <v>1.0293920226466245E-2</v>
      </c>
      <c r="N260" s="55">
        <v>3.3415703674919368</v>
      </c>
      <c r="O260" s="108"/>
      <c r="P260" s="55">
        <v>1.0293920226466245E-2</v>
      </c>
      <c r="Q260" s="204">
        <v>1.0798395205169509E-2</v>
      </c>
      <c r="R260" s="55">
        <v>1.2048192771084338E-2</v>
      </c>
      <c r="S260" s="78">
        <v>1.05</v>
      </c>
      <c r="T260" s="95"/>
    </row>
    <row r="261" spans="1:20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08">
        <v>0.01</v>
      </c>
      <c r="H261" s="166" t="str">
        <f t="shared" si="3"/>
        <v>(350, 400]</v>
      </c>
      <c r="I261" s="195">
        <v>9.525500000000001E-3</v>
      </c>
      <c r="J261" s="55">
        <v>4.8362500745747518E-4</v>
      </c>
      <c r="K261" s="55">
        <v>4.9282154627405502E-4</v>
      </c>
      <c r="L261" s="106">
        <v>492821</v>
      </c>
      <c r="M261" s="55">
        <v>4.9282101084206222E-4</v>
      </c>
      <c r="N261" s="55">
        <v>0.18462553114291075</v>
      </c>
      <c r="O261" s="108"/>
      <c r="P261" s="55">
        <v>4.9282101084206222E-4</v>
      </c>
      <c r="Q261" s="204">
        <v>4.4834600851857416E-4</v>
      </c>
      <c r="R261" s="55">
        <v>0</v>
      </c>
      <c r="S261" s="78">
        <v>0.91</v>
      </c>
      <c r="T261" s="95"/>
    </row>
    <row r="262" spans="1:20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08">
        <v>0.01</v>
      </c>
      <c r="H262" s="166" t="str">
        <f t="shared" si="3"/>
        <v>(400, 450]</v>
      </c>
      <c r="I262" s="195">
        <v>9.525500000000001E-3</v>
      </c>
      <c r="J262" s="55">
        <v>4.3651260086866771E-4</v>
      </c>
      <c r="K262" s="55">
        <v>4.4481325740195897E-4</v>
      </c>
      <c r="L262" s="106">
        <v>444813</v>
      </c>
      <c r="M262" s="55">
        <v>4.448130097858862E-4</v>
      </c>
      <c r="N262" s="55">
        <v>0.18887427350906394</v>
      </c>
      <c r="O262" s="108"/>
      <c r="P262" s="55">
        <v>4.448130097858862E-4</v>
      </c>
      <c r="Q262" s="204">
        <v>4.0557800770598215E-4</v>
      </c>
      <c r="R262" s="55">
        <v>0</v>
      </c>
      <c r="S262" s="78">
        <v>0.91</v>
      </c>
      <c r="T262" s="95"/>
    </row>
    <row r="263" spans="1:20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08">
        <v>0.01</v>
      </c>
      <c r="H263" s="166" t="str">
        <f t="shared" si="3"/>
        <v>(450, 500]</v>
      </c>
      <c r="I263" s="195">
        <v>9.525500000000001E-3</v>
      </c>
      <c r="J263" s="55">
        <v>3.927108189494201E-4</v>
      </c>
      <c r="K263" s="55">
        <v>4.0017854752935042E-4</v>
      </c>
      <c r="L263" s="106">
        <v>400178</v>
      </c>
      <c r="M263" s="55">
        <v>4.001780088039162E-4</v>
      </c>
      <c r="N263" s="55">
        <v>0.1899175879676088</v>
      </c>
      <c r="O263" s="108"/>
      <c r="P263" s="55">
        <v>4.001780088039162E-4</v>
      </c>
      <c r="Q263" s="204">
        <v>3.6546100694375913E-4</v>
      </c>
      <c r="R263" s="55">
        <v>0</v>
      </c>
      <c r="S263" s="78">
        <v>0.91</v>
      </c>
      <c r="T263" s="95"/>
    </row>
    <row r="264" spans="1:20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08">
        <v>0.01</v>
      </c>
      <c r="H264" s="166" t="str">
        <f t="shared" si="3"/>
        <v>(500, 550]</v>
      </c>
      <c r="I264" s="195">
        <v>9.525500000000001E-3</v>
      </c>
      <c r="J264" s="55">
        <v>3.5349742164111762E-4</v>
      </c>
      <c r="K264" s="55">
        <v>3.6021947428428925E-4</v>
      </c>
      <c r="L264" s="106">
        <v>360219</v>
      </c>
      <c r="M264" s="55">
        <v>3.6021900792481819E-4</v>
      </c>
      <c r="N264" s="55">
        <v>0.18895551207510156</v>
      </c>
      <c r="O264" s="108"/>
      <c r="P264" s="55">
        <v>3.6021900792481819E-4</v>
      </c>
      <c r="Q264" s="204">
        <v>3.2868000624492014E-4</v>
      </c>
      <c r="R264" s="55">
        <v>0</v>
      </c>
      <c r="S264" s="78">
        <v>0.91</v>
      </c>
      <c r="T264" s="95"/>
    </row>
    <row r="265" spans="1:20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08">
        <v>0.01</v>
      </c>
      <c r="H265" s="166" t="str">
        <f t="shared" si="3"/>
        <v>(550, 600]</v>
      </c>
      <c r="I265" s="195">
        <v>9.525500000000001E-3</v>
      </c>
      <c r="J265" s="55">
        <v>3.1680175332446197E-4</v>
      </c>
      <c r="K265" s="55">
        <v>3.2282600677844647E-4</v>
      </c>
      <c r="L265" s="106">
        <v>322826</v>
      </c>
      <c r="M265" s="55">
        <v>3.2282600710217216E-4</v>
      </c>
      <c r="N265" s="55">
        <v>0.18549652313725684</v>
      </c>
      <c r="O265" s="108"/>
      <c r="P265" s="55">
        <v>3.2282600710217216E-4</v>
      </c>
      <c r="Q265" s="204">
        <v>2.9585600562126408E-4</v>
      </c>
      <c r="R265" s="55">
        <v>0</v>
      </c>
      <c r="S265" s="78">
        <v>0.92</v>
      </c>
      <c r="T265" s="95"/>
    </row>
    <row r="266" spans="1:20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08">
        <v>0.01</v>
      </c>
      <c r="H266" s="166" t="str">
        <f t="shared" si="3"/>
        <v>(600, 650]</v>
      </c>
      <c r="I266" s="195">
        <v>9.525500000000001E-3</v>
      </c>
      <c r="J266" s="55">
        <v>2.8344380503326615E-4</v>
      </c>
      <c r="K266" s="55">
        <v>2.8883372886911481E-4</v>
      </c>
      <c r="L266" s="106">
        <v>288833</v>
      </c>
      <c r="M266" s="55">
        <v>2.8883300635432614E-4</v>
      </c>
      <c r="N266" s="55">
        <v>0.18040191180275342</v>
      </c>
      <c r="O266" s="108"/>
      <c r="P266" s="55">
        <v>2.8883300635432614E-4</v>
      </c>
      <c r="Q266" s="204">
        <v>2.6510800503705211E-4</v>
      </c>
      <c r="R266" s="55">
        <v>0</v>
      </c>
      <c r="S266" s="78">
        <v>0.92</v>
      </c>
      <c r="T266" s="95"/>
    </row>
    <row r="267" spans="1:20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08">
        <v>0.01</v>
      </c>
      <c r="H267" s="166" t="str">
        <f t="shared" si="3"/>
        <v>(650, 700]</v>
      </c>
      <c r="I267" s="195">
        <v>9.525500000000001E-3</v>
      </c>
      <c r="J267" s="55">
        <v>2.5518192275829794E-4</v>
      </c>
      <c r="K267" s="55">
        <v>2.6003442298419354E-4</v>
      </c>
      <c r="L267" s="106">
        <v>260034</v>
      </c>
      <c r="M267" s="55">
        <v>2.6003400572074812E-4</v>
      </c>
      <c r="N267" s="55">
        <v>0.17541585804962112</v>
      </c>
      <c r="O267" s="108"/>
      <c r="P267" s="55">
        <v>2.6003400572074812E-4</v>
      </c>
      <c r="Q267" s="204">
        <v>2.3773600451698409E-4</v>
      </c>
      <c r="R267" s="55">
        <v>0</v>
      </c>
      <c r="S267" s="78">
        <v>0.91</v>
      </c>
      <c r="T267" s="95"/>
    </row>
    <row r="268" spans="1:20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08">
        <v>0.01</v>
      </c>
      <c r="H268" s="166" t="str">
        <f t="shared" si="3"/>
        <v>(700, 750]</v>
      </c>
      <c r="I268" s="195">
        <v>9.525500000000001E-3</v>
      </c>
      <c r="J268" s="55">
        <v>2.287218816506737E-4</v>
      </c>
      <c r="K268" s="55">
        <v>2.3307122180134105E-4</v>
      </c>
      <c r="L268" s="106">
        <v>233071</v>
      </c>
      <c r="M268" s="55">
        <v>2.3307100512756212E-4</v>
      </c>
      <c r="N268" s="55">
        <v>0.16888380972013906</v>
      </c>
      <c r="O268" s="108"/>
      <c r="P268" s="55">
        <v>2.3307100512756212E-4</v>
      </c>
      <c r="Q268" s="204">
        <v>2.1375100406126907E-4</v>
      </c>
      <c r="R268" s="55">
        <v>0</v>
      </c>
      <c r="S268" s="78">
        <v>0.92</v>
      </c>
      <c r="T268" s="95"/>
    </row>
    <row r="269" spans="1:20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08">
        <v>0.01</v>
      </c>
      <c r="H269" s="166" t="str">
        <f t="shared" si="3"/>
        <v>(750, 800]</v>
      </c>
      <c r="I269" s="195">
        <v>9.525500000000001E-3</v>
      </c>
      <c r="J269" s="55">
        <v>2.0578566288140075E-4</v>
      </c>
      <c r="K269" s="55">
        <v>2.0969885142087225E-4</v>
      </c>
      <c r="L269" s="106">
        <v>209698</v>
      </c>
      <c r="M269" s="55">
        <v>2.0969800461335611E-4</v>
      </c>
      <c r="N269" s="55">
        <v>0.16242805185273074</v>
      </c>
      <c r="O269" s="108"/>
      <c r="P269" s="55">
        <v>2.0969800461335611E-4</v>
      </c>
      <c r="Q269" s="204">
        <v>1.9275200366228806E-4</v>
      </c>
      <c r="R269" s="55">
        <v>0</v>
      </c>
      <c r="S269" s="78">
        <v>0.92</v>
      </c>
      <c r="T269" s="95"/>
    </row>
    <row r="270" spans="1:20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08">
        <v>0.01</v>
      </c>
      <c r="H270" s="166" t="str">
        <f t="shared" si="3"/>
        <v>(800, 850]</v>
      </c>
      <c r="I270" s="195">
        <v>9.525500000000001E-3</v>
      </c>
      <c r="J270" s="55">
        <v>1.8499069026390219E-4</v>
      </c>
      <c r="K270" s="55">
        <v>1.8850844479992556E-4</v>
      </c>
      <c r="L270" s="106">
        <v>188508</v>
      </c>
      <c r="M270" s="55">
        <v>1.8850800414717608E-4</v>
      </c>
      <c r="N270" s="55">
        <v>0.15544151906035464</v>
      </c>
      <c r="O270" s="108"/>
      <c r="P270" s="55">
        <v>1.8850800414717608E-4</v>
      </c>
      <c r="Q270" s="204">
        <v>1.7283700328390306E-4</v>
      </c>
      <c r="R270" s="55">
        <v>0</v>
      </c>
      <c r="S270" s="78">
        <v>0.92</v>
      </c>
      <c r="T270" s="95"/>
    </row>
    <row r="271" spans="1:20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08">
        <v>0.01</v>
      </c>
      <c r="H271" s="166" t="str">
        <f t="shared" si="3"/>
        <v>(850, 900]</v>
      </c>
      <c r="I271" s="195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08"/>
      <c r="P271" s="55">
        <v>1.7014000374308009E-4</v>
      </c>
      <c r="Q271" s="204">
        <v>1.5622000296818006E-4</v>
      </c>
      <c r="R271" s="55">
        <v>0</v>
      </c>
      <c r="S271" s="78">
        <v>0.92</v>
      </c>
      <c r="T271" s="95"/>
    </row>
    <row r="272" spans="1:20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08">
        <v>0.01</v>
      </c>
      <c r="H272" s="166" t="str">
        <f t="shared" si="3"/>
        <v>(900, 950]</v>
      </c>
      <c r="I272" s="195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08"/>
      <c r="P272" s="55">
        <v>1.5406300338938607E-4</v>
      </c>
      <c r="Q272" s="204">
        <v>1.4089900267708104E-4</v>
      </c>
      <c r="R272" s="55">
        <v>0</v>
      </c>
      <c r="S272" s="78">
        <v>0.91</v>
      </c>
      <c r="T272" s="95"/>
    </row>
    <row r="273" spans="1:20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08">
        <v>0.01</v>
      </c>
      <c r="H273" s="166" t="str">
        <f t="shared" si="3"/>
        <v>(950, 1000]</v>
      </c>
      <c r="I273" s="195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08"/>
      <c r="P273" s="55">
        <v>1.3831300304288605E-4</v>
      </c>
      <c r="Q273" s="204">
        <v>1.2754400242333605E-4</v>
      </c>
      <c r="R273" s="55">
        <v>0</v>
      </c>
      <c r="S273" s="78">
        <v>0.92</v>
      </c>
      <c r="T273" s="95"/>
    </row>
    <row r="274" spans="1:20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08">
        <v>0.01</v>
      </c>
      <c r="H274" s="166" t="str">
        <f t="shared" si="3"/>
        <v>(1000, 2000]</v>
      </c>
      <c r="I274" s="195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08"/>
      <c r="P274" s="55">
        <v>1.2175850267868707E-3</v>
      </c>
      <c r="Q274" s="204">
        <v>6.5612401246635619E-4</v>
      </c>
      <c r="R274" s="55">
        <v>0</v>
      </c>
      <c r="S274" s="78">
        <v>0.54</v>
      </c>
      <c r="T274" s="95"/>
    </row>
    <row r="275" spans="1:20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08">
        <v>0</v>
      </c>
      <c r="H275" s="166" t="str">
        <f t="shared" si="3"/>
        <v>(2000, 3000]</v>
      </c>
      <c r="I275" s="195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08"/>
      <c r="P275" s="55">
        <v>0</v>
      </c>
      <c r="Q275" s="204">
        <v>6.2153001180907029E-5</v>
      </c>
      <c r="R275" s="55">
        <v>0</v>
      </c>
      <c r="S275" s="78">
        <v>0</v>
      </c>
    </row>
    <row r="276" spans="1:20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08">
        <v>0</v>
      </c>
      <c r="H276" s="166" t="str">
        <f t="shared" si="3"/>
        <v>(3000, 4000]</v>
      </c>
      <c r="I276" s="195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08"/>
      <c r="P276" s="55">
        <v>0</v>
      </c>
      <c r="Q276" s="204">
        <v>2.3461000445759008E-5</v>
      </c>
      <c r="R276" s="55">
        <v>0</v>
      </c>
      <c r="S276" s="78">
        <v>0</v>
      </c>
    </row>
    <row r="277" spans="1:20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08">
        <v>0.01</v>
      </c>
      <c r="H277" s="166" t="str">
        <f t="shared" si="3"/>
        <v>(4000, 5000]</v>
      </c>
      <c r="I277" s="195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08"/>
      <c r="P277" s="55">
        <v>5.490200120784403E-5</v>
      </c>
      <c r="Q277" s="204">
        <v>2.9770000565630009E-5</v>
      </c>
      <c r="R277" s="55">
        <v>0</v>
      </c>
      <c r="S277" s="78">
        <v>0.54</v>
      </c>
    </row>
    <row r="278" spans="1:20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08">
        <v>0.01</v>
      </c>
      <c r="H278" s="166" t="str">
        <f t="shared" si="3"/>
        <v>(5000, 6000]</v>
      </c>
      <c r="I278" s="195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08"/>
      <c r="P278" s="55">
        <v>3.469700076333402E-5</v>
      </c>
      <c r="Q278" s="204">
        <v>3.7515000712785011E-5</v>
      </c>
      <c r="R278" s="55">
        <v>0</v>
      </c>
      <c r="S278" s="78">
        <v>1.08</v>
      </c>
    </row>
    <row r="279" spans="1:20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08">
        <v>0.01</v>
      </c>
      <c r="H279" s="166" t="str">
        <f t="shared" si="3"/>
        <v>(6000, 7000]</v>
      </c>
      <c r="I279" s="195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08"/>
      <c r="P279" s="55">
        <v>2.5346000557612012E-5</v>
      </c>
      <c r="Q279" s="204">
        <v>2.7313000518947011E-5</v>
      </c>
      <c r="R279" s="55">
        <v>0</v>
      </c>
      <c r="S279" s="78">
        <v>1.08</v>
      </c>
    </row>
    <row r="280" spans="1:20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08">
        <v>0.01</v>
      </c>
      <c r="H280" s="166" t="str">
        <f t="shared" si="3"/>
        <v>(7000, 8000]</v>
      </c>
      <c r="I280" s="195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08"/>
      <c r="P280" s="55">
        <v>2.0830000458260009E-5</v>
      </c>
      <c r="Q280" s="204">
        <v>2.2439000426341006E-5</v>
      </c>
      <c r="R280" s="55">
        <v>0</v>
      </c>
      <c r="S280" s="78">
        <v>1.08</v>
      </c>
    </row>
    <row r="281" spans="1:20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08">
        <v>0.01</v>
      </c>
      <c r="H281" s="166" t="str">
        <f t="shared" si="3"/>
        <v>(8000, 9000]</v>
      </c>
      <c r="I281" s="195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08"/>
      <c r="P281" s="55">
        <v>1.8721000411862008E-5</v>
      </c>
      <c r="Q281" s="204">
        <v>1.9756000375364008E-5</v>
      </c>
      <c r="R281" s="55">
        <v>0</v>
      </c>
      <c r="S281" s="78">
        <v>1.06</v>
      </c>
    </row>
    <row r="282" spans="1:20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08">
        <v>0.01</v>
      </c>
      <c r="H282" s="166" t="str">
        <f t="shared" si="3"/>
        <v>(9000, 10000]</v>
      </c>
      <c r="I282" s="195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08"/>
      <c r="P282" s="55">
        <v>1.7182000378004007E-5</v>
      </c>
      <c r="Q282" s="204">
        <v>1.8305000347795006E-5</v>
      </c>
      <c r="R282" s="55">
        <v>0</v>
      </c>
      <c r="S282" s="78">
        <v>1.07</v>
      </c>
    </row>
    <row r="283" spans="1:20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08">
        <v>0.01</v>
      </c>
      <c r="H283" s="166" t="str">
        <f t="shared" si="3"/>
        <v>(10000, 20000]</v>
      </c>
      <c r="I283" s="195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08"/>
      <c r="P283" s="55">
        <v>1.2819800282035606E-4</v>
      </c>
      <c r="Q283" s="204">
        <v>9.551500181478504E-5</v>
      </c>
      <c r="R283" s="55">
        <v>0</v>
      </c>
      <c r="S283" s="78">
        <v>0.75</v>
      </c>
    </row>
    <row r="284" spans="1:20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08">
        <v>0</v>
      </c>
      <c r="H284" s="166" t="str">
        <f t="shared" si="3"/>
        <v>(20000, 30000]</v>
      </c>
      <c r="I284" s="195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08"/>
      <c r="P284" s="55">
        <v>0</v>
      </c>
      <c r="Q284" s="204">
        <v>0</v>
      </c>
      <c r="R284" s="55">
        <v>0</v>
      </c>
      <c r="S284" s="78">
        <v>0</v>
      </c>
    </row>
    <row r="285" spans="1:20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08">
        <v>0</v>
      </c>
      <c r="H285" s="166" t="str">
        <f t="shared" si="3"/>
        <v>(30000, 40000]</v>
      </c>
      <c r="I285" s="195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08"/>
      <c r="P285" s="55">
        <v>0</v>
      </c>
      <c r="Q285" s="204">
        <v>0</v>
      </c>
      <c r="R285" s="55">
        <v>0</v>
      </c>
      <c r="S285" s="78">
        <v>0</v>
      </c>
    </row>
    <row r="286" spans="1:20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08">
        <v>0</v>
      </c>
      <c r="H286" s="166" t="str">
        <f t="shared" si="3"/>
        <v>(40000, 50000]</v>
      </c>
      <c r="I286" s="195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08"/>
      <c r="P286" s="55">
        <v>0</v>
      </c>
      <c r="Q286" s="204">
        <v>0</v>
      </c>
      <c r="R286" s="55">
        <v>0</v>
      </c>
      <c r="S286" s="78">
        <v>0</v>
      </c>
    </row>
    <row r="287" spans="1:20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08">
        <v>0</v>
      </c>
      <c r="H287" s="166" t="str">
        <f t="shared" si="3"/>
        <v>(50000, 60000]</v>
      </c>
      <c r="I287" s="195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08"/>
      <c r="P287" s="55">
        <v>0</v>
      </c>
      <c r="Q287" s="204">
        <v>0</v>
      </c>
      <c r="R287" s="55">
        <v>0</v>
      </c>
      <c r="S287" s="78">
        <v>0</v>
      </c>
    </row>
    <row r="288" spans="1:20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08">
        <v>0</v>
      </c>
      <c r="H288" s="166" t="str">
        <f t="shared" si="3"/>
        <v>(60000, 70000]</v>
      </c>
      <c r="I288" s="195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08"/>
      <c r="P288" s="55">
        <v>0</v>
      </c>
      <c r="Q288" s="204">
        <v>0</v>
      </c>
      <c r="R288" s="55">
        <v>0</v>
      </c>
      <c r="S288" s="78">
        <v>0</v>
      </c>
    </row>
    <row r="289" spans="1:19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08">
        <v>0</v>
      </c>
      <c r="H289" s="166" t="str">
        <f t="shared" si="3"/>
        <v>(70000, 80000]</v>
      </c>
      <c r="I289" s="195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08"/>
      <c r="P289" s="55">
        <v>0</v>
      </c>
      <c r="Q289" s="204">
        <v>0</v>
      </c>
      <c r="R289" s="55">
        <v>0</v>
      </c>
      <c r="S289" s="78">
        <v>0</v>
      </c>
    </row>
    <row r="290" spans="1:19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08">
        <v>0</v>
      </c>
      <c r="H290" s="166" t="str">
        <f t="shared" si="3"/>
        <v>(80000, 90000]</v>
      </c>
      <c r="I290" s="195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08"/>
      <c r="P290" s="55">
        <v>0</v>
      </c>
      <c r="Q290" s="204">
        <v>0</v>
      </c>
      <c r="R290" s="55">
        <v>0</v>
      </c>
      <c r="S290" s="78">
        <v>0</v>
      </c>
    </row>
    <row r="291" spans="1:19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08">
        <v>0</v>
      </c>
      <c r="H291" s="166" t="str">
        <f t="shared" si="3"/>
        <v>(90000, 100000]</v>
      </c>
      <c r="I291" s="195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08"/>
      <c r="P291" s="55">
        <v>0</v>
      </c>
      <c r="Q291" s="204">
        <v>0</v>
      </c>
      <c r="R291" s="55">
        <v>0</v>
      </c>
      <c r="S291" s="78">
        <v>0</v>
      </c>
    </row>
    <row r="292" spans="1:19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08">
        <v>0</v>
      </c>
      <c r="H292" s="166" t="str">
        <f t="shared" si="3"/>
        <v>(100000, 9999999]</v>
      </c>
      <c r="I292" s="195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08"/>
      <c r="P292" s="55">
        <v>0</v>
      </c>
      <c r="Q292" s="204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56" priority="98" operator="lessThan">
      <formula>0.001</formula>
    </cfRule>
  </conditionalFormatting>
  <conditionalFormatting sqref="E159:E222">
    <cfRule type="cellIs" dxfId="155" priority="96" operator="lessThan">
      <formula>0.001</formula>
    </cfRule>
  </conditionalFormatting>
  <conditionalFormatting sqref="M229:M292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4" priority="70" operator="lessThan">
      <formula>0.001</formula>
    </cfRule>
  </conditionalFormatting>
  <conditionalFormatting sqref="N16:N8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3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61:Q22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{43D99632-F611-422E-8923-6D6A4D4ABEC5}</x14:id>
        </ext>
      </extLst>
    </cfRule>
  </conditionalFormatting>
  <conditionalFormatting sqref="Q20:Q7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{3B95A2CB-69FC-44B3-A946-B34D65454811}</x14:id>
        </ext>
      </extLst>
    </cfRule>
  </conditionalFormatting>
  <conditionalFormatting sqref="Q231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{4CD38BFE-4BB2-4D0B-A06A-927A65A66369}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{EB389220-4EC7-4C31-ADFE-3DDB358423DF}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43D99632-F611-422E-8923-6D6A4D4AB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3B95A2CB-69FC-44B3-A946-B34D65454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4CD38BFE-4BB2-4D0B-A06A-927A65A66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EB389220-4EC7-4C31-ADFE-3DDB35842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E1" workbookViewId="0">
      <selection activeCell="B5" sqref="B5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92" t="s">
        <v>56</v>
      </c>
      <c r="C2" s="110">
        <v>10000000000</v>
      </c>
    </row>
    <row r="4" spans="1:8">
      <c r="B4" s="180" t="s">
        <v>268</v>
      </c>
      <c r="C4" s="180" t="s">
        <v>46</v>
      </c>
      <c r="D4" s="119" t="s">
        <v>271</v>
      </c>
      <c r="E4" s="180" t="s">
        <v>272</v>
      </c>
      <c r="F4" s="182" t="s">
        <v>273</v>
      </c>
      <c r="G4" s="180" t="s">
        <v>274</v>
      </c>
    </row>
    <row r="5" spans="1:8">
      <c r="A5" s="15"/>
      <c r="B5" s="224" t="s">
        <v>269</v>
      </c>
      <c r="C5" s="224" t="s">
        <v>47</v>
      </c>
      <c r="D5" s="211" t="s">
        <v>91</v>
      </c>
      <c r="E5" s="226">
        <v>100000000</v>
      </c>
      <c r="F5" s="183"/>
      <c r="G5" s="230">
        <f>SUM(F5:F6)/E5*$C$2</f>
        <v>0</v>
      </c>
      <c r="H5" s="47"/>
    </row>
    <row r="6" spans="1:8">
      <c r="B6" s="225"/>
      <c r="C6" s="225"/>
      <c r="D6" s="197" t="s">
        <v>92</v>
      </c>
      <c r="E6" s="227"/>
      <c r="F6" s="231"/>
      <c r="G6" s="232"/>
      <c r="H6" s="47"/>
    </row>
    <row r="7" spans="1:8">
      <c r="B7" s="224" t="s">
        <v>269</v>
      </c>
      <c r="C7" s="224" t="s">
        <v>262</v>
      </c>
      <c r="D7" s="211" t="s">
        <v>91</v>
      </c>
      <c r="E7" s="226">
        <v>100000000</v>
      </c>
      <c r="F7" s="183"/>
      <c r="G7" s="230">
        <f>SUM(F7:F8)/E7*$C$2</f>
        <v>0</v>
      </c>
      <c r="H7" s="47"/>
    </row>
    <row r="8" spans="1:8">
      <c r="B8" s="225"/>
      <c r="C8" s="225"/>
      <c r="D8" s="197" t="s">
        <v>92</v>
      </c>
      <c r="E8" s="227"/>
      <c r="F8" s="231"/>
      <c r="G8" s="232"/>
      <c r="H8" s="47"/>
    </row>
    <row r="9" spans="1:8">
      <c r="A9" s="15"/>
      <c r="B9" s="224" t="s">
        <v>270</v>
      </c>
      <c r="C9" s="224" t="s">
        <v>47</v>
      </c>
      <c r="D9" s="211" t="s">
        <v>91</v>
      </c>
      <c r="E9" s="226">
        <v>100000000</v>
      </c>
      <c r="F9" s="231">
        <v>32841031</v>
      </c>
      <c r="G9" s="230">
        <f>SUM(F9:F10)/E9*$C$2</f>
        <v>3409747100</v>
      </c>
      <c r="H9" s="47" t="s">
        <v>324</v>
      </c>
    </row>
    <row r="10" spans="1:8">
      <c r="B10" s="225"/>
      <c r="C10" s="225"/>
      <c r="D10" s="197" t="s">
        <v>92</v>
      </c>
      <c r="E10" s="227"/>
      <c r="F10" s="231">
        <v>1256440</v>
      </c>
      <c r="G10" s="232"/>
      <c r="H10" s="47"/>
    </row>
    <row r="11" spans="1:8">
      <c r="B11" s="224" t="s">
        <v>270</v>
      </c>
      <c r="C11" s="224" t="s">
        <v>262</v>
      </c>
      <c r="D11" s="211" t="s">
        <v>91</v>
      </c>
      <c r="E11" s="226">
        <v>100000000</v>
      </c>
      <c r="F11" s="231">
        <v>34003101</v>
      </c>
      <c r="G11" s="230">
        <f>SUM(F11:F12)/E11*$C$2</f>
        <v>4028009900.0000005</v>
      </c>
      <c r="H11" s="47" t="s">
        <v>325</v>
      </c>
    </row>
    <row r="12" spans="1:8">
      <c r="B12" s="225"/>
      <c r="C12" s="225"/>
      <c r="D12" s="197" t="s">
        <v>92</v>
      </c>
      <c r="E12" s="227"/>
      <c r="F12" s="231">
        <v>6276998</v>
      </c>
      <c r="G12" s="232"/>
      <c r="H12" s="47"/>
    </row>
    <row r="13" spans="1:8">
      <c r="A13" s="15"/>
      <c r="B13" s="224" t="s">
        <v>270</v>
      </c>
      <c r="C13" s="224" t="s">
        <v>49</v>
      </c>
      <c r="D13" s="211" t="s">
        <v>91</v>
      </c>
      <c r="E13" s="228">
        <f>F13</f>
        <v>10000000</v>
      </c>
      <c r="F13" s="231">
        <v>10000000</v>
      </c>
      <c r="G13" s="230">
        <f>SUM(F13:F14)/E13*$C$2</f>
        <v>41001664000</v>
      </c>
      <c r="H13" s="47" t="s">
        <v>326</v>
      </c>
    </row>
    <row r="14" spans="1:8">
      <c r="B14" s="225"/>
      <c r="C14" s="225"/>
      <c r="D14" s="197" t="s">
        <v>92</v>
      </c>
      <c r="E14" s="229"/>
      <c r="F14" s="231">
        <v>31001664</v>
      </c>
      <c r="G14" s="232"/>
      <c r="H14" s="47"/>
    </row>
    <row r="15" spans="1:8">
      <c r="B15" s="181"/>
      <c r="C15" s="181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299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7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0</v>
      </c>
      <c r="D5" s="199">
        <v>6</v>
      </c>
      <c r="E5" s="199">
        <v>0</v>
      </c>
      <c r="F5" s="199">
        <v>9</v>
      </c>
      <c r="G5" s="199">
        <v>0</v>
      </c>
      <c r="H5" s="197">
        <v>1</v>
      </c>
      <c r="I5" s="82"/>
      <c r="J5" s="191">
        <v>1</v>
      </c>
      <c r="K5" s="192" t="s">
        <v>95</v>
      </c>
      <c r="L5" s="192" t="s">
        <v>94</v>
      </c>
      <c r="M5" s="192" t="s">
        <v>13</v>
      </c>
      <c r="N5" s="192" t="s">
        <v>30</v>
      </c>
      <c r="O5" s="192" t="s">
        <v>12</v>
      </c>
      <c r="Q5" s="191">
        <v>6</v>
      </c>
      <c r="R5" s="191">
        <v>17</v>
      </c>
      <c r="S5" s="191">
        <v>5</v>
      </c>
      <c r="T5" s="191">
        <v>10</v>
      </c>
      <c r="U5" s="191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22</v>
      </c>
      <c r="E6" s="198">
        <v>5</v>
      </c>
      <c r="F6" s="198">
        <v>21</v>
      </c>
      <c r="G6" s="198">
        <v>23</v>
      </c>
      <c r="H6" s="132">
        <v>2</v>
      </c>
      <c r="I6" s="82"/>
      <c r="J6" s="23">
        <v>2</v>
      </c>
      <c r="K6" s="192" t="s">
        <v>30</v>
      </c>
      <c r="L6" s="192" t="s">
        <v>14</v>
      </c>
      <c r="M6" s="192" t="s">
        <v>29</v>
      </c>
      <c r="N6" s="192" t="s">
        <v>87</v>
      </c>
      <c r="O6" s="192" t="s">
        <v>15</v>
      </c>
      <c r="Q6" s="191">
        <v>10</v>
      </c>
      <c r="R6" s="191">
        <v>1</v>
      </c>
      <c r="S6" s="191">
        <v>8</v>
      </c>
      <c r="T6" s="191">
        <v>19</v>
      </c>
      <c r="U6" s="191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10</v>
      </c>
      <c r="E7" s="198">
        <v>5</v>
      </c>
      <c r="F7" s="198">
        <v>21</v>
      </c>
      <c r="G7" s="198">
        <v>23</v>
      </c>
      <c r="H7" s="132">
        <v>3</v>
      </c>
      <c r="I7" s="82"/>
      <c r="J7" s="191">
        <v>3</v>
      </c>
      <c r="K7" s="192" t="s">
        <v>31</v>
      </c>
      <c r="L7" s="24" t="s">
        <v>30</v>
      </c>
      <c r="M7" s="192" t="s">
        <v>13</v>
      </c>
      <c r="N7" s="192" t="s">
        <v>15</v>
      </c>
      <c r="O7" s="192" t="s">
        <v>13</v>
      </c>
      <c r="Q7" s="191">
        <v>7</v>
      </c>
      <c r="R7" s="191">
        <v>10</v>
      </c>
      <c r="S7" s="191">
        <v>5</v>
      </c>
      <c r="T7" s="191">
        <v>2</v>
      </c>
      <c r="U7" s="191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97" t="s">
        <v>14</v>
      </c>
      <c r="AD7" s="197">
        <v>0</v>
      </c>
      <c r="AE7" s="197">
        <v>6</v>
      </c>
      <c r="AF7" s="197">
        <v>0</v>
      </c>
      <c r="AG7" s="197">
        <v>9</v>
      </c>
      <c r="AH7" s="197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9</v>
      </c>
      <c r="E8" s="198">
        <v>5</v>
      </c>
      <c r="F8" s="198">
        <v>21</v>
      </c>
      <c r="G8" s="198">
        <v>22</v>
      </c>
      <c r="H8" s="132">
        <v>4</v>
      </c>
      <c r="I8" s="82"/>
      <c r="J8" s="23">
        <v>4</v>
      </c>
      <c r="K8" s="192" t="s">
        <v>95</v>
      </c>
      <c r="L8" s="192" t="s">
        <v>78</v>
      </c>
      <c r="M8" s="192" t="s">
        <v>12</v>
      </c>
      <c r="N8" s="192" t="s">
        <v>79</v>
      </c>
      <c r="O8" s="192" t="s">
        <v>31</v>
      </c>
      <c r="Q8" s="191">
        <v>6</v>
      </c>
      <c r="R8" s="191">
        <v>11</v>
      </c>
      <c r="S8" s="191">
        <v>4</v>
      </c>
      <c r="T8" s="191">
        <v>12</v>
      </c>
      <c r="U8" s="191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2" t="s">
        <v>15</v>
      </c>
      <c r="AD8" s="198">
        <v>4</v>
      </c>
      <c r="AE8" s="198">
        <v>22</v>
      </c>
      <c r="AF8" s="198">
        <v>5</v>
      </c>
      <c r="AG8" s="198">
        <v>21</v>
      </c>
      <c r="AH8" s="198">
        <v>23</v>
      </c>
      <c r="AI8" s="5"/>
      <c r="AJ8" s="132" t="s">
        <v>15</v>
      </c>
      <c r="AK8" s="198">
        <v>4</v>
      </c>
      <c r="AL8" s="198">
        <v>22</v>
      </c>
      <c r="AM8" s="198">
        <v>5</v>
      </c>
      <c r="AN8" s="198">
        <v>21</v>
      </c>
      <c r="AO8" s="198">
        <v>23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13</v>
      </c>
      <c r="E9" s="198">
        <v>41</v>
      </c>
      <c r="F9" s="198">
        <v>14</v>
      </c>
      <c r="G9" s="198">
        <v>22</v>
      </c>
      <c r="H9" s="132">
        <v>5</v>
      </c>
      <c r="I9" s="82"/>
      <c r="J9" s="191">
        <v>5</v>
      </c>
      <c r="K9" s="192" t="s">
        <v>29</v>
      </c>
      <c r="L9" s="192" t="s">
        <v>29</v>
      </c>
      <c r="M9" s="192" t="s">
        <v>13</v>
      </c>
      <c r="N9" s="192" t="s">
        <v>15</v>
      </c>
      <c r="O9" s="192" t="s">
        <v>29</v>
      </c>
      <c r="Q9" s="191">
        <v>8</v>
      </c>
      <c r="R9" s="191">
        <v>8</v>
      </c>
      <c r="S9" s="191">
        <v>5</v>
      </c>
      <c r="T9" s="191">
        <v>2</v>
      </c>
      <c r="U9" s="191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2" t="s">
        <v>16</v>
      </c>
      <c r="AD9" s="198">
        <v>4</v>
      </c>
      <c r="AE9" s="198">
        <v>10</v>
      </c>
      <c r="AF9" s="198">
        <v>5</v>
      </c>
      <c r="AG9" s="198">
        <v>21</v>
      </c>
      <c r="AH9" s="198">
        <v>23</v>
      </c>
      <c r="AI9" s="5"/>
      <c r="AJ9" s="132" t="s">
        <v>16</v>
      </c>
      <c r="AK9" s="198">
        <v>4</v>
      </c>
      <c r="AL9" s="198">
        <v>10</v>
      </c>
      <c r="AM9" s="198">
        <v>5</v>
      </c>
      <c r="AN9" s="198">
        <v>21</v>
      </c>
      <c r="AO9" s="198">
        <v>23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14</v>
      </c>
      <c r="E10" s="198">
        <v>41</v>
      </c>
      <c r="F10" s="198">
        <v>14</v>
      </c>
      <c r="G10" s="198">
        <v>22</v>
      </c>
      <c r="H10" s="132">
        <v>6</v>
      </c>
      <c r="I10" s="82"/>
      <c r="J10" s="23">
        <v>6</v>
      </c>
      <c r="K10" s="192" t="s">
        <v>95</v>
      </c>
      <c r="L10" s="192" t="s">
        <v>78</v>
      </c>
      <c r="M10" s="192" t="s">
        <v>31</v>
      </c>
      <c r="N10" s="192" t="s">
        <v>13</v>
      </c>
      <c r="O10" s="192" t="s">
        <v>31</v>
      </c>
      <c r="Q10" s="191">
        <v>6</v>
      </c>
      <c r="R10" s="191">
        <v>11</v>
      </c>
      <c r="S10" s="191">
        <v>7</v>
      </c>
      <c r="T10" s="191">
        <v>5</v>
      </c>
      <c r="U10" s="191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2" t="s">
        <v>12</v>
      </c>
      <c r="AD10" s="198">
        <v>4</v>
      </c>
      <c r="AE10" s="198">
        <v>9</v>
      </c>
      <c r="AF10" s="198">
        <v>5</v>
      </c>
      <c r="AG10" s="198">
        <v>21</v>
      </c>
      <c r="AH10" s="198">
        <v>22</v>
      </c>
      <c r="AI10" s="5"/>
      <c r="AJ10" s="132" t="s">
        <v>12</v>
      </c>
      <c r="AK10" s="198">
        <v>4</v>
      </c>
      <c r="AL10" s="198">
        <v>9</v>
      </c>
      <c r="AM10" s="198">
        <v>5</v>
      </c>
      <c r="AN10" s="198">
        <v>21</v>
      </c>
      <c r="AO10" s="198">
        <v>22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14</v>
      </c>
      <c r="E11" s="198">
        <v>41</v>
      </c>
      <c r="F11" s="198">
        <v>14</v>
      </c>
      <c r="G11" s="198">
        <v>22</v>
      </c>
      <c r="H11" s="132">
        <v>7</v>
      </c>
      <c r="I11" s="82"/>
      <c r="J11" s="191">
        <v>7</v>
      </c>
      <c r="K11" s="192" t="s">
        <v>29</v>
      </c>
      <c r="L11" s="192" t="s">
        <v>78</v>
      </c>
      <c r="M11" s="192" t="s">
        <v>13</v>
      </c>
      <c r="N11" s="192" t="s">
        <v>14</v>
      </c>
      <c r="O11" s="192" t="s">
        <v>31</v>
      </c>
      <c r="Q11" s="191">
        <v>8</v>
      </c>
      <c r="R11" s="191">
        <v>11</v>
      </c>
      <c r="S11" s="191">
        <v>5</v>
      </c>
      <c r="T11" s="191">
        <v>1</v>
      </c>
      <c r="U11" s="191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2" t="s">
        <v>13</v>
      </c>
      <c r="AD11" s="198">
        <v>43</v>
      </c>
      <c r="AE11" s="198">
        <v>13</v>
      </c>
      <c r="AF11" s="198">
        <v>41</v>
      </c>
      <c r="AG11" s="198">
        <v>14</v>
      </c>
      <c r="AH11" s="198">
        <v>22</v>
      </c>
      <c r="AI11" s="5"/>
      <c r="AJ11" s="132" t="s">
        <v>13</v>
      </c>
      <c r="AK11" s="198">
        <v>43</v>
      </c>
      <c r="AL11" s="198">
        <v>13</v>
      </c>
      <c r="AM11" s="198">
        <v>41</v>
      </c>
      <c r="AN11" s="198">
        <v>14</v>
      </c>
      <c r="AO11" s="198">
        <v>22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18</v>
      </c>
      <c r="E12" s="198">
        <v>41</v>
      </c>
      <c r="F12" s="198">
        <v>14</v>
      </c>
      <c r="G12" s="198">
        <v>22</v>
      </c>
      <c r="H12" s="132">
        <v>8</v>
      </c>
      <c r="I12" s="82"/>
      <c r="J12" s="23">
        <v>8</v>
      </c>
      <c r="K12" s="192" t="s">
        <v>95</v>
      </c>
      <c r="L12" s="192" t="s">
        <v>30</v>
      </c>
      <c r="M12" s="192" t="s">
        <v>95</v>
      </c>
      <c r="N12" s="192" t="s">
        <v>28</v>
      </c>
      <c r="O12" s="192" t="s">
        <v>12</v>
      </c>
      <c r="Q12" s="191">
        <v>6</v>
      </c>
      <c r="R12" s="191">
        <v>10</v>
      </c>
      <c r="S12" s="191">
        <v>6</v>
      </c>
      <c r="T12" s="191">
        <v>9</v>
      </c>
      <c r="U12" s="191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2" t="s">
        <v>95</v>
      </c>
      <c r="AD12" s="198">
        <v>43</v>
      </c>
      <c r="AE12" s="198">
        <v>14</v>
      </c>
      <c r="AF12" s="198">
        <v>41</v>
      </c>
      <c r="AG12" s="198">
        <v>14</v>
      </c>
      <c r="AH12" s="198">
        <v>22</v>
      </c>
      <c r="AI12" s="5"/>
      <c r="AJ12" s="132" t="s">
        <v>95</v>
      </c>
      <c r="AK12" s="198">
        <v>43</v>
      </c>
      <c r="AL12" s="198">
        <v>14</v>
      </c>
      <c r="AM12" s="198">
        <v>41</v>
      </c>
      <c r="AN12" s="198">
        <v>14</v>
      </c>
      <c r="AO12" s="198">
        <v>22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5</v>
      </c>
      <c r="E13" s="198">
        <v>5</v>
      </c>
      <c r="F13" s="198">
        <v>20</v>
      </c>
      <c r="G13" s="198">
        <v>22</v>
      </c>
      <c r="H13" s="132">
        <v>9</v>
      </c>
      <c r="I13" s="82"/>
      <c r="J13" s="191">
        <v>9</v>
      </c>
      <c r="K13" s="192" t="s">
        <v>29</v>
      </c>
      <c r="L13" s="192" t="s">
        <v>12</v>
      </c>
      <c r="M13" s="192" t="s">
        <v>28</v>
      </c>
      <c r="N13" s="192" t="s">
        <v>28</v>
      </c>
      <c r="O13" s="192" t="s">
        <v>95</v>
      </c>
      <c r="Q13" s="191">
        <v>8</v>
      </c>
      <c r="R13" s="191">
        <v>4</v>
      </c>
      <c r="S13" s="191">
        <v>9</v>
      </c>
      <c r="T13" s="191">
        <v>9</v>
      </c>
      <c r="U13" s="191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2" t="s">
        <v>31</v>
      </c>
      <c r="AD13" s="198">
        <v>47</v>
      </c>
      <c r="AE13" s="198">
        <v>14</v>
      </c>
      <c r="AF13" s="198">
        <v>41</v>
      </c>
      <c r="AG13" s="198">
        <v>14</v>
      </c>
      <c r="AH13" s="198">
        <v>22</v>
      </c>
      <c r="AI13" s="5"/>
      <c r="AJ13" s="132" t="s">
        <v>31</v>
      </c>
      <c r="AK13" s="198">
        <v>47</v>
      </c>
      <c r="AL13" s="198">
        <v>14</v>
      </c>
      <c r="AM13" s="198">
        <v>41</v>
      </c>
      <c r="AN13" s="198">
        <v>14</v>
      </c>
      <c r="AO13" s="198">
        <v>22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9</v>
      </c>
      <c r="E14" s="198">
        <v>4</v>
      </c>
      <c r="F14" s="198">
        <v>20</v>
      </c>
      <c r="G14" s="198">
        <v>22</v>
      </c>
      <c r="H14" s="132">
        <v>10</v>
      </c>
      <c r="I14" s="82"/>
      <c r="J14" s="23">
        <v>10</v>
      </c>
      <c r="K14" s="192" t="s">
        <v>95</v>
      </c>
      <c r="L14" s="192" t="s">
        <v>15</v>
      </c>
      <c r="M14" s="192" t="s">
        <v>95</v>
      </c>
      <c r="N14" s="192" t="s">
        <v>30</v>
      </c>
      <c r="O14" s="192" t="s">
        <v>28</v>
      </c>
      <c r="Q14" s="191">
        <v>6</v>
      </c>
      <c r="R14" s="191">
        <v>2</v>
      </c>
      <c r="S14" s="191">
        <v>6</v>
      </c>
      <c r="T14" s="191">
        <v>10</v>
      </c>
      <c r="U14" s="191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2" t="s">
        <v>29</v>
      </c>
      <c r="AD14" s="198">
        <v>47</v>
      </c>
      <c r="AE14" s="198">
        <v>18</v>
      </c>
      <c r="AF14" s="198">
        <v>41</v>
      </c>
      <c r="AG14" s="198">
        <v>14</v>
      </c>
      <c r="AH14" s="198">
        <v>22</v>
      </c>
      <c r="AI14" s="5"/>
      <c r="AJ14" s="132" t="s">
        <v>29</v>
      </c>
      <c r="AK14" s="198">
        <v>47</v>
      </c>
      <c r="AL14" s="198">
        <v>18</v>
      </c>
      <c r="AM14" s="198">
        <v>41</v>
      </c>
      <c r="AN14" s="198">
        <v>14</v>
      </c>
      <c r="AO14" s="198">
        <v>22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16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85</v>
      </c>
      <c r="M15" s="192" t="s">
        <v>29</v>
      </c>
      <c r="N15" s="192" t="s">
        <v>16</v>
      </c>
      <c r="O15" s="192" t="s">
        <v>29</v>
      </c>
      <c r="Q15" s="191">
        <v>6</v>
      </c>
      <c r="R15" s="191">
        <v>18</v>
      </c>
      <c r="S15" s="191">
        <v>8</v>
      </c>
      <c r="T15" s="191">
        <v>3</v>
      </c>
      <c r="U15" s="191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4</v>
      </c>
      <c r="AE15" s="198">
        <v>5</v>
      </c>
      <c r="AF15" s="198">
        <v>5</v>
      </c>
      <c r="AG15" s="198">
        <v>20</v>
      </c>
      <c r="AH15" s="198">
        <v>22</v>
      </c>
      <c r="AI15" s="5"/>
      <c r="AJ15" s="132" t="s">
        <v>28</v>
      </c>
      <c r="AK15" s="198">
        <v>4</v>
      </c>
      <c r="AL15" s="198">
        <v>5</v>
      </c>
      <c r="AM15" s="198">
        <v>5</v>
      </c>
      <c r="AN15" s="198">
        <v>20</v>
      </c>
      <c r="AO15" s="198">
        <v>22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5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95</v>
      </c>
      <c r="L16" s="192" t="s">
        <v>13</v>
      </c>
      <c r="M16" s="192" t="s">
        <v>95</v>
      </c>
      <c r="N16" s="192" t="s">
        <v>31</v>
      </c>
      <c r="O16" s="192" t="s">
        <v>29</v>
      </c>
      <c r="Q16" s="191">
        <v>6</v>
      </c>
      <c r="R16" s="191">
        <v>5</v>
      </c>
      <c r="S16" s="191">
        <v>6</v>
      </c>
      <c r="T16" s="191">
        <v>7</v>
      </c>
      <c r="U16" s="191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4</v>
      </c>
      <c r="AE16" s="198">
        <v>9</v>
      </c>
      <c r="AF16" s="198">
        <v>4</v>
      </c>
      <c r="AG16" s="198">
        <v>20</v>
      </c>
      <c r="AH16" s="198">
        <v>22</v>
      </c>
      <c r="AI16" s="5"/>
      <c r="AJ16" s="132" t="s">
        <v>30</v>
      </c>
      <c r="AK16" s="198">
        <v>4</v>
      </c>
      <c r="AL16" s="198">
        <v>9</v>
      </c>
      <c r="AM16" s="198">
        <v>4</v>
      </c>
      <c r="AN16" s="198">
        <v>20</v>
      </c>
      <c r="AO16" s="198">
        <v>22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7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29</v>
      </c>
      <c r="L17" s="192" t="s">
        <v>82</v>
      </c>
      <c r="M17" s="192" t="s">
        <v>29</v>
      </c>
      <c r="N17" s="192" t="s">
        <v>13</v>
      </c>
      <c r="O17" s="192" t="s">
        <v>12</v>
      </c>
      <c r="Q17" s="191">
        <v>8</v>
      </c>
      <c r="R17" s="191">
        <v>16</v>
      </c>
      <c r="S17" s="191">
        <v>8</v>
      </c>
      <c r="T17" s="191">
        <v>5</v>
      </c>
      <c r="U17" s="191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97" t="s">
        <v>78</v>
      </c>
      <c r="AD17" s="199">
        <v>0</v>
      </c>
      <c r="AE17" s="199">
        <v>48</v>
      </c>
      <c r="AF17" s="199">
        <v>0</v>
      </c>
      <c r="AG17" s="199">
        <v>12</v>
      </c>
      <c r="AH17" s="199">
        <v>0</v>
      </c>
      <c r="AI17" s="5"/>
      <c r="AJ17" s="197" t="s">
        <v>78</v>
      </c>
      <c r="AK17" s="199">
        <v>0</v>
      </c>
      <c r="AL17" s="199">
        <v>48</v>
      </c>
      <c r="AM17" s="199">
        <v>0</v>
      </c>
      <c r="AN17" s="199">
        <v>12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10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12</v>
      </c>
      <c r="M18" s="192" t="s">
        <v>12</v>
      </c>
      <c r="N18" s="192" t="s">
        <v>14</v>
      </c>
      <c r="O18" s="192" t="s">
        <v>30</v>
      </c>
      <c r="Q18" s="191">
        <v>7</v>
      </c>
      <c r="R18" s="191">
        <v>4</v>
      </c>
      <c r="S18" s="191">
        <v>4</v>
      </c>
      <c r="T18" s="191">
        <v>1</v>
      </c>
      <c r="U18" s="191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97" t="s">
        <v>79</v>
      </c>
      <c r="AD18" s="199">
        <v>0</v>
      </c>
      <c r="AE18" s="199">
        <v>15</v>
      </c>
      <c r="AF18" s="199">
        <v>0</v>
      </c>
      <c r="AG18" s="199">
        <v>12</v>
      </c>
      <c r="AH18" s="199">
        <v>0</v>
      </c>
      <c r="AI18" s="5"/>
      <c r="AJ18" s="197" t="s">
        <v>79</v>
      </c>
      <c r="AK18" s="199">
        <v>0</v>
      </c>
      <c r="AL18" s="199">
        <v>15</v>
      </c>
      <c r="AM18" s="199">
        <v>0</v>
      </c>
      <c r="AN18" s="199">
        <v>12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11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15</v>
      </c>
      <c r="L19" s="192" t="s">
        <v>78</v>
      </c>
      <c r="M19" s="192" t="s">
        <v>29</v>
      </c>
      <c r="N19" s="192" t="s">
        <v>30</v>
      </c>
      <c r="O19" s="192" t="s">
        <v>31</v>
      </c>
      <c r="Q19" s="191">
        <v>2</v>
      </c>
      <c r="R19" s="191">
        <v>11</v>
      </c>
      <c r="S19" s="191">
        <v>8</v>
      </c>
      <c r="T19" s="191">
        <v>10</v>
      </c>
      <c r="U19" s="191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97" t="s">
        <v>80</v>
      </c>
      <c r="AD19" s="199">
        <v>0</v>
      </c>
      <c r="AE19" s="199">
        <v>21</v>
      </c>
      <c r="AF19" s="199">
        <v>0</v>
      </c>
      <c r="AG19" s="199">
        <v>12</v>
      </c>
      <c r="AH19" s="199">
        <v>0</v>
      </c>
      <c r="AI19" s="5"/>
      <c r="AJ19" s="197" t="s">
        <v>80</v>
      </c>
      <c r="AK19" s="199">
        <v>0</v>
      </c>
      <c r="AL19" s="199">
        <v>21</v>
      </c>
      <c r="AM19" s="199">
        <v>0</v>
      </c>
      <c r="AN19" s="199">
        <v>12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11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12</v>
      </c>
      <c r="L20" s="192" t="s">
        <v>78</v>
      </c>
      <c r="M20" s="192" t="s">
        <v>13</v>
      </c>
      <c r="N20" s="192" t="s">
        <v>15</v>
      </c>
      <c r="O20" s="192" t="s">
        <v>15</v>
      </c>
      <c r="Q20" s="191">
        <v>4</v>
      </c>
      <c r="R20" s="191">
        <v>11</v>
      </c>
      <c r="S20" s="191">
        <v>5</v>
      </c>
      <c r="T20" s="191">
        <v>2</v>
      </c>
      <c r="U20" s="191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97" t="s">
        <v>81</v>
      </c>
      <c r="AD20" s="199">
        <v>0</v>
      </c>
      <c r="AE20" s="199">
        <v>30</v>
      </c>
      <c r="AF20" s="199">
        <v>9</v>
      </c>
      <c r="AG20" s="199">
        <v>9</v>
      </c>
      <c r="AH20" s="199">
        <v>0</v>
      </c>
      <c r="AI20" s="5"/>
      <c r="AJ20" s="197" t="s">
        <v>81</v>
      </c>
      <c r="AK20" s="199">
        <v>0</v>
      </c>
      <c r="AL20" s="199">
        <v>30</v>
      </c>
      <c r="AM20" s="199">
        <v>9</v>
      </c>
      <c r="AN20" s="199">
        <v>9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8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13</v>
      </c>
      <c r="L21" s="192" t="s">
        <v>95</v>
      </c>
      <c r="M21" s="192" t="s">
        <v>31</v>
      </c>
      <c r="N21" s="192" t="s">
        <v>12</v>
      </c>
      <c r="O21" s="192" t="s">
        <v>12</v>
      </c>
      <c r="Q21" s="191">
        <v>5</v>
      </c>
      <c r="R21" s="191">
        <v>6</v>
      </c>
      <c r="S21" s="191">
        <v>7</v>
      </c>
      <c r="T21" s="191">
        <v>4</v>
      </c>
      <c r="U21" s="191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97" t="s">
        <v>96</v>
      </c>
      <c r="AD21" s="199">
        <v>0</v>
      </c>
      <c r="AE21" s="199">
        <v>33</v>
      </c>
      <c r="AF21" s="199">
        <v>9</v>
      </c>
      <c r="AG21" s="199">
        <v>9</v>
      </c>
      <c r="AH21" s="199">
        <v>0</v>
      </c>
      <c r="AI21" s="5"/>
      <c r="AJ21" s="197" t="s">
        <v>96</v>
      </c>
      <c r="AK21" s="199">
        <v>0</v>
      </c>
      <c r="AL21" s="199">
        <v>33</v>
      </c>
      <c r="AM21" s="199">
        <v>9</v>
      </c>
      <c r="AN21" s="199">
        <v>9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6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13</v>
      </c>
      <c r="L22" s="192" t="s">
        <v>12</v>
      </c>
      <c r="M22" s="192" t="s">
        <v>13</v>
      </c>
      <c r="N22" s="192" t="s">
        <v>30</v>
      </c>
      <c r="O22" s="192" t="s">
        <v>12</v>
      </c>
      <c r="Q22" s="191">
        <v>5</v>
      </c>
      <c r="R22" s="191">
        <v>4</v>
      </c>
      <c r="S22" s="191">
        <v>5</v>
      </c>
      <c r="T22" s="191">
        <v>10</v>
      </c>
      <c r="U22" s="191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33</v>
      </c>
      <c r="AF22" s="199">
        <v>9</v>
      </c>
      <c r="AG22" s="199">
        <v>9</v>
      </c>
      <c r="AH22" s="199">
        <v>0</v>
      </c>
      <c r="AI22" s="5"/>
      <c r="AJ22" s="197" t="s">
        <v>82</v>
      </c>
      <c r="AK22" s="199">
        <v>0</v>
      </c>
      <c r="AL22" s="199">
        <v>33</v>
      </c>
      <c r="AM22" s="199">
        <v>9</v>
      </c>
      <c r="AN22" s="199">
        <v>9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6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29</v>
      </c>
      <c r="L23" s="192" t="s">
        <v>82</v>
      </c>
      <c r="M23" s="192" t="s">
        <v>31</v>
      </c>
      <c r="N23" s="192" t="s">
        <v>28</v>
      </c>
      <c r="O23" s="192" t="s">
        <v>16</v>
      </c>
      <c r="Q23" s="191">
        <v>8</v>
      </c>
      <c r="R23" s="191">
        <v>16</v>
      </c>
      <c r="S23" s="191">
        <v>7</v>
      </c>
      <c r="T23" s="191">
        <v>9</v>
      </c>
      <c r="U23" s="191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24</v>
      </c>
      <c r="AF23" s="199">
        <v>9</v>
      </c>
      <c r="AG23" s="199">
        <v>9</v>
      </c>
      <c r="AH23" s="199">
        <v>0</v>
      </c>
      <c r="AI23" s="5"/>
      <c r="AJ23" s="197" t="s">
        <v>94</v>
      </c>
      <c r="AK23" s="199">
        <v>0</v>
      </c>
      <c r="AL23" s="199">
        <v>24</v>
      </c>
      <c r="AM23" s="199">
        <v>9</v>
      </c>
      <c r="AN23" s="199">
        <v>9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31</v>
      </c>
      <c r="M24" s="192" t="s">
        <v>13</v>
      </c>
      <c r="N24" s="192" t="s">
        <v>94</v>
      </c>
      <c r="O24" s="192" t="s">
        <v>31</v>
      </c>
      <c r="Q24" s="191">
        <v>7</v>
      </c>
      <c r="R24" s="191">
        <v>7</v>
      </c>
      <c r="S24" s="191">
        <v>5</v>
      </c>
      <c r="T24" s="191">
        <v>17</v>
      </c>
      <c r="U24" s="191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97" t="s">
        <v>85</v>
      </c>
      <c r="AD24" s="199">
        <v>0</v>
      </c>
      <c r="AE24" s="199">
        <v>18</v>
      </c>
      <c r="AF24" s="199">
        <v>0</v>
      </c>
      <c r="AG24" s="199">
        <v>12</v>
      </c>
      <c r="AH24" s="199">
        <v>0</v>
      </c>
      <c r="AI24" s="5"/>
      <c r="AJ24" s="197" t="s">
        <v>85</v>
      </c>
      <c r="AK24" s="199">
        <v>0</v>
      </c>
      <c r="AL24" s="199">
        <v>18</v>
      </c>
      <c r="AM24" s="199">
        <v>0</v>
      </c>
      <c r="AN24" s="199">
        <v>12</v>
      </c>
      <c r="AO24" s="199">
        <v>0</v>
      </c>
    </row>
    <row r="25" spans="1:41" ht="16.5" customHeight="1">
      <c r="I25" s="82"/>
      <c r="J25" s="191">
        <v>21</v>
      </c>
      <c r="K25" s="192" t="s">
        <v>13</v>
      </c>
      <c r="L25" s="192" t="s">
        <v>29</v>
      </c>
      <c r="M25" s="192" t="s">
        <v>13</v>
      </c>
      <c r="N25" s="192" t="s">
        <v>15</v>
      </c>
      <c r="O25" s="192" t="s">
        <v>16</v>
      </c>
      <c r="Q25" s="191">
        <v>5</v>
      </c>
      <c r="R25" s="191">
        <v>8</v>
      </c>
      <c r="S25" s="191">
        <v>5</v>
      </c>
      <c r="T25" s="191">
        <v>2</v>
      </c>
      <c r="U25" s="191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97" t="s">
        <v>87</v>
      </c>
      <c r="AD25" s="199">
        <v>0</v>
      </c>
      <c r="AE25" s="199">
        <v>18</v>
      </c>
      <c r="AF25" s="199">
        <v>0</v>
      </c>
      <c r="AG25" s="199">
        <v>12</v>
      </c>
      <c r="AH25" s="199">
        <v>0</v>
      </c>
      <c r="AI25" s="5"/>
      <c r="AJ25" s="197" t="s">
        <v>87</v>
      </c>
      <c r="AK25" s="199">
        <v>0</v>
      </c>
      <c r="AL25" s="199">
        <v>18</v>
      </c>
      <c r="AM25" s="199">
        <v>0</v>
      </c>
      <c r="AN25" s="199">
        <v>12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0.6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28</v>
      </c>
      <c r="L26" s="192" t="s">
        <v>81</v>
      </c>
      <c r="M26" s="192" t="s">
        <v>13</v>
      </c>
      <c r="N26" s="192" t="s">
        <v>15</v>
      </c>
      <c r="O26" s="192" t="s">
        <v>15</v>
      </c>
      <c r="Q26" s="191">
        <v>9</v>
      </c>
      <c r="R26" s="191">
        <v>14</v>
      </c>
      <c r="S26" s="191">
        <v>5</v>
      </c>
      <c r="T26" s="191">
        <v>2</v>
      </c>
      <c r="U26" s="191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1">
        <v>200</v>
      </c>
      <c r="AE26" s="101">
        <v>360</v>
      </c>
      <c r="AF26" s="101">
        <v>224</v>
      </c>
      <c r="AG26" s="101">
        <v>264</v>
      </c>
      <c r="AH26" s="101">
        <v>200</v>
      </c>
      <c r="AI26" s="5"/>
      <c r="AK26" s="101">
        <v>200</v>
      </c>
      <c r="AL26" s="101">
        <v>360</v>
      </c>
      <c r="AM26" s="101">
        <v>224</v>
      </c>
      <c r="AN26" s="101">
        <v>264</v>
      </c>
      <c r="AO26" s="101">
        <v>200</v>
      </c>
    </row>
    <row r="27" spans="1:41" ht="16.5" customHeight="1">
      <c r="B27" s="5" t="s">
        <v>316</v>
      </c>
      <c r="C27" s="5">
        <v>0</v>
      </c>
      <c r="D27" s="154">
        <v>0.4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31</v>
      </c>
      <c r="L27" s="192" t="s">
        <v>95</v>
      </c>
      <c r="M27" s="192" t="s">
        <v>95</v>
      </c>
      <c r="N27" s="192" t="s">
        <v>31</v>
      </c>
      <c r="O27" s="192" t="s">
        <v>15</v>
      </c>
      <c r="Q27" s="191">
        <v>7</v>
      </c>
      <c r="R27" s="191">
        <v>6</v>
      </c>
      <c r="S27" s="191">
        <v>6</v>
      </c>
      <c r="T27" s="191">
        <v>7</v>
      </c>
      <c r="U27" s="191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29</v>
      </c>
      <c r="L28" s="192" t="s">
        <v>13</v>
      </c>
      <c r="M28" s="192" t="s">
        <v>31</v>
      </c>
      <c r="N28" s="192" t="s">
        <v>13</v>
      </c>
      <c r="O28" s="192" t="s">
        <v>30</v>
      </c>
      <c r="Q28" s="191">
        <v>8</v>
      </c>
      <c r="R28" s="191">
        <v>5</v>
      </c>
      <c r="S28" s="191">
        <v>7</v>
      </c>
      <c r="T28" s="191">
        <v>5</v>
      </c>
      <c r="U28" s="191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13</v>
      </c>
      <c r="L29" s="192" t="s">
        <v>85</v>
      </c>
      <c r="M29" s="192" t="s">
        <v>29</v>
      </c>
      <c r="N29" s="192" t="s">
        <v>28</v>
      </c>
      <c r="O29" s="192" t="s">
        <v>29</v>
      </c>
      <c r="Q29" s="191">
        <v>5</v>
      </c>
      <c r="R29" s="191">
        <v>18</v>
      </c>
      <c r="S29" s="191">
        <v>8</v>
      </c>
      <c r="T29" s="191">
        <v>9</v>
      </c>
      <c r="U29" s="191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81</v>
      </c>
      <c r="M30" s="192" t="s">
        <v>31</v>
      </c>
      <c r="N30" s="192" t="s">
        <v>16</v>
      </c>
      <c r="O30" s="192" t="s">
        <v>16</v>
      </c>
      <c r="Q30" s="191">
        <v>7</v>
      </c>
      <c r="R30" s="191">
        <v>14</v>
      </c>
      <c r="S30" s="191">
        <v>7</v>
      </c>
      <c r="T30" s="191">
        <v>3</v>
      </c>
      <c r="U30" s="191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29</v>
      </c>
      <c r="L31" s="192" t="s">
        <v>29</v>
      </c>
      <c r="M31" s="192" t="s">
        <v>31</v>
      </c>
      <c r="N31" s="192" t="s">
        <v>31</v>
      </c>
      <c r="O31" s="192" t="s">
        <v>12</v>
      </c>
      <c r="Q31" s="191">
        <v>8</v>
      </c>
      <c r="R31" s="191">
        <v>8</v>
      </c>
      <c r="S31" s="191">
        <v>7</v>
      </c>
      <c r="T31" s="191">
        <v>7</v>
      </c>
      <c r="U31" s="191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13</v>
      </c>
      <c r="L32" s="192" t="s">
        <v>16</v>
      </c>
      <c r="M32" s="192" t="s">
        <v>95</v>
      </c>
      <c r="N32" s="192" t="s">
        <v>16</v>
      </c>
      <c r="O32" s="192" t="s">
        <v>95</v>
      </c>
      <c r="Q32" s="191">
        <v>5</v>
      </c>
      <c r="R32" s="191">
        <v>3</v>
      </c>
      <c r="S32" s="191">
        <v>6</v>
      </c>
      <c r="T32" s="191">
        <v>3</v>
      </c>
      <c r="U32" s="191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2" t="s">
        <v>15</v>
      </c>
      <c r="AD32" s="198">
        <v>4</v>
      </c>
      <c r="AE32" s="198">
        <v>22</v>
      </c>
      <c r="AF32" s="198">
        <v>5</v>
      </c>
      <c r="AG32" s="198">
        <v>21</v>
      </c>
      <c r="AH32" s="198">
        <v>23</v>
      </c>
      <c r="AI32" s="5"/>
      <c r="AJ32" s="132" t="s">
        <v>15</v>
      </c>
      <c r="AK32" s="198">
        <v>4</v>
      </c>
      <c r="AL32" s="198">
        <v>22</v>
      </c>
      <c r="AM32" s="198">
        <v>5</v>
      </c>
      <c r="AN32" s="198">
        <v>21</v>
      </c>
      <c r="AO32" s="198">
        <v>23</v>
      </c>
    </row>
    <row r="33" spans="10:41" ht="16.5" customHeight="1">
      <c r="J33" s="191">
        <v>29</v>
      </c>
      <c r="K33" s="192" t="s">
        <v>28</v>
      </c>
      <c r="L33" s="192" t="s">
        <v>15</v>
      </c>
      <c r="M33" s="192" t="s">
        <v>94</v>
      </c>
      <c r="N33" s="192" t="s">
        <v>16</v>
      </c>
      <c r="O33" s="192" t="s">
        <v>28</v>
      </c>
      <c r="Q33" s="191">
        <v>9</v>
      </c>
      <c r="R33" s="191">
        <v>2</v>
      </c>
      <c r="S33" s="191">
        <v>17</v>
      </c>
      <c r="T33" s="191">
        <v>3</v>
      </c>
      <c r="U33" s="191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2" t="s">
        <v>16</v>
      </c>
      <c r="AD33" s="198">
        <v>4</v>
      </c>
      <c r="AE33" s="198">
        <v>10</v>
      </c>
      <c r="AF33" s="198">
        <v>5</v>
      </c>
      <c r="AG33" s="198">
        <v>21</v>
      </c>
      <c r="AH33" s="198">
        <v>23</v>
      </c>
      <c r="AI33" s="5"/>
      <c r="AJ33" s="132" t="s">
        <v>16</v>
      </c>
      <c r="AK33" s="198">
        <v>4</v>
      </c>
      <c r="AL33" s="198">
        <v>10</v>
      </c>
      <c r="AM33" s="198">
        <v>5</v>
      </c>
      <c r="AN33" s="198">
        <v>21</v>
      </c>
      <c r="AO33" s="198">
        <v>23</v>
      </c>
    </row>
    <row r="34" spans="10:41" ht="16.5" customHeight="1">
      <c r="J34" s="23">
        <v>30</v>
      </c>
      <c r="K34" s="192" t="s">
        <v>13</v>
      </c>
      <c r="L34" s="192" t="s">
        <v>96</v>
      </c>
      <c r="M34" s="192" t="s">
        <v>13</v>
      </c>
      <c r="N34" s="192" t="s">
        <v>12</v>
      </c>
      <c r="O34" s="192" t="s">
        <v>15</v>
      </c>
      <c r="Q34" s="191">
        <v>5</v>
      </c>
      <c r="R34" s="191">
        <v>15</v>
      </c>
      <c r="S34" s="191">
        <v>5</v>
      </c>
      <c r="T34" s="191">
        <v>4</v>
      </c>
      <c r="U34" s="191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2" t="s">
        <v>12</v>
      </c>
      <c r="AD34" s="198">
        <v>4</v>
      </c>
      <c r="AE34" s="198">
        <v>9</v>
      </c>
      <c r="AF34" s="198">
        <v>5</v>
      </c>
      <c r="AG34" s="198">
        <v>21</v>
      </c>
      <c r="AH34" s="198">
        <v>22</v>
      </c>
      <c r="AI34" s="5"/>
      <c r="AJ34" s="132" t="s">
        <v>12</v>
      </c>
      <c r="AK34" s="198">
        <v>4</v>
      </c>
      <c r="AL34" s="198">
        <v>9</v>
      </c>
      <c r="AM34" s="198">
        <v>5</v>
      </c>
      <c r="AN34" s="198">
        <v>21</v>
      </c>
      <c r="AO34" s="198">
        <v>22</v>
      </c>
    </row>
    <row r="35" spans="10:41" ht="16.5" customHeight="1">
      <c r="J35" s="191">
        <v>31</v>
      </c>
      <c r="K35" s="192" t="s">
        <v>13</v>
      </c>
      <c r="L35" s="192" t="s">
        <v>80</v>
      </c>
      <c r="M35" s="192" t="s">
        <v>30</v>
      </c>
      <c r="N35" s="192" t="s">
        <v>30</v>
      </c>
      <c r="O35" s="192" t="s">
        <v>15</v>
      </c>
      <c r="Q35" s="191">
        <v>5</v>
      </c>
      <c r="R35" s="191">
        <v>13</v>
      </c>
      <c r="S35" s="191">
        <v>10</v>
      </c>
      <c r="T35" s="191">
        <v>10</v>
      </c>
      <c r="U35" s="191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2" t="s">
        <v>13</v>
      </c>
      <c r="AD35" s="198">
        <v>43</v>
      </c>
      <c r="AE35" s="198">
        <v>13</v>
      </c>
      <c r="AF35" s="198">
        <v>41</v>
      </c>
      <c r="AG35" s="198">
        <v>14</v>
      </c>
      <c r="AH35" s="198">
        <v>22</v>
      </c>
      <c r="AI35" s="5"/>
      <c r="AJ35" s="132" t="s">
        <v>13</v>
      </c>
      <c r="AK35" s="198">
        <v>43</v>
      </c>
      <c r="AL35" s="198">
        <v>13</v>
      </c>
      <c r="AM35" s="198">
        <v>41</v>
      </c>
      <c r="AN35" s="198">
        <v>14</v>
      </c>
      <c r="AO35" s="198">
        <v>22</v>
      </c>
    </row>
    <row r="36" spans="10:41" ht="16.5" customHeight="1">
      <c r="J36" s="23">
        <v>32</v>
      </c>
      <c r="K36" s="192" t="s">
        <v>13</v>
      </c>
      <c r="L36" s="192" t="s">
        <v>12</v>
      </c>
      <c r="M36" s="192" t="s">
        <v>29</v>
      </c>
      <c r="N36" s="192" t="s">
        <v>30</v>
      </c>
      <c r="O36" s="192" t="s">
        <v>12</v>
      </c>
      <c r="Q36" s="191">
        <v>5</v>
      </c>
      <c r="R36" s="191">
        <v>4</v>
      </c>
      <c r="S36" s="191">
        <v>8</v>
      </c>
      <c r="T36" s="191">
        <v>10</v>
      </c>
      <c r="U36" s="191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2" t="s">
        <v>95</v>
      </c>
      <c r="AD36" s="198">
        <v>43</v>
      </c>
      <c r="AE36" s="198">
        <v>14</v>
      </c>
      <c r="AF36" s="198">
        <v>41</v>
      </c>
      <c r="AG36" s="198">
        <v>14</v>
      </c>
      <c r="AH36" s="198">
        <v>22</v>
      </c>
      <c r="AI36" s="5"/>
      <c r="AJ36" s="132" t="s">
        <v>95</v>
      </c>
      <c r="AK36" s="198">
        <v>43</v>
      </c>
      <c r="AL36" s="198">
        <v>14</v>
      </c>
      <c r="AM36" s="198">
        <v>41</v>
      </c>
      <c r="AN36" s="198">
        <v>14</v>
      </c>
      <c r="AO36" s="198">
        <v>22</v>
      </c>
    </row>
    <row r="37" spans="10:41" ht="16.5" customHeight="1">
      <c r="J37" s="191">
        <v>33</v>
      </c>
      <c r="K37" s="192" t="s">
        <v>95</v>
      </c>
      <c r="L37" s="192" t="s">
        <v>15</v>
      </c>
      <c r="M37" s="192" t="s">
        <v>96</v>
      </c>
      <c r="N37" s="192" t="s">
        <v>31</v>
      </c>
      <c r="O37" s="192" t="s">
        <v>12</v>
      </c>
      <c r="Q37" s="191">
        <v>6</v>
      </c>
      <c r="R37" s="191">
        <v>2</v>
      </c>
      <c r="S37" s="191">
        <v>15</v>
      </c>
      <c r="T37" s="191">
        <v>7</v>
      </c>
      <c r="U37" s="191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2" t="s">
        <v>31</v>
      </c>
      <c r="AD37" s="198">
        <v>47</v>
      </c>
      <c r="AE37" s="198">
        <v>14</v>
      </c>
      <c r="AF37" s="198">
        <v>41</v>
      </c>
      <c r="AG37" s="198">
        <v>14</v>
      </c>
      <c r="AH37" s="198">
        <v>22</v>
      </c>
      <c r="AI37" s="5"/>
      <c r="AJ37" s="132" t="s">
        <v>31</v>
      </c>
      <c r="AK37" s="198">
        <v>47</v>
      </c>
      <c r="AL37" s="198">
        <v>14</v>
      </c>
      <c r="AM37" s="198">
        <v>41</v>
      </c>
      <c r="AN37" s="198">
        <v>14</v>
      </c>
      <c r="AO37" s="198">
        <v>22</v>
      </c>
    </row>
    <row r="38" spans="10:41" ht="16.5" customHeight="1">
      <c r="J38" s="23">
        <v>34</v>
      </c>
      <c r="K38" s="192" t="s">
        <v>29</v>
      </c>
      <c r="L38" s="192" t="s">
        <v>28</v>
      </c>
      <c r="M38" s="192" t="s">
        <v>13</v>
      </c>
      <c r="N38" s="192" t="s">
        <v>31</v>
      </c>
      <c r="O38" s="192" t="s">
        <v>16</v>
      </c>
      <c r="Q38" s="191">
        <v>8</v>
      </c>
      <c r="R38" s="191">
        <v>9</v>
      </c>
      <c r="S38" s="191">
        <v>5</v>
      </c>
      <c r="T38" s="191">
        <v>7</v>
      </c>
      <c r="U38" s="191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2" t="s">
        <v>29</v>
      </c>
      <c r="AD38" s="198">
        <v>47</v>
      </c>
      <c r="AE38" s="198">
        <v>18</v>
      </c>
      <c r="AF38" s="198">
        <v>41</v>
      </c>
      <c r="AG38" s="198">
        <v>14</v>
      </c>
      <c r="AH38" s="198">
        <v>22</v>
      </c>
      <c r="AI38" s="5"/>
      <c r="AJ38" s="132" t="s">
        <v>29</v>
      </c>
      <c r="AK38" s="198">
        <v>47</v>
      </c>
      <c r="AL38" s="198">
        <v>18</v>
      </c>
      <c r="AM38" s="198">
        <v>41</v>
      </c>
      <c r="AN38" s="198">
        <v>14</v>
      </c>
      <c r="AO38" s="198">
        <v>22</v>
      </c>
    </row>
    <row r="39" spans="10:41" ht="16.5" customHeight="1">
      <c r="J39" s="191">
        <v>35</v>
      </c>
      <c r="K39" s="192" t="s">
        <v>31</v>
      </c>
      <c r="L39" s="192" t="s">
        <v>96</v>
      </c>
      <c r="M39" s="192" t="s">
        <v>13</v>
      </c>
      <c r="N39" s="192" t="s">
        <v>95</v>
      </c>
      <c r="O39" s="192" t="s">
        <v>28</v>
      </c>
      <c r="Q39" s="191">
        <v>7</v>
      </c>
      <c r="R39" s="191">
        <v>15</v>
      </c>
      <c r="S39" s="191">
        <v>5</v>
      </c>
      <c r="T39" s="191">
        <v>6</v>
      </c>
      <c r="U39" s="191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2" t="s">
        <v>28</v>
      </c>
      <c r="AD39" s="198">
        <v>4</v>
      </c>
      <c r="AE39" s="198">
        <v>5</v>
      </c>
      <c r="AF39" s="198">
        <v>5</v>
      </c>
      <c r="AG39" s="198">
        <v>20</v>
      </c>
      <c r="AH39" s="198">
        <v>22</v>
      </c>
      <c r="AI39" s="5"/>
      <c r="AJ39" s="132" t="s">
        <v>28</v>
      </c>
      <c r="AK39" s="198">
        <v>4</v>
      </c>
      <c r="AL39" s="198">
        <v>5</v>
      </c>
      <c r="AM39" s="198">
        <v>5</v>
      </c>
      <c r="AN39" s="198">
        <v>20</v>
      </c>
      <c r="AO39" s="198">
        <v>22</v>
      </c>
    </row>
    <row r="40" spans="10:41" ht="16.5" customHeight="1">
      <c r="J40" s="23">
        <v>36</v>
      </c>
      <c r="K40" s="192" t="s">
        <v>95</v>
      </c>
      <c r="L40" s="192" t="s">
        <v>95</v>
      </c>
      <c r="M40" s="192" t="s">
        <v>30</v>
      </c>
      <c r="N40" s="192" t="s">
        <v>80</v>
      </c>
      <c r="O40" s="192" t="s">
        <v>29</v>
      </c>
      <c r="Q40" s="191">
        <v>6</v>
      </c>
      <c r="R40" s="191">
        <v>6</v>
      </c>
      <c r="S40" s="191">
        <v>10</v>
      </c>
      <c r="T40" s="191">
        <v>13</v>
      </c>
      <c r="U40" s="191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2" t="s">
        <v>30</v>
      </c>
      <c r="AD40" s="198">
        <v>4</v>
      </c>
      <c r="AE40" s="198">
        <v>9</v>
      </c>
      <c r="AF40" s="198">
        <v>4</v>
      </c>
      <c r="AG40" s="198">
        <v>20</v>
      </c>
      <c r="AH40" s="198">
        <v>22</v>
      </c>
      <c r="AI40" s="5"/>
      <c r="AJ40" s="132" t="s">
        <v>30</v>
      </c>
      <c r="AK40" s="198">
        <v>4</v>
      </c>
      <c r="AL40" s="198">
        <v>9</v>
      </c>
      <c r="AM40" s="198">
        <v>4</v>
      </c>
      <c r="AN40" s="198">
        <v>20</v>
      </c>
      <c r="AO40" s="198">
        <v>22</v>
      </c>
    </row>
    <row r="41" spans="10:41" ht="16.5" customHeight="1">
      <c r="J41" s="191">
        <v>37</v>
      </c>
      <c r="K41" s="192" t="s">
        <v>31</v>
      </c>
      <c r="L41" s="192" t="s">
        <v>13</v>
      </c>
      <c r="M41" s="192" t="s">
        <v>95</v>
      </c>
      <c r="N41" s="192" t="s">
        <v>12</v>
      </c>
      <c r="O41" s="192" t="s">
        <v>29</v>
      </c>
      <c r="Q41" s="191">
        <v>7</v>
      </c>
      <c r="R41" s="191">
        <v>5</v>
      </c>
      <c r="S41" s="191">
        <v>6</v>
      </c>
      <c r="T41" s="191">
        <v>4</v>
      </c>
      <c r="U41" s="191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97" t="s">
        <v>78</v>
      </c>
      <c r="AD41" s="199">
        <v>0</v>
      </c>
      <c r="AE41" s="199">
        <v>48</v>
      </c>
      <c r="AF41" s="199">
        <v>0</v>
      </c>
      <c r="AG41" s="199">
        <v>12</v>
      </c>
      <c r="AH41" s="199">
        <v>0</v>
      </c>
      <c r="AI41" s="5"/>
      <c r="AJ41" s="197" t="s">
        <v>78</v>
      </c>
      <c r="AK41" s="199">
        <v>0</v>
      </c>
      <c r="AL41" s="199">
        <v>48</v>
      </c>
      <c r="AM41" s="199">
        <v>0</v>
      </c>
      <c r="AN41" s="199">
        <v>12</v>
      </c>
      <c r="AO41" s="199">
        <v>0</v>
      </c>
    </row>
    <row r="42" spans="10:41" ht="16.5" customHeight="1">
      <c r="J42" s="23">
        <v>38</v>
      </c>
      <c r="K42" s="192" t="s">
        <v>95</v>
      </c>
      <c r="L42" s="192" t="s">
        <v>12</v>
      </c>
      <c r="M42" s="192" t="s">
        <v>12</v>
      </c>
      <c r="N42" s="192" t="s">
        <v>95</v>
      </c>
      <c r="O42" s="192" t="s">
        <v>13</v>
      </c>
      <c r="Q42" s="191">
        <v>6</v>
      </c>
      <c r="R42" s="191">
        <v>4</v>
      </c>
      <c r="S42" s="191">
        <v>4</v>
      </c>
      <c r="T42" s="191">
        <v>6</v>
      </c>
      <c r="U42" s="191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97" t="s">
        <v>79</v>
      </c>
      <c r="AD42" s="199">
        <v>0</v>
      </c>
      <c r="AE42" s="199">
        <v>15</v>
      </c>
      <c r="AF42" s="199">
        <v>0</v>
      </c>
      <c r="AG42" s="199">
        <v>12</v>
      </c>
      <c r="AH42" s="199">
        <v>0</v>
      </c>
      <c r="AI42" s="5"/>
      <c r="AJ42" s="197" t="s">
        <v>79</v>
      </c>
      <c r="AK42" s="199">
        <v>0</v>
      </c>
      <c r="AL42" s="199">
        <v>15</v>
      </c>
      <c r="AM42" s="199">
        <v>0</v>
      </c>
      <c r="AN42" s="199">
        <v>12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80</v>
      </c>
      <c r="M43" s="192" t="s">
        <v>95</v>
      </c>
      <c r="N43" s="192" t="s">
        <v>95</v>
      </c>
      <c r="O43" s="192" t="s">
        <v>13</v>
      </c>
      <c r="Q43" s="191">
        <v>5</v>
      </c>
      <c r="R43" s="191">
        <v>13</v>
      </c>
      <c r="S43" s="191">
        <v>6</v>
      </c>
      <c r="T43" s="191">
        <v>6</v>
      </c>
      <c r="U43" s="191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97" t="s">
        <v>80</v>
      </c>
      <c r="AD43" s="199">
        <v>0</v>
      </c>
      <c r="AE43" s="199">
        <v>21</v>
      </c>
      <c r="AF43" s="199">
        <v>0</v>
      </c>
      <c r="AG43" s="199">
        <v>12</v>
      </c>
      <c r="AH43" s="199">
        <v>0</v>
      </c>
      <c r="AI43" s="5"/>
      <c r="AJ43" s="197" t="s">
        <v>80</v>
      </c>
      <c r="AK43" s="199">
        <v>0</v>
      </c>
      <c r="AL43" s="199">
        <v>21</v>
      </c>
      <c r="AM43" s="199">
        <v>0</v>
      </c>
      <c r="AN43" s="199">
        <v>12</v>
      </c>
      <c r="AO43" s="199">
        <v>0</v>
      </c>
    </row>
    <row r="44" spans="10:41" ht="16.5" customHeight="1">
      <c r="J44" s="23">
        <v>40</v>
      </c>
      <c r="K44" s="192" t="s">
        <v>31</v>
      </c>
      <c r="L44" s="192" t="s">
        <v>29</v>
      </c>
      <c r="M44" s="192" t="s">
        <v>29</v>
      </c>
      <c r="N44" s="192" t="s">
        <v>16</v>
      </c>
      <c r="O44" s="192" t="s">
        <v>95</v>
      </c>
      <c r="Q44" s="191">
        <v>7</v>
      </c>
      <c r="R44" s="191">
        <v>8</v>
      </c>
      <c r="S44" s="191">
        <v>8</v>
      </c>
      <c r="T44" s="191">
        <v>3</v>
      </c>
      <c r="U44" s="191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97" t="s">
        <v>81</v>
      </c>
      <c r="AD44" s="199">
        <v>0</v>
      </c>
      <c r="AE44" s="199">
        <v>30</v>
      </c>
      <c r="AF44" s="199">
        <v>9</v>
      </c>
      <c r="AG44" s="199">
        <v>9</v>
      </c>
      <c r="AH44" s="199">
        <v>0</v>
      </c>
      <c r="AI44" s="5"/>
      <c r="AJ44" s="197" t="s">
        <v>81</v>
      </c>
      <c r="AK44" s="199">
        <v>0</v>
      </c>
      <c r="AL44" s="199">
        <v>30</v>
      </c>
      <c r="AM44" s="199">
        <v>9</v>
      </c>
      <c r="AN44" s="199">
        <v>9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15</v>
      </c>
      <c r="M45" s="192" t="s">
        <v>29</v>
      </c>
      <c r="N45" s="192" t="s">
        <v>12</v>
      </c>
      <c r="O45" s="192" t="s">
        <v>95</v>
      </c>
      <c r="Q45" s="191">
        <v>6</v>
      </c>
      <c r="R45" s="191">
        <v>2</v>
      </c>
      <c r="S45" s="191">
        <v>8</v>
      </c>
      <c r="T45" s="191">
        <v>4</v>
      </c>
      <c r="U45" s="191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97" t="s">
        <v>96</v>
      </c>
      <c r="AD45" s="199">
        <v>0</v>
      </c>
      <c r="AE45" s="199">
        <v>33</v>
      </c>
      <c r="AF45" s="199">
        <v>9</v>
      </c>
      <c r="AG45" s="199">
        <v>9</v>
      </c>
      <c r="AH45" s="199">
        <v>0</v>
      </c>
      <c r="AI45" s="5"/>
      <c r="AJ45" s="197" t="s">
        <v>96</v>
      </c>
      <c r="AK45" s="199">
        <v>0</v>
      </c>
      <c r="AL45" s="199">
        <v>33</v>
      </c>
      <c r="AM45" s="199">
        <v>9</v>
      </c>
      <c r="AN45" s="199">
        <v>9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96</v>
      </c>
      <c r="M46" s="192" t="s">
        <v>31</v>
      </c>
      <c r="N46" s="192" t="s">
        <v>14</v>
      </c>
      <c r="O46" s="192" t="s">
        <v>12</v>
      </c>
      <c r="Q46" s="191">
        <v>6</v>
      </c>
      <c r="R46" s="191">
        <v>15</v>
      </c>
      <c r="S46" s="191">
        <v>7</v>
      </c>
      <c r="T46" s="191">
        <v>1</v>
      </c>
      <c r="U46" s="191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33</v>
      </c>
      <c r="AF46" s="199">
        <v>9</v>
      </c>
      <c r="AG46" s="199">
        <v>9</v>
      </c>
      <c r="AH46" s="199">
        <v>0</v>
      </c>
      <c r="AI46" s="5"/>
      <c r="AJ46" s="197" t="s">
        <v>82</v>
      </c>
      <c r="AK46" s="199">
        <v>0</v>
      </c>
      <c r="AL46" s="199">
        <v>33</v>
      </c>
      <c r="AM46" s="199">
        <v>9</v>
      </c>
      <c r="AN46" s="199">
        <v>9</v>
      </c>
      <c r="AO46" s="199">
        <v>0</v>
      </c>
    </row>
    <row r="47" spans="10:41" ht="16.5" customHeight="1">
      <c r="J47" s="191">
        <v>43</v>
      </c>
      <c r="K47" s="192" t="s">
        <v>31</v>
      </c>
      <c r="L47" s="192" t="s">
        <v>16</v>
      </c>
      <c r="M47" s="192" t="s">
        <v>95</v>
      </c>
      <c r="N47" s="192" t="s">
        <v>13</v>
      </c>
      <c r="O47" s="192" t="s">
        <v>29</v>
      </c>
      <c r="Q47" s="191">
        <v>7</v>
      </c>
      <c r="R47" s="191">
        <v>3</v>
      </c>
      <c r="S47" s="191">
        <v>6</v>
      </c>
      <c r="T47" s="191">
        <v>5</v>
      </c>
      <c r="U47" s="191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24</v>
      </c>
      <c r="AF47" s="199">
        <v>9</v>
      </c>
      <c r="AG47" s="199">
        <v>9</v>
      </c>
      <c r="AH47" s="199">
        <v>0</v>
      </c>
      <c r="AI47" s="5"/>
      <c r="AJ47" s="197" t="s">
        <v>94</v>
      </c>
      <c r="AK47" s="199">
        <v>0</v>
      </c>
      <c r="AL47" s="199">
        <v>24</v>
      </c>
      <c r="AM47" s="199">
        <v>9</v>
      </c>
      <c r="AN47" s="199">
        <v>9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31</v>
      </c>
      <c r="M48" s="192" t="s">
        <v>31</v>
      </c>
      <c r="N48" s="192" t="s">
        <v>29</v>
      </c>
      <c r="O48" s="192" t="s">
        <v>29</v>
      </c>
      <c r="Q48" s="191">
        <v>5</v>
      </c>
      <c r="R48" s="191">
        <v>7</v>
      </c>
      <c r="S48" s="191">
        <v>7</v>
      </c>
      <c r="T48" s="191">
        <v>8</v>
      </c>
      <c r="U48" s="191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18</v>
      </c>
      <c r="AF48" s="199">
        <v>0</v>
      </c>
      <c r="AG48" s="199">
        <v>12</v>
      </c>
      <c r="AH48" s="199">
        <v>0</v>
      </c>
      <c r="AI48" s="5"/>
      <c r="AJ48" s="197" t="s">
        <v>85</v>
      </c>
      <c r="AK48" s="199">
        <v>0</v>
      </c>
      <c r="AL48" s="199">
        <v>18</v>
      </c>
      <c r="AM48" s="199">
        <v>0</v>
      </c>
      <c r="AN48" s="199">
        <v>12</v>
      </c>
      <c r="AO48" s="199">
        <v>0</v>
      </c>
    </row>
    <row r="49" spans="10:41" ht="16.5" customHeight="1">
      <c r="J49" s="191">
        <v>45</v>
      </c>
      <c r="K49" s="192" t="s">
        <v>13</v>
      </c>
      <c r="L49" s="192" t="s">
        <v>94</v>
      </c>
      <c r="M49" s="192" t="s">
        <v>95</v>
      </c>
      <c r="N49" s="192" t="s">
        <v>12</v>
      </c>
      <c r="O49" s="192" t="s">
        <v>95</v>
      </c>
      <c r="Q49" s="191">
        <v>5</v>
      </c>
      <c r="R49" s="191">
        <v>17</v>
      </c>
      <c r="S49" s="191">
        <v>6</v>
      </c>
      <c r="T49" s="191">
        <v>4</v>
      </c>
      <c r="U49" s="191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97" t="s">
        <v>87</v>
      </c>
      <c r="AD49" s="199">
        <v>0</v>
      </c>
      <c r="AE49" s="199">
        <v>18</v>
      </c>
      <c r="AF49" s="199">
        <v>0</v>
      </c>
      <c r="AG49" s="199">
        <v>12</v>
      </c>
      <c r="AH49" s="199">
        <v>0</v>
      </c>
      <c r="AI49" s="5"/>
      <c r="AJ49" s="197" t="s">
        <v>87</v>
      </c>
      <c r="AK49" s="199">
        <v>0</v>
      </c>
      <c r="AL49" s="199">
        <v>18</v>
      </c>
      <c r="AM49" s="199">
        <v>0</v>
      </c>
      <c r="AN49" s="199">
        <v>12</v>
      </c>
      <c r="AO49" s="199">
        <v>0</v>
      </c>
    </row>
    <row r="50" spans="10:41" ht="16.5" customHeight="1">
      <c r="J50" s="23">
        <v>46</v>
      </c>
      <c r="K50" s="192" t="s">
        <v>12</v>
      </c>
      <c r="L50" s="192" t="s">
        <v>94</v>
      </c>
      <c r="M50" s="192" t="s">
        <v>29</v>
      </c>
      <c r="N50" s="192" t="s">
        <v>28</v>
      </c>
      <c r="O50" s="192" t="s">
        <v>15</v>
      </c>
      <c r="Q50" s="191">
        <v>4</v>
      </c>
      <c r="R50" s="191">
        <v>17</v>
      </c>
      <c r="S50" s="191">
        <v>8</v>
      </c>
      <c r="T50" s="191">
        <v>9</v>
      </c>
      <c r="U50" s="191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1">
        <v>200</v>
      </c>
      <c r="AE50" s="101">
        <v>360</v>
      </c>
      <c r="AF50" s="101">
        <v>224</v>
      </c>
      <c r="AG50" s="101">
        <v>264</v>
      </c>
      <c r="AH50" s="101">
        <v>200</v>
      </c>
      <c r="AI50" s="5"/>
      <c r="AK50" s="101">
        <v>200</v>
      </c>
      <c r="AL50" s="101">
        <v>360</v>
      </c>
      <c r="AM50" s="101">
        <v>224</v>
      </c>
      <c r="AN50" s="101">
        <v>264</v>
      </c>
      <c r="AO50" s="101">
        <v>200</v>
      </c>
    </row>
    <row r="51" spans="10:41" ht="16.5" customHeight="1">
      <c r="J51" s="191">
        <v>47</v>
      </c>
      <c r="K51" s="192" t="s">
        <v>15</v>
      </c>
      <c r="L51" s="192" t="s">
        <v>29</v>
      </c>
      <c r="M51" s="192" t="s">
        <v>13</v>
      </c>
      <c r="N51" s="192" t="s">
        <v>78</v>
      </c>
      <c r="O51" s="192" t="s">
        <v>95</v>
      </c>
      <c r="Q51" s="191">
        <v>2</v>
      </c>
      <c r="R51" s="191">
        <v>8</v>
      </c>
      <c r="S51" s="191">
        <v>5</v>
      </c>
      <c r="T51" s="191">
        <v>11</v>
      </c>
      <c r="U51" s="191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92" t="s">
        <v>31</v>
      </c>
      <c r="L52" s="192" t="s">
        <v>13</v>
      </c>
      <c r="M52" s="192" t="s">
        <v>31</v>
      </c>
      <c r="N52" s="192" t="s">
        <v>28</v>
      </c>
      <c r="O52" s="192" t="s">
        <v>95</v>
      </c>
      <c r="Q52" s="191">
        <v>7</v>
      </c>
      <c r="R52" s="191">
        <v>5</v>
      </c>
      <c r="S52" s="191">
        <v>7</v>
      </c>
      <c r="T52" s="191">
        <v>9</v>
      </c>
      <c r="U52" s="191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13</v>
      </c>
      <c r="L53" s="192" t="s">
        <v>85</v>
      </c>
      <c r="M53" s="192" t="s">
        <v>13</v>
      </c>
      <c r="N53" s="192" t="s">
        <v>29</v>
      </c>
      <c r="O53" s="192" t="s">
        <v>13</v>
      </c>
      <c r="Q53" s="191">
        <v>5</v>
      </c>
      <c r="R53" s="191">
        <v>18</v>
      </c>
      <c r="S53" s="191">
        <v>5</v>
      </c>
      <c r="T53" s="191">
        <v>8</v>
      </c>
      <c r="U53" s="191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82</v>
      </c>
      <c r="M54" s="192" t="s">
        <v>95</v>
      </c>
      <c r="N54" s="192" t="s">
        <v>13</v>
      </c>
      <c r="O54" s="192" t="s">
        <v>13</v>
      </c>
      <c r="Q54" s="191">
        <v>7</v>
      </c>
      <c r="R54" s="191">
        <v>16</v>
      </c>
      <c r="S54" s="191">
        <v>6</v>
      </c>
      <c r="T54" s="191">
        <v>5</v>
      </c>
      <c r="U54" s="191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82</v>
      </c>
      <c r="M55" s="192" t="s">
        <v>29</v>
      </c>
      <c r="N55" s="192" t="s">
        <v>16</v>
      </c>
      <c r="O55" s="192" t="s">
        <v>30</v>
      </c>
      <c r="Q55" s="191">
        <v>6</v>
      </c>
      <c r="R55" s="191">
        <v>16</v>
      </c>
      <c r="S55" s="191">
        <v>8</v>
      </c>
      <c r="T55" s="191">
        <v>3</v>
      </c>
      <c r="U55" s="191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13</v>
      </c>
      <c r="M56" s="192" t="s">
        <v>12</v>
      </c>
      <c r="N56" s="192" t="s">
        <v>13</v>
      </c>
      <c r="O56" s="192" t="s">
        <v>30</v>
      </c>
      <c r="Q56" s="191">
        <v>8</v>
      </c>
      <c r="R56" s="191">
        <v>5</v>
      </c>
      <c r="S56" s="191">
        <v>4</v>
      </c>
      <c r="T56" s="191">
        <v>5</v>
      </c>
      <c r="U56" s="191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2" t="s">
        <v>15</v>
      </c>
      <c r="AD56" s="198">
        <v>4</v>
      </c>
      <c r="AE56" s="198">
        <v>22</v>
      </c>
      <c r="AF56" s="198">
        <v>5</v>
      </c>
      <c r="AG56" s="198">
        <v>21</v>
      </c>
      <c r="AH56" s="198">
        <v>23</v>
      </c>
      <c r="AI56" s="5"/>
      <c r="AJ56" s="132" t="s">
        <v>15</v>
      </c>
      <c r="AK56" s="198">
        <v>4</v>
      </c>
      <c r="AL56" s="198">
        <v>22</v>
      </c>
      <c r="AM56" s="198">
        <v>5</v>
      </c>
      <c r="AN56" s="198">
        <v>21</v>
      </c>
      <c r="AO56" s="198">
        <v>23</v>
      </c>
    </row>
    <row r="57" spans="10:41" ht="16.5" customHeight="1">
      <c r="J57" s="191">
        <v>53</v>
      </c>
      <c r="K57" s="192" t="s">
        <v>95</v>
      </c>
      <c r="L57" s="192" t="s">
        <v>80</v>
      </c>
      <c r="M57" s="192" t="s">
        <v>31</v>
      </c>
      <c r="N57" s="192" t="s">
        <v>28</v>
      </c>
      <c r="O57" s="192" t="s">
        <v>31</v>
      </c>
      <c r="Q57" s="191">
        <v>6</v>
      </c>
      <c r="R57" s="191">
        <v>13</v>
      </c>
      <c r="S57" s="191">
        <v>7</v>
      </c>
      <c r="T57" s="191">
        <v>9</v>
      </c>
      <c r="U57" s="191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2" t="s">
        <v>16</v>
      </c>
      <c r="AD57" s="198">
        <v>4</v>
      </c>
      <c r="AE57" s="198">
        <v>10</v>
      </c>
      <c r="AF57" s="198">
        <v>5</v>
      </c>
      <c r="AG57" s="198">
        <v>21</v>
      </c>
      <c r="AH57" s="198">
        <v>23</v>
      </c>
      <c r="AI57" s="5"/>
      <c r="AJ57" s="132" t="s">
        <v>16</v>
      </c>
      <c r="AK57" s="198">
        <v>4</v>
      </c>
      <c r="AL57" s="198">
        <v>10</v>
      </c>
      <c r="AM57" s="198">
        <v>5</v>
      </c>
      <c r="AN57" s="198">
        <v>21</v>
      </c>
      <c r="AO57" s="198">
        <v>23</v>
      </c>
    </row>
    <row r="58" spans="10:41" ht="16.5" customHeight="1">
      <c r="J58" s="23">
        <v>54</v>
      </c>
      <c r="K58" s="192" t="s">
        <v>29</v>
      </c>
      <c r="L58" s="192" t="s">
        <v>15</v>
      </c>
      <c r="M58" s="192" t="s">
        <v>13</v>
      </c>
      <c r="N58" s="192" t="s">
        <v>15</v>
      </c>
      <c r="O58" s="192" t="s">
        <v>13</v>
      </c>
      <c r="Q58" s="191">
        <v>8</v>
      </c>
      <c r="R58" s="191">
        <v>2</v>
      </c>
      <c r="S58" s="191">
        <v>5</v>
      </c>
      <c r="T58" s="191">
        <v>2</v>
      </c>
      <c r="U58" s="191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2" t="s">
        <v>12</v>
      </c>
      <c r="AD58" s="198">
        <v>4</v>
      </c>
      <c r="AE58" s="198">
        <v>9</v>
      </c>
      <c r="AF58" s="198">
        <v>5</v>
      </c>
      <c r="AG58" s="198">
        <v>21</v>
      </c>
      <c r="AH58" s="198">
        <v>22</v>
      </c>
      <c r="AI58" s="5"/>
      <c r="AJ58" s="132" t="s">
        <v>12</v>
      </c>
      <c r="AK58" s="198">
        <v>4</v>
      </c>
      <c r="AL58" s="198">
        <v>9</v>
      </c>
      <c r="AM58" s="198">
        <v>5</v>
      </c>
      <c r="AN58" s="198">
        <v>21</v>
      </c>
      <c r="AO58" s="198">
        <v>22</v>
      </c>
    </row>
    <row r="59" spans="10:41" ht="16.5" customHeight="1">
      <c r="J59" s="191">
        <v>55</v>
      </c>
      <c r="K59" s="192" t="s">
        <v>29</v>
      </c>
      <c r="L59" s="192" t="s">
        <v>29</v>
      </c>
      <c r="M59" s="192" t="s">
        <v>29</v>
      </c>
      <c r="N59" s="192" t="s">
        <v>85</v>
      </c>
      <c r="O59" s="192" t="s">
        <v>12</v>
      </c>
      <c r="Q59" s="191">
        <v>8</v>
      </c>
      <c r="R59" s="191">
        <v>8</v>
      </c>
      <c r="S59" s="191">
        <v>8</v>
      </c>
      <c r="T59" s="191">
        <v>18</v>
      </c>
      <c r="U59" s="191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2" t="s">
        <v>13</v>
      </c>
      <c r="AD59" s="198">
        <v>43</v>
      </c>
      <c r="AE59" s="198">
        <v>13</v>
      </c>
      <c r="AF59" s="198">
        <v>41</v>
      </c>
      <c r="AG59" s="198">
        <v>14</v>
      </c>
      <c r="AH59" s="198">
        <v>22</v>
      </c>
      <c r="AI59" s="5"/>
      <c r="AJ59" s="132" t="s">
        <v>13</v>
      </c>
      <c r="AK59" s="198">
        <v>43</v>
      </c>
      <c r="AL59" s="198">
        <v>13</v>
      </c>
      <c r="AM59" s="198">
        <v>41</v>
      </c>
      <c r="AN59" s="198">
        <v>14</v>
      </c>
      <c r="AO59" s="198">
        <v>22</v>
      </c>
    </row>
    <row r="60" spans="10:41" ht="16.5" customHeight="1">
      <c r="J60" s="23">
        <v>56</v>
      </c>
      <c r="K60" s="192" t="s">
        <v>13</v>
      </c>
      <c r="L60" s="192" t="s">
        <v>82</v>
      </c>
      <c r="M60" s="192" t="s">
        <v>31</v>
      </c>
      <c r="N60" s="192" t="s">
        <v>30</v>
      </c>
      <c r="O60" s="192" t="s">
        <v>28</v>
      </c>
      <c r="Q60" s="191">
        <v>5</v>
      </c>
      <c r="R60" s="191">
        <v>16</v>
      </c>
      <c r="S60" s="191">
        <v>7</v>
      </c>
      <c r="T60" s="191">
        <v>10</v>
      </c>
      <c r="U60" s="191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2" t="s">
        <v>95</v>
      </c>
      <c r="AD60" s="198">
        <v>43</v>
      </c>
      <c r="AE60" s="198">
        <v>14</v>
      </c>
      <c r="AF60" s="198">
        <v>41</v>
      </c>
      <c r="AG60" s="198">
        <v>14</v>
      </c>
      <c r="AH60" s="198">
        <v>22</v>
      </c>
      <c r="AI60" s="5"/>
      <c r="AJ60" s="132" t="s">
        <v>95</v>
      </c>
      <c r="AK60" s="198">
        <v>43</v>
      </c>
      <c r="AL60" s="198">
        <v>14</v>
      </c>
      <c r="AM60" s="198">
        <v>41</v>
      </c>
      <c r="AN60" s="198">
        <v>14</v>
      </c>
      <c r="AO60" s="198">
        <v>22</v>
      </c>
    </row>
    <row r="61" spans="10:41">
      <c r="J61" s="191">
        <v>57</v>
      </c>
      <c r="K61" s="192" t="s">
        <v>29</v>
      </c>
      <c r="L61" s="192" t="s">
        <v>14</v>
      </c>
      <c r="M61" s="192" t="s">
        <v>29</v>
      </c>
      <c r="N61" s="192" t="s">
        <v>13</v>
      </c>
      <c r="O61" s="192" t="s">
        <v>16</v>
      </c>
      <c r="Q61" s="191">
        <v>8</v>
      </c>
      <c r="R61" s="191">
        <v>1</v>
      </c>
      <c r="S61" s="191">
        <v>8</v>
      </c>
      <c r="T61" s="191">
        <v>5</v>
      </c>
      <c r="U61" s="191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47</v>
      </c>
      <c r="AE61" s="198">
        <v>14</v>
      </c>
      <c r="AF61" s="198">
        <v>41</v>
      </c>
      <c r="AG61" s="198">
        <v>14</v>
      </c>
      <c r="AH61" s="198">
        <v>22</v>
      </c>
      <c r="AI61" s="5"/>
      <c r="AJ61" s="132" t="s">
        <v>31</v>
      </c>
      <c r="AK61" s="198">
        <v>47</v>
      </c>
      <c r="AL61" s="198">
        <v>14</v>
      </c>
      <c r="AM61" s="198">
        <v>41</v>
      </c>
      <c r="AN61" s="198">
        <v>14</v>
      </c>
      <c r="AO61" s="198">
        <v>22</v>
      </c>
    </row>
    <row r="62" spans="10:41">
      <c r="J62" s="23">
        <v>58</v>
      </c>
      <c r="K62" s="192" t="s">
        <v>95</v>
      </c>
      <c r="L62" s="192" t="s">
        <v>29</v>
      </c>
      <c r="M62" s="192" t="s">
        <v>31</v>
      </c>
      <c r="N62" s="192" t="s">
        <v>82</v>
      </c>
      <c r="O62" s="192" t="s">
        <v>12</v>
      </c>
      <c r="Q62" s="191">
        <v>6</v>
      </c>
      <c r="R62" s="191">
        <v>8</v>
      </c>
      <c r="S62" s="191">
        <v>7</v>
      </c>
      <c r="T62" s="191">
        <v>16</v>
      </c>
      <c r="U62" s="191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18</v>
      </c>
      <c r="AF62" s="198">
        <v>41</v>
      </c>
      <c r="AG62" s="198">
        <v>14</v>
      </c>
      <c r="AH62" s="198">
        <v>22</v>
      </c>
      <c r="AI62" s="5"/>
      <c r="AJ62" s="132" t="s">
        <v>29</v>
      </c>
      <c r="AK62" s="198">
        <v>47</v>
      </c>
      <c r="AL62" s="198">
        <v>18</v>
      </c>
      <c r="AM62" s="198">
        <v>41</v>
      </c>
      <c r="AN62" s="198">
        <v>14</v>
      </c>
      <c r="AO62" s="198">
        <v>22</v>
      </c>
    </row>
    <row r="63" spans="10:41" ht="16.5" customHeight="1">
      <c r="J63" s="191">
        <v>59</v>
      </c>
      <c r="K63" s="192" t="s">
        <v>31</v>
      </c>
      <c r="L63" s="192" t="s">
        <v>95</v>
      </c>
      <c r="M63" s="192" t="s">
        <v>16</v>
      </c>
      <c r="N63" s="192" t="s">
        <v>85</v>
      </c>
      <c r="O63" s="192" t="s">
        <v>31</v>
      </c>
      <c r="Q63" s="191">
        <v>7</v>
      </c>
      <c r="R63" s="191">
        <v>6</v>
      </c>
      <c r="S63" s="191">
        <v>3</v>
      </c>
      <c r="T63" s="191">
        <v>18</v>
      </c>
      <c r="U63" s="191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2" t="s">
        <v>28</v>
      </c>
      <c r="AD63" s="198">
        <v>4</v>
      </c>
      <c r="AE63" s="198">
        <v>5</v>
      </c>
      <c r="AF63" s="198">
        <v>5</v>
      </c>
      <c r="AG63" s="198">
        <v>20</v>
      </c>
      <c r="AH63" s="198">
        <v>22</v>
      </c>
      <c r="AI63" s="5"/>
      <c r="AJ63" s="132" t="s">
        <v>28</v>
      </c>
      <c r="AK63" s="198">
        <v>4</v>
      </c>
      <c r="AL63" s="198">
        <v>5</v>
      </c>
      <c r="AM63" s="198">
        <v>5</v>
      </c>
      <c r="AN63" s="198">
        <v>20</v>
      </c>
      <c r="AO63" s="198">
        <v>22</v>
      </c>
    </row>
    <row r="64" spans="10:41" ht="16.5" customHeight="1">
      <c r="J64" s="23">
        <v>60</v>
      </c>
      <c r="K64" s="192" t="s">
        <v>13</v>
      </c>
      <c r="L64" s="192" t="s">
        <v>80</v>
      </c>
      <c r="M64" s="192" t="s">
        <v>29</v>
      </c>
      <c r="N64" s="192" t="s">
        <v>29</v>
      </c>
      <c r="O64" s="192" t="s">
        <v>12</v>
      </c>
      <c r="Q64" s="191">
        <v>5</v>
      </c>
      <c r="R64" s="191">
        <v>13</v>
      </c>
      <c r="S64" s="191">
        <v>8</v>
      </c>
      <c r="T64" s="191">
        <v>8</v>
      </c>
      <c r="U64" s="191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2" t="s">
        <v>30</v>
      </c>
      <c r="AD64" s="198">
        <v>4</v>
      </c>
      <c r="AE64" s="198">
        <v>9</v>
      </c>
      <c r="AF64" s="198">
        <v>4</v>
      </c>
      <c r="AG64" s="198">
        <v>20</v>
      </c>
      <c r="AH64" s="198">
        <v>22</v>
      </c>
      <c r="AI64" s="5"/>
      <c r="AJ64" s="132" t="s">
        <v>30</v>
      </c>
      <c r="AK64" s="198">
        <v>4</v>
      </c>
      <c r="AL64" s="198">
        <v>9</v>
      </c>
      <c r="AM64" s="198">
        <v>4</v>
      </c>
      <c r="AN64" s="198">
        <v>20</v>
      </c>
      <c r="AO64" s="198">
        <v>22</v>
      </c>
    </row>
    <row r="65" spans="10:41" ht="16.5" customHeight="1">
      <c r="J65" s="191">
        <v>61</v>
      </c>
      <c r="K65" s="192" t="s">
        <v>29</v>
      </c>
      <c r="L65" s="192" t="s">
        <v>95</v>
      </c>
      <c r="M65" s="192" t="s">
        <v>13</v>
      </c>
      <c r="N65" s="192" t="s">
        <v>16</v>
      </c>
      <c r="O65" s="192" t="s">
        <v>95</v>
      </c>
      <c r="Q65" s="191">
        <v>8</v>
      </c>
      <c r="R65" s="191">
        <v>6</v>
      </c>
      <c r="S65" s="191">
        <v>5</v>
      </c>
      <c r="T65" s="191">
        <v>3</v>
      </c>
      <c r="U65" s="191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97" t="s">
        <v>78</v>
      </c>
      <c r="AD65" s="199">
        <v>0</v>
      </c>
      <c r="AE65" s="199">
        <v>48</v>
      </c>
      <c r="AF65" s="199">
        <v>0</v>
      </c>
      <c r="AG65" s="199">
        <v>12</v>
      </c>
      <c r="AH65" s="199">
        <v>0</v>
      </c>
      <c r="AI65" s="5"/>
      <c r="AJ65" s="197" t="s">
        <v>78</v>
      </c>
      <c r="AK65" s="199">
        <v>0</v>
      </c>
      <c r="AL65" s="199">
        <v>48</v>
      </c>
      <c r="AM65" s="199">
        <v>0</v>
      </c>
      <c r="AN65" s="199">
        <v>12</v>
      </c>
      <c r="AO65" s="199">
        <v>0</v>
      </c>
    </row>
    <row r="66" spans="10:41" ht="16.5" customHeight="1">
      <c r="J66" s="23">
        <v>62</v>
      </c>
      <c r="K66" s="192" t="s">
        <v>31</v>
      </c>
      <c r="L66" s="192" t="s">
        <v>28</v>
      </c>
      <c r="M66" s="192" t="s">
        <v>13</v>
      </c>
      <c r="N66" s="192" t="s">
        <v>30</v>
      </c>
      <c r="O66" s="192" t="s">
        <v>30</v>
      </c>
      <c r="Q66" s="191">
        <v>7</v>
      </c>
      <c r="R66" s="191">
        <v>9</v>
      </c>
      <c r="S66" s="191">
        <v>5</v>
      </c>
      <c r="T66" s="191">
        <v>10</v>
      </c>
      <c r="U66" s="191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97" t="s">
        <v>79</v>
      </c>
      <c r="AD66" s="199">
        <v>0</v>
      </c>
      <c r="AE66" s="199">
        <v>15</v>
      </c>
      <c r="AF66" s="199">
        <v>0</v>
      </c>
      <c r="AG66" s="199">
        <v>12</v>
      </c>
      <c r="AH66" s="199">
        <v>0</v>
      </c>
      <c r="AI66" s="5"/>
      <c r="AJ66" s="197" t="s">
        <v>79</v>
      </c>
      <c r="AK66" s="199">
        <v>0</v>
      </c>
      <c r="AL66" s="199">
        <v>15</v>
      </c>
      <c r="AM66" s="199">
        <v>0</v>
      </c>
      <c r="AN66" s="199">
        <v>12</v>
      </c>
      <c r="AO66" s="199">
        <v>0</v>
      </c>
    </row>
    <row r="67" spans="10:41" ht="16.5" customHeight="1">
      <c r="J67" s="191">
        <v>63</v>
      </c>
      <c r="K67" s="192" t="s">
        <v>95</v>
      </c>
      <c r="L67" s="192" t="s">
        <v>96</v>
      </c>
      <c r="M67" s="192" t="s">
        <v>29</v>
      </c>
      <c r="N67" s="192" t="s">
        <v>14</v>
      </c>
      <c r="O67" s="192" t="s">
        <v>31</v>
      </c>
      <c r="Q67" s="191">
        <v>6</v>
      </c>
      <c r="R67" s="191">
        <v>15</v>
      </c>
      <c r="S67" s="191">
        <v>8</v>
      </c>
      <c r="T67" s="191">
        <v>1</v>
      </c>
      <c r="U67" s="191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21</v>
      </c>
      <c r="AF67" s="199">
        <v>0</v>
      </c>
      <c r="AG67" s="199">
        <v>12</v>
      </c>
      <c r="AH67" s="199">
        <v>0</v>
      </c>
      <c r="AI67" s="5"/>
      <c r="AJ67" s="197" t="s">
        <v>80</v>
      </c>
      <c r="AK67" s="199">
        <v>0</v>
      </c>
      <c r="AL67" s="199">
        <v>21</v>
      </c>
      <c r="AM67" s="199">
        <v>0</v>
      </c>
      <c r="AN67" s="199">
        <v>12</v>
      </c>
      <c r="AO67" s="199">
        <v>0</v>
      </c>
    </row>
    <row r="68" spans="10:41" ht="16.5" customHeight="1">
      <c r="J68" s="23">
        <v>64</v>
      </c>
      <c r="K68" s="192" t="s">
        <v>13</v>
      </c>
      <c r="L68" s="192" t="s">
        <v>79</v>
      </c>
      <c r="M68" s="192" t="s">
        <v>94</v>
      </c>
      <c r="N68" s="192" t="s">
        <v>15</v>
      </c>
      <c r="O68" s="192" t="s">
        <v>95</v>
      </c>
      <c r="Q68" s="191">
        <v>5</v>
      </c>
      <c r="R68" s="191">
        <v>12</v>
      </c>
      <c r="S68" s="191">
        <v>17</v>
      </c>
      <c r="T68" s="191">
        <v>2</v>
      </c>
      <c r="U68" s="191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97" t="s">
        <v>81</v>
      </c>
      <c r="AD68" s="199">
        <v>0</v>
      </c>
      <c r="AE68" s="199">
        <v>30</v>
      </c>
      <c r="AF68" s="199">
        <v>9</v>
      </c>
      <c r="AG68" s="199">
        <v>9</v>
      </c>
      <c r="AH68" s="199">
        <v>0</v>
      </c>
      <c r="AI68" s="5"/>
      <c r="AJ68" s="197" t="s">
        <v>81</v>
      </c>
      <c r="AK68" s="199">
        <v>0</v>
      </c>
      <c r="AL68" s="199">
        <v>30</v>
      </c>
      <c r="AM68" s="199">
        <v>9</v>
      </c>
      <c r="AN68" s="199">
        <v>9</v>
      </c>
      <c r="AO68" s="199">
        <v>0</v>
      </c>
    </row>
    <row r="69" spans="10:41" ht="16.5" customHeight="1">
      <c r="J69" s="191">
        <v>65</v>
      </c>
      <c r="K69" s="192" t="s">
        <v>29</v>
      </c>
      <c r="L69" s="192" t="s">
        <v>14</v>
      </c>
      <c r="M69" s="192" t="s">
        <v>95</v>
      </c>
      <c r="N69" s="192" t="s">
        <v>31</v>
      </c>
      <c r="O69" s="192" t="s">
        <v>12</v>
      </c>
      <c r="Q69" s="191">
        <v>8</v>
      </c>
      <c r="R69" s="191">
        <v>1</v>
      </c>
      <c r="S69" s="191">
        <v>6</v>
      </c>
      <c r="T69" s="191">
        <v>7</v>
      </c>
      <c r="U69" s="191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97" t="s">
        <v>96</v>
      </c>
      <c r="AD69" s="199">
        <v>0</v>
      </c>
      <c r="AE69" s="199">
        <v>33</v>
      </c>
      <c r="AF69" s="199">
        <v>9</v>
      </c>
      <c r="AG69" s="199">
        <v>9</v>
      </c>
      <c r="AH69" s="199">
        <v>0</v>
      </c>
      <c r="AI69" s="5"/>
      <c r="AJ69" s="197" t="s">
        <v>96</v>
      </c>
      <c r="AK69" s="199">
        <v>0</v>
      </c>
      <c r="AL69" s="199">
        <v>33</v>
      </c>
      <c r="AM69" s="199">
        <v>9</v>
      </c>
      <c r="AN69" s="199">
        <v>9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95</v>
      </c>
      <c r="M70" s="192" t="s">
        <v>13</v>
      </c>
      <c r="N70" s="192" t="s">
        <v>31</v>
      </c>
      <c r="O70" s="192" t="s">
        <v>95</v>
      </c>
      <c r="Q70" s="191">
        <v>8</v>
      </c>
      <c r="R70" s="191">
        <v>6</v>
      </c>
      <c r="S70" s="191">
        <v>5</v>
      </c>
      <c r="T70" s="191">
        <v>7</v>
      </c>
      <c r="U70" s="191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97" t="s">
        <v>82</v>
      </c>
      <c r="AD70" s="199">
        <v>0</v>
      </c>
      <c r="AE70" s="199">
        <v>33</v>
      </c>
      <c r="AF70" s="199">
        <v>9</v>
      </c>
      <c r="AG70" s="199">
        <v>9</v>
      </c>
      <c r="AH70" s="199">
        <v>0</v>
      </c>
      <c r="AI70" s="5"/>
      <c r="AJ70" s="197" t="s">
        <v>82</v>
      </c>
      <c r="AK70" s="199">
        <v>0</v>
      </c>
      <c r="AL70" s="199">
        <v>33</v>
      </c>
      <c r="AM70" s="199">
        <v>9</v>
      </c>
      <c r="AN70" s="199">
        <v>9</v>
      </c>
      <c r="AO70" s="199">
        <v>0</v>
      </c>
    </row>
    <row r="71" spans="10:41" ht="16.5" customHeight="1">
      <c r="J71" s="191">
        <v>67</v>
      </c>
      <c r="K71" s="192" t="s">
        <v>13</v>
      </c>
      <c r="L71" s="192" t="s">
        <v>95</v>
      </c>
      <c r="M71" s="192" t="s">
        <v>28</v>
      </c>
      <c r="N71" s="192" t="s">
        <v>82</v>
      </c>
      <c r="O71" s="192" t="s">
        <v>30</v>
      </c>
      <c r="Q71" s="191">
        <v>5</v>
      </c>
      <c r="R71" s="191">
        <v>6</v>
      </c>
      <c r="S71" s="191">
        <v>9</v>
      </c>
      <c r="T71" s="191">
        <v>16</v>
      </c>
      <c r="U71" s="191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97" t="s">
        <v>94</v>
      </c>
      <c r="AD71" s="199">
        <v>0</v>
      </c>
      <c r="AE71" s="199">
        <v>24</v>
      </c>
      <c r="AF71" s="199">
        <v>9</v>
      </c>
      <c r="AG71" s="199">
        <v>9</v>
      </c>
      <c r="AH71" s="199">
        <v>0</v>
      </c>
      <c r="AI71" s="5"/>
      <c r="AJ71" s="197" t="s">
        <v>94</v>
      </c>
      <c r="AK71" s="199">
        <v>0</v>
      </c>
      <c r="AL71" s="199">
        <v>24</v>
      </c>
      <c r="AM71" s="199">
        <v>9</v>
      </c>
      <c r="AN71" s="199">
        <v>9</v>
      </c>
      <c r="AO71" s="199">
        <v>0</v>
      </c>
    </row>
    <row r="72" spans="10:41" ht="16.5" customHeight="1">
      <c r="J72" s="23">
        <v>68</v>
      </c>
      <c r="K72" s="192" t="s">
        <v>30</v>
      </c>
      <c r="L72" s="192" t="s">
        <v>78</v>
      </c>
      <c r="M72" s="192" t="s">
        <v>95</v>
      </c>
      <c r="N72" s="192" t="s">
        <v>16</v>
      </c>
      <c r="O72" s="192" t="s">
        <v>28</v>
      </c>
      <c r="Q72" s="191">
        <v>10</v>
      </c>
      <c r="R72" s="191">
        <v>11</v>
      </c>
      <c r="S72" s="191">
        <v>6</v>
      </c>
      <c r="T72" s="191">
        <v>3</v>
      </c>
      <c r="U72" s="191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97" t="s">
        <v>85</v>
      </c>
      <c r="AD72" s="199">
        <v>0</v>
      </c>
      <c r="AE72" s="199">
        <v>18</v>
      </c>
      <c r="AF72" s="199">
        <v>0</v>
      </c>
      <c r="AG72" s="199">
        <v>12</v>
      </c>
      <c r="AH72" s="199">
        <v>0</v>
      </c>
      <c r="AI72" s="5"/>
      <c r="AJ72" s="197" t="s">
        <v>85</v>
      </c>
      <c r="AK72" s="199">
        <v>0</v>
      </c>
      <c r="AL72" s="199">
        <v>18</v>
      </c>
      <c r="AM72" s="199">
        <v>0</v>
      </c>
      <c r="AN72" s="199">
        <v>12</v>
      </c>
      <c r="AO72" s="199">
        <v>0</v>
      </c>
    </row>
    <row r="73" spans="10:41" ht="16.5" customHeight="1">
      <c r="J73" s="191">
        <v>69</v>
      </c>
      <c r="K73" s="192" t="s">
        <v>13</v>
      </c>
      <c r="L73" s="192" t="s">
        <v>12</v>
      </c>
      <c r="M73" s="192" t="s">
        <v>95</v>
      </c>
      <c r="N73" s="192" t="s">
        <v>12</v>
      </c>
      <c r="O73" s="192" t="s">
        <v>12</v>
      </c>
      <c r="Q73" s="191">
        <v>5</v>
      </c>
      <c r="R73" s="191">
        <v>4</v>
      </c>
      <c r="S73" s="191">
        <v>6</v>
      </c>
      <c r="T73" s="191">
        <v>4</v>
      </c>
      <c r="U73" s="191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97" t="s">
        <v>87</v>
      </c>
      <c r="AD73" s="199">
        <v>0</v>
      </c>
      <c r="AE73" s="199">
        <v>18</v>
      </c>
      <c r="AF73" s="199">
        <v>0</v>
      </c>
      <c r="AG73" s="199">
        <v>12</v>
      </c>
      <c r="AH73" s="199">
        <v>0</v>
      </c>
      <c r="AI73" s="5"/>
      <c r="AJ73" s="197" t="s">
        <v>87</v>
      </c>
      <c r="AK73" s="199">
        <v>0</v>
      </c>
      <c r="AL73" s="199">
        <v>18</v>
      </c>
      <c r="AM73" s="199">
        <v>0</v>
      </c>
      <c r="AN73" s="199">
        <v>12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29</v>
      </c>
      <c r="M74" s="192" t="s">
        <v>29</v>
      </c>
      <c r="N74" s="192" t="s">
        <v>28</v>
      </c>
      <c r="O74" s="192" t="s">
        <v>95</v>
      </c>
      <c r="Q74" s="191">
        <v>8</v>
      </c>
      <c r="R74" s="191">
        <v>8</v>
      </c>
      <c r="S74" s="191">
        <v>8</v>
      </c>
      <c r="T74" s="191">
        <v>9</v>
      </c>
      <c r="U74" s="191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1">
        <v>200</v>
      </c>
      <c r="AE74" s="101">
        <v>360</v>
      </c>
      <c r="AF74" s="101">
        <v>224</v>
      </c>
      <c r="AG74" s="101">
        <v>264</v>
      </c>
      <c r="AH74" s="101">
        <v>200</v>
      </c>
      <c r="AI74" s="5"/>
      <c r="AK74" s="101">
        <v>200</v>
      </c>
      <c r="AL74" s="101">
        <v>360</v>
      </c>
      <c r="AM74" s="101">
        <v>224</v>
      </c>
      <c r="AN74" s="101">
        <v>264</v>
      </c>
      <c r="AO74" s="101">
        <v>200</v>
      </c>
    </row>
    <row r="75" spans="10:41" ht="16.5" customHeight="1">
      <c r="J75" s="191">
        <v>71</v>
      </c>
      <c r="K75" s="192" t="s">
        <v>12</v>
      </c>
      <c r="L75" s="192" t="s">
        <v>78</v>
      </c>
      <c r="M75" s="192" t="s">
        <v>95</v>
      </c>
      <c r="N75" s="192" t="s">
        <v>95</v>
      </c>
      <c r="O75" s="192" t="s">
        <v>15</v>
      </c>
      <c r="Q75" s="191">
        <v>4</v>
      </c>
      <c r="R75" s="191">
        <v>11</v>
      </c>
      <c r="S75" s="191">
        <v>6</v>
      </c>
      <c r="T75" s="191">
        <v>6</v>
      </c>
      <c r="U75" s="191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16</v>
      </c>
      <c r="L76" s="192" t="s">
        <v>30</v>
      </c>
      <c r="M76" s="192" t="s">
        <v>13</v>
      </c>
      <c r="N76" s="192" t="s">
        <v>14</v>
      </c>
      <c r="O76" s="192" t="s">
        <v>31</v>
      </c>
      <c r="Q76" s="191">
        <v>3</v>
      </c>
      <c r="R76" s="191">
        <v>10</v>
      </c>
      <c r="S76" s="191">
        <v>5</v>
      </c>
      <c r="T76" s="191">
        <v>1</v>
      </c>
      <c r="U76" s="191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87</v>
      </c>
      <c r="M77" s="192" t="s">
        <v>29</v>
      </c>
      <c r="N77" s="192" t="s">
        <v>28</v>
      </c>
      <c r="O77" s="192" t="s">
        <v>95</v>
      </c>
      <c r="Q77" s="191">
        <v>5</v>
      </c>
      <c r="R77" s="191">
        <v>19</v>
      </c>
      <c r="S77" s="191">
        <v>8</v>
      </c>
      <c r="T77" s="191">
        <v>9</v>
      </c>
      <c r="U77" s="191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92" t="s">
        <v>29</v>
      </c>
      <c r="L78" s="192" t="s">
        <v>15</v>
      </c>
      <c r="M78" s="192" t="s">
        <v>95</v>
      </c>
      <c r="N78" s="192" t="s">
        <v>16</v>
      </c>
      <c r="O78" s="192" t="s">
        <v>16</v>
      </c>
      <c r="Q78" s="191">
        <v>8</v>
      </c>
      <c r="R78" s="191">
        <v>2</v>
      </c>
      <c r="S78" s="191">
        <v>6</v>
      </c>
      <c r="T78" s="191">
        <v>3</v>
      </c>
      <c r="U78" s="191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91">
        <v>75</v>
      </c>
      <c r="K79" s="192" t="s">
        <v>95</v>
      </c>
      <c r="L79" s="192" t="s">
        <v>15</v>
      </c>
      <c r="M79" s="192" t="s">
        <v>95</v>
      </c>
      <c r="N79" s="192" t="s">
        <v>95</v>
      </c>
      <c r="O79" s="192" t="s">
        <v>16</v>
      </c>
      <c r="Q79" s="191">
        <v>6</v>
      </c>
      <c r="R79" s="191">
        <v>2</v>
      </c>
      <c r="S79" s="191">
        <v>6</v>
      </c>
      <c r="T79" s="191">
        <v>6</v>
      </c>
      <c r="U79" s="191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78</v>
      </c>
      <c r="M80" s="192" t="s">
        <v>96</v>
      </c>
      <c r="N80" s="192" t="s">
        <v>13</v>
      </c>
      <c r="O80" s="192" t="s">
        <v>13</v>
      </c>
      <c r="Q80" s="191">
        <v>7</v>
      </c>
      <c r="R80" s="191">
        <v>11</v>
      </c>
      <c r="S80" s="191">
        <v>15</v>
      </c>
      <c r="T80" s="191">
        <v>5</v>
      </c>
      <c r="U80" s="191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28</v>
      </c>
      <c r="M81" s="192" t="s">
        <v>29</v>
      </c>
      <c r="N81" s="192" t="s">
        <v>15</v>
      </c>
      <c r="O81" s="192" t="s">
        <v>31</v>
      </c>
      <c r="Q81" s="191">
        <v>7</v>
      </c>
      <c r="R81" s="191">
        <v>9</v>
      </c>
      <c r="S81" s="191">
        <v>8</v>
      </c>
      <c r="T81" s="191">
        <v>2</v>
      </c>
      <c r="U81" s="191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95</v>
      </c>
      <c r="L82" s="192" t="s">
        <v>15</v>
      </c>
      <c r="M82" s="192" t="s">
        <v>95</v>
      </c>
      <c r="N82" s="192" t="s">
        <v>12</v>
      </c>
      <c r="O82" s="192" t="s">
        <v>15</v>
      </c>
      <c r="Q82" s="191">
        <v>6</v>
      </c>
      <c r="R82" s="191">
        <v>2</v>
      </c>
      <c r="S82" s="191">
        <v>6</v>
      </c>
      <c r="T82" s="191">
        <v>4</v>
      </c>
      <c r="U82" s="191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31</v>
      </c>
      <c r="L83" s="192" t="s">
        <v>94</v>
      </c>
      <c r="M83" s="192" t="s">
        <v>29</v>
      </c>
      <c r="N83" s="192" t="s">
        <v>12</v>
      </c>
      <c r="O83" s="192" t="s">
        <v>31</v>
      </c>
      <c r="Q83" s="191">
        <v>7</v>
      </c>
      <c r="R83" s="191">
        <v>17</v>
      </c>
      <c r="S83" s="191">
        <v>8</v>
      </c>
      <c r="T83" s="191">
        <v>4</v>
      </c>
      <c r="U83" s="191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13</v>
      </c>
      <c r="L84" s="192" t="s">
        <v>13</v>
      </c>
      <c r="M84" s="192" t="s">
        <v>31</v>
      </c>
      <c r="N84" s="192" t="s">
        <v>12</v>
      </c>
      <c r="O84" s="192" t="s">
        <v>15</v>
      </c>
      <c r="Q84" s="191">
        <v>5</v>
      </c>
      <c r="R84" s="191">
        <v>5</v>
      </c>
      <c r="S84" s="191">
        <v>7</v>
      </c>
      <c r="T84" s="191">
        <v>4</v>
      </c>
      <c r="U84" s="191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80</v>
      </c>
      <c r="M85" s="192" t="s">
        <v>31</v>
      </c>
      <c r="N85" s="192" t="s">
        <v>31</v>
      </c>
      <c r="O85" s="192" t="s">
        <v>30</v>
      </c>
      <c r="Q85" s="191">
        <v>5</v>
      </c>
      <c r="R85" s="191">
        <v>13</v>
      </c>
      <c r="S85" s="191">
        <v>7</v>
      </c>
      <c r="T85" s="191">
        <v>7</v>
      </c>
      <c r="U85" s="191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96</v>
      </c>
      <c r="M86" s="192" t="s">
        <v>29</v>
      </c>
      <c r="N86" s="192" t="s">
        <v>29</v>
      </c>
      <c r="O86" s="192" t="s">
        <v>16</v>
      </c>
      <c r="Q86" s="191">
        <v>8</v>
      </c>
      <c r="R86" s="191">
        <v>15</v>
      </c>
      <c r="S86" s="191">
        <v>8</v>
      </c>
      <c r="T86" s="191">
        <v>8</v>
      </c>
      <c r="U86" s="191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13</v>
      </c>
      <c r="L87" s="192" t="s">
        <v>96</v>
      </c>
      <c r="M87" s="192" t="s">
        <v>13</v>
      </c>
      <c r="N87" s="192" t="s">
        <v>30</v>
      </c>
      <c r="O87" s="192" t="s">
        <v>29</v>
      </c>
      <c r="Q87" s="191">
        <v>5</v>
      </c>
      <c r="R87" s="191">
        <v>15</v>
      </c>
      <c r="S87" s="191">
        <v>5</v>
      </c>
      <c r="T87" s="191">
        <v>10</v>
      </c>
      <c r="U87" s="191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29</v>
      </c>
      <c r="L88" s="192" t="s">
        <v>30</v>
      </c>
      <c r="M88" s="192" t="s">
        <v>16</v>
      </c>
      <c r="N88" s="192" t="s">
        <v>30</v>
      </c>
      <c r="O88" s="192" t="s">
        <v>15</v>
      </c>
      <c r="Q88" s="191">
        <v>8</v>
      </c>
      <c r="R88" s="191">
        <v>10</v>
      </c>
      <c r="S88" s="191">
        <v>3</v>
      </c>
      <c r="T88" s="191">
        <v>10</v>
      </c>
      <c r="U88" s="191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91">
        <v>85</v>
      </c>
      <c r="K89" s="192" t="s">
        <v>95</v>
      </c>
      <c r="L89" s="192" t="s">
        <v>12</v>
      </c>
      <c r="M89" s="192" t="s">
        <v>82</v>
      </c>
      <c r="N89" s="192" t="s">
        <v>29</v>
      </c>
      <c r="O89" s="192" t="s">
        <v>13</v>
      </c>
      <c r="Q89" s="191">
        <v>6</v>
      </c>
      <c r="R89" s="191">
        <v>4</v>
      </c>
      <c r="S89" s="191">
        <v>16</v>
      </c>
      <c r="T89" s="191">
        <v>8</v>
      </c>
      <c r="U89" s="191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92" t="s">
        <v>95</v>
      </c>
      <c r="L90" s="192" t="s">
        <v>12</v>
      </c>
      <c r="M90" s="192" t="s">
        <v>13</v>
      </c>
      <c r="N90" s="192" t="s">
        <v>85</v>
      </c>
      <c r="O90" s="192" t="s">
        <v>15</v>
      </c>
      <c r="Q90" s="191">
        <v>6</v>
      </c>
      <c r="R90" s="191">
        <v>4</v>
      </c>
      <c r="S90" s="191">
        <v>5</v>
      </c>
      <c r="T90" s="191">
        <v>18</v>
      </c>
      <c r="U90" s="191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91">
        <v>87</v>
      </c>
      <c r="K91" s="192" t="s">
        <v>29</v>
      </c>
      <c r="L91" s="192" t="s">
        <v>87</v>
      </c>
      <c r="M91" s="192" t="s">
        <v>31</v>
      </c>
      <c r="N91" s="192" t="s">
        <v>95</v>
      </c>
      <c r="O91" s="192" t="s">
        <v>15</v>
      </c>
      <c r="Q91" s="191">
        <v>8</v>
      </c>
      <c r="R91" s="191">
        <v>19</v>
      </c>
      <c r="S91" s="191">
        <v>7</v>
      </c>
      <c r="T91" s="191">
        <v>6</v>
      </c>
      <c r="U91" s="191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92" t="s">
        <v>95</v>
      </c>
      <c r="L92" s="192" t="s">
        <v>81</v>
      </c>
      <c r="M92" s="192" t="s">
        <v>95</v>
      </c>
      <c r="N92" s="192" t="s">
        <v>95</v>
      </c>
      <c r="O92" s="192" t="s">
        <v>16</v>
      </c>
      <c r="Q92" s="191">
        <v>6</v>
      </c>
      <c r="R92" s="191">
        <v>14</v>
      </c>
      <c r="S92" s="191">
        <v>6</v>
      </c>
      <c r="T92" s="191">
        <v>6</v>
      </c>
      <c r="U92" s="191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31</v>
      </c>
      <c r="L93" s="192" t="s">
        <v>16</v>
      </c>
      <c r="M93" s="192" t="s">
        <v>81</v>
      </c>
      <c r="N93" s="192" t="s">
        <v>78</v>
      </c>
      <c r="O93" s="192" t="s">
        <v>13</v>
      </c>
      <c r="Q93" s="191">
        <v>7</v>
      </c>
      <c r="R93" s="191">
        <v>3</v>
      </c>
      <c r="S93" s="191">
        <v>14</v>
      </c>
      <c r="T93" s="191">
        <v>11</v>
      </c>
      <c r="U93" s="191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29</v>
      </c>
      <c r="L94" s="192" t="s">
        <v>16</v>
      </c>
      <c r="M94" s="192" t="s">
        <v>29</v>
      </c>
      <c r="N94" s="192" t="s">
        <v>95</v>
      </c>
      <c r="O94" s="192" t="s">
        <v>31</v>
      </c>
      <c r="Q94" s="191">
        <v>8</v>
      </c>
      <c r="R94" s="191">
        <v>3</v>
      </c>
      <c r="S94" s="191">
        <v>8</v>
      </c>
      <c r="T94" s="191">
        <v>6</v>
      </c>
      <c r="U94" s="191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29</v>
      </c>
      <c r="L95" s="192" t="s">
        <v>31</v>
      </c>
      <c r="M95" s="192" t="s">
        <v>29</v>
      </c>
      <c r="N95" s="192" t="s">
        <v>81</v>
      </c>
      <c r="O95" s="192" t="s">
        <v>30</v>
      </c>
      <c r="Q95" s="191">
        <v>8</v>
      </c>
      <c r="R95" s="191">
        <v>7</v>
      </c>
      <c r="S95" s="191">
        <v>8</v>
      </c>
      <c r="T95" s="191">
        <v>14</v>
      </c>
      <c r="U95" s="191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82</v>
      </c>
      <c r="M96" s="192" t="s">
        <v>29</v>
      </c>
      <c r="N96" s="192" t="s">
        <v>16</v>
      </c>
      <c r="O96" s="192" t="s">
        <v>95</v>
      </c>
      <c r="Q96" s="191">
        <v>8</v>
      </c>
      <c r="R96" s="191">
        <v>16</v>
      </c>
      <c r="S96" s="191">
        <v>8</v>
      </c>
      <c r="T96" s="191">
        <v>3</v>
      </c>
      <c r="U96" s="191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91">
        <v>93</v>
      </c>
      <c r="K97" s="192" t="s">
        <v>95</v>
      </c>
      <c r="L97" s="192" t="s">
        <v>28</v>
      </c>
      <c r="M97" s="192" t="s">
        <v>31</v>
      </c>
      <c r="N97" s="192" t="s">
        <v>12</v>
      </c>
      <c r="O97" s="192" t="s">
        <v>95</v>
      </c>
      <c r="Q97" s="191">
        <v>6</v>
      </c>
      <c r="R97" s="191">
        <v>9</v>
      </c>
      <c r="S97" s="191">
        <v>7</v>
      </c>
      <c r="T97" s="191">
        <v>4</v>
      </c>
      <c r="U97" s="191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30</v>
      </c>
      <c r="M98" s="192" t="s">
        <v>95</v>
      </c>
      <c r="N98" s="192" t="s">
        <v>12</v>
      </c>
      <c r="O98" s="192" t="s">
        <v>15</v>
      </c>
      <c r="Q98" s="191">
        <v>8</v>
      </c>
      <c r="R98" s="191">
        <v>10</v>
      </c>
      <c r="S98" s="191">
        <v>6</v>
      </c>
      <c r="T98" s="191">
        <v>4</v>
      </c>
      <c r="U98" s="191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91">
        <v>95</v>
      </c>
      <c r="K99" s="192" t="s">
        <v>30</v>
      </c>
      <c r="L99" s="192" t="s">
        <v>79</v>
      </c>
      <c r="M99" s="192" t="s">
        <v>31</v>
      </c>
      <c r="N99" s="192" t="s">
        <v>15</v>
      </c>
      <c r="O99" s="192" t="s">
        <v>13</v>
      </c>
      <c r="Q99" s="191">
        <v>10</v>
      </c>
      <c r="R99" s="191">
        <v>12</v>
      </c>
      <c r="S99" s="191">
        <v>7</v>
      </c>
      <c r="T99" s="191">
        <v>2</v>
      </c>
      <c r="U99" s="191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29</v>
      </c>
      <c r="M100" s="192" t="s">
        <v>15</v>
      </c>
      <c r="N100" s="192" t="s">
        <v>15</v>
      </c>
      <c r="O100" s="192" t="s">
        <v>28</v>
      </c>
      <c r="Q100" s="191">
        <v>5</v>
      </c>
      <c r="R100" s="191">
        <v>8</v>
      </c>
      <c r="S100" s="191">
        <v>2</v>
      </c>
      <c r="T100" s="191">
        <v>2</v>
      </c>
      <c r="U100" s="191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78</v>
      </c>
      <c r="M101" s="192" t="s">
        <v>13</v>
      </c>
      <c r="N101" s="192" t="s">
        <v>15</v>
      </c>
      <c r="O101" s="192" t="s">
        <v>30</v>
      </c>
      <c r="Q101" s="191">
        <v>8</v>
      </c>
      <c r="R101" s="191">
        <v>11</v>
      </c>
      <c r="S101" s="191">
        <v>5</v>
      </c>
      <c r="T101" s="191">
        <v>2</v>
      </c>
      <c r="U101" s="191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92" t="s">
        <v>31</v>
      </c>
      <c r="L102" s="192" t="s">
        <v>16</v>
      </c>
      <c r="M102" s="192" t="s">
        <v>29</v>
      </c>
      <c r="N102" s="192" t="s">
        <v>95</v>
      </c>
      <c r="O102" s="192" t="s">
        <v>28</v>
      </c>
      <c r="Q102" s="191">
        <v>7</v>
      </c>
      <c r="R102" s="191">
        <v>3</v>
      </c>
      <c r="S102" s="191">
        <v>8</v>
      </c>
      <c r="T102" s="191">
        <v>6</v>
      </c>
      <c r="U102" s="191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14</v>
      </c>
      <c r="M103" s="192" t="s">
        <v>95</v>
      </c>
      <c r="N103" s="192" t="s">
        <v>31</v>
      </c>
      <c r="O103" s="192" t="s">
        <v>16</v>
      </c>
      <c r="Q103" s="191">
        <v>7</v>
      </c>
      <c r="R103" s="191">
        <v>1</v>
      </c>
      <c r="S103" s="191">
        <v>6</v>
      </c>
      <c r="T103" s="191">
        <v>7</v>
      </c>
      <c r="U103" s="191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92" t="s">
        <v>31</v>
      </c>
      <c r="L104" s="192" t="s">
        <v>15</v>
      </c>
      <c r="M104" s="192" t="s">
        <v>95</v>
      </c>
      <c r="N104" s="192" t="s">
        <v>95</v>
      </c>
      <c r="O104" s="192" t="s">
        <v>13</v>
      </c>
      <c r="Q104" s="191">
        <v>7</v>
      </c>
      <c r="R104" s="191">
        <v>2</v>
      </c>
      <c r="S104" s="191">
        <v>6</v>
      </c>
      <c r="T104" s="191">
        <v>6</v>
      </c>
      <c r="U104" s="191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81</v>
      </c>
      <c r="M105" s="192" t="s">
        <v>95</v>
      </c>
      <c r="N105" s="192" t="s">
        <v>80</v>
      </c>
      <c r="O105" s="192" t="s">
        <v>95</v>
      </c>
      <c r="Q105" s="191">
        <v>6</v>
      </c>
      <c r="R105" s="191">
        <v>14</v>
      </c>
      <c r="S105" s="191">
        <v>6</v>
      </c>
      <c r="T105" s="191">
        <v>13</v>
      </c>
      <c r="U105" s="191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95</v>
      </c>
      <c r="L106" s="192" t="s">
        <v>81</v>
      </c>
      <c r="M106" s="192" t="s">
        <v>29</v>
      </c>
      <c r="N106" s="192" t="s">
        <v>30</v>
      </c>
      <c r="O106" s="192" t="s">
        <v>29</v>
      </c>
      <c r="Q106" s="191">
        <v>6</v>
      </c>
      <c r="R106" s="191">
        <v>14</v>
      </c>
      <c r="S106" s="191">
        <v>8</v>
      </c>
      <c r="T106" s="191">
        <v>10</v>
      </c>
      <c r="U106" s="191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12</v>
      </c>
      <c r="M107" s="192" t="s">
        <v>31</v>
      </c>
      <c r="N107" s="192" t="s">
        <v>13</v>
      </c>
      <c r="O107" s="192" t="s">
        <v>12</v>
      </c>
      <c r="Q107" s="191">
        <v>8</v>
      </c>
      <c r="R107" s="191">
        <v>4</v>
      </c>
      <c r="S107" s="191">
        <v>7</v>
      </c>
      <c r="T107" s="191">
        <v>5</v>
      </c>
      <c r="U107" s="191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94</v>
      </c>
      <c r="M108" s="192" t="s">
        <v>95</v>
      </c>
      <c r="N108" s="192" t="s">
        <v>95</v>
      </c>
      <c r="O108" s="192" t="s">
        <v>16</v>
      </c>
      <c r="Q108" s="191">
        <v>5</v>
      </c>
      <c r="R108" s="191">
        <v>17</v>
      </c>
      <c r="S108" s="191">
        <v>6</v>
      </c>
      <c r="T108" s="191">
        <v>6</v>
      </c>
      <c r="U108" s="191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95</v>
      </c>
      <c r="L109" s="192" t="s">
        <v>16</v>
      </c>
      <c r="M109" s="192" t="s">
        <v>29</v>
      </c>
      <c r="N109" s="192" t="s">
        <v>30</v>
      </c>
      <c r="O109" s="192" t="s">
        <v>16</v>
      </c>
      <c r="Q109" s="191">
        <v>6</v>
      </c>
      <c r="R109" s="191">
        <v>3</v>
      </c>
      <c r="S109" s="191">
        <v>8</v>
      </c>
      <c r="T109" s="191">
        <v>10</v>
      </c>
      <c r="U109" s="191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29</v>
      </c>
      <c r="M110" s="192" t="s">
        <v>29</v>
      </c>
      <c r="N110" s="192" t="s">
        <v>14</v>
      </c>
      <c r="O110" s="192" t="s">
        <v>29</v>
      </c>
      <c r="Q110" s="191">
        <v>8</v>
      </c>
      <c r="R110" s="191">
        <v>8</v>
      </c>
      <c r="S110" s="191">
        <v>8</v>
      </c>
      <c r="T110" s="191">
        <v>1</v>
      </c>
      <c r="U110" s="191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16</v>
      </c>
      <c r="L111" s="192" t="s">
        <v>80</v>
      </c>
      <c r="M111" s="192" t="s">
        <v>31</v>
      </c>
      <c r="N111" s="192" t="s">
        <v>16</v>
      </c>
      <c r="O111" s="192" t="s">
        <v>28</v>
      </c>
      <c r="Q111" s="191">
        <v>3</v>
      </c>
      <c r="R111" s="191">
        <v>13</v>
      </c>
      <c r="S111" s="191">
        <v>7</v>
      </c>
      <c r="T111" s="191">
        <v>3</v>
      </c>
      <c r="U111" s="191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91">
        <v>108</v>
      </c>
      <c r="K112" s="192" t="s">
        <v>31</v>
      </c>
      <c r="L112" s="192" t="s">
        <v>31</v>
      </c>
      <c r="M112" s="192" t="s">
        <v>31</v>
      </c>
      <c r="N112" s="192" t="s">
        <v>96</v>
      </c>
      <c r="O112" s="192" t="s">
        <v>28</v>
      </c>
      <c r="Q112" s="191">
        <v>7</v>
      </c>
      <c r="R112" s="191">
        <v>7</v>
      </c>
      <c r="S112" s="191">
        <v>7</v>
      </c>
      <c r="T112" s="191">
        <v>15</v>
      </c>
      <c r="U112" s="191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13</v>
      </c>
      <c r="M113" s="192" t="s">
        <v>95</v>
      </c>
      <c r="N113" s="192" t="s">
        <v>12</v>
      </c>
      <c r="O113" s="192" t="s">
        <v>30</v>
      </c>
      <c r="Q113" s="191">
        <v>7</v>
      </c>
      <c r="R113" s="191">
        <v>5</v>
      </c>
      <c r="S113" s="191">
        <v>6</v>
      </c>
      <c r="T113" s="191">
        <v>4</v>
      </c>
      <c r="U113" s="191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91">
        <v>110</v>
      </c>
      <c r="K114" s="192" t="s">
        <v>31</v>
      </c>
      <c r="L114" s="192" t="s">
        <v>81</v>
      </c>
      <c r="M114" s="192" t="s">
        <v>13</v>
      </c>
      <c r="N114" s="192" t="s">
        <v>29</v>
      </c>
      <c r="O114" s="192" t="s">
        <v>30</v>
      </c>
      <c r="Q114" s="191">
        <v>7</v>
      </c>
      <c r="R114" s="191">
        <v>14</v>
      </c>
      <c r="S114" s="191">
        <v>5</v>
      </c>
      <c r="T114" s="191">
        <v>8</v>
      </c>
      <c r="U114" s="191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95</v>
      </c>
      <c r="L115" s="192" t="s">
        <v>81</v>
      </c>
      <c r="M115" s="192" t="s">
        <v>13</v>
      </c>
      <c r="N115" s="192" t="s">
        <v>15</v>
      </c>
      <c r="O115" s="192" t="s">
        <v>13</v>
      </c>
      <c r="Q115" s="191">
        <v>6</v>
      </c>
      <c r="R115" s="191">
        <v>14</v>
      </c>
      <c r="S115" s="191">
        <v>5</v>
      </c>
      <c r="T115" s="191">
        <v>2</v>
      </c>
      <c r="U115" s="191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13</v>
      </c>
      <c r="L116" s="192" t="s">
        <v>15</v>
      </c>
      <c r="M116" s="192" t="s">
        <v>31</v>
      </c>
      <c r="N116" s="192" t="s">
        <v>87</v>
      </c>
      <c r="O116" s="192" t="s">
        <v>29</v>
      </c>
      <c r="Q116" s="191">
        <v>5</v>
      </c>
      <c r="R116" s="191">
        <v>2</v>
      </c>
      <c r="S116" s="191">
        <v>7</v>
      </c>
      <c r="T116" s="191">
        <v>19</v>
      </c>
      <c r="U116" s="191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31</v>
      </c>
      <c r="L117" s="192" t="s">
        <v>15</v>
      </c>
      <c r="M117" s="192" t="s">
        <v>13</v>
      </c>
      <c r="N117" s="192" t="s">
        <v>30</v>
      </c>
      <c r="O117" s="192" t="s">
        <v>15</v>
      </c>
      <c r="Q117" s="191">
        <v>7</v>
      </c>
      <c r="R117" s="191">
        <v>2</v>
      </c>
      <c r="S117" s="191">
        <v>5</v>
      </c>
      <c r="T117" s="191">
        <v>10</v>
      </c>
      <c r="U117" s="191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87</v>
      </c>
      <c r="M118" s="192" t="s">
        <v>30</v>
      </c>
      <c r="N118" s="192" t="s">
        <v>16</v>
      </c>
      <c r="O118" s="192" t="s">
        <v>30</v>
      </c>
      <c r="Q118" s="191">
        <v>8</v>
      </c>
      <c r="R118" s="191">
        <v>19</v>
      </c>
      <c r="S118" s="191">
        <v>10</v>
      </c>
      <c r="T118" s="191">
        <v>3</v>
      </c>
      <c r="U118" s="191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29</v>
      </c>
      <c r="L119" s="192" t="s">
        <v>85</v>
      </c>
      <c r="M119" s="192" t="s">
        <v>95</v>
      </c>
      <c r="N119" s="192" t="s">
        <v>16</v>
      </c>
      <c r="O119" s="192" t="s">
        <v>13</v>
      </c>
      <c r="Q119" s="191">
        <v>8</v>
      </c>
      <c r="R119" s="191">
        <v>18</v>
      </c>
      <c r="S119" s="191">
        <v>6</v>
      </c>
      <c r="T119" s="191">
        <v>3</v>
      </c>
      <c r="U119" s="191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29</v>
      </c>
      <c r="L120" s="192" t="s">
        <v>29</v>
      </c>
      <c r="M120" s="192" t="s">
        <v>15</v>
      </c>
      <c r="N120" s="192" t="s">
        <v>78</v>
      </c>
      <c r="O120" s="192" t="s">
        <v>31</v>
      </c>
      <c r="Q120" s="191">
        <v>8</v>
      </c>
      <c r="R120" s="191">
        <v>8</v>
      </c>
      <c r="S120" s="191">
        <v>2</v>
      </c>
      <c r="T120" s="191">
        <v>11</v>
      </c>
      <c r="U120" s="191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15</v>
      </c>
      <c r="M121" s="192" t="s">
        <v>13</v>
      </c>
      <c r="N121" s="192" t="s">
        <v>14</v>
      </c>
      <c r="O121" s="192" t="s">
        <v>15</v>
      </c>
      <c r="Q121" s="191">
        <v>7</v>
      </c>
      <c r="R121" s="191">
        <v>2</v>
      </c>
      <c r="S121" s="191">
        <v>5</v>
      </c>
      <c r="T121" s="191">
        <v>1</v>
      </c>
      <c r="U121" s="191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91">
        <v>118</v>
      </c>
      <c r="K122" s="192" t="s">
        <v>95</v>
      </c>
      <c r="L122" s="192" t="s">
        <v>29</v>
      </c>
      <c r="M122" s="192" t="s">
        <v>95</v>
      </c>
      <c r="N122" s="192" t="s">
        <v>28</v>
      </c>
      <c r="O122" s="192" t="s">
        <v>12</v>
      </c>
      <c r="Q122" s="191">
        <v>6</v>
      </c>
      <c r="R122" s="191">
        <v>8</v>
      </c>
      <c r="S122" s="191">
        <v>6</v>
      </c>
      <c r="T122" s="191">
        <v>9</v>
      </c>
      <c r="U122" s="191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92" t="s">
        <v>95</v>
      </c>
      <c r="L123" s="192" t="s">
        <v>14</v>
      </c>
      <c r="M123" s="192" t="s">
        <v>95</v>
      </c>
      <c r="N123" s="192" t="s">
        <v>29</v>
      </c>
      <c r="O123" s="192" t="s">
        <v>16</v>
      </c>
      <c r="Q123" s="191">
        <v>6</v>
      </c>
      <c r="R123" s="191">
        <v>1</v>
      </c>
      <c r="S123" s="191">
        <v>6</v>
      </c>
      <c r="T123" s="191">
        <v>8</v>
      </c>
      <c r="U123" s="191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78</v>
      </c>
      <c r="M124" s="192" t="s">
        <v>31</v>
      </c>
      <c r="N124" s="192" t="s">
        <v>12</v>
      </c>
      <c r="O124" s="192" t="s">
        <v>13</v>
      </c>
      <c r="Q124" s="191">
        <v>8</v>
      </c>
      <c r="R124" s="191">
        <v>11</v>
      </c>
      <c r="S124" s="191">
        <v>7</v>
      </c>
      <c r="T124" s="191">
        <v>4</v>
      </c>
      <c r="U124" s="191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13</v>
      </c>
      <c r="M125" s="192" t="s">
        <v>13</v>
      </c>
      <c r="N125" s="192" t="s">
        <v>87</v>
      </c>
      <c r="O125" s="192" t="s">
        <v>29</v>
      </c>
      <c r="Q125" s="191">
        <v>7</v>
      </c>
      <c r="R125" s="191">
        <v>5</v>
      </c>
      <c r="S125" s="191">
        <v>5</v>
      </c>
      <c r="T125" s="191">
        <v>19</v>
      </c>
      <c r="U125" s="191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15</v>
      </c>
      <c r="M126" s="192" t="s">
        <v>31</v>
      </c>
      <c r="N126" s="192" t="s">
        <v>96</v>
      </c>
      <c r="O126" s="192" t="s">
        <v>12</v>
      </c>
      <c r="Q126" s="191">
        <v>7</v>
      </c>
      <c r="R126" s="191">
        <v>2</v>
      </c>
      <c r="S126" s="191">
        <v>7</v>
      </c>
      <c r="T126" s="191">
        <v>15</v>
      </c>
      <c r="U126" s="191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94</v>
      </c>
      <c r="M127" s="192" t="s">
        <v>29</v>
      </c>
      <c r="N127" s="192" t="s">
        <v>16</v>
      </c>
      <c r="O127" s="192" t="s">
        <v>15</v>
      </c>
      <c r="Q127" s="191">
        <v>8</v>
      </c>
      <c r="R127" s="191">
        <v>17</v>
      </c>
      <c r="S127" s="191">
        <v>8</v>
      </c>
      <c r="T127" s="191">
        <v>3</v>
      </c>
      <c r="U127" s="191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16</v>
      </c>
      <c r="M128" s="192" t="s">
        <v>13</v>
      </c>
      <c r="N128" s="192" t="s">
        <v>31</v>
      </c>
      <c r="O128" s="192" t="s">
        <v>15</v>
      </c>
      <c r="Q128" s="191">
        <v>5</v>
      </c>
      <c r="R128" s="191">
        <v>3</v>
      </c>
      <c r="S128" s="191">
        <v>5</v>
      </c>
      <c r="T128" s="191">
        <v>7</v>
      </c>
      <c r="U128" s="191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29</v>
      </c>
      <c r="L129" s="192" t="s">
        <v>82</v>
      </c>
      <c r="M129" s="192" t="s">
        <v>13</v>
      </c>
      <c r="N129" s="192" t="s">
        <v>95</v>
      </c>
      <c r="O129" s="192" t="s">
        <v>31</v>
      </c>
      <c r="Q129" s="191">
        <v>8</v>
      </c>
      <c r="R129" s="191">
        <v>16</v>
      </c>
      <c r="S129" s="191">
        <v>5</v>
      </c>
      <c r="T129" s="191">
        <v>6</v>
      </c>
      <c r="U129" s="191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31</v>
      </c>
      <c r="L130" s="192" t="s">
        <v>29</v>
      </c>
      <c r="M130" s="192" t="s">
        <v>95</v>
      </c>
      <c r="N130" s="192" t="s">
        <v>31</v>
      </c>
      <c r="O130" s="192" t="s">
        <v>28</v>
      </c>
      <c r="Q130" s="191">
        <v>7</v>
      </c>
      <c r="R130" s="191">
        <v>8</v>
      </c>
      <c r="S130" s="191">
        <v>6</v>
      </c>
      <c r="T130" s="191">
        <v>7</v>
      </c>
      <c r="U130" s="191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13</v>
      </c>
      <c r="L131" s="192" t="s">
        <v>29</v>
      </c>
      <c r="M131" s="192" t="s">
        <v>31</v>
      </c>
      <c r="N131" s="192" t="s">
        <v>30</v>
      </c>
      <c r="O131" s="192" t="s">
        <v>28</v>
      </c>
      <c r="Q131" s="191">
        <v>5</v>
      </c>
      <c r="R131" s="191">
        <v>8</v>
      </c>
      <c r="S131" s="191">
        <v>7</v>
      </c>
      <c r="T131" s="191">
        <v>10</v>
      </c>
      <c r="U131" s="191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31</v>
      </c>
      <c r="L132" s="192" t="s">
        <v>78</v>
      </c>
      <c r="M132" s="192" t="s">
        <v>31</v>
      </c>
      <c r="N132" s="192" t="s">
        <v>80</v>
      </c>
      <c r="O132" s="192" t="s">
        <v>29</v>
      </c>
      <c r="Q132" s="191">
        <v>7</v>
      </c>
      <c r="R132" s="191">
        <v>11</v>
      </c>
      <c r="S132" s="191">
        <v>7</v>
      </c>
      <c r="T132" s="191">
        <v>13</v>
      </c>
      <c r="U132" s="191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16</v>
      </c>
      <c r="M133" s="192" t="s">
        <v>31</v>
      </c>
      <c r="N133" s="192" t="s">
        <v>14</v>
      </c>
      <c r="O133" s="192" t="s">
        <v>95</v>
      </c>
      <c r="Q133" s="191">
        <v>5</v>
      </c>
      <c r="R133" s="191">
        <v>3</v>
      </c>
      <c r="S133" s="191">
        <v>7</v>
      </c>
      <c r="T133" s="191">
        <v>1</v>
      </c>
      <c r="U133" s="191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31</v>
      </c>
      <c r="L134" s="192" t="s">
        <v>16</v>
      </c>
      <c r="M134" s="192" t="s">
        <v>95</v>
      </c>
      <c r="N134" s="192" t="s">
        <v>15</v>
      </c>
      <c r="O134" s="192" t="s">
        <v>29</v>
      </c>
      <c r="Q134" s="191">
        <v>7</v>
      </c>
      <c r="R134" s="191">
        <v>3</v>
      </c>
      <c r="S134" s="191">
        <v>6</v>
      </c>
      <c r="T134" s="191">
        <v>2</v>
      </c>
      <c r="U134" s="191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87</v>
      </c>
      <c r="M135" s="192" t="s">
        <v>95</v>
      </c>
      <c r="N135" s="192" t="s">
        <v>15</v>
      </c>
      <c r="O135" s="192" t="s">
        <v>15</v>
      </c>
      <c r="Q135" s="191">
        <v>7</v>
      </c>
      <c r="R135" s="191">
        <v>19</v>
      </c>
      <c r="S135" s="191">
        <v>6</v>
      </c>
      <c r="T135" s="191">
        <v>2</v>
      </c>
      <c r="U135" s="191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91">
        <v>132</v>
      </c>
      <c r="K136" s="192" t="s">
        <v>29</v>
      </c>
      <c r="L136" s="192" t="s">
        <v>14</v>
      </c>
      <c r="M136" s="192" t="s">
        <v>95</v>
      </c>
      <c r="N136" s="192" t="s">
        <v>82</v>
      </c>
      <c r="O136" s="192" t="s">
        <v>28</v>
      </c>
      <c r="Q136" s="191">
        <v>8</v>
      </c>
      <c r="R136" s="191">
        <v>1</v>
      </c>
      <c r="S136" s="191">
        <v>6</v>
      </c>
      <c r="T136" s="191">
        <v>16</v>
      </c>
      <c r="U136" s="191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95</v>
      </c>
      <c r="M137" s="192" t="s">
        <v>95</v>
      </c>
      <c r="N137" s="192" t="s">
        <v>94</v>
      </c>
      <c r="O137" s="192" t="s">
        <v>13</v>
      </c>
      <c r="Q137" s="191">
        <v>6</v>
      </c>
      <c r="R137" s="191">
        <v>6</v>
      </c>
      <c r="S137" s="191">
        <v>6</v>
      </c>
      <c r="T137" s="191">
        <v>17</v>
      </c>
      <c r="U137" s="191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15</v>
      </c>
      <c r="M138" s="192" t="s">
        <v>29</v>
      </c>
      <c r="N138" s="192" t="s">
        <v>28</v>
      </c>
      <c r="O138" s="192" t="s">
        <v>16</v>
      </c>
      <c r="Q138" s="191">
        <v>8</v>
      </c>
      <c r="R138" s="191">
        <v>2</v>
      </c>
      <c r="S138" s="191">
        <v>8</v>
      </c>
      <c r="T138" s="191">
        <v>9</v>
      </c>
      <c r="U138" s="191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92" t="s">
        <v>13</v>
      </c>
      <c r="L139" s="192" t="s">
        <v>81</v>
      </c>
      <c r="M139" s="192" t="s">
        <v>94</v>
      </c>
      <c r="N139" s="192" t="s">
        <v>12</v>
      </c>
      <c r="O139" s="192" t="s">
        <v>16</v>
      </c>
      <c r="Q139" s="191">
        <v>5</v>
      </c>
      <c r="R139" s="191">
        <v>14</v>
      </c>
      <c r="S139" s="191">
        <v>17</v>
      </c>
      <c r="T139" s="191">
        <v>4</v>
      </c>
      <c r="U139" s="191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31</v>
      </c>
      <c r="L140" s="192" t="s">
        <v>31</v>
      </c>
      <c r="M140" s="192" t="s">
        <v>13</v>
      </c>
      <c r="N140" s="192" t="s">
        <v>12</v>
      </c>
      <c r="O140" s="192" t="s">
        <v>30</v>
      </c>
      <c r="Q140" s="191">
        <v>7</v>
      </c>
      <c r="R140" s="191">
        <v>7</v>
      </c>
      <c r="S140" s="191">
        <v>5</v>
      </c>
      <c r="T140" s="191">
        <v>4</v>
      </c>
      <c r="U140" s="191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95</v>
      </c>
      <c r="M141" s="192" t="s">
        <v>16</v>
      </c>
      <c r="N141" s="192" t="s">
        <v>94</v>
      </c>
      <c r="O141" s="192" t="s">
        <v>29</v>
      </c>
      <c r="Q141" s="191">
        <v>8</v>
      </c>
      <c r="R141" s="191">
        <v>6</v>
      </c>
      <c r="S141" s="191">
        <v>3</v>
      </c>
      <c r="T141" s="191">
        <v>17</v>
      </c>
      <c r="U141" s="191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79</v>
      </c>
      <c r="M142" s="192" t="s">
        <v>31</v>
      </c>
      <c r="N142" s="192" t="s">
        <v>85</v>
      </c>
      <c r="O142" s="192" t="s">
        <v>30</v>
      </c>
      <c r="Q142" s="191">
        <v>7</v>
      </c>
      <c r="R142" s="191">
        <v>12</v>
      </c>
      <c r="S142" s="191">
        <v>7</v>
      </c>
      <c r="T142" s="191">
        <v>18</v>
      </c>
      <c r="U142" s="191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29</v>
      </c>
      <c r="L143" s="192" t="s">
        <v>82</v>
      </c>
      <c r="M143" s="192" t="s">
        <v>96</v>
      </c>
      <c r="N143" s="192" t="s">
        <v>95</v>
      </c>
      <c r="O143" s="192" t="s">
        <v>31</v>
      </c>
      <c r="Q143" s="191">
        <v>8</v>
      </c>
      <c r="R143" s="191">
        <v>16</v>
      </c>
      <c r="S143" s="191">
        <v>15</v>
      </c>
      <c r="T143" s="191">
        <v>6</v>
      </c>
      <c r="U143" s="191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29</v>
      </c>
      <c r="L144" s="192" t="s">
        <v>31</v>
      </c>
      <c r="M144" s="192" t="s">
        <v>28</v>
      </c>
      <c r="N144" s="192" t="s">
        <v>15</v>
      </c>
      <c r="O144" s="192" t="s">
        <v>31</v>
      </c>
      <c r="Q144" s="191">
        <v>8</v>
      </c>
      <c r="R144" s="191">
        <v>7</v>
      </c>
      <c r="S144" s="191">
        <v>9</v>
      </c>
      <c r="T144" s="191">
        <v>2</v>
      </c>
      <c r="U144" s="191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29</v>
      </c>
      <c r="N145" s="192" t="s">
        <v>79</v>
      </c>
      <c r="O145" s="192" t="s">
        <v>13</v>
      </c>
      <c r="Q145" s="191">
        <v>7</v>
      </c>
      <c r="R145" s="191">
        <v>7</v>
      </c>
      <c r="S145" s="191">
        <v>8</v>
      </c>
      <c r="T145" s="191">
        <v>12</v>
      </c>
      <c r="U145" s="191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81</v>
      </c>
      <c r="M146" s="192" t="s">
        <v>29</v>
      </c>
      <c r="N146" s="192" t="s">
        <v>31</v>
      </c>
      <c r="O146" s="192" t="s">
        <v>28</v>
      </c>
      <c r="Q146" s="191">
        <v>6</v>
      </c>
      <c r="R146" s="191">
        <v>14</v>
      </c>
      <c r="S146" s="191">
        <v>8</v>
      </c>
      <c r="T146" s="191">
        <v>7</v>
      </c>
      <c r="U146" s="191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30</v>
      </c>
      <c r="M147" s="192" t="s">
        <v>95</v>
      </c>
      <c r="N147" s="192" t="s">
        <v>96</v>
      </c>
      <c r="O147" s="192" t="s">
        <v>29</v>
      </c>
      <c r="Q147" s="191">
        <v>7</v>
      </c>
      <c r="R147" s="191">
        <v>10</v>
      </c>
      <c r="S147" s="191">
        <v>6</v>
      </c>
      <c r="T147" s="191">
        <v>15</v>
      </c>
      <c r="U147" s="191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31</v>
      </c>
      <c r="M148" s="192" t="s">
        <v>31</v>
      </c>
      <c r="N148" s="192" t="s">
        <v>29</v>
      </c>
      <c r="O148" s="192" t="s">
        <v>15</v>
      </c>
      <c r="Q148" s="191">
        <v>6</v>
      </c>
      <c r="R148" s="191">
        <v>7</v>
      </c>
      <c r="S148" s="191">
        <v>7</v>
      </c>
      <c r="T148" s="191">
        <v>8</v>
      </c>
      <c r="U148" s="191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78</v>
      </c>
      <c r="M149" s="192" t="s">
        <v>31</v>
      </c>
      <c r="N149" s="192" t="s">
        <v>29</v>
      </c>
      <c r="O149" s="192" t="s">
        <v>16</v>
      </c>
      <c r="Q149" s="191">
        <v>7</v>
      </c>
      <c r="R149" s="191">
        <v>11</v>
      </c>
      <c r="S149" s="191">
        <v>7</v>
      </c>
      <c r="T149" s="191">
        <v>8</v>
      </c>
      <c r="U149" s="191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91">
        <v>146</v>
      </c>
      <c r="K150" s="192" t="s">
        <v>29</v>
      </c>
      <c r="L150" s="192" t="s">
        <v>15</v>
      </c>
      <c r="M150" s="192" t="s">
        <v>31</v>
      </c>
      <c r="N150" s="192" t="s">
        <v>12</v>
      </c>
      <c r="O150" s="192" t="s">
        <v>28</v>
      </c>
      <c r="Q150" s="191">
        <v>8</v>
      </c>
      <c r="R150" s="191">
        <v>2</v>
      </c>
      <c r="S150" s="191">
        <v>7</v>
      </c>
      <c r="T150" s="191">
        <v>4</v>
      </c>
      <c r="U150" s="191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81</v>
      </c>
      <c r="N151" s="192" t="s">
        <v>29</v>
      </c>
      <c r="O151" s="192" t="s">
        <v>28</v>
      </c>
      <c r="Q151" s="191">
        <v>6</v>
      </c>
      <c r="R151" s="191">
        <v>2</v>
      </c>
      <c r="S151" s="191">
        <v>14</v>
      </c>
      <c r="T151" s="191">
        <v>8</v>
      </c>
      <c r="U151" s="191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91">
        <v>148</v>
      </c>
      <c r="K152" s="192" t="s">
        <v>29</v>
      </c>
      <c r="L152" s="192" t="s">
        <v>82</v>
      </c>
      <c r="M152" s="192" t="s">
        <v>29</v>
      </c>
      <c r="N152" s="192" t="s">
        <v>31</v>
      </c>
      <c r="O152" s="192" t="s">
        <v>16</v>
      </c>
      <c r="Q152" s="191">
        <v>8</v>
      </c>
      <c r="R152" s="191">
        <v>16</v>
      </c>
      <c r="S152" s="191">
        <v>8</v>
      </c>
      <c r="T152" s="191">
        <v>7</v>
      </c>
      <c r="U152" s="191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92" t="s">
        <v>28</v>
      </c>
      <c r="L153" s="192" t="s">
        <v>28</v>
      </c>
      <c r="M153" s="192" t="s">
        <v>95</v>
      </c>
      <c r="N153" s="192" t="s">
        <v>15</v>
      </c>
      <c r="O153" s="192" t="s">
        <v>95</v>
      </c>
      <c r="Q153" s="191">
        <v>9</v>
      </c>
      <c r="R153" s="191">
        <v>9</v>
      </c>
      <c r="S153" s="191">
        <v>6</v>
      </c>
      <c r="T153" s="191">
        <v>2</v>
      </c>
      <c r="U153" s="191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91">
        <v>150</v>
      </c>
      <c r="K154" s="192" t="s">
        <v>13</v>
      </c>
      <c r="L154" s="192" t="s">
        <v>94</v>
      </c>
      <c r="M154" s="192" t="s">
        <v>29</v>
      </c>
      <c r="N154" s="192" t="s">
        <v>28</v>
      </c>
      <c r="O154" s="192" t="s">
        <v>30</v>
      </c>
      <c r="Q154" s="191">
        <v>5</v>
      </c>
      <c r="R154" s="191">
        <v>17</v>
      </c>
      <c r="S154" s="191">
        <v>8</v>
      </c>
      <c r="T154" s="191">
        <v>9</v>
      </c>
      <c r="U154" s="191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92" t="s">
        <v>31</v>
      </c>
      <c r="L155" s="192" t="s">
        <v>80</v>
      </c>
      <c r="M155" s="192" t="s">
        <v>31</v>
      </c>
      <c r="N155" s="192" t="s">
        <v>13</v>
      </c>
      <c r="O155" s="192" t="s">
        <v>28</v>
      </c>
      <c r="Q155" s="191">
        <v>7</v>
      </c>
      <c r="R155" s="191">
        <v>13</v>
      </c>
      <c r="S155" s="191">
        <v>7</v>
      </c>
      <c r="T155" s="191">
        <v>5</v>
      </c>
      <c r="U155" s="191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91">
        <v>152</v>
      </c>
      <c r="K156" s="192" t="s">
        <v>13</v>
      </c>
      <c r="L156" s="192" t="s">
        <v>95</v>
      </c>
      <c r="M156" s="192" t="s">
        <v>82</v>
      </c>
      <c r="N156" s="192" t="s">
        <v>81</v>
      </c>
      <c r="O156" s="192" t="s">
        <v>15</v>
      </c>
      <c r="Q156" s="191">
        <v>5</v>
      </c>
      <c r="R156" s="191">
        <v>6</v>
      </c>
      <c r="S156" s="191">
        <v>16</v>
      </c>
      <c r="T156" s="191">
        <v>14</v>
      </c>
      <c r="U156" s="191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92" t="s">
        <v>31</v>
      </c>
      <c r="L157" s="192" t="s">
        <v>29</v>
      </c>
      <c r="M157" s="192" t="s">
        <v>31</v>
      </c>
      <c r="N157" s="192" t="s">
        <v>13</v>
      </c>
      <c r="O157" s="192" t="s">
        <v>28</v>
      </c>
      <c r="Q157" s="191">
        <v>7</v>
      </c>
      <c r="R157" s="191">
        <v>8</v>
      </c>
      <c r="S157" s="191">
        <v>7</v>
      </c>
      <c r="T157" s="191">
        <v>5</v>
      </c>
      <c r="U157" s="191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96</v>
      </c>
      <c r="M158" s="192" t="s">
        <v>28</v>
      </c>
      <c r="N158" s="192" t="s">
        <v>13</v>
      </c>
      <c r="O158" s="192" t="s">
        <v>30</v>
      </c>
      <c r="Q158" s="191">
        <v>5</v>
      </c>
      <c r="R158" s="191">
        <v>15</v>
      </c>
      <c r="S158" s="191">
        <v>9</v>
      </c>
      <c r="T158" s="191">
        <v>5</v>
      </c>
      <c r="U158" s="191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28</v>
      </c>
      <c r="L159" s="192" t="s">
        <v>15</v>
      </c>
      <c r="M159" s="192" t="s">
        <v>13</v>
      </c>
      <c r="N159" s="192" t="s">
        <v>28</v>
      </c>
      <c r="O159" s="192" t="s">
        <v>29</v>
      </c>
      <c r="Q159" s="191">
        <v>9</v>
      </c>
      <c r="R159" s="191">
        <v>2</v>
      </c>
      <c r="S159" s="191">
        <v>5</v>
      </c>
      <c r="T159" s="191">
        <v>9</v>
      </c>
      <c r="U159" s="191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13</v>
      </c>
      <c r="L160" s="192" t="s">
        <v>15</v>
      </c>
      <c r="M160" s="192" t="s">
        <v>29</v>
      </c>
      <c r="N160" s="192" t="s">
        <v>15</v>
      </c>
      <c r="O160" s="192" t="s">
        <v>16</v>
      </c>
      <c r="Q160" s="191">
        <v>5</v>
      </c>
      <c r="R160" s="191">
        <v>2</v>
      </c>
      <c r="S160" s="191">
        <v>8</v>
      </c>
      <c r="T160" s="191">
        <v>2</v>
      </c>
      <c r="U160" s="191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29</v>
      </c>
      <c r="M161" s="192" t="s">
        <v>13</v>
      </c>
      <c r="N161" s="192" t="s">
        <v>28</v>
      </c>
      <c r="O161" s="192" t="s">
        <v>15</v>
      </c>
      <c r="Q161" s="191">
        <v>8</v>
      </c>
      <c r="R161" s="191">
        <v>8</v>
      </c>
      <c r="S161" s="191">
        <v>5</v>
      </c>
      <c r="T161" s="191">
        <v>9</v>
      </c>
      <c r="U161" s="191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13</v>
      </c>
      <c r="L162" s="192" t="s">
        <v>87</v>
      </c>
      <c r="M162" s="192" t="s">
        <v>31</v>
      </c>
      <c r="N162" s="192" t="s">
        <v>28</v>
      </c>
      <c r="O162" s="192" t="s">
        <v>31</v>
      </c>
      <c r="Q162" s="191">
        <v>5</v>
      </c>
      <c r="R162" s="191">
        <v>19</v>
      </c>
      <c r="S162" s="191">
        <v>7</v>
      </c>
      <c r="T162" s="191">
        <v>9</v>
      </c>
      <c r="U162" s="191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16</v>
      </c>
      <c r="L163" s="192" t="s">
        <v>96</v>
      </c>
      <c r="M163" s="192" t="s">
        <v>13</v>
      </c>
      <c r="N163" s="192" t="s">
        <v>28</v>
      </c>
      <c r="O163" s="192" t="s">
        <v>13</v>
      </c>
      <c r="Q163" s="191">
        <v>3</v>
      </c>
      <c r="R163" s="191">
        <v>15</v>
      </c>
      <c r="S163" s="191">
        <v>5</v>
      </c>
      <c r="T163" s="191">
        <v>9</v>
      </c>
      <c r="U163" s="191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31</v>
      </c>
      <c r="M164" s="192" t="s">
        <v>29</v>
      </c>
      <c r="N164" s="192" t="s">
        <v>30</v>
      </c>
      <c r="O164" s="192" t="s">
        <v>15</v>
      </c>
      <c r="Q164" s="191">
        <v>5</v>
      </c>
      <c r="R164" s="191">
        <v>7</v>
      </c>
      <c r="S164" s="191">
        <v>8</v>
      </c>
      <c r="T164" s="191">
        <v>10</v>
      </c>
      <c r="U164" s="191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92" t="s">
        <v>31</v>
      </c>
      <c r="L165" s="192" t="s">
        <v>30</v>
      </c>
      <c r="M165" s="192" t="s">
        <v>13</v>
      </c>
      <c r="N165" s="192" t="s">
        <v>81</v>
      </c>
      <c r="O165" s="192" t="s">
        <v>95</v>
      </c>
      <c r="Q165" s="191">
        <v>7</v>
      </c>
      <c r="R165" s="191">
        <v>10</v>
      </c>
      <c r="S165" s="191">
        <v>5</v>
      </c>
      <c r="T165" s="191">
        <v>14</v>
      </c>
      <c r="U165" s="191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91">
        <v>162</v>
      </c>
      <c r="K166" s="192" t="s">
        <v>13</v>
      </c>
      <c r="L166" s="192" t="s">
        <v>95</v>
      </c>
      <c r="M166" s="192" t="s">
        <v>29</v>
      </c>
      <c r="N166" s="192" t="s">
        <v>29</v>
      </c>
      <c r="O166" s="192" t="s">
        <v>16</v>
      </c>
      <c r="Q166" s="191">
        <v>5</v>
      </c>
      <c r="R166" s="191">
        <v>6</v>
      </c>
      <c r="S166" s="191">
        <v>8</v>
      </c>
      <c r="T166" s="191">
        <v>8</v>
      </c>
      <c r="U166" s="191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85</v>
      </c>
      <c r="M167" s="192" t="s">
        <v>31</v>
      </c>
      <c r="N167" s="192" t="s">
        <v>15</v>
      </c>
      <c r="O167" s="192" t="s">
        <v>28</v>
      </c>
      <c r="Q167" s="191">
        <v>6</v>
      </c>
      <c r="R167" s="191">
        <v>18</v>
      </c>
      <c r="S167" s="191">
        <v>7</v>
      </c>
      <c r="T167" s="191">
        <v>2</v>
      </c>
      <c r="U167" s="191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31</v>
      </c>
      <c r="M168" s="192" t="s">
        <v>29</v>
      </c>
      <c r="N168" s="192" t="s">
        <v>16</v>
      </c>
      <c r="O168" s="192" t="s">
        <v>30</v>
      </c>
      <c r="Q168" s="191">
        <v>5</v>
      </c>
      <c r="R168" s="191">
        <v>7</v>
      </c>
      <c r="S168" s="191">
        <v>8</v>
      </c>
      <c r="T168" s="191">
        <v>3</v>
      </c>
      <c r="U168" s="191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15</v>
      </c>
      <c r="M169" s="192" t="s">
        <v>29</v>
      </c>
      <c r="N169" s="192" t="s">
        <v>16</v>
      </c>
      <c r="O169" s="192" t="s">
        <v>13</v>
      </c>
      <c r="Q169" s="191">
        <v>7</v>
      </c>
      <c r="R169" s="191">
        <v>2</v>
      </c>
      <c r="S169" s="191">
        <v>8</v>
      </c>
      <c r="T169" s="191">
        <v>3</v>
      </c>
      <c r="U169" s="191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91">
        <v>166</v>
      </c>
      <c r="K170" s="192" t="s">
        <v>95</v>
      </c>
      <c r="L170" s="192" t="s">
        <v>31</v>
      </c>
      <c r="M170" s="192" t="s">
        <v>29</v>
      </c>
      <c r="N170" s="192" t="s">
        <v>16</v>
      </c>
      <c r="O170" s="192" t="s">
        <v>95</v>
      </c>
      <c r="Q170" s="191">
        <v>6</v>
      </c>
      <c r="R170" s="191">
        <v>7</v>
      </c>
      <c r="S170" s="191">
        <v>8</v>
      </c>
      <c r="T170" s="191">
        <v>3</v>
      </c>
      <c r="U170" s="191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78</v>
      </c>
      <c r="M171" s="192" t="s">
        <v>31</v>
      </c>
      <c r="N171" s="192" t="s">
        <v>28</v>
      </c>
      <c r="O171" s="192" t="s">
        <v>12</v>
      </c>
      <c r="Q171" s="191">
        <v>8</v>
      </c>
      <c r="R171" s="191">
        <v>11</v>
      </c>
      <c r="S171" s="191">
        <v>7</v>
      </c>
      <c r="T171" s="191">
        <v>9</v>
      </c>
      <c r="U171" s="191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78</v>
      </c>
      <c r="M172" s="192" t="s">
        <v>31</v>
      </c>
      <c r="N172" s="192" t="s">
        <v>13</v>
      </c>
      <c r="O172" s="192" t="s">
        <v>12</v>
      </c>
      <c r="Q172" s="191">
        <v>7</v>
      </c>
      <c r="R172" s="191">
        <v>11</v>
      </c>
      <c r="S172" s="191">
        <v>7</v>
      </c>
      <c r="T172" s="191">
        <v>5</v>
      </c>
      <c r="U172" s="191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30</v>
      </c>
      <c r="M173" s="192" t="s">
        <v>95</v>
      </c>
      <c r="N173" s="192" t="s">
        <v>13</v>
      </c>
      <c r="O173" s="192" t="s">
        <v>30</v>
      </c>
      <c r="Q173" s="191">
        <v>6</v>
      </c>
      <c r="R173" s="191">
        <v>10</v>
      </c>
      <c r="S173" s="191">
        <v>6</v>
      </c>
      <c r="T173" s="191">
        <v>5</v>
      </c>
      <c r="U173" s="191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15</v>
      </c>
      <c r="M174" s="192" t="s">
        <v>29</v>
      </c>
      <c r="N174" s="192" t="s">
        <v>12</v>
      </c>
      <c r="O174" s="192" t="s">
        <v>30</v>
      </c>
      <c r="Q174" s="191">
        <v>6</v>
      </c>
      <c r="R174" s="191">
        <v>2</v>
      </c>
      <c r="S174" s="191">
        <v>8</v>
      </c>
      <c r="T174" s="191">
        <v>4</v>
      </c>
      <c r="U174" s="191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92" t="s">
        <v>95</v>
      </c>
      <c r="L175" s="192" t="s">
        <v>95</v>
      </c>
      <c r="M175" s="192" t="s">
        <v>29</v>
      </c>
      <c r="N175" s="192" t="s">
        <v>87</v>
      </c>
      <c r="O175" s="192" t="s">
        <v>12</v>
      </c>
      <c r="Q175" s="191">
        <v>6</v>
      </c>
      <c r="R175" s="191">
        <v>6</v>
      </c>
      <c r="S175" s="191">
        <v>8</v>
      </c>
      <c r="T175" s="191">
        <v>19</v>
      </c>
      <c r="U175" s="191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30</v>
      </c>
      <c r="L176" s="192" t="s">
        <v>96</v>
      </c>
      <c r="M176" s="192" t="s">
        <v>31</v>
      </c>
      <c r="N176" s="192" t="s">
        <v>30</v>
      </c>
      <c r="O176" s="192" t="s">
        <v>95</v>
      </c>
      <c r="Q176" s="191">
        <v>10</v>
      </c>
      <c r="R176" s="191">
        <v>15</v>
      </c>
      <c r="S176" s="191">
        <v>7</v>
      </c>
      <c r="T176" s="191">
        <v>10</v>
      </c>
      <c r="U176" s="191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79</v>
      </c>
      <c r="M177" s="192" t="s">
        <v>13</v>
      </c>
      <c r="N177" s="192" t="s">
        <v>12</v>
      </c>
      <c r="O177" s="192" t="s">
        <v>31</v>
      </c>
      <c r="Q177" s="191">
        <v>7</v>
      </c>
      <c r="R177" s="191">
        <v>12</v>
      </c>
      <c r="S177" s="191">
        <v>5</v>
      </c>
      <c r="T177" s="191">
        <v>4</v>
      </c>
      <c r="U177" s="191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12</v>
      </c>
      <c r="L178" s="192" t="s">
        <v>13</v>
      </c>
      <c r="M178" s="192" t="s">
        <v>28</v>
      </c>
      <c r="N178" s="192" t="s">
        <v>95</v>
      </c>
      <c r="O178" s="192" t="s">
        <v>13</v>
      </c>
      <c r="Q178" s="191">
        <v>4</v>
      </c>
      <c r="R178" s="191">
        <v>5</v>
      </c>
      <c r="S178" s="191">
        <v>9</v>
      </c>
      <c r="T178" s="191">
        <v>6</v>
      </c>
      <c r="U178" s="191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92" t="s">
        <v>95</v>
      </c>
      <c r="L179" s="192" t="s">
        <v>13</v>
      </c>
      <c r="M179" s="192" t="s">
        <v>31</v>
      </c>
      <c r="N179" s="192" t="s">
        <v>15</v>
      </c>
      <c r="O179" s="192" t="s">
        <v>12</v>
      </c>
      <c r="Q179" s="191">
        <v>6</v>
      </c>
      <c r="R179" s="191">
        <v>5</v>
      </c>
      <c r="S179" s="191">
        <v>7</v>
      </c>
      <c r="T179" s="191">
        <v>2</v>
      </c>
      <c r="U179" s="191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91">
        <v>176</v>
      </c>
      <c r="K180" s="192" t="s">
        <v>29</v>
      </c>
      <c r="L180" s="192" t="s">
        <v>82</v>
      </c>
      <c r="M180" s="192" t="s">
        <v>16</v>
      </c>
      <c r="N180" s="192" t="s">
        <v>14</v>
      </c>
      <c r="O180" s="192" t="s">
        <v>28</v>
      </c>
      <c r="Q180" s="191">
        <v>8</v>
      </c>
      <c r="R180" s="191">
        <v>16</v>
      </c>
      <c r="S180" s="191">
        <v>3</v>
      </c>
      <c r="T180" s="191">
        <v>1</v>
      </c>
      <c r="U180" s="191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31</v>
      </c>
      <c r="L181" s="192" t="s">
        <v>13</v>
      </c>
      <c r="M181" s="192" t="s">
        <v>15</v>
      </c>
      <c r="N181" s="192" t="s">
        <v>31</v>
      </c>
      <c r="O181" s="192" t="s">
        <v>16</v>
      </c>
      <c r="Q181" s="191">
        <v>7</v>
      </c>
      <c r="R181" s="191">
        <v>5</v>
      </c>
      <c r="S181" s="191">
        <v>2</v>
      </c>
      <c r="T181" s="191">
        <v>7</v>
      </c>
      <c r="U181" s="191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31</v>
      </c>
      <c r="L182" s="192" t="s">
        <v>29</v>
      </c>
      <c r="M182" s="192" t="s">
        <v>15</v>
      </c>
      <c r="N182" s="192" t="s">
        <v>78</v>
      </c>
      <c r="O182" s="192" t="s">
        <v>31</v>
      </c>
      <c r="Q182" s="191">
        <v>7</v>
      </c>
      <c r="R182" s="191">
        <v>8</v>
      </c>
      <c r="S182" s="191">
        <v>2</v>
      </c>
      <c r="T182" s="191">
        <v>11</v>
      </c>
      <c r="U182" s="191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29</v>
      </c>
      <c r="L183" s="192" t="s">
        <v>78</v>
      </c>
      <c r="M183" s="192" t="s">
        <v>95</v>
      </c>
      <c r="N183" s="192" t="s">
        <v>12</v>
      </c>
      <c r="O183" s="192" t="s">
        <v>13</v>
      </c>
      <c r="Q183" s="191">
        <v>8</v>
      </c>
      <c r="R183" s="191">
        <v>11</v>
      </c>
      <c r="S183" s="191">
        <v>6</v>
      </c>
      <c r="T183" s="191">
        <v>4</v>
      </c>
      <c r="U183" s="191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29</v>
      </c>
      <c r="L184" s="192" t="s">
        <v>31</v>
      </c>
      <c r="M184" s="192" t="s">
        <v>95</v>
      </c>
      <c r="N184" s="192" t="s">
        <v>79</v>
      </c>
      <c r="O184" s="192" t="s">
        <v>29</v>
      </c>
      <c r="Q184" s="191">
        <v>8</v>
      </c>
      <c r="R184" s="191">
        <v>7</v>
      </c>
      <c r="S184" s="191">
        <v>6</v>
      </c>
      <c r="T184" s="191">
        <v>12</v>
      </c>
      <c r="U184" s="191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95</v>
      </c>
      <c r="L185" s="192" t="s">
        <v>78</v>
      </c>
      <c r="M185" s="192" t="s">
        <v>81</v>
      </c>
      <c r="N185" s="192" t="s">
        <v>12</v>
      </c>
      <c r="O185" s="192" t="s">
        <v>28</v>
      </c>
      <c r="Q185" s="191">
        <v>6</v>
      </c>
      <c r="R185" s="191">
        <v>11</v>
      </c>
      <c r="S185" s="191">
        <v>14</v>
      </c>
      <c r="T185" s="191">
        <v>4</v>
      </c>
      <c r="U185" s="191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31</v>
      </c>
      <c r="L186" s="192" t="s">
        <v>29</v>
      </c>
      <c r="M186" s="192" t="s">
        <v>13</v>
      </c>
      <c r="N186" s="192" t="s">
        <v>28</v>
      </c>
      <c r="O186" s="192" t="s">
        <v>29</v>
      </c>
      <c r="Q186" s="191">
        <v>7</v>
      </c>
      <c r="R186" s="191">
        <v>8</v>
      </c>
      <c r="S186" s="191">
        <v>5</v>
      </c>
      <c r="T186" s="191">
        <v>9</v>
      </c>
      <c r="U186" s="191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81</v>
      </c>
      <c r="M187" s="192" t="s">
        <v>12</v>
      </c>
      <c r="N187" s="192" t="s">
        <v>28</v>
      </c>
      <c r="O187" s="192" t="s">
        <v>30</v>
      </c>
      <c r="Q187" s="191">
        <v>8</v>
      </c>
      <c r="R187" s="191">
        <v>14</v>
      </c>
      <c r="S187" s="191">
        <v>4</v>
      </c>
      <c r="T187" s="191">
        <v>9</v>
      </c>
      <c r="U187" s="191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95</v>
      </c>
      <c r="L188" s="192" t="s">
        <v>94</v>
      </c>
      <c r="M188" s="192" t="s">
        <v>31</v>
      </c>
      <c r="N188" s="192" t="s">
        <v>80</v>
      </c>
      <c r="O188" s="192" t="s">
        <v>95</v>
      </c>
      <c r="Q188" s="191">
        <v>6</v>
      </c>
      <c r="R188" s="191">
        <v>17</v>
      </c>
      <c r="S188" s="191">
        <v>7</v>
      </c>
      <c r="T188" s="191">
        <v>13</v>
      </c>
      <c r="U188" s="191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31</v>
      </c>
      <c r="L189" s="192" t="s">
        <v>31</v>
      </c>
      <c r="M189" s="192" t="s">
        <v>30</v>
      </c>
      <c r="N189" s="192" t="s">
        <v>16</v>
      </c>
      <c r="O189" s="192" t="s">
        <v>31</v>
      </c>
      <c r="Q189" s="191">
        <v>7</v>
      </c>
      <c r="R189" s="191">
        <v>7</v>
      </c>
      <c r="S189" s="191">
        <v>10</v>
      </c>
      <c r="T189" s="191">
        <v>3</v>
      </c>
      <c r="U189" s="191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79</v>
      </c>
      <c r="M190" s="192" t="s">
        <v>31</v>
      </c>
      <c r="N190" s="192" t="s">
        <v>79</v>
      </c>
      <c r="O190" s="192" t="s">
        <v>31</v>
      </c>
      <c r="Q190" s="191">
        <v>5</v>
      </c>
      <c r="R190" s="191">
        <v>12</v>
      </c>
      <c r="S190" s="191">
        <v>7</v>
      </c>
      <c r="T190" s="191">
        <v>12</v>
      </c>
      <c r="U190" s="191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13</v>
      </c>
      <c r="L191" s="192" t="s">
        <v>87</v>
      </c>
      <c r="M191" s="192" t="s">
        <v>95</v>
      </c>
      <c r="N191" s="192" t="s">
        <v>29</v>
      </c>
      <c r="O191" s="192" t="s">
        <v>16</v>
      </c>
      <c r="Q191" s="191">
        <v>5</v>
      </c>
      <c r="R191" s="191">
        <v>19</v>
      </c>
      <c r="S191" s="191">
        <v>6</v>
      </c>
      <c r="T191" s="191">
        <v>8</v>
      </c>
      <c r="U191" s="191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95</v>
      </c>
      <c r="M192" s="192" t="s">
        <v>82</v>
      </c>
      <c r="N192" s="192" t="s">
        <v>30</v>
      </c>
      <c r="O192" s="192" t="s">
        <v>28</v>
      </c>
      <c r="Q192" s="191">
        <v>5</v>
      </c>
      <c r="R192" s="191">
        <v>6</v>
      </c>
      <c r="S192" s="191">
        <v>16</v>
      </c>
      <c r="T192" s="191">
        <v>10</v>
      </c>
      <c r="U192" s="191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92" t="s">
        <v>16</v>
      </c>
      <c r="L193" s="192" t="s">
        <v>15</v>
      </c>
      <c r="M193" s="192" t="s">
        <v>29</v>
      </c>
      <c r="N193" s="192" t="s">
        <v>16</v>
      </c>
      <c r="O193" s="192" t="s">
        <v>16</v>
      </c>
      <c r="Q193" s="191">
        <v>3</v>
      </c>
      <c r="R193" s="191">
        <v>2</v>
      </c>
      <c r="S193" s="191">
        <v>8</v>
      </c>
      <c r="T193" s="191">
        <v>3</v>
      </c>
      <c r="U193" s="191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91">
        <v>190</v>
      </c>
      <c r="K194" s="192" t="s">
        <v>15</v>
      </c>
      <c r="L194" s="192" t="s">
        <v>15</v>
      </c>
      <c r="M194" s="192" t="s">
        <v>15</v>
      </c>
      <c r="N194" s="192" t="s">
        <v>15</v>
      </c>
      <c r="O194" s="192" t="s">
        <v>30</v>
      </c>
      <c r="Q194" s="191">
        <v>2</v>
      </c>
      <c r="R194" s="191">
        <v>2</v>
      </c>
      <c r="S194" s="191">
        <v>2</v>
      </c>
      <c r="T194" s="191">
        <v>2</v>
      </c>
      <c r="U194" s="191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92" t="s">
        <v>95</v>
      </c>
      <c r="L195" s="192" t="s">
        <v>85</v>
      </c>
      <c r="M195" s="192" t="s">
        <v>13</v>
      </c>
      <c r="N195" s="192" t="s">
        <v>15</v>
      </c>
      <c r="O195" s="192" t="s">
        <v>13</v>
      </c>
      <c r="Q195" s="191">
        <v>6</v>
      </c>
      <c r="R195" s="191">
        <v>18</v>
      </c>
      <c r="S195" s="191">
        <v>5</v>
      </c>
      <c r="T195" s="191">
        <v>2</v>
      </c>
      <c r="U195" s="191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29</v>
      </c>
      <c r="L196" s="192" t="s">
        <v>96</v>
      </c>
      <c r="M196" s="192" t="s">
        <v>13</v>
      </c>
      <c r="N196" s="192" t="s">
        <v>29</v>
      </c>
      <c r="O196" s="192" t="s">
        <v>13</v>
      </c>
      <c r="Q196" s="191">
        <v>8</v>
      </c>
      <c r="R196" s="191">
        <v>15</v>
      </c>
      <c r="S196" s="191">
        <v>5</v>
      </c>
      <c r="T196" s="191">
        <v>8</v>
      </c>
      <c r="U196" s="191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13</v>
      </c>
      <c r="M197" s="192" t="s">
        <v>13</v>
      </c>
      <c r="N197" s="192" t="s">
        <v>29</v>
      </c>
      <c r="O197" s="192" t="s">
        <v>29</v>
      </c>
      <c r="Q197" s="191">
        <v>5</v>
      </c>
      <c r="R197" s="191">
        <v>5</v>
      </c>
      <c r="S197" s="191">
        <v>5</v>
      </c>
      <c r="T197" s="191">
        <v>8</v>
      </c>
      <c r="U197" s="191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13</v>
      </c>
      <c r="L198" s="192" t="s">
        <v>31</v>
      </c>
      <c r="M198" s="192" t="s">
        <v>31</v>
      </c>
      <c r="N198" s="192" t="s">
        <v>16</v>
      </c>
      <c r="O198" s="192" t="s">
        <v>16</v>
      </c>
      <c r="Q198" s="191">
        <v>5</v>
      </c>
      <c r="R198" s="191">
        <v>7</v>
      </c>
      <c r="S198" s="191">
        <v>7</v>
      </c>
      <c r="T198" s="191">
        <v>3</v>
      </c>
      <c r="U198" s="191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15</v>
      </c>
      <c r="L199" s="192" t="s">
        <v>16</v>
      </c>
      <c r="M199" s="192" t="s">
        <v>16</v>
      </c>
      <c r="N199" s="192" t="s">
        <v>30</v>
      </c>
      <c r="O199" s="192" t="s">
        <v>95</v>
      </c>
      <c r="Q199" s="191">
        <v>2</v>
      </c>
      <c r="R199" s="191">
        <v>3</v>
      </c>
      <c r="S199" s="191">
        <v>3</v>
      </c>
      <c r="T199" s="191">
        <v>10</v>
      </c>
      <c r="U199" s="191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82</v>
      </c>
      <c r="M200" s="192" t="s">
        <v>95</v>
      </c>
      <c r="N200" s="192" t="s">
        <v>12</v>
      </c>
      <c r="O200" s="192" t="s">
        <v>29</v>
      </c>
      <c r="Q200" s="191">
        <v>6</v>
      </c>
      <c r="R200" s="191">
        <v>16</v>
      </c>
      <c r="S200" s="191">
        <v>6</v>
      </c>
      <c r="T200" s="191">
        <v>4</v>
      </c>
      <c r="U200" s="191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13</v>
      </c>
      <c r="M201" s="192" t="s">
        <v>13</v>
      </c>
      <c r="N201" s="192" t="s">
        <v>16</v>
      </c>
      <c r="O201" s="192" t="s">
        <v>12</v>
      </c>
      <c r="Q201" s="191">
        <v>5</v>
      </c>
      <c r="R201" s="191">
        <v>5</v>
      </c>
      <c r="S201" s="191">
        <v>5</v>
      </c>
      <c r="T201" s="191">
        <v>3</v>
      </c>
      <c r="U201" s="191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91">
        <v>198</v>
      </c>
      <c r="K202" s="192" t="s">
        <v>31</v>
      </c>
      <c r="L202" s="192" t="s">
        <v>95</v>
      </c>
      <c r="M202" s="192" t="s">
        <v>95</v>
      </c>
      <c r="N202" s="192" t="s">
        <v>28</v>
      </c>
      <c r="O202" s="192" t="s">
        <v>30</v>
      </c>
      <c r="Q202" s="191">
        <v>7</v>
      </c>
      <c r="R202" s="191">
        <v>6</v>
      </c>
      <c r="S202" s="191">
        <v>6</v>
      </c>
      <c r="T202" s="191">
        <v>9</v>
      </c>
      <c r="U202" s="191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95</v>
      </c>
      <c r="L203" s="192" t="s">
        <v>30</v>
      </c>
      <c r="M203" s="192" t="s">
        <v>13</v>
      </c>
      <c r="N203" s="192" t="s">
        <v>30</v>
      </c>
      <c r="O203" s="192" t="s">
        <v>28</v>
      </c>
      <c r="Q203" s="191">
        <v>6</v>
      </c>
      <c r="R203" s="191">
        <v>10</v>
      </c>
      <c r="S203" s="191">
        <v>5</v>
      </c>
      <c r="T203" s="191">
        <v>10</v>
      </c>
      <c r="U203" s="191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2" priority="26">
      <formula>_xlfn.LET(_xlpm.x, W4, AND(NOT(_xlfn.ISFORMULA(_xlpm.x)), _xlpm.x&lt;&gt;""))</formula>
    </cfRule>
  </conditionalFormatting>
  <conditionalFormatting sqref="W5:AA203 X4:AA4">
    <cfRule type="expression" dxfId="151" priority="22">
      <formula>_xlfn.LET(_xlpm.x, W4, AND(NOT(_xlfn.ISFORMULA(_xlpm.x)), _xlpm.x&lt;&gt;""))</formula>
    </cfRule>
  </conditionalFormatting>
  <conditionalFormatting sqref="W5:AA203 X4:AA4">
    <cfRule type="expression" dxfId="150" priority="21">
      <formula>_xlfn.LET(_xlpm.x, W4, AND(NOT(_xlfn.ISFORMULA(_xlpm.x)), _xlpm.x&lt;&gt;""))</formula>
    </cfRule>
  </conditionalFormatting>
  <conditionalFormatting sqref="W4:AA203">
    <cfRule type="expression" dxfId="149" priority="20">
      <formula>_xlfn.LET(_xlpm.x, W4, AND(NOT(_xlfn.ISFORMULA(_xlpm.x)), _xlpm.x&lt;&gt;""))</formula>
    </cfRule>
  </conditionalFormatting>
  <conditionalFormatting sqref="K1:O1048576">
    <cfRule type="cellIs" dxfId="148" priority="15" operator="equal">
      <formula>"C1"</formula>
    </cfRule>
    <cfRule type="cellIs" dxfId="147" priority="16" operator="between">
      <formula>"G1"</formula>
      <formula>"G5"</formula>
    </cfRule>
    <cfRule type="cellIs" dxfId="146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E52:E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F52:F54">
    <cfRule type="cellIs" dxfId="137" priority="2" operator="equal">
      <formula>"C1"</formula>
    </cfRule>
    <cfRule type="cellIs" dxfId="136" priority="3" operator="between">
      <formula>"G1"</formula>
      <formula>"G4"</formula>
    </cfRule>
    <cfRule type="cellIs" dxfId="135" priority="4" operator="between">
      <formula>"GA"</formula>
      <formula>"GQ"</formula>
    </cfRule>
    <cfRule type="cellIs" dxfId="134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{98DDF7C1-13DB-4528-AB70-60261071591D}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98DDF7C1-13DB-4528-AB70-60261071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0</v>
      </c>
      <c r="D5" s="199">
        <v>6</v>
      </c>
      <c r="E5" s="199">
        <v>0</v>
      </c>
      <c r="F5" s="199">
        <v>9</v>
      </c>
      <c r="G5" s="199">
        <v>0</v>
      </c>
      <c r="H5" s="197">
        <v>1</v>
      </c>
      <c r="I5" s="82"/>
      <c r="J5" s="191">
        <v>1</v>
      </c>
      <c r="K5" s="192" t="s">
        <v>31</v>
      </c>
      <c r="L5" s="192" t="s">
        <v>31</v>
      </c>
      <c r="M5" s="192" t="s">
        <v>85</v>
      </c>
      <c r="N5" s="192" t="s">
        <v>15</v>
      </c>
      <c r="O5" s="192" t="s">
        <v>12</v>
      </c>
      <c r="Q5" s="191">
        <v>7</v>
      </c>
      <c r="R5" s="191">
        <v>7</v>
      </c>
      <c r="S5" s="191">
        <v>18</v>
      </c>
      <c r="T5" s="191">
        <v>2</v>
      </c>
      <c r="U5" s="191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6</v>
      </c>
      <c r="E6" s="198">
        <v>0</v>
      </c>
      <c r="F6" s="198">
        <v>22</v>
      </c>
      <c r="G6" s="198">
        <v>28</v>
      </c>
      <c r="H6" s="132">
        <v>2</v>
      </c>
      <c r="I6" s="82"/>
      <c r="J6" s="23">
        <v>2</v>
      </c>
      <c r="K6" s="192" t="s">
        <v>15</v>
      </c>
      <c r="L6" s="192" t="s">
        <v>82</v>
      </c>
      <c r="M6" s="192" t="s">
        <v>81</v>
      </c>
      <c r="N6" s="192" t="s">
        <v>12</v>
      </c>
      <c r="O6" s="192" t="s">
        <v>16</v>
      </c>
      <c r="Q6" s="191">
        <v>2</v>
      </c>
      <c r="R6" s="191">
        <v>16</v>
      </c>
      <c r="S6" s="191">
        <v>14</v>
      </c>
      <c r="T6" s="191">
        <v>4</v>
      </c>
      <c r="U6" s="191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6</v>
      </c>
      <c r="E7" s="198">
        <v>0</v>
      </c>
      <c r="F7" s="198">
        <v>22</v>
      </c>
      <c r="G7" s="198">
        <v>27</v>
      </c>
      <c r="H7" s="132">
        <v>3</v>
      </c>
      <c r="I7" s="82"/>
      <c r="J7" s="191">
        <v>3</v>
      </c>
      <c r="K7" s="192" t="s">
        <v>13</v>
      </c>
      <c r="L7" s="192" t="s">
        <v>28</v>
      </c>
      <c r="M7" s="24" t="s">
        <v>96</v>
      </c>
      <c r="N7" s="192" t="s">
        <v>12</v>
      </c>
      <c r="O7" s="192" t="s">
        <v>16</v>
      </c>
      <c r="Q7" s="191">
        <v>5</v>
      </c>
      <c r="R7" s="191">
        <v>9</v>
      </c>
      <c r="S7" s="191">
        <v>15</v>
      </c>
      <c r="T7" s="191">
        <v>4</v>
      </c>
      <c r="U7" s="191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97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6</v>
      </c>
      <c r="E8" s="198">
        <v>0</v>
      </c>
      <c r="F8" s="198">
        <v>22</v>
      </c>
      <c r="G8" s="198">
        <v>27</v>
      </c>
      <c r="H8" s="132">
        <v>4</v>
      </c>
      <c r="I8" s="82"/>
      <c r="J8" s="23">
        <v>4</v>
      </c>
      <c r="K8" s="192" t="s">
        <v>29</v>
      </c>
      <c r="L8" s="192" t="s">
        <v>82</v>
      </c>
      <c r="M8" s="192" t="s">
        <v>81</v>
      </c>
      <c r="N8" s="192" t="s">
        <v>16</v>
      </c>
      <c r="O8" s="192" t="s">
        <v>29</v>
      </c>
      <c r="Q8" s="191">
        <v>8</v>
      </c>
      <c r="R8" s="191">
        <v>16</v>
      </c>
      <c r="S8" s="191">
        <v>14</v>
      </c>
      <c r="T8" s="191">
        <v>3</v>
      </c>
      <c r="U8" s="191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2" t="s">
        <v>15</v>
      </c>
      <c r="AD8" s="198">
        <v>4</v>
      </c>
      <c r="AE8" s="198">
        <v>11</v>
      </c>
      <c r="AF8" s="198">
        <v>0</v>
      </c>
      <c r="AG8" s="198">
        <v>22</v>
      </c>
      <c r="AH8" s="198">
        <v>28</v>
      </c>
      <c r="AI8" s="5"/>
      <c r="AJ8" s="132" t="s">
        <v>15</v>
      </c>
      <c r="AK8" s="198">
        <v>4</v>
      </c>
      <c r="AL8" s="198">
        <v>11</v>
      </c>
      <c r="AM8" s="198">
        <v>0</v>
      </c>
      <c r="AN8" s="198">
        <v>22</v>
      </c>
      <c r="AO8" s="198">
        <v>28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19</v>
      </c>
      <c r="E9" s="198">
        <v>0</v>
      </c>
      <c r="F9" s="198">
        <v>12</v>
      </c>
      <c r="G9" s="198">
        <v>16</v>
      </c>
      <c r="H9" s="132">
        <v>5</v>
      </c>
      <c r="I9" s="82"/>
      <c r="J9" s="191">
        <v>5</v>
      </c>
      <c r="K9" s="192" t="s">
        <v>95</v>
      </c>
      <c r="L9" s="192" t="s">
        <v>12</v>
      </c>
      <c r="M9" s="192" t="s">
        <v>94</v>
      </c>
      <c r="N9" s="192" t="s">
        <v>16</v>
      </c>
      <c r="O9" s="192" t="s">
        <v>16</v>
      </c>
      <c r="Q9" s="191">
        <v>6</v>
      </c>
      <c r="R9" s="191">
        <v>4</v>
      </c>
      <c r="S9" s="191">
        <v>17</v>
      </c>
      <c r="T9" s="191">
        <v>3</v>
      </c>
      <c r="U9" s="191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2" t="s">
        <v>16</v>
      </c>
      <c r="AD9" s="198">
        <v>4</v>
      </c>
      <c r="AE9" s="198">
        <v>11</v>
      </c>
      <c r="AF9" s="198">
        <v>0</v>
      </c>
      <c r="AG9" s="198">
        <v>22</v>
      </c>
      <c r="AH9" s="198">
        <v>27</v>
      </c>
      <c r="AI9" s="5"/>
      <c r="AJ9" s="132" t="s">
        <v>16</v>
      </c>
      <c r="AK9" s="198">
        <v>4</v>
      </c>
      <c r="AL9" s="198">
        <v>11</v>
      </c>
      <c r="AM9" s="198">
        <v>0</v>
      </c>
      <c r="AN9" s="198">
        <v>22</v>
      </c>
      <c r="AO9" s="198">
        <v>27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19</v>
      </c>
      <c r="E10" s="198">
        <v>0</v>
      </c>
      <c r="F10" s="198">
        <v>12</v>
      </c>
      <c r="G10" s="198">
        <v>16</v>
      </c>
      <c r="H10" s="132">
        <v>6</v>
      </c>
      <c r="I10" s="82"/>
      <c r="J10" s="23">
        <v>6</v>
      </c>
      <c r="K10" s="192" t="s">
        <v>29</v>
      </c>
      <c r="L10" s="192" t="s">
        <v>13</v>
      </c>
      <c r="M10" s="192" t="s">
        <v>82</v>
      </c>
      <c r="N10" s="192" t="s">
        <v>30</v>
      </c>
      <c r="O10" s="192" t="s">
        <v>31</v>
      </c>
      <c r="Q10" s="191">
        <v>8</v>
      </c>
      <c r="R10" s="191">
        <v>5</v>
      </c>
      <c r="S10" s="191">
        <v>16</v>
      </c>
      <c r="T10" s="191">
        <v>10</v>
      </c>
      <c r="U10" s="191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2" t="s">
        <v>12</v>
      </c>
      <c r="AD10" s="198">
        <v>4</v>
      </c>
      <c r="AE10" s="198">
        <v>11</v>
      </c>
      <c r="AF10" s="198">
        <v>0</v>
      </c>
      <c r="AG10" s="198">
        <v>22</v>
      </c>
      <c r="AH10" s="198">
        <v>27</v>
      </c>
      <c r="AI10" s="5"/>
      <c r="AJ10" s="132" t="s">
        <v>12</v>
      </c>
      <c r="AK10" s="198">
        <v>4</v>
      </c>
      <c r="AL10" s="198">
        <v>11</v>
      </c>
      <c r="AM10" s="198">
        <v>0</v>
      </c>
      <c r="AN10" s="198">
        <v>22</v>
      </c>
      <c r="AO10" s="198">
        <v>27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22</v>
      </c>
      <c r="E11" s="198">
        <v>0</v>
      </c>
      <c r="F11" s="198">
        <v>12</v>
      </c>
      <c r="G11" s="198">
        <v>16</v>
      </c>
      <c r="H11" s="132">
        <v>7</v>
      </c>
      <c r="I11" s="82"/>
      <c r="J11" s="191">
        <v>7</v>
      </c>
      <c r="K11" s="192" t="s">
        <v>95</v>
      </c>
      <c r="L11" s="192" t="s">
        <v>80</v>
      </c>
      <c r="M11" s="192" t="s">
        <v>96</v>
      </c>
      <c r="N11" s="192" t="s">
        <v>30</v>
      </c>
      <c r="O11" s="192" t="s">
        <v>95</v>
      </c>
      <c r="Q11" s="191">
        <v>6</v>
      </c>
      <c r="R11" s="191">
        <v>13</v>
      </c>
      <c r="S11" s="191">
        <v>15</v>
      </c>
      <c r="T11" s="191">
        <v>10</v>
      </c>
      <c r="U11" s="191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2" t="s">
        <v>13</v>
      </c>
      <c r="AD11" s="198">
        <v>43</v>
      </c>
      <c r="AE11" s="198">
        <v>19</v>
      </c>
      <c r="AF11" s="198">
        <v>0</v>
      </c>
      <c r="AG11" s="198">
        <v>12</v>
      </c>
      <c r="AH11" s="198">
        <v>16</v>
      </c>
      <c r="AI11" s="5"/>
      <c r="AJ11" s="132" t="s">
        <v>13</v>
      </c>
      <c r="AK11" s="198">
        <v>43</v>
      </c>
      <c r="AL11" s="198">
        <v>19</v>
      </c>
      <c r="AM11" s="198">
        <v>0</v>
      </c>
      <c r="AN11" s="198">
        <v>12</v>
      </c>
      <c r="AO11" s="198">
        <v>16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24</v>
      </c>
      <c r="E12" s="198">
        <v>0</v>
      </c>
      <c r="F12" s="198">
        <v>12</v>
      </c>
      <c r="G12" s="198">
        <v>16</v>
      </c>
      <c r="H12" s="132">
        <v>8</v>
      </c>
      <c r="I12" s="82"/>
      <c r="J12" s="23">
        <v>8</v>
      </c>
      <c r="K12" s="192" t="s">
        <v>13</v>
      </c>
      <c r="L12" s="192" t="s">
        <v>31</v>
      </c>
      <c r="M12" s="192" t="s">
        <v>94</v>
      </c>
      <c r="N12" s="192" t="s">
        <v>95</v>
      </c>
      <c r="O12" s="192" t="s">
        <v>95</v>
      </c>
      <c r="Q12" s="191">
        <v>5</v>
      </c>
      <c r="R12" s="191">
        <v>7</v>
      </c>
      <c r="S12" s="191">
        <v>17</v>
      </c>
      <c r="T12" s="191">
        <v>6</v>
      </c>
      <c r="U12" s="191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2" t="s">
        <v>95</v>
      </c>
      <c r="AD12" s="198">
        <v>43</v>
      </c>
      <c r="AE12" s="198">
        <v>20</v>
      </c>
      <c r="AF12" s="198">
        <v>0</v>
      </c>
      <c r="AG12" s="198">
        <v>12</v>
      </c>
      <c r="AH12" s="198">
        <v>16</v>
      </c>
      <c r="AI12" s="5"/>
      <c r="AJ12" s="132" t="s">
        <v>95</v>
      </c>
      <c r="AK12" s="198">
        <v>43</v>
      </c>
      <c r="AL12" s="198">
        <v>20</v>
      </c>
      <c r="AM12" s="198">
        <v>0</v>
      </c>
      <c r="AN12" s="198">
        <v>12</v>
      </c>
      <c r="AO12" s="198">
        <v>16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5</v>
      </c>
      <c r="E13" s="198">
        <v>0</v>
      </c>
      <c r="F13" s="198">
        <v>21</v>
      </c>
      <c r="G13" s="198">
        <v>27</v>
      </c>
      <c r="H13" s="132">
        <v>9</v>
      </c>
      <c r="I13" s="82"/>
      <c r="J13" s="191">
        <v>9</v>
      </c>
      <c r="K13" s="192" t="s">
        <v>29</v>
      </c>
      <c r="L13" s="192" t="s">
        <v>87</v>
      </c>
      <c r="M13" s="192" t="s">
        <v>96</v>
      </c>
      <c r="N13" s="192" t="s">
        <v>87</v>
      </c>
      <c r="O13" s="192" t="s">
        <v>15</v>
      </c>
      <c r="Q13" s="191">
        <v>8</v>
      </c>
      <c r="R13" s="191">
        <v>19</v>
      </c>
      <c r="S13" s="191">
        <v>15</v>
      </c>
      <c r="T13" s="191">
        <v>19</v>
      </c>
      <c r="U13" s="191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2" t="s">
        <v>31</v>
      </c>
      <c r="AD13" s="198">
        <v>47</v>
      </c>
      <c r="AE13" s="198">
        <v>20</v>
      </c>
      <c r="AF13" s="198">
        <v>0</v>
      </c>
      <c r="AG13" s="198">
        <v>12</v>
      </c>
      <c r="AH13" s="198">
        <v>16</v>
      </c>
      <c r="AI13" s="5"/>
      <c r="AJ13" s="132" t="s">
        <v>31</v>
      </c>
      <c r="AK13" s="198">
        <v>47</v>
      </c>
      <c r="AL13" s="198">
        <v>20</v>
      </c>
      <c r="AM13" s="198">
        <v>0</v>
      </c>
      <c r="AN13" s="198">
        <v>12</v>
      </c>
      <c r="AO13" s="198">
        <v>16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7</v>
      </c>
      <c r="E14" s="198">
        <v>0</v>
      </c>
      <c r="F14" s="198">
        <v>21</v>
      </c>
      <c r="G14" s="198">
        <v>27</v>
      </c>
      <c r="H14" s="132">
        <v>10</v>
      </c>
      <c r="I14" s="82"/>
      <c r="J14" s="23">
        <v>10</v>
      </c>
      <c r="K14" s="192" t="s">
        <v>28</v>
      </c>
      <c r="L14" s="192" t="s">
        <v>96</v>
      </c>
      <c r="M14" s="192" t="s">
        <v>82</v>
      </c>
      <c r="N14" s="192" t="s">
        <v>15</v>
      </c>
      <c r="O14" s="192" t="s">
        <v>29</v>
      </c>
      <c r="Q14" s="191">
        <v>9</v>
      </c>
      <c r="R14" s="191">
        <v>15</v>
      </c>
      <c r="S14" s="191">
        <v>16</v>
      </c>
      <c r="T14" s="191">
        <v>2</v>
      </c>
      <c r="U14" s="191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2" t="s">
        <v>29</v>
      </c>
      <c r="AD14" s="198">
        <v>47</v>
      </c>
      <c r="AE14" s="198">
        <v>20</v>
      </c>
      <c r="AF14" s="198">
        <v>0</v>
      </c>
      <c r="AG14" s="198">
        <v>12</v>
      </c>
      <c r="AH14" s="198">
        <v>16</v>
      </c>
      <c r="AI14" s="5"/>
      <c r="AJ14" s="132" t="s">
        <v>29</v>
      </c>
      <c r="AK14" s="198">
        <v>47</v>
      </c>
      <c r="AL14" s="198">
        <v>20</v>
      </c>
      <c r="AM14" s="198">
        <v>0</v>
      </c>
      <c r="AN14" s="198">
        <v>12</v>
      </c>
      <c r="AO14" s="198">
        <v>16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4</v>
      </c>
      <c r="E15" s="199">
        <v>5</v>
      </c>
      <c r="F15" s="199">
        <v>5</v>
      </c>
      <c r="G15" s="199">
        <v>0</v>
      </c>
      <c r="H15" s="197">
        <v>11</v>
      </c>
      <c r="I15" s="82"/>
      <c r="J15" s="191">
        <v>11</v>
      </c>
      <c r="K15" s="192" t="s">
        <v>31</v>
      </c>
      <c r="L15" s="192" t="s">
        <v>13</v>
      </c>
      <c r="M15" s="192" t="s">
        <v>81</v>
      </c>
      <c r="N15" s="192" t="s">
        <v>31</v>
      </c>
      <c r="O15" s="192" t="s">
        <v>29</v>
      </c>
      <c r="Q15" s="191">
        <v>7</v>
      </c>
      <c r="R15" s="191">
        <v>5</v>
      </c>
      <c r="S15" s="191">
        <v>14</v>
      </c>
      <c r="T15" s="191">
        <v>7</v>
      </c>
      <c r="U15" s="191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2" t="s">
        <v>28</v>
      </c>
      <c r="AD15" s="198">
        <v>4</v>
      </c>
      <c r="AE15" s="198">
        <v>11</v>
      </c>
      <c r="AF15" s="198">
        <v>0</v>
      </c>
      <c r="AG15" s="198">
        <v>21</v>
      </c>
      <c r="AH15" s="198">
        <v>27</v>
      </c>
      <c r="AI15" s="5"/>
      <c r="AJ15" s="132" t="s">
        <v>28</v>
      </c>
      <c r="AK15" s="198">
        <v>4</v>
      </c>
      <c r="AL15" s="198">
        <v>11</v>
      </c>
      <c r="AM15" s="198">
        <v>0</v>
      </c>
      <c r="AN15" s="198">
        <v>21</v>
      </c>
      <c r="AO15" s="198">
        <v>27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4</v>
      </c>
      <c r="E16" s="199">
        <v>5</v>
      </c>
      <c r="F16" s="199">
        <v>5</v>
      </c>
      <c r="G16" s="199">
        <v>0</v>
      </c>
      <c r="H16" s="197">
        <v>12</v>
      </c>
      <c r="I16" s="82"/>
      <c r="J16" s="23">
        <v>12</v>
      </c>
      <c r="K16" s="192" t="s">
        <v>28</v>
      </c>
      <c r="L16" s="192" t="s">
        <v>13</v>
      </c>
      <c r="M16" s="192" t="s">
        <v>94</v>
      </c>
      <c r="N16" s="192" t="s">
        <v>82</v>
      </c>
      <c r="O16" s="192" t="s">
        <v>28</v>
      </c>
      <c r="Q16" s="191">
        <v>9</v>
      </c>
      <c r="R16" s="191">
        <v>5</v>
      </c>
      <c r="S16" s="191">
        <v>17</v>
      </c>
      <c r="T16" s="191">
        <v>16</v>
      </c>
      <c r="U16" s="191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2" t="s">
        <v>30</v>
      </c>
      <c r="AD16" s="198">
        <v>4</v>
      </c>
      <c r="AE16" s="198">
        <v>11</v>
      </c>
      <c r="AF16" s="198">
        <v>0</v>
      </c>
      <c r="AG16" s="198">
        <v>21</v>
      </c>
      <c r="AH16" s="198">
        <v>27</v>
      </c>
      <c r="AI16" s="5"/>
      <c r="AJ16" s="132" t="s">
        <v>30</v>
      </c>
      <c r="AK16" s="198">
        <v>4</v>
      </c>
      <c r="AL16" s="198">
        <v>11</v>
      </c>
      <c r="AM16" s="198">
        <v>0</v>
      </c>
      <c r="AN16" s="198">
        <v>21</v>
      </c>
      <c r="AO16" s="198">
        <v>27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4</v>
      </c>
      <c r="E17" s="199">
        <v>5</v>
      </c>
      <c r="F17" s="199">
        <v>5</v>
      </c>
      <c r="G17" s="199">
        <v>0</v>
      </c>
      <c r="H17" s="197">
        <v>13</v>
      </c>
      <c r="I17" s="82"/>
      <c r="J17" s="191">
        <v>13</v>
      </c>
      <c r="K17" s="192" t="s">
        <v>29</v>
      </c>
      <c r="L17" s="192" t="s">
        <v>28</v>
      </c>
      <c r="M17" s="192" t="s">
        <v>96</v>
      </c>
      <c r="N17" s="192" t="s">
        <v>29</v>
      </c>
      <c r="O17" s="192" t="s">
        <v>16</v>
      </c>
      <c r="Q17" s="191">
        <v>8</v>
      </c>
      <c r="R17" s="191">
        <v>9</v>
      </c>
      <c r="S17" s="191">
        <v>15</v>
      </c>
      <c r="T17" s="191">
        <v>8</v>
      </c>
      <c r="U17" s="191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97" t="s">
        <v>78</v>
      </c>
      <c r="AD17" s="199">
        <v>0</v>
      </c>
      <c r="AE17" s="199">
        <v>7</v>
      </c>
      <c r="AF17" s="199">
        <v>7</v>
      </c>
      <c r="AG17" s="199">
        <v>9</v>
      </c>
      <c r="AH17" s="199">
        <v>0</v>
      </c>
      <c r="AI17" s="5"/>
      <c r="AJ17" s="197" t="s">
        <v>78</v>
      </c>
      <c r="AK17" s="199">
        <v>0</v>
      </c>
      <c r="AL17" s="199">
        <v>7</v>
      </c>
      <c r="AM17" s="199">
        <v>7</v>
      </c>
      <c r="AN17" s="199">
        <v>9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15</v>
      </c>
      <c r="E18" s="199">
        <v>44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82</v>
      </c>
      <c r="M18" s="192" t="s">
        <v>81</v>
      </c>
      <c r="N18" s="192" t="s">
        <v>31</v>
      </c>
      <c r="O18" s="192" t="s">
        <v>30</v>
      </c>
      <c r="Q18" s="191">
        <v>7</v>
      </c>
      <c r="R18" s="191">
        <v>16</v>
      </c>
      <c r="S18" s="191">
        <v>14</v>
      </c>
      <c r="T18" s="191">
        <v>7</v>
      </c>
      <c r="U18" s="191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97" t="s">
        <v>79</v>
      </c>
      <c r="AD18" s="199">
        <v>0</v>
      </c>
      <c r="AE18" s="199">
        <v>9</v>
      </c>
      <c r="AF18" s="199">
        <v>7</v>
      </c>
      <c r="AG18" s="199">
        <v>9</v>
      </c>
      <c r="AH18" s="199">
        <v>0</v>
      </c>
      <c r="AI18" s="5"/>
      <c r="AJ18" s="197" t="s">
        <v>79</v>
      </c>
      <c r="AK18" s="199">
        <v>0</v>
      </c>
      <c r="AL18" s="199">
        <v>9</v>
      </c>
      <c r="AM18" s="199">
        <v>7</v>
      </c>
      <c r="AN18" s="199">
        <v>9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16</v>
      </c>
      <c r="E19" s="199">
        <v>44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87</v>
      </c>
      <c r="M19" s="192" t="s">
        <v>82</v>
      </c>
      <c r="N19" s="192" t="s">
        <v>31</v>
      </c>
      <c r="O19" s="192" t="s">
        <v>95</v>
      </c>
      <c r="Q19" s="191">
        <v>7</v>
      </c>
      <c r="R19" s="191">
        <v>19</v>
      </c>
      <c r="S19" s="191">
        <v>16</v>
      </c>
      <c r="T19" s="191">
        <v>7</v>
      </c>
      <c r="U19" s="191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97" t="s">
        <v>80</v>
      </c>
      <c r="AD19" s="199">
        <v>0</v>
      </c>
      <c r="AE19" s="199">
        <v>9</v>
      </c>
      <c r="AF19" s="199">
        <v>7</v>
      </c>
      <c r="AG19" s="199">
        <v>9</v>
      </c>
      <c r="AH19" s="199">
        <v>0</v>
      </c>
      <c r="AI19" s="5"/>
      <c r="AJ19" s="197" t="s">
        <v>80</v>
      </c>
      <c r="AK19" s="199">
        <v>0</v>
      </c>
      <c r="AL19" s="199">
        <v>9</v>
      </c>
      <c r="AM19" s="199">
        <v>7</v>
      </c>
      <c r="AN19" s="199">
        <v>9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15</v>
      </c>
      <c r="E20" s="199">
        <v>44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31</v>
      </c>
      <c r="L20" s="192" t="s">
        <v>16</v>
      </c>
      <c r="M20" s="192" t="s">
        <v>85</v>
      </c>
      <c r="N20" s="192" t="s">
        <v>79</v>
      </c>
      <c r="O20" s="192" t="s">
        <v>15</v>
      </c>
      <c r="Q20" s="191">
        <v>7</v>
      </c>
      <c r="R20" s="191">
        <v>3</v>
      </c>
      <c r="S20" s="191">
        <v>18</v>
      </c>
      <c r="T20" s="191">
        <v>12</v>
      </c>
      <c r="U20" s="191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97" t="s">
        <v>81</v>
      </c>
      <c r="AD20" s="199">
        <v>0</v>
      </c>
      <c r="AE20" s="199">
        <v>15</v>
      </c>
      <c r="AF20" s="199">
        <v>66</v>
      </c>
      <c r="AG20" s="199">
        <v>6</v>
      </c>
      <c r="AH20" s="199">
        <v>0</v>
      </c>
      <c r="AI20" s="5"/>
      <c r="AJ20" s="197" t="s">
        <v>81</v>
      </c>
      <c r="AK20" s="199">
        <v>0</v>
      </c>
      <c r="AL20" s="199">
        <v>15</v>
      </c>
      <c r="AM20" s="199">
        <v>66</v>
      </c>
      <c r="AN20" s="199">
        <v>6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14</v>
      </c>
      <c r="E21" s="199">
        <v>44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29</v>
      </c>
      <c r="L21" s="192" t="s">
        <v>96</v>
      </c>
      <c r="M21" s="192" t="s">
        <v>82</v>
      </c>
      <c r="N21" s="192" t="s">
        <v>94</v>
      </c>
      <c r="O21" s="192" t="s">
        <v>31</v>
      </c>
      <c r="Q21" s="191">
        <v>8</v>
      </c>
      <c r="R21" s="191">
        <v>15</v>
      </c>
      <c r="S21" s="191">
        <v>16</v>
      </c>
      <c r="T21" s="191">
        <v>17</v>
      </c>
      <c r="U21" s="191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97" t="s">
        <v>96</v>
      </c>
      <c r="AD21" s="199">
        <v>0</v>
      </c>
      <c r="AE21" s="199">
        <v>15</v>
      </c>
      <c r="AF21" s="199">
        <v>66</v>
      </c>
      <c r="AG21" s="199">
        <v>6</v>
      </c>
      <c r="AH21" s="199">
        <v>0</v>
      </c>
      <c r="AI21" s="5"/>
      <c r="AJ21" s="197" t="s">
        <v>96</v>
      </c>
      <c r="AK21" s="199">
        <v>0</v>
      </c>
      <c r="AL21" s="199">
        <v>15</v>
      </c>
      <c r="AM21" s="199">
        <v>66</v>
      </c>
      <c r="AN21" s="199">
        <v>6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5</v>
      </c>
      <c r="E22" s="199">
        <v>5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95</v>
      </c>
      <c r="L22" s="192" t="s">
        <v>95</v>
      </c>
      <c r="M22" s="192" t="s">
        <v>96</v>
      </c>
      <c r="N22" s="192" t="s">
        <v>28</v>
      </c>
      <c r="O22" s="192" t="s">
        <v>30</v>
      </c>
      <c r="Q22" s="191">
        <v>6</v>
      </c>
      <c r="R22" s="191">
        <v>6</v>
      </c>
      <c r="S22" s="191">
        <v>15</v>
      </c>
      <c r="T22" s="191">
        <v>9</v>
      </c>
      <c r="U22" s="191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97" t="s">
        <v>82</v>
      </c>
      <c r="AD22" s="199">
        <v>0</v>
      </c>
      <c r="AE22" s="199">
        <v>15</v>
      </c>
      <c r="AF22" s="199">
        <v>66</v>
      </c>
      <c r="AG22" s="199">
        <v>6</v>
      </c>
      <c r="AH22" s="199">
        <v>0</v>
      </c>
      <c r="AI22" s="5"/>
      <c r="AJ22" s="197" t="s">
        <v>82</v>
      </c>
      <c r="AK22" s="199">
        <v>0</v>
      </c>
      <c r="AL22" s="199">
        <v>15</v>
      </c>
      <c r="AM22" s="199">
        <v>66</v>
      </c>
      <c r="AN22" s="199">
        <v>6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3</v>
      </c>
      <c r="E23" s="199">
        <v>4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13</v>
      </c>
      <c r="L23" s="192" t="s">
        <v>31</v>
      </c>
      <c r="M23" s="192" t="s">
        <v>94</v>
      </c>
      <c r="N23" s="192" t="s">
        <v>28</v>
      </c>
      <c r="O23" s="192" t="s">
        <v>15</v>
      </c>
      <c r="Q23" s="191">
        <v>5</v>
      </c>
      <c r="R23" s="191">
        <v>7</v>
      </c>
      <c r="S23" s="191">
        <v>17</v>
      </c>
      <c r="T23" s="191">
        <v>9</v>
      </c>
      <c r="U23" s="191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97" t="s">
        <v>94</v>
      </c>
      <c r="AD23" s="199">
        <v>0</v>
      </c>
      <c r="AE23" s="199">
        <v>15</v>
      </c>
      <c r="AF23" s="199">
        <v>66</v>
      </c>
      <c r="AG23" s="199">
        <v>6</v>
      </c>
      <c r="AH23" s="199">
        <v>0</v>
      </c>
      <c r="AI23" s="5"/>
      <c r="AJ23" s="197" t="s">
        <v>94</v>
      </c>
      <c r="AK23" s="199">
        <v>0</v>
      </c>
      <c r="AL23" s="199">
        <v>15</v>
      </c>
      <c r="AM23" s="199">
        <v>66</v>
      </c>
      <c r="AN23" s="199">
        <v>6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95</v>
      </c>
      <c r="L24" s="192" t="s">
        <v>94</v>
      </c>
      <c r="M24" s="192" t="s">
        <v>81</v>
      </c>
      <c r="N24" s="192" t="s">
        <v>12</v>
      </c>
      <c r="O24" s="192" t="s">
        <v>28</v>
      </c>
      <c r="Q24" s="191">
        <v>6</v>
      </c>
      <c r="R24" s="191">
        <v>17</v>
      </c>
      <c r="S24" s="191">
        <v>14</v>
      </c>
      <c r="T24" s="191">
        <v>4</v>
      </c>
      <c r="U24" s="191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97" t="s">
        <v>85</v>
      </c>
      <c r="AD24" s="199">
        <v>0</v>
      </c>
      <c r="AE24" s="199">
        <v>9</v>
      </c>
      <c r="AF24" s="199">
        <v>7</v>
      </c>
      <c r="AG24" s="199">
        <v>7</v>
      </c>
      <c r="AH24" s="199">
        <v>0</v>
      </c>
      <c r="AI24" s="5"/>
      <c r="AJ24" s="197" t="s">
        <v>85</v>
      </c>
      <c r="AK24" s="199">
        <v>0</v>
      </c>
      <c r="AL24" s="199">
        <v>9</v>
      </c>
      <c r="AM24" s="199">
        <v>7</v>
      </c>
      <c r="AN24" s="199">
        <v>7</v>
      </c>
      <c r="AO24" s="199">
        <v>0</v>
      </c>
    </row>
    <row r="25" spans="1:41" ht="16.5" customHeight="1">
      <c r="I25" s="82"/>
      <c r="J25" s="191">
        <v>21</v>
      </c>
      <c r="K25" s="192" t="s">
        <v>12</v>
      </c>
      <c r="L25" s="192" t="s">
        <v>94</v>
      </c>
      <c r="M25" s="192" t="s">
        <v>94</v>
      </c>
      <c r="N25" s="192" t="s">
        <v>14</v>
      </c>
      <c r="O25" s="192" t="s">
        <v>30</v>
      </c>
      <c r="Q25" s="191">
        <v>4</v>
      </c>
      <c r="R25" s="191">
        <v>17</v>
      </c>
      <c r="S25" s="191">
        <v>17</v>
      </c>
      <c r="T25" s="191">
        <v>1</v>
      </c>
      <c r="U25" s="191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97" t="s">
        <v>87</v>
      </c>
      <c r="AD25" s="199">
        <v>0</v>
      </c>
      <c r="AE25" s="199">
        <v>9</v>
      </c>
      <c r="AF25" s="199">
        <v>6</v>
      </c>
      <c r="AG25" s="199">
        <v>7</v>
      </c>
      <c r="AH25" s="199">
        <v>0</v>
      </c>
      <c r="AI25" s="5"/>
      <c r="AJ25" s="197" t="s">
        <v>87</v>
      </c>
      <c r="AK25" s="199">
        <v>0</v>
      </c>
      <c r="AL25" s="199">
        <v>9</v>
      </c>
      <c r="AM25" s="199">
        <v>6</v>
      </c>
      <c r="AN25" s="199">
        <v>7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0.6</v>
      </c>
      <c r="E26" s="154">
        <v>0</v>
      </c>
      <c r="F26" s="154">
        <v>0.82499999999999996</v>
      </c>
      <c r="G26" s="5">
        <v>1</v>
      </c>
      <c r="I26" s="82"/>
      <c r="J26" s="23">
        <v>22</v>
      </c>
      <c r="K26" s="192" t="s">
        <v>29</v>
      </c>
      <c r="L26" s="192" t="s">
        <v>95</v>
      </c>
      <c r="M26" s="192" t="s">
        <v>87</v>
      </c>
      <c r="N26" s="192" t="s">
        <v>96</v>
      </c>
      <c r="O26" s="192" t="s">
        <v>12</v>
      </c>
      <c r="Q26" s="191">
        <v>8</v>
      </c>
      <c r="R26" s="191">
        <v>6</v>
      </c>
      <c r="S26" s="191">
        <v>19</v>
      </c>
      <c r="T26" s="191">
        <v>15</v>
      </c>
      <c r="U26" s="191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1">
        <v>200</v>
      </c>
      <c r="AE26" s="101">
        <v>243</v>
      </c>
      <c r="AF26" s="101">
        <v>298</v>
      </c>
      <c r="AG26" s="101">
        <v>230</v>
      </c>
      <c r="AH26" s="101">
        <v>200</v>
      </c>
      <c r="AI26" s="5"/>
      <c r="AK26" s="101">
        <v>200</v>
      </c>
      <c r="AL26" s="101">
        <v>243</v>
      </c>
      <c r="AM26" s="101">
        <v>298</v>
      </c>
      <c r="AN26" s="101">
        <v>230</v>
      </c>
      <c r="AO26" s="101">
        <v>200</v>
      </c>
    </row>
    <row r="27" spans="1:41" ht="16.5" customHeight="1">
      <c r="B27" s="5" t="s">
        <v>316</v>
      </c>
      <c r="C27" s="5">
        <v>0</v>
      </c>
      <c r="D27" s="154">
        <v>0.4</v>
      </c>
      <c r="E27" s="154">
        <v>1</v>
      </c>
      <c r="F27" s="154">
        <v>0.17499999999999999</v>
      </c>
      <c r="G27" s="5">
        <v>0</v>
      </c>
      <c r="I27" s="82"/>
      <c r="J27" s="191">
        <v>23</v>
      </c>
      <c r="K27" s="192" t="s">
        <v>13</v>
      </c>
      <c r="L27" s="192" t="s">
        <v>29</v>
      </c>
      <c r="M27" s="192" t="s">
        <v>81</v>
      </c>
      <c r="N27" s="192" t="s">
        <v>30</v>
      </c>
      <c r="O27" s="192" t="s">
        <v>16</v>
      </c>
      <c r="Q27" s="191">
        <v>5</v>
      </c>
      <c r="R27" s="191">
        <v>8</v>
      </c>
      <c r="S27" s="191">
        <v>14</v>
      </c>
      <c r="T27" s="191">
        <v>10</v>
      </c>
      <c r="U27" s="191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95</v>
      </c>
      <c r="L28" s="192" t="s">
        <v>96</v>
      </c>
      <c r="M28" s="192" t="s">
        <v>96</v>
      </c>
      <c r="N28" s="192" t="s">
        <v>29</v>
      </c>
      <c r="O28" s="192" t="s">
        <v>15</v>
      </c>
      <c r="Q28" s="191">
        <v>6</v>
      </c>
      <c r="R28" s="191">
        <v>15</v>
      </c>
      <c r="S28" s="191">
        <v>15</v>
      </c>
      <c r="T28" s="191">
        <v>8</v>
      </c>
      <c r="U28" s="191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30</v>
      </c>
      <c r="L29" s="192" t="s">
        <v>16</v>
      </c>
      <c r="M29" s="192" t="s">
        <v>94</v>
      </c>
      <c r="N29" s="192" t="s">
        <v>28</v>
      </c>
      <c r="O29" s="192" t="s">
        <v>12</v>
      </c>
      <c r="Q29" s="191">
        <v>10</v>
      </c>
      <c r="R29" s="191">
        <v>3</v>
      </c>
      <c r="S29" s="191">
        <v>17</v>
      </c>
      <c r="T29" s="191">
        <v>9</v>
      </c>
      <c r="U29" s="191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95</v>
      </c>
      <c r="L30" s="192" t="s">
        <v>29</v>
      </c>
      <c r="M30" s="192" t="s">
        <v>81</v>
      </c>
      <c r="N30" s="192" t="s">
        <v>95</v>
      </c>
      <c r="O30" s="192" t="s">
        <v>15</v>
      </c>
      <c r="Q30" s="191">
        <v>6</v>
      </c>
      <c r="R30" s="191">
        <v>8</v>
      </c>
      <c r="S30" s="191">
        <v>14</v>
      </c>
      <c r="T30" s="191">
        <v>6</v>
      </c>
      <c r="U30" s="191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15</v>
      </c>
      <c r="L31" s="192" t="s">
        <v>29</v>
      </c>
      <c r="M31" s="192" t="s">
        <v>87</v>
      </c>
      <c r="N31" s="192" t="s">
        <v>15</v>
      </c>
      <c r="O31" s="192" t="s">
        <v>12</v>
      </c>
      <c r="Q31" s="191">
        <v>2</v>
      </c>
      <c r="R31" s="191">
        <v>8</v>
      </c>
      <c r="S31" s="191">
        <v>19</v>
      </c>
      <c r="T31" s="191">
        <v>2</v>
      </c>
      <c r="U31" s="191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95</v>
      </c>
      <c r="L32" s="192" t="s">
        <v>82</v>
      </c>
      <c r="M32" s="192" t="s">
        <v>82</v>
      </c>
      <c r="N32" s="192" t="s">
        <v>14</v>
      </c>
      <c r="O32" s="192" t="s">
        <v>15</v>
      </c>
      <c r="Q32" s="191">
        <v>6</v>
      </c>
      <c r="R32" s="191">
        <v>16</v>
      </c>
      <c r="S32" s="191">
        <v>16</v>
      </c>
      <c r="T32" s="191">
        <v>1</v>
      </c>
      <c r="U32" s="191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2" t="s">
        <v>15</v>
      </c>
      <c r="AD32" s="198">
        <v>4</v>
      </c>
      <c r="AE32" s="198">
        <v>11</v>
      </c>
      <c r="AF32" s="198">
        <v>0</v>
      </c>
      <c r="AG32" s="198">
        <v>22</v>
      </c>
      <c r="AH32" s="198">
        <v>28</v>
      </c>
      <c r="AI32" s="5"/>
      <c r="AJ32" s="132" t="s">
        <v>15</v>
      </c>
      <c r="AK32" s="198">
        <v>4</v>
      </c>
      <c r="AL32" s="198">
        <v>11</v>
      </c>
      <c r="AM32" s="198">
        <v>0</v>
      </c>
      <c r="AN32" s="198">
        <v>22</v>
      </c>
      <c r="AO32" s="198">
        <v>28</v>
      </c>
    </row>
    <row r="33" spans="10:41" ht="16.5" customHeight="1">
      <c r="J33" s="191">
        <v>29</v>
      </c>
      <c r="K33" s="192" t="s">
        <v>95</v>
      </c>
      <c r="L33" s="192" t="s">
        <v>82</v>
      </c>
      <c r="M33" s="192" t="s">
        <v>81</v>
      </c>
      <c r="N33" s="192" t="s">
        <v>12</v>
      </c>
      <c r="O33" s="192" t="s">
        <v>16</v>
      </c>
      <c r="Q33" s="191">
        <v>6</v>
      </c>
      <c r="R33" s="191">
        <v>16</v>
      </c>
      <c r="S33" s="191">
        <v>14</v>
      </c>
      <c r="T33" s="191">
        <v>4</v>
      </c>
      <c r="U33" s="191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2" t="s">
        <v>16</v>
      </c>
      <c r="AD33" s="198">
        <v>4</v>
      </c>
      <c r="AE33" s="198">
        <v>11</v>
      </c>
      <c r="AF33" s="198">
        <v>0</v>
      </c>
      <c r="AG33" s="198">
        <v>22</v>
      </c>
      <c r="AH33" s="198">
        <v>27</v>
      </c>
      <c r="AI33" s="5"/>
      <c r="AJ33" s="132" t="s">
        <v>16</v>
      </c>
      <c r="AK33" s="198">
        <v>4</v>
      </c>
      <c r="AL33" s="198">
        <v>11</v>
      </c>
      <c r="AM33" s="198">
        <v>0</v>
      </c>
      <c r="AN33" s="198">
        <v>22</v>
      </c>
      <c r="AO33" s="198">
        <v>27</v>
      </c>
    </row>
    <row r="34" spans="10:41" ht="16.5" customHeight="1">
      <c r="J34" s="23">
        <v>30</v>
      </c>
      <c r="K34" s="192" t="s">
        <v>95</v>
      </c>
      <c r="L34" s="192" t="s">
        <v>16</v>
      </c>
      <c r="M34" s="192" t="s">
        <v>80</v>
      </c>
      <c r="N34" s="192" t="s">
        <v>78</v>
      </c>
      <c r="O34" s="192" t="s">
        <v>15</v>
      </c>
      <c r="Q34" s="191">
        <v>6</v>
      </c>
      <c r="R34" s="191">
        <v>3</v>
      </c>
      <c r="S34" s="191">
        <v>13</v>
      </c>
      <c r="T34" s="191">
        <v>11</v>
      </c>
      <c r="U34" s="191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2" t="s">
        <v>12</v>
      </c>
      <c r="AD34" s="198">
        <v>4</v>
      </c>
      <c r="AE34" s="198">
        <v>11</v>
      </c>
      <c r="AF34" s="198">
        <v>0</v>
      </c>
      <c r="AG34" s="198">
        <v>22</v>
      </c>
      <c r="AH34" s="198">
        <v>27</v>
      </c>
      <c r="AI34" s="5"/>
      <c r="AJ34" s="132" t="s">
        <v>12</v>
      </c>
      <c r="AK34" s="198">
        <v>4</v>
      </c>
      <c r="AL34" s="198">
        <v>11</v>
      </c>
      <c r="AM34" s="198">
        <v>0</v>
      </c>
      <c r="AN34" s="198">
        <v>22</v>
      </c>
      <c r="AO34" s="198">
        <v>27</v>
      </c>
    </row>
    <row r="35" spans="10:41" ht="16.5" customHeight="1">
      <c r="J35" s="191">
        <v>31</v>
      </c>
      <c r="K35" s="192" t="s">
        <v>29</v>
      </c>
      <c r="L35" s="192" t="s">
        <v>29</v>
      </c>
      <c r="M35" s="192" t="s">
        <v>81</v>
      </c>
      <c r="N35" s="192" t="s">
        <v>31</v>
      </c>
      <c r="O35" s="192" t="s">
        <v>15</v>
      </c>
      <c r="Q35" s="191">
        <v>8</v>
      </c>
      <c r="R35" s="191">
        <v>8</v>
      </c>
      <c r="S35" s="191">
        <v>14</v>
      </c>
      <c r="T35" s="191">
        <v>7</v>
      </c>
      <c r="U35" s="191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2" t="s">
        <v>13</v>
      </c>
      <c r="AD35" s="198">
        <v>43</v>
      </c>
      <c r="AE35" s="198">
        <v>19</v>
      </c>
      <c r="AF35" s="198">
        <v>0</v>
      </c>
      <c r="AG35" s="198">
        <v>12</v>
      </c>
      <c r="AH35" s="198">
        <v>16</v>
      </c>
      <c r="AI35" s="5"/>
      <c r="AJ35" s="132" t="s">
        <v>13</v>
      </c>
      <c r="AK35" s="198">
        <v>43</v>
      </c>
      <c r="AL35" s="198">
        <v>19</v>
      </c>
      <c r="AM35" s="198">
        <v>0</v>
      </c>
      <c r="AN35" s="198">
        <v>12</v>
      </c>
      <c r="AO35" s="198">
        <v>16</v>
      </c>
    </row>
    <row r="36" spans="10:41" ht="16.5" customHeight="1">
      <c r="J36" s="23">
        <v>32</v>
      </c>
      <c r="K36" s="192" t="s">
        <v>31</v>
      </c>
      <c r="L36" s="192" t="s">
        <v>87</v>
      </c>
      <c r="M36" s="192" t="s">
        <v>96</v>
      </c>
      <c r="N36" s="192" t="s">
        <v>12</v>
      </c>
      <c r="O36" s="192" t="s">
        <v>28</v>
      </c>
      <c r="Q36" s="191">
        <v>7</v>
      </c>
      <c r="R36" s="191">
        <v>19</v>
      </c>
      <c r="S36" s="191">
        <v>15</v>
      </c>
      <c r="T36" s="191">
        <v>4</v>
      </c>
      <c r="U36" s="191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2" t="s">
        <v>95</v>
      </c>
      <c r="AD36" s="198">
        <v>43</v>
      </c>
      <c r="AE36" s="198">
        <v>20</v>
      </c>
      <c r="AF36" s="198">
        <v>0</v>
      </c>
      <c r="AG36" s="198">
        <v>12</v>
      </c>
      <c r="AH36" s="198">
        <v>16</v>
      </c>
      <c r="AI36" s="5"/>
      <c r="AJ36" s="132" t="s">
        <v>95</v>
      </c>
      <c r="AK36" s="198">
        <v>43</v>
      </c>
      <c r="AL36" s="198">
        <v>20</v>
      </c>
      <c r="AM36" s="198">
        <v>0</v>
      </c>
      <c r="AN36" s="198">
        <v>12</v>
      </c>
      <c r="AO36" s="198">
        <v>16</v>
      </c>
    </row>
    <row r="37" spans="10:41" ht="16.5" customHeight="1">
      <c r="J37" s="191">
        <v>33</v>
      </c>
      <c r="K37" s="192" t="s">
        <v>95</v>
      </c>
      <c r="L37" s="192" t="s">
        <v>29</v>
      </c>
      <c r="M37" s="192" t="s">
        <v>94</v>
      </c>
      <c r="N37" s="192" t="s">
        <v>94</v>
      </c>
      <c r="O37" s="192" t="s">
        <v>30</v>
      </c>
      <c r="Q37" s="191">
        <v>6</v>
      </c>
      <c r="R37" s="191">
        <v>8</v>
      </c>
      <c r="S37" s="191">
        <v>17</v>
      </c>
      <c r="T37" s="191">
        <v>17</v>
      </c>
      <c r="U37" s="191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2" t="s">
        <v>31</v>
      </c>
      <c r="AD37" s="198">
        <v>47</v>
      </c>
      <c r="AE37" s="198">
        <v>20</v>
      </c>
      <c r="AF37" s="198">
        <v>0</v>
      </c>
      <c r="AG37" s="198">
        <v>12</v>
      </c>
      <c r="AH37" s="198">
        <v>16</v>
      </c>
      <c r="AI37" s="5"/>
      <c r="AJ37" s="132" t="s">
        <v>31</v>
      </c>
      <c r="AK37" s="198">
        <v>47</v>
      </c>
      <c r="AL37" s="198">
        <v>20</v>
      </c>
      <c r="AM37" s="198">
        <v>0</v>
      </c>
      <c r="AN37" s="198">
        <v>12</v>
      </c>
      <c r="AO37" s="198">
        <v>16</v>
      </c>
    </row>
    <row r="38" spans="10:41" ht="16.5" customHeight="1">
      <c r="J38" s="23">
        <v>34</v>
      </c>
      <c r="K38" s="192" t="s">
        <v>13</v>
      </c>
      <c r="L38" s="192" t="s">
        <v>81</v>
      </c>
      <c r="M38" s="192" t="s">
        <v>82</v>
      </c>
      <c r="N38" s="192" t="s">
        <v>15</v>
      </c>
      <c r="O38" s="192" t="s">
        <v>29</v>
      </c>
      <c r="Q38" s="191">
        <v>5</v>
      </c>
      <c r="R38" s="191">
        <v>14</v>
      </c>
      <c r="S38" s="191">
        <v>16</v>
      </c>
      <c r="T38" s="191">
        <v>2</v>
      </c>
      <c r="U38" s="191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2" t="s">
        <v>29</v>
      </c>
      <c r="AD38" s="198">
        <v>47</v>
      </c>
      <c r="AE38" s="198">
        <v>20</v>
      </c>
      <c r="AF38" s="198">
        <v>0</v>
      </c>
      <c r="AG38" s="198">
        <v>12</v>
      </c>
      <c r="AH38" s="198">
        <v>16</v>
      </c>
      <c r="AI38" s="5"/>
      <c r="AJ38" s="132" t="s">
        <v>29</v>
      </c>
      <c r="AK38" s="198">
        <v>47</v>
      </c>
      <c r="AL38" s="198">
        <v>20</v>
      </c>
      <c r="AM38" s="198">
        <v>0</v>
      </c>
      <c r="AN38" s="198">
        <v>12</v>
      </c>
      <c r="AO38" s="198">
        <v>16</v>
      </c>
    </row>
    <row r="39" spans="10:41" ht="16.5" customHeight="1">
      <c r="J39" s="191">
        <v>35</v>
      </c>
      <c r="K39" s="192" t="s">
        <v>29</v>
      </c>
      <c r="L39" s="192" t="s">
        <v>12</v>
      </c>
      <c r="M39" s="192" t="s">
        <v>96</v>
      </c>
      <c r="N39" s="192" t="s">
        <v>13</v>
      </c>
      <c r="O39" s="192" t="s">
        <v>13</v>
      </c>
      <c r="Q39" s="191">
        <v>8</v>
      </c>
      <c r="R39" s="191">
        <v>4</v>
      </c>
      <c r="S39" s="191">
        <v>15</v>
      </c>
      <c r="T39" s="191">
        <v>5</v>
      </c>
      <c r="U39" s="191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2" t="s">
        <v>28</v>
      </c>
      <c r="AD39" s="198">
        <v>4</v>
      </c>
      <c r="AE39" s="198">
        <v>11</v>
      </c>
      <c r="AF39" s="198">
        <v>0</v>
      </c>
      <c r="AG39" s="198">
        <v>21</v>
      </c>
      <c r="AH39" s="198">
        <v>27</v>
      </c>
      <c r="AI39" s="5"/>
      <c r="AJ39" s="132" t="s">
        <v>28</v>
      </c>
      <c r="AK39" s="198">
        <v>4</v>
      </c>
      <c r="AL39" s="198">
        <v>11</v>
      </c>
      <c r="AM39" s="198">
        <v>0</v>
      </c>
      <c r="AN39" s="198">
        <v>21</v>
      </c>
      <c r="AO39" s="198">
        <v>27</v>
      </c>
    </row>
    <row r="40" spans="10:41" ht="16.5" customHeight="1">
      <c r="J40" s="23">
        <v>36</v>
      </c>
      <c r="K40" s="192" t="s">
        <v>13</v>
      </c>
      <c r="L40" s="192" t="s">
        <v>12</v>
      </c>
      <c r="M40" s="192" t="s">
        <v>81</v>
      </c>
      <c r="N40" s="192" t="s">
        <v>13</v>
      </c>
      <c r="O40" s="192" t="s">
        <v>12</v>
      </c>
      <c r="Q40" s="191">
        <v>5</v>
      </c>
      <c r="R40" s="191">
        <v>4</v>
      </c>
      <c r="S40" s="191">
        <v>14</v>
      </c>
      <c r="T40" s="191">
        <v>5</v>
      </c>
      <c r="U40" s="191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2" t="s">
        <v>30</v>
      </c>
      <c r="AD40" s="198">
        <v>4</v>
      </c>
      <c r="AE40" s="198">
        <v>11</v>
      </c>
      <c r="AF40" s="198">
        <v>0</v>
      </c>
      <c r="AG40" s="198">
        <v>21</v>
      </c>
      <c r="AH40" s="198">
        <v>27</v>
      </c>
      <c r="AI40" s="5"/>
      <c r="AJ40" s="132" t="s">
        <v>30</v>
      </c>
      <c r="AK40" s="198">
        <v>4</v>
      </c>
      <c r="AL40" s="198">
        <v>11</v>
      </c>
      <c r="AM40" s="198">
        <v>0</v>
      </c>
      <c r="AN40" s="198">
        <v>21</v>
      </c>
      <c r="AO40" s="198">
        <v>27</v>
      </c>
    </row>
    <row r="41" spans="10:41" ht="16.5" customHeight="1">
      <c r="J41" s="191">
        <v>37</v>
      </c>
      <c r="K41" s="192" t="s">
        <v>95</v>
      </c>
      <c r="L41" s="192" t="s">
        <v>96</v>
      </c>
      <c r="M41" s="192" t="s">
        <v>94</v>
      </c>
      <c r="N41" s="192" t="s">
        <v>78</v>
      </c>
      <c r="O41" s="192" t="s">
        <v>13</v>
      </c>
      <c r="Q41" s="191">
        <v>6</v>
      </c>
      <c r="R41" s="191">
        <v>15</v>
      </c>
      <c r="S41" s="191">
        <v>17</v>
      </c>
      <c r="T41" s="191">
        <v>11</v>
      </c>
      <c r="U41" s="191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97" t="s">
        <v>78</v>
      </c>
      <c r="AD41" s="199">
        <v>0</v>
      </c>
      <c r="AE41" s="199">
        <v>7</v>
      </c>
      <c r="AF41" s="199">
        <v>7</v>
      </c>
      <c r="AG41" s="199">
        <v>9</v>
      </c>
      <c r="AH41" s="199">
        <v>0</v>
      </c>
      <c r="AI41" s="5"/>
      <c r="AJ41" s="197" t="s">
        <v>78</v>
      </c>
      <c r="AK41" s="199">
        <v>0</v>
      </c>
      <c r="AL41" s="199">
        <v>7</v>
      </c>
      <c r="AM41" s="199">
        <v>7</v>
      </c>
      <c r="AN41" s="199">
        <v>9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82</v>
      </c>
      <c r="M42" s="192" t="s">
        <v>82</v>
      </c>
      <c r="N42" s="192" t="s">
        <v>28</v>
      </c>
      <c r="O42" s="192" t="s">
        <v>16</v>
      </c>
      <c r="Q42" s="191">
        <v>5</v>
      </c>
      <c r="R42" s="191">
        <v>16</v>
      </c>
      <c r="S42" s="191">
        <v>16</v>
      </c>
      <c r="T42" s="191">
        <v>9</v>
      </c>
      <c r="U42" s="191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97" t="s">
        <v>79</v>
      </c>
      <c r="AD42" s="199">
        <v>0</v>
      </c>
      <c r="AE42" s="199">
        <v>9</v>
      </c>
      <c r="AF42" s="199">
        <v>7</v>
      </c>
      <c r="AG42" s="199">
        <v>9</v>
      </c>
      <c r="AH42" s="199">
        <v>0</v>
      </c>
      <c r="AI42" s="5"/>
      <c r="AJ42" s="197" t="s">
        <v>79</v>
      </c>
      <c r="AK42" s="199">
        <v>0</v>
      </c>
      <c r="AL42" s="199">
        <v>9</v>
      </c>
      <c r="AM42" s="199">
        <v>7</v>
      </c>
      <c r="AN42" s="199">
        <v>9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78</v>
      </c>
      <c r="N43" s="192" t="s">
        <v>16</v>
      </c>
      <c r="O43" s="192" t="s">
        <v>16</v>
      </c>
      <c r="Q43" s="191">
        <v>5</v>
      </c>
      <c r="R43" s="191">
        <v>5</v>
      </c>
      <c r="S43" s="191">
        <v>11</v>
      </c>
      <c r="T43" s="191">
        <v>3</v>
      </c>
      <c r="U43" s="191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97" t="s">
        <v>80</v>
      </c>
      <c r="AD43" s="199">
        <v>0</v>
      </c>
      <c r="AE43" s="199">
        <v>9</v>
      </c>
      <c r="AF43" s="199">
        <v>7</v>
      </c>
      <c r="AG43" s="199">
        <v>9</v>
      </c>
      <c r="AH43" s="199">
        <v>0</v>
      </c>
      <c r="AI43" s="5"/>
      <c r="AJ43" s="197" t="s">
        <v>80</v>
      </c>
      <c r="AK43" s="199">
        <v>0</v>
      </c>
      <c r="AL43" s="199">
        <v>9</v>
      </c>
      <c r="AM43" s="199">
        <v>7</v>
      </c>
      <c r="AN43" s="199">
        <v>9</v>
      </c>
      <c r="AO43" s="199">
        <v>0</v>
      </c>
    </row>
    <row r="44" spans="10:41" ht="16.5" customHeight="1">
      <c r="J44" s="23">
        <v>40</v>
      </c>
      <c r="K44" s="192" t="s">
        <v>13</v>
      </c>
      <c r="L44" s="192" t="s">
        <v>78</v>
      </c>
      <c r="M44" s="192" t="s">
        <v>82</v>
      </c>
      <c r="N44" s="192" t="s">
        <v>81</v>
      </c>
      <c r="O44" s="192" t="s">
        <v>28</v>
      </c>
      <c r="Q44" s="191">
        <v>5</v>
      </c>
      <c r="R44" s="191">
        <v>11</v>
      </c>
      <c r="S44" s="191">
        <v>16</v>
      </c>
      <c r="T44" s="191">
        <v>14</v>
      </c>
      <c r="U44" s="191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97" t="s">
        <v>81</v>
      </c>
      <c r="AD44" s="199">
        <v>0</v>
      </c>
      <c r="AE44" s="199">
        <v>15</v>
      </c>
      <c r="AF44" s="199">
        <v>66</v>
      </c>
      <c r="AG44" s="199">
        <v>6</v>
      </c>
      <c r="AH44" s="199">
        <v>0</v>
      </c>
      <c r="AI44" s="5"/>
      <c r="AJ44" s="197" t="s">
        <v>81</v>
      </c>
      <c r="AK44" s="199">
        <v>0</v>
      </c>
      <c r="AL44" s="199">
        <v>15</v>
      </c>
      <c r="AM44" s="199">
        <v>66</v>
      </c>
      <c r="AN44" s="199">
        <v>6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31</v>
      </c>
      <c r="M45" s="192" t="s">
        <v>94</v>
      </c>
      <c r="N45" s="192" t="s">
        <v>85</v>
      </c>
      <c r="O45" s="192" t="s">
        <v>29</v>
      </c>
      <c r="Q45" s="191">
        <v>6</v>
      </c>
      <c r="R45" s="191">
        <v>7</v>
      </c>
      <c r="S45" s="191">
        <v>17</v>
      </c>
      <c r="T45" s="191">
        <v>18</v>
      </c>
      <c r="U45" s="191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97" t="s">
        <v>96</v>
      </c>
      <c r="AD45" s="199">
        <v>0</v>
      </c>
      <c r="AE45" s="199">
        <v>15</v>
      </c>
      <c r="AF45" s="199">
        <v>66</v>
      </c>
      <c r="AG45" s="199">
        <v>6</v>
      </c>
      <c r="AH45" s="199">
        <v>0</v>
      </c>
      <c r="AI45" s="5"/>
      <c r="AJ45" s="197" t="s">
        <v>96</v>
      </c>
      <c r="AK45" s="199">
        <v>0</v>
      </c>
      <c r="AL45" s="199">
        <v>15</v>
      </c>
      <c r="AM45" s="199">
        <v>66</v>
      </c>
      <c r="AN45" s="199">
        <v>6</v>
      </c>
      <c r="AO45" s="199">
        <v>0</v>
      </c>
    </row>
    <row r="46" spans="10:41" ht="16.5" customHeight="1">
      <c r="J46" s="23">
        <v>42</v>
      </c>
      <c r="K46" s="192" t="s">
        <v>31</v>
      </c>
      <c r="L46" s="192" t="s">
        <v>13</v>
      </c>
      <c r="M46" s="192" t="s">
        <v>81</v>
      </c>
      <c r="N46" s="192" t="s">
        <v>29</v>
      </c>
      <c r="O46" s="192" t="s">
        <v>29</v>
      </c>
      <c r="Q46" s="191">
        <v>7</v>
      </c>
      <c r="R46" s="191">
        <v>5</v>
      </c>
      <c r="S46" s="191">
        <v>14</v>
      </c>
      <c r="T46" s="191">
        <v>8</v>
      </c>
      <c r="U46" s="191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97" t="s">
        <v>82</v>
      </c>
      <c r="AD46" s="199">
        <v>0</v>
      </c>
      <c r="AE46" s="199">
        <v>15</v>
      </c>
      <c r="AF46" s="199">
        <v>66</v>
      </c>
      <c r="AG46" s="199">
        <v>6</v>
      </c>
      <c r="AH46" s="199">
        <v>0</v>
      </c>
      <c r="AI46" s="5"/>
      <c r="AJ46" s="197" t="s">
        <v>82</v>
      </c>
      <c r="AK46" s="199">
        <v>0</v>
      </c>
      <c r="AL46" s="199">
        <v>15</v>
      </c>
      <c r="AM46" s="199">
        <v>66</v>
      </c>
      <c r="AN46" s="199">
        <v>6</v>
      </c>
      <c r="AO46" s="199">
        <v>0</v>
      </c>
    </row>
    <row r="47" spans="10:41" ht="16.5" customHeight="1">
      <c r="J47" s="191">
        <v>43</v>
      </c>
      <c r="K47" s="192" t="s">
        <v>13</v>
      </c>
      <c r="L47" s="192" t="s">
        <v>94</v>
      </c>
      <c r="M47" s="192" t="s">
        <v>82</v>
      </c>
      <c r="N47" s="192" t="s">
        <v>30</v>
      </c>
      <c r="O47" s="192" t="s">
        <v>13</v>
      </c>
      <c r="Q47" s="191">
        <v>5</v>
      </c>
      <c r="R47" s="191">
        <v>17</v>
      </c>
      <c r="S47" s="191">
        <v>16</v>
      </c>
      <c r="T47" s="191">
        <v>10</v>
      </c>
      <c r="U47" s="191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97" t="s">
        <v>94</v>
      </c>
      <c r="AD47" s="199">
        <v>0</v>
      </c>
      <c r="AE47" s="199">
        <v>15</v>
      </c>
      <c r="AF47" s="199">
        <v>66</v>
      </c>
      <c r="AG47" s="199">
        <v>6</v>
      </c>
      <c r="AH47" s="199">
        <v>0</v>
      </c>
      <c r="AI47" s="5"/>
      <c r="AJ47" s="197" t="s">
        <v>94</v>
      </c>
      <c r="AK47" s="199">
        <v>0</v>
      </c>
      <c r="AL47" s="199">
        <v>15</v>
      </c>
      <c r="AM47" s="199">
        <v>66</v>
      </c>
      <c r="AN47" s="199">
        <v>6</v>
      </c>
      <c r="AO47" s="199">
        <v>0</v>
      </c>
    </row>
    <row r="48" spans="10:41" ht="16.5" customHeight="1">
      <c r="J48" s="23">
        <v>44</v>
      </c>
      <c r="K48" s="192" t="s">
        <v>95</v>
      </c>
      <c r="L48" s="192" t="s">
        <v>14</v>
      </c>
      <c r="M48" s="192" t="s">
        <v>96</v>
      </c>
      <c r="N48" s="192" t="s">
        <v>95</v>
      </c>
      <c r="O48" s="192" t="s">
        <v>15</v>
      </c>
      <c r="Q48" s="191">
        <v>6</v>
      </c>
      <c r="R48" s="191">
        <v>1</v>
      </c>
      <c r="S48" s="191">
        <v>15</v>
      </c>
      <c r="T48" s="191">
        <v>6</v>
      </c>
      <c r="U48" s="191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97" t="s">
        <v>85</v>
      </c>
      <c r="AD48" s="199">
        <v>0</v>
      </c>
      <c r="AE48" s="199">
        <v>9</v>
      </c>
      <c r="AF48" s="199">
        <v>7</v>
      </c>
      <c r="AG48" s="199">
        <v>7</v>
      </c>
      <c r="AH48" s="199">
        <v>0</v>
      </c>
      <c r="AI48" s="5"/>
      <c r="AJ48" s="197" t="s">
        <v>85</v>
      </c>
      <c r="AK48" s="199">
        <v>0</v>
      </c>
      <c r="AL48" s="199">
        <v>9</v>
      </c>
      <c r="AM48" s="199">
        <v>7</v>
      </c>
      <c r="AN48" s="199">
        <v>7</v>
      </c>
      <c r="AO48" s="199">
        <v>0</v>
      </c>
    </row>
    <row r="49" spans="10:41" ht="16.5" customHeight="1">
      <c r="J49" s="191">
        <v>45</v>
      </c>
      <c r="K49" s="192" t="s">
        <v>13</v>
      </c>
      <c r="L49" s="192" t="s">
        <v>96</v>
      </c>
      <c r="M49" s="192" t="s">
        <v>94</v>
      </c>
      <c r="N49" s="192" t="s">
        <v>95</v>
      </c>
      <c r="O49" s="192" t="s">
        <v>16</v>
      </c>
      <c r="Q49" s="191">
        <v>5</v>
      </c>
      <c r="R49" s="191">
        <v>15</v>
      </c>
      <c r="S49" s="191">
        <v>17</v>
      </c>
      <c r="T49" s="191">
        <v>6</v>
      </c>
      <c r="U49" s="191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97" t="s">
        <v>87</v>
      </c>
      <c r="AD49" s="199">
        <v>0</v>
      </c>
      <c r="AE49" s="199">
        <v>9</v>
      </c>
      <c r="AF49" s="199">
        <v>6</v>
      </c>
      <c r="AG49" s="199">
        <v>7</v>
      </c>
      <c r="AH49" s="199">
        <v>0</v>
      </c>
      <c r="AI49" s="5"/>
      <c r="AJ49" s="197" t="s">
        <v>87</v>
      </c>
      <c r="AK49" s="199">
        <v>0</v>
      </c>
      <c r="AL49" s="199">
        <v>9</v>
      </c>
      <c r="AM49" s="199">
        <v>6</v>
      </c>
      <c r="AN49" s="199">
        <v>7</v>
      </c>
      <c r="AO49" s="199">
        <v>0</v>
      </c>
    </row>
    <row r="50" spans="10:41" ht="16.5" customHeight="1">
      <c r="J50" s="23">
        <v>46</v>
      </c>
      <c r="K50" s="192" t="s">
        <v>12</v>
      </c>
      <c r="L50" s="192" t="s">
        <v>95</v>
      </c>
      <c r="M50" s="192" t="s">
        <v>81</v>
      </c>
      <c r="N50" s="192" t="s">
        <v>16</v>
      </c>
      <c r="O50" s="192" t="s">
        <v>31</v>
      </c>
      <c r="Q50" s="191">
        <v>4</v>
      </c>
      <c r="R50" s="191">
        <v>6</v>
      </c>
      <c r="S50" s="191">
        <v>14</v>
      </c>
      <c r="T50" s="191">
        <v>3</v>
      </c>
      <c r="U50" s="191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1">
        <v>200</v>
      </c>
      <c r="AE50" s="101">
        <v>243</v>
      </c>
      <c r="AF50" s="101">
        <v>298</v>
      </c>
      <c r="AG50" s="101">
        <v>230</v>
      </c>
      <c r="AH50" s="101">
        <v>200</v>
      </c>
      <c r="AI50" s="5"/>
      <c r="AK50" s="101">
        <v>200</v>
      </c>
      <c r="AL50" s="101">
        <v>243</v>
      </c>
      <c r="AM50" s="101">
        <v>298</v>
      </c>
      <c r="AN50" s="101">
        <v>230</v>
      </c>
      <c r="AO50" s="101">
        <v>200</v>
      </c>
    </row>
    <row r="51" spans="10:41" ht="16.5" customHeight="1">
      <c r="J51" s="191">
        <v>47</v>
      </c>
      <c r="K51" s="192" t="s">
        <v>13</v>
      </c>
      <c r="L51" s="192" t="s">
        <v>31</v>
      </c>
      <c r="M51" s="192" t="s">
        <v>94</v>
      </c>
      <c r="N51" s="192" t="s">
        <v>28</v>
      </c>
      <c r="O51" s="192" t="s">
        <v>31</v>
      </c>
      <c r="Q51" s="191">
        <v>5</v>
      </c>
      <c r="R51" s="191">
        <v>7</v>
      </c>
      <c r="S51" s="191">
        <v>17</v>
      </c>
      <c r="T51" s="191">
        <v>9</v>
      </c>
      <c r="U51" s="191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95</v>
      </c>
      <c r="L52" s="192" t="s">
        <v>31</v>
      </c>
      <c r="M52" s="192" t="s">
        <v>82</v>
      </c>
      <c r="N52" s="192" t="s">
        <v>16</v>
      </c>
      <c r="O52" s="192" t="s">
        <v>13</v>
      </c>
      <c r="Q52" s="191">
        <v>6</v>
      </c>
      <c r="R52" s="191">
        <v>7</v>
      </c>
      <c r="S52" s="191">
        <v>16</v>
      </c>
      <c r="T52" s="191">
        <v>3</v>
      </c>
      <c r="U52" s="191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29</v>
      </c>
      <c r="L53" s="192" t="s">
        <v>96</v>
      </c>
      <c r="M53" s="192" t="s">
        <v>96</v>
      </c>
      <c r="N53" s="192" t="s">
        <v>95</v>
      </c>
      <c r="O53" s="192" t="s">
        <v>31</v>
      </c>
      <c r="Q53" s="191">
        <v>8</v>
      </c>
      <c r="R53" s="191">
        <v>15</v>
      </c>
      <c r="S53" s="191">
        <v>15</v>
      </c>
      <c r="T53" s="191">
        <v>6</v>
      </c>
      <c r="U53" s="191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96</v>
      </c>
      <c r="M54" s="192" t="s">
        <v>80</v>
      </c>
      <c r="N54" s="192" t="s">
        <v>95</v>
      </c>
      <c r="O54" s="192" t="s">
        <v>16</v>
      </c>
      <c r="Q54" s="191">
        <v>7</v>
      </c>
      <c r="R54" s="191">
        <v>15</v>
      </c>
      <c r="S54" s="191">
        <v>13</v>
      </c>
      <c r="T54" s="191">
        <v>6</v>
      </c>
      <c r="U54" s="191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29</v>
      </c>
      <c r="L55" s="192" t="s">
        <v>29</v>
      </c>
      <c r="M55" s="192" t="s">
        <v>96</v>
      </c>
      <c r="N55" s="192" t="s">
        <v>80</v>
      </c>
      <c r="O55" s="192" t="s">
        <v>13</v>
      </c>
      <c r="Q55" s="191">
        <v>8</v>
      </c>
      <c r="R55" s="191">
        <v>8</v>
      </c>
      <c r="S55" s="191">
        <v>15</v>
      </c>
      <c r="T55" s="191">
        <v>13</v>
      </c>
      <c r="U55" s="191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31</v>
      </c>
      <c r="M56" s="192" t="s">
        <v>81</v>
      </c>
      <c r="N56" s="192" t="s">
        <v>30</v>
      </c>
      <c r="O56" s="192" t="s">
        <v>30</v>
      </c>
      <c r="Q56" s="191">
        <v>8</v>
      </c>
      <c r="R56" s="191">
        <v>7</v>
      </c>
      <c r="S56" s="191">
        <v>14</v>
      </c>
      <c r="T56" s="191">
        <v>10</v>
      </c>
      <c r="U56" s="191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2" t="s">
        <v>15</v>
      </c>
      <c r="AD56" s="198">
        <v>4</v>
      </c>
      <c r="AE56" s="198">
        <v>11</v>
      </c>
      <c r="AF56" s="198">
        <v>0</v>
      </c>
      <c r="AG56" s="198">
        <v>22</v>
      </c>
      <c r="AH56" s="198">
        <v>28</v>
      </c>
      <c r="AI56" s="5"/>
      <c r="AJ56" s="132" t="s">
        <v>15</v>
      </c>
      <c r="AK56" s="198">
        <v>4</v>
      </c>
      <c r="AL56" s="198">
        <v>11</v>
      </c>
      <c r="AM56" s="198">
        <v>0</v>
      </c>
      <c r="AN56" s="198">
        <v>22</v>
      </c>
      <c r="AO56" s="198">
        <v>28</v>
      </c>
    </row>
    <row r="57" spans="10:41" ht="16.5" customHeight="1">
      <c r="J57" s="191">
        <v>53</v>
      </c>
      <c r="K57" s="192" t="s">
        <v>13</v>
      </c>
      <c r="L57" s="192" t="s">
        <v>81</v>
      </c>
      <c r="M57" s="192" t="s">
        <v>96</v>
      </c>
      <c r="N57" s="192" t="s">
        <v>79</v>
      </c>
      <c r="O57" s="192" t="s">
        <v>12</v>
      </c>
      <c r="Q57" s="191">
        <v>5</v>
      </c>
      <c r="R57" s="191">
        <v>14</v>
      </c>
      <c r="S57" s="191">
        <v>15</v>
      </c>
      <c r="T57" s="191">
        <v>12</v>
      </c>
      <c r="U57" s="191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2" t="s">
        <v>16</v>
      </c>
      <c r="AD57" s="198">
        <v>4</v>
      </c>
      <c r="AE57" s="198">
        <v>11</v>
      </c>
      <c r="AF57" s="198">
        <v>0</v>
      </c>
      <c r="AG57" s="198">
        <v>22</v>
      </c>
      <c r="AH57" s="198">
        <v>27</v>
      </c>
      <c r="AI57" s="5"/>
      <c r="AJ57" s="132" t="s">
        <v>16</v>
      </c>
      <c r="AK57" s="198">
        <v>4</v>
      </c>
      <c r="AL57" s="198">
        <v>11</v>
      </c>
      <c r="AM57" s="198">
        <v>0</v>
      </c>
      <c r="AN57" s="198">
        <v>22</v>
      </c>
      <c r="AO57" s="198">
        <v>27</v>
      </c>
    </row>
    <row r="58" spans="10:41" ht="16.5" customHeight="1">
      <c r="J58" s="23">
        <v>54</v>
      </c>
      <c r="K58" s="192" t="s">
        <v>29</v>
      </c>
      <c r="L58" s="192" t="s">
        <v>82</v>
      </c>
      <c r="M58" s="192" t="s">
        <v>82</v>
      </c>
      <c r="N58" s="192" t="s">
        <v>31</v>
      </c>
      <c r="O58" s="192" t="s">
        <v>13</v>
      </c>
      <c r="Q58" s="191">
        <v>8</v>
      </c>
      <c r="R58" s="191">
        <v>16</v>
      </c>
      <c r="S58" s="191">
        <v>16</v>
      </c>
      <c r="T58" s="191">
        <v>7</v>
      </c>
      <c r="U58" s="191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2" t="s">
        <v>12</v>
      </c>
      <c r="AD58" s="198">
        <v>4</v>
      </c>
      <c r="AE58" s="198">
        <v>11</v>
      </c>
      <c r="AF58" s="198">
        <v>0</v>
      </c>
      <c r="AG58" s="198">
        <v>22</v>
      </c>
      <c r="AH58" s="198">
        <v>27</v>
      </c>
      <c r="AI58" s="5"/>
      <c r="AJ58" s="132" t="s">
        <v>12</v>
      </c>
      <c r="AK58" s="198">
        <v>4</v>
      </c>
      <c r="AL58" s="198">
        <v>11</v>
      </c>
      <c r="AM58" s="198">
        <v>0</v>
      </c>
      <c r="AN58" s="198">
        <v>22</v>
      </c>
      <c r="AO58" s="198">
        <v>27</v>
      </c>
    </row>
    <row r="59" spans="10:41" ht="16.5" customHeight="1">
      <c r="J59" s="191">
        <v>55</v>
      </c>
      <c r="K59" s="192" t="s">
        <v>31</v>
      </c>
      <c r="L59" s="192" t="s">
        <v>31</v>
      </c>
      <c r="M59" s="192" t="s">
        <v>96</v>
      </c>
      <c r="N59" s="192" t="s">
        <v>80</v>
      </c>
      <c r="O59" s="192" t="s">
        <v>16</v>
      </c>
      <c r="Q59" s="191">
        <v>7</v>
      </c>
      <c r="R59" s="191">
        <v>7</v>
      </c>
      <c r="S59" s="191">
        <v>15</v>
      </c>
      <c r="T59" s="191">
        <v>13</v>
      </c>
      <c r="U59" s="191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2" t="s">
        <v>13</v>
      </c>
      <c r="AD59" s="198">
        <v>43</v>
      </c>
      <c r="AE59" s="198">
        <v>19</v>
      </c>
      <c r="AF59" s="198">
        <v>0</v>
      </c>
      <c r="AG59" s="198">
        <v>12</v>
      </c>
      <c r="AH59" s="198">
        <v>16</v>
      </c>
      <c r="AI59" s="5"/>
      <c r="AJ59" s="132" t="s">
        <v>13</v>
      </c>
      <c r="AK59" s="198">
        <v>43</v>
      </c>
      <c r="AL59" s="198">
        <v>19</v>
      </c>
      <c r="AM59" s="198">
        <v>0</v>
      </c>
      <c r="AN59" s="198">
        <v>12</v>
      </c>
      <c r="AO59" s="198">
        <v>16</v>
      </c>
    </row>
    <row r="60" spans="10:41" ht="16.5" customHeight="1">
      <c r="J60" s="23">
        <v>56</v>
      </c>
      <c r="K60" s="192" t="s">
        <v>13</v>
      </c>
      <c r="L60" s="192" t="s">
        <v>13</v>
      </c>
      <c r="M60" s="192" t="s">
        <v>78</v>
      </c>
      <c r="N60" s="192" t="s">
        <v>16</v>
      </c>
      <c r="O60" s="192" t="s">
        <v>95</v>
      </c>
      <c r="Q60" s="191">
        <v>5</v>
      </c>
      <c r="R60" s="191">
        <v>5</v>
      </c>
      <c r="S60" s="191">
        <v>11</v>
      </c>
      <c r="T60" s="191">
        <v>3</v>
      </c>
      <c r="U60" s="191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2" t="s">
        <v>95</v>
      </c>
      <c r="AD60" s="198">
        <v>43</v>
      </c>
      <c r="AE60" s="198">
        <v>20</v>
      </c>
      <c r="AF60" s="198">
        <v>0</v>
      </c>
      <c r="AG60" s="198">
        <v>12</v>
      </c>
      <c r="AH60" s="198">
        <v>16</v>
      </c>
      <c r="AI60" s="5"/>
      <c r="AJ60" s="132" t="s">
        <v>95</v>
      </c>
      <c r="AK60" s="198">
        <v>43</v>
      </c>
      <c r="AL60" s="198">
        <v>20</v>
      </c>
      <c r="AM60" s="198">
        <v>0</v>
      </c>
      <c r="AN60" s="198">
        <v>12</v>
      </c>
      <c r="AO60" s="198">
        <v>16</v>
      </c>
    </row>
    <row r="61" spans="10:41">
      <c r="J61" s="191">
        <v>57</v>
      </c>
      <c r="K61" s="192" t="s">
        <v>13</v>
      </c>
      <c r="L61" s="192" t="s">
        <v>96</v>
      </c>
      <c r="M61" s="192" t="s">
        <v>94</v>
      </c>
      <c r="N61" s="192" t="s">
        <v>16</v>
      </c>
      <c r="O61" s="192" t="s">
        <v>95</v>
      </c>
      <c r="Q61" s="191">
        <v>5</v>
      </c>
      <c r="R61" s="191">
        <v>15</v>
      </c>
      <c r="S61" s="191">
        <v>17</v>
      </c>
      <c r="T61" s="191">
        <v>3</v>
      </c>
      <c r="U61" s="191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2" t="s">
        <v>31</v>
      </c>
      <c r="AD61" s="198">
        <v>47</v>
      </c>
      <c r="AE61" s="198">
        <v>20</v>
      </c>
      <c r="AF61" s="198">
        <v>0</v>
      </c>
      <c r="AG61" s="198">
        <v>12</v>
      </c>
      <c r="AH61" s="198">
        <v>16</v>
      </c>
      <c r="AI61" s="5"/>
      <c r="AJ61" s="132" t="s">
        <v>31</v>
      </c>
      <c r="AK61" s="198">
        <v>47</v>
      </c>
      <c r="AL61" s="198">
        <v>20</v>
      </c>
      <c r="AM61" s="198">
        <v>0</v>
      </c>
      <c r="AN61" s="198">
        <v>12</v>
      </c>
      <c r="AO61" s="198">
        <v>16</v>
      </c>
    </row>
    <row r="62" spans="10:41">
      <c r="J62" s="23">
        <v>58</v>
      </c>
      <c r="K62" s="192" t="s">
        <v>13</v>
      </c>
      <c r="L62" s="192" t="s">
        <v>95</v>
      </c>
      <c r="M62" s="192" t="s">
        <v>79</v>
      </c>
      <c r="N62" s="192" t="s">
        <v>16</v>
      </c>
      <c r="O62" s="192" t="s">
        <v>15</v>
      </c>
      <c r="Q62" s="191">
        <v>5</v>
      </c>
      <c r="R62" s="191">
        <v>6</v>
      </c>
      <c r="S62" s="191">
        <v>12</v>
      </c>
      <c r="T62" s="191">
        <v>3</v>
      </c>
      <c r="U62" s="191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20</v>
      </c>
      <c r="AF62" s="198">
        <v>0</v>
      </c>
      <c r="AG62" s="198">
        <v>12</v>
      </c>
      <c r="AH62" s="198">
        <v>16</v>
      </c>
      <c r="AI62" s="5"/>
      <c r="AJ62" s="132" t="s">
        <v>29</v>
      </c>
      <c r="AK62" s="198">
        <v>47</v>
      </c>
      <c r="AL62" s="198">
        <v>20</v>
      </c>
      <c r="AM62" s="198">
        <v>0</v>
      </c>
      <c r="AN62" s="198">
        <v>12</v>
      </c>
      <c r="AO62" s="198">
        <v>16</v>
      </c>
    </row>
    <row r="63" spans="10:41" ht="16.5" customHeight="1">
      <c r="J63" s="191">
        <v>59</v>
      </c>
      <c r="K63" s="192" t="s">
        <v>31</v>
      </c>
      <c r="L63" s="192" t="s">
        <v>13</v>
      </c>
      <c r="M63" s="192" t="s">
        <v>78</v>
      </c>
      <c r="N63" s="192" t="s">
        <v>81</v>
      </c>
      <c r="O63" s="192" t="s">
        <v>31</v>
      </c>
      <c r="Q63" s="191">
        <v>7</v>
      </c>
      <c r="R63" s="191">
        <v>5</v>
      </c>
      <c r="S63" s="191">
        <v>11</v>
      </c>
      <c r="T63" s="191">
        <v>14</v>
      </c>
      <c r="U63" s="191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2" t="s">
        <v>28</v>
      </c>
      <c r="AD63" s="198">
        <v>4</v>
      </c>
      <c r="AE63" s="198">
        <v>11</v>
      </c>
      <c r="AF63" s="198">
        <v>0</v>
      </c>
      <c r="AG63" s="198">
        <v>21</v>
      </c>
      <c r="AH63" s="198">
        <v>27</v>
      </c>
      <c r="AI63" s="5"/>
      <c r="AJ63" s="132" t="s">
        <v>28</v>
      </c>
      <c r="AK63" s="198">
        <v>4</v>
      </c>
      <c r="AL63" s="198">
        <v>11</v>
      </c>
      <c r="AM63" s="198">
        <v>0</v>
      </c>
      <c r="AN63" s="198">
        <v>21</v>
      </c>
      <c r="AO63" s="198">
        <v>27</v>
      </c>
    </row>
    <row r="64" spans="10:41" ht="16.5" customHeight="1">
      <c r="J64" s="23">
        <v>60</v>
      </c>
      <c r="K64" s="192" t="s">
        <v>13</v>
      </c>
      <c r="L64" s="192" t="s">
        <v>81</v>
      </c>
      <c r="M64" s="192" t="s">
        <v>80</v>
      </c>
      <c r="N64" s="192" t="s">
        <v>15</v>
      </c>
      <c r="O64" s="192" t="s">
        <v>28</v>
      </c>
      <c r="Q64" s="191">
        <v>5</v>
      </c>
      <c r="R64" s="191">
        <v>14</v>
      </c>
      <c r="S64" s="191">
        <v>13</v>
      </c>
      <c r="T64" s="191">
        <v>2</v>
      </c>
      <c r="U64" s="191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2" t="s">
        <v>30</v>
      </c>
      <c r="AD64" s="198">
        <v>4</v>
      </c>
      <c r="AE64" s="198">
        <v>11</v>
      </c>
      <c r="AF64" s="198">
        <v>0</v>
      </c>
      <c r="AG64" s="198">
        <v>21</v>
      </c>
      <c r="AH64" s="198">
        <v>27</v>
      </c>
      <c r="AI64" s="5"/>
      <c r="AJ64" s="132" t="s">
        <v>30</v>
      </c>
      <c r="AK64" s="198">
        <v>4</v>
      </c>
      <c r="AL64" s="198">
        <v>11</v>
      </c>
      <c r="AM64" s="198">
        <v>0</v>
      </c>
      <c r="AN64" s="198">
        <v>21</v>
      </c>
      <c r="AO64" s="198">
        <v>27</v>
      </c>
    </row>
    <row r="65" spans="10:41" ht="16.5" customHeight="1">
      <c r="J65" s="191">
        <v>61</v>
      </c>
      <c r="K65" s="192" t="s">
        <v>31</v>
      </c>
      <c r="L65" s="192" t="s">
        <v>31</v>
      </c>
      <c r="M65" s="192" t="s">
        <v>94</v>
      </c>
      <c r="N65" s="192" t="s">
        <v>95</v>
      </c>
      <c r="O65" s="192" t="s">
        <v>15</v>
      </c>
      <c r="Q65" s="191">
        <v>7</v>
      </c>
      <c r="R65" s="191">
        <v>7</v>
      </c>
      <c r="S65" s="191">
        <v>17</v>
      </c>
      <c r="T65" s="191">
        <v>6</v>
      </c>
      <c r="U65" s="191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97" t="s">
        <v>78</v>
      </c>
      <c r="AD65" s="199">
        <v>0</v>
      </c>
      <c r="AE65" s="199">
        <v>7</v>
      </c>
      <c r="AF65" s="199">
        <v>7</v>
      </c>
      <c r="AG65" s="199">
        <v>9</v>
      </c>
      <c r="AH65" s="199">
        <v>0</v>
      </c>
      <c r="AI65" s="5"/>
      <c r="AJ65" s="197" t="s">
        <v>78</v>
      </c>
      <c r="AK65" s="199">
        <v>0</v>
      </c>
      <c r="AL65" s="199">
        <v>7</v>
      </c>
      <c r="AM65" s="199">
        <v>7</v>
      </c>
      <c r="AN65" s="199">
        <v>9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96</v>
      </c>
      <c r="M66" s="192" t="s">
        <v>81</v>
      </c>
      <c r="N66" s="192" t="s">
        <v>15</v>
      </c>
      <c r="O66" s="192" t="s">
        <v>30</v>
      </c>
      <c r="Q66" s="191">
        <v>8</v>
      </c>
      <c r="R66" s="191">
        <v>15</v>
      </c>
      <c r="S66" s="191">
        <v>14</v>
      </c>
      <c r="T66" s="191">
        <v>2</v>
      </c>
      <c r="U66" s="191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97" t="s">
        <v>79</v>
      </c>
      <c r="AD66" s="199">
        <v>0</v>
      </c>
      <c r="AE66" s="199">
        <v>9</v>
      </c>
      <c r="AF66" s="199">
        <v>7</v>
      </c>
      <c r="AG66" s="199">
        <v>9</v>
      </c>
      <c r="AH66" s="199">
        <v>0</v>
      </c>
      <c r="AI66" s="5"/>
      <c r="AJ66" s="197" t="s">
        <v>79</v>
      </c>
      <c r="AK66" s="199">
        <v>0</v>
      </c>
      <c r="AL66" s="199">
        <v>9</v>
      </c>
      <c r="AM66" s="199">
        <v>7</v>
      </c>
      <c r="AN66" s="199">
        <v>9</v>
      </c>
      <c r="AO66" s="199">
        <v>0</v>
      </c>
    </row>
    <row r="67" spans="10:41" ht="16.5" customHeight="1">
      <c r="J67" s="191">
        <v>63</v>
      </c>
      <c r="K67" s="192" t="s">
        <v>13</v>
      </c>
      <c r="L67" s="192" t="s">
        <v>15</v>
      </c>
      <c r="M67" s="192" t="s">
        <v>82</v>
      </c>
      <c r="N67" s="192" t="s">
        <v>85</v>
      </c>
      <c r="O67" s="192" t="s">
        <v>28</v>
      </c>
      <c r="Q67" s="191">
        <v>5</v>
      </c>
      <c r="R67" s="191">
        <v>2</v>
      </c>
      <c r="S67" s="191">
        <v>16</v>
      </c>
      <c r="T67" s="191">
        <v>18</v>
      </c>
      <c r="U67" s="191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97" t="s">
        <v>80</v>
      </c>
      <c r="AD67" s="199">
        <v>0</v>
      </c>
      <c r="AE67" s="199">
        <v>9</v>
      </c>
      <c r="AF67" s="199">
        <v>7</v>
      </c>
      <c r="AG67" s="199">
        <v>9</v>
      </c>
      <c r="AH67" s="199">
        <v>0</v>
      </c>
      <c r="AI67" s="5"/>
      <c r="AJ67" s="197" t="s">
        <v>80</v>
      </c>
      <c r="AK67" s="199">
        <v>0</v>
      </c>
      <c r="AL67" s="199">
        <v>9</v>
      </c>
      <c r="AM67" s="199">
        <v>7</v>
      </c>
      <c r="AN67" s="199">
        <v>9</v>
      </c>
      <c r="AO67" s="199">
        <v>0</v>
      </c>
    </row>
    <row r="68" spans="10:41" ht="16.5" customHeight="1">
      <c r="J68" s="23">
        <v>64</v>
      </c>
      <c r="K68" s="192" t="s">
        <v>16</v>
      </c>
      <c r="L68" s="192" t="s">
        <v>30</v>
      </c>
      <c r="M68" s="192" t="s">
        <v>79</v>
      </c>
      <c r="N68" s="192" t="s">
        <v>28</v>
      </c>
      <c r="O68" s="192" t="s">
        <v>30</v>
      </c>
      <c r="Q68" s="191">
        <v>3</v>
      </c>
      <c r="R68" s="191">
        <v>10</v>
      </c>
      <c r="S68" s="191">
        <v>12</v>
      </c>
      <c r="T68" s="191">
        <v>9</v>
      </c>
      <c r="U68" s="191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97" t="s">
        <v>81</v>
      </c>
      <c r="AD68" s="199">
        <v>0</v>
      </c>
      <c r="AE68" s="199">
        <v>15</v>
      </c>
      <c r="AF68" s="199">
        <v>66</v>
      </c>
      <c r="AG68" s="199">
        <v>6</v>
      </c>
      <c r="AH68" s="199">
        <v>0</v>
      </c>
      <c r="AI68" s="5"/>
      <c r="AJ68" s="197" t="s">
        <v>81</v>
      </c>
      <c r="AK68" s="199">
        <v>0</v>
      </c>
      <c r="AL68" s="199">
        <v>15</v>
      </c>
      <c r="AM68" s="199">
        <v>66</v>
      </c>
      <c r="AN68" s="199">
        <v>6</v>
      </c>
      <c r="AO68" s="199">
        <v>0</v>
      </c>
    </row>
    <row r="69" spans="10:41" ht="16.5" customHeight="1">
      <c r="J69" s="191">
        <v>65</v>
      </c>
      <c r="K69" s="192" t="s">
        <v>30</v>
      </c>
      <c r="L69" s="192" t="s">
        <v>30</v>
      </c>
      <c r="M69" s="192" t="s">
        <v>81</v>
      </c>
      <c r="N69" s="192" t="s">
        <v>16</v>
      </c>
      <c r="O69" s="192" t="s">
        <v>28</v>
      </c>
      <c r="Q69" s="191">
        <v>10</v>
      </c>
      <c r="R69" s="191">
        <v>10</v>
      </c>
      <c r="S69" s="191">
        <v>14</v>
      </c>
      <c r="T69" s="191">
        <v>3</v>
      </c>
      <c r="U69" s="191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97" t="s">
        <v>96</v>
      </c>
      <c r="AD69" s="199">
        <v>0</v>
      </c>
      <c r="AE69" s="199">
        <v>15</v>
      </c>
      <c r="AF69" s="199">
        <v>66</v>
      </c>
      <c r="AG69" s="199">
        <v>6</v>
      </c>
      <c r="AH69" s="199">
        <v>0</v>
      </c>
      <c r="AI69" s="5"/>
      <c r="AJ69" s="197" t="s">
        <v>96</v>
      </c>
      <c r="AK69" s="199">
        <v>0</v>
      </c>
      <c r="AL69" s="199">
        <v>15</v>
      </c>
      <c r="AM69" s="199">
        <v>66</v>
      </c>
      <c r="AN69" s="199">
        <v>6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94</v>
      </c>
      <c r="M70" s="192" t="s">
        <v>94</v>
      </c>
      <c r="N70" s="192" t="s">
        <v>80</v>
      </c>
      <c r="O70" s="192" t="s">
        <v>15</v>
      </c>
      <c r="Q70" s="191">
        <v>8</v>
      </c>
      <c r="R70" s="191">
        <v>17</v>
      </c>
      <c r="S70" s="191">
        <v>17</v>
      </c>
      <c r="T70" s="191">
        <v>13</v>
      </c>
      <c r="U70" s="191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97" t="s">
        <v>82</v>
      </c>
      <c r="AD70" s="199">
        <v>0</v>
      </c>
      <c r="AE70" s="199">
        <v>15</v>
      </c>
      <c r="AF70" s="199">
        <v>66</v>
      </c>
      <c r="AG70" s="199">
        <v>6</v>
      </c>
      <c r="AH70" s="199">
        <v>0</v>
      </c>
      <c r="AI70" s="5"/>
      <c r="AJ70" s="197" t="s">
        <v>82</v>
      </c>
      <c r="AK70" s="199">
        <v>0</v>
      </c>
      <c r="AL70" s="199">
        <v>15</v>
      </c>
      <c r="AM70" s="199">
        <v>66</v>
      </c>
      <c r="AN70" s="199">
        <v>6</v>
      </c>
      <c r="AO70" s="199">
        <v>0</v>
      </c>
    </row>
    <row r="71" spans="10:41" ht="16.5" customHeight="1">
      <c r="J71" s="191">
        <v>67</v>
      </c>
      <c r="K71" s="192" t="s">
        <v>29</v>
      </c>
      <c r="L71" s="192" t="s">
        <v>82</v>
      </c>
      <c r="M71" s="192" t="s">
        <v>81</v>
      </c>
      <c r="N71" s="192" t="s">
        <v>14</v>
      </c>
      <c r="O71" s="192" t="s">
        <v>30</v>
      </c>
      <c r="Q71" s="191">
        <v>8</v>
      </c>
      <c r="R71" s="191">
        <v>16</v>
      </c>
      <c r="S71" s="191">
        <v>14</v>
      </c>
      <c r="T71" s="191">
        <v>1</v>
      </c>
      <c r="U71" s="191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97" t="s">
        <v>94</v>
      </c>
      <c r="AD71" s="199">
        <v>0</v>
      </c>
      <c r="AE71" s="199">
        <v>15</v>
      </c>
      <c r="AF71" s="199">
        <v>66</v>
      </c>
      <c r="AG71" s="199">
        <v>6</v>
      </c>
      <c r="AH71" s="199">
        <v>0</v>
      </c>
      <c r="AI71" s="5"/>
      <c r="AJ71" s="197" t="s">
        <v>94</v>
      </c>
      <c r="AK71" s="199">
        <v>0</v>
      </c>
      <c r="AL71" s="199">
        <v>15</v>
      </c>
      <c r="AM71" s="199">
        <v>66</v>
      </c>
      <c r="AN71" s="199">
        <v>6</v>
      </c>
      <c r="AO71" s="199">
        <v>0</v>
      </c>
    </row>
    <row r="72" spans="10:41" ht="16.5" customHeight="1">
      <c r="J72" s="23">
        <v>68</v>
      </c>
      <c r="K72" s="192" t="s">
        <v>28</v>
      </c>
      <c r="L72" s="192" t="s">
        <v>30</v>
      </c>
      <c r="M72" s="192" t="s">
        <v>85</v>
      </c>
      <c r="N72" s="192" t="s">
        <v>16</v>
      </c>
      <c r="O72" s="192" t="s">
        <v>15</v>
      </c>
      <c r="Q72" s="191">
        <v>9</v>
      </c>
      <c r="R72" s="191">
        <v>10</v>
      </c>
      <c r="S72" s="191">
        <v>18</v>
      </c>
      <c r="T72" s="191">
        <v>3</v>
      </c>
      <c r="U72" s="191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97" t="s">
        <v>85</v>
      </c>
      <c r="AD72" s="199">
        <v>0</v>
      </c>
      <c r="AE72" s="199">
        <v>9</v>
      </c>
      <c r="AF72" s="199">
        <v>7</v>
      </c>
      <c r="AG72" s="199">
        <v>7</v>
      </c>
      <c r="AH72" s="199">
        <v>0</v>
      </c>
      <c r="AI72" s="5"/>
      <c r="AJ72" s="197" t="s">
        <v>85</v>
      </c>
      <c r="AK72" s="199">
        <v>0</v>
      </c>
      <c r="AL72" s="199">
        <v>9</v>
      </c>
      <c r="AM72" s="199">
        <v>7</v>
      </c>
      <c r="AN72" s="199">
        <v>7</v>
      </c>
      <c r="AO72" s="199">
        <v>0</v>
      </c>
    </row>
    <row r="73" spans="10:41" ht="16.5" customHeight="1">
      <c r="J73" s="191">
        <v>69</v>
      </c>
      <c r="K73" s="192" t="s">
        <v>15</v>
      </c>
      <c r="L73" s="192" t="s">
        <v>13</v>
      </c>
      <c r="M73" s="192" t="s">
        <v>82</v>
      </c>
      <c r="N73" s="192" t="s">
        <v>15</v>
      </c>
      <c r="O73" s="192" t="s">
        <v>31</v>
      </c>
      <c r="Q73" s="191">
        <v>2</v>
      </c>
      <c r="R73" s="191">
        <v>5</v>
      </c>
      <c r="S73" s="191">
        <v>16</v>
      </c>
      <c r="T73" s="191">
        <v>2</v>
      </c>
      <c r="U73" s="191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97" t="s">
        <v>87</v>
      </c>
      <c r="AD73" s="199">
        <v>0</v>
      </c>
      <c r="AE73" s="199">
        <v>9</v>
      </c>
      <c r="AF73" s="199">
        <v>6</v>
      </c>
      <c r="AG73" s="199">
        <v>7</v>
      </c>
      <c r="AH73" s="199">
        <v>0</v>
      </c>
      <c r="AI73" s="5"/>
      <c r="AJ73" s="197" t="s">
        <v>87</v>
      </c>
      <c r="AK73" s="199">
        <v>0</v>
      </c>
      <c r="AL73" s="199">
        <v>9</v>
      </c>
      <c r="AM73" s="199">
        <v>6</v>
      </c>
      <c r="AN73" s="199">
        <v>7</v>
      </c>
      <c r="AO73" s="199">
        <v>0</v>
      </c>
    </row>
    <row r="74" spans="10:41" ht="16.5" customHeight="1">
      <c r="J74" s="23">
        <v>70</v>
      </c>
      <c r="K74" s="192" t="s">
        <v>13</v>
      </c>
      <c r="L74" s="192" t="s">
        <v>13</v>
      </c>
      <c r="M74" s="192" t="s">
        <v>81</v>
      </c>
      <c r="N74" s="192" t="s">
        <v>31</v>
      </c>
      <c r="O74" s="192" t="s">
        <v>31</v>
      </c>
      <c r="Q74" s="191">
        <v>5</v>
      </c>
      <c r="R74" s="191">
        <v>5</v>
      </c>
      <c r="S74" s="191">
        <v>14</v>
      </c>
      <c r="T74" s="191">
        <v>7</v>
      </c>
      <c r="U74" s="191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1">
        <v>200</v>
      </c>
      <c r="AE74" s="101">
        <v>243</v>
      </c>
      <c r="AF74" s="101">
        <v>298</v>
      </c>
      <c r="AG74" s="101">
        <v>230</v>
      </c>
      <c r="AH74" s="101">
        <v>200</v>
      </c>
      <c r="AI74" s="5"/>
      <c r="AK74" s="101">
        <v>200</v>
      </c>
      <c r="AL74" s="101">
        <v>243</v>
      </c>
      <c r="AM74" s="101">
        <v>298</v>
      </c>
      <c r="AN74" s="101">
        <v>230</v>
      </c>
      <c r="AO74" s="101">
        <v>200</v>
      </c>
    </row>
    <row r="75" spans="10:41" ht="16.5" customHeight="1">
      <c r="J75" s="191">
        <v>71</v>
      </c>
      <c r="K75" s="192" t="s">
        <v>95</v>
      </c>
      <c r="L75" s="192" t="s">
        <v>94</v>
      </c>
      <c r="M75" s="192" t="s">
        <v>82</v>
      </c>
      <c r="N75" s="192" t="s">
        <v>12</v>
      </c>
      <c r="O75" s="192" t="s">
        <v>16</v>
      </c>
      <c r="Q75" s="191">
        <v>6</v>
      </c>
      <c r="R75" s="191">
        <v>17</v>
      </c>
      <c r="S75" s="191">
        <v>16</v>
      </c>
      <c r="T75" s="191">
        <v>4</v>
      </c>
      <c r="U75" s="191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29</v>
      </c>
      <c r="L76" s="192" t="s">
        <v>31</v>
      </c>
      <c r="M76" s="192" t="s">
        <v>79</v>
      </c>
      <c r="N76" s="192" t="s">
        <v>15</v>
      </c>
      <c r="O76" s="192" t="s">
        <v>12</v>
      </c>
      <c r="Q76" s="191">
        <v>8</v>
      </c>
      <c r="R76" s="191">
        <v>7</v>
      </c>
      <c r="S76" s="191">
        <v>12</v>
      </c>
      <c r="T76" s="191">
        <v>2</v>
      </c>
      <c r="U76" s="191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29</v>
      </c>
      <c r="L77" s="192" t="s">
        <v>80</v>
      </c>
      <c r="M77" s="192" t="s">
        <v>94</v>
      </c>
      <c r="N77" s="192" t="s">
        <v>15</v>
      </c>
      <c r="O77" s="192" t="s">
        <v>95</v>
      </c>
      <c r="Q77" s="191">
        <v>8</v>
      </c>
      <c r="R77" s="191">
        <v>13</v>
      </c>
      <c r="S77" s="191">
        <v>17</v>
      </c>
      <c r="T77" s="191">
        <v>2</v>
      </c>
      <c r="U77" s="191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95</v>
      </c>
      <c r="L78" s="192" t="s">
        <v>13</v>
      </c>
      <c r="M78" s="192" t="s">
        <v>81</v>
      </c>
      <c r="N78" s="192" t="s">
        <v>14</v>
      </c>
      <c r="O78" s="192" t="s">
        <v>12</v>
      </c>
      <c r="Q78" s="191">
        <v>6</v>
      </c>
      <c r="R78" s="191">
        <v>5</v>
      </c>
      <c r="S78" s="191">
        <v>14</v>
      </c>
      <c r="T78" s="191">
        <v>1</v>
      </c>
      <c r="U78" s="191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95</v>
      </c>
      <c r="L79" s="192" t="s">
        <v>13</v>
      </c>
      <c r="M79" s="192" t="s">
        <v>96</v>
      </c>
      <c r="N79" s="192" t="s">
        <v>87</v>
      </c>
      <c r="O79" s="192" t="s">
        <v>30</v>
      </c>
      <c r="Q79" s="191">
        <v>6</v>
      </c>
      <c r="R79" s="191">
        <v>5</v>
      </c>
      <c r="S79" s="191">
        <v>15</v>
      </c>
      <c r="T79" s="191">
        <v>19</v>
      </c>
      <c r="U79" s="191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81</v>
      </c>
      <c r="M80" s="192" t="s">
        <v>82</v>
      </c>
      <c r="N80" s="192" t="s">
        <v>28</v>
      </c>
      <c r="O80" s="192" t="s">
        <v>28</v>
      </c>
      <c r="Q80" s="191">
        <v>7</v>
      </c>
      <c r="R80" s="191">
        <v>14</v>
      </c>
      <c r="S80" s="191">
        <v>16</v>
      </c>
      <c r="T80" s="191">
        <v>9</v>
      </c>
      <c r="U80" s="191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29</v>
      </c>
      <c r="L81" s="192" t="s">
        <v>95</v>
      </c>
      <c r="M81" s="192" t="s">
        <v>81</v>
      </c>
      <c r="N81" s="192" t="s">
        <v>16</v>
      </c>
      <c r="O81" s="192" t="s">
        <v>28</v>
      </c>
      <c r="Q81" s="191">
        <v>8</v>
      </c>
      <c r="R81" s="191">
        <v>6</v>
      </c>
      <c r="S81" s="191">
        <v>14</v>
      </c>
      <c r="T81" s="191">
        <v>3</v>
      </c>
      <c r="U81" s="191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95</v>
      </c>
      <c r="M82" s="192" t="s">
        <v>94</v>
      </c>
      <c r="N82" s="192" t="s">
        <v>13</v>
      </c>
      <c r="O82" s="192" t="s">
        <v>16</v>
      </c>
      <c r="Q82" s="191">
        <v>7</v>
      </c>
      <c r="R82" s="191">
        <v>6</v>
      </c>
      <c r="S82" s="191">
        <v>17</v>
      </c>
      <c r="T82" s="191">
        <v>5</v>
      </c>
      <c r="U82" s="191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30</v>
      </c>
      <c r="L83" s="192" t="s">
        <v>81</v>
      </c>
      <c r="M83" s="192" t="s">
        <v>82</v>
      </c>
      <c r="N83" s="192" t="s">
        <v>28</v>
      </c>
      <c r="O83" s="192" t="s">
        <v>28</v>
      </c>
      <c r="Q83" s="191">
        <v>10</v>
      </c>
      <c r="R83" s="191">
        <v>14</v>
      </c>
      <c r="S83" s="191">
        <v>16</v>
      </c>
      <c r="T83" s="191">
        <v>9</v>
      </c>
      <c r="U83" s="191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95</v>
      </c>
      <c r="M84" s="192" t="s">
        <v>96</v>
      </c>
      <c r="N84" s="192" t="s">
        <v>28</v>
      </c>
      <c r="O84" s="192" t="s">
        <v>12</v>
      </c>
      <c r="Q84" s="191">
        <v>8</v>
      </c>
      <c r="R84" s="191">
        <v>6</v>
      </c>
      <c r="S84" s="191">
        <v>15</v>
      </c>
      <c r="T84" s="191">
        <v>9</v>
      </c>
      <c r="U84" s="191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95</v>
      </c>
      <c r="L85" s="192" t="s">
        <v>15</v>
      </c>
      <c r="M85" s="192" t="s">
        <v>82</v>
      </c>
      <c r="N85" s="192" t="s">
        <v>28</v>
      </c>
      <c r="O85" s="192" t="s">
        <v>30</v>
      </c>
      <c r="Q85" s="191">
        <v>6</v>
      </c>
      <c r="R85" s="191">
        <v>2</v>
      </c>
      <c r="S85" s="191">
        <v>16</v>
      </c>
      <c r="T85" s="191">
        <v>9</v>
      </c>
      <c r="U85" s="191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95</v>
      </c>
      <c r="L86" s="192" t="s">
        <v>96</v>
      </c>
      <c r="M86" s="192" t="s">
        <v>85</v>
      </c>
      <c r="N86" s="192" t="s">
        <v>15</v>
      </c>
      <c r="O86" s="192" t="s">
        <v>95</v>
      </c>
      <c r="Q86" s="191">
        <v>6</v>
      </c>
      <c r="R86" s="191">
        <v>15</v>
      </c>
      <c r="S86" s="191">
        <v>18</v>
      </c>
      <c r="T86" s="191">
        <v>2</v>
      </c>
      <c r="U86" s="191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29</v>
      </c>
      <c r="M87" s="192" t="s">
        <v>81</v>
      </c>
      <c r="N87" s="192" t="s">
        <v>13</v>
      </c>
      <c r="O87" s="192" t="s">
        <v>16</v>
      </c>
      <c r="Q87" s="191">
        <v>6</v>
      </c>
      <c r="R87" s="191">
        <v>8</v>
      </c>
      <c r="S87" s="191">
        <v>14</v>
      </c>
      <c r="T87" s="191">
        <v>5</v>
      </c>
      <c r="U87" s="191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31</v>
      </c>
      <c r="L88" s="192" t="s">
        <v>81</v>
      </c>
      <c r="M88" s="192" t="s">
        <v>94</v>
      </c>
      <c r="N88" s="192" t="s">
        <v>78</v>
      </c>
      <c r="O88" s="192" t="s">
        <v>28</v>
      </c>
      <c r="Q88" s="191">
        <v>7</v>
      </c>
      <c r="R88" s="191">
        <v>14</v>
      </c>
      <c r="S88" s="191">
        <v>17</v>
      </c>
      <c r="T88" s="191">
        <v>11</v>
      </c>
      <c r="U88" s="191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31</v>
      </c>
      <c r="L89" s="192" t="s">
        <v>13</v>
      </c>
      <c r="M89" s="192" t="s">
        <v>96</v>
      </c>
      <c r="N89" s="192" t="s">
        <v>16</v>
      </c>
      <c r="O89" s="192" t="s">
        <v>95</v>
      </c>
      <c r="Q89" s="191">
        <v>7</v>
      </c>
      <c r="R89" s="191">
        <v>5</v>
      </c>
      <c r="S89" s="191">
        <v>15</v>
      </c>
      <c r="T89" s="191">
        <v>3</v>
      </c>
      <c r="U89" s="191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31</v>
      </c>
      <c r="L90" s="192" t="s">
        <v>13</v>
      </c>
      <c r="M90" s="192" t="s">
        <v>82</v>
      </c>
      <c r="N90" s="192" t="s">
        <v>13</v>
      </c>
      <c r="O90" s="192" t="s">
        <v>31</v>
      </c>
      <c r="Q90" s="191">
        <v>7</v>
      </c>
      <c r="R90" s="191">
        <v>5</v>
      </c>
      <c r="S90" s="191">
        <v>16</v>
      </c>
      <c r="T90" s="191">
        <v>5</v>
      </c>
      <c r="U90" s="191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29</v>
      </c>
      <c r="L91" s="192" t="s">
        <v>30</v>
      </c>
      <c r="M91" s="192" t="s">
        <v>81</v>
      </c>
      <c r="N91" s="192" t="s">
        <v>13</v>
      </c>
      <c r="O91" s="192" t="s">
        <v>28</v>
      </c>
      <c r="Q91" s="191">
        <v>8</v>
      </c>
      <c r="R91" s="191">
        <v>10</v>
      </c>
      <c r="S91" s="191">
        <v>14</v>
      </c>
      <c r="T91" s="191">
        <v>5</v>
      </c>
      <c r="U91" s="191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31</v>
      </c>
      <c r="L92" s="192" t="s">
        <v>96</v>
      </c>
      <c r="M92" s="192" t="s">
        <v>82</v>
      </c>
      <c r="N92" s="192" t="s">
        <v>14</v>
      </c>
      <c r="O92" s="192" t="s">
        <v>13</v>
      </c>
      <c r="Q92" s="191">
        <v>7</v>
      </c>
      <c r="R92" s="191">
        <v>15</v>
      </c>
      <c r="S92" s="191">
        <v>16</v>
      </c>
      <c r="T92" s="191">
        <v>1</v>
      </c>
      <c r="U92" s="191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12</v>
      </c>
      <c r="L93" s="192" t="s">
        <v>96</v>
      </c>
      <c r="M93" s="192" t="s">
        <v>94</v>
      </c>
      <c r="N93" s="192" t="s">
        <v>15</v>
      </c>
      <c r="O93" s="192" t="s">
        <v>28</v>
      </c>
      <c r="Q93" s="191">
        <v>4</v>
      </c>
      <c r="R93" s="191">
        <v>15</v>
      </c>
      <c r="S93" s="191">
        <v>17</v>
      </c>
      <c r="T93" s="191">
        <v>2</v>
      </c>
      <c r="U93" s="191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16</v>
      </c>
      <c r="L94" s="192" t="s">
        <v>29</v>
      </c>
      <c r="M94" s="192" t="s">
        <v>81</v>
      </c>
      <c r="N94" s="192" t="s">
        <v>16</v>
      </c>
      <c r="O94" s="192" t="s">
        <v>29</v>
      </c>
      <c r="Q94" s="191">
        <v>3</v>
      </c>
      <c r="R94" s="191">
        <v>8</v>
      </c>
      <c r="S94" s="191">
        <v>14</v>
      </c>
      <c r="T94" s="191">
        <v>3</v>
      </c>
      <c r="U94" s="191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29</v>
      </c>
      <c r="M95" s="192" t="s">
        <v>94</v>
      </c>
      <c r="N95" s="192" t="s">
        <v>15</v>
      </c>
      <c r="O95" s="192" t="s">
        <v>16</v>
      </c>
      <c r="Q95" s="191">
        <v>5</v>
      </c>
      <c r="R95" s="191">
        <v>8</v>
      </c>
      <c r="S95" s="191">
        <v>17</v>
      </c>
      <c r="T95" s="191">
        <v>2</v>
      </c>
      <c r="U95" s="191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31</v>
      </c>
      <c r="L96" s="192" t="s">
        <v>82</v>
      </c>
      <c r="M96" s="192" t="s">
        <v>81</v>
      </c>
      <c r="N96" s="192" t="s">
        <v>15</v>
      </c>
      <c r="O96" s="192" t="s">
        <v>15</v>
      </c>
      <c r="Q96" s="191">
        <v>7</v>
      </c>
      <c r="R96" s="191">
        <v>16</v>
      </c>
      <c r="S96" s="191">
        <v>14</v>
      </c>
      <c r="T96" s="191">
        <v>2</v>
      </c>
      <c r="U96" s="191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13</v>
      </c>
      <c r="L97" s="192" t="s">
        <v>29</v>
      </c>
      <c r="M97" s="192" t="s">
        <v>82</v>
      </c>
      <c r="N97" s="192" t="s">
        <v>15</v>
      </c>
      <c r="O97" s="192" t="s">
        <v>30</v>
      </c>
      <c r="Q97" s="191">
        <v>5</v>
      </c>
      <c r="R97" s="191">
        <v>8</v>
      </c>
      <c r="S97" s="191">
        <v>16</v>
      </c>
      <c r="T97" s="191">
        <v>2</v>
      </c>
      <c r="U97" s="191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31</v>
      </c>
      <c r="L98" s="192" t="s">
        <v>31</v>
      </c>
      <c r="M98" s="192" t="s">
        <v>96</v>
      </c>
      <c r="N98" s="192" t="s">
        <v>78</v>
      </c>
      <c r="O98" s="192" t="s">
        <v>16</v>
      </c>
      <c r="Q98" s="191">
        <v>7</v>
      </c>
      <c r="R98" s="191">
        <v>7</v>
      </c>
      <c r="S98" s="191">
        <v>15</v>
      </c>
      <c r="T98" s="191">
        <v>11</v>
      </c>
      <c r="U98" s="191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94</v>
      </c>
      <c r="M99" s="192" t="s">
        <v>94</v>
      </c>
      <c r="N99" s="192" t="s">
        <v>12</v>
      </c>
      <c r="O99" s="192" t="s">
        <v>29</v>
      </c>
      <c r="Q99" s="191">
        <v>5</v>
      </c>
      <c r="R99" s="191">
        <v>17</v>
      </c>
      <c r="S99" s="191">
        <v>17</v>
      </c>
      <c r="T99" s="191">
        <v>4</v>
      </c>
      <c r="U99" s="191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95</v>
      </c>
      <c r="L100" s="192" t="s">
        <v>29</v>
      </c>
      <c r="M100" s="192" t="s">
        <v>96</v>
      </c>
      <c r="N100" s="192" t="s">
        <v>29</v>
      </c>
      <c r="O100" s="192" t="s">
        <v>13</v>
      </c>
      <c r="Q100" s="191">
        <v>6</v>
      </c>
      <c r="R100" s="191">
        <v>8</v>
      </c>
      <c r="S100" s="191">
        <v>15</v>
      </c>
      <c r="T100" s="191">
        <v>8</v>
      </c>
      <c r="U100" s="191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13</v>
      </c>
      <c r="L101" s="192" t="s">
        <v>82</v>
      </c>
      <c r="M101" s="192" t="s">
        <v>82</v>
      </c>
      <c r="N101" s="192" t="s">
        <v>29</v>
      </c>
      <c r="O101" s="192" t="s">
        <v>12</v>
      </c>
      <c r="Q101" s="191">
        <v>5</v>
      </c>
      <c r="R101" s="191">
        <v>16</v>
      </c>
      <c r="S101" s="191">
        <v>16</v>
      </c>
      <c r="T101" s="191">
        <v>8</v>
      </c>
      <c r="U101" s="191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31</v>
      </c>
      <c r="L102" s="192" t="s">
        <v>15</v>
      </c>
      <c r="M102" s="192" t="s">
        <v>94</v>
      </c>
      <c r="N102" s="192" t="s">
        <v>12</v>
      </c>
      <c r="O102" s="192" t="s">
        <v>15</v>
      </c>
      <c r="Q102" s="191">
        <v>7</v>
      </c>
      <c r="R102" s="191">
        <v>2</v>
      </c>
      <c r="S102" s="191">
        <v>17</v>
      </c>
      <c r="T102" s="191">
        <v>4</v>
      </c>
      <c r="U102" s="191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29</v>
      </c>
      <c r="L103" s="192" t="s">
        <v>81</v>
      </c>
      <c r="M103" s="192" t="s">
        <v>78</v>
      </c>
      <c r="N103" s="192" t="s">
        <v>30</v>
      </c>
      <c r="O103" s="192" t="s">
        <v>15</v>
      </c>
      <c r="Q103" s="191">
        <v>8</v>
      </c>
      <c r="R103" s="191">
        <v>14</v>
      </c>
      <c r="S103" s="191">
        <v>11</v>
      </c>
      <c r="T103" s="191">
        <v>10</v>
      </c>
      <c r="U103" s="191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31</v>
      </c>
      <c r="L104" s="192" t="s">
        <v>14</v>
      </c>
      <c r="M104" s="192" t="s">
        <v>81</v>
      </c>
      <c r="N104" s="192" t="s">
        <v>16</v>
      </c>
      <c r="O104" s="192" t="s">
        <v>12</v>
      </c>
      <c r="Q104" s="191">
        <v>7</v>
      </c>
      <c r="R104" s="191">
        <v>1</v>
      </c>
      <c r="S104" s="191">
        <v>14</v>
      </c>
      <c r="T104" s="191">
        <v>3</v>
      </c>
      <c r="U104" s="191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29</v>
      </c>
      <c r="L105" s="192" t="s">
        <v>95</v>
      </c>
      <c r="M105" s="192" t="s">
        <v>94</v>
      </c>
      <c r="N105" s="192" t="s">
        <v>16</v>
      </c>
      <c r="O105" s="192" t="s">
        <v>30</v>
      </c>
      <c r="Q105" s="191">
        <v>8</v>
      </c>
      <c r="R105" s="191">
        <v>6</v>
      </c>
      <c r="S105" s="191">
        <v>17</v>
      </c>
      <c r="T105" s="191">
        <v>3</v>
      </c>
      <c r="U105" s="191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29</v>
      </c>
      <c r="L106" s="192" t="s">
        <v>29</v>
      </c>
      <c r="M106" s="192" t="s">
        <v>81</v>
      </c>
      <c r="N106" s="192" t="s">
        <v>15</v>
      </c>
      <c r="O106" s="192" t="s">
        <v>95</v>
      </c>
      <c r="Q106" s="191">
        <v>8</v>
      </c>
      <c r="R106" s="191">
        <v>8</v>
      </c>
      <c r="S106" s="191">
        <v>14</v>
      </c>
      <c r="T106" s="191">
        <v>2</v>
      </c>
      <c r="U106" s="191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31</v>
      </c>
      <c r="L107" s="192" t="s">
        <v>29</v>
      </c>
      <c r="M107" s="192" t="s">
        <v>96</v>
      </c>
      <c r="N107" s="192" t="s">
        <v>80</v>
      </c>
      <c r="O107" s="192" t="s">
        <v>28</v>
      </c>
      <c r="Q107" s="191">
        <v>7</v>
      </c>
      <c r="R107" s="191">
        <v>8</v>
      </c>
      <c r="S107" s="191">
        <v>15</v>
      </c>
      <c r="T107" s="191">
        <v>13</v>
      </c>
      <c r="U107" s="191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29</v>
      </c>
      <c r="L108" s="192" t="s">
        <v>81</v>
      </c>
      <c r="M108" s="192" t="s">
        <v>82</v>
      </c>
      <c r="N108" s="192" t="s">
        <v>16</v>
      </c>
      <c r="O108" s="192" t="s">
        <v>30</v>
      </c>
      <c r="Q108" s="191">
        <v>8</v>
      </c>
      <c r="R108" s="191">
        <v>14</v>
      </c>
      <c r="S108" s="191">
        <v>16</v>
      </c>
      <c r="T108" s="191">
        <v>3</v>
      </c>
      <c r="U108" s="191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29</v>
      </c>
      <c r="L109" s="192" t="s">
        <v>79</v>
      </c>
      <c r="M109" s="192" t="s">
        <v>96</v>
      </c>
      <c r="N109" s="192" t="s">
        <v>13</v>
      </c>
      <c r="O109" s="192" t="s">
        <v>30</v>
      </c>
      <c r="Q109" s="191">
        <v>8</v>
      </c>
      <c r="R109" s="191">
        <v>12</v>
      </c>
      <c r="S109" s="191">
        <v>15</v>
      </c>
      <c r="T109" s="191">
        <v>5</v>
      </c>
      <c r="U109" s="191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16</v>
      </c>
      <c r="M110" s="192" t="s">
        <v>82</v>
      </c>
      <c r="N110" s="192" t="s">
        <v>78</v>
      </c>
      <c r="O110" s="192" t="s">
        <v>13</v>
      </c>
      <c r="Q110" s="191">
        <v>8</v>
      </c>
      <c r="R110" s="191">
        <v>3</v>
      </c>
      <c r="S110" s="191">
        <v>16</v>
      </c>
      <c r="T110" s="191">
        <v>11</v>
      </c>
      <c r="U110" s="191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31</v>
      </c>
      <c r="L111" s="192" t="s">
        <v>13</v>
      </c>
      <c r="M111" s="192" t="s">
        <v>96</v>
      </c>
      <c r="N111" s="192" t="s">
        <v>12</v>
      </c>
      <c r="O111" s="192" t="s">
        <v>13</v>
      </c>
      <c r="Q111" s="191">
        <v>7</v>
      </c>
      <c r="R111" s="191">
        <v>5</v>
      </c>
      <c r="S111" s="191">
        <v>15</v>
      </c>
      <c r="T111" s="191">
        <v>4</v>
      </c>
      <c r="U111" s="191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95</v>
      </c>
      <c r="L112" s="192" t="s">
        <v>79</v>
      </c>
      <c r="M112" s="192" t="s">
        <v>81</v>
      </c>
      <c r="N112" s="192" t="s">
        <v>28</v>
      </c>
      <c r="O112" s="192" t="s">
        <v>29</v>
      </c>
      <c r="Q112" s="191">
        <v>6</v>
      </c>
      <c r="R112" s="191">
        <v>12</v>
      </c>
      <c r="S112" s="191">
        <v>14</v>
      </c>
      <c r="T112" s="191">
        <v>9</v>
      </c>
      <c r="U112" s="191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29</v>
      </c>
      <c r="L113" s="192" t="s">
        <v>81</v>
      </c>
      <c r="M113" s="192" t="s">
        <v>96</v>
      </c>
      <c r="N113" s="192" t="s">
        <v>30</v>
      </c>
      <c r="O113" s="192" t="s">
        <v>30</v>
      </c>
      <c r="Q113" s="191">
        <v>8</v>
      </c>
      <c r="R113" s="191">
        <v>14</v>
      </c>
      <c r="S113" s="191">
        <v>15</v>
      </c>
      <c r="T113" s="191">
        <v>10</v>
      </c>
      <c r="U113" s="191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15</v>
      </c>
      <c r="L114" s="192" t="s">
        <v>31</v>
      </c>
      <c r="M114" s="192" t="s">
        <v>94</v>
      </c>
      <c r="N114" s="192" t="s">
        <v>31</v>
      </c>
      <c r="O114" s="192" t="s">
        <v>15</v>
      </c>
      <c r="Q114" s="191">
        <v>2</v>
      </c>
      <c r="R114" s="191">
        <v>7</v>
      </c>
      <c r="S114" s="191">
        <v>17</v>
      </c>
      <c r="T114" s="191">
        <v>7</v>
      </c>
      <c r="U114" s="191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28</v>
      </c>
      <c r="L115" s="192" t="s">
        <v>31</v>
      </c>
      <c r="M115" s="192" t="s">
        <v>81</v>
      </c>
      <c r="N115" s="192" t="s">
        <v>95</v>
      </c>
      <c r="O115" s="192" t="s">
        <v>12</v>
      </c>
      <c r="Q115" s="191">
        <v>9</v>
      </c>
      <c r="R115" s="191">
        <v>7</v>
      </c>
      <c r="S115" s="191">
        <v>14</v>
      </c>
      <c r="T115" s="191">
        <v>6</v>
      </c>
      <c r="U115" s="191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95</v>
      </c>
      <c r="L116" s="192" t="s">
        <v>81</v>
      </c>
      <c r="M116" s="192" t="s">
        <v>94</v>
      </c>
      <c r="N116" s="192" t="s">
        <v>12</v>
      </c>
      <c r="O116" s="192" t="s">
        <v>13</v>
      </c>
      <c r="Q116" s="191">
        <v>6</v>
      </c>
      <c r="R116" s="191">
        <v>14</v>
      </c>
      <c r="S116" s="191">
        <v>17</v>
      </c>
      <c r="T116" s="191">
        <v>4</v>
      </c>
      <c r="U116" s="191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29</v>
      </c>
      <c r="L117" s="192" t="s">
        <v>13</v>
      </c>
      <c r="M117" s="192" t="s">
        <v>96</v>
      </c>
      <c r="N117" s="192" t="s">
        <v>30</v>
      </c>
      <c r="O117" s="192" t="s">
        <v>13</v>
      </c>
      <c r="Q117" s="191">
        <v>8</v>
      </c>
      <c r="R117" s="191">
        <v>5</v>
      </c>
      <c r="S117" s="191">
        <v>15</v>
      </c>
      <c r="T117" s="191">
        <v>10</v>
      </c>
      <c r="U117" s="191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13</v>
      </c>
      <c r="L118" s="192" t="s">
        <v>13</v>
      </c>
      <c r="M118" s="192" t="s">
        <v>82</v>
      </c>
      <c r="N118" s="192" t="s">
        <v>95</v>
      </c>
      <c r="O118" s="192" t="s">
        <v>31</v>
      </c>
      <c r="Q118" s="191">
        <v>5</v>
      </c>
      <c r="R118" s="191">
        <v>5</v>
      </c>
      <c r="S118" s="191">
        <v>16</v>
      </c>
      <c r="T118" s="191">
        <v>6</v>
      </c>
      <c r="U118" s="191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29</v>
      </c>
      <c r="L119" s="192" t="s">
        <v>96</v>
      </c>
      <c r="M119" s="192" t="s">
        <v>94</v>
      </c>
      <c r="N119" s="192" t="s">
        <v>82</v>
      </c>
      <c r="O119" s="192" t="s">
        <v>16</v>
      </c>
      <c r="Q119" s="191">
        <v>8</v>
      </c>
      <c r="R119" s="191">
        <v>15</v>
      </c>
      <c r="S119" s="191">
        <v>17</v>
      </c>
      <c r="T119" s="191">
        <v>16</v>
      </c>
      <c r="U119" s="191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95</v>
      </c>
      <c r="M120" s="192" t="s">
        <v>82</v>
      </c>
      <c r="N120" s="192" t="s">
        <v>95</v>
      </c>
      <c r="O120" s="192" t="s">
        <v>29</v>
      </c>
      <c r="Q120" s="191">
        <v>5</v>
      </c>
      <c r="R120" s="191">
        <v>6</v>
      </c>
      <c r="S120" s="191">
        <v>16</v>
      </c>
      <c r="T120" s="191">
        <v>6</v>
      </c>
      <c r="U120" s="191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13</v>
      </c>
      <c r="L121" s="192" t="s">
        <v>82</v>
      </c>
      <c r="M121" s="192" t="s">
        <v>96</v>
      </c>
      <c r="N121" s="192" t="s">
        <v>16</v>
      </c>
      <c r="O121" s="192" t="s">
        <v>16</v>
      </c>
      <c r="Q121" s="191">
        <v>5</v>
      </c>
      <c r="R121" s="191">
        <v>16</v>
      </c>
      <c r="S121" s="191">
        <v>15</v>
      </c>
      <c r="T121" s="191">
        <v>3</v>
      </c>
      <c r="U121" s="191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29</v>
      </c>
      <c r="M122" s="192" t="s">
        <v>87</v>
      </c>
      <c r="N122" s="192" t="s">
        <v>31</v>
      </c>
      <c r="O122" s="192" t="s">
        <v>28</v>
      </c>
      <c r="Q122" s="191">
        <v>7</v>
      </c>
      <c r="R122" s="191">
        <v>8</v>
      </c>
      <c r="S122" s="191">
        <v>19</v>
      </c>
      <c r="T122" s="191">
        <v>7</v>
      </c>
      <c r="U122" s="191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29</v>
      </c>
      <c r="L123" s="192" t="s">
        <v>85</v>
      </c>
      <c r="M123" s="192" t="s">
        <v>96</v>
      </c>
      <c r="N123" s="192" t="s">
        <v>31</v>
      </c>
      <c r="O123" s="192" t="s">
        <v>29</v>
      </c>
      <c r="Q123" s="191">
        <v>8</v>
      </c>
      <c r="R123" s="191">
        <v>18</v>
      </c>
      <c r="S123" s="191">
        <v>15</v>
      </c>
      <c r="T123" s="191">
        <v>7</v>
      </c>
      <c r="U123" s="191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12</v>
      </c>
      <c r="L124" s="192" t="s">
        <v>81</v>
      </c>
      <c r="M124" s="192" t="s">
        <v>85</v>
      </c>
      <c r="N124" s="192" t="s">
        <v>14</v>
      </c>
      <c r="O124" s="192" t="s">
        <v>16</v>
      </c>
      <c r="Q124" s="191">
        <v>4</v>
      </c>
      <c r="R124" s="191">
        <v>14</v>
      </c>
      <c r="S124" s="191">
        <v>18</v>
      </c>
      <c r="T124" s="191">
        <v>1</v>
      </c>
      <c r="U124" s="191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95</v>
      </c>
      <c r="L125" s="192" t="s">
        <v>14</v>
      </c>
      <c r="M125" s="192" t="s">
        <v>94</v>
      </c>
      <c r="N125" s="192" t="s">
        <v>12</v>
      </c>
      <c r="O125" s="192" t="s">
        <v>28</v>
      </c>
      <c r="Q125" s="191">
        <v>6</v>
      </c>
      <c r="R125" s="191">
        <v>1</v>
      </c>
      <c r="S125" s="191">
        <v>17</v>
      </c>
      <c r="T125" s="191">
        <v>4</v>
      </c>
      <c r="U125" s="191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16</v>
      </c>
      <c r="M126" s="192" t="s">
        <v>82</v>
      </c>
      <c r="N126" s="192" t="s">
        <v>16</v>
      </c>
      <c r="O126" s="192" t="s">
        <v>28</v>
      </c>
      <c r="Q126" s="191">
        <v>6</v>
      </c>
      <c r="R126" s="191">
        <v>3</v>
      </c>
      <c r="S126" s="191">
        <v>16</v>
      </c>
      <c r="T126" s="191">
        <v>3</v>
      </c>
      <c r="U126" s="191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13</v>
      </c>
      <c r="L127" s="192" t="s">
        <v>30</v>
      </c>
      <c r="M127" s="192" t="s">
        <v>81</v>
      </c>
      <c r="N127" s="192" t="s">
        <v>12</v>
      </c>
      <c r="O127" s="192" t="s">
        <v>16</v>
      </c>
      <c r="Q127" s="191">
        <v>5</v>
      </c>
      <c r="R127" s="191">
        <v>10</v>
      </c>
      <c r="S127" s="191">
        <v>14</v>
      </c>
      <c r="T127" s="191">
        <v>4</v>
      </c>
      <c r="U127" s="191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96</v>
      </c>
      <c r="M128" s="192" t="s">
        <v>96</v>
      </c>
      <c r="N128" s="192" t="s">
        <v>12</v>
      </c>
      <c r="O128" s="192" t="s">
        <v>29</v>
      </c>
      <c r="Q128" s="191">
        <v>6</v>
      </c>
      <c r="R128" s="191">
        <v>15</v>
      </c>
      <c r="S128" s="191">
        <v>15</v>
      </c>
      <c r="T128" s="191">
        <v>4</v>
      </c>
      <c r="U128" s="191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29</v>
      </c>
      <c r="L129" s="192" t="s">
        <v>78</v>
      </c>
      <c r="M129" s="192" t="s">
        <v>79</v>
      </c>
      <c r="N129" s="192" t="s">
        <v>85</v>
      </c>
      <c r="O129" s="192" t="s">
        <v>29</v>
      </c>
      <c r="Q129" s="191">
        <v>8</v>
      </c>
      <c r="R129" s="191">
        <v>11</v>
      </c>
      <c r="S129" s="191">
        <v>12</v>
      </c>
      <c r="T129" s="191">
        <v>18</v>
      </c>
      <c r="U129" s="191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95</v>
      </c>
      <c r="L130" s="192" t="s">
        <v>28</v>
      </c>
      <c r="M130" s="192" t="s">
        <v>94</v>
      </c>
      <c r="N130" s="192" t="s">
        <v>95</v>
      </c>
      <c r="O130" s="192" t="s">
        <v>16</v>
      </c>
      <c r="Q130" s="191">
        <v>6</v>
      </c>
      <c r="R130" s="191">
        <v>9</v>
      </c>
      <c r="S130" s="191">
        <v>17</v>
      </c>
      <c r="T130" s="191">
        <v>6</v>
      </c>
      <c r="U130" s="191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29</v>
      </c>
      <c r="L131" s="192" t="s">
        <v>94</v>
      </c>
      <c r="M131" s="192" t="s">
        <v>81</v>
      </c>
      <c r="N131" s="192" t="s">
        <v>28</v>
      </c>
      <c r="O131" s="192" t="s">
        <v>28</v>
      </c>
      <c r="Q131" s="191">
        <v>8</v>
      </c>
      <c r="R131" s="191">
        <v>17</v>
      </c>
      <c r="S131" s="191">
        <v>14</v>
      </c>
      <c r="T131" s="191">
        <v>9</v>
      </c>
      <c r="U131" s="191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14</v>
      </c>
      <c r="M132" s="192" t="s">
        <v>96</v>
      </c>
      <c r="N132" s="192" t="s">
        <v>12</v>
      </c>
      <c r="O132" s="192" t="s">
        <v>12</v>
      </c>
      <c r="Q132" s="191">
        <v>6</v>
      </c>
      <c r="R132" s="191">
        <v>1</v>
      </c>
      <c r="S132" s="191">
        <v>15</v>
      </c>
      <c r="T132" s="191">
        <v>4</v>
      </c>
      <c r="U132" s="191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29</v>
      </c>
      <c r="L133" s="192" t="s">
        <v>13</v>
      </c>
      <c r="M133" s="192" t="s">
        <v>94</v>
      </c>
      <c r="N133" s="192" t="s">
        <v>79</v>
      </c>
      <c r="O133" s="192" t="s">
        <v>15</v>
      </c>
      <c r="Q133" s="191">
        <v>8</v>
      </c>
      <c r="R133" s="191">
        <v>5</v>
      </c>
      <c r="S133" s="191">
        <v>17</v>
      </c>
      <c r="T133" s="191">
        <v>12</v>
      </c>
      <c r="U133" s="191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95</v>
      </c>
      <c r="L134" s="192" t="s">
        <v>85</v>
      </c>
      <c r="M134" s="192" t="s">
        <v>82</v>
      </c>
      <c r="N134" s="192" t="s">
        <v>87</v>
      </c>
      <c r="O134" s="192" t="s">
        <v>16</v>
      </c>
      <c r="Q134" s="191">
        <v>6</v>
      </c>
      <c r="R134" s="191">
        <v>18</v>
      </c>
      <c r="S134" s="191">
        <v>16</v>
      </c>
      <c r="T134" s="191">
        <v>19</v>
      </c>
      <c r="U134" s="191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95</v>
      </c>
      <c r="M135" s="192" t="s">
        <v>94</v>
      </c>
      <c r="N135" s="192" t="s">
        <v>95</v>
      </c>
      <c r="O135" s="192" t="s">
        <v>31</v>
      </c>
      <c r="Q135" s="191">
        <v>7</v>
      </c>
      <c r="R135" s="191">
        <v>6</v>
      </c>
      <c r="S135" s="191">
        <v>17</v>
      </c>
      <c r="T135" s="191">
        <v>6</v>
      </c>
      <c r="U135" s="191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80</v>
      </c>
      <c r="N136" s="192" t="s">
        <v>29</v>
      </c>
      <c r="O136" s="192" t="s">
        <v>31</v>
      </c>
      <c r="Q136" s="191">
        <v>7</v>
      </c>
      <c r="R136" s="191">
        <v>8</v>
      </c>
      <c r="S136" s="191">
        <v>13</v>
      </c>
      <c r="T136" s="191">
        <v>8</v>
      </c>
      <c r="U136" s="191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94</v>
      </c>
      <c r="M137" s="192" t="s">
        <v>82</v>
      </c>
      <c r="N137" s="192" t="s">
        <v>30</v>
      </c>
      <c r="O137" s="192" t="s">
        <v>15</v>
      </c>
      <c r="Q137" s="191">
        <v>6</v>
      </c>
      <c r="R137" s="191">
        <v>17</v>
      </c>
      <c r="S137" s="191">
        <v>16</v>
      </c>
      <c r="T137" s="191">
        <v>10</v>
      </c>
      <c r="U137" s="191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16</v>
      </c>
      <c r="L138" s="192" t="s">
        <v>29</v>
      </c>
      <c r="M138" s="192" t="s">
        <v>96</v>
      </c>
      <c r="N138" s="192" t="s">
        <v>87</v>
      </c>
      <c r="O138" s="192" t="s">
        <v>29</v>
      </c>
      <c r="Q138" s="191">
        <v>3</v>
      </c>
      <c r="R138" s="191">
        <v>8</v>
      </c>
      <c r="S138" s="191">
        <v>15</v>
      </c>
      <c r="T138" s="191">
        <v>19</v>
      </c>
      <c r="U138" s="191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29</v>
      </c>
      <c r="L139" s="192" t="s">
        <v>14</v>
      </c>
      <c r="M139" s="192" t="s">
        <v>81</v>
      </c>
      <c r="N139" s="192" t="s">
        <v>14</v>
      </c>
      <c r="O139" s="192" t="s">
        <v>15</v>
      </c>
      <c r="Q139" s="191">
        <v>8</v>
      </c>
      <c r="R139" s="191">
        <v>1</v>
      </c>
      <c r="S139" s="191">
        <v>14</v>
      </c>
      <c r="T139" s="191">
        <v>1</v>
      </c>
      <c r="U139" s="191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95</v>
      </c>
      <c r="L140" s="192" t="s">
        <v>82</v>
      </c>
      <c r="M140" s="192" t="s">
        <v>87</v>
      </c>
      <c r="N140" s="192" t="s">
        <v>31</v>
      </c>
      <c r="O140" s="192" t="s">
        <v>95</v>
      </c>
      <c r="Q140" s="191">
        <v>6</v>
      </c>
      <c r="R140" s="191">
        <v>16</v>
      </c>
      <c r="S140" s="191">
        <v>19</v>
      </c>
      <c r="T140" s="191">
        <v>7</v>
      </c>
      <c r="U140" s="191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13</v>
      </c>
      <c r="M141" s="192" t="s">
        <v>81</v>
      </c>
      <c r="N141" s="192" t="s">
        <v>30</v>
      </c>
      <c r="O141" s="192" t="s">
        <v>30</v>
      </c>
      <c r="Q141" s="191">
        <v>8</v>
      </c>
      <c r="R141" s="191">
        <v>5</v>
      </c>
      <c r="S141" s="191">
        <v>14</v>
      </c>
      <c r="T141" s="191">
        <v>10</v>
      </c>
      <c r="U141" s="191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29</v>
      </c>
      <c r="M142" s="192" t="s">
        <v>96</v>
      </c>
      <c r="N142" s="192" t="s">
        <v>30</v>
      </c>
      <c r="O142" s="192" t="s">
        <v>28</v>
      </c>
      <c r="Q142" s="191">
        <v>7</v>
      </c>
      <c r="R142" s="191">
        <v>8</v>
      </c>
      <c r="S142" s="191">
        <v>15</v>
      </c>
      <c r="T142" s="191">
        <v>10</v>
      </c>
      <c r="U142" s="191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16</v>
      </c>
      <c r="L143" s="192" t="s">
        <v>30</v>
      </c>
      <c r="M143" s="192" t="s">
        <v>81</v>
      </c>
      <c r="N143" s="192" t="s">
        <v>12</v>
      </c>
      <c r="O143" s="192" t="s">
        <v>31</v>
      </c>
      <c r="Q143" s="191">
        <v>3</v>
      </c>
      <c r="R143" s="191">
        <v>10</v>
      </c>
      <c r="S143" s="191">
        <v>14</v>
      </c>
      <c r="T143" s="191">
        <v>4</v>
      </c>
      <c r="U143" s="191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31</v>
      </c>
      <c r="L144" s="192" t="s">
        <v>94</v>
      </c>
      <c r="M144" s="192" t="s">
        <v>94</v>
      </c>
      <c r="N144" s="192" t="s">
        <v>30</v>
      </c>
      <c r="O144" s="192" t="s">
        <v>12</v>
      </c>
      <c r="Q144" s="191">
        <v>7</v>
      </c>
      <c r="R144" s="191">
        <v>17</v>
      </c>
      <c r="S144" s="191">
        <v>17</v>
      </c>
      <c r="T144" s="191">
        <v>10</v>
      </c>
      <c r="U144" s="191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30</v>
      </c>
      <c r="L145" s="192" t="s">
        <v>28</v>
      </c>
      <c r="M145" s="192" t="s">
        <v>82</v>
      </c>
      <c r="N145" s="192" t="s">
        <v>30</v>
      </c>
      <c r="O145" s="192" t="s">
        <v>12</v>
      </c>
      <c r="Q145" s="191">
        <v>10</v>
      </c>
      <c r="R145" s="191">
        <v>9</v>
      </c>
      <c r="S145" s="191">
        <v>16</v>
      </c>
      <c r="T145" s="191">
        <v>10</v>
      </c>
      <c r="U145" s="191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31</v>
      </c>
      <c r="L146" s="192" t="s">
        <v>82</v>
      </c>
      <c r="M146" s="192" t="s">
        <v>96</v>
      </c>
      <c r="N146" s="192" t="s">
        <v>30</v>
      </c>
      <c r="O146" s="192" t="s">
        <v>95</v>
      </c>
      <c r="Q146" s="191">
        <v>7</v>
      </c>
      <c r="R146" s="191">
        <v>16</v>
      </c>
      <c r="S146" s="191">
        <v>15</v>
      </c>
      <c r="T146" s="191">
        <v>10</v>
      </c>
      <c r="U146" s="191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15</v>
      </c>
      <c r="M147" s="192" t="s">
        <v>81</v>
      </c>
      <c r="N147" s="192" t="s">
        <v>80</v>
      </c>
      <c r="O147" s="192" t="s">
        <v>12</v>
      </c>
      <c r="Q147" s="191">
        <v>7</v>
      </c>
      <c r="R147" s="191">
        <v>2</v>
      </c>
      <c r="S147" s="191">
        <v>14</v>
      </c>
      <c r="T147" s="191">
        <v>13</v>
      </c>
      <c r="U147" s="191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13</v>
      </c>
      <c r="L148" s="192" t="s">
        <v>16</v>
      </c>
      <c r="M148" s="192" t="s">
        <v>96</v>
      </c>
      <c r="N148" s="192" t="s">
        <v>96</v>
      </c>
      <c r="O148" s="192" t="s">
        <v>15</v>
      </c>
      <c r="Q148" s="191">
        <v>5</v>
      </c>
      <c r="R148" s="191">
        <v>3</v>
      </c>
      <c r="S148" s="191">
        <v>15</v>
      </c>
      <c r="T148" s="191">
        <v>15</v>
      </c>
      <c r="U148" s="191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79</v>
      </c>
      <c r="M149" s="192" t="s">
        <v>81</v>
      </c>
      <c r="N149" s="192" t="s">
        <v>94</v>
      </c>
      <c r="O149" s="192" t="s">
        <v>15</v>
      </c>
      <c r="Q149" s="191">
        <v>7</v>
      </c>
      <c r="R149" s="191">
        <v>12</v>
      </c>
      <c r="S149" s="191">
        <v>14</v>
      </c>
      <c r="T149" s="191">
        <v>17</v>
      </c>
      <c r="U149" s="191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31</v>
      </c>
      <c r="M150" s="192" t="s">
        <v>96</v>
      </c>
      <c r="N150" s="192" t="s">
        <v>12</v>
      </c>
      <c r="O150" s="192" t="s">
        <v>30</v>
      </c>
      <c r="Q150" s="191">
        <v>6</v>
      </c>
      <c r="R150" s="191">
        <v>7</v>
      </c>
      <c r="S150" s="191">
        <v>15</v>
      </c>
      <c r="T150" s="191">
        <v>4</v>
      </c>
      <c r="U150" s="191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30</v>
      </c>
      <c r="M151" s="192" t="s">
        <v>81</v>
      </c>
      <c r="N151" s="192" t="s">
        <v>79</v>
      </c>
      <c r="O151" s="192" t="s">
        <v>28</v>
      </c>
      <c r="Q151" s="191">
        <v>7</v>
      </c>
      <c r="R151" s="191">
        <v>10</v>
      </c>
      <c r="S151" s="191">
        <v>14</v>
      </c>
      <c r="T151" s="191">
        <v>12</v>
      </c>
      <c r="U151" s="191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31</v>
      </c>
      <c r="L152" s="192" t="s">
        <v>85</v>
      </c>
      <c r="M152" s="192" t="s">
        <v>82</v>
      </c>
      <c r="N152" s="192" t="s">
        <v>30</v>
      </c>
      <c r="O152" s="192" t="s">
        <v>12</v>
      </c>
      <c r="Q152" s="191">
        <v>7</v>
      </c>
      <c r="R152" s="191">
        <v>18</v>
      </c>
      <c r="S152" s="191">
        <v>16</v>
      </c>
      <c r="T152" s="191">
        <v>10</v>
      </c>
      <c r="U152" s="191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96</v>
      </c>
      <c r="M153" s="192" t="s">
        <v>96</v>
      </c>
      <c r="N153" s="192" t="s">
        <v>31</v>
      </c>
      <c r="O153" s="192" t="s">
        <v>15</v>
      </c>
      <c r="Q153" s="191">
        <v>6</v>
      </c>
      <c r="R153" s="191">
        <v>15</v>
      </c>
      <c r="S153" s="191">
        <v>15</v>
      </c>
      <c r="T153" s="191">
        <v>7</v>
      </c>
      <c r="U153" s="191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31</v>
      </c>
      <c r="M154" s="192" t="s">
        <v>94</v>
      </c>
      <c r="N154" s="192" t="s">
        <v>28</v>
      </c>
      <c r="O154" s="192" t="s">
        <v>16</v>
      </c>
      <c r="Q154" s="191">
        <v>7</v>
      </c>
      <c r="R154" s="191">
        <v>7</v>
      </c>
      <c r="S154" s="191">
        <v>17</v>
      </c>
      <c r="T154" s="191">
        <v>9</v>
      </c>
      <c r="U154" s="191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29</v>
      </c>
      <c r="M155" s="192" t="s">
        <v>96</v>
      </c>
      <c r="N155" s="192" t="s">
        <v>15</v>
      </c>
      <c r="O155" s="192" t="s">
        <v>30</v>
      </c>
      <c r="Q155" s="191">
        <v>5</v>
      </c>
      <c r="R155" s="191">
        <v>8</v>
      </c>
      <c r="S155" s="191">
        <v>15</v>
      </c>
      <c r="T155" s="191">
        <v>2</v>
      </c>
      <c r="U155" s="191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78</v>
      </c>
      <c r="M156" s="192" t="s">
        <v>94</v>
      </c>
      <c r="N156" s="192" t="s">
        <v>14</v>
      </c>
      <c r="O156" s="192" t="s">
        <v>28</v>
      </c>
      <c r="Q156" s="191">
        <v>7</v>
      </c>
      <c r="R156" s="191">
        <v>11</v>
      </c>
      <c r="S156" s="191">
        <v>17</v>
      </c>
      <c r="T156" s="191">
        <v>1</v>
      </c>
      <c r="U156" s="191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31</v>
      </c>
      <c r="M157" s="192" t="s">
        <v>96</v>
      </c>
      <c r="N157" s="192" t="s">
        <v>16</v>
      </c>
      <c r="O157" s="192" t="s">
        <v>12</v>
      </c>
      <c r="Q157" s="191">
        <v>6</v>
      </c>
      <c r="R157" s="191">
        <v>7</v>
      </c>
      <c r="S157" s="191">
        <v>15</v>
      </c>
      <c r="T157" s="191">
        <v>3</v>
      </c>
      <c r="U157" s="191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95</v>
      </c>
      <c r="M158" s="192" t="s">
        <v>82</v>
      </c>
      <c r="N158" s="192" t="s">
        <v>13</v>
      </c>
      <c r="O158" s="192" t="s">
        <v>95</v>
      </c>
      <c r="Q158" s="191">
        <v>5</v>
      </c>
      <c r="R158" s="191">
        <v>6</v>
      </c>
      <c r="S158" s="191">
        <v>16</v>
      </c>
      <c r="T158" s="191">
        <v>5</v>
      </c>
      <c r="U158" s="191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85</v>
      </c>
      <c r="M159" s="192" t="s">
        <v>94</v>
      </c>
      <c r="N159" s="192" t="s">
        <v>28</v>
      </c>
      <c r="O159" s="192" t="s">
        <v>15</v>
      </c>
      <c r="Q159" s="191">
        <v>8</v>
      </c>
      <c r="R159" s="191">
        <v>18</v>
      </c>
      <c r="S159" s="191">
        <v>17</v>
      </c>
      <c r="T159" s="191">
        <v>9</v>
      </c>
      <c r="U159" s="191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13</v>
      </c>
      <c r="L160" s="192" t="s">
        <v>94</v>
      </c>
      <c r="M160" s="192" t="s">
        <v>82</v>
      </c>
      <c r="N160" s="192" t="s">
        <v>28</v>
      </c>
      <c r="O160" s="192" t="s">
        <v>95</v>
      </c>
      <c r="Q160" s="191">
        <v>5</v>
      </c>
      <c r="R160" s="191">
        <v>17</v>
      </c>
      <c r="S160" s="191">
        <v>16</v>
      </c>
      <c r="T160" s="191">
        <v>9</v>
      </c>
      <c r="U160" s="191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95</v>
      </c>
      <c r="M161" s="192" t="s">
        <v>94</v>
      </c>
      <c r="N161" s="192" t="s">
        <v>12</v>
      </c>
      <c r="O161" s="192" t="s">
        <v>13</v>
      </c>
      <c r="Q161" s="191">
        <v>8</v>
      </c>
      <c r="R161" s="191">
        <v>6</v>
      </c>
      <c r="S161" s="191">
        <v>17</v>
      </c>
      <c r="T161" s="191">
        <v>4</v>
      </c>
      <c r="U161" s="191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31</v>
      </c>
      <c r="M162" s="192" t="s">
        <v>82</v>
      </c>
      <c r="N162" s="192" t="s">
        <v>79</v>
      </c>
      <c r="O162" s="192" t="s">
        <v>13</v>
      </c>
      <c r="Q162" s="191">
        <v>7</v>
      </c>
      <c r="R162" s="191">
        <v>7</v>
      </c>
      <c r="S162" s="191">
        <v>16</v>
      </c>
      <c r="T162" s="191">
        <v>12</v>
      </c>
      <c r="U162" s="191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95</v>
      </c>
      <c r="L163" s="192" t="s">
        <v>82</v>
      </c>
      <c r="M163" s="192" t="s">
        <v>94</v>
      </c>
      <c r="N163" s="192" t="s">
        <v>13</v>
      </c>
      <c r="O163" s="192" t="s">
        <v>30</v>
      </c>
      <c r="Q163" s="191">
        <v>6</v>
      </c>
      <c r="R163" s="191">
        <v>16</v>
      </c>
      <c r="S163" s="191">
        <v>17</v>
      </c>
      <c r="T163" s="191">
        <v>5</v>
      </c>
      <c r="U163" s="191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31</v>
      </c>
      <c r="M164" s="192" t="s">
        <v>81</v>
      </c>
      <c r="N164" s="192" t="s">
        <v>15</v>
      </c>
      <c r="O164" s="192" t="s">
        <v>16</v>
      </c>
      <c r="Q164" s="191">
        <v>5</v>
      </c>
      <c r="R164" s="191">
        <v>7</v>
      </c>
      <c r="S164" s="191">
        <v>14</v>
      </c>
      <c r="T164" s="191">
        <v>2</v>
      </c>
      <c r="U164" s="191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29</v>
      </c>
      <c r="L165" s="192" t="s">
        <v>78</v>
      </c>
      <c r="M165" s="192" t="s">
        <v>94</v>
      </c>
      <c r="N165" s="192" t="s">
        <v>29</v>
      </c>
      <c r="O165" s="192" t="s">
        <v>29</v>
      </c>
      <c r="Q165" s="191">
        <v>8</v>
      </c>
      <c r="R165" s="191">
        <v>11</v>
      </c>
      <c r="S165" s="191">
        <v>17</v>
      </c>
      <c r="T165" s="191">
        <v>8</v>
      </c>
      <c r="U165" s="191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31</v>
      </c>
      <c r="L166" s="192" t="s">
        <v>28</v>
      </c>
      <c r="M166" s="192" t="s">
        <v>81</v>
      </c>
      <c r="N166" s="192" t="s">
        <v>16</v>
      </c>
      <c r="O166" s="192" t="s">
        <v>16</v>
      </c>
      <c r="Q166" s="191">
        <v>7</v>
      </c>
      <c r="R166" s="191">
        <v>9</v>
      </c>
      <c r="S166" s="191">
        <v>14</v>
      </c>
      <c r="T166" s="191">
        <v>3</v>
      </c>
      <c r="U166" s="191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29</v>
      </c>
      <c r="M167" s="192" t="s">
        <v>82</v>
      </c>
      <c r="N167" s="192" t="s">
        <v>13</v>
      </c>
      <c r="O167" s="192" t="s">
        <v>16</v>
      </c>
      <c r="Q167" s="191">
        <v>8</v>
      </c>
      <c r="R167" s="191">
        <v>8</v>
      </c>
      <c r="S167" s="191">
        <v>16</v>
      </c>
      <c r="T167" s="191">
        <v>5</v>
      </c>
      <c r="U167" s="191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81</v>
      </c>
      <c r="M168" s="192" t="s">
        <v>94</v>
      </c>
      <c r="N168" s="192" t="s">
        <v>81</v>
      </c>
      <c r="O168" s="192" t="s">
        <v>30</v>
      </c>
      <c r="Q168" s="191">
        <v>5</v>
      </c>
      <c r="R168" s="191">
        <v>14</v>
      </c>
      <c r="S168" s="191">
        <v>17</v>
      </c>
      <c r="T168" s="191">
        <v>14</v>
      </c>
      <c r="U168" s="191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13</v>
      </c>
      <c r="L169" s="192" t="s">
        <v>31</v>
      </c>
      <c r="M169" s="192" t="s">
        <v>82</v>
      </c>
      <c r="N169" s="192" t="s">
        <v>30</v>
      </c>
      <c r="O169" s="192" t="s">
        <v>16</v>
      </c>
      <c r="Q169" s="191">
        <v>5</v>
      </c>
      <c r="R169" s="191">
        <v>7</v>
      </c>
      <c r="S169" s="191">
        <v>16</v>
      </c>
      <c r="T169" s="191">
        <v>10</v>
      </c>
      <c r="U169" s="191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95</v>
      </c>
      <c r="L170" s="192" t="s">
        <v>94</v>
      </c>
      <c r="M170" s="192" t="s">
        <v>81</v>
      </c>
      <c r="N170" s="192" t="s">
        <v>82</v>
      </c>
      <c r="O170" s="192" t="s">
        <v>95</v>
      </c>
      <c r="Q170" s="191">
        <v>6</v>
      </c>
      <c r="R170" s="191">
        <v>17</v>
      </c>
      <c r="S170" s="191">
        <v>14</v>
      </c>
      <c r="T170" s="191">
        <v>16</v>
      </c>
      <c r="U170" s="191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82</v>
      </c>
      <c r="N171" s="192" t="s">
        <v>28</v>
      </c>
      <c r="O171" s="192" t="s">
        <v>12</v>
      </c>
      <c r="Q171" s="191">
        <v>8</v>
      </c>
      <c r="R171" s="191">
        <v>8</v>
      </c>
      <c r="S171" s="191">
        <v>16</v>
      </c>
      <c r="T171" s="191">
        <v>9</v>
      </c>
      <c r="U171" s="191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95</v>
      </c>
      <c r="L172" s="192" t="s">
        <v>12</v>
      </c>
      <c r="M172" s="192" t="s">
        <v>94</v>
      </c>
      <c r="N172" s="192" t="s">
        <v>15</v>
      </c>
      <c r="O172" s="192" t="s">
        <v>28</v>
      </c>
      <c r="Q172" s="191">
        <v>6</v>
      </c>
      <c r="R172" s="191">
        <v>4</v>
      </c>
      <c r="S172" s="191">
        <v>17</v>
      </c>
      <c r="T172" s="191">
        <v>2</v>
      </c>
      <c r="U172" s="191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95</v>
      </c>
      <c r="M173" s="192" t="s">
        <v>96</v>
      </c>
      <c r="N173" s="192" t="s">
        <v>28</v>
      </c>
      <c r="O173" s="192" t="s">
        <v>12</v>
      </c>
      <c r="Q173" s="191">
        <v>6</v>
      </c>
      <c r="R173" s="191">
        <v>6</v>
      </c>
      <c r="S173" s="191">
        <v>15</v>
      </c>
      <c r="T173" s="191">
        <v>9</v>
      </c>
      <c r="U173" s="191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29</v>
      </c>
      <c r="L174" s="192" t="s">
        <v>80</v>
      </c>
      <c r="M174" s="192" t="s">
        <v>94</v>
      </c>
      <c r="N174" s="192" t="s">
        <v>30</v>
      </c>
      <c r="O174" s="192" t="s">
        <v>31</v>
      </c>
      <c r="Q174" s="191">
        <v>8</v>
      </c>
      <c r="R174" s="191">
        <v>13</v>
      </c>
      <c r="S174" s="191">
        <v>17</v>
      </c>
      <c r="T174" s="191">
        <v>10</v>
      </c>
      <c r="U174" s="191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94</v>
      </c>
      <c r="M175" s="192" t="s">
        <v>81</v>
      </c>
      <c r="N175" s="192" t="s">
        <v>12</v>
      </c>
      <c r="O175" s="192" t="s">
        <v>15</v>
      </c>
      <c r="Q175" s="191">
        <v>8</v>
      </c>
      <c r="R175" s="191">
        <v>17</v>
      </c>
      <c r="S175" s="191">
        <v>14</v>
      </c>
      <c r="T175" s="191">
        <v>4</v>
      </c>
      <c r="U175" s="191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29</v>
      </c>
      <c r="L176" s="192" t="s">
        <v>95</v>
      </c>
      <c r="M176" s="192" t="s">
        <v>94</v>
      </c>
      <c r="N176" s="192" t="s">
        <v>85</v>
      </c>
      <c r="O176" s="192" t="s">
        <v>28</v>
      </c>
      <c r="Q176" s="191">
        <v>8</v>
      </c>
      <c r="R176" s="191">
        <v>6</v>
      </c>
      <c r="S176" s="191">
        <v>17</v>
      </c>
      <c r="T176" s="191">
        <v>18</v>
      </c>
      <c r="U176" s="191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15</v>
      </c>
      <c r="M177" s="192" t="s">
        <v>96</v>
      </c>
      <c r="N177" s="192" t="s">
        <v>16</v>
      </c>
      <c r="O177" s="192" t="s">
        <v>95</v>
      </c>
      <c r="Q177" s="191">
        <v>7</v>
      </c>
      <c r="R177" s="191">
        <v>2</v>
      </c>
      <c r="S177" s="191">
        <v>15</v>
      </c>
      <c r="T177" s="191">
        <v>3</v>
      </c>
      <c r="U177" s="191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31</v>
      </c>
      <c r="L178" s="192" t="s">
        <v>81</v>
      </c>
      <c r="M178" s="192" t="s">
        <v>82</v>
      </c>
      <c r="N178" s="192" t="s">
        <v>28</v>
      </c>
      <c r="O178" s="192" t="s">
        <v>95</v>
      </c>
      <c r="Q178" s="191">
        <v>7</v>
      </c>
      <c r="R178" s="191">
        <v>14</v>
      </c>
      <c r="S178" s="191">
        <v>16</v>
      </c>
      <c r="T178" s="191">
        <v>9</v>
      </c>
      <c r="U178" s="191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95</v>
      </c>
      <c r="L179" s="192" t="s">
        <v>31</v>
      </c>
      <c r="M179" s="192" t="s">
        <v>80</v>
      </c>
      <c r="N179" s="192" t="s">
        <v>15</v>
      </c>
      <c r="O179" s="192" t="s">
        <v>12</v>
      </c>
      <c r="Q179" s="191">
        <v>6</v>
      </c>
      <c r="R179" s="191">
        <v>7</v>
      </c>
      <c r="S179" s="191">
        <v>13</v>
      </c>
      <c r="T179" s="191">
        <v>2</v>
      </c>
      <c r="U179" s="191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95</v>
      </c>
      <c r="L180" s="192" t="s">
        <v>29</v>
      </c>
      <c r="M180" s="192" t="s">
        <v>94</v>
      </c>
      <c r="N180" s="192" t="s">
        <v>28</v>
      </c>
      <c r="O180" s="192" t="s">
        <v>12</v>
      </c>
      <c r="Q180" s="191">
        <v>6</v>
      </c>
      <c r="R180" s="191">
        <v>8</v>
      </c>
      <c r="S180" s="191">
        <v>17</v>
      </c>
      <c r="T180" s="191">
        <v>9</v>
      </c>
      <c r="U180" s="191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13</v>
      </c>
      <c r="L181" s="192" t="s">
        <v>85</v>
      </c>
      <c r="M181" s="192" t="s">
        <v>79</v>
      </c>
      <c r="N181" s="192" t="s">
        <v>29</v>
      </c>
      <c r="O181" s="192" t="s">
        <v>29</v>
      </c>
      <c r="Q181" s="191">
        <v>5</v>
      </c>
      <c r="R181" s="191">
        <v>18</v>
      </c>
      <c r="S181" s="191">
        <v>12</v>
      </c>
      <c r="T181" s="191">
        <v>8</v>
      </c>
      <c r="U181" s="191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31</v>
      </c>
      <c r="L182" s="192" t="s">
        <v>29</v>
      </c>
      <c r="M182" s="192" t="s">
        <v>81</v>
      </c>
      <c r="N182" s="192" t="s">
        <v>29</v>
      </c>
      <c r="O182" s="192" t="s">
        <v>30</v>
      </c>
      <c r="Q182" s="191">
        <v>7</v>
      </c>
      <c r="R182" s="191">
        <v>8</v>
      </c>
      <c r="S182" s="191">
        <v>14</v>
      </c>
      <c r="T182" s="191">
        <v>8</v>
      </c>
      <c r="U182" s="191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95</v>
      </c>
      <c r="L183" s="192" t="s">
        <v>13</v>
      </c>
      <c r="M183" s="192" t="s">
        <v>96</v>
      </c>
      <c r="N183" s="192" t="s">
        <v>13</v>
      </c>
      <c r="O183" s="192" t="s">
        <v>15</v>
      </c>
      <c r="Q183" s="191">
        <v>6</v>
      </c>
      <c r="R183" s="191">
        <v>5</v>
      </c>
      <c r="S183" s="191">
        <v>15</v>
      </c>
      <c r="T183" s="191">
        <v>5</v>
      </c>
      <c r="U183" s="191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31</v>
      </c>
      <c r="L184" s="192" t="s">
        <v>94</v>
      </c>
      <c r="M184" s="192" t="s">
        <v>94</v>
      </c>
      <c r="N184" s="192" t="s">
        <v>12</v>
      </c>
      <c r="O184" s="192" t="s">
        <v>12</v>
      </c>
      <c r="Q184" s="191">
        <v>7</v>
      </c>
      <c r="R184" s="191">
        <v>17</v>
      </c>
      <c r="S184" s="191">
        <v>17</v>
      </c>
      <c r="T184" s="191">
        <v>4</v>
      </c>
      <c r="U184" s="191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13</v>
      </c>
      <c r="L185" s="192" t="s">
        <v>80</v>
      </c>
      <c r="M185" s="192" t="s">
        <v>82</v>
      </c>
      <c r="N185" s="192" t="s">
        <v>15</v>
      </c>
      <c r="O185" s="192" t="s">
        <v>30</v>
      </c>
      <c r="Q185" s="191">
        <v>5</v>
      </c>
      <c r="R185" s="191">
        <v>13</v>
      </c>
      <c r="S185" s="191">
        <v>16</v>
      </c>
      <c r="T185" s="191">
        <v>2</v>
      </c>
      <c r="U185" s="191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31</v>
      </c>
      <c r="L186" s="192" t="s">
        <v>95</v>
      </c>
      <c r="M186" s="192" t="s">
        <v>81</v>
      </c>
      <c r="N186" s="192" t="s">
        <v>15</v>
      </c>
      <c r="O186" s="192" t="s">
        <v>30</v>
      </c>
      <c r="Q186" s="191">
        <v>7</v>
      </c>
      <c r="R186" s="191">
        <v>6</v>
      </c>
      <c r="S186" s="191">
        <v>14</v>
      </c>
      <c r="T186" s="191">
        <v>2</v>
      </c>
      <c r="U186" s="191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95</v>
      </c>
      <c r="L187" s="192" t="s">
        <v>15</v>
      </c>
      <c r="M187" s="192" t="s">
        <v>96</v>
      </c>
      <c r="N187" s="192" t="s">
        <v>12</v>
      </c>
      <c r="O187" s="192" t="s">
        <v>28</v>
      </c>
      <c r="Q187" s="191">
        <v>6</v>
      </c>
      <c r="R187" s="191">
        <v>2</v>
      </c>
      <c r="S187" s="191">
        <v>15</v>
      </c>
      <c r="T187" s="191">
        <v>4</v>
      </c>
      <c r="U187" s="191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13</v>
      </c>
      <c r="L188" s="192" t="s">
        <v>96</v>
      </c>
      <c r="M188" s="192" t="s">
        <v>82</v>
      </c>
      <c r="N188" s="192" t="s">
        <v>12</v>
      </c>
      <c r="O188" s="192" t="s">
        <v>30</v>
      </c>
      <c r="Q188" s="191">
        <v>5</v>
      </c>
      <c r="R188" s="191">
        <v>15</v>
      </c>
      <c r="S188" s="191">
        <v>16</v>
      </c>
      <c r="T188" s="191">
        <v>4</v>
      </c>
      <c r="U188" s="191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95</v>
      </c>
      <c r="M189" s="192" t="s">
        <v>96</v>
      </c>
      <c r="N189" s="192" t="s">
        <v>12</v>
      </c>
      <c r="O189" s="192" t="s">
        <v>12</v>
      </c>
      <c r="Q189" s="191">
        <v>8</v>
      </c>
      <c r="R189" s="191">
        <v>6</v>
      </c>
      <c r="S189" s="191">
        <v>15</v>
      </c>
      <c r="T189" s="191">
        <v>4</v>
      </c>
      <c r="U189" s="191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31</v>
      </c>
      <c r="L190" s="192" t="s">
        <v>95</v>
      </c>
      <c r="M190" s="192" t="s">
        <v>81</v>
      </c>
      <c r="N190" s="192" t="s">
        <v>30</v>
      </c>
      <c r="O190" s="192" t="s">
        <v>12</v>
      </c>
      <c r="Q190" s="191">
        <v>7</v>
      </c>
      <c r="R190" s="191">
        <v>6</v>
      </c>
      <c r="S190" s="191">
        <v>14</v>
      </c>
      <c r="T190" s="191">
        <v>10</v>
      </c>
      <c r="U190" s="191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31</v>
      </c>
      <c r="M191" s="192" t="s">
        <v>94</v>
      </c>
      <c r="N191" s="192" t="s">
        <v>31</v>
      </c>
      <c r="O191" s="192" t="s">
        <v>13</v>
      </c>
      <c r="Q191" s="191">
        <v>8</v>
      </c>
      <c r="R191" s="191">
        <v>7</v>
      </c>
      <c r="S191" s="191">
        <v>17</v>
      </c>
      <c r="T191" s="191">
        <v>7</v>
      </c>
      <c r="U191" s="191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82</v>
      </c>
      <c r="M192" s="192" t="s">
        <v>81</v>
      </c>
      <c r="N192" s="192" t="s">
        <v>15</v>
      </c>
      <c r="O192" s="192" t="s">
        <v>31</v>
      </c>
      <c r="Q192" s="191">
        <v>5</v>
      </c>
      <c r="R192" s="191">
        <v>16</v>
      </c>
      <c r="S192" s="191">
        <v>14</v>
      </c>
      <c r="T192" s="191">
        <v>2</v>
      </c>
      <c r="U192" s="191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29</v>
      </c>
      <c r="M193" s="192" t="s">
        <v>96</v>
      </c>
      <c r="N193" s="192" t="s">
        <v>28</v>
      </c>
      <c r="O193" s="192" t="s">
        <v>12</v>
      </c>
      <c r="Q193" s="191">
        <v>5</v>
      </c>
      <c r="R193" s="191">
        <v>8</v>
      </c>
      <c r="S193" s="191">
        <v>15</v>
      </c>
      <c r="T193" s="191">
        <v>9</v>
      </c>
      <c r="U193" s="191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29</v>
      </c>
      <c r="M194" s="192" t="s">
        <v>82</v>
      </c>
      <c r="N194" s="192" t="s">
        <v>29</v>
      </c>
      <c r="O194" s="192" t="s">
        <v>30</v>
      </c>
      <c r="Q194" s="191">
        <v>8</v>
      </c>
      <c r="R194" s="191">
        <v>8</v>
      </c>
      <c r="S194" s="191">
        <v>16</v>
      </c>
      <c r="T194" s="191">
        <v>8</v>
      </c>
      <c r="U194" s="191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31</v>
      </c>
      <c r="L195" s="192" t="s">
        <v>94</v>
      </c>
      <c r="M195" s="192" t="s">
        <v>81</v>
      </c>
      <c r="N195" s="192" t="s">
        <v>16</v>
      </c>
      <c r="O195" s="192" t="s">
        <v>30</v>
      </c>
      <c r="Q195" s="191">
        <v>7</v>
      </c>
      <c r="R195" s="191">
        <v>17</v>
      </c>
      <c r="S195" s="191">
        <v>14</v>
      </c>
      <c r="T195" s="191">
        <v>3</v>
      </c>
      <c r="U195" s="191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95</v>
      </c>
      <c r="L196" s="192" t="s">
        <v>79</v>
      </c>
      <c r="M196" s="192" t="s">
        <v>94</v>
      </c>
      <c r="N196" s="192" t="s">
        <v>30</v>
      </c>
      <c r="O196" s="192" t="s">
        <v>28</v>
      </c>
      <c r="Q196" s="191">
        <v>6</v>
      </c>
      <c r="R196" s="191">
        <v>12</v>
      </c>
      <c r="S196" s="191">
        <v>17</v>
      </c>
      <c r="T196" s="191">
        <v>10</v>
      </c>
      <c r="U196" s="191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14</v>
      </c>
      <c r="M197" s="192" t="s">
        <v>78</v>
      </c>
      <c r="N197" s="192" t="s">
        <v>28</v>
      </c>
      <c r="O197" s="192" t="s">
        <v>12</v>
      </c>
      <c r="Q197" s="191">
        <v>5</v>
      </c>
      <c r="R197" s="191">
        <v>1</v>
      </c>
      <c r="S197" s="191">
        <v>11</v>
      </c>
      <c r="T197" s="191">
        <v>9</v>
      </c>
      <c r="U197" s="191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13</v>
      </c>
      <c r="L198" s="192" t="s">
        <v>95</v>
      </c>
      <c r="M198" s="192" t="s">
        <v>96</v>
      </c>
      <c r="N198" s="192" t="s">
        <v>30</v>
      </c>
      <c r="O198" s="192" t="s">
        <v>28</v>
      </c>
      <c r="Q198" s="191">
        <v>5</v>
      </c>
      <c r="R198" s="191">
        <v>6</v>
      </c>
      <c r="S198" s="191">
        <v>15</v>
      </c>
      <c r="T198" s="191">
        <v>10</v>
      </c>
      <c r="U198" s="191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31</v>
      </c>
      <c r="L199" s="192" t="s">
        <v>81</v>
      </c>
      <c r="M199" s="192" t="s">
        <v>82</v>
      </c>
      <c r="N199" s="192" t="s">
        <v>14</v>
      </c>
      <c r="O199" s="192" t="s">
        <v>28</v>
      </c>
      <c r="Q199" s="191">
        <v>7</v>
      </c>
      <c r="R199" s="191">
        <v>14</v>
      </c>
      <c r="S199" s="191">
        <v>16</v>
      </c>
      <c r="T199" s="191">
        <v>1</v>
      </c>
      <c r="U199" s="191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12</v>
      </c>
      <c r="M200" s="192" t="s">
        <v>96</v>
      </c>
      <c r="N200" s="192" t="s">
        <v>13</v>
      </c>
      <c r="O200" s="192" t="s">
        <v>31</v>
      </c>
      <c r="Q200" s="191">
        <v>5</v>
      </c>
      <c r="R200" s="191">
        <v>4</v>
      </c>
      <c r="S200" s="191">
        <v>15</v>
      </c>
      <c r="T200" s="191">
        <v>5</v>
      </c>
      <c r="U200" s="191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31</v>
      </c>
      <c r="L201" s="192" t="s">
        <v>12</v>
      </c>
      <c r="M201" s="192" t="s">
        <v>82</v>
      </c>
      <c r="N201" s="192" t="s">
        <v>29</v>
      </c>
      <c r="O201" s="192" t="s">
        <v>15</v>
      </c>
      <c r="Q201" s="191">
        <v>7</v>
      </c>
      <c r="R201" s="191">
        <v>4</v>
      </c>
      <c r="S201" s="191">
        <v>16</v>
      </c>
      <c r="T201" s="191">
        <v>8</v>
      </c>
      <c r="U201" s="191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13</v>
      </c>
      <c r="L202" s="192" t="s">
        <v>81</v>
      </c>
      <c r="M202" s="192" t="s">
        <v>96</v>
      </c>
      <c r="N202" s="192" t="s">
        <v>96</v>
      </c>
      <c r="O202" s="192" t="s">
        <v>13</v>
      </c>
      <c r="Q202" s="191">
        <v>5</v>
      </c>
      <c r="R202" s="191">
        <v>14</v>
      </c>
      <c r="S202" s="191">
        <v>15</v>
      </c>
      <c r="T202" s="191">
        <v>15</v>
      </c>
      <c r="U202" s="191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95</v>
      </c>
      <c r="M203" s="192" t="s">
        <v>82</v>
      </c>
      <c r="N203" s="192" t="s">
        <v>29</v>
      </c>
      <c r="O203" s="192" t="s">
        <v>30</v>
      </c>
      <c r="Q203" s="191">
        <v>7</v>
      </c>
      <c r="R203" s="191">
        <v>6</v>
      </c>
      <c r="S203" s="191">
        <v>16</v>
      </c>
      <c r="T203" s="191">
        <v>8</v>
      </c>
      <c r="U203" s="191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2" priority="78">
      <formula>_xlfn.LET(_xlpm.x, W4, AND(NOT(_xlfn.ISFORMULA(_xlpm.x)), _xlpm.x&lt;&gt;""))</formula>
    </cfRule>
  </conditionalFormatting>
  <conditionalFormatting sqref="W5:AA203 X4:AA4">
    <cfRule type="expression" dxfId="131" priority="73">
      <formula>_xlfn.LET(_xlpm.x, W4, AND(NOT(_xlfn.ISFORMULA(_xlpm.x)), _xlpm.x&lt;&gt;""))</formula>
    </cfRule>
  </conditionalFormatting>
  <conditionalFormatting sqref="W4:AA203">
    <cfRule type="expression" dxfId="130" priority="23">
      <formula>_xlfn.LET(_xlpm.x, W4, AND(NOT(_xlfn.ISFORMULA(_xlpm.x)), _xlpm.x&lt;&gt;""))</formula>
    </cfRule>
  </conditionalFormatting>
  <conditionalFormatting sqref="K1:K1048576">
    <cfRule type="cellIs" dxfId="129" priority="19" operator="equal">
      <formula>"C1"</formula>
    </cfRule>
    <cfRule type="cellIs" dxfId="128" priority="20" operator="between">
      <formula>"G1"</formula>
      <formula>"G5"</formula>
    </cfRule>
    <cfRule type="cellIs" dxfId="127" priority="22" operator="between">
      <formula>"M1"</formula>
      <formula>"M5"</formula>
    </cfRule>
  </conditionalFormatting>
  <conditionalFormatting sqref="L1:O1048576">
    <cfRule type="cellIs" dxfId="126" priority="15" operator="equal">
      <formula>"C1"</formula>
    </cfRule>
    <cfRule type="cellIs" dxfId="125" priority="16" operator="between">
      <formula>"G1"</formula>
      <formula>"G5"</formula>
    </cfRule>
    <cfRule type="cellIs" dxfId="124" priority="18" operator="between">
      <formula>"M1"</formula>
      <formula>"M5"</formula>
    </cfRule>
  </conditionalFormatting>
  <conditionalFormatting sqref="C28:G28 D27:G27 C29 C31:G46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23" priority="10" operator="equal">
      <formula>"C1"</formula>
    </cfRule>
    <cfRule type="cellIs" dxfId="122" priority="11" operator="between">
      <formula>"G1"</formula>
      <formula>"G4"</formula>
    </cfRule>
    <cfRule type="cellIs" dxfId="121" priority="12" operator="between">
      <formula>"GA"</formula>
      <formula>"GQ"</formula>
    </cfRule>
    <cfRule type="cellIs" dxfId="120" priority="13" operator="between">
      <formula>"M1"</formula>
      <formula>"M4"</formula>
    </cfRule>
  </conditionalFormatting>
  <conditionalFormatting sqref="E52:E54">
    <cfRule type="cellIs" dxfId="119" priority="6" operator="equal">
      <formula>"C1"</formula>
    </cfRule>
    <cfRule type="cellIs" dxfId="118" priority="7" operator="between">
      <formula>"G1"</formula>
      <formula>"G4"</formula>
    </cfRule>
    <cfRule type="cellIs" dxfId="117" priority="8" operator="between">
      <formula>"GA"</formula>
      <formula>"GQ"</formula>
    </cfRule>
    <cfRule type="cellIs" dxfId="116" priority="9" operator="between">
      <formula>"M1"</formula>
      <formula>"M4"</formula>
    </cfRule>
  </conditionalFormatting>
  <conditionalFormatting sqref="F52:F54">
    <cfRule type="cellIs" dxfId="115" priority="2" operator="equal">
      <formula>"C1"</formula>
    </cfRule>
    <cfRule type="cellIs" dxfId="114" priority="3" operator="between">
      <formula>"G1"</formula>
      <formula>"G4"</formula>
    </cfRule>
    <cfRule type="cellIs" dxfId="113" priority="4" operator="between">
      <formula>"GA"</formula>
      <formula>"GQ"</formula>
    </cfRule>
    <cfRule type="cellIs" dxfId="11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1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7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6</v>
      </c>
      <c r="D5" s="199">
        <v>6</v>
      </c>
      <c r="E5" s="199">
        <v>6</v>
      </c>
      <c r="F5" s="199">
        <v>9</v>
      </c>
      <c r="G5" s="199">
        <v>9</v>
      </c>
      <c r="H5" s="197">
        <v>1</v>
      </c>
      <c r="I5" s="82"/>
      <c r="J5" s="191">
        <v>1</v>
      </c>
      <c r="K5" s="192" t="s">
        <v>29</v>
      </c>
      <c r="L5" s="192" t="s">
        <v>87</v>
      </c>
      <c r="M5" s="192" t="s">
        <v>16</v>
      </c>
      <c r="N5" s="192" t="s">
        <v>31</v>
      </c>
      <c r="O5" s="192" t="s">
        <v>30</v>
      </c>
      <c r="Q5" s="191">
        <v>8</v>
      </c>
      <c r="R5" s="191">
        <v>19</v>
      </c>
      <c r="S5" s="191">
        <v>3</v>
      </c>
      <c r="T5" s="191">
        <v>7</v>
      </c>
      <c r="U5" s="191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14</v>
      </c>
      <c r="E6" s="198">
        <v>4</v>
      </c>
      <c r="F6" s="198">
        <v>21</v>
      </c>
      <c r="G6" s="198">
        <v>22</v>
      </c>
      <c r="H6" s="132">
        <v>2</v>
      </c>
      <c r="I6" s="82"/>
      <c r="J6" s="23">
        <v>2</v>
      </c>
      <c r="K6" s="192" t="s">
        <v>29</v>
      </c>
      <c r="L6" s="192" t="s">
        <v>79</v>
      </c>
      <c r="M6" s="192" t="s">
        <v>14</v>
      </c>
      <c r="N6" s="192" t="s">
        <v>30</v>
      </c>
      <c r="O6" s="192" t="s">
        <v>14</v>
      </c>
      <c r="Q6" s="191">
        <v>8</v>
      </c>
      <c r="R6" s="191">
        <v>12</v>
      </c>
      <c r="S6" s="191">
        <v>1</v>
      </c>
      <c r="T6" s="191">
        <v>10</v>
      </c>
      <c r="U6" s="191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13</v>
      </c>
      <c r="E7" s="198">
        <v>4</v>
      </c>
      <c r="F7" s="198">
        <v>20</v>
      </c>
      <c r="G7" s="198">
        <v>22</v>
      </c>
      <c r="H7" s="132">
        <v>3</v>
      </c>
      <c r="I7" s="82"/>
      <c r="J7" s="191">
        <v>3</v>
      </c>
      <c r="K7" s="192" t="s">
        <v>95</v>
      </c>
      <c r="L7" s="24" t="s">
        <v>95</v>
      </c>
      <c r="M7" s="192" t="s">
        <v>29</v>
      </c>
      <c r="N7" s="192" t="s">
        <v>16</v>
      </c>
      <c r="O7" s="192" t="s">
        <v>16</v>
      </c>
      <c r="Q7" s="191">
        <v>6</v>
      </c>
      <c r="R7" s="191">
        <v>6</v>
      </c>
      <c r="S7" s="191">
        <v>8</v>
      </c>
      <c r="T7" s="191">
        <v>3</v>
      </c>
      <c r="U7" s="191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97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13</v>
      </c>
      <c r="E8" s="198">
        <v>4</v>
      </c>
      <c r="F8" s="198">
        <v>20</v>
      </c>
      <c r="G8" s="198">
        <v>21</v>
      </c>
      <c r="H8" s="132">
        <v>4</v>
      </c>
      <c r="I8" s="82"/>
      <c r="J8" s="23">
        <v>4</v>
      </c>
      <c r="K8" s="192" t="s">
        <v>29</v>
      </c>
      <c r="L8" s="192" t="s">
        <v>95</v>
      </c>
      <c r="M8" s="192" t="s">
        <v>13</v>
      </c>
      <c r="N8" s="192" t="s">
        <v>80</v>
      </c>
      <c r="O8" s="192" t="s">
        <v>16</v>
      </c>
      <c r="Q8" s="191">
        <v>8</v>
      </c>
      <c r="R8" s="191">
        <v>6</v>
      </c>
      <c r="S8" s="191">
        <v>5</v>
      </c>
      <c r="T8" s="191">
        <v>13</v>
      </c>
      <c r="U8" s="191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2" t="s">
        <v>15</v>
      </c>
      <c r="AD8" s="198">
        <v>4</v>
      </c>
      <c r="AE8" s="198">
        <v>14</v>
      </c>
      <c r="AF8" s="198">
        <v>4</v>
      </c>
      <c r="AG8" s="198">
        <v>21</v>
      </c>
      <c r="AH8" s="198">
        <v>22</v>
      </c>
      <c r="AI8" s="5"/>
      <c r="AJ8" s="132" t="s">
        <v>15</v>
      </c>
      <c r="AK8" s="198">
        <v>4</v>
      </c>
      <c r="AL8" s="198">
        <v>14</v>
      </c>
      <c r="AM8" s="198">
        <v>4</v>
      </c>
      <c r="AN8" s="198">
        <v>21</v>
      </c>
      <c r="AO8" s="198">
        <v>22</v>
      </c>
    </row>
    <row r="9" spans="1:41" ht="15.9" customHeight="1">
      <c r="A9" s="198" t="s">
        <v>13</v>
      </c>
      <c r="B9" s="132" t="s">
        <v>13</v>
      </c>
      <c r="C9" s="198">
        <v>40</v>
      </c>
      <c r="D9" s="198">
        <v>9</v>
      </c>
      <c r="E9" s="198">
        <v>41</v>
      </c>
      <c r="F9" s="198">
        <v>14</v>
      </c>
      <c r="G9" s="198">
        <v>21</v>
      </c>
      <c r="H9" s="132">
        <v>5</v>
      </c>
      <c r="I9" s="82"/>
      <c r="J9" s="191">
        <v>5</v>
      </c>
      <c r="K9" s="192" t="s">
        <v>31</v>
      </c>
      <c r="L9" s="192" t="s">
        <v>94</v>
      </c>
      <c r="M9" s="192" t="s">
        <v>31</v>
      </c>
      <c r="N9" s="192" t="s">
        <v>30</v>
      </c>
      <c r="O9" s="192" t="s">
        <v>30</v>
      </c>
      <c r="Q9" s="191">
        <v>7</v>
      </c>
      <c r="R9" s="191">
        <v>17</v>
      </c>
      <c r="S9" s="191">
        <v>7</v>
      </c>
      <c r="T9" s="191">
        <v>10</v>
      </c>
      <c r="U9" s="191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2" t="s">
        <v>16</v>
      </c>
      <c r="AD9" s="198">
        <v>4</v>
      </c>
      <c r="AE9" s="198">
        <v>13</v>
      </c>
      <c r="AF9" s="198">
        <v>4</v>
      </c>
      <c r="AG9" s="198">
        <v>20</v>
      </c>
      <c r="AH9" s="198">
        <v>22</v>
      </c>
      <c r="AI9" s="5"/>
      <c r="AJ9" s="132" t="s">
        <v>16</v>
      </c>
      <c r="AK9" s="198">
        <v>4</v>
      </c>
      <c r="AL9" s="198">
        <v>13</v>
      </c>
      <c r="AM9" s="198">
        <v>4</v>
      </c>
      <c r="AN9" s="198">
        <v>20</v>
      </c>
      <c r="AO9" s="198">
        <v>22</v>
      </c>
    </row>
    <row r="10" spans="1:41" ht="15.9" customHeight="1">
      <c r="A10" s="198" t="s">
        <v>95</v>
      </c>
      <c r="B10" s="132" t="s">
        <v>95</v>
      </c>
      <c r="C10" s="198">
        <v>40</v>
      </c>
      <c r="D10" s="198">
        <v>13</v>
      </c>
      <c r="E10" s="198">
        <v>41</v>
      </c>
      <c r="F10" s="198">
        <v>14</v>
      </c>
      <c r="G10" s="198">
        <v>21</v>
      </c>
      <c r="H10" s="132">
        <v>6</v>
      </c>
      <c r="I10" s="82"/>
      <c r="J10" s="23">
        <v>6</v>
      </c>
      <c r="K10" s="192" t="s">
        <v>95</v>
      </c>
      <c r="L10" s="192" t="s">
        <v>95</v>
      </c>
      <c r="M10" s="192" t="s">
        <v>13</v>
      </c>
      <c r="N10" s="192" t="s">
        <v>30</v>
      </c>
      <c r="O10" s="192" t="s">
        <v>13</v>
      </c>
      <c r="Q10" s="191">
        <v>6</v>
      </c>
      <c r="R10" s="191">
        <v>6</v>
      </c>
      <c r="S10" s="191">
        <v>5</v>
      </c>
      <c r="T10" s="191">
        <v>10</v>
      </c>
      <c r="U10" s="191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2" t="s">
        <v>12</v>
      </c>
      <c r="AD10" s="198">
        <v>4</v>
      </c>
      <c r="AE10" s="198">
        <v>13</v>
      </c>
      <c r="AF10" s="198">
        <v>4</v>
      </c>
      <c r="AG10" s="198">
        <v>20</v>
      </c>
      <c r="AH10" s="198">
        <v>21</v>
      </c>
      <c r="AI10" s="5"/>
      <c r="AJ10" s="132" t="s">
        <v>12</v>
      </c>
      <c r="AK10" s="198">
        <v>4</v>
      </c>
      <c r="AL10" s="198">
        <v>13</v>
      </c>
      <c r="AM10" s="198">
        <v>4</v>
      </c>
      <c r="AN10" s="198">
        <v>20</v>
      </c>
      <c r="AO10" s="198">
        <v>21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10</v>
      </c>
      <c r="E11" s="198">
        <v>41</v>
      </c>
      <c r="F11" s="198">
        <v>14</v>
      </c>
      <c r="G11" s="198">
        <v>21</v>
      </c>
      <c r="H11" s="132">
        <v>7</v>
      </c>
      <c r="I11" s="82"/>
      <c r="J11" s="191">
        <v>7</v>
      </c>
      <c r="K11" s="192" t="s">
        <v>95</v>
      </c>
      <c r="L11" s="192" t="s">
        <v>95</v>
      </c>
      <c r="M11" s="192" t="s">
        <v>31</v>
      </c>
      <c r="N11" s="192" t="s">
        <v>31</v>
      </c>
      <c r="O11" s="192" t="s">
        <v>95</v>
      </c>
      <c r="Q11" s="191">
        <v>6</v>
      </c>
      <c r="R11" s="191">
        <v>6</v>
      </c>
      <c r="S11" s="191">
        <v>7</v>
      </c>
      <c r="T11" s="191">
        <v>7</v>
      </c>
      <c r="U11" s="191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2" t="s">
        <v>13</v>
      </c>
      <c r="AD11" s="198">
        <v>40</v>
      </c>
      <c r="AE11" s="198">
        <v>9</v>
      </c>
      <c r="AF11" s="198">
        <v>41</v>
      </c>
      <c r="AG11" s="198">
        <v>14</v>
      </c>
      <c r="AH11" s="198">
        <v>21</v>
      </c>
      <c r="AI11" s="5"/>
      <c r="AJ11" s="132" t="s">
        <v>13</v>
      </c>
      <c r="AK11" s="198">
        <v>40</v>
      </c>
      <c r="AL11" s="198">
        <v>9</v>
      </c>
      <c r="AM11" s="198">
        <v>41</v>
      </c>
      <c r="AN11" s="198">
        <v>14</v>
      </c>
      <c r="AO11" s="198">
        <v>21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10</v>
      </c>
      <c r="E12" s="198">
        <v>41</v>
      </c>
      <c r="F12" s="198">
        <v>14</v>
      </c>
      <c r="G12" s="198">
        <v>21</v>
      </c>
      <c r="H12" s="132">
        <v>8</v>
      </c>
      <c r="I12" s="82"/>
      <c r="J12" s="23">
        <v>8</v>
      </c>
      <c r="K12" s="192" t="s">
        <v>31</v>
      </c>
      <c r="L12" s="192" t="s">
        <v>79</v>
      </c>
      <c r="M12" s="192" t="s">
        <v>96</v>
      </c>
      <c r="N12" s="192" t="s">
        <v>12</v>
      </c>
      <c r="O12" s="192" t="s">
        <v>28</v>
      </c>
      <c r="Q12" s="191">
        <v>7</v>
      </c>
      <c r="R12" s="191">
        <v>12</v>
      </c>
      <c r="S12" s="191">
        <v>15</v>
      </c>
      <c r="T12" s="191">
        <v>4</v>
      </c>
      <c r="U12" s="191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2" t="s">
        <v>95</v>
      </c>
      <c r="AD12" s="198">
        <v>40</v>
      </c>
      <c r="AE12" s="198">
        <v>13</v>
      </c>
      <c r="AF12" s="198">
        <v>41</v>
      </c>
      <c r="AG12" s="198">
        <v>14</v>
      </c>
      <c r="AH12" s="198">
        <v>21</v>
      </c>
      <c r="AI12" s="5"/>
      <c r="AJ12" s="132" t="s">
        <v>95</v>
      </c>
      <c r="AK12" s="198">
        <v>40</v>
      </c>
      <c r="AL12" s="198">
        <v>13</v>
      </c>
      <c r="AM12" s="198">
        <v>41</v>
      </c>
      <c r="AN12" s="198">
        <v>14</v>
      </c>
      <c r="AO12" s="198">
        <v>21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15</v>
      </c>
      <c r="E13" s="198">
        <v>3</v>
      </c>
      <c r="F13" s="198">
        <v>21</v>
      </c>
      <c r="G13" s="198">
        <v>21</v>
      </c>
      <c r="H13" s="132">
        <v>9</v>
      </c>
      <c r="I13" s="82"/>
      <c r="J13" s="191">
        <v>9</v>
      </c>
      <c r="K13" s="192" t="s">
        <v>95</v>
      </c>
      <c r="L13" s="192" t="s">
        <v>14</v>
      </c>
      <c r="M13" s="192" t="s">
        <v>31</v>
      </c>
      <c r="N13" s="192" t="s">
        <v>95</v>
      </c>
      <c r="O13" s="192" t="s">
        <v>28</v>
      </c>
      <c r="Q13" s="191">
        <v>6</v>
      </c>
      <c r="R13" s="191">
        <v>1</v>
      </c>
      <c r="S13" s="191">
        <v>7</v>
      </c>
      <c r="T13" s="191">
        <v>6</v>
      </c>
      <c r="U13" s="191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2" t="s">
        <v>31</v>
      </c>
      <c r="AD13" s="198">
        <v>47</v>
      </c>
      <c r="AE13" s="198">
        <v>10</v>
      </c>
      <c r="AF13" s="198">
        <v>41</v>
      </c>
      <c r="AG13" s="198">
        <v>14</v>
      </c>
      <c r="AH13" s="198">
        <v>21</v>
      </c>
      <c r="AI13" s="5"/>
      <c r="AJ13" s="132" t="s">
        <v>31</v>
      </c>
      <c r="AK13" s="198">
        <v>47</v>
      </c>
      <c r="AL13" s="198">
        <v>10</v>
      </c>
      <c r="AM13" s="198">
        <v>41</v>
      </c>
      <c r="AN13" s="198">
        <v>14</v>
      </c>
      <c r="AO13" s="198">
        <v>21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17</v>
      </c>
      <c r="E14" s="198">
        <v>3</v>
      </c>
      <c r="F14" s="198">
        <v>21</v>
      </c>
      <c r="G14" s="198">
        <v>21</v>
      </c>
      <c r="H14" s="132">
        <v>10</v>
      </c>
      <c r="I14" s="82"/>
      <c r="J14" s="23">
        <v>10</v>
      </c>
      <c r="K14" s="192" t="s">
        <v>29</v>
      </c>
      <c r="L14" s="192" t="s">
        <v>31</v>
      </c>
      <c r="M14" s="192" t="s">
        <v>29</v>
      </c>
      <c r="N14" s="192" t="s">
        <v>16</v>
      </c>
      <c r="O14" s="192" t="s">
        <v>15</v>
      </c>
      <c r="Q14" s="191">
        <v>8</v>
      </c>
      <c r="R14" s="191">
        <v>7</v>
      </c>
      <c r="S14" s="191">
        <v>8</v>
      </c>
      <c r="T14" s="191">
        <v>3</v>
      </c>
      <c r="U14" s="191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2" t="s">
        <v>29</v>
      </c>
      <c r="AD14" s="198">
        <v>47</v>
      </c>
      <c r="AE14" s="198">
        <v>10</v>
      </c>
      <c r="AF14" s="198">
        <v>41</v>
      </c>
      <c r="AG14" s="198">
        <v>14</v>
      </c>
      <c r="AH14" s="198">
        <v>21</v>
      </c>
      <c r="AI14" s="5"/>
      <c r="AJ14" s="132" t="s">
        <v>29</v>
      </c>
      <c r="AK14" s="198">
        <v>47</v>
      </c>
      <c r="AL14" s="198">
        <v>10</v>
      </c>
      <c r="AM14" s="198">
        <v>41</v>
      </c>
      <c r="AN14" s="198">
        <v>14</v>
      </c>
      <c r="AO14" s="198">
        <v>21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10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87</v>
      </c>
      <c r="M15" s="192" t="s">
        <v>95</v>
      </c>
      <c r="N15" s="192" t="s">
        <v>12</v>
      </c>
      <c r="O15" s="192" t="s">
        <v>12</v>
      </c>
      <c r="Q15" s="191">
        <v>6</v>
      </c>
      <c r="R15" s="191">
        <v>19</v>
      </c>
      <c r="S15" s="191">
        <v>6</v>
      </c>
      <c r="T15" s="191">
        <v>4</v>
      </c>
      <c r="U15" s="191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2" t="s">
        <v>28</v>
      </c>
      <c r="AD15" s="198">
        <v>4</v>
      </c>
      <c r="AE15" s="198">
        <v>15</v>
      </c>
      <c r="AF15" s="198">
        <v>3</v>
      </c>
      <c r="AG15" s="198">
        <v>21</v>
      </c>
      <c r="AH15" s="198">
        <v>21</v>
      </c>
      <c r="AI15" s="5"/>
      <c r="AJ15" s="132" t="s">
        <v>28</v>
      </c>
      <c r="AK15" s="198">
        <v>4</v>
      </c>
      <c r="AL15" s="198">
        <v>15</v>
      </c>
      <c r="AM15" s="198">
        <v>3</v>
      </c>
      <c r="AN15" s="198">
        <v>21</v>
      </c>
      <c r="AO15" s="198">
        <v>21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12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85</v>
      </c>
      <c r="M16" s="192" t="s">
        <v>95</v>
      </c>
      <c r="N16" s="192" t="s">
        <v>30</v>
      </c>
      <c r="O16" s="192" t="s">
        <v>12</v>
      </c>
      <c r="Q16" s="191">
        <v>5</v>
      </c>
      <c r="R16" s="191">
        <v>18</v>
      </c>
      <c r="S16" s="191">
        <v>6</v>
      </c>
      <c r="T16" s="191">
        <v>10</v>
      </c>
      <c r="U16" s="191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2" t="s">
        <v>30</v>
      </c>
      <c r="AD16" s="198">
        <v>4</v>
      </c>
      <c r="AE16" s="198">
        <v>17</v>
      </c>
      <c r="AF16" s="198">
        <v>3</v>
      </c>
      <c r="AG16" s="198">
        <v>21</v>
      </c>
      <c r="AH16" s="198">
        <v>21</v>
      </c>
      <c r="AI16" s="5"/>
      <c r="AJ16" s="132" t="s">
        <v>30</v>
      </c>
      <c r="AK16" s="198">
        <v>4</v>
      </c>
      <c r="AL16" s="198">
        <v>17</v>
      </c>
      <c r="AM16" s="198">
        <v>3</v>
      </c>
      <c r="AN16" s="198">
        <v>21</v>
      </c>
      <c r="AO16" s="198">
        <v>21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12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95</v>
      </c>
      <c r="M17" s="192" t="s">
        <v>15</v>
      </c>
      <c r="N17" s="192" t="s">
        <v>30</v>
      </c>
      <c r="O17" s="192" t="s">
        <v>16</v>
      </c>
      <c r="Q17" s="191">
        <v>5</v>
      </c>
      <c r="R17" s="191">
        <v>6</v>
      </c>
      <c r="S17" s="191">
        <v>2</v>
      </c>
      <c r="T17" s="191">
        <v>10</v>
      </c>
      <c r="U17" s="191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97" t="s">
        <v>78</v>
      </c>
      <c r="AD17" s="199">
        <v>0</v>
      </c>
      <c r="AE17" s="199">
        <v>15</v>
      </c>
      <c r="AF17" s="199">
        <v>0</v>
      </c>
      <c r="AG17" s="199">
        <v>6</v>
      </c>
      <c r="AH17" s="199">
        <v>0</v>
      </c>
      <c r="AI17" s="5"/>
      <c r="AJ17" s="197" t="s">
        <v>78</v>
      </c>
      <c r="AK17" s="199">
        <v>0</v>
      </c>
      <c r="AL17" s="199">
        <v>15</v>
      </c>
      <c r="AM17" s="199">
        <v>0</v>
      </c>
      <c r="AN17" s="199">
        <v>6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9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78</v>
      </c>
      <c r="M18" s="192" t="s">
        <v>29</v>
      </c>
      <c r="N18" s="192" t="s">
        <v>29</v>
      </c>
      <c r="O18" s="192" t="s">
        <v>16</v>
      </c>
      <c r="Q18" s="191">
        <v>6</v>
      </c>
      <c r="R18" s="191">
        <v>11</v>
      </c>
      <c r="S18" s="191">
        <v>8</v>
      </c>
      <c r="T18" s="191">
        <v>8</v>
      </c>
      <c r="U18" s="191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97" t="s">
        <v>79</v>
      </c>
      <c r="AD18" s="199">
        <v>0</v>
      </c>
      <c r="AE18" s="199">
        <v>18</v>
      </c>
      <c r="AF18" s="199">
        <v>0</v>
      </c>
      <c r="AG18" s="199">
        <v>6</v>
      </c>
      <c r="AH18" s="199">
        <v>0</v>
      </c>
      <c r="AI18" s="5"/>
      <c r="AJ18" s="197" t="s">
        <v>79</v>
      </c>
      <c r="AK18" s="199">
        <v>0</v>
      </c>
      <c r="AL18" s="199">
        <v>18</v>
      </c>
      <c r="AM18" s="199">
        <v>0</v>
      </c>
      <c r="AN18" s="199">
        <v>6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5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16</v>
      </c>
      <c r="M19" s="192" t="s">
        <v>31</v>
      </c>
      <c r="N19" s="192" t="s">
        <v>15</v>
      </c>
      <c r="O19" s="192" t="s">
        <v>31</v>
      </c>
      <c r="Q19" s="191">
        <v>7</v>
      </c>
      <c r="R19" s="191">
        <v>3</v>
      </c>
      <c r="S19" s="191">
        <v>7</v>
      </c>
      <c r="T19" s="191">
        <v>2</v>
      </c>
      <c r="U19" s="191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97" t="s">
        <v>80</v>
      </c>
      <c r="AD19" s="199">
        <v>0</v>
      </c>
      <c r="AE19" s="199">
        <v>18</v>
      </c>
      <c r="AF19" s="199">
        <v>0</v>
      </c>
      <c r="AG19" s="199">
        <v>6</v>
      </c>
      <c r="AH19" s="199">
        <v>0</v>
      </c>
      <c r="AI19" s="5"/>
      <c r="AJ19" s="197" t="s">
        <v>80</v>
      </c>
      <c r="AK19" s="199">
        <v>0</v>
      </c>
      <c r="AL19" s="199">
        <v>18</v>
      </c>
      <c r="AM19" s="199">
        <v>0</v>
      </c>
      <c r="AN19" s="199">
        <v>6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7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16</v>
      </c>
      <c r="L20" s="192" t="s">
        <v>78</v>
      </c>
      <c r="M20" s="192" t="s">
        <v>15</v>
      </c>
      <c r="N20" s="192" t="s">
        <v>85</v>
      </c>
      <c r="O20" s="192" t="s">
        <v>13</v>
      </c>
      <c r="Q20" s="191">
        <v>3</v>
      </c>
      <c r="R20" s="191">
        <v>11</v>
      </c>
      <c r="S20" s="191">
        <v>2</v>
      </c>
      <c r="T20" s="191">
        <v>18</v>
      </c>
      <c r="U20" s="191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97" t="s">
        <v>81</v>
      </c>
      <c r="AD20" s="199">
        <v>0</v>
      </c>
      <c r="AE20" s="199">
        <v>13</v>
      </c>
      <c r="AF20" s="199">
        <v>4</v>
      </c>
      <c r="AG20" s="199">
        <v>4</v>
      </c>
      <c r="AH20" s="199">
        <v>0</v>
      </c>
      <c r="AI20" s="5"/>
      <c r="AJ20" s="197" t="s">
        <v>81</v>
      </c>
      <c r="AK20" s="199">
        <v>0</v>
      </c>
      <c r="AL20" s="199">
        <v>13</v>
      </c>
      <c r="AM20" s="199">
        <v>4</v>
      </c>
      <c r="AN20" s="199">
        <v>4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7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96</v>
      </c>
      <c r="M21" s="192" t="s">
        <v>30</v>
      </c>
      <c r="N21" s="192" t="s">
        <v>28</v>
      </c>
      <c r="O21" s="192" t="s">
        <v>95</v>
      </c>
      <c r="Q21" s="191">
        <v>7</v>
      </c>
      <c r="R21" s="191">
        <v>15</v>
      </c>
      <c r="S21" s="191">
        <v>10</v>
      </c>
      <c r="T21" s="191">
        <v>9</v>
      </c>
      <c r="U21" s="191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97" t="s">
        <v>96</v>
      </c>
      <c r="AD21" s="199">
        <v>0</v>
      </c>
      <c r="AE21" s="199">
        <v>7</v>
      </c>
      <c r="AF21" s="199">
        <v>4</v>
      </c>
      <c r="AG21" s="199">
        <v>4</v>
      </c>
      <c r="AH21" s="199">
        <v>0</v>
      </c>
      <c r="AI21" s="5"/>
      <c r="AJ21" s="197" t="s">
        <v>96</v>
      </c>
      <c r="AK21" s="199">
        <v>0</v>
      </c>
      <c r="AL21" s="199">
        <v>7</v>
      </c>
      <c r="AM21" s="199">
        <v>4</v>
      </c>
      <c r="AN21" s="199">
        <v>4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10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95</v>
      </c>
      <c r="M22" s="192" t="s">
        <v>29</v>
      </c>
      <c r="N22" s="192" t="s">
        <v>12</v>
      </c>
      <c r="O22" s="192" t="s">
        <v>15</v>
      </c>
      <c r="Q22" s="191">
        <v>8</v>
      </c>
      <c r="R22" s="191">
        <v>6</v>
      </c>
      <c r="S22" s="191">
        <v>8</v>
      </c>
      <c r="T22" s="191">
        <v>4</v>
      </c>
      <c r="U22" s="191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97" t="s">
        <v>82</v>
      </c>
      <c r="AD22" s="199">
        <v>0</v>
      </c>
      <c r="AE22" s="199">
        <v>10</v>
      </c>
      <c r="AF22" s="199">
        <v>4</v>
      </c>
      <c r="AG22" s="199">
        <v>4</v>
      </c>
      <c r="AH22" s="199">
        <v>0</v>
      </c>
      <c r="AI22" s="5"/>
      <c r="AJ22" s="197" t="s">
        <v>82</v>
      </c>
      <c r="AK22" s="199">
        <v>0</v>
      </c>
      <c r="AL22" s="199">
        <v>10</v>
      </c>
      <c r="AM22" s="199">
        <v>4</v>
      </c>
      <c r="AN22" s="199">
        <v>4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8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95</v>
      </c>
      <c r="L23" s="192" t="s">
        <v>13</v>
      </c>
      <c r="M23" s="192" t="s">
        <v>95</v>
      </c>
      <c r="N23" s="192" t="s">
        <v>82</v>
      </c>
      <c r="O23" s="192" t="s">
        <v>15</v>
      </c>
      <c r="Q23" s="191">
        <v>6</v>
      </c>
      <c r="R23" s="191">
        <v>5</v>
      </c>
      <c r="S23" s="191">
        <v>6</v>
      </c>
      <c r="T23" s="191">
        <v>16</v>
      </c>
      <c r="U23" s="191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97" t="s">
        <v>94</v>
      </c>
      <c r="AD23" s="199">
        <v>0</v>
      </c>
      <c r="AE23" s="199">
        <v>10</v>
      </c>
      <c r="AF23" s="199">
        <v>4</v>
      </c>
      <c r="AG23" s="199">
        <v>4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</v>
      </c>
      <c r="AN23" s="199">
        <v>4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94</v>
      </c>
      <c r="M24" s="192" t="s">
        <v>31</v>
      </c>
      <c r="N24" s="192" t="s">
        <v>28</v>
      </c>
      <c r="O24" s="192" t="s">
        <v>13</v>
      </c>
      <c r="Q24" s="191">
        <v>7</v>
      </c>
      <c r="R24" s="191">
        <v>17</v>
      </c>
      <c r="S24" s="191">
        <v>7</v>
      </c>
      <c r="T24" s="191">
        <v>9</v>
      </c>
      <c r="U24" s="191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97" t="s">
        <v>85</v>
      </c>
      <c r="AD24" s="199">
        <v>0</v>
      </c>
      <c r="AE24" s="199">
        <v>15</v>
      </c>
      <c r="AF24" s="199">
        <v>0</v>
      </c>
      <c r="AG24" s="199">
        <v>6</v>
      </c>
      <c r="AH24" s="199">
        <v>0</v>
      </c>
      <c r="AI24" s="5"/>
      <c r="AJ24" s="197" t="s">
        <v>85</v>
      </c>
      <c r="AK24" s="199">
        <v>0</v>
      </c>
      <c r="AL24" s="199">
        <v>15</v>
      </c>
      <c r="AM24" s="199">
        <v>0</v>
      </c>
      <c r="AN24" s="199">
        <v>6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94</v>
      </c>
      <c r="M25" s="192" t="s">
        <v>12</v>
      </c>
      <c r="N25" s="192" t="s">
        <v>15</v>
      </c>
      <c r="O25" s="192" t="s">
        <v>15</v>
      </c>
      <c r="Q25" s="191">
        <v>8</v>
      </c>
      <c r="R25" s="191">
        <v>17</v>
      </c>
      <c r="S25" s="191">
        <v>4</v>
      </c>
      <c r="T25" s="191">
        <v>2</v>
      </c>
      <c r="U25" s="191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97" t="s">
        <v>87</v>
      </c>
      <c r="AD25" s="199">
        <v>0</v>
      </c>
      <c r="AE25" s="199">
        <v>12</v>
      </c>
      <c r="AF25" s="199">
        <v>0</v>
      </c>
      <c r="AG25" s="199">
        <v>6</v>
      </c>
      <c r="AH25" s="199">
        <v>0</v>
      </c>
      <c r="AI25" s="5"/>
      <c r="AJ25" s="197" t="s">
        <v>87</v>
      </c>
      <c r="AK25" s="199">
        <v>0</v>
      </c>
      <c r="AL25" s="199">
        <v>12</v>
      </c>
      <c r="AM25" s="199">
        <v>0</v>
      </c>
      <c r="AN25" s="199">
        <v>6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0.6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29</v>
      </c>
      <c r="L26" s="192" t="s">
        <v>16</v>
      </c>
      <c r="M26" s="192" t="s">
        <v>29</v>
      </c>
      <c r="N26" s="192" t="s">
        <v>31</v>
      </c>
      <c r="O26" s="192" t="s">
        <v>13</v>
      </c>
      <c r="Q26" s="191">
        <v>8</v>
      </c>
      <c r="R26" s="191">
        <v>3</v>
      </c>
      <c r="S26" s="191">
        <v>8</v>
      </c>
      <c r="T26" s="191">
        <v>7</v>
      </c>
      <c r="U26" s="191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1">
        <v>194</v>
      </c>
      <c r="AE26" s="101">
        <v>238</v>
      </c>
      <c r="AF26" s="101">
        <v>198</v>
      </c>
      <c r="AG26" s="101">
        <v>214</v>
      </c>
      <c r="AH26" s="101">
        <v>191</v>
      </c>
      <c r="AI26" s="5"/>
      <c r="AK26" s="101">
        <v>194</v>
      </c>
      <c r="AL26" s="101">
        <v>238</v>
      </c>
      <c r="AM26" s="101">
        <v>198</v>
      </c>
      <c r="AN26" s="101">
        <v>214</v>
      </c>
      <c r="AO26" s="101">
        <v>191</v>
      </c>
    </row>
    <row r="27" spans="1:41" ht="16.5" customHeight="1">
      <c r="B27" s="5" t="s">
        <v>316</v>
      </c>
      <c r="C27" s="5">
        <v>0</v>
      </c>
      <c r="D27" s="154">
        <v>0.4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29</v>
      </c>
      <c r="L27" s="192" t="s">
        <v>12</v>
      </c>
      <c r="M27" s="192" t="s">
        <v>95</v>
      </c>
      <c r="N27" s="192" t="s">
        <v>14</v>
      </c>
      <c r="O27" s="192" t="s">
        <v>95</v>
      </c>
      <c r="Q27" s="191">
        <v>8</v>
      </c>
      <c r="R27" s="191">
        <v>4</v>
      </c>
      <c r="S27" s="191">
        <v>6</v>
      </c>
      <c r="T27" s="191">
        <v>1</v>
      </c>
      <c r="U27" s="191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13</v>
      </c>
      <c r="L28" s="192" t="s">
        <v>80</v>
      </c>
      <c r="M28" s="192" t="s">
        <v>28</v>
      </c>
      <c r="N28" s="192" t="s">
        <v>87</v>
      </c>
      <c r="O28" s="192" t="s">
        <v>29</v>
      </c>
      <c r="Q28" s="191">
        <v>5</v>
      </c>
      <c r="R28" s="191">
        <v>13</v>
      </c>
      <c r="S28" s="191">
        <v>9</v>
      </c>
      <c r="T28" s="191">
        <v>19</v>
      </c>
      <c r="U28" s="191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29</v>
      </c>
      <c r="M29" s="192" t="s">
        <v>29</v>
      </c>
      <c r="N29" s="192" t="s">
        <v>12</v>
      </c>
      <c r="O29" s="192" t="s">
        <v>12</v>
      </c>
      <c r="Q29" s="191">
        <v>8</v>
      </c>
      <c r="R29" s="191">
        <v>8</v>
      </c>
      <c r="S29" s="191">
        <v>8</v>
      </c>
      <c r="T29" s="191">
        <v>4</v>
      </c>
      <c r="U29" s="191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29</v>
      </c>
      <c r="M30" s="192" t="s">
        <v>95</v>
      </c>
      <c r="N30" s="192" t="s">
        <v>30</v>
      </c>
      <c r="O30" s="192" t="s">
        <v>95</v>
      </c>
      <c r="Q30" s="191">
        <v>7</v>
      </c>
      <c r="R30" s="191">
        <v>8</v>
      </c>
      <c r="S30" s="191">
        <v>6</v>
      </c>
      <c r="T30" s="191">
        <v>10</v>
      </c>
      <c r="U30" s="191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13</v>
      </c>
      <c r="L31" s="192" t="s">
        <v>85</v>
      </c>
      <c r="M31" s="192" t="s">
        <v>31</v>
      </c>
      <c r="N31" s="192" t="s">
        <v>87</v>
      </c>
      <c r="O31" s="192" t="s">
        <v>28</v>
      </c>
      <c r="Q31" s="191">
        <v>5</v>
      </c>
      <c r="R31" s="191">
        <v>18</v>
      </c>
      <c r="S31" s="191">
        <v>7</v>
      </c>
      <c r="T31" s="191">
        <v>19</v>
      </c>
      <c r="U31" s="191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29</v>
      </c>
      <c r="L32" s="192" t="s">
        <v>81</v>
      </c>
      <c r="M32" s="192" t="s">
        <v>95</v>
      </c>
      <c r="N32" s="192" t="s">
        <v>78</v>
      </c>
      <c r="O32" s="192" t="s">
        <v>28</v>
      </c>
      <c r="Q32" s="191">
        <v>8</v>
      </c>
      <c r="R32" s="191">
        <v>14</v>
      </c>
      <c r="S32" s="191">
        <v>6</v>
      </c>
      <c r="T32" s="191">
        <v>11</v>
      </c>
      <c r="U32" s="191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2" t="s">
        <v>15</v>
      </c>
      <c r="AD32" s="198">
        <v>4</v>
      </c>
      <c r="AE32" s="198">
        <v>14</v>
      </c>
      <c r="AF32" s="198">
        <v>4</v>
      </c>
      <c r="AG32" s="198">
        <v>21</v>
      </c>
      <c r="AH32" s="198">
        <v>22</v>
      </c>
      <c r="AI32" s="5"/>
      <c r="AJ32" s="132" t="s">
        <v>15</v>
      </c>
      <c r="AK32" s="198">
        <v>4</v>
      </c>
      <c r="AL32" s="198">
        <v>14</v>
      </c>
      <c r="AM32" s="198">
        <v>4</v>
      </c>
      <c r="AN32" s="198">
        <v>21</v>
      </c>
      <c r="AO32" s="198">
        <v>22</v>
      </c>
    </row>
    <row r="33" spans="10:41" ht="16.5" customHeight="1">
      <c r="J33" s="191">
        <v>29</v>
      </c>
      <c r="K33" s="192" t="s">
        <v>15</v>
      </c>
      <c r="L33" s="192" t="s">
        <v>80</v>
      </c>
      <c r="M33" s="192" t="s">
        <v>13</v>
      </c>
      <c r="N33" s="192" t="s">
        <v>16</v>
      </c>
      <c r="O33" s="192" t="s">
        <v>15</v>
      </c>
      <c r="Q33" s="191">
        <v>2</v>
      </c>
      <c r="R33" s="191">
        <v>13</v>
      </c>
      <c r="S33" s="191">
        <v>5</v>
      </c>
      <c r="T33" s="191">
        <v>3</v>
      </c>
      <c r="U33" s="191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2" t="s">
        <v>16</v>
      </c>
      <c r="AD33" s="198">
        <v>4</v>
      </c>
      <c r="AE33" s="198">
        <v>13</v>
      </c>
      <c r="AF33" s="198">
        <v>4</v>
      </c>
      <c r="AG33" s="198">
        <v>20</v>
      </c>
      <c r="AH33" s="198">
        <v>22</v>
      </c>
      <c r="AI33" s="5"/>
      <c r="AJ33" s="132" t="s">
        <v>16</v>
      </c>
      <c r="AK33" s="198">
        <v>4</v>
      </c>
      <c r="AL33" s="198">
        <v>13</v>
      </c>
      <c r="AM33" s="198">
        <v>4</v>
      </c>
      <c r="AN33" s="198">
        <v>20</v>
      </c>
      <c r="AO33" s="198">
        <v>22</v>
      </c>
    </row>
    <row r="34" spans="10:41" ht="16.5" customHeight="1">
      <c r="J34" s="23">
        <v>30</v>
      </c>
      <c r="K34" s="192" t="s">
        <v>29</v>
      </c>
      <c r="L34" s="192" t="s">
        <v>30</v>
      </c>
      <c r="M34" s="192" t="s">
        <v>29</v>
      </c>
      <c r="N34" s="192" t="s">
        <v>15</v>
      </c>
      <c r="O34" s="192" t="s">
        <v>15</v>
      </c>
      <c r="Q34" s="191">
        <v>8</v>
      </c>
      <c r="R34" s="191">
        <v>10</v>
      </c>
      <c r="S34" s="191">
        <v>8</v>
      </c>
      <c r="T34" s="191">
        <v>2</v>
      </c>
      <c r="U34" s="191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2" t="s">
        <v>12</v>
      </c>
      <c r="AD34" s="198">
        <v>4</v>
      </c>
      <c r="AE34" s="198">
        <v>13</v>
      </c>
      <c r="AF34" s="198">
        <v>4</v>
      </c>
      <c r="AG34" s="198">
        <v>20</v>
      </c>
      <c r="AH34" s="198">
        <v>21</v>
      </c>
      <c r="AI34" s="5"/>
      <c r="AJ34" s="132" t="s">
        <v>12</v>
      </c>
      <c r="AK34" s="198">
        <v>4</v>
      </c>
      <c r="AL34" s="198">
        <v>13</v>
      </c>
      <c r="AM34" s="198">
        <v>4</v>
      </c>
      <c r="AN34" s="198">
        <v>20</v>
      </c>
      <c r="AO34" s="198">
        <v>21</v>
      </c>
    </row>
    <row r="35" spans="10:41" ht="16.5" customHeight="1">
      <c r="J35" s="191">
        <v>31</v>
      </c>
      <c r="K35" s="192" t="s">
        <v>13</v>
      </c>
      <c r="L35" s="192" t="s">
        <v>30</v>
      </c>
      <c r="M35" s="192" t="s">
        <v>31</v>
      </c>
      <c r="N35" s="192" t="s">
        <v>95</v>
      </c>
      <c r="O35" s="192" t="s">
        <v>14</v>
      </c>
      <c r="Q35" s="191">
        <v>5</v>
      </c>
      <c r="R35" s="191">
        <v>10</v>
      </c>
      <c r="S35" s="191">
        <v>7</v>
      </c>
      <c r="T35" s="191">
        <v>6</v>
      </c>
      <c r="U35" s="191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2" t="s">
        <v>13</v>
      </c>
      <c r="AD35" s="198">
        <v>40</v>
      </c>
      <c r="AE35" s="198">
        <v>9</v>
      </c>
      <c r="AF35" s="198">
        <v>41</v>
      </c>
      <c r="AG35" s="198">
        <v>14</v>
      </c>
      <c r="AH35" s="198">
        <v>21</v>
      </c>
      <c r="AI35" s="5"/>
      <c r="AJ35" s="132" t="s">
        <v>13</v>
      </c>
      <c r="AK35" s="198">
        <v>40</v>
      </c>
      <c r="AL35" s="198">
        <v>9</v>
      </c>
      <c r="AM35" s="198">
        <v>41</v>
      </c>
      <c r="AN35" s="198">
        <v>14</v>
      </c>
      <c r="AO35" s="198">
        <v>21</v>
      </c>
    </row>
    <row r="36" spans="10:41" ht="16.5" customHeight="1">
      <c r="J36" s="23">
        <v>32</v>
      </c>
      <c r="K36" s="192" t="s">
        <v>31</v>
      </c>
      <c r="L36" s="192" t="s">
        <v>13</v>
      </c>
      <c r="M36" s="192" t="s">
        <v>12</v>
      </c>
      <c r="N36" s="192" t="s">
        <v>95</v>
      </c>
      <c r="O36" s="192" t="s">
        <v>28</v>
      </c>
      <c r="Q36" s="191">
        <v>7</v>
      </c>
      <c r="R36" s="191">
        <v>5</v>
      </c>
      <c r="S36" s="191">
        <v>4</v>
      </c>
      <c r="T36" s="191">
        <v>6</v>
      </c>
      <c r="U36" s="191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2" t="s">
        <v>95</v>
      </c>
      <c r="AD36" s="198">
        <v>40</v>
      </c>
      <c r="AE36" s="198">
        <v>13</v>
      </c>
      <c r="AF36" s="198">
        <v>41</v>
      </c>
      <c r="AG36" s="198">
        <v>14</v>
      </c>
      <c r="AH36" s="198">
        <v>21</v>
      </c>
      <c r="AI36" s="5"/>
      <c r="AJ36" s="132" t="s">
        <v>95</v>
      </c>
      <c r="AK36" s="198">
        <v>40</v>
      </c>
      <c r="AL36" s="198">
        <v>13</v>
      </c>
      <c r="AM36" s="198">
        <v>41</v>
      </c>
      <c r="AN36" s="198">
        <v>14</v>
      </c>
      <c r="AO36" s="198">
        <v>21</v>
      </c>
    </row>
    <row r="37" spans="10:41" ht="16.5" customHeight="1">
      <c r="J37" s="191">
        <v>33</v>
      </c>
      <c r="K37" s="192" t="s">
        <v>13</v>
      </c>
      <c r="L37" s="192" t="s">
        <v>94</v>
      </c>
      <c r="M37" s="192" t="s">
        <v>29</v>
      </c>
      <c r="N37" s="192" t="s">
        <v>82</v>
      </c>
      <c r="O37" s="192" t="s">
        <v>29</v>
      </c>
      <c r="Q37" s="191">
        <v>5</v>
      </c>
      <c r="R37" s="191">
        <v>17</v>
      </c>
      <c r="S37" s="191">
        <v>8</v>
      </c>
      <c r="T37" s="191">
        <v>16</v>
      </c>
      <c r="U37" s="191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2" t="s">
        <v>31</v>
      </c>
      <c r="AD37" s="198">
        <v>47</v>
      </c>
      <c r="AE37" s="198">
        <v>10</v>
      </c>
      <c r="AF37" s="198">
        <v>41</v>
      </c>
      <c r="AG37" s="198">
        <v>14</v>
      </c>
      <c r="AH37" s="198">
        <v>21</v>
      </c>
      <c r="AI37" s="5"/>
      <c r="AJ37" s="132" t="s">
        <v>31</v>
      </c>
      <c r="AK37" s="198">
        <v>47</v>
      </c>
      <c r="AL37" s="198">
        <v>10</v>
      </c>
      <c r="AM37" s="198">
        <v>41</v>
      </c>
      <c r="AN37" s="198">
        <v>14</v>
      </c>
      <c r="AO37" s="198">
        <v>21</v>
      </c>
    </row>
    <row r="38" spans="10:41" ht="16.5" customHeight="1">
      <c r="J38" s="23">
        <v>34</v>
      </c>
      <c r="K38" s="192" t="s">
        <v>95</v>
      </c>
      <c r="L38" s="192" t="s">
        <v>79</v>
      </c>
      <c r="M38" s="192" t="s">
        <v>13</v>
      </c>
      <c r="N38" s="192" t="s">
        <v>29</v>
      </c>
      <c r="O38" s="192" t="s">
        <v>16</v>
      </c>
      <c r="Q38" s="191">
        <v>6</v>
      </c>
      <c r="R38" s="191">
        <v>12</v>
      </c>
      <c r="S38" s="191">
        <v>5</v>
      </c>
      <c r="T38" s="191">
        <v>8</v>
      </c>
      <c r="U38" s="191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2" t="s">
        <v>29</v>
      </c>
      <c r="AD38" s="198">
        <v>47</v>
      </c>
      <c r="AE38" s="198">
        <v>10</v>
      </c>
      <c r="AF38" s="198">
        <v>41</v>
      </c>
      <c r="AG38" s="198">
        <v>14</v>
      </c>
      <c r="AH38" s="198">
        <v>21</v>
      </c>
      <c r="AI38" s="5"/>
      <c r="AJ38" s="132" t="s">
        <v>29</v>
      </c>
      <c r="AK38" s="198">
        <v>47</v>
      </c>
      <c r="AL38" s="198">
        <v>10</v>
      </c>
      <c r="AM38" s="198">
        <v>41</v>
      </c>
      <c r="AN38" s="198">
        <v>14</v>
      </c>
      <c r="AO38" s="198">
        <v>21</v>
      </c>
    </row>
    <row r="39" spans="10:41" ht="16.5" customHeight="1">
      <c r="J39" s="191">
        <v>35</v>
      </c>
      <c r="K39" s="192" t="s">
        <v>95</v>
      </c>
      <c r="L39" s="192" t="s">
        <v>31</v>
      </c>
      <c r="M39" s="192" t="s">
        <v>95</v>
      </c>
      <c r="N39" s="192" t="s">
        <v>15</v>
      </c>
      <c r="O39" s="192" t="s">
        <v>30</v>
      </c>
      <c r="Q39" s="191">
        <v>6</v>
      </c>
      <c r="R39" s="191">
        <v>7</v>
      </c>
      <c r="S39" s="191">
        <v>6</v>
      </c>
      <c r="T39" s="191">
        <v>2</v>
      </c>
      <c r="U39" s="191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2" t="s">
        <v>28</v>
      </c>
      <c r="AD39" s="198">
        <v>4</v>
      </c>
      <c r="AE39" s="198">
        <v>15</v>
      </c>
      <c r="AF39" s="198">
        <v>3</v>
      </c>
      <c r="AG39" s="198">
        <v>21</v>
      </c>
      <c r="AH39" s="198">
        <v>21</v>
      </c>
      <c r="AI39" s="5"/>
      <c r="AJ39" s="132" t="s">
        <v>28</v>
      </c>
      <c r="AK39" s="198">
        <v>4</v>
      </c>
      <c r="AL39" s="198">
        <v>15</v>
      </c>
      <c r="AM39" s="198">
        <v>3</v>
      </c>
      <c r="AN39" s="198">
        <v>21</v>
      </c>
      <c r="AO39" s="198">
        <v>21</v>
      </c>
    </row>
    <row r="40" spans="10:41" ht="16.5" customHeight="1">
      <c r="J40" s="23">
        <v>36</v>
      </c>
      <c r="K40" s="192" t="s">
        <v>31</v>
      </c>
      <c r="L40" s="192" t="s">
        <v>82</v>
      </c>
      <c r="M40" s="192" t="s">
        <v>29</v>
      </c>
      <c r="N40" s="192" t="s">
        <v>81</v>
      </c>
      <c r="O40" s="192" t="s">
        <v>15</v>
      </c>
      <c r="Q40" s="191">
        <v>7</v>
      </c>
      <c r="R40" s="191">
        <v>16</v>
      </c>
      <c r="S40" s="191">
        <v>8</v>
      </c>
      <c r="T40" s="191">
        <v>14</v>
      </c>
      <c r="U40" s="191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2" t="s">
        <v>30</v>
      </c>
      <c r="AD40" s="198">
        <v>4</v>
      </c>
      <c r="AE40" s="198">
        <v>17</v>
      </c>
      <c r="AF40" s="198">
        <v>3</v>
      </c>
      <c r="AG40" s="198">
        <v>21</v>
      </c>
      <c r="AH40" s="198">
        <v>21</v>
      </c>
      <c r="AI40" s="5"/>
      <c r="AJ40" s="132" t="s">
        <v>30</v>
      </c>
      <c r="AK40" s="198">
        <v>4</v>
      </c>
      <c r="AL40" s="198">
        <v>17</v>
      </c>
      <c r="AM40" s="198">
        <v>3</v>
      </c>
      <c r="AN40" s="198">
        <v>21</v>
      </c>
      <c r="AO40" s="198">
        <v>21</v>
      </c>
    </row>
    <row r="41" spans="10:41" ht="16.5" customHeight="1">
      <c r="J41" s="191">
        <v>37</v>
      </c>
      <c r="K41" s="192" t="s">
        <v>13</v>
      </c>
      <c r="L41" s="192" t="s">
        <v>82</v>
      </c>
      <c r="M41" s="192" t="s">
        <v>31</v>
      </c>
      <c r="N41" s="192" t="s">
        <v>14</v>
      </c>
      <c r="O41" s="192" t="s">
        <v>28</v>
      </c>
      <c r="Q41" s="191">
        <v>5</v>
      </c>
      <c r="R41" s="191">
        <v>16</v>
      </c>
      <c r="S41" s="191">
        <v>7</v>
      </c>
      <c r="T41" s="191">
        <v>1</v>
      </c>
      <c r="U41" s="191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97" t="s">
        <v>78</v>
      </c>
      <c r="AD41" s="199">
        <v>0</v>
      </c>
      <c r="AE41" s="199">
        <v>15</v>
      </c>
      <c r="AF41" s="199">
        <v>0</v>
      </c>
      <c r="AG41" s="199">
        <v>6</v>
      </c>
      <c r="AH41" s="199">
        <v>0</v>
      </c>
      <c r="AI41" s="5"/>
      <c r="AJ41" s="197" t="s">
        <v>78</v>
      </c>
      <c r="AK41" s="199">
        <v>0</v>
      </c>
      <c r="AL41" s="199">
        <v>15</v>
      </c>
      <c r="AM41" s="199">
        <v>0</v>
      </c>
      <c r="AN41" s="199">
        <v>6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30</v>
      </c>
      <c r="M42" s="192" t="s">
        <v>30</v>
      </c>
      <c r="N42" s="192" t="s">
        <v>95</v>
      </c>
      <c r="O42" s="192" t="s">
        <v>13</v>
      </c>
      <c r="Q42" s="191">
        <v>5</v>
      </c>
      <c r="R42" s="191">
        <v>10</v>
      </c>
      <c r="S42" s="191">
        <v>10</v>
      </c>
      <c r="T42" s="191">
        <v>6</v>
      </c>
      <c r="U42" s="191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97" t="s">
        <v>79</v>
      </c>
      <c r="AD42" s="199">
        <v>0</v>
      </c>
      <c r="AE42" s="199">
        <v>18</v>
      </c>
      <c r="AF42" s="199">
        <v>0</v>
      </c>
      <c r="AG42" s="199">
        <v>6</v>
      </c>
      <c r="AH42" s="199">
        <v>0</v>
      </c>
      <c r="AI42" s="5"/>
      <c r="AJ42" s="197" t="s">
        <v>79</v>
      </c>
      <c r="AK42" s="199">
        <v>0</v>
      </c>
      <c r="AL42" s="199">
        <v>18</v>
      </c>
      <c r="AM42" s="199">
        <v>0</v>
      </c>
      <c r="AN42" s="199">
        <v>6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31</v>
      </c>
      <c r="N43" s="192" t="s">
        <v>95</v>
      </c>
      <c r="O43" s="192" t="s">
        <v>13</v>
      </c>
      <c r="Q43" s="191">
        <v>5</v>
      </c>
      <c r="R43" s="191">
        <v>5</v>
      </c>
      <c r="S43" s="191">
        <v>7</v>
      </c>
      <c r="T43" s="191">
        <v>6</v>
      </c>
      <c r="U43" s="191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97" t="s">
        <v>80</v>
      </c>
      <c r="AD43" s="199">
        <v>0</v>
      </c>
      <c r="AE43" s="199">
        <v>18</v>
      </c>
      <c r="AF43" s="199">
        <v>0</v>
      </c>
      <c r="AG43" s="199">
        <v>6</v>
      </c>
      <c r="AH43" s="199">
        <v>0</v>
      </c>
      <c r="AI43" s="5"/>
      <c r="AJ43" s="197" t="s">
        <v>80</v>
      </c>
      <c r="AK43" s="199">
        <v>0</v>
      </c>
      <c r="AL43" s="199">
        <v>18</v>
      </c>
      <c r="AM43" s="199">
        <v>0</v>
      </c>
      <c r="AN43" s="199">
        <v>6</v>
      </c>
      <c r="AO43" s="199">
        <v>0</v>
      </c>
    </row>
    <row r="44" spans="10:41" ht="16.5" customHeight="1">
      <c r="J44" s="23">
        <v>40</v>
      </c>
      <c r="K44" s="192" t="s">
        <v>29</v>
      </c>
      <c r="L44" s="192" t="s">
        <v>79</v>
      </c>
      <c r="M44" s="192" t="s">
        <v>13</v>
      </c>
      <c r="N44" s="192" t="s">
        <v>94</v>
      </c>
      <c r="O44" s="192" t="s">
        <v>31</v>
      </c>
      <c r="Q44" s="191">
        <v>8</v>
      </c>
      <c r="R44" s="191">
        <v>12</v>
      </c>
      <c r="S44" s="191">
        <v>5</v>
      </c>
      <c r="T44" s="191">
        <v>17</v>
      </c>
      <c r="U44" s="191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97" t="s">
        <v>81</v>
      </c>
      <c r="AD44" s="199">
        <v>0</v>
      </c>
      <c r="AE44" s="199">
        <v>13</v>
      </c>
      <c r="AF44" s="199">
        <v>4</v>
      </c>
      <c r="AG44" s="199">
        <v>4</v>
      </c>
      <c r="AH44" s="199">
        <v>0</v>
      </c>
      <c r="AI44" s="5"/>
      <c r="AJ44" s="197" t="s">
        <v>81</v>
      </c>
      <c r="AK44" s="199">
        <v>0</v>
      </c>
      <c r="AL44" s="199">
        <v>13</v>
      </c>
      <c r="AM44" s="199">
        <v>4</v>
      </c>
      <c r="AN44" s="199">
        <v>4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30</v>
      </c>
      <c r="M45" s="192" t="s">
        <v>95</v>
      </c>
      <c r="N45" s="192" t="s">
        <v>15</v>
      </c>
      <c r="O45" s="192" t="s">
        <v>13</v>
      </c>
      <c r="Q45" s="191">
        <v>6</v>
      </c>
      <c r="R45" s="191">
        <v>10</v>
      </c>
      <c r="S45" s="191">
        <v>6</v>
      </c>
      <c r="T45" s="191">
        <v>2</v>
      </c>
      <c r="U45" s="191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97" t="s">
        <v>96</v>
      </c>
      <c r="AD45" s="199">
        <v>0</v>
      </c>
      <c r="AE45" s="199">
        <v>7</v>
      </c>
      <c r="AF45" s="199">
        <v>4</v>
      </c>
      <c r="AG45" s="199">
        <v>4</v>
      </c>
      <c r="AH45" s="199">
        <v>0</v>
      </c>
      <c r="AI45" s="5"/>
      <c r="AJ45" s="197" t="s">
        <v>96</v>
      </c>
      <c r="AK45" s="199">
        <v>0</v>
      </c>
      <c r="AL45" s="199">
        <v>7</v>
      </c>
      <c r="AM45" s="199">
        <v>4</v>
      </c>
      <c r="AN45" s="199">
        <v>4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95</v>
      </c>
      <c r="M46" s="192" t="s">
        <v>31</v>
      </c>
      <c r="N46" s="192" t="s">
        <v>16</v>
      </c>
      <c r="O46" s="192" t="s">
        <v>30</v>
      </c>
      <c r="Q46" s="191">
        <v>6</v>
      </c>
      <c r="R46" s="191">
        <v>6</v>
      </c>
      <c r="S46" s="191">
        <v>7</v>
      </c>
      <c r="T46" s="191">
        <v>3</v>
      </c>
      <c r="U46" s="191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97" t="s">
        <v>82</v>
      </c>
      <c r="AD46" s="199">
        <v>0</v>
      </c>
      <c r="AE46" s="199">
        <v>10</v>
      </c>
      <c r="AF46" s="199">
        <v>4</v>
      </c>
      <c r="AG46" s="199">
        <v>4</v>
      </c>
      <c r="AH46" s="199">
        <v>0</v>
      </c>
      <c r="AI46" s="5"/>
      <c r="AJ46" s="197" t="s">
        <v>82</v>
      </c>
      <c r="AK46" s="199">
        <v>0</v>
      </c>
      <c r="AL46" s="199">
        <v>10</v>
      </c>
      <c r="AM46" s="199">
        <v>4</v>
      </c>
      <c r="AN46" s="199">
        <v>4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85</v>
      </c>
      <c r="M47" s="192" t="s">
        <v>29</v>
      </c>
      <c r="N47" s="192" t="s">
        <v>16</v>
      </c>
      <c r="O47" s="192" t="s">
        <v>14</v>
      </c>
      <c r="Q47" s="191">
        <v>6</v>
      </c>
      <c r="R47" s="191">
        <v>18</v>
      </c>
      <c r="S47" s="191">
        <v>8</v>
      </c>
      <c r="T47" s="191">
        <v>3</v>
      </c>
      <c r="U47" s="191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97" t="s">
        <v>94</v>
      </c>
      <c r="AD47" s="199">
        <v>0</v>
      </c>
      <c r="AE47" s="199">
        <v>10</v>
      </c>
      <c r="AF47" s="199">
        <v>4</v>
      </c>
      <c r="AG47" s="199">
        <v>4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</v>
      </c>
      <c r="AN47" s="199">
        <v>4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14</v>
      </c>
      <c r="M48" s="192" t="s">
        <v>31</v>
      </c>
      <c r="N48" s="192" t="s">
        <v>15</v>
      </c>
      <c r="O48" s="192" t="s">
        <v>13</v>
      </c>
      <c r="Q48" s="191">
        <v>5</v>
      </c>
      <c r="R48" s="191">
        <v>1</v>
      </c>
      <c r="S48" s="191">
        <v>7</v>
      </c>
      <c r="T48" s="191">
        <v>2</v>
      </c>
      <c r="U48" s="191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97" t="s">
        <v>85</v>
      </c>
      <c r="AD48" s="199">
        <v>0</v>
      </c>
      <c r="AE48" s="199">
        <v>15</v>
      </c>
      <c r="AF48" s="199">
        <v>0</v>
      </c>
      <c r="AG48" s="199">
        <v>6</v>
      </c>
      <c r="AH48" s="199">
        <v>0</v>
      </c>
      <c r="AI48" s="5"/>
      <c r="AJ48" s="197" t="s">
        <v>85</v>
      </c>
      <c r="AK48" s="199">
        <v>0</v>
      </c>
      <c r="AL48" s="199">
        <v>15</v>
      </c>
      <c r="AM48" s="199">
        <v>0</v>
      </c>
      <c r="AN48" s="199">
        <v>6</v>
      </c>
      <c r="AO48" s="199">
        <v>0</v>
      </c>
    </row>
    <row r="49" spans="10:41" ht="16.5" customHeight="1">
      <c r="J49" s="191">
        <v>45</v>
      </c>
      <c r="K49" s="192" t="s">
        <v>29</v>
      </c>
      <c r="L49" s="192" t="s">
        <v>12</v>
      </c>
      <c r="M49" s="192" t="s">
        <v>95</v>
      </c>
      <c r="N49" s="192" t="s">
        <v>30</v>
      </c>
      <c r="O49" s="192" t="s">
        <v>12</v>
      </c>
      <c r="Q49" s="191">
        <v>8</v>
      </c>
      <c r="R49" s="191">
        <v>4</v>
      </c>
      <c r="S49" s="191">
        <v>6</v>
      </c>
      <c r="T49" s="191">
        <v>10</v>
      </c>
      <c r="U49" s="191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97" t="s">
        <v>87</v>
      </c>
      <c r="AD49" s="199">
        <v>0</v>
      </c>
      <c r="AE49" s="199">
        <v>12</v>
      </c>
      <c r="AF49" s="199">
        <v>0</v>
      </c>
      <c r="AG49" s="199">
        <v>6</v>
      </c>
      <c r="AH49" s="199">
        <v>0</v>
      </c>
      <c r="AI49" s="5"/>
      <c r="AJ49" s="197" t="s">
        <v>87</v>
      </c>
      <c r="AK49" s="199">
        <v>0</v>
      </c>
      <c r="AL49" s="199">
        <v>12</v>
      </c>
      <c r="AM49" s="199">
        <v>0</v>
      </c>
      <c r="AN49" s="199">
        <v>6</v>
      </c>
      <c r="AO49" s="199">
        <v>0</v>
      </c>
    </row>
    <row r="50" spans="10:41" ht="16.5" customHeight="1">
      <c r="J50" s="23">
        <v>46</v>
      </c>
      <c r="K50" s="192" t="s">
        <v>31</v>
      </c>
      <c r="L50" s="192" t="s">
        <v>15</v>
      </c>
      <c r="M50" s="192" t="s">
        <v>31</v>
      </c>
      <c r="N50" s="192" t="s">
        <v>16</v>
      </c>
      <c r="O50" s="192" t="s">
        <v>30</v>
      </c>
      <c r="Q50" s="191">
        <v>7</v>
      </c>
      <c r="R50" s="191">
        <v>2</v>
      </c>
      <c r="S50" s="191">
        <v>7</v>
      </c>
      <c r="T50" s="191">
        <v>3</v>
      </c>
      <c r="U50" s="191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1">
        <v>194</v>
      </c>
      <c r="AE50" s="101">
        <v>238</v>
      </c>
      <c r="AF50" s="101">
        <v>198</v>
      </c>
      <c r="AG50" s="101">
        <v>214</v>
      </c>
      <c r="AH50" s="101">
        <v>191</v>
      </c>
      <c r="AI50" s="5"/>
      <c r="AK50" s="101">
        <v>194</v>
      </c>
      <c r="AL50" s="101">
        <v>238</v>
      </c>
      <c r="AM50" s="101">
        <v>198</v>
      </c>
      <c r="AN50" s="101">
        <v>214</v>
      </c>
      <c r="AO50" s="101">
        <v>191</v>
      </c>
    </row>
    <row r="51" spans="10:41" ht="16.5" customHeight="1">
      <c r="J51" s="191">
        <v>47</v>
      </c>
      <c r="K51" s="192" t="s">
        <v>14</v>
      </c>
      <c r="L51" s="192" t="s">
        <v>78</v>
      </c>
      <c r="M51" s="192" t="s">
        <v>16</v>
      </c>
      <c r="N51" s="192" t="s">
        <v>15</v>
      </c>
      <c r="O51" s="192" t="s">
        <v>28</v>
      </c>
      <c r="Q51" s="191">
        <v>1</v>
      </c>
      <c r="R51" s="191">
        <v>11</v>
      </c>
      <c r="S51" s="191">
        <v>3</v>
      </c>
      <c r="T51" s="191">
        <v>2</v>
      </c>
      <c r="U51" s="191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92" t="s">
        <v>29</v>
      </c>
      <c r="L52" s="192" t="s">
        <v>81</v>
      </c>
      <c r="M52" s="192" t="s">
        <v>31</v>
      </c>
      <c r="N52" s="192" t="s">
        <v>31</v>
      </c>
      <c r="O52" s="192" t="s">
        <v>15</v>
      </c>
      <c r="Q52" s="191">
        <v>8</v>
      </c>
      <c r="R52" s="191">
        <v>14</v>
      </c>
      <c r="S52" s="191">
        <v>7</v>
      </c>
      <c r="T52" s="191">
        <v>7</v>
      </c>
      <c r="U52" s="191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31</v>
      </c>
      <c r="L53" s="192" t="s">
        <v>29</v>
      </c>
      <c r="M53" s="192" t="s">
        <v>31</v>
      </c>
      <c r="N53" s="192" t="s">
        <v>28</v>
      </c>
      <c r="O53" s="192" t="s">
        <v>31</v>
      </c>
      <c r="Q53" s="191">
        <v>7</v>
      </c>
      <c r="R53" s="191">
        <v>8</v>
      </c>
      <c r="S53" s="191">
        <v>7</v>
      </c>
      <c r="T53" s="191">
        <v>9</v>
      </c>
      <c r="U53" s="191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29</v>
      </c>
      <c r="M54" s="192" t="s">
        <v>31</v>
      </c>
      <c r="N54" s="192" t="s">
        <v>28</v>
      </c>
      <c r="O54" s="192" t="s">
        <v>12</v>
      </c>
      <c r="Q54" s="191">
        <v>7</v>
      </c>
      <c r="R54" s="191">
        <v>8</v>
      </c>
      <c r="S54" s="191">
        <v>7</v>
      </c>
      <c r="T54" s="191">
        <v>9</v>
      </c>
      <c r="U54" s="191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94</v>
      </c>
      <c r="M55" s="192" t="s">
        <v>29</v>
      </c>
      <c r="N55" s="192" t="s">
        <v>81</v>
      </c>
      <c r="O55" s="192" t="s">
        <v>15</v>
      </c>
      <c r="Q55" s="191">
        <v>6</v>
      </c>
      <c r="R55" s="191">
        <v>17</v>
      </c>
      <c r="S55" s="191">
        <v>8</v>
      </c>
      <c r="T55" s="191">
        <v>14</v>
      </c>
      <c r="U55" s="191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28</v>
      </c>
      <c r="M56" s="192" t="s">
        <v>31</v>
      </c>
      <c r="N56" s="192" t="s">
        <v>12</v>
      </c>
      <c r="O56" s="192" t="s">
        <v>13</v>
      </c>
      <c r="Q56" s="191">
        <v>8</v>
      </c>
      <c r="R56" s="191">
        <v>9</v>
      </c>
      <c r="S56" s="191">
        <v>7</v>
      </c>
      <c r="T56" s="191">
        <v>4</v>
      </c>
      <c r="U56" s="191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2" t="s">
        <v>15</v>
      </c>
      <c r="AD56" s="198">
        <v>4</v>
      </c>
      <c r="AE56" s="198">
        <v>14</v>
      </c>
      <c r="AF56" s="198">
        <v>4</v>
      </c>
      <c r="AG56" s="198">
        <v>21</v>
      </c>
      <c r="AH56" s="198">
        <v>22</v>
      </c>
      <c r="AI56" s="5"/>
      <c r="AJ56" s="132" t="s">
        <v>15</v>
      </c>
      <c r="AK56" s="198">
        <v>4</v>
      </c>
      <c r="AL56" s="198">
        <v>14</v>
      </c>
      <c r="AM56" s="198">
        <v>4</v>
      </c>
      <c r="AN56" s="198">
        <v>21</v>
      </c>
      <c r="AO56" s="198">
        <v>22</v>
      </c>
    </row>
    <row r="57" spans="10:41" ht="16.5" customHeight="1">
      <c r="J57" s="191">
        <v>53</v>
      </c>
      <c r="K57" s="192" t="s">
        <v>31</v>
      </c>
      <c r="L57" s="192" t="s">
        <v>28</v>
      </c>
      <c r="M57" s="192" t="s">
        <v>95</v>
      </c>
      <c r="N57" s="192" t="s">
        <v>12</v>
      </c>
      <c r="O57" s="192" t="s">
        <v>16</v>
      </c>
      <c r="Q57" s="191">
        <v>7</v>
      </c>
      <c r="R57" s="191">
        <v>9</v>
      </c>
      <c r="S57" s="191">
        <v>6</v>
      </c>
      <c r="T57" s="191">
        <v>4</v>
      </c>
      <c r="U57" s="191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2" t="s">
        <v>16</v>
      </c>
      <c r="AD57" s="198">
        <v>4</v>
      </c>
      <c r="AE57" s="198">
        <v>13</v>
      </c>
      <c r="AF57" s="198">
        <v>4</v>
      </c>
      <c r="AG57" s="198">
        <v>20</v>
      </c>
      <c r="AH57" s="198">
        <v>22</v>
      </c>
      <c r="AI57" s="5"/>
      <c r="AJ57" s="132" t="s">
        <v>16</v>
      </c>
      <c r="AK57" s="198">
        <v>4</v>
      </c>
      <c r="AL57" s="198">
        <v>13</v>
      </c>
      <c r="AM57" s="198">
        <v>4</v>
      </c>
      <c r="AN57" s="198">
        <v>20</v>
      </c>
      <c r="AO57" s="198">
        <v>22</v>
      </c>
    </row>
    <row r="58" spans="10:41" ht="16.5" customHeight="1">
      <c r="J58" s="23">
        <v>54</v>
      </c>
      <c r="K58" s="192" t="s">
        <v>31</v>
      </c>
      <c r="L58" s="192" t="s">
        <v>80</v>
      </c>
      <c r="M58" s="192" t="s">
        <v>29</v>
      </c>
      <c r="N58" s="192" t="s">
        <v>78</v>
      </c>
      <c r="O58" s="192" t="s">
        <v>15</v>
      </c>
      <c r="Q58" s="191">
        <v>7</v>
      </c>
      <c r="R58" s="191">
        <v>13</v>
      </c>
      <c r="S58" s="191">
        <v>8</v>
      </c>
      <c r="T58" s="191">
        <v>11</v>
      </c>
      <c r="U58" s="191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2" t="s">
        <v>12</v>
      </c>
      <c r="AD58" s="198">
        <v>4</v>
      </c>
      <c r="AE58" s="198">
        <v>13</v>
      </c>
      <c r="AF58" s="198">
        <v>4</v>
      </c>
      <c r="AG58" s="198">
        <v>20</v>
      </c>
      <c r="AH58" s="198">
        <v>21</v>
      </c>
      <c r="AI58" s="5"/>
      <c r="AJ58" s="132" t="s">
        <v>12</v>
      </c>
      <c r="AK58" s="198">
        <v>4</v>
      </c>
      <c r="AL58" s="198">
        <v>13</v>
      </c>
      <c r="AM58" s="198">
        <v>4</v>
      </c>
      <c r="AN58" s="198">
        <v>20</v>
      </c>
      <c r="AO58" s="198">
        <v>21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29</v>
      </c>
      <c r="N59" s="192" t="s">
        <v>12</v>
      </c>
      <c r="O59" s="192" t="s">
        <v>29</v>
      </c>
      <c r="Q59" s="191">
        <v>7</v>
      </c>
      <c r="R59" s="191">
        <v>4</v>
      </c>
      <c r="S59" s="191">
        <v>8</v>
      </c>
      <c r="T59" s="191">
        <v>4</v>
      </c>
      <c r="U59" s="191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2" t="s">
        <v>13</v>
      </c>
      <c r="AD59" s="198">
        <v>40</v>
      </c>
      <c r="AE59" s="198">
        <v>9</v>
      </c>
      <c r="AF59" s="198">
        <v>41</v>
      </c>
      <c r="AG59" s="198">
        <v>14</v>
      </c>
      <c r="AH59" s="198">
        <v>21</v>
      </c>
      <c r="AI59" s="5"/>
      <c r="AJ59" s="132" t="s">
        <v>13</v>
      </c>
      <c r="AK59" s="198">
        <v>40</v>
      </c>
      <c r="AL59" s="198">
        <v>9</v>
      </c>
      <c r="AM59" s="198">
        <v>41</v>
      </c>
      <c r="AN59" s="198">
        <v>14</v>
      </c>
      <c r="AO59" s="198">
        <v>21</v>
      </c>
    </row>
    <row r="60" spans="10:41" ht="16.5" customHeight="1">
      <c r="J60" s="23">
        <v>56</v>
      </c>
      <c r="K60" s="192" t="s">
        <v>13</v>
      </c>
      <c r="L60" s="192" t="s">
        <v>81</v>
      </c>
      <c r="M60" s="192" t="s">
        <v>29</v>
      </c>
      <c r="N60" s="192" t="s">
        <v>29</v>
      </c>
      <c r="O60" s="192" t="s">
        <v>30</v>
      </c>
      <c r="Q60" s="191">
        <v>5</v>
      </c>
      <c r="R60" s="191">
        <v>14</v>
      </c>
      <c r="S60" s="191">
        <v>8</v>
      </c>
      <c r="T60" s="191">
        <v>8</v>
      </c>
      <c r="U60" s="191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2" t="s">
        <v>95</v>
      </c>
      <c r="AD60" s="198">
        <v>40</v>
      </c>
      <c r="AE60" s="198">
        <v>13</v>
      </c>
      <c r="AF60" s="198">
        <v>41</v>
      </c>
      <c r="AG60" s="198">
        <v>14</v>
      </c>
      <c r="AH60" s="198">
        <v>21</v>
      </c>
      <c r="AI60" s="5"/>
      <c r="AJ60" s="132" t="s">
        <v>95</v>
      </c>
      <c r="AK60" s="198">
        <v>40</v>
      </c>
      <c r="AL60" s="198">
        <v>13</v>
      </c>
      <c r="AM60" s="198">
        <v>41</v>
      </c>
      <c r="AN60" s="198">
        <v>14</v>
      </c>
      <c r="AO60" s="198">
        <v>21</v>
      </c>
    </row>
    <row r="61" spans="10:41">
      <c r="J61" s="191">
        <v>57</v>
      </c>
      <c r="K61" s="192" t="s">
        <v>95</v>
      </c>
      <c r="L61" s="192" t="s">
        <v>81</v>
      </c>
      <c r="M61" s="192" t="s">
        <v>95</v>
      </c>
      <c r="N61" s="192" t="s">
        <v>12</v>
      </c>
      <c r="O61" s="192" t="s">
        <v>30</v>
      </c>
      <c r="Q61" s="191">
        <v>6</v>
      </c>
      <c r="R61" s="191">
        <v>14</v>
      </c>
      <c r="S61" s="191">
        <v>6</v>
      </c>
      <c r="T61" s="191">
        <v>4</v>
      </c>
      <c r="U61" s="191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2" t="s">
        <v>31</v>
      </c>
      <c r="AD61" s="198">
        <v>47</v>
      </c>
      <c r="AE61" s="198">
        <v>10</v>
      </c>
      <c r="AF61" s="198">
        <v>41</v>
      </c>
      <c r="AG61" s="198">
        <v>14</v>
      </c>
      <c r="AH61" s="198">
        <v>21</v>
      </c>
      <c r="AI61" s="5"/>
      <c r="AJ61" s="132" t="s">
        <v>31</v>
      </c>
      <c r="AK61" s="198">
        <v>47</v>
      </c>
      <c r="AL61" s="198">
        <v>10</v>
      </c>
      <c r="AM61" s="198">
        <v>41</v>
      </c>
      <c r="AN61" s="198">
        <v>14</v>
      </c>
      <c r="AO61" s="198">
        <v>21</v>
      </c>
    </row>
    <row r="62" spans="10:41">
      <c r="J62" s="23">
        <v>58</v>
      </c>
      <c r="K62" s="192" t="s">
        <v>30</v>
      </c>
      <c r="L62" s="192" t="s">
        <v>28</v>
      </c>
      <c r="M62" s="192" t="s">
        <v>95</v>
      </c>
      <c r="N62" s="192" t="s">
        <v>94</v>
      </c>
      <c r="O62" s="192" t="s">
        <v>16</v>
      </c>
      <c r="Q62" s="191">
        <v>10</v>
      </c>
      <c r="R62" s="191">
        <v>9</v>
      </c>
      <c r="S62" s="191">
        <v>6</v>
      </c>
      <c r="T62" s="191">
        <v>17</v>
      </c>
      <c r="U62" s="191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2" t="s">
        <v>29</v>
      </c>
      <c r="AD62" s="198">
        <v>47</v>
      </c>
      <c r="AE62" s="198">
        <v>10</v>
      </c>
      <c r="AF62" s="198">
        <v>41</v>
      </c>
      <c r="AG62" s="198">
        <v>14</v>
      </c>
      <c r="AH62" s="198">
        <v>21</v>
      </c>
      <c r="AI62" s="5"/>
      <c r="AJ62" s="132" t="s">
        <v>29</v>
      </c>
      <c r="AK62" s="198">
        <v>47</v>
      </c>
      <c r="AL62" s="198">
        <v>10</v>
      </c>
      <c r="AM62" s="198">
        <v>41</v>
      </c>
      <c r="AN62" s="198">
        <v>14</v>
      </c>
      <c r="AO62" s="198">
        <v>21</v>
      </c>
    </row>
    <row r="63" spans="10:41" ht="16.5" customHeight="1">
      <c r="J63" s="191">
        <v>59</v>
      </c>
      <c r="K63" s="192" t="s">
        <v>29</v>
      </c>
      <c r="L63" s="192" t="s">
        <v>80</v>
      </c>
      <c r="M63" s="192" t="s">
        <v>14</v>
      </c>
      <c r="N63" s="192" t="s">
        <v>85</v>
      </c>
      <c r="O63" s="192" t="s">
        <v>13</v>
      </c>
      <c r="Q63" s="191">
        <v>8</v>
      </c>
      <c r="R63" s="191">
        <v>13</v>
      </c>
      <c r="S63" s="191">
        <v>1</v>
      </c>
      <c r="T63" s="191">
        <v>18</v>
      </c>
      <c r="U63" s="191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2" t="s">
        <v>28</v>
      </c>
      <c r="AD63" s="198">
        <v>4</v>
      </c>
      <c r="AE63" s="198">
        <v>15</v>
      </c>
      <c r="AF63" s="198">
        <v>3</v>
      </c>
      <c r="AG63" s="198">
        <v>21</v>
      </c>
      <c r="AH63" s="198">
        <v>21</v>
      </c>
      <c r="AI63" s="5"/>
      <c r="AJ63" s="132" t="s">
        <v>28</v>
      </c>
      <c r="AK63" s="198">
        <v>4</v>
      </c>
      <c r="AL63" s="198">
        <v>15</v>
      </c>
      <c r="AM63" s="198">
        <v>3</v>
      </c>
      <c r="AN63" s="198">
        <v>21</v>
      </c>
      <c r="AO63" s="198">
        <v>21</v>
      </c>
    </row>
    <row r="64" spans="10:41" ht="16.5" customHeight="1">
      <c r="J64" s="23">
        <v>60</v>
      </c>
      <c r="K64" s="192" t="s">
        <v>95</v>
      </c>
      <c r="L64" s="192" t="s">
        <v>28</v>
      </c>
      <c r="M64" s="192" t="s">
        <v>13</v>
      </c>
      <c r="N64" s="192" t="s">
        <v>12</v>
      </c>
      <c r="O64" s="192" t="s">
        <v>28</v>
      </c>
      <c r="Q64" s="191">
        <v>6</v>
      </c>
      <c r="R64" s="191">
        <v>9</v>
      </c>
      <c r="S64" s="191">
        <v>5</v>
      </c>
      <c r="T64" s="191">
        <v>4</v>
      </c>
      <c r="U64" s="191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2" t="s">
        <v>30</v>
      </c>
      <c r="AD64" s="198">
        <v>4</v>
      </c>
      <c r="AE64" s="198">
        <v>17</v>
      </c>
      <c r="AF64" s="198">
        <v>3</v>
      </c>
      <c r="AG64" s="198">
        <v>21</v>
      </c>
      <c r="AH64" s="198">
        <v>21</v>
      </c>
      <c r="AI64" s="5"/>
      <c r="AJ64" s="132" t="s">
        <v>30</v>
      </c>
      <c r="AK64" s="198">
        <v>4</v>
      </c>
      <c r="AL64" s="198">
        <v>17</v>
      </c>
      <c r="AM64" s="198">
        <v>3</v>
      </c>
      <c r="AN64" s="198">
        <v>21</v>
      </c>
      <c r="AO64" s="198">
        <v>21</v>
      </c>
    </row>
    <row r="65" spans="10:41" ht="16.5" customHeight="1">
      <c r="J65" s="191">
        <v>61</v>
      </c>
      <c r="K65" s="192" t="s">
        <v>31</v>
      </c>
      <c r="L65" s="192" t="s">
        <v>30</v>
      </c>
      <c r="M65" s="192" t="s">
        <v>81</v>
      </c>
      <c r="N65" s="192" t="s">
        <v>16</v>
      </c>
      <c r="O65" s="192" t="s">
        <v>29</v>
      </c>
      <c r="Q65" s="191">
        <v>7</v>
      </c>
      <c r="R65" s="191">
        <v>10</v>
      </c>
      <c r="S65" s="191">
        <v>14</v>
      </c>
      <c r="T65" s="191">
        <v>3</v>
      </c>
      <c r="U65" s="191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97" t="s">
        <v>78</v>
      </c>
      <c r="AD65" s="199">
        <v>0</v>
      </c>
      <c r="AE65" s="199">
        <v>15</v>
      </c>
      <c r="AF65" s="199">
        <v>0</v>
      </c>
      <c r="AG65" s="199">
        <v>6</v>
      </c>
      <c r="AH65" s="199">
        <v>0</v>
      </c>
      <c r="AI65" s="5"/>
      <c r="AJ65" s="197" t="s">
        <v>78</v>
      </c>
      <c r="AK65" s="199">
        <v>0</v>
      </c>
      <c r="AL65" s="199">
        <v>15</v>
      </c>
      <c r="AM65" s="199">
        <v>0</v>
      </c>
      <c r="AN65" s="199">
        <v>6</v>
      </c>
      <c r="AO65" s="199">
        <v>0</v>
      </c>
    </row>
    <row r="66" spans="10:41" ht="16.5" customHeight="1">
      <c r="J66" s="23">
        <v>62</v>
      </c>
      <c r="K66" s="192" t="s">
        <v>15</v>
      </c>
      <c r="L66" s="192" t="s">
        <v>79</v>
      </c>
      <c r="M66" s="192" t="s">
        <v>13</v>
      </c>
      <c r="N66" s="192" t="s">
        <v>28</v>
      </c>
      <c r="O66" s="192" t="s">
        <v>28</v>
      </c>
      <c r="Q66" s="191">
        <v>2</v>
      </c>
      <c r="R66" s="191">
        <v>12</v>
      </c>
      <c r="S66" s="191">
        <v>5</v>
      </c>
      <c r="T66" s="191">
        <v>9</v>
      </c>
      <c r="U66" s="191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97" t="s">
        <v>79</v>
      </c>
      <c r="AD66" s="199">
        <v>0</v>
      </c>
      <c r="AE66" s="199">
        <v>18</v>
      </c>
      <c r="AF66" s="199">
        <v>0</v>
      </c>
      <c r="AG66" s="199">
        <v>6</v>
      </c>
      <c r="AH66" s="199">
        <v>0</v>
      </c>
      <c r="AI66" s="5"/>
      <c r="AJ66" s="197" t="s">
        <v>79</v>
      </c>
      <c r="AK66" s="199">
        <v>0</v>
      </c>
      <c r="AL66" s="199">
        <v>18</v>
      </c>
      <c r="AM66" s="199">
        <v>0</v>
      </c>
      <c r="AN66" s="199">
        <v>6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85</v>
      </c>
      <c r="M67" s="192" t="s">
        <v>95</v>
      </c>
      <c r="N67" s="192" t="s">
        <v>96</v>
      </c>
      <c r="O67" s="192" t="s">
        <v>16</v>
      </c>
      <c r="Q67" s="191">
        <v>7</v>
      </c>
      <c r="R67" s="191">
        <v>18</v>
      </c>
      <c r="S67" s="191">
        <v>6</v>
      </c>
      <c r="T67" s="191">
        <v>15</v>
      </c>
      <c r="U67" s="191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97" t="s">
        <v>80</v>
      </c>
      <c r="AD67" s="199">
        <v>0</v>
      </c>
      <c r="AE67" s="199">
        <v>18</v>
      </c>
      <c r="AF67" s="199">
        <v>0</v>
      </c>
      <c r="AG67" s="199">
        <v>6</v>
      </c>
      <c r="AH67" s="199">
        <v>0</v>
      </c>
      <c r="AI67" s="5"/>
      <c r="AJ67" s="197" t="s">
        <v>80</v>
      </c>
      <c r="AK67" s="199">
        <v>0</v>
      </c>
      <c r="AL67" s="199">
        <v>18</v>
      </c>
      <c r="AM67" s="199">
        <v>0</v>
      </c>
      <c r="AN67" s="199">
        <v>6</v>
      </c>
      <c r="AO67" s="199">
        <v>0</v>
      </c>
    </row>
    <row r="68" spans="10:41" ht="16.5" customHeight="1">
      <c r="J68" s="23">
        <v>64</v>
      </c>
      <c r="K68" s="192" t="s">
        <v>95</v>
      </c>
      <c r="L68" s="192" t="s">
        <v>16</v>
      </c>
      <c r="M68" s="192" t="s">
        <v>13</v>
      </c>
      <c r="N68" s="192" t="s">
        <v>29</v>
      </c>
      <c r="O68" s="192" t="s">
        <v>30</v>
      </c>
      <c r="Q68" s="191">
        <v>6</v>
      </c>
      <c r="R68" s="191">
        <v>3</v>
      </c>
      <c r="S68" s="191">
        <v>5</v>
      </c>
      <c r="T68" s="191">
        <v>8</v>
      </c>
      <c r="U68" s="191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97" t="s">
        <v>81</v>
      </c>
      <c r="AD68" s="199">
        <v>0</v>
      </c>
      <c r="AE68" s="199">
        <v>13</v>
      </c>
      <c r="AF68" s="199">
        <v>4</v>
      </c>
      <c r="AG68" s="199">
        <v>4</v>
      </c>
      <c r="AH68" s="199">
        <v>0</v>
      </c>
      <c r="AI68" s="5"/>
      <c r="AJ68" s="197" t="s">
        <v>81</v>
      </c>
      <c r="AK68" s="199">
        <v>0</v>
      </c>
      <c r="AL68" s="199">
        <v>13</v>
      </c>
      <c r="AM68" s="199">
        <v>4</v>
      </c>
      <c r="AN68" s="199">
        <v>4</v>
      </c>
      <c r="AO68" s="199">
        <v>0</v>
      </c>
    </row>
    <row r="69" spans="10:41" ht="16.5" customHeight="1">
      <c r="J69" s="191">
        <v>65</v>
      </c>
      <c r="K69" s="192" t="s">
        <v>14</v>
      </c>
      <c r="L69" s="192" t="s">
        <v>16</v>
      </c>
      <c r="M69" s="192" t="s">
        <v>95</v>
      </c>
      <c r="N69" s="192" t="s">
        <v>16</v>
      </c>
      <c r="O69" s="192" t="s">
        <v>28</v>
      </c>
      <c r="Q69" s="191">
        <v>1</v>
      </c>
      <c r="R69" s="191">
        <v>3</v>
      </c>
      <c r="S69" s="191">
        <v>6</v>
      </c>
      <c r="T69" s="191">
        <v>3</v>
      </c>
      <c r="U69" s="191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97" t="s">
        <v>96</v>
      </c>
      <c r="AD69" s="199">
        <v>0</v>
      </c>
      <c r="AE69" s="199">
        <v>7</v>
      </c>
      <c r="AF69" s="199">
        <v>4</v>
      </c>
      <c r="AG69" s="199">
        <v>4</v>
      </c>
      <c r="AH69" s="199">
        <v>0</v>
      </c>
      <c r="AI69" s="5"/>
      <c r="AJ69" s="197" t="s">
        <v>96</v>
      </c>
      <c r="AK69" s="199">
        <v>0</v>
      </c>
      <c r="AL69" s="199">
        <v>7</v>
      </c>
      <c r="AM69" s="199">
        <v>4</v>
      </c>
      <c r="AN69" s="199">
        <v>4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29</v>
      </c>
      <c r="M70" s="192" t="s">
        <v>96</v>
      </c>
      <c r="N70" s="192" t="s">
        <v>30</v>
      </c>
      <c r="O70" s="192" t="s">
        <v>95</v>
      </c>
      <c r="Q70" s="191">
        <v>7</v>
      </c>
      <c r="R70" s="191">
        <v>8</v>
      </c>
      <c r="S70" s="191">
        <v>15</v>
      </c>
      <c r="T70" s="191">
        <v>10</v>
      </c>
      <c r="U70" s="191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97" t="s">
        <v>82</v>
      </c>
      <c r="AD70" s="199">
        <v>0</v>
      </c>
      <c r="AE70" s="199">
        <v>10</v>
      </c>
      <c r="AF70" s="199">
        <v>4</v>
      </c>
      <c r="AG70" s="199">
        <v>4</v>
      </c>
      <c r="AH70" s="199">
        <v>0</v>
      </c>
      <c r="AI70" s="5"/>
      <c r="AJ70" s="197" t="s">
        <v>82</v>
      </c>
      <c r="AK70" s="199">
        <v>0</v>
      </c>
      <c r="AL70" s="199">
        <v>10</v>
      </c>
      <c r="AM70" s="199">
        <v>4</v>
      </c>
      <c r="AN70" s="199">
        <v>4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78</v>
      </c>
      <c r="M71" s="192" t="s">
        <v>95</v>
      </c>
      <c r="N71" s="192" t="s">
        <v>78</v>
      </c>
      <c r="O71" s="192" t="s">
        <v>15</v>
      </c>
      <c r="Q71" s="191">
        <v>10</v>
      </c>
      <c r="R71" s="191">
        <v>11</v>
      </c>
      <c r="S71" s="191">
        <v>6</v>
      </c>
      <c r="T71" s="191">
        <v>11</v>
      </c>
      <c r="U71" s="191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97" t="s">
        <v>94</v>
      </c>
      <c r="AD71" s="199">
        <v>0</v>
      </c>
      <c r="AE71" s="199">
        <v>10</v>
      </c>
      <c r="AF71" s="199">
        <v>4</v>
      </c>
      <c r="AG71" s="199">
        <v>4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</v>
      </c>
      <c r="AN71" s="199">
        <v>4</v>
      </c>
      <c r="AO71" s="199">
        <v>0</v>
      </c>
    </row>
    <row r="72" spans="10:41" ht="16.5" customHeight="1">
      <c r="J72" s="23">
        <v>68</v>
      </c>
      <c r="K72" s="192" t="s">
        <v>95</v>
      </c>
      <c r="L72" s="192" t="s">
        <v>14</v>
      </c>
      <c r="M72" s="192" t="s">
        <v>29</v>
      </c>
      <c r="N72" s="192" t="s">
        <v>30</v>
      </c>
      <c r="O72" s="192" t="s">
        <v>95</v>
      </c>
      <c r="Q72" s="191">
        <v>6</v>
      </c>
      <c r="R72" s="191">
        <v>1</v>
      </c>
      <c r="S72" s="191">
        <v>8</v>
      </c>
      <c r="T72" s="191">
        <v>10</v>
      </c>
      <c r="U72" s="191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97" t="s">
        <v>85</v>
      </c>
      <c r="AD72" s="199">
        <v>0</v>
      </c>
      <c r="AE72" s="199">
        <v>15</v>
      </c>
      <c r="AF72" s="199">
        <v>0</v>
      </c>
      <c r="AG72" s="199">
        <v>6</v>
      </c>
      <c r="AH72" s="199">
        <v>0</v>
      </c>
      <c r="AI72" s="5"/>
      <c r="AJ72" s="197" t="s">
        <v>85</v>
      </c>
      <c r="AK72" s="199">
        <v>0</v>
      </c>
      <c r="AL72" s="199">
        <v>15</v>
      </c>
      <c r="AM72" s="199">
        <v>0</v>
      </c>
      <c r="AN72" s="199">
        <v>6</v>
      </c>
      <c r="AO72" s="199">
        <v>0</v>
      </c>
    </row>
    <row r="73" spans="10:41" ht="16.5" customHeight="1">
      <c r="J73" s="191">
        <v>69</v>
      </c>
      <c r="K73" s="192" t="s">
        <v>30</v>
      </c>
      <c r="L73" s="192" t="s">
        <v>87</v>
      </c>
      <c r="M73" s="192" t="s">
        <v>95</v>
      </c>
      <c r="N73" s="192" t="s">
        <v>95</v>
      </c>
      <c r="O73" s="192" t="s">
        <v>31</v>
      </c>
      <c r="Q73" s="191">
        <v>10</v>
      </c>
      <c r="R73" s="191">
        <v>19</v>
      </c>
      <c r="S73" s="191">
        <v>6</v>
      </c>
      <c r="T73" s="191">
        <v>6</v>
      </c>
      <c r="U73" s="191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97" t="s">
        <v>87</v>
      </c>
      <c r="AD73" s="199">
        <v>0</v>
      </c>
      <c r="AE73" s="199">
        <v>12</v>
      </c>
      <c r="AF73" s="199">
        <v>0</v>
      </c>
      <c r="AG73" s="199">
        <v>6</v>
      </c>
      <c r="AH73" s="199">
        <v>0</v>
      </c>
      <c r="AI73" s="5"/>
      <c r="AJ73" s="197" t="s">
        <v>87</v>
      </c>
      <c r="AK73" s="199">
        <v>0</v>
      </c>
      <c r="AL73" s="199">
        <v>12</v>
      </c>
      <c r="AM73" s="199">
        <v>0</v>
      </c>
      <c r="AN73" s="199">
        <v>6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28</v>
      </c>
      <c r="M74" s="192" t="s">
        <v>31</v>
      </c>
      <c r="N74" s="192" t="s">
        <v>16</v>
      </c>
      <c r="O74" s="192" t="s">
        <v>12</v>
      </c>
      <c r="Q74" s="191">
        <v>8</v>
      </c>
      <c r="R74" s="191">
        <v>9</v>
      </c>
      <c r="S74" s="191">
        <v>7</v>
      </c>
      <c r="T74" s="191">
        <v>3</v>
      </c>
      <c r="U74" s="191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1">
        <v>194</v>
      </c>
      <c r="AE74" s="101">
        <v>238</v>
      </c>
      <c r="AF74" s="101">
        <v>198</v>
      </c>
      <c r="AG74" s="101">
        <v>214</v>
      </c>
      <c r="AH74" s="101">
        <v>191</v>
      </c>
      <c r="AI74" s="5"/>
      <c r="AK74" s="101">
        <v>194</v>
      </c>
      <c r="AL74" s="101">
        <v>238</v>
      </c>
      <c r="AM74" s="101">
        <v>198</v>
      </c>
      <c r="AN74" s="101">
        <v>214</v>
      </c>
      <c r="AO74" s="101">
        <v>191</v>
      </c>
    </row>
    <row r="75" spans="10:41" ht="16.5" customHeight="1">
      <c r="J75" s="191">
        <v>71</v>
      </c>
      <c r="K75" s="192" t="s">
        <v>13</v>
      </c>
      <c r="L75" s="192" t="s">
        <v>16</v>
      </c>
      <c r="M75" s="192" t="s">
        <v>95</v>
      </c>
      <c r="N75" s="192" t="s">
        <v>14</v>
      </c>
      <c r="O75" s="192" t="s">
        <v>30</v>
      </c>
      <c r="Q75" s="191">
        <v>5</v>
      </c>
      <c r="R75" s="191">
        <v>3</v>
      </c>
      <c r="S75" s="191">
        <v>6</v>
      </c>
      <c r="T75" s="191">
        <v>1</v>
      </c>
      <c r="U75" s="191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92" t="s">
        <v>28</v>
      </c>
      <c r="L76" s="192" t="s">
        <v>79</v>
      </c>
      <c r="M76" s="192" t="s">
        <v>81</v>
      </c>
      <c r="N76" s="192" t="s">
        <v>78</v>
      </c>
      <c r="O76" s="192" t="s">
        <v>31</v>
      </c>
      <c r="Q76" s="191">
        <v>9</v>
      </c>
      <c r="R76" s="191">
        <v>12</v>
      </c>
      <c r="S76" s="191">
        <v>14</v>
      </c>
      <c r="T76" s="191">
        <v>11</v>
      </c>
      <c r="U76" s="191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81</v>
      </c>
      <c r="M77" s="192" t="s">
        <v>13</v>
      </c>
      <c r="N77" s="192" t="s">
        <v>15</v>
      </c>
      <c r="O77" s="192" t="s">
        <v>12</v>
      </c>
      <c r="Q77" s="191">
        <v>5</v>
      </c>
      <c r="R77" s="191">
        <v>14</v>
      </c>
      <c r="S77" s="191">
        <v>5</v>
      </c>
      <c r="T77" s="191">
        <v>2</v>
      </c>
      <c r="U77" s="191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15</v>
      </c>
      <c r="M78" s="192" t="s">
        <v>95</v>
      </c>
      <c r="N78" s="192" t="s">
        <v>28</v>
      </c>
      <c r="O78" s="192" t="s">
        <v>30</v>
      </c>
      <c r="Q78" s="191">
        <v>7</v>
      </c>
      <c r="R78" s="191">
        <v>2</v>
      </c>
      <c r="S78" s="191">
        <v>6</v>
      </c>
      <c r="T78" s="191">
        <v>9</v>
      </c>
      <c r="U78" s="191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91">
        <v>75</v>
      </c>
      <c r="K79" s="192" t="s">
        <v>31</v>
      </c>
      <c r="L79" s="192" t="s">
        <v>30</v>
      </c>
      <c r="M79" s="192" t="s">
        <v>31</v>
      </c>
      <c r="N79" s="192" t="s">
        <v>80</v>
      </c>
      <c r="O79" s="192" t="s">
        <v>31</v>
      </c>
      <c r="Q79" s="191">
        <v>7</v>
      </c>
      <c r="R79" s="191">
        <v>10</v>
      </c>
      <c r="S79" s="191">
        <v>7</v>
      </c>
      <c r="T79" s="191">
        <v>13</v>
      </c>
      <c r="U79" s="191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78</v>
      </c>
      <c r="M80" s="192" t="s">
        <v>30</v>
      </c>
      <c r="N80" s="192" t="s">
        <v>31</v>
      </c>
      <c r="O80" s="192" t="s">
        <v>13</v>
      </c>
      <c r="Q80" s="191">
        <v>8</v>
      </c>
      <c r="R80" s="191">
        <v>11</v>
      </c>
      <c r="S80" s="191">
        <v>10</v>
      </c>
      <c r="T80" s="191">
        <v>7</v>
      </c>
      <c r="U80" s="191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95</v>
      </c>
      <c r="M81" s="192" t="s">
        <v>13</v>
      </c>
      <c r="N81" s="192" t="s">
        <v>29</v>
      </c>
      <c r="O81" s="192" t="s">
        <v>31</v>
      </c>
      <c r="Q81" s="191">
        <v>7</v>
      </c>
      <c r="R81" s="191">
        <v>6</v>
      </c>
      <c r="S81" s="191">
        <v>5</v>
      </c>
      <c r="T81" s="191">
        <v>8</v>
      </c>
      <c r="U81" s="191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92" t="s">
        <v>13</v>
      </c>
      <c r="L82" s="192" t="s">
        <v>79</v>
      </c>
      <c r="M82" s="192" t="s">
        <v>29</v>
      </c>
      <c r="N82" s="192" t="s">
        <v>12</v>
      </c>
      <c r="O82" s="192" t="s">
        <v>13</v>
      </c>
      <c r="Q82" s="191">
        <v>5</v>
      </c>
      <c r="R82" s="191">
        <v>12</v>
      </c>
      <c r="S82" s="191">
        <v>8</v>
      </c>
      <c r="T82" s="191">
        <v>4</v>
      </c>
      <c r="U82" s="191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30</v>
      </c>
      <c r="M83" s="192" t="s">
        <v>95</v>
      </c>
      <c r="N83" s="192" t="s">
        <v>16</v>
      </c>
      <c r="O83" s="192" t="s">
        <v>15</v>
      </c>
      <c r="Q83" s="191">
        <v>6</v>
      </c>
      <c r="R83" s="191">
        <v>10</v>
      </c>
      <c r="S83" s="191">
        <v>6</v>
      </c>
      <c r="T83" s="191">
        <v>3</v>
      </c>
      <c r="U83" s="191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30</v>
      </c>
      <c r="M84" s="192" t="s">
        <v>94</v>
      </c>
      <c r="N84" s="192" t="s">
        <v>14</v>
      </c>
      <c r="O84" s="192" t="s">
        <v>30</v>
      </c>
      <c r="Q84" s="191">
        <v>8</v>
      </c>
      <c r="R84" s="191">
        <v>10</v>
      </c>
      <c r="S84" s="191">
        <v>17</v>
      </c>
      <c r="T84" s="191">
        <v>1</v>
      </c>
      <c r="U84" s="191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91">
        <v>81</v>
      </c>
      <c r="K85" s="192" t="s">
        <v>31</v>
      </c>
      <c r="L85" s="192" t="s">
        <v>82</v>
      </c>
      <c r="M85" s="192" t="s">
        <v>31</v>
      </c>
      <c r="N85" s="192" t="s">
        <v>31</v>
      </c>
      <c r="O85" s="192" t="s">
        <v>29</v>
      </c>
      <c r="Q85" s="191">
        <v>7</v>
      </c>
      <c r="R85" s="191">
        <v>16</v>
      </c>
      <c r="S85" s="191">
        <v>7</v>
      </c>
      <c r="T85" s="191">
        <v>7</v>
      </c>
      <c r="U85" s="191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92" t="s">
        <v>12</v>
      </c>
      <c r="L86" s="192" t="s">
        <v>81</v>
      </c>
      <c r="M86" s="192" t="s">
        <v>12</v>
      </c>
      <c r="N86" s="192" t="s">
        <v>31</v>
      </c>
      <c r="O86" s="192" t="s">
        <v>15</v>
      </c>
      <c r="Q86" s="191">
        <v>4</v>
      </c>
      <c r="R86" s="191">
        <v>14</v>
      </c>
      <c r="S86" s="191">
        <v>4</v>
      </c>
      <c r="T86" s="191">
        <v>7</v>
      </c>
      <c r="U86" s="191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16</v>
      </c>
      <c r="M87" s="192" t="s">
        <v>13</v>
      </c>
      <c r="N87" s="192" t="s">
        <v>13</v>
      </c>
      <c r="O87" s="192" t="s">
        <v>16</v>
      </c>
      <c r="Q87" s="191">
        <v>6</v>
      </c>
      <c r="R87" s="191">
        <v>3</v>
      </c>
      <c r="S87" s="191">
        <v>5</v>
      </c>
      <c r="T87" s="191">
        <v>5</v>
      </c>
      <c r="U87" s="191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28</v>
      </c>
      <c r="M88" s="192" t="s">
        <v>29</v>
      </c>
      <c r="N88" s="192" t="s">
        <v>16</v>
      </c>
      <c r="O88" s="192" t="s">
        <v>12</v>
      </c>
      <c r="Q88" s="191">
        <v>6</v>
      </c>
      <c r="R88" s="191">
        <v>9</v>
      </c>
      <c r="S88" s="191">
        <v>8</v>
      </c>
      <c r="T88" s="191">
        <v>3</v>
      </c>
      <c r="U88" s="191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91">
        <v>85</v>
      </c>
      <c r="K89" s="192" t="s">
        <v>14</v>
      </c>
      <c r="L89" s="192" t="s">
        <v>78</v>
      </c>
      <c r="M89" s="192" t="s">
        <v>29</v>
      </c>
      <c r="N89" s="192" t="s">
        <v>16</v>
      </c>
      <c r="O89" s="192" t="s">
        <v>29</v>
      </c>
      <c r="Q89" s="191">
        <v>1</v>
      </c>
      <c r="R89" s="191">
        <v>11</v>
      </c>
      <c r="S89" s="191">
        <v>8</v>
      </c>
      <c r="T89" s="191">
        <v>3</v>
      </c>
      <c r="U89" s="191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92" t="s">
        <v>29</v>
      </c>
      <c r="L90" s="192" t="s">
        <v>16</v>
      </c>
      <c r="M90" s="192" t="s">
        <v>29</v>
      </c>
      <c r="N90" s="192" t="s">
        <v>16</v>
      </c>
      <c r="O90" s="192" t="s">
        <v>12</v>
      </c>
      <c r="Q90" s="191">
        <v>8</v>
      </c>
      <c r="R90" s="191">
        <v>3</v>
      </c>
      <c r="S90" s="191">
        <v>8</v>
      </c>
      <c r="T90" s="191">
        <v>3</v>
      </c>
      <c r="U90" s="191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91">
        <v>87</v>
      </c>
      <c r="K91" s="192" t="s">
        <v>31</v>
      </c>
      <c r="L91" s="192" t="s">
        <v>14</v>
      </c>
      <c r="M91" s="192" t="s">
        <v>31</v>
      </c>
      <c r="N91" s="192" t="s">
        <v>79</v>
      </c>
      <c r="O91" s="192" t="s">
        <v>12</v>
      </c>
      <c r="Q91" s="191">
        <v>7</v>
      </c>
      <c r="R91" s="191">
        <v>1</v>
      </c>
      <c r="S91" s="191">
        <v>7</v>
      </c>
      <c r="T91" s="191">
        <v>12</v>
      </c>
      <c r="U91" s="191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81</v>
      </c>
      <c r="M92" s="192" t="s">
        <v>95</v>
      </c>
      <c r="N92" s="192" t="s">
        <v>28</v>
      </c>
      <c r="O92" s="192" t="s">
        <v>13</v>
      </c>
      <c r="Q92" s="191">
        <v>5</v>
      </c>
      <c r="R92" s="191">
        <v>14</v>
      </c>
      <c r="S92" s="191">
        <v>6</v>
      </c>
      <c r="T92" s="191">
        <v>9</v>
      </c>
      <c r="U92" s="191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91">
        <v>89</v>
      </c>
      <c r="K93" s="192" t="s">
        <v>13</v>
      </c>
      <c r="L93" s="192" t="s">
        <v>13</v>
      </c>
      <c r="M93" s="192" t="s">
        <v>14</v>
      </c>
      <c r="N93" s="192" t="s">
        <v>30</v>
      </c>
      <c r="O93" s="192" t="s">
        <v>13</v>
      </c>
      <c r="Q93" s="191">
        <v>5</v>
      </c>
      <c r="R93" s="191">
        <v>5</v>
      </c>
      <c r="S93" s="191">
        <v>1</v>
      </c>
      <c r="T93" s="191">
        <v>10</v>
      </c>
      <c r="U93" s="191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30</v>
      </c>
      <c r="M94" s="192" t="s">
        <v>82</v>
      </c>
      <c r="N94" s="192" t="s">
        <v>12</v>
      </c>
      <c r="O94" s="192" t="s">
        <v>14</v>
      </c>
      <c r="Q94" s="191">
        <v>6</v>
      </c>
      <c r="R94" s="191">
        <v>10</v>
      </c>
      <c r="S94" s="191">
        <v>16</v>
      </c>
      <c r="T94" s="191">
        <v>4</v>
      </c>
      <c r="U94" s="191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16</v>
      </c>
      <c r="M95" s="192" t="s">
        <v>29</v>
      </c>
      <c r="N95" s="192" t="s">
        <v>12</v>
      </c>
      <c r="O95" s="192" t="s">
        <v>16</v>
      </c>
      <c r="Q95" s="191">
        <v>5</v>
      </c>
      <c r="R95" s="191">
        <v>3</v>
      </c>
      <c r="S95" s="191">
        <v>8</v>
      </c>
      <c r="T95" s="191">
        <v>4</v>
      </c>
      <c r="U95" s="191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78</v>
      </c>
      <c r="M96" s="192" t="s">
        <v>95</v>
      </c>
      <c r="N96" s="192" t="s">
        <v>28</v>
      </c>
      <c r="O96" s="192" t="s">
        <v>16</v>
      </c>
      <c r="Q96" s="191">
        <v>8</v>
      </c>
      <c r="R96" s="191">
        <v>11</v>
      </c>
      <c r="S96" s="191">
        <v>6</v>
      </c>
      <c r="T96" s="191">
        <v>9</v>
      </c>
      <c r="U96" s="191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91">
        <v>93</v>
      </c>
      <c r="K97" s="192" t="s">
        <v>15</v>
      </c>
      <c r="L97" s="192" t="s">
        <v>30</v>
      </c>
      <c r="M97" s="192" t="s">
        <v>31</v>
      </c>
      <c r="N97" s="192" t="s">
        <v>94</v>
      </c>
      <c r="O97" s="192" t="s">
        <v>31</v>
      </c>
      <c r="Q97" s="191">
        <v>2</v>
      </c>
      <c r="R97" s="191">
        <v>10</v>
      </c>
      <c r="S97" s="191">
        <v>7</v>
      </c>
      <c r="T97" s="191">
        <v>17</v>
      </c>
      <c r="U97" s="191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92" t="s">
        <v>13</v>
      </c>
      <c r="L98" s="192" t="s">
        <v>79</v>
      </c>
      <c r="M98" s="192" t="s">
        <v>13</v>
      </c>
      <c r="N98" s="192" t="s">
        <v>15</v>
      </c>
      <c r="O98" s="192" t="s">
        <v>30</v>
      </c>
      <c r="Q98" s="191">
        <v>5</v>
      </c>
      <c r="R98" s="191">
        <v>12</v>
      </c>
      <c r="S98" s="191">
        <v>5</v>
      </c>
      <c r="T98" s="191">
        <v>2</v>
      </c>
      <c r="U98" s="191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15</v>
      </c>
      <c r="M99" s="192" t="s">
        <v>28</v>
      </c>
      <c r="N99" s="192" t="s">
        <v>30</v>
      </c>
      <c r="O99" s="192" t="s">
        <v>13</v>
      </c>
      <c r="Q99" s="191">
        <v>5</v>
      </c>
      <c r="R99" s="191">
        <v>2</v>
      </c>
      <c r="S99" s="191">
        <v>9</v>
      </c>
      <c r="T99" s="191">
        <v>10</v>
      </c>
      <c r="U99" s="191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92" t="s">
        <v>31</v>
      </c>
      <c r="L100" s="192" t="s">
        <v>13</v>
      </c>
      <c r="M100" s="192" t="s">
        <v>29</v>
      </c>
      <c r="N100" s="192" t="s">
        <v>15</v>
      </c>
      <c r="O100" s="192" t="s">
        <v>15</v>
      </c>
      <c r="Q100" s="191">
        <v>7</v>
      </c>
      <c r="R100" s="191">
        <v>5</v>
      </c>
      <c r="S100" s="191">
        <v>8</v>
      </c>
      <c r="T100" s="191">
        <v>2</v>
      </c>
      <c r="U100" s="191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13</v>
      </c>
      <c r="M101" s="192" t="s">
        <v>13</v>
      </c>
      <c r="N101" s="192" t="s">
        <v>15</v>
      </c>
      <c r="O101" s="192" t="s">
        <v>15</v>
      </c>
      <c r="Q101" s="191">
        <v>8</v>
      </c>
      <c r="R101" s="191">
        <v>5</v>
      </c>
      <c r="S101" s="191">
        <v>5</v>
      </c>
      <c r="T101" s="191">
        <v>2</v>
      </c>
      <c r="U101" s="191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92" t="s">
        <v>14</v>
      </c>
      <c r="L102" s="192" t="s">
        <v>78</v>
      </c>
      <c r="M102" s="192" t="s">
        <v>13</v>
      </c>
      <c r="N102" s="192" t="s">
        <v>13</v>
      </c>
      <c r="O102" s="192" t="s">
        <v>95</v>
      </c>
      <c r="Q102" s="191">
        <v>1</v>
      </c>
      <c r="R102" s="191">
        <v>11</v>
      </c>
      <c r="S102" s="191">
        <v>5</v>
      </c>
      <c r="T102" s="191">
        <v>5</v>
      </c>
      <c r="U102" s="191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91">
        <v>99</v>
      </c>
      <c r="K103" s="192" t="s">
        <v>15</v>
      </c>
      <c r="L103" s="192" t="s">
        <v>96</v>
      </c>
      <c r="M103" s="192" t="s">
        <v>29</v>
      </c>
      <c r="N103" s="192" t="s">
        <v>28</v>
      </c>
      <c r="O103" s="192" t="s">
        <v>28</v>
      </c>
      <c r="Q103" s="191">
        <v>2</v>
      </c>
      <c r="R103" s="191">
        <v>15</v>
      </c>
      <c r="S103" s="191">
        <v>8</v>
      </c>
      <c r="T103" s="191">
        <v>9</v>
      </c>
      <c r="U103" s="191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92" t="s">
        <v>16</v>
      </c>
      <c r="L104" s="192" t="s">
        <v>12</v>
      </c>
      <c r="M104" s="192" t="s">
        <v>31</v>
      </c>
      <c r="N104" s="192" t="s">
        <v>31</v>
      </c>
      <c r="O104" s="192" t="s">
        <v>12</v>
      </c>
      <c r="Q104" s="191">
        <v>3</v>
      </c>
      <c r="R104" s="191">
        <v>4</v>
      </c>
      <c r="S104" s="191">
        <v>7</v>
      </c>
      <c r="T104" s="191">
        <v>7</v>
      </c>
      <c r="U104" s="191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92" t="s">
        <v>28</v>
      </c>
      <c r="L105" s="192" t="s">
        <v>95</v>
      </c>
      <c r="M105" s="192" t="s">
        <v>31</v>
      </c>
      <c r="N105" s="192" t="s">
        <v>29</v>
      </c>
      <c r="O105" s="192" t="s">
        <v>13</v>
      </c>
      <c r="Q105" s="191">
        <v>9</v>
      </c>
      <c r="R105" s="191">
        <v>6</v>
      </c>
      <c r="S105" s="191">
        <v>7</v>
      </c>
      <c r="T105" s="191">
        <v>8</v>
      </c>
      <c r="U105" s="191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91">
        <v>102</v>
      </c>
      <c r="K106" s="192" t="s">
        <v>12</v>
      </c>
      <c r="L106" s="192" t="s">
        <v>95</v>
      </c>
      <c r="M106" s="192" t="s">
        <v>95</v>
      </c>
      <c r="N106" s="192" t="s">
        <v>29</v>
      </c>
      <c r="O106" s="192" t="s">
        <v>28</v>
      </c>
      <c r="Q106" s="191">
        <v>4</v>
      </c>
      <c r="R106" s="191">
        <v>6</v>
      </c>
      <c r="S106" s="191">
        <v>6</v>
      </c>
      <c r="T106" s="191">
        <v>8</v>
      </c>
      <c r="U106" s="191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96</v>
      </c>
      <c r="M107" s="192" t="s">
        <v>16</v>
      </c>
      <c r="N107" s="192" t="s">
        <v>13</v>
      </c>
      <c r="O107" s="192" t="s">
        <v>30</v>
      </c>
      <c r="Q107" s="191">
        <v>8</v>
      </c>
      <c r="R107" s="191">
        <v>15</v>
      </c>
      <c r="S107" s="191">
        <v>3</v>
      </c>
      <c r="T107" s="191">
        <v>5</v>
      </c>
      <c r="U107" s="191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30</v>
      </c>
      <c r="M108" s="192" t="s">
        <v>29</v>
      </c>
      <c r="N108" s="192" t="s">
        <v>30</v>
      </c>
      <c r="O108" s="192" t="s">
        <v>30</v>
      </c>
      <c r="Q108" s="191">
        <v>5</v>
      </c>
      <c r="R108" s="191">
        <v>10</v>
      </c>
      <c r="S108" s="191">
        <v>8</v>
      </c>
      <c r="T108" s="191">
        <v>10</v>
      </c>
      <c r="U108" s="191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92" t="s">
        <v>30</v>
      </c>
      <c r="L109" s="192" t="s">
        <v>79</v>
      </c>
      <c r="M109" s="192" t="s">
        <v>31</v>
      </c>
      <c r="N109" s="192" t="s">
        <v>28</v>
      </c>
      <c r="O109" s="192" t="s">
        <v>16</v>
      </c>
      <c r="Q109" s="191">
        <v>10</v>
      </c>
      <c r="R109" s="191">
        <v>12</v>
      </c>
      <c r="S109" s="191">
        <v>7</v>
      </c>
      <c r="T109" s="191">
        <v>9</v>
      </c>
      <c r="U109" s="191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12</v>
      </c>
      <c r="M110" s="192" t="s">
        <v>13</v>
      </c>
      <c r="N110" s="192" t="s">
        <v>14</v>
      </c>
      <c r="O110" s="192" t="s">
        <v>28</v>
      </c>
      <c r="Q110" s="191">
        <v>8</v>
      </c>
      <c r="R110" s="191">
        <v>4</v>
      </c>
      <c r="S110" s="191">
        <v>5</v>
      </c>
      <c r="T110" s="191">
        <v>1</v>
      </c>
      <c r="U110" s="191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87</v>
      </c>
      <c r="M111" s="192" t="s">
        <v>14</v>
      </c>
      <c r="N111" s="192" t="s">
        <v>95</v>
      </c>
      <c r="O111" s="192" t="s">
        <v>12</v>
      </c>
      <c r="Q111" s="191">
        <v>8</v>
      </c>
      <c r="R111" s="191">
        <v>19</v>
      </c>
      <c r="S111" s="191">
        <v>1</v>
      </c>
      <c r="T111" s="191">
        <v>6</v>
      </c>
      <c r="U111" s="191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91">
        <v>108</v>
      </c>
      <c r="K112" s="192" t="s">
        <v>29</v>
      </c>
      <c r="L112" s="192" t="s">
        <v>85</v>
      </c>
      <c r="M112" s="192" t="s">
        <v>96</v>
      </c>
      <c r="N112" s="192" t="s">
        <v>15</v>
      </c>
      <c r="O112" s="192" t="s">
        <v>16</v>
      </c>
      <c r="Q112" s="191">
        <v>8</v>
      </c>
      <c r="R112" s="191">
        <v>18</v>
      </c>
      <c r="S112" s="191">
        <v>15</v>
      </c>
      <c r="T112" s="191">
        <v>2</v>
      </c>
      <c r="U112" s="191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95</v>
      </c>
      <c r="M113" s="192" t="s">
        <v>82</v>
      </c>
      <c r="N113" s="192" t="s">
        <v>15</v>
      </c>
      <c r="O113" s="192" t="s">
        <v>15</v>
      </c>
      <c r="Q113" s="191">
        <v>7</v>
      </c>
      <c r="R113" s="191">
        <v>6</v>
      </c>
      <c r="S113" s="191">
        <v>16</v>
      </c>
      <c r="T113" s="191">
        <v>2</v>
      </c>
      <c r="U113" s="191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91">
        <v>110</v>
      </c>
      <c r="K114" s="192" t="s">
        <v>95</v>
      </c>
      <c r="L114" s="192" t="s">
        <v>94</v>
      </c>
      <c r="M114" s="192" t="s">
        <v>29</v>
      </c>
      <c r="N114" s="192" t="s">
        <v>15</v>
      </c>
      <c r="O114" s="192" t="s">
        <v>13</v>
      </c>
      <c r="Q114" s="191">
        <v>6</v>
      </c>
      <c r="R114" s="191">
        <v>17</v>
      </c>
      <c r="S114" s="191">
        <v>8</v>
      </c>
      <c r="T114" s="191">
        <v>2</v>
      </c>
      <c r="U114" s="191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29</v>
      </c>
      <c r="M115" s="192" t="s">
        <v>13</v>
      </c>
      <c r="N115" s="192" t="s">
        <v>30</v>
      </c>
      <c r="O115" s="192" t="s">
        <v>13</v>
      </c>
      <c r="Q115" s="191">
        <v>5</v>
      </c>
      <c r="R115" s="191">
        <v>8</v>
      </c>
      <c r="S115" s="191">
        <v>5</v>
      </c>
      <c r="T115" s="191">
        <v>10</v>
      </c>
      <c r="U115" s="191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28</v>
      </c>
      <c r="M116" s="192" t="s">
        <v>95</v>
      </c>
      <c r="N116" s="192" t="s">
        <v>29</v>
      </c>
      <c r="O116" s="192" t="s">
        <v>31</v>
      </c>
      <c r="Q116" s="191">
        <v>7</v>
      </c>
      <c r="R116" s="191">
        <v>9</v>
      </c>
      <c r="S116" s="191">
        <v>6</v>
      </c>
      <c r="T116" s="191">
        <v>8</v>
      </c>
      <c r="U116" s="191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92" t="s">
        <v>95</v>
      </c>
      <c r="L117" s="192" t="s">
        <v>85</v>
      </c>
      <c r="M117" s="192" t="s">
        <v>94</v>
      </c>
      <c r="N117" s="192" t="s">
        <v>30</v>
      </c>
      <c r="O117" s="192" t="s">
        <v>16</v>
      </c>
      <c r="Q117" s="191">
        <v>6</v>
      </c>
      <c r="R117" s="191">
        <v>18</v>
      </c>
      <c r="S117" s="191">
        <v>17</v>
      </c>
      <c r="T117" s="191">
        <v>10</v>
      </c>
      <c r="U117" s="191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80</v>
      </c>
      <c r="M118" s="192" t="s">
        <v>31</v>
      </c>
      <c r="N118" s="192" t="s">
        <v>16</v>
      </c>
      <c r="O118" s="192" t="s">
        <v>95</v>
      </c>
      <c r="Q118" s="191">
        <v>8</v>
      </c>
      <c r="R118" s="191">
        <v>13</v>
      </c>
      <c r="S118" s="191">
        <v>7</v>
      </c>
      <c r="T118" s="191">
        <v>3</v>
      </c>
      <c r="U118" s="191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29</v>
      </c>
      <c r="M119" s="192" t="s">
        <v>95</v>
      </c>
      <c r="N119" s="192" t="s">
        <v>13</v>
      </c>
      <c r="O119" s="192" t="s">
        <v>14</v>
      </c>
      <c r="Q119" s="191">
        <v>7</v>
      </c>
      <c r="R119" s="191">
        <v>8</v>
      </c>
      <c r="S119" s="191">
        <v>6</v>
      </c>
      <c r="T119" s="191">
        <v>5</v>
      </c>
      <c r="U119" s="191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29</v>
      </c>
      <c r="M120" s="192" t="s">
        <v>81</v>
      </c>
      <c r="N120" s="192" t="s">
        <v>14</v>
      </c>
      <c r="O120" s="192" t="s">
        <v>31</v>
      </c>
      <c r="Q120" s="191">
        <v>5</v>
      </c>
      <c r="R120" s="191">
        <v>8</v>
      </c>
      <c r="S120" s="191">
        <v>14</v>
      </c>
      <c r="T120" s="191">
        <v>1</v>
      </c>
      <c r="U120" s="191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13</v>
      </c>
      <c r="M121" s="192" t="s">
        <v>95</v>
      </c>
      <c r="N121" s="192" t="s">
        <v>12</v>
      </c>
      <c r="O121" s="192" t="s">
        <v>16</v>
      </c>
      <c r="Q121" s="191">
        <v>7</v>
      </c>
      <c r="R121" s="191">
        <v>5</v>
      </c>
      <c r="S121" s="191">
        <v>6</v>
      </c>
      <c r="T121" s="191">
        <v>4</v>
      </c>
      <c r="U121" s="191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81</v>
      </c>
      <c r="M122" s="192" t="s">
        <v>31</v>
      </c>
      <c r="N122" s="192" t="s">
        <v>31</v>
      </c>
      <c r="O122" s="192" t="s">
        <v>15</v>
      </c>
      <c r="Q122" s="191">
        <v>7</v>
      </c>
      <c r="R122" s="191">
        <v>14</v>
      </c>
      <c r="S122" s="191">
        <v>7</v>
      </c>
      <c r="T122" s="191">
        <v>7</v>
      </c>
      <c r="U122" s="191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13</v>
      </c>
      <c r="M123" s="192" t="s">
        <v>31</v>
      </c>
      <c r="N123" s="192" t="s">
        <v>31</v>
      </c>
      <c r="O123" s="192" t="s">
        <v>16</v>
      </c>
      <c r="Q123" s="191">
        <v>5</v>
      </c>
      <c r="R123" s="191">
        <v>5</v>
      </c>
      <c r="S123" s="191">
        <v>7</v>
      </c>
      <c r="T123" s="191">
        <v>7</v>
      </c>
      <c r="U123" s="191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91">
        <v>120</v>
      </c>
      <c r="K124" s="192" t="s">
        <v>13</v>
      </c>
      <c r="L124" s="192" t="s">
        <v>30</v>
      </c>
      <c r="M124" s="192" t="s">
        <v>95</v>
      </c>
      <c r="N124" s="192" t="s">
        <v>28</v>
      </c>
      <c r="O124" s="192" t="s">
        <v>12</v>
      </c>
      <c r="Q124" s="191">
        <v>5</v>
      </c>
      <c r="R124" s="191">
        <v>10</v>
      </c>
      <c r="S124" s="191">
        <v>6</v>
      </c>
      <c r="T124" s="191">
        <v>9</v>
      </c>
      <c r="U124" s="191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16</v>
      </c>
      <c r="M125" s="192" t="s">
        <v>95</v>
      </c>
      <c r="N125" s="192" t="s">
        <v>16</v>
      </c>
      <c r="O125" s="192" t="s">
        <v>13</v>
      </c>
      <c r="Q125" s="191">
        <v>7</v>
      </c>
      <c r="R125" s="191">
        <v>3</v>
      </c>
      <c r="S125" s="191">
        <v>6</v>
      </c>
      <c r="T125" s="191">
        <v>3</v>
      </c>
      <c r="U125" s="191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85</v>
      </c>
      <c r="M126" s="192" t="s">
        <v>14</v>
      </c>
      <c r="N126" s="192" t="s">
        <v>80</v>
      </c>
      <c r="O126" s="192" t="s">
        <v>28</v>
      </c>
      <c r="Q126" s="191">
        <v>6</v>
      </c>
      <c r="R126" s="191">
        <v>18</v>
      </c>
      <c r="S126" s="191">
        <v>1</v>
      </c>
      <c r="T126" s="191">
        <v>13</v>
      </c>
      <c r="U126" s="191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30</v>
      </c>
      <c r="M127" s="192" t="s">
        <v>29</v>
      </c>
      <c r="N127" s="192" t="s">
        <v>79</v>
      </c>
      <c r="O127" s="192" t="s">
        <v>16</v>
      </c>
      <c r="Q127" s="191">
        <v>8</v>
      </c>
      <c r="R127" s="191">
        <v>10</v>
      </c>
      <c r="S127" s="191">
        <v>8</v>
      </c>
      <c r="T127" s="191">
        <v>12</v>
      </c>
      <c r="U127" s="191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87</v>
      </c>
      <c r="M128" s="192" t="s">
        <v>15</v>
      </c>
      <c r="N128" s="192" t="s">
        <v>30</v>
      </c>
      <c r="O128" s="192" t="s">
        <v>30</v>
      </c>
      <c r="Q128" s="191">
        <v>5</v>
      </c>
      <c r="R128" s="191">
        <v>19</v>
      </c>
      <c r="S128" s="191">
        <v>2</v>
      </c>
      <c r="T128" s="191">
        <v>10</v>
      </c>
      <c r="U128" s="191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92" t="s">
        <v>31</v>
      </c>
      <c r="L129" s="192" t="s">
        <v>15</v>
      </c>
      <c r="M129" s="192" t="s">
        <v>13</v>
      </c>
      <c r="N129" s="192" t="s">
        <v>30</v>
      </c>
      <c r="O129" s="192" t="s">
        <v>16</v>
      </c>
      <c r="Q129" s="191">
        <v>7</v>
      </c>
      <c r="R129" s="191">
        <v>2</v>
      </c>
      <c r="S129" s="191">
        <v>5</v>
      </c>
      <c r="T129" s="191">
        <v>10</v>
      </c>
      <c r="U129" s="191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85</v>
      </c>
      <c r="M130" s="192" t="s">
        <v>29</v>
      </c>
      <c r="N130" s="192" t="s">
        <v>30</v>
      </c>
      <c r="O130" s="192" t="s">
        <v>15</v>
      </c>
      <c r="Q130" s="191">
        <v>8</v>
      </c>
      <c r="R130" s="191">
        <v>18</v>
      </c>
      <c r="S130" s="191">
        <v>8</v>
      </c>
      <c r="T130" s="191">
        <v>10</v>
      </c>
      <c r="U130" s="191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31</v>
      </c>
      <c r="N131" s="192" t="s">
        <v>12</v>
      </c>
      <c r="O131" s="192" t="s">
        <v>12</v>
      </c>
      <c r="Q131" s="191">
        <v>6</v>
      </c>
      <c r="R131" s="191">
        <v>4</v>
      </c>
      <c r="S131" s="191">
        <v>7</v>
      </c>
      <c r="T131" s="191">
        <v>4</v>
      </c>
      <c r="U131" s="191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87</v>
      </c>
      <c r="M132" s="192" t="s">
        <v>31</v>
      </c>
      <c r="N132" s="192" t="s">
        <v>95</v>
      </c>
      <c r="O132" s="192" t="s">
        <v>12</v>
      </c>
      <c r="Q132" s="191">
        <v>6</v>
      </c>
      <c r="R132" s="191">
        <v>19</v>
      </c>
      <c r="S132" s="191">
        <v>7</v>
      </c>
      <c r="T132" s="191">
        <v>6</v>
      </c>
      <c r="U132" s="191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87</v>
      </c>
      <c r="M133" s="192" t="s">
        <v>13</v>
      </c>
      <c r="N133" s="192" t="s">
        <v>30</v>
      </c>
      <c r="O133" s="192" t="s">
        <v>30</v>
      </c>
      <c r="Q133" s="191">
        <v>5</v>
      </c>
      <c r="R133" s="191">
        <v>19</v>
      </c>
      <c r="S133" s="191">
        <v>5</v>
      </c>
      <c r="T133" s="191">
        <v>10</v>
      </c>
      <c r="U133" s="191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91">
        <v>130</v>
      </c>
      <c r="K134" s="192" t="s">
        <v>29</v>
      </c>
      <c r="L134" s="192" t="s">
        <v>15</v>
      </c>
      <c r="M134" s="192" t="s">
        <v>13</v>
      </c>
      <c r="N134" s="192" t="s">
        <v>12</v>
      </c>
      <c r="O134" s="192" t="s">
        <v>28</v>
      </c>
      <c r="Q134" s="191">
        <v>8</v>
      </c>
      <c r="R134" s="191">
        <v>2</v>
      </c>
      <c r="S134" s="191">
        <v>5</v>
      </c>
      <c r="T134" s="191">
        <v>4</v>
      </c>
      <c r="U134" s="191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80</v>
      </c>
      <c r="M135" s="192" t="s">
        <v>31</v>
      </c>
      <c r="N135" s="192" t="s">
        <v>13</v>
      </c>
      <c r="O135" s="192" t="s">
        <v>95</v>
      </c>
      <c r="Q135" s="191">
        <v>8</v>
      </c>
      <c r="R135" s="191">
        <v>13</v>
      </c>
      <c r="S135" s="191">
        <v>7</v>
      </c>
      <c r="T135" s="191">
        <v>5</v>
      </c>
      <c r="U135" s="191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82</v>
      </c>
      <c r="N136" s="192" t="s">
        <v>79</v>
      </c>
      <c r="O136" s="192" t="s">
        <v>15</v>
      </c>
      <c r="Q136" s="191">
        <v>7</v>
      </c>
      <c r="R136" s="191">
        <v>8</v>
      </c>
      <c r="S136" s="191">
        <v>16</v>
      </c>
      <c r="T136" s="191">
        <v>12</v>
      </c>
      <c r="U136" s="191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12</v>
      </c>
      <c r="M137" s="192" t="s">
        <v>31</v>
      </c>
      <c r="N137" s="192" t="s">
        <v>15</v>
      </c>
      <c r="O137" s="192" t="s">
        <v>13</v>
      </c>
      <c r="Q137" s="191">
        <v>6</v>
      </c>
      <c r="R137" s="191">
        <v>4</v>
      </c>
      <c r="S137" s="191">
        <v>7</v>
      </c>
      <c r="T137" s="191">
        <v>2</v>
      </c>
      <c r="U137" s="191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81</v>
      </c>
      <c r="M138" s="192" t="s">
        <v>13</v>
      </c>
      <c r="N138" s="192" t="s">
        <v>28</v>
      </c>
      <c r="O138" s="192" t="s">
        <v>16</v>
      </c>
      <c r="Q138" s="191">
        <v>8</v>
      </c>
      <c r="R138" s="191">
        <v>14</v>
      </c>
      <c r="S138" s="191">
        <v>5</v>
      </c>
      <c r="T138" s="191">
        <v>9</v>
      </c>
      <c r="U138" s="191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15</v>
      </c>
      <c r="M139" s="192" t="s">
        <v>29</v>
      </c>
      <c r="N139" s="192" t="s">
        <v>85</v>
      </c>
      <c r="O139" s="192" t="s">
        <v>30</v>
      </c>
      <c r="Q139" s="191">
        <v>7</v>
      </c>
      <c r="R139" s="191">
        <v>2</v>
      </c>
      <c r="S139" s="191">
        <v>8</v>
      </c>
      <c r="T139" s="191">
        <v>18</v>
      </c>
      <c r="U139" s="191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31</v>
      </c>
      <c r="M140" s="192" t="s">
        <v>13</v>
      </c>
      <c r="N140" s="192" t="s">
        <v>28</v>
      </c>
      <c r="O140" s="192" t="s">
        <v>31</v>
      </c>
      <c r="Q140" s="191">
        <v>5</v>
      </c>
      <c r="R140" s="191">
        <v>7</v>
      </c>
      <c r="S140" s="191">
        <v>5</v>
      </c>
      <c r="T140" s="191">
        <v>9</v>
      </c>
      <c r="U140" s="191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82</v>
      </c>
      <c r="M141" s="192" t="s">
        <v>95</v>
      </c>
      <c r="N141" s="192" t="s">
        <v>15</v>
      </c>
      <c r="O141" s="192" t="s">
        <v>28</v>
      </c>
      <c r="Q141" s="191">
        <v>8</v>
      </c>
      <c r="R141" s="191">
        <v>16</v>
      </c>
      <c r="S141" s="191">
        <v>6</v>
      </c>
      <c r="T141" s="191">
        <v>2</v>
      </c>
      <c r="U141" s="191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31</v>
      </c>
      <c r="M142" s="192" t="s">
        <v>94</v>
      </c>
      <c r="N142" s="192" t="s">
        <v>95</v>
      </c>
      <c r="O142" s="192" t="s">
        <v>12</v>
      </c>
      <c r="Q142" s="191">
        <v>7</v>
      </c>
      <c r="R142" s="191">
        <v>7</v>
      </c>
      <c r="S142" s="191">
        <v>17</v>
      </c>
      <c r="T142" s="191">
        <v>6</v>
      </c>
      <c r="U142" s="191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16</v>
      </c>
      <c r="M143" s="192" t="s">
        <v>29</v>
      </c>
      <c r="N143" s="192" t="s">
        <v>12</v>
      </c>
      <c r="O143" s="192" t="s">
        <v>31</v>
      </c>
      <c r="Q143" s="191">
        <v>5</v>
      </c>
      <c r="R143" s="191">
        <v>3</v>
      </c>
      <c r="S143" s="191">
        <v>8</v>
      </c>
      <c r="T143" s="191">
        <v>4</v>
      </c>
      <c r="U143" s="191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82</v>
      </c>
      <c r="M144" s="192" t="s">
        <v>13</v>
      </c>
      <c r="N144" s="192" t="s">
        <v>29</v>
      </c>
      <c r="O144" s="192" t="s">
        <v>31</v>
      </c>
      <c r="Q144" s="191">
        <v>6</v>
      </c>
      <c r="R144" s="191">
        <v>16</v>
      </c>
      <c r="S144" s="191">
        <v>5</v>
      </c>
      <c r="T144" s="191">
        <v>8</v>
      </c>
      <c r="U144" s="191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13</v>
      </c>
      <c r="N145" s="192" t="s">
        <v>31</v>
      </c>
      <c r="O145" s="192" t="s">
        <v>14</v>
      </c>
      <c r="Q145" s="191">
        <v>7</v>
      </c>
      <c r="R145" s="191">
        <v>7</v>
      </c>
      <c r="S145" s="191">
        <v>5</v>
      </c>
      <c r="T145" s="191">
        <v>7</v>
      </c>
      <c r="U145" s="191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95</v>
      </c>
      <c r="M146" s="192" t="s">
        <v>13</v>
      </c>
      <c r="N146" s="192" t="s">
        <v>13</v>
      </c>
      <c r="O146" s="192" t="s">
        <v>95</v>
      </c>
      <c r="Q146" s="191">
        <v>6</v>
      </c>
      <c r="R146" s="191">
        <v>6</v>
      </c>
      <c r="S146" s="191">
        <v>5</v>
      </c>
      <c r="T146" s="191">
        <v>5</v>
      </c>
      <c r="U146" s="191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79</v>
      </c>
      <c r="M147" s="192" t="s">
        <v>95</v>
      </c>
      <c r="N147" s="192" t="s">
        <v>13</v>
      </c>
      <c r="O147" s="192" t="s">
        <v>31</v>
      </c>
      <c r="Q147" s="191">
        <v>5</v>
      </c>
      <c r="R147" s="191">
        <v>12</v>
      </c>
      <c r="S147" s="191">
        <v>6</v>
      </c>
      <c r="T147" s="191">
        <v>5</v>
      </c>
      <c r="U147" s="191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91">
        <v>144</v>
      </c>
      <c r="K148" s="192" t="s">
        <v>31</v>
      </c>
      <c r="L148" s="192" t="s">
        <v>28</v>
      </c>
      <c r="M148" s="192" t="s">
        <v>31</v>
      </c>
      <c r="N148" s="192" t="s">
        <v>31</v>
      </c>
      <c r="O148" s="192" t="s">
        <v>95</v>
      </c>
      <c r="Q148" s="191">
        <v>7</v>
      </c>
      <c r="R148" s="191">
        <v>9</v>
      </c>
      <c r="S148" s="191">
        <v>7</v>
      </c>
      <c r="T148" s="191">
        <v>7</v>
      </c>
      <c r="U148" s="191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14</v>
      </c>
      <c r="M149" s="192" t="s">
        <v>31</v>
      </c>
      <c r="N149" s="192" t="s">
        <v>12</v>
      </c>
      <c r="O149" s="192" t="s">
        <v>16</v>
      </c>
      <c r="Q149" s="191">
        <v>8</v>
      </c>
      <c r="R149" s="191">
        <v>1</v>
      </c>
      <c r="S149" s="191">
        <v>7</v>
      </c>
      <c r="T149" s="191">
        <v>4</v>
      </c>
      <c r="U149" s="191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91">
        <v>146</v>
      </c>
      <c r="K150" s="192" t="s">
        <v>31</v>
      </c>
      <c r="L150" s="192" t="s">
        <v>30</v>
      </c>
      <c r="M150" s="192" t="s">
        <v>31</v>
      </c>
      <c r="N150" s="192" t="s">
        <v>12</v>
      </c>
      <c r="O150" s="192" t="s">
        <v>95</v>
      </c>
      <c r="Q150" s="191">
        <v>7</v>
      </c>
      <c r="R150" s="191">
        <v>10</v>
      </c>
      <c r="S150" s="191">
        <v>7</v>
      </c>
      <c r="T150" s="191">
        <v>4</v>
      </c>
      <c r="U150" s="191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87</v>
      </c>
      <c r="M151" s="192" t="s">
        <v>95</v>
      </c>
      <c r="N151" s="192" t="s">
        <v>12</v>
      </c>
      <c r="O151" s="192" t="s">
        <v>15</v>
      </c>
      <c r="Q151" s="191">
        <v>6</v>
      </c>
      <c r="R151" s="191">
        <v>19</v>
      </c>
      <c r="S151" s="191">
        <v>6</v>
      </c>
      <c r="T151" s="191">
        <v>4</v>
      </c>
      <c r="U151" s="191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91">
        <v>148</v>
      </c>
      <c r="K152" s="192" t="s">
        <v>12</v>
      </c>
      <c r="L152" s="192" t="s">
        <v>16</v>
      </c>
      <c r="M152" s="192" t="s">
        <v>13</v>
      </c>
      <c r="N152" s="192" t="s">
        <v>30</v>
      </c>
      <c r="O152" s="192" t="s">
        <v>14</v>
      </c>
      <c r="Q152" s="191">
        <v>4</v>
      </c>
      <c r="R152" s="191">
        <v>3</v>
      </c>
      <c r="S152" s="191">
        <v>5</v>
      </c>
      <c r="T152" s="191">
        <v>10</v>
      </c>
      <c r="U152" s="191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92" t="s">
        <v>31</v>
      </c>
      <c r="L153" s="192" t="s">
        <v>12</v>
      </c>
      <c r="M153" s="192" t="s">
        <v>16</v>
      </c>
      <c r="N153" s="192" t="s">
        <v>80</v>
      </c>
      <c r="O153" s="192" t="s">
        <v>95</v>
      </c>
      <c r="Q153" s="191">
        <v>7</v>
      </c>
      <c r="R153" s="191">
        <v>4</v>
      </c>
      <c r="S153" s="191">
        <v>3</v>
      </c>
      <c r="T153" s="191">
        <v>13</v>
      </c>
      <c r="U153" s="191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82</v>
      </c>
      <c r="M154" s="192" t="s">
        <v>29</v>
      </c>
      <c r="N154" s="192" t="s">
        <v>28</v>
      </c>
      <c r="O154" s="192" t="s">
        <v>28</v>
      </c>
      <c r="Q154" s="191">
        <v>7</v>
      </c>
      <c r="R154" s="191">
        <v>16</v>
      </c>
      <c r="S154" s="191">
        <v>8</v>
      </c>
      <c r="T154" s="191">
        <v>9</v>
      </c>
      <c r="U154" s="191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92" t="s">
        <v>95</v>
      </c>
      <c r="L155" s="192" t="s">
        <v>12</v>
      </c>
      <c r="M155" s="192" t="s">
        <v>13</v>
      </c>
      <c r="N155" s="192" t="s">
        <v>13</v>
      </c>
      <c r="O155" s="192" t="s">
        <v>28</v>
      </c>
      <c r="Q155" s="191">
        <v>6</v>
      </c>
      <c r="R155" s="191">
        <v>4</v>
      </c>
      <c r="S155" s="191">
        <v>5</v>
      </c>
      <c r="T155" s="191">
        <v>5</v>
      </c>
      <c r="U155" s="191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30</v>
      </c>
      <c r="M156" s="192" t="s">
        <v>13</v>
      </c>
      <c r="N156" s="192" t="s">
        <v>29</v>
      </c>
      <c r="O156" s="192" t="s">
        <v>95</v>
      </c>
      <c r="Q156" s="191">
        <v>7</v>
      </c>
      <c r="R156" s="191">
        <v>10</v>
      </c>
      <c r="S156" s="191">
        <v>5</v>
      </c>
      <c r="T156" s="191">
        <v>8</v>
      </c>
      <c r="U156" s="191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15</v>
      </c>
      <c r="M157" s="192" t="s">
        <v>13</v>
      </c>
      <c r="N157" s="192" t="s">
        <v>82</v>
      </c>
      <c r="O157" s="192" t="s">
        <v>95</v>
      </c>
      <c r="Q157" s="191">
        <v>6</v>
      </c>
      <c r="R157" s="191">
        <v>2</v>
      </c>
      <c r="S157" s="191">
        <v>5</v>
      </c>
      <c r="T157" s="191">
        <v>16</v>
      </c>
      <c r="U157" s="191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80</v>
      </c>
      <c r="M158" s="192" t="s">
        <v>29</v>
      </c>
      <c r="N158" s="192" t="s">
        <v>15</v>
      </c>
      <c r="O158" s="192" t="s">
        <v>29</v>
      </c>
      <c r="Q158" s="191">
        <v>8</v>
      </c>
      <c r="R158" s="191">
        <v>13</v>
      </c>
      <c r="S158" s="191">
        <v>8</v>
      </c>
      <c r="T158" s="191">
        <v>2</v>
      </c>
      <c r="U158" s="191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31</v>
      </c>
      <c r="M159" s="192" t="s">
        <v>29</v>
      </c>
      <c r="N159" s="192" t="s">
        <v>14</v>
      </c>
      <c r="O159" s="192" t="s">
        <v>14</v>
      </c>
      <c r="Q159" s="191">
        <v>8</v>
      </c>
      <c r="R159" s="191">
        <v>7</v>
      </c>
      <c r="S159" s="191">
        <v>8</v>
      </c>
      <c r="T159" s="191">
        <v>1</v>
      </c>
      <c r="U159" s="191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91">
        <v>156</v>
      </c>
      <c r="K160" s="192" t="s">
        <v>14</v>
      </c>
      <c r="L160" s="192" t="s">
        <v>96</v>
      </c>
      <c r="M160" s="192" t="s">
        <v>31</v>
      </c>
      <c r="N160" s="192" t="s">
        <v>31</v>
      </c>
      <c r="O160" s="192" t="s">
        <v>13</v>
      </c>
      <c r="Q160" s="191">
        <v>1</v>
      </c>
      <c r="R160" s="191">
        <v>15</v>
      </c>
      <c r="S160" s="191">
        <v>7</v>
      </c>
      <c r="T160" s="191">
        <v>7</v>
      </c>
      <c r="U160" s="191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95</v>
      </c>
      <c r="N161" s="192" t="s">
        <v>28</v>
      </c>
      <c r="O161" s="192" t="s">
        <v>31</v>
      </c>
      <c r="Q161" s="191">
        <v>8</v>
      </c>
      <c r="R161" s="191">
        <v>2</v>
      </c>
      <c r="S161" s="191">
        <v>6</v>
      </c>
      <c r="T161" s="191">
        <v>9</v>
      </c>
      <c r="U161" s="191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91">
        <v>158</v>
      </c>
      <c r="K162" s="192" t="s">
        <v>28</v>
      </c>
      <c r="L162" s="192" t="s">
        <v>30</v>
      </c>
      <c r="M162" s="192" t="s">
        <v>95</v>
      </c>
      <c r="N162" s="192" t="s">
        <v>28</v>
      </c>
      <c r="O162" s="192" t="s">
        <v>95</v>
      </c>
      <c r="Q162" s="191">
        <v>9</v>
      </c>
      <c r="R162" s="191">
        <v>10</v>
      </c>
      <c r="S162" s="191">
        <v>6</v>
      </c>
      <c r="T162" s="191">
        <v>9</v>
      </c>
      <c r="U162" s="191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80</v>
      </c>
      <c r="M163" s="192" t="s">
        <v>95</v>
      </c>
      <c r="N163" s="192" t="s">
        <v>28</v>
      </c>
      <c r="O163" s="192" t="s">
        <v>95</v>
      </c>
      <c r="Q163" s="191">
        <v>8</v>
      </c>
      <c r="R163" s="191">
        <v>13</v>
      </c>
      <c r="S163" s="191">
        <v>6</v>
      </c>
      <c r="T163" s="191">
        <v>9</v>
      </c>
      <c r="U163" s="191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91">
        <v>160</v>
      </c>
      <c r="K164" s="192" t="s">
        <v>29</v>
      </c>
      <c r="L164" s="192" t="s">
        <v>16</v>
      </c>
      <c r="M164" s="192" t="s">
        <v>13</v>
      </c>
      <c r="N164" s="192" t="s">
        <v>30</v>
      </c>
      <c r="O164" s="192" t="s">
        <v>29</v>
      </c>
      <c r="Q164" s="191">
        <v>8</v>
      </c>
      <c r="R164" s="191">
        <v>3</v>
      </c>
      <c r="S164" s="191">
        <v>5</v>
      </c>
      <c r="T164" s="191">
        <v>10</v>
      </c>
      <c r="U164" s="191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78</v>
      </c>
      <c r="M165" s="192" t="s">
        <v>15</v>
      </c>
      <c r="N165" s="192" t="s">
        <v>29</v>
      </c>
      <c r="O165" s="192" t="s">
        <v>30</v>
      </c>
      <c r="Q165" s="191">
        <v>5</v>
      </c>
      <c r="R165" s="191">
        <v>11</v>
      </c>
      <c r="S165" s="191">
        <v>2</v>
      </c>
      <c r="T165" s="191">
        <v>8</v>
      </c>
      <c r="U165" s="191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91">
        <v>162</v>
      </c>
      <c r="K166" s="192" t="s">
        <v>95</v>
      </c>
      <c r="L166" s="192" t="s">
        <v>12</v>
      </c>
      <c r="M166" s="192" t="s">
        <v>31</v>
      </c>
      <c r="N166" s="192" t="s">
        <v>29</v>
      </c>
      <c r="O166" s="192" t="s">
        <v>29</v>
      </c>
      <c r="Q166" s="191">
        <v>6</v>
      </c>
      <c r="R166" s="191">
        <v>4</v>
      </c>
      <c r="S166" s="191">
        <v>7</v>
      </c>
      <c r="T166" s="191">
        <v>8</v>
      </c>
      <c r="U166" s="191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16</v>
      </c>
      <c r="M167" s="192" t="s">
        <v>13</v>
      </c>
      <c r="N167" s="192" t="s">
        <v>13</v>
      </c>
      <c r="O167" s="192" t="s">
        <v>15</v>
      </c>
      <c r="Q167" s="191">
        <v>8</v>
      </c>
      <c r="R167" s="191">
        <v>3</v>
      </c>
      <c r="S167" s="191">
        <v>5</v>
      </c>
      <c r="T167" s="191">
        <v>5</v>
      </c>
      <c r="U167" s="191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80</v>
      </c>
      <c r="M168" s="192" t="s">
        <v>95</v>
      </c>
      <c r="N168" s="192" t="s">
        <v>15</v>
      </c>
      <c r="O168" s="192" t="s">
        <v>28</v>
      </c>
      <c r="Q168" s="191">
        <v>7</v>
      </c>
      <c r="R168" s="191">
        <v>13</v>
      </c>
      <c r="S168" s="191">
        <v>6</v>
      </c>
      <c r="T168" s="191">
        <v>2</v>
      </c>
      <c r="U168" s="191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28</v>
      </c>
      <c r="M169" s="192" t="s">
        <v>95</v>
      </c>
      <c r="N169" s="192" t="s">
        <v>15</v>
      </c>
      <c r="O169" s="192" t="s">
        <v>12</v>
      </c>
      <c r="Q169" s="191">
        <v>7</v>
      </c>
      <c r="R169" s="191">
        <v>9</v>
      </c>
      <c r="S169" s="191">
        <v>6</v>
      </c>
      <c r="T169" s="191">
        <v>2</v>
      </c>
      <c r="U169" s="191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15</v>
      </c>
      <c r="M170" s="192" t="s">
        <v>95</v>
      </c>
      <c r="N170" s="192" t="s">
        <v>13</v>
      </c>
      <c r="O170" s="192" t="s">
        <v>16</v>
      </c>
      <c r="Q170" s="191">
        <v>7</v>
      </c>
      <c r="R170" s="191">
        <v>2</v>
      </c>
      <c r="S170" s="191">
        <v>6</v>
      </c>
      <c r="T170" s="191">
        <v>5</v>
      </c>
      <c r="U170" s="191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13</v>
      </c>
      <c r="N171" s="192" t="s">
        <v>15</v>
      </c>
      <c r="O171" s="192" t="s">
        <v>29</v>
      </c>
      <c r="Q171" s="191">
        <v>8</v>
      </c>
      <c r="R171" s="191">
        <v>8</v>
      </c>
      <c r="S171" s="191">
        <v>5</v>
      </c>
      <c r="T171" s="191">
        <v>2</v>
      </c>
      <c r="U171" s="191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79</v>
      </c>
      <c r="M172" s="192" t="s">
        <v>95</v>
      </c>
      <c r="N172" s="192" t="s">
        <v>95</v>
      </c>
      <c r="O172" s="192" t="s">
        <v>15</v>
      </c>
      <c r="Q172" s="191">
        <v>7</v>
      </c>
      <c r="R172" s="191">
        <v>12</v>
      </c>
      <c r="S172" s="191">
        <v>6</v>
      </c>
      <c r="T172" s="191">
        <v>6</v>
      </c>
      <c r="U172" s="191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92" t="s">
        <v>13</v>
      </c>
      <c r="L173" s="192" t="s">
        <v>28</v>
      </c>
      <c r="M173" s="192" t="s">
        <v>13</v>
      </c>
      <c r="N173" s="192" t="s">
        <v>16</v>
      </c>
      <c r="O173" s="192" t="s">
        <v>12</v>
      </c>
      <c r="Q173" s="191">
        <v>5</v>
      </c>
      <c r="R173" s="191">
        <v>9</v>
      </c>
      <c r="S173" s="191">
        <v>5</v>
      </c>
      <c r="T173" s="191">
        <v>3</v>
      </c>
      <c r="U173" s="191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31</v>
      </c>
      <c r="M174" s="192" t="s">
        <v>14</v>
      </c>
      <c r="N174" s="192" t="s">
        <v>95</v>
      </c>
      <c r="O174" s="192" t="s">
        <v>31</v>
      </c>
      <c r="Q174" s="191">
        <v>6</v>
      </c>
      <c r="R174" s="191">
        <v>7</v>
      </c>
      <c r="S174" s="191">
        <v>1</v>
      </c>
      <c r="T174" s="191">
        <v>6</v>
      </c>
      <c r="U174" s="191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31</v>
      </c>
      <c r="M175" s="192" t="s">
        <v>29</v>
      </c>
      <c r="N175" s="192" t="s">
        <v>31</v>
      </c>
      <c r="O175" s="192" t="s">
        <v>29</v>
      </c>
      <c r="Q175" s="191">
        <v>7</v>
      </c>
      <c r="R175" s="191">
        <v>7</v>
      </c>
      <c r="S175" s="191">
        <v>8</v>
      </c>
      <c r="T175" s="191">
        <v>7</v>
      </c>
      <c r="U175" s="191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12</v>
      </c>
      <c r="M176" s="192" t="s">
        <v>29</v>
      </c>
      <c r="N176" s="192" t="s">
        <v>81</v>
      </c>
      <c r="O176" s="192" t="s">
        <v>14</v>
      </c>
      <c r="Q176" s="191">
        <v>6</v>
      </c>
      <c r="R176" s="191">
        <v>4</v>
      </c>
      <c r="S176" s="191">
        <v>8</v>
      </c>
      <c r="T176" s="191">
        <v>14</v>
      </c>
      <c r="U176" s="191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92" t="s">
        <v>95</v>
      </c>
      <c r="L177" s="192" t="s">
        <v>80</v>
      </c>
      <c r="M177" s="192" t="s">
        <v>13</v>
      </c>
      <c r="N177" s="192" t="s">
        <v>85</v>
      </c>
      <c r="O177" s="192" t="s">
        <v>29</v>
      </c>
      <c r="Q177" s="191">
        <v>6</v>
      </c>
      <c r="R177" s="191">
        <v>13</v>
      </c>
      <c r="S177" s="191">
        <v>5</v>
      </c>
      <c r="T177" s="191">
        <v>18</v>
      </c>
      <c r="U177" s="191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91">
        <v>174</v>
      </c>
      <c r="K178" s="192" t="s">
        <v>95</v>
      </c>
      <c r="L178" s="192" t="s">
        <v>15</v>
      </c>
      <c r="M178" s="192" t="s">
        <v>29</v>
      </c>
      <c r="N178" s="192" t="s">
        <v>87</v>
      </c>
      <c r="O178" s="192" t="s">
        <v>29</v>
      </c>
      <c r="Q178" s="191">
        <v>6</v>
      </c>
      <c r="R178" s="191">
        <v>2</v>
      </c>
      <c r="S178" s="191">
        <v>8</v>
      </c>
      <c r="T178" s="191">
        <v>19</v>
      </c>
      <c r="U178" s="191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92" t="s">
        <v>14</v>
      </c>
      <c r="L179" s="192" t="s">
        <v>15</v>
      </c>
      <c r="M179" s="192" t="s">
        <v>13</v>
      </c>
      <c r="N179" s="192" t="s">
        <v>28</v>
      </c>
      <c r="O179" s="192" t="s">
        <v>31</v>
      </c>
      <c r="Q179" s="191">
        <v>1</v>
      </c>
      <c r="R179" s="191">
        <v>2</v>
      </c>
      <c r="S179" s="191">
        <v>5</v>
      </c>
      <c r="T179" s="191">
        <v>9</v>
      </c>
      <c r="U179" s="191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91">
        <v>176</v>
      </c>
      <c r="K180" s="192" t="s">
        <v>31</v>
      </c>
      <c r="L180" s="192" t="s">
        <v>15</v>
      </c>
      <c r="M180" s="192" t="s">
        <v>13</v>
      </c>
      <c r="N180" s="192" t="s">
        <v>13</v>
      </c>
      <c r="O180" s="192" t="s">
        <v>30</v>
      </c>
      <c r="Q180" s="191">
        <v>7</v>
      </c>
      <c r="R180" s="191">
        <v>2</v>
      </c>
      <c r="S180" s="191">
        <v>5</v>
      </c>
      <c r="T180" s="191">
        <v>5</v>
      </c>
      <c r="U180" s="191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92" t="s">
        <v>16</v>
      </c>
      <c r="L181" s="192" t="s">
        <v>78</v>
      </c>
      <c r="M181" s="192" t="s">
        <v>31</v>
      </c>
      <c r="N181" s="192" t="s">
        <v>15</v>
      </c>
      <c r="O181" s="192" t="s">
        <v>30</v>
      </c>
      <c r="Q181" s="191">
        <v>3</v>
      </c>
      <c r="R181" s="191">
        <v>11</v>
      </c>
      <c r="S181" s="191">
        <v>7</v>
      </c>
      <c r="T181" s="191">
        <v>2</v>
      </c>
      <c r="U181" s="191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30</v>
      </c>
      <c r="M182" s="192" t="s">
        <v>29</v>
      </c>
      <c r="N182" s="192" t="s">
        <v>14</v>
      </c>
      <c r="O182" s="192" t="s">
        <v>29</v>
      </c>
      <c r="Q182" s="191">
        <v>5</v>
      </c>
      <c r="R182" s="191">
        <v>10</v>
      </c>
      <c r="S182" s="191">
        <v>8</v>
      </c>
      <c r="T182" s="191">
        <v>1</v>
      </c>
      <c r="U182" s="191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92" t="s">
        <v>13</v>
      </c>
      <c r="L183" s="192" t="s">
        <v>28</v>
      </c>
      <c r="M183" s="192" t="s">
        <v>95</v>
      </c>
      <c r="N183" s="192" t="s">
        <v>29</v>
      </c>
      <c r="O183" s="192" t="s">
        <v>95</v>
      </c>
      <c r="Q183" s="191">
        <v>5</v>
      </c>
      <c r="R183" s="191">
        <v>9</v>
      </c>
      <c r="S183" s="191">
        <v>6</v>
      </c>
      <c r="T183" s="191">
        <v>8</v>
      </c>
      <c r="U183" s="191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96</v>
      </c>
      <c r="M184" s="192" t="s">
        <v>95</v>
      </c>
      <c r="N184" s="192" t="s">
        <v>16</v>
      </c>
      <c r="O184" s="192" t="s">
        <v>12</v>
      </c>
      <c r="Q184" s="191">
        <v>5</v>
      </c>
      <c r="R184" s="191">
        <v>15</v>
      </c>
      <c r="S184" s="191">
        <v>6</v>
      </c>
      <c r="T184" s="191">
        <v>3</v>
      </c>
      <c r="U184" s="191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92" t="s">
        <v>29</v>
      </c>
      <c r="L185" s="192" t="s">
        <v>94</v>
      </c>
      <c r="M185" s="192" t="s">
        <v>13</v>
      </c>
      <c r="N185" s="192" t="s">
        <v>16</v>
      </c>
      <c r="O185" s="192" t="s">
        <v>29</v>
      </c>
      <c r="Q185" s="191">
        <v>8</v>
      </c>
      <c r="R185" s="191">
        <v>17</v>
      </c>
      <c r="S185" s="191">
        <v>5</v>
      </c>
      <c r="T185" s="191">
        <v>3</v>
      </c>
      <c r="U185" s="191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91">
        <v>182</v>
      </c>
      <c r="K186" s="192" t="s">
        <v>13</v>
      </c>
      <c r="L186" s="192" t="s">
        <v>31</v>
      </c>
      <c r="M186" s="192" t="s">
        <v>31</v>
      </c>
      <c r="N186" s="192" t="s">
        <v>95</v>
      </c>
      <c r="O186" s="192" t="s">
        <v>29</v>
      </c>
      <c r="Q186" s="191">
        <v>5</v>
      </c>
      <c r="R186" s="191">
        <v>7</v>
      </c>
      <c r="S186" s="191">
        <v>7</v>
      </c>
      <c r="T186" s="191">
        <v>6</v>
      </c>
      <c r="U186" s="191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28</v>
      </c>
      <c r="M187" s="192" t="s">
        <v>13</v>
      </c>
      <c r="N187" s="192" t="s">
        <v>96</v>
      </c>
      <c r="O187" s="192" t="s">
        <v>28</v>
      </c>
      <c r="Q187" s="191">
        <v>8</v>
      </c>
      <c r="R187" s="191">
        <v>9</v>
      </c>
      <c r="S187" s="191">
        <v>5</v>
      </c>
      <c r="T187" s="191">
        <v>15</v>
      </c>
      <c r="U187" s="191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91">
        <v>184</v>
      </c>
      <c r="K188" s="192" t="s">
        <v>12</v>
      </c>
      <c r="L188" s="192" t="s">
        <v>80</v>
      </c>
      <c r="M188" s="192" t="s">
        <v>29</v>
      </c>
      <c r="N188" s="192" t="s">
        <v>28</v>
      </c>
      <c r="O188" s="192" t="s">
        <v>30</v>
      </c>
      <c r="Q188" s="191">
        <v>4</v>
      </c>
      <c r="R188" s="191">
        <v>13</v>
      </c>
      <c r="S188" s="191">
        <v>8</v>
      </c>
      <c r="T188" s="191">
        <v>9</v>
      </c>
      <c r="U188" s="191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14</v>
      </c>
      <c r="M189" s="192" t="s">
        <v>13</v>
      </c>
      <c r="N189" s="192" t="s">
        <v>12</v>
      </c>
      <c r="O189" s="192" t="s">
        <v>29</v>
      </c>
      <c r="Q189" s="191">
        <v>8</v>
      </c>
      <c r="R189" s="191">
        <v>1</v>
      </c>
      <c r="S189" s="191">
        <v>5</v>
      </c>
      <c r="T189" s="191">
        <v>4</v>
      </c>
      <c r="U189" s="191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85</v>
      </c>
      <c r="M190" s="192" t="s">
        <v>13</v>
      </c>
      <c r="N190" s="192" t="s">
        <v>14</v>
      </c>
      <c r="O190" s="192" t="s">
        <v>29</v>
      </c>
      <c r="Q190" s="191">
        <v>5</v>
      </c>
      <c r="R190" s="191">
        <v>18</v>
      </c>
      <c r="S190" s="191">
        <v>5</v>
      </c>
      <c r="T190" s="191">
        <v>1</v>
      </c>
      <c r="U190" s="191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15</v>
      </c>
      <c r="M191" s="192" t="s">
        <v>29</v>
      </c>
      <c r="N191" s="192" t="s">
        <v>95</v>
      </c>
      <c r="O191" s="192" t="s">
        <v>31</v>
      </c>
      <c r="Q191" s="191">
        <v>8</v>
      </c>
      <c r="R191" s="191">
        <v>2</v>
      </c>
      <c r="S191" s="191">
        <v>8</v>
      </c>
      <c r="T191" s="191">
        <v>6</v>
      </c>
      <c r="U191" s="191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31</v>
      </c>
      <c r="M192" s="192" t="s">
        <v>29</v>
      </c>
      <c r="N192" s="192" t="s">
        <v>16</v>
      </c>
      <c r="O192" s="192" t="s">
        <v>31</v>
      </c>
      <c r="Q192" s="191">
        <v>6</v>
      </c>
      <c r="R192" s="191">
        <v>7</v>
      </c>
      <c r="S192" s="191">
        <v>8</v>
      </c>
      <c r="T192" s="191">
        <v>3</v>
      </c>
      <c r="U192" s="191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28</v>
      </c>
      <c r="M193" s="192" t="s">
        <v>31</v>
      </c>
      <c r="N193" s="192" t="s">
        <v>13</v>
      </c>
      <c r="O193" s="192" t="s">
        <v>28</v>
      </c>
      <c r="Q193" s="191">
        <v>5</v>
      </c>
      <c r="R193" s="191">
        <v>9</v>
      </c>
      <c r="S193" s="191">
        <v>7</v>
      </c>
      <c r="T193" s="191">
        <v>5</v>
      </c>
      <c r="U193" s="191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80</v>
      </c>
      <c r="M194" s="192" t="s">
        <v>95</v>
      </c>
      <c r="N194" s="192" t="s">
        <v>13</v>
      </c>
      <c r="O194" s="192" t="s">
        <v>12</v>
      </c>
      <c r="Q194" s="191">
        <v>8</v>
      </c>
      <c r="R194" s="191">
        <v>13</v>
      </c>
      <c r="S194" s="191">
        <v>6</v>
      </c>
      <c r="T194" s="191">
        <v>5</v>
      </c>
      <c r="U194" s="191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92" t="s">
        <v>28</v>
      </c>
      <c r="L195" s="192" t="s">
        <v>95</v>
      </c>
      <c r="M195" s="192" t="s">
        <v>28</v>
      </c>
      <c r="N195" s="192" t="s">
        <v>87</v>
      </c>
      <c r="O195" s="192" t="s">
        <v>29</v>
      </c>
      <c r="Q195" s="191">
        <v>9</v>
      </c>
      <c r="R195" s="191">
        <v>6</v>
      </c>
      <c r="S195" s="191">
        <v>9</v>
      </c>
      <c r="T195" s="191">
        <v>19</v>
      </c>
      <c r="U195" s="191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91">
        <v>192</v>
      </c>
      <c r="K196" s="192" t="s">
        <v>13</v>
      </c>
      <c r="L196" s="192" t="s">
        <v>15</v>
      </c>
      <c r="M196" s="192" t="s">
        <v>13</v>
      </c>
      <c r="N196" s="192" t="s">
        <v>29</v>
      </c>
      <c r="O196" s="192" t="s">
        <v>95</v>
      </c>
      <c r="Q196" s="191">
        <v>5</v>
      </c>
      <c r="R196" s="191">
        <v>2</v>
      </c>
      <c r="S196" s="191">
        <v>5</v>
      </c>
      <c r="T196" s="191">
        <v>8</v>
      </c>
      <c r="U196" s="191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82</v>
      </c>
      <c r="M197" s="192" t="s">
        <v>31</v>
      </c>
      <c r="N197" s="192" t="s">
        <v>16</v>
      </c>
      <c r="O197" s="192" t="s">
        <v>29</v>
      </c>
      <c r="Q197" s="191">
        <v>8</v>
      </c>
      <c r="R197" s="191">
        <v>16</v>
      </c>
      <c r="S197" s="191">
        <v>7</v>
      </c>
      <c r="T197" s="191">
        <v>3</v>
      </c>
      <c r="U197" s="191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91">
        <v>194</v>
      </c>
      <c r="K198" s="192" t="s">
        <v>31</v>
      </c>
      <c r="L198" s="192" t="s">
        <v>12</v>
      </c>
      <c r="M198" s="192" t="s">
        <v>31</v>
      </c>
      <c r="N198" s="192" t="s">
        <v>30</v>
      </c>
      <c r="O198" s="192" t="s">
        <v>16</v>
      </c>
      <c r="Q198" s="191">
        <v>7</v>
      </c>
      <c r="R198" s="191">
        <v>4</v>
      </c>
      <c r="S198" s="191">
        <v>7</v>
      </c>
      <c r="T198" s="191">
        <v>10</v>
      </c>
      <c r="U198" s="191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92" t="s">
        <v>13</v>
      </c>
      <c r="L199" s="192" t="s">
        <v>28</v>
      </c>
      <c r="M199" s="192" t="s">
        <v>13</v>
      </c>
      <c r="N199" s="192" t="s">
        <v>13</v>
      </c>
      <c r="O199" s="192" t="s">
        <v>31</v>
      </c>
      <c r="Q199" s="191">
        <v>5</v>
      </c>
      <c r="R199" s="191">
        <v>9</v>
      </c>
      <c r="S199" s="191">
        <v>5</v>
      </c>
      <c r="T199" s="191">
        <v>5</v>
      </c>
      <c r="U199" s="191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85</v>
      </c>
      <c r="M200" s="192" t="s">
        <v>29</v>
      </c>
      <c r="N200" s="192" t="s">
        <v>28</v>
      </c>
      <c r="O200" s="192" t="s">
        <v>31</v>
      </c>
      <c r="Q200" s="191">
        <v>6</v>
      </c>
      <c r="R200" s="191">
        <v>18</v>
      </c>
      <c r="S200" s="191">
        <v>8</v>
      </c>
      <c r="T200" s="191">
        <v>9</v>
      </c>
      <c r="U200" s="191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28</v>
      </c>
      <c r="M201" s="192" t="s">
        <v>95</v>
      </c>
      <c r="N201" s="192" t="s">
        <v>28</v>
      </c>
      <c r="O201" s="192" t="s">
        <v>95</v>
      </c>
      <c r="Q201" s="191">
        <v>5</v>
      </c>
      <c r="R201" s="191">
        <v>9</v>
      </c>
      <c r="S201" s="191">
        <v>6</v>
      </c>
      <c r="T201" s="191">
        <v>9</v>
      </c>
      <c r="U201" s="191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91">
        <v>198</v>
      </c>
      <c r="K202" s="192" t="s">
        <v>95</v>
      </c>
      <c r="L202" s="192" t="s">
        <v>13</v>
      </c>
      <c r="M202" s="192" t="s">
        <v>29</v>
      </c>
      <c r="N202" s="192" t="s">
        <v>96</v>
      </c>
      <c r="O202" s="192" t="s">
        <v>95</v>
      </c>
      <c r="Q202" s="191">
        <v>6</v>
      </c>
      <c r="R202" s="191">
        <v>5</v>
      </c>
      <c r="S202" s="191">
        <v>8</v>
      </c>
      <c r="T202" s="191">
        <v>15</v>
      </c>
      <c r="U202" s="191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79</v>
      </c>
      <c r="M203" s="192" t="s">
        <v>29</v>
      </c>
      <c r="N203" s="192" t="s">
        <v>79</v>
      </c>
      <c r="O203" s="192" t="s">
        <v>12</v>
      </c>
      <c r="Q203" s="191">
        <v>7</v>
      </c>
      <c r="R203" s="191">
        <v>12</v>
      </c>
      <c r="S203" s="191">
        <v>8</v>
      </c>
      <c r="T203" s="191">
        <v>12</v>
      </c>
      <c r="U203" s="191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09" priority="65">
      <formula>_xlfn.LET(_xlpm.x, W4, AND(NOT(_xlfn.ISFORMULA(_xlpm.x)), _xlpm.x&lt;&gt;""))</formula>
    </cfRule>
  </conditionalFormatting>
  <conditionalFormatting sqref="W5:AA203 X4:AA4">
    <cfRule type="expression" dxfId="108" priority="60">
      <formula>_xlfn.LET(_xlpm.x, W4, AND(NOT(_xlfn.ISFORMULA(_xlpm.x)), _xlpm.x&lt;&gt;""))</formula>
    </cfRule>
  </conditionalFormatting>
  <conditionalFormatting sqref="W4:AA203">
    <cfRule type="expression" dxfId="107" priority="19">
      <formula>_xlfn.LET(_xlpm.x, W4, AND(NOT(_xlfn.ISFORMULA(_xlpm.x)), _xlpm.x&lt;&gt;""))</formula>
    </cfRule>
  </conditionalFormatting>
  <conditionalFormatting sqref="K1:O1048576">
    <cfRule type="cellIs" dxfId="106" priority="15" operator="equal">
      <formula>"C1"</formula>
    </cfRule>
    <cfRule type="cellIs" dxfId="105" priority="16" operator="between">
      <formula>"G1"</formula>
      <formula>"G5"</formula>
    </cfRule>
    <cfRule type="cellIs" dxfId="104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03" priority="10" operator="equal">
      <formula>"C1"</formula>
    </cfRule>
    <cfRule type="cellIs" dxfId="102" priority="11" operator="between">
      <formula>"G1"</formula>
      <formula>"G4"</formula>
    </cfRule>
    <cfRule type="cellIs" dxfId="101" priority="12" operator="between">
      <formula>"GA"</formula>
      <formula>"GQ"</formula>
    </cfRule>
    <cfRule type="cellIs" dxfId="100" priority="13" operator="between">
      <formula>"M1"</formula>
      <formula>"M4"</formula>
    </cfRule>
  </conditionalFormatting>
  <conditionalFormatting sqref="E52:E54">
    <cfRule type="cellIs" dxfId="99" priority="6" operator="equal">
      <formula>"C1"</formula>
    </cfRule>
    <cfRule type="cellIs" dxfId="98" priority="7" operator="between">
      <formula>"G1"</formula>
      <formula>"G4"</formula>
    </cfRule>
    <cfRule type="cellIs" dxfId="97" priority="8" operator="between">
      <formula>"GA"</formula>
      <formula>"GQ"</formula>
    </cfRule>
    <cfRule type="cellIs" dxfId="96" priority="9" operator="between">
      <formula>"M1"</formula>
      <formula>"M4"</formula>
    </cfRule>
  </conditionalFormatting>
  <conditionalFormatting sqref="F52:F54">
    <cfRule type="cellIs" dxfId="95" priority="2" operator="equal">
      <formula>"C1"</formula>
    </cfRule>
    <cfRule type="cellIs" dxfId="94" priority="3" operator="between">
      <formula>"G1"</formula>
      <formula>"G4"</formula>
    </cfRule>
    <cfRule type="cellIs" dxfId="93" priority="4" operator="between">
      <formula>"GA"</formula>
      <formula>"GQ"</formula>
    </cfRule>
    <cfRule type="cellIs" dxfId="9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94</v>
      </c>
      <c r="O4" s="24" t="s">
        <v>29</v>
      </c>
      <c r="Q4" s="23">
        <v>7</v>
      </c>
      <c r="R4" s="23">
        <v>6</v>
      </c>
      <c r="S4" s="23">
        <v>14</v>
      </c>
      <c r="T4" s="23">
        <v>17</v>
      </c>
      <c r="U4" s="23">
        <v>8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2</v>
      </c>
      <c r="D5" s="199">
        <v>2</v>
      </c>
      <c r="E5" s="199">
        <v>0</v>
      </c>
      <c r="F5" s="199">
        <v>3</v>
      </c>
      <c r="G5" s="199">
        <v>3</v>
      </c>
      <c r="H5" s="197">
        <v>1</v>
      </c>
      <c r="I5" s="82"/>
      <c r="J5" s="191">
        <v>1</v>
      </c>
      <c r="K5" s="192" t="s">
        <v>12</v>
      </c>
      <c r="L5" s="192" t="s">
        <v>96</v>
      </c>
      <c r="M5" s="192" t="s">
        <v>96</v>
      </c>
      <c r="N5" s="192" t="s">
        <v>29</v>
      </c>
      <c r="O5" s="192" t="s">
        <v>31</v>
      </c>
      <c r="Q5" s="191">
        <v>4</v>
      </c>
      <c r="R5" s="191">
        <v>15</v>
      </c>
      <c r="S5" s="191">
        <v>15</v>
      </c>
      <c r="T5" s="191">
        <v>8</v>
      </c>
      <c r="U5" s="191">
        <v>7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95</v>
      </c>
      <c r="L6" s="192" t="s">
        <v>13</v>
      </c>
      <c r="M6" s="192" t="s">
        <v>94</v>
      </c>
      <c r="N6" s="192" t="s">
        <v>30</v>
      </c>
      <c r="O6" s="192" t="s">
        <v>29</v>
      </c>
      <c r="Q6" s="191">
        <v>6</v>
      </c>
      <c r="R6" s="191">
        <v>5</v>
      </c>
      <c r="S6" s="191">
        <v>17</v>
      </c>
      <c r="T6" s="191">
        <v>10</v>
      </c>
      <c r="U6" s="191">
        <v>8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12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31</v>
      </c>
      <c r="L7" s="24" t="s">
        <v>31</v>
      </c>
      <c r="M7" s="192" t="s">
        <v>81</v>
      </c>
      <c r="N7" s="192" t="s">
        <v>13</v>
      </c>
      <c r="O7" s="192" t="s">
        <v>95</v>
      </c>
      <c r="Q7" s="191">
        <v>7</v>
      </c>
      <c r="R7" s="191">
        <v>7</v>
      </c>
      <c r="S7" s="191">
        <v>14</v>
      </c>
      <c r="T7" s="191">
        <v>5</v>
      </c>
      <c r="U7" s="191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13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28</v>
      </c>
      <c r="L8" s="192" t="s">
        <v>13</v>
      </c>
      <c r="M8" s="192" t="s">
        <v>82</v>
      </c>
      <c r="N8" s="192" t="s">
        <v>30</v>
      </c>
      <c r="O8" s="192" t="s">
        <v>13</v>
      </c>
      <c r="Q8" s="191">
        <v>9</v>
      </c>
      <c r="R8" s="191">
        <v>5</v>
      </c>
      <c r="S8" s="191">
        <v>16</v>
      </c>
      <c r="T8" s="191">
        <v>10</v>
      </c>
      <c r="U8" s="191">
        <v>5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22</v>
      </c>
      <c r="E9" s="198">
        <v>0</v>
      </c>
      <c r="F9" s="198">
        <v>31</v>
      </c>
      <c r="G9" s="198">
        <v>36</v>
      </c>
      <c r="H9" s="132">
        <v>5</v>
      </c>
      <c r="I9" s="82"/>
      <c r="J9" s="191">
        <v>5</v>
      </c>
      <c r="K9" s="192" t="s">
        <v>29</v>
      </c>
      <c r="L9" s="192" t="s">
        <v>31</v>
      </c>
      <c r="M9" s="192" t="s">
        <v>94</v>
      </c>
      <c r="N9" s="192" t="s">
        <v>29</v>
      </c>
      <c r="O9" s="192" t="s">
        <v>95</v>
      </c>
      <c r="Q9" s="191">
        <v>8</v>
      </c>
      <c r="R9" s="191">
        <v>7</v>
      </c>
      <c r="S9" s="191">
        <v>17</v>
      </c>
      <c r="T9" s="191">
        <v>8</v>
      </c>
      <c r="U9" s="191">
        <v>6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22</v>
      </c>
      <c r="E10" s="198">
        <v>0</v>
      </c>
      <c r="F10" s="198">
        <v>27</v>
      </c>
      <c r="G10" s="198">
        <v>34</v>
      </c>
      <c r="H10" s="132">
        <v>6</v>
      </c>
      <c r="I10" s="82"/>
      <c r="J10" s="23">
        <v>6</v>
      </c>
      <c r="K10" s="192" t="s">
        <v>12</v>
      </c>
      <c r="L10" s="192" t="s">
        <v>28</v>
      </c>
      <c r="M10" s="192" t="s">
        <v>82</v>
      </c>
      <c r="N10" s="192" t="s">
        <v>81</v>
      </c>
      <c r="O10" s="192" t="s">
        <v>13</v>
      </c>
      <c r="Q10" s="191">
        <v>4</v>
      </c>
      <c r="R10" s="191">
        <v>9</v>
      </c>
      <c r="S10" s="191">
        <v>16</v>
      </c>
      <c r="T10" s="191">
        <v>14</v>
      </c>
      <c r="U10" s="191">
        <v>5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43</v>
      </c>
      <c r="D11" s="198">
        <v>27</v>
      </c>
      <c r="E11" s="198">
        <v>0</v>
      </c>
      <c r="F11" s="198">
        <v>31</v>
      </c>
      <c r="G11" s="198">
        <v>35</v>
      </c>
      <c r="H11" s="132">
        <v>7</v>
      </c>
      <c r="I11" s="82"/>
      <c r="J11" s="191">
        <v>7</v>
      </c>
      <c r="K11" s="192" t="s">
        <v>95</v>
      </c>
      <c r="L11" s="192" t="s">
        <v>85</v>
      </c>
      <c r="M11" s="192" t="s">
        <v>94</v>
      </c>
      <c r="N11" s="192" t="s">
        <v>94</v>
      </c>
      <c r="O11" s="192" t="s">
        <v>95</v>
      </c>
      <c r="Q11" s="191">
        <v>6</v>
      </c>
      <c r="R11" s="191">
        <v>18</v>
      </c>
      <c r="S11" s="191">
        <v>17</v>
      </c>
      <c r="T11" s="191">
        <v>17</v>
      </c>
      <c r="U11" s="191">
        <v>6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24</v>
      </c>
      <c r="E12" s="198">
        <v>0</v>
      </c>
      <c r="F12" s="198">
        <v>32</v>
      </c>
      <c r="G12" s="198">
        <v>34</v>
      </c>
      <c r="H12" s="132">
        <v>8</v>
      </c>
      <c r="I12" s="82"/>
      <c r="J12" s="23">
        <v>8</v>
      </c>
      <c r="K12" s="192" t="s">
        <v>30</v>
      </c>
      <c r="L12" s="192" t="s">
        <v>16</v>
      </c>
      <c r="M12" s="192" t="s">
        <v>82</v>
      </c>
      <c r="N12" s="192" t="s">
        <v>31</v>
      </c>
      <c r="O12" s="192" t="s">
        <v>31</v>
      </c>
      <c r="Q12" s="191">
        <v>10</v>
      </c>
      <c r="R12" s="191">
        <v>3</v>
      </c>
      <c r="S12" s="191">
        <v>16</v>
      </c>
      <c r="T12" s="191">
        <v>7</v>
      </c>
      <c r="U12" s="191">
        <v>7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12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15</v>
      </c>
      <c r="L13" s="192" t="s">
        <v>82</v>
      </c>
      <c r="M13" s="192" t="s">
        <v>96</v>
      </c>
      <c r="N13" s="192" t="s">
        <v>81</v>
      </c>
      <c r="O13" s="192" t="s">
        <v>28</v>
      </c>
      <c r="Q13" s="191">
        <v>2</v>
      </c>
      <c r="R13" s="191">
        <v>16</v>
      </c>
      <c r="S13" s="191">
        <v>15</v>
      </c>
      <c r="T13" s="191">
        <v>14</v>
      </c>
      <c r="U13" s="191">
        <v>9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7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31</v>
      </c>
      <c r="L14" s="192" t="s">
        <v>29</v>
      </c>
      <c r="M14" s="192" t="s">
        <v>82</v>
      </c>
      <c r="N14" s="192" t="s">
        <v>13</v>
      </c>
      <c r="O14" s="192" t="s">
        <v>15</v>
      </c>
      <c r="Q14" s="191">
        <v>7</v>
      </c>
      <c r="R14" s="191">
        <v>8</v>
      </c>
      <c r="S14" s="191">
        <v>16</v>
      </c>
      <c r="T14" s="191">
        <v>5</v>
      </c>
      <c r="U14" s="191">
        <v>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94</v>
      </c>
      <c r="M15" s="192" t="s">
        <v>87</v>
      </c>
      <c r="N15" s="192" t="s">
        <v>30</v>
      </c>
      <c r="O15" s="192" t="s">
        <v>28</v>
      </c>
      <c r="Q15" s="191">
        <v>6</v>
      </c>
      <c r="R15" s="191">
        <v>17</v>
      </c>
      <c r="S15" s="191">
        <v>19</v>
      </c>
      <c r="T15" s="191">
        <v>10</v>
      </c>
      <c r="U15" s="191">
        <v>9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3</v>
      </c>
      <c r="E16" s="199">
        <v>3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30</v>
      </c>
      <c r="L16" s="192" t="s">
        <v>95</v>
      </c>
      <c r="M16" s="192" t="s">
        <v>80</v>
      </c>
      <c r="N16" s="192" t="s">
        <v>16</v>
      </c>
      <c r="O16" s="192" t="s">
        <v>12</v>
      </c>
      <c r="Q16" s="191">
        <v>10</v>
      </c>
      <c r="R16" s="191">
        <v>6</v>
      </c>
      <c r="S16" s="191">
        <v>13</v>
      </c>
      <c r="T16" s="191">
        <v>3</v>
      </c>
      <c r="U16" s="191">
        <v>4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3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81</v>
      </c>
      <c r="M17" s="192" t="s">
        <v>82</v>
      </c>
      <c r="N17" s="192" t="s">
        <v>29</v>
      </c>
      <c r="O17" s="192" t="s">
        <v>29</v>
      </c>
      <c r="Q17" s="191">
        <v>5</v>
      </c>
      <c r="R17" s="191">
        <v>14</v>
      </c>
      <c r="S17" s="191">
        <v>16</v>
      </c>
      <c r="T17" s="191">
        <v>8</v>
      </c>
      <c r="U17" s="191">
        <v>8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8</v>
      </c>
      <c r="E18" s="199">
        <v>43</v>
      </c>
      <c r="F18" s="199">
        <v>11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12</v>
      </c>
      <c r="M18" s="192" t="s">
        <v>81</v>
      </c>
      <c r="N18" s="192" t="s">
        <v>13</v>
      </c>
      <c r="O18" s="192" t="s">
        <v>30</v>
      </c>
      <c r="Q18" s="191">
        <v>6</v>
      </c>
      <c r="R18" s="191">
        <v>4</v>
      </c>
      <c r="S18" s="191">
        <v>14</v>
      </c>
      <c r="T18" s="191">
        <v>5</v>
      </c>
      <c r="U18" s="191">
        <v>10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8</v>
      </c>
      <c r="E19" s="199">
        <v>42</v>
      </c>
      <c r="F19" s="199">
        <v>12</v>
      </c>
      <c r="G19" s="199">
        <v>0</v>
      </c>
      <c r="H19" s="197">
        <v>15</v>
      </c>
      <c r="I19" s="82"/>
      <c r="J19" s="191">
        <v>15</v>
      </c>
      <c r="K19" s="192" t="s">
        <v>13</v>
      </c>
      <c r="L19" s="192" t="s">
        <v>29</v>
      </c>
      <c r="M19" s="192" t="s">
        <v>82</v>
      </c>
      <c r="N19" s="192" t="s">
        <v>95</v>
      </c>
      <c r="O19" s="192" t="s">
        <v>12</v>
      </c>
      <c r="Q19" s="191">
        <v>5</v>
      </c>
      <c r="R19" s="191">
        <v>8</v>
      </c>
      <c r="S19" s="191">
        <v>16</v>
      </c>
      <c r="T19" s="191">
        <v>6</v>
      </c>
      <c r="U19" s="191">
        <v>4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10</v>
      </c>
      <c r="E20" s="199">
        <v>42</v>
      </c>
      <c r="F20" s="199">
        <v>10</v>
      </c>
      <c r="G20" s="199">
        <v>0</v>
      </c>
      <c r="H20" s="197">
        <v>16</v>
      </c>
      <c r="I20" s="82"/>
      <c r="J20" s="23">
        <v>16</v>
      </c>
      <c r="K20" s="192" t="s">
        <v>29</v>
      </c>
      <c r="L20" s="192" t="s">
        <v>30</v>
      </c>
      <c r="M20" s="192" t="s">
        <v>81</v>
      </c>
      <c r="N20" s="192" t="s">
        <v>29</v>
      </c>
      <c r="O20" s="192" t="s">
        <v>95</v>
      </c>
      <c r="Q20" s="191">
        <v>8</v>
      </c>
      <c r="R20" s="191">
        <v>10</v>
      </c>
      <c r="S20" s="191">
        <v>14</v>
      </c>
      <c r="T20" s="191">
        <v>8</v>
      </c>
      <c r="U20" s="191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9</v>
      </c>
      <c r="E21" s="199">
        <v>44</v>
      </c>
      <c r="F21" s="199">
        <v>10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95</v>
      </c>
      <c r="M21" s="192" t="s">
        <v>82</v>
      </c>
      <c r="N21" s="192" t="s">
        <v>96</v>
      </c>
      <c r="O21" s="192" t="s">
        <v>31</v>
      </c>
      <c r="Q21" s="191">
        <v>7</v>
      </c>
      <c r="R21" s="191">
        <v>6</v>
      </c>
      <c r="S21" s="191">
        <v>16</v>
      </c>
      <c r="T21" s="191">
        <v>15</v>
      </c>
      <c r="U21" s="191">
        <v>7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3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28</v>
      </c>
      <c r="L22" s="192" t="s">
        <v>81</v>
      </c>
      <c r="M22" s="192" t="s">
        <v>94</v>
      </c>
      <c r="N22" s="192" t="s">
        <v>31</v>
      </c>
      <c r="O22" s="192" t="s">
        <v>13</v>
      </c>
      <c r="Q22" s="191">
        <v>9</v>
      </c>
      <c r="R22" s="191">
        <v>14</v>
      </c>
      <c r="S22" s="191">
        <v>17</v>
      </c>
      <c r="T22" s="191">
        <v>7</v>
      </c>
      <c r="U22" s="191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16</v>
      </c>
      <c r="L23" s="192" t="s">
        <v>30</v>
      </c>
      <c r="M23" s="192" t="s">
        <v>81</v>
      </c>
      <c r="N23" s="192" t="s">
        <v>29</v>
      </c>
      <c r="O23" s="192" t="s">
        <v>28</v>
      </c>
      <c r="Q23" s="191">
        <v>3</v>
      </c>
      <c r="R23" s="191">
        <v>10</v>
      </c>
      <c r="S23" s="191">
        <v>14</v>
      </c>
      <c r="T23" s="191">
        <v>8</v>
      </c>
      <c r="U23" s="191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14</v>
      </c>
      <c r="L24" s="192" t="s">
        <v>16</v>
      </c>
      <c r="M24" s="192" t="s">
        <v>82</v>
      </c>
      <c r="N24" s="192" t="s">
        <v>95</v>
      </c>
      <c r="O24" s="192" t="s">
        <v>31</v>
      </c>
      <c r="Q24" s="191">
        <v>1</v>
      </c>
      <c r="R24" s="191">
        <v>3</v>
      </c>
      <c r="S24" s="191">
        <v>16</v>
      </c>
      <c r="T24" s="191">
        <v>6</v>
      </c>
      <c r="U24" s="191">
        <v>7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31</v>
      </c>
      <c r="M25" s="192" t="s">
        <v>94</v>
      </c>
      <c r="N25" s="192" t="s">
        <v>31</v>
      </c>
      <c r="O25" s="192" t="s">
        <v>28</v>
      </c>
      <c r="Q25" s="191">
        <v>8</v>
      </c>
      <c r="R25" s="191">
        <v>7</v>
      </c>
      <c r="S25" s="191">
        <v>17</v>
      </c>
      <c r="T25" s="191">
        <v>7</v>
      </c>
      <c r="U25" s="191">
        <v>9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0.76</v>
      </c>
      <c r="E26" s="154">
        <v>0</v>
      </c>
      <c r="F26" s="154">
        <v>0.75</v>
      </c>
      <c r="G26" s="5">
        <v>1</v>
      </c>
      <c r="I26" s="82"/>
      <c r="J26" s="23">
        <v>22</v>
      </c>
      <c r="K26" s="192" t="s">
        <v>95</v>
      </c>
      <c r="L26" s="192" t="s">
        <v>95</v>
      </c>
      <c r="M26" s="192" t="s">
        <v>87</v>
      </c>
      <c r="N26" s="192" t="s">
        <v>16</v>
      </c>
      <c r="O26" s="192" t="s">
        <v>29</v>
      </c>
      <c r="Q26" s="191">
        <v>6</v>
      </c>
      <c r="R26" s="191">
        <v>6</v>
      </c>
      <c r="S26" s="191">
        <v>19</v>
      </c>
      <c r="T26" s="191">
        <v>3</v>
      </c>
      <c r="U26" s="191">
        <v>8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316</v>
      </c>
      <c r="C27" s="5">
        <v>0</v>
      </c>
      <c r="D27" s="154">
        <v>0.24</v>
      </c>
      <c r="E27" s="154">
        <v>1</v>
      </c>
      <c r="F27" s="154">
        <v>0.25</v>
      </c>
      <c r="G27" s="5">
        <v>0</v>
      </c>
      <c r="I27" s="82"/>
      <c r="J27" s="191">
        <v>23</v>
      </c>
      <c r="K27" s="192" t="s">
        <v>31</v>
      </c>
      <c r="L27" s="192" t="s">
        <v>28</v>
      </c>
      <c r="M27" s="192" t="s">
        <v>94</v>
      </c>
      <c r="N27" s="192" t="s">
        <v>81</v>
      </c>
      <c r="O27" s="192" t="s">
        <v>16</v>
      </c>
      <c r="Q27" s="191">
        <v>7</v>
      </c>
      <c r="R27" s="191">
        <v>9</v>
      </c>
      <c r="S27" s="191">
        <v>17</v>
      </c>
      <c r="T27" s="191">
        <v>14</v>
      </c>
      <c r="U27" s="191">
        <v>3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95</v>
      </c>
      <c r="L28" s="192" t="s">
        <v>31</v>
      </c>
      <c r="M28" s="192" t="s">
        <v>82</v>
      </c>
      <c r="N28" s="192" t="s">
        <v>29</v>
      </c>
      <c r="O28" s="192" t="s">
        <v>31</v>
      </c>
      <c r="Q28" s="191">
        <v>6</v>
      </c>
      <c r="R28" s="191">
        <v>7</v>
      </c>
      <c r="S28" s="191">
        <v>16</v>
      </c>
      <c r="T28" s="191">
        <v>8</v>
      </c>
      <c r="U28" s="191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28</v>
      </c>
      <c r="L29" s="192" t="s">
        <v>13</v>
      </c>
      <c r="M29" s="192" t="s">
        <v>81</v>
      </c>
      <c r="N29" s="192" t="s">
        <v>31</v>
      </c>
      <c r="O29" s="192" t="s">
        <v>12</v>
      </c>
      <c r="Q29" s="191">
        <v>9</v>
      </c>
      <c r="R29" s="191">
        <v>5</v>
      </c>
      <c r="S29" s="191">
        <v>14</v>
      </c>
      <c r="T29" s="191">
        <v>7</v>
      </c>
      <c r="U29" s="191">
        <v>4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31</v>
      </c>
      <c r="M30" s="192" t="s">
        <v>87</v>
      </c>
      <c r="N30" s="192" t="s">
        <v>81</v>
      </c>
      <c r="O30" s="192" t="s">
        <v>15</v>
      </c>
      <c r="Q30" s="191">
        <v>7</v>
      </c>
      <c r="R30" s="191">
        <v>7</v>
      </c>
      <c r="S30" s="191">
        <v>19</v>
      </c>
      <c r="T30" s="191">
        <v>14</v>
      </c>
      <c r="U30" s="191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95</v>
      </c>
      <c r="L31" s="192" t="s">
        <v>16</v>
      </c>
      <c r="M31" s="192" t="s">
        <v>94</v>
      </c>
      <c r="N31" s="192" t="s">
        <v>82</v>
      </c>
      <c r="O31" s="192" t="s">
        <v>30</v>
      </c>
      <c r="Q31" s="191">
        <v>6</v>
      </c>
      <c r="R31" s="191">
        <v>3</v>
      </c>
      <c r="S31" s="191">
        <v>17</v>
      </c>
      <c r="T31" s="191">
        <v>16</v>
      </c>
      <c r="U31" s="191">
        <v>10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29</v>
      </c>
      <c r="L32" s="192" t="s">
        <v>31</v>
      </c>
      <c r="M32" s="192" t="s">
        <v>82</v>
      </c>
      <c r="N32" s="192" t="s">
        <v>95</v>
      </c>
      <c r="O32" s="192" t="s">
        <v>31</v>
      </c>
      <c r="Q32" s="191">
        <v>8</v>
      </c>
      <c r="R32" s="191">
        <v>7</v>
      </c>
      <c r="S32" s="191">
        <v>16</v>
      </c>
      <c r="T32" s="191">
        <v>6</v>
      </c>
      <c r="U32" s="191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13</v>
      </c>
      <c r="L33" s="192" t="s">
        <v>29</v>
      </c>
      <c r="M33" s="192" t="s">
        <v>94</v>
      </c>
      <c r="N33" s="192" t="s">
        <v>96</v>
      </c>
      <c r="O33" s="192" t="s">
        <v>15</v>
      </c>
      <c r="Q33" s="191">
        <v>5</v>
      </c>
      <c r="R33" s="191">
        <v>8</v>
      </c>
      <c r="S33" s="191">
        <v>17</v>
      </c>
      <c r="T33" s="191">
        <v>15</v>
      </c>
      <c r="U33" s="191">
        <v>2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30</v>
      </c>
      <c r="L34" s="192" t="s">
        <v>82</v>
      </c>
      <c r="M34" s="192" t="s">
        <v>82</v>
      </c>
      <c r="N34" s="192" t="s">
        <v>29</v>
      </c>
      <c r="O34" s="192" t="s">
        <v>13</v>
      </c>
      <c r="Q34" s="191">
        <v>10</v>
      </c>
      <c r="R34" s="191">
        <v>16</v>
      </c>
      <c r="S34" s="191">
        <v>16</v>
      </c>
      <c r="T34" s="191">
        <v>8</v>
      </c>
      <c r="U34" s="191">
        <v>5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13</v>
      </c>
      <c r="L35" s="192" t="s">
        <v>95</v>
      </c>
      <c r="M35" s="192" t="s">
        <v>94</v>
      </c>
      <c r="N35" s="192" t="s">
        <v>95</v>
      </c>
      <c r="O35" s="192" t="s">
        <v>29</v>
      </c>
      <c r="Q35" s="191">
        <v>5</v>
      </c>
      <c r="R35" s="191">
        <v>6</v>
      </c>
      <c r="S35" s="191">
        <v>17</v>
      </c>
      <c r="T35" s="191">
        <v>6</v>
      </c>
      <c r="U35" s="191">
        <v>8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95</v>
      </c>
      <c r="L36" s="192" t="s">
        <v>12</v>
      </c>
      <c r="M36" s="192" t="s">
        <v>80</v>
      </c>
      <c r="N36" s="192" t="s">
        <v>96</v>
      </c>
      <c r="O36" s="192" t="s">
        <v>12</v>
      </c>
      <c r="Q36" s="191">
        <v>6</v>
      </c>
      <c r="R36" s="191">
        <v>4</v>
      </c>
      <c r="S36" s="191">
        <v>13</v>
      </c>
      <c r="T36" s="191">
        <v>15</v>
      </c>
      <c r="U36" s="191">
        <v>4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29</v>
      </c>
      <c r="L37" s="192" t="s">
        <v>85</v>
      </c>
      <c r="M37" s="192" t="s">
        <v>82</v>
      </c>
      <c r="N37" s="192" t="s">
        <v>31</v>
      </c>
      <c r="O37" s="192" t="s">
        <v>15</v>
      </c>
      <c r="Q37" s="191">
        <v>8</v>
      </c>
      <c r="R37" s="191">
        <v>18</v>
      </c>
      <c r="S37" s="191">
        <v>16</v>
      </c>
      <c r="T37" s="191">
        <v>7</v>
      </c>
      <c r="U37" s="191">
        <v>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31</v>
      </c>
      <c r="L38" s="192" t="s">
        <v>13</v>
      </c>
      <c r="M38" s="192" t="s">
        <v>85</v>
      </c>
      <c r="N38" s="192" t="s">
        <v>94</v>
      </c>
      <c r="O38" s="192" t="s">
        <v>95</v>
      </c>
      <c r="Q38" s="191">
        <v>7</v>
      </c>
      <c r="R38" s="191">
        <v>5</v>
      </c>
      <c r="S38" s="191">
        <v>18</v>
      </c>
      <c r="T38" s="191">
        <v>17</v>
      </c>
      <c r="U38" s="191">
        <v>6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95</v>
      </c>
      <c r="L39" s="192" t="s">
        <v>12</v>
      </c>
      <c r="M39" s="192" t="s">
        <v>96</v>
      </c>
      <c r="N39" s="192" t="s">
        <v>12</v>
      </c>
      <c r="O39" s="192" t="s">
        <v>13</v>
      </c>
      <c r="Q39" s="191">
        <v>6</v>
      </c>
      <c r="R39" s="191">
        <v>4</v>
      </c>
      <c r="S39" s="191">
        <v>15</v>
      </c>
      <c r="T39" s="191">
        <v>4</v>
      </c>
      <c r="U39" s="191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13</v>
      </c>
      <c r="L40" s="192" t="s">
        <v>13</v>
      </c>
      <c r="M40" s="192" t="s">
        <v>82</v>
      </c>
      <c r="N40" s="192" t="s">
        <v>29</v>
      </c>
      <c r="O40" s="192" t="s">
        <v>31</v>
      </c>
      <c r="Q40" s="191">
        <v>5</v>
      </c>
      <c r="R40" s="191">
        <v>5</v>
      </c>
      <c r="S40" s="191">
        <v>16</v>
      </c>
      <c r="T40" s="191">
        <v>8</v>
      </c>
      <c r="U40" s="191">
        <v>7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95</v>
      </c>
      <c r="L41" s="192" t="s">
        <v>95</v>
      </c>
      <c r="M41" s="192" t="s">
        <v>87</v>
      </c>
      <c r="N41" s="192" t="s">
        <v>78</v>
      </c>
      <c r="O41" s="192" t="s">
        <v>95</v>
      </c>
      <c r="Q41" s="191">
        <v>6</v>
      </c>
      <c r="R41" s="191">
        <v>6</v>
      </c>
      <c r="S41" s="191">
        <v>19</v>
      </c>
      <c r="T41" s="191">
        <v>11</v>
      </c>
      <c r="U41" s="191">
        <v>6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29</v>
      </c>
      <c r="L42" s="192" t="s">
        <v>31</v>
      </c>
      <c r="M42" s="192" t="s">
        <v>81</v>
      </c>
      <c r="N42" s="192" t="s">
        <v>29</v>
      </c>
      <c r="O42" s="192" t="s">
        <v>29</v>
      </c>
      <c r="Q42" s="191">
        <v>8</v>
      </c>
      <c r="R42" s="191">
        <v>7</v>
      </c>
      <c r="S42" s="191">
        <v>14</v>
      </c>
      <c r="T42" s="191">
        <v>8</v>
      </c>
      <c r="U42" s="191">
        <v>8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31</v>
      </c>
      <c r="L43" s="192" t="s">
        <v>95</v>
      </c>
      <c r="M43" s="192" t="s">
        <v>82</v>
      </c>
      <c r="N43" s="192" t="s">
        <v>13</v>
      </c>
      <c r="O43" s="192" t="s">
        <v>31</v>
      </c>
      <c r="Q43" s="191">
        <v>7</v>
      </c>
      <c r="R43" s="191">
        <v>6</v>
      </c>
      <c r="S43" s="191">
        <v>16</v>
      </c>
      <c r="T43" s="191">
        <v>5</v>
      </c>
      <c r="U43" s="191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30</v>
      </c>
      <c r="L44" s="192" t="s">
        <v>28</v>
      </c>
      <c r="M44" s="192" t="s">
        <v>81</v>
      </c>
      <c r="N44" s="192" t="s">
        <v>29</v>
      </c>
      <c r="O44" s="192" t="s">
        <v>29</v>
      </c>
      <c r="Q44" s="191">
        <v>10</v>
      </c>
      <c r="R44" s="191">
        <v>9</v>
      </c>
      <c r="S44" s="191">
        <v>14</v>
      </c>
      <c r="T44" s="191">
        <v>8</v>
      </c>
      <c r="U44" s="191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31</v>
      </c>
      <c r="L45" s="192" t="s">
        <v>95</v>
      </c>
      <c r="M45" s="192" t="s">
        <v>96</v>
      </c>
      <c r="N45" s="192" t="s">
        <v>95</v>
      </c>
      <c r="O45" s="192" t="s">
        <v>15</v>
      </c>
      <c r="Q45" s="191">
        <v>7</v>
      </c>
      <c r="R45" s="191">
        <v>6</v>
      </c>
      <c r="S45" s="191">
        <v>15</v>
      </c>
      <c r="T45" s="191">
        <v>6</v>
      </c>
      <c r="U45" s="191">
        <v>2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29</v>
      </c>
      <c r="L46" s="192" t="s">
        <v>16</v>
      </c>
      <c r="M46" s="192" t="s">
        <v>82</v>
      </c>
      <c r="N46" s="192" t="s">
        <v>29</v>
      </c>
      <c r="O46" s="192" t="s">
        <v>13</v>
      </c>
      <c r="Q46" s="191">
        <v>8</v>
      </c>
      <c r="R46" s="191">
        <v>3</v>
      </c>
      <c r="S46" s="191">
        <v>16</v>
      </c>
      <c r="T46" s="191">
        <v>8</v>
      </c>
      <c r="U46" s="191">
        <v>5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12</v>
      </c>
      <c r="M47" s="192" t="s">
        <v>96</v>
      </c>
      <c r="N47" s="192" t="s">
        <v>13</v>
      </c>
      <c r="O47" s="192" t="s">
        <v>29</v>
      </c>
      <c r="Q47" s="191">
        <v>6</v>
      </c>
      <c r="R47" s="191">
        <v>4</v>
      </c>
      <c r="S47" s="191">
        <v>15</v>
      </c>
      <c r="T47" s="191">
        <v>5</v>
      </c>
      <c r="U47" s="191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16</v>
      </c>
      <c r="L48" s="192" t="s">
        <v>31</v>
      </c>
      <c r="M48" s="192" t="s">
        <v>94</v>
      </c>
      <c r="N48" s="192" t="s">
        <v>31</v>
      </c>
      <c r="O48" s="192" t="s">
        <v>95</v>
      </c>
      <c r="Q48" s="191">
        <v>3</v>
      </c>
      <c r="R48" s="191">
        <v>7</v>
      </c>
      <c r="S48" s="191">
        <v>17</v>
      </c>
      <c r="T48" s="191">
        <v>7</v>
      </c>
      <c r="U48" s="191">
        <v>6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31</v>
      </c>
      <c r="L49" s="192" t="s">
        <v>95</v>
      </c>
      <c r="M49" s="192" t="s">
        <v>82</v>
      </c>
      <c r="N49" s="192" t="s">
        <v>96</v>
      </c>
      <c r="O49" s="192" t="s">
        <v>12</v>
      </c>
      <c r="Q49" s="191">
        <v>7</v>
      </c>
      <c r="R49" s="191">
        <v>6</v>
      </c>
      <c r="S49" s="191">
        <v>16</v>
      </c>
      <c r="T49" s="191">
        <v>15</v>
      </c>
      <c r="U49" s="191">
        <v>4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95</v>
      </c>
      <c r="L50" s="192" t="s">
        <v>96</v>
      </c>
      <c r="M50" s="192" t="s">
        <v>96</v>
      </c>
      <c r="N50" s="192" t="s">
        <v>31</v>
      </c>
      <c r="O50" s="192" t="s">
        <v>31</v>
      </c>
      <c r="Q50" s="191">
        <v>6</v>
      </c>
      <c r="R50" s="191">
        <v>15</v>
      </c>
      <c r="S50" s="191">
        <v>15</v>
      </c>
      <c r="T50" s="191">
        <v>7</v>
      </c>
      <c r="U50" s="191">
        <v>7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29</v>
      </c>
      <c r="L51" s="192" t="s">
        <v>29</v>
      </c>
      <c r="M51" s="192" t="s">
        <v>82</v>
      </c>
      <c r="N51" s="192" t="s">
        <v>12</v>
      </c>
      <c r="O51" s="192" t="s">
        <v>30</v>
      </c>
      <c r="Q51" s="191">
        <v>8</v>
      </c>
      <c r="R51" s="191">
        <v>8</v>
      </c>
      <c r="S51" s="191">
        <v>16</v>
      </c>
      <c r="T51" s="191">
        <v>4</v>
      </c>
      <c r="U51" s="191">
        <v>10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13</v>
      </c>
      <c r="L52" s="192" t="s">
        <v>95</v>
      </c>
      <c r="M52" s="192" t="s">
        <v>94</v>
      </c>
      <c r="N52" s="192" t="s">
        <v>94</v>
      </c>
      <c r="O52" s="192" t="s">
        <v>15</v>
      </c>
      <c r="Q52" s="191">
        <v>5</v>
      </c>
      <c r="R52" s="191">
        <v>6</v>
      </c>
      <c r="S52" s="191">
        <v>17</v>
      </c>
      <c r="T52" s="191">
        <v>17</v>
      </c>
      <c r="U52" s="191">
        <v>2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95</v>
      </c>
      <c r="L53" s="192" t="s">
        <v>29</v>
      </c>
      <c r="M53" s="192" t="s">
        <v>81</v>
      </c>
      <c r="N53" s="192" t="s">
        <v>29</v>
      </c>
      <c r="O53" s="192" t="s">
        <v>31</v>
      </c>
      <c r="Q53" s="191">
        <v>6</v>
      </c>
      <c r="R53" s="191">
        <v>8</v>
      </c>
      <c r="S53" s="191">
        <v>14</v>
      </c>
      <c r="T53" s="191">
        <v>8</v>
      </c>
      <c r="U53" s="191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31</v>
      </c>
      <c r="M54" s="192" t="s">
        <v>82</v>
      </c>
      <c r="N54" s="192" t="s">
        <v>13</v>
      </c>
      <c r="O54" s="192" t="s">
        <v>29</v>
      </c>
      <c r="Q54" s="191">
        <v>7</v>
      </c>
      <c r="R54" s="191">
        <v>7</v>
      </c>
      <c r="S54" s="191">
        <v>16</v>
      </c>
      <c r="T54" s="191">
        <v>5</v>
      </c>
      <c r="U54" s="191">
        <v>8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13</v>
      </c>
      <c r="L55" s="192" t="s">
        <v>16</v>
      </c>
      <c r="M55" s="192" t="s">
        <v>94</v>
      </c>
      <c r="N55" s="192" t="s">
        <v>81</v>
      </c>
      <c r="O55" s="192" t="s">
        <v>31</v>
      </c>
      <c r="Q55" s="191">
        <v>5</v>
      </c>
      <c r="R55" s="191">
        <v>3</v>
      </c>
      <c r="S55" s="191">
        <v>17</v>
      </c>
      <c r="T55" s="191">
        <v>14</v>
      </c>
      <c r="U55" s="191">
        <v>7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29</v>
      </c>
      <c r="L56" s="192" t="s">
        <v>31</v>
      </c>
      <c r="M56" s="192" t="s">
        <v>81</v>
      </c>
      <c r="N56" s="192" t="s">
        <v>95</v>
      </c>
      <c r="O56" s="192" t="s">
        <v>29</v>
      </c>
      <c r="Q56" s="191">
        <v>8</v>
      </c>
      <c r="R56" s="191">
        <v>7</v>
      </c>
      <c r="S56" s="191">
        <v>14</v>
      </c>
      <c r="T56" s="191">
        <v>6</v>
      </c>
      <c r="U56" s="191">
        <v>8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31</v>
      </c>
      <c r="L57" s="192" t="s">
        <v>81</v>
      </c>
      <c r="M57" s="192" t="s">
        <v>79</v>
      </c>
      <c r="N57" s="192" t="s">
        <v>12</v>
      </c>
      <c r="O57" s="192" t="s">
        <v>13</v>
      </c>
      <c r="Q57" s="191">
        <v>7</v>
      </c>
      <c r="R57" s="191">
        <v>14</v>
      </c>
      <c r="S57" s="191">
        <v>12</v>
      </c>
      <c r="T57" s="191">
        <v>4</v>
      </c>
      <c r="U57" s="191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13</v>
      </c>
      <c r="L58" s="192" t="s">
        <v>28</v>
      </c>
      <c r="M58" s="192" t="s">
        <v>94</v>
      </c>
      <c r="N58" s="192" t="s">
        <v>29</v>
      </c>
      <c r="O58" s="192" t="s">
        <v>31</v>
      </c>
      <c r="Q58" s="191">
        <v>5</v>
      </c>
      <c r="R58" s="191">
        <v>9</v>
      </c>
      <c r="S58" s="191">
        <v>17</v>
      </c>
      <c r="T58" s="191">
        <v>8</v>
      </c>
      <c r="U58" s="191">
        <v>7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81</v>
      </c>
      <c r="N59" s="192" t="s">
        <v>28</v>
      </c>
      <c r="O59" s="192" t="s">
        <v>29</v>
      </c>
      <c r="Q59" s="191">
        <v>7</v>
      </c>
      <c r="R59" s="191">
        <v>4</v>
      </c>
      <c r="S59" s="191">
        <v>14</v>
      </c>
      <c r="T59" s="191">
        <v>9</v>
      </c>
      <c r="U59" s="191">
        <v>8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12</v>
      </c>
      <c r="L60" s="192" t="s">
        <v>16</v>
      </c>
      <c r="M60" s="192" t="s">
        <v>85</v>
      </c>
      <c r="N60" s="192" t="s">
        <v>95</v>
      </c>
      <c r="O60" s="192" t="s">
        <v>95</v>
      </c>
      <c r="Q60" s="191">
        <v>4</v>
      </c>
      <c r="R60" s="191">
        <v>3</v>
      </c>
      <c r="S60" s="191">
        <v>18</v>
      </c>
      <c r="T60" s="191">
        <v>6</v>
      </c>
      <c r="U60" s="191">
        <v>6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13</v>
      </c>
      <c r="L61" s="192" t="s">
        <v>29</v>
      </c>
      <c r="M61" s="192" t="s">
        <v>81</v>
      </c>
      <c r="N61" s="192" t="s">
        <v>81</v>
      </c>
      <c r="O61" s="192" t="s">
        <v>29</v>
      </c>
      <c r="Q61" s="191">
        <v>5</v>
      </c>
      <c r="R61" s="191">
        <v>8</v>
      </c>
      <c r="S61" s="191">
        <v>14</v>
      </c>
      <c r="T61" s="191">
        <v>14</v>
      </c>
      <c r="U61" s="191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14</v>
      </c>
      <c r="M62" s="192" t="s">
        <v>96</v>
      </c>
      <c r="N62" s="192" t="s">
        <v>28</v>
      </c>
      <c r="O62" s="192" t="s">
        <v>13</v>
      </c>
      <c r="Q62" s="191">
        <v>6</v>
      </c>
      <c r="R62" s="191">
        <v>1</v>
      </c>
      <c r="S62" s="191">
        <v>15</v>
      </c>
      <c r="T62" s="191">
        <v>9</v>
      </c>
      <c r="U62" s="191">
        <v>5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14</v>
      </c>
      <c r="L63" s="192" t="s">
        <v>16</v>
      </c>
      <c r="M63" s="192" t="s">
        <v>81</v>
      </c>
      <c r="N63" s="192" t="s">
        <v>15</v>
      </c>
      <c r="O63" s="192" t="s">
        <v>31</v>
      </c>
      <c r="Q63" s="191">
        <v>1</v>
      </c>
      <c r="R63" s="191">
        <v>3</v>
      </c>
      <c r="S63" s="191">
        <v>14</v>
      </c>
      <c r="T63" s="191">
        <v>2</v>
      </c>
      <c r="U63" s="191">
        <v>7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29</v>
      </c>
      <c r="L64" s="192" t="s">
        <v>30</v>
      </c>
      <c r="M64" s="192" t="s">
        <v>94</v>
      </c>
      <c r="N64" s="192" t="s">
        <v>28</v>
      </c>
      <c r="O64" s="192" t="s">
        <v>13</v>
      </c>
      <c r="Q64" s="191">
        <v>8</v>
      </c>
      <c r="R64" s="191">
        <v>10</v>
      </c>
      <c r="S64" s="191">
        <v>17</v>
      </c>
      <c r="T64" s="191">
        <v>9</v>
      </c>
      <c r="U64" s="191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95</v>
      </c>
      <c r="L65" s="192" t="s">
        <v>31</v>
      </c>
      <c r="M65" s="192" t="s">
        <v>82</v>
      </c>
      <c r="N65" s="192" t="s">
        <v>82</v>
      </c>
      <c r="O65" s="192" t="s">
        <v>12</v>
      </c>
      <c r="Q65" s="191">
        <v>6</v>
      </c>
      <c r="R65" s="191">
        <v>7</v>
      </c>
      <c r="S65" s="191">
        <v>16</v>
      </c>
      <c r="T65" s="191">
        <v>16</v>
      </c>
      <c r="U65" s="191">
        <v>4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81</v>
      </c>
      <c r="M66" s="192" t="s">
        <v>81</v>
      </c>
      <c r="N66" s="192" t="s">
        <v>95</v>
      </c>
      <c r="O66" s="192" t="s">
        <v>30</v>
      </c>
      <c r="Q66" s="191">
        <v>8</v>
      </c>
      <c r="R66" s="191">
        <v>14</v>
      </c>
      <c r="S66" s="191">
        <v>14</v>
      </c>
      <c r="T66" s="191">
        <v>6</v>
      </c>
      <c r="U66" s="191">
        <v>10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13</v>
      </c>
      <c r="M67" s="192" t="s">
        <v>94</v>
      </c>
      <c r="N67" s="192" t="s">
        <v>13</v>
      </c>
      <c r="O67" s="192" t="s">
        <v>31</v>
      </c>
      <c r="Q67" s="191">
        <v>7</v>
      </c>
      <c r="R67" s="191">
        <v>5</v>
      </c>
      <c r="S67" s="191">
        <v>17</v>
      </c>
      <c r="T67" s="191">
        <v>5</v>
      </c>
      <c r="U67" s="191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29</v>
      </c>
      <c r="L68" s="192" t="s">
        <v>31</v>
      </c>
      <c r="M68" s="192" t="s">
        <v>79</v>
      </c>
      <c r="N68" s="192" t="s">
        <v>15</v>
      </c>
      <c r="O68" s="192" t="s">
        <v>12</v>
      </c>
      <c r="Q68" s="191">
        <v>8</v>
      </c>
      <c r="R68" s="191">
        <v>7</v>
      </c>
      <c r="S68" s="191">
        <v>12</v>
      </c>
      <c r="T68" s="191">
        <v>2</v>
      </c>
      <c r="U68" s="191">
        <v>4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95</v>
      </c>
      <c r="L69" s="192" t="s">
        <v>28</v>
      </c>
      <c r="M69" s="192" t="s">
        <v>81</v>
      </c>
      <c r="N69" s="192" t="s">
        <v>29</v>
      </c>
      <c r="O69" s="192" t="s">
        <v>16</v>
      </c>
      <c r="Q69" s="191">
        <v>6</v>
      </c>
      <c r="R69" s="191">
        <v>9</v>
      </c>
      <c r="S69" s="191">
        <v>14</v>
      </c>
      <c r="T69" s="191">
        <v>8</v>
      </c>
      <c r="U69" s="191">
        <v>3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29</v>
      </c>
      <c r="M70" s="192" t="s">
        <v>96</v>
      </c>
      <c r="N70" s="192" t="s">
        <v>95</v>
      </c>
      <c r="O70" s="192" t="s">
        <v>13</v>
      </c>
      <c r="Q70" s="191">
        <v>8</v>
      </c>
      <c r="R70" s="191">
        <v>8</v>
      </c>
      <c r="S70" s="191">
        <v>15</v>
      </c>
      <c r="T70" s="191">
        <v>6</v>
      </c>
      <c r="U70" s="191">
        <v>5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13</v>
      </c>
      <c r="L71" s="192" t="s">
        <v>13</v>
      </c>
      <c r="M71" s="192" t="s">
        <v>85</v>
      </c>
      <c r="N71" s="192" t="s">
        <v>13</v>
      </c>
      <c r="O71" s="192" t="s">
        <v>12</v>
      </c>
      <c r="Q71" s="191">
        <v>5</v>
      </c>
      <c r="R71" s="191">
        <v>5</v>
      </c>
      <c r="S71" s="191">
        <v>18</v>
      </c>
      <c r="T71" s="191">
        <v>5</v>
      </c>
      <c r="U71" s="191">
        <v>4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29</v>
      </c>
      <c r="L72" s="192" t="s">
        <v>15</v>
      </c>
      <c r="M72" s="192" t="s">
        <v>82</v>
      </c>
      <c r="N72" s="192" t="s">
        <v>82</v>
      </c>
      <c r="O72" s="192" t="s">
        <v>16</v>
      </c>
      <c r="Q72" s="191">
        <v>8</v>
      </c>
      <c r="R72" s="191">
        <v>2</v>
      </c>
      <c r="S72" s="191">
        <v>16</v>
      </c>
      <c r="T72" s="191">
        <v>16</v>
      </c>
      <c r="U72" s="191">
        <v>3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95</v>
      </c>
      <c r="L73" s="192" t="s">
        <v>28</v>
      </c>
      <c r="M73" s="192" t="s">
        <v>94</v>
      </c>
      <c r="N73" s="192" t="s">
        <v>30</v>
      </c>
      <c r="O73" s="192" t="s">
        <v>95</v>
      </c>
      <c r="Q73" s="191">
        <v>6</v>
      </c>
      <c r="R73" s="191">
        <v>9</v>
      </c>
      <c r="S73" s="191">
        <v>17</v>
      </c>
      <c r="T73" s="191">
        <v>10</v>
      </c>
      <c r="U73" s="191">
        <v>6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13</v>
      </c>
      <c r="M74" s="192" t="s">
        <v>96</v>
      </c>
      <c r="N74" s="192" t="s">
        <v>31</v>
      </c>
      <c r="O74" s="192" t="s">
        <v>13</v>
      </c>
      <c r="Q74" s="191">
        <v>8</v>
      </c>
      <c r="R74" s="191">
        <v>5</v>
      </c>
      <c r="S74" s="191">
        <v>15</v>
      </c>
      <c r="T74" s="191">
        <v>7</v>
      </c>
      <c r="U74" s="191">
        <v>5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30</v>
      </c>
      <c r="L75" s="192" t="s">
        <v>82</v>
      </c>
      <c r="M75" s="192" t="s">
        <v>82</v>
      </c>
      <c r="N75" s="192" t="s">
        <v>95</v>
      </c>
      <c r="O75" s="192" t="s">
        <v>28</v>
      </c>
      <c r="Q75" s="191">
        <v>10</v>
      </c>
      <c r="R75" s="191">
        <v>16</v>
      </c>
      <c r="S75" s="191">
        <v>16</v>
      </c>
      <c r="T75" s="191">
        <v>6</v>
      </c>
      <c r="U75" s="191">
        <v>9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31</v>
      </c>
      <c r="L76" s="192" t="s">
        <v>31</v>
      </c>
      <c r="M76" s="192" t="s">
        <v>96</v>
      </c>
      <c r="N76" s="192" t="s">
        <v>29</v>
      </c>
      <c r="O76" s="192" t="s">
        <v>95</v>
      </c>
      <c r="Q76" s="191">
        <v>7</v>
      </c>
      <c r="R76" s="191">
        <v>7</v>
      </c>
      <c r="S76" s="191">
        <v>15</v>
      </c>
      <c r="T76" s="191">
        <v>8</v>
      </c>
      <c r="U76" s="191">
        <v>6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95</v>
      </c>
      <c r="L77" s="192" t="s">
        <v>30</v>
      </c>
      <c r="M77" s="192" t="s">
        <v>78</v>
      </c>
      <c r="N77" s="192" t="s">
        <v>80</v>
      </c>
      <c r="O77" s="192" t="s">
        <v>13</v>
      </c>
      <c r="Q77" s="191">
        <v>6</v>
      </c>
      <c r="R77" s="191">
        <v>10</v>
      </c>
      <c r="S77" s="191">
        <v>11</v>
      </c>
      <c r="T77" s="191">
        <v>13</v>
      </c>
      <c r="U77" s="191">
        <v>5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13</v>
      </c>
      <c r="M78" s="192" t="s">
        <v>96</v>
      </c>
      <c r="N78" s="192" t="s">
        <v>29</v>
      </c>
      <c r="O78" s="192" t="s">
        <v>31</v>
      </c>
      <c r="Q78" s="191">
        <v>7</v>
      </c>
      <c r="R78" s="191">
        <v>5</v>
      </c>
      <c r="S78" s="191">
        <v>15</v>
      </c>
      <c r="T78" s="191">
        <v>8</v>
      </c>
      <c r="U78" s="191">
        <v>7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29</v>
      </c>
      <c r="L79" s="192" t="s">
        <v>16</v>
      </c>
      <c r="M79" s="192" t="s">
        <v>81</v>
      </c>
      <c r="N79" s="192" t="s">
        <v>13</v>
      </c>
      <c r="O79" s="192" t="s">
        <v>13</v>
      </c>
      <c r="Q79" s="191">
        <v>8</v>
      </c>
      <c r="R79" s="191">
        <v>3</v>
      </c>
      <c r="S79" s="191">
        <v>14</v>
      </c>
      <c r="T79" s="191">
        <v>5</v>
      </c>
      <c r="U79" s="191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31</v>
      </c>
      <c r="M80" s="192" t="s">
        <v>82</v>
      </c>
      <c r="N80" s="192" t="s">
        <v>31</v>
      </c>
      <c r="O80" s="192" t="s">
        <v>95</v>
      </c>
      <c r="Q80" s="191">
        <v>7</v>
      </c>
      <c r="R80" s="191">
        <v>7</v>
      </c>
      <c r="S80" s="191">
        <v>16</v>
      </c>
      <c r="T80" s="191">
        <v>7</v>
      </c>
      <c r="U80" s="191">
        <v>6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29</v>
      </c>
      <c r="L81" s="192" t="s">
        <v>13</v>
      </c>
      <c r="M81" s="192" t="s">
        <v>81</v>
      </c>
      <c r="N81" s="192" t="s">
        <v>13</v>
      </c>
      <c r="O81" s="192" t="s">
        <v>31</v>
      </c>
      <c r="Q81" s="191">
        <v>8</v>
      </c>
      <c r="R81" s="191">
        <v>5</v>
      </c>
      <c r="S81" s="191">
        <v>14</v>
      </c>
      <c r="T81" s="191">
        <v>5</v>
      </c>
      <c r="U81" s="191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80</v>
      </c>
      <c r="M82" s="192" t="s">
        <v>82</v>
      </c>
      <c r="N82" s="192" t="s">
        <v>82</v>
      </c>
      <c r="O82" s="192" t="s">
        <v>30</v>
      </c>
      <c r="Q82" s="191">
        <v>7</v>
      </c>
      <c r="R82" s="191">
        <v>13</v>
      </c>
      <c r="S82" s="191">
        <v>16</v>
      </c>
      <c r="T82" s="191">
        <v>16</v>
      </c>
      <c r="U82" s="191">
        <v>10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13</v>
      </c>
      <c r="L83" s="192" t="s">
        <v>95</v>
      </c>
      <c r="M83" s="192" t="s">
        <v>87</v>
      </c>
      <c r="N83" s="192" t="s">
        <v>13</v>
      </c>
      <c r="O83" s="192" t="s">
        <v>15</v>
      </c>
      <c r="Q83" s="191">
        <v>5</v>
      </c>
      <c r="R83" s="191">
        <v>6</v>
      </c>
      <c r="S83" s="191">
        <v>19</v>
      </c>
      <c r="T83" s="191">
        <v>5</v>
      </c>
      <c r="U83" s="191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12</v>
      </c>
      <c r="L84" s="192" t="s">
        <v>87</v>
      </c>
      <c r="M84" s="192" t="s">
        <v>96</v>
      </c>
      <c r="N84" s="192" t="s">
        <v>29</v>
      </c>
      <c r="O84" s="192" t="s">
        <v>12</v>
      </c>
      <c r="Q84" s="191">
        <v>4</v>
      </c>
      <c r="R84" s="191">
        <v>19</v>
      </c>
      <c r="S84" s="191">
        <v>15</v>
      </c>
      <c r="T84" s="191">
        <v>8</v>
      </c>
      <c r="U84" s="191">
        <v>4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30</v>
      </c>
      <c r="L85" s="192" t="s">
        <v>81</v>
      </c>
      <c r="M85" s="192" t="s">
        <v>94</v>
      </c>
      <c r="N85" s="192" t="s">
        <v>82</v>
      </c>
      <c r="O85" s="192" t="s">
        <v>31</v>
      </c>
      <c r="Q85" s="191">
        <v>10</v>
      </c>
      <c r="R85" s="191">
        <v>14</v>
      </c>
      <c r="S85" s="191">
        <v>17</v>
      </c>
      <c r="T85" s="191">
        <v>16</v>
      </c>
      <c r="U85" s="191">
        <v>7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13</v>
      </c>
      <c r="L86" s="192" t="s">
        <v>29</v>
      </c>
      <c r="M86" s="192" t="s">
        <v>87</v>
      </c>
      <c r="N86" s="192" t="s">
        <v>30</v>
      </c>
      <c r="O86" s="192" t="s">
        <v>29</v>
      </c>
      <c r="Q86" s="191">
        <v>5</v>
      </c>
      <c r="R86" s="191">
        <v>8</v>
      </c>
      <c r="S86" s="191">
        <v>19</v>
      </c>
      <c r="T86" s="191">
        <v>10</v>
      </c>
      <c r="U86" s="191">
        <v>8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31</v>
      </c>
      <c r="L87" s="192" t="s">
        <v>13</v>
      </c>
      <c r="M87" s="192" t="s">
        <v>80</v>
      </c>
      <c r="N87" s="192" t="s">
        <v>95</v>
      </c>
      <c r="O87" s="192" t="s">
        <v>95</v>
      </c>
      <c r="Q87" s="191">
        <v>7</v>
      </c>
      <c r="R87" s="191">
        <v>5</v>
      </c>
      <c r="S87" s="191">
        <v>13</v>
      </c>
      <c r="T87" s="191">
        <v>6</v>
      </c>
      <c r="U87" s="191">
        <v>6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29</v>
      </c>
      <c r="L88" s="192" t="s">
        <v>31</v>
      </c>
      <c r="M88" s="192" t="s">
        <v>96</v>
      </c>
      <c r="N88" s="192" t="s">
        <v>13</v>
      </c>
      <c r="O88" s="192" t="s">
        <v>13</v>
      </c>
      <c r="Q88" s="191">
        <v>8</v>
      </c>
      <c r="R88" s="191">
        <v>7</v>
      </c>
      <c r="S88" s="191">
        <v>15</v>
      </c>
      <c r="T88" s="191">
        <v>5</v>
      </c>
      <c r="U88" s="191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13</v>
      </c>
      <c r="L89" s="192" t="s">
        <v>29</v>
      </c>
      <c r="M89" s="192" t="s">
        <v>94</v>
      </c>
      <c r="N89" s="192" t="s">
        <v>14</v>
      </c>
      <c r="O89" s="192" t="s">
        <v>30</v>
      </c>
      <c r="Q89" s="191">
        <v>5</v>
      </c>
      <c r="R89" s="191">
        <v>8</v>
      </c>
      <c r="S89" s="191">
        <v>17</v>
      </c>
      <c r="T89" s="191">
        <v>1</v>
      </c>
      <c r="U89" s="191">
        <v>10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31</v>
      </c>
      <c r="L90" s="192" t="s">
        <v>28</v>
      </c>
      <c r="M90" s="192" t="s">
        <v>96</v>
      </c>
      <c r="N90" s="192" t="s">
        <v>13</v>
      </c>
      <c r="O90" s="192" t="s">
        <v>31</v>
      </c>
      <c r="Q90" s="191">
        <v>7</v>
      </c>
      <c r="R90" s="191">
        <v>9</v>
      </c>
      <c r="S90" s="191">
        <v>15</v>
      </c>
      <c r="T90" s="191">
        <v>5</v>
      </c>
      <c r="U90" s="191">
        <v>7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95</v>
      </c>
      <c r="L91" s="192" t="s">
        <v>15</v>
      </c>
      <c r="M91" s="192" t="s">
        <v>78</v>
      </c>
      <c r="N91" s="192" t="s">
        <v>29</v>
      </c>
      <c r="O91" s="192" t="s">
        <v>29</v>
      </c>
      <c r="Q91" s="191">
        <v>6</v>
      </c>
      <c r="R91" s="191">
        <v>2</v>
      </c>
      <c r="S91" s="191">
        <v>11</v>
      </c>
      <c r="T91" s="191">
        <v>8</v>
      </c>
      <c r="U91" s="191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13</v>
      </c>
      <c r="M92" s="192" t="s">
        <v>94</v>
      </c>
      <c r="N92" s="192" t="s">
        <v>31</v>
      </c>
      <c r="O92" s="192" t="s">
        <v>28</v>
      </c>
      <c r="Q92" s="191">
        <v>5</v>
      </c>
      <c r="R92" s="191">
        <v>5</v>
      </c>
      <c r="S92" s="191">
        <v>17</v>
      </c>
      <c r="T92" s="191">
        <v>7</v>
      </c>
      <c r="U92" s="191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30</v>
      </c>
      <c r="L93" s="192" t="s">
        <v>95</v>
      </c>
      <c r="M93" s="192" t="s">
        <v>81</v>
      </c>
      <c r="N93" s="192" t="s">
        <v>95</v>
      </c>
      <c r="O93" s="192" t="s">
        <v>29</v>
      </c>
      <c r="Q93" s="191">
        <v>10</v>
      </c>
      <c r="R93" s="191">
        <v>6</v>
      </c>
      <c r="S93" s="191">
        <v>14</v>
      </c>
      <c r="T93" s="191">
        <v>6</v>
      </c>
      <c r="U93" s="191">
        <v>8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29</v>
      </c>
      <c r="L94" s="192" t="s">
        <v>79</v>
      </c>
      <c r="M94" s="192" t="s">
        <v>94</v>
      </c>
      <c r="N94" s="192" t="s">
        <v>82</v>
      </c>
      <c r="O94" s="192" t="s">
        <v>14</v>
      </c>
      <c r="Q94" s="191">
        <v>8</v>
      </c>
      <c r="R94" s="191">
        <v>12</v>
      </c>
      <c r="S94" s="191">
        <v>17</v>
      </c>
      <c r="T94" s="191">
        <v>16</v>
      </c>
      <c r="U94" s="191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95</v>
      </c>
      <c r="L95" s="192" t="s">
        <v>94</v>
      </c>
      <c r="M95" s="192" t="s">
        <v>78</v>
      </c>
      <c r="N95" s="192" t="s">
        <v>96</v>
      </c>
      <c r="O95" s="192" t="s">
        <v>29</v>
      </c>
      <c r="Q95" s="191">
        <v>6</v>
      </c>
      <c r="R95" s="191">
        <v>17</v>
      </c>
      <c r="S95" s="191">
        <v>11</v>
      </c>
      <c r="T95" s="191">
        <v>15</v>
      </c>
      <c r="U95" s="191">
        <v>8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13</v>
      </c>
      <c r="L96" s="192" t="s">
        <v>95</v>
      </c>
      <c r="M96" s="192" t="s">
        <v>85</v>
      </c>
      <c r="N96" s="192" t="s">
        <v>14</v>
      </c>
      <c r="O96" s="192" t="s">
        <v>13</v>
      </c>
      <c r="Q96" s="191">
        <v>5</v>
      </c>
      <c r="R96" s="191">
        <v>6</v>
      </c>
      <c r="S96" s="191">
        <v>18</v>
      </c>
      <c r="T96" s="191">
        <v>1</v>
      </c>
      <c r="U96" s="191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31</v>
      </c>
      <c r="L97" s="192" t="s">
        <v>94</v>
      </c>
      <c r="M97" s="192" t="s">
        <v>96</v>
      </c>
      <c r="N97" s="192" t="s">
        <v>29</v>
      </c>
      <c r="O97" s="192" t="s">
        <v>30</v>
      </c>
      <c r="Q97" s="191">
        <v>7</v>
      </c>
      <c r="R97" s="191">
        <v>17</v>
      </c>
      <c r="S97" s="191">
        <v>15</v>
      </c>
      <c r="T97" s="191">
        <v>8</v>
      </c>
      <c r="U97" s="191">
        <v>10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15</v>
      </c>
      <c r="M98" s="192" t="s">
        <v>81</v>
      </c>
      <c r="N98" s="192" t="s">
        <v>31</v>
      </c>
      <c r="O98" s="192" t="s">
        <v>13</v>
      </c>
      <c r="Q98" s="191">
        <v>8</v>
      </c>
      <c r="R98" s="191">
        <v>2</v>
      </c>
      <c r="S98" s="191">
        <v>14</v>
      </c>
      <c r="T98" s="191">
        <v>7</v>
      </c>
      <c r="U98" s="191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95</v>
      </c>
      <c r="L99" s="192" t="s">
        <v>13</v>
      </c>
      <c r="M99" s="192" t="s">
        <v>96</v>
      </c>
      <c r="N99" s="192" t="s">
        <v>96</v>
      </c>
      <c r="O99" s="192" t="s">
        <v>95</v>
      </c>
      <c r="Q99" s="191">
        <v>6</v>
      </c>
      <c r="R99" s="191">
        <v>5</v>
      </c>
      <c r="S99" s="191">
        <v>15</v>
      </c>
      <c r="T99" s="191">
        <v>15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29</v>
      </c>
      <c r="M100" s="192" t="s">
        <v>94</v>
      </c>
      <c r="N100" s="192" t="s">
        <v>29</v>
      </c>
      <c r="O100" s="192" t="s">
        <v>29</v>
      </c>
      <c r="Q100" s="191">
        <v>5</v>
      </c>
      <c r="R100" s="191">
        <v>8</v>
      </c>
      <c r="S100" s="191">
        <v>17</v>
      </c>
      <c r="T100" s="191">
        <v>8</v>
      </c>
      <c r="U100" s="191">
        <v>8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31</v>
      </c>
      <c r="L101" s="192" t="s">
        <v>94</v>
      </c>
      <c r="M101" s="192" t="s">
        <v>81</v>
      </c>
      <c r="N101" s="192" t="s">
        <v>94</v>
      </c>
      <c r="O101" s="192" t="s">
        <v>28</v>
      </c>
      <c r="Q101" s="191">
        <v>7</v>
      </c>
      <c r="R101" s="191">
        <v>17</v>
      </c>
      <c r="S101" s="191">
        <v>14</v>
      </c>
      <c r="T101" s="191">
        <v>17</v>
      </c>
      <c r="U101" s="191">
        <v>9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15</v>
      </c>
      <c r="L102" s="192" t="s">
        <v>29</v>
      </c>
      <c r="M102" s="192" t="s">
        <v>82</v>
      </c>
      <c r="N102" s="192" t="s">
        <v>28</v>
      </c>
      <c r="O102" s="192" t="s">
        <v>15</v>
      </c>
      <c r="Q102" s="191">
        <v>2</v>
      </c>
      <c r="R102" s="191">
        <v>8</v>
      </c>
      <c r="S102" s="191">
        <v>16</v>
      </c>
      <c r="T102" s="191">
        <v>9</v>
      </c>
      <c r="U102" s="191">
        <v>2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15</v>
      </c>
      <c r="M103" s="192" t="s">
        <v>81</v>
      </c>
      <c r="N103" s="192" t="s">
        <v>31</v>
      </c>
      <c r="O103" s="192" t="s">
        <v>29</v>
      </c>
      <c r="Q103" s="191">
        <v>7</v>
      </c>
      <c r="R103" s="191">
        <v>2</v>
      </c>
      <c r="S103" s="191">
        <v>14</v>
      </c>
      <c r="T103" s="191">
        <v>7</v>
      </c>
      <c r="U103" s="191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13</v>
      </c>
      <c r="L104" s="192" t="s">
        <v>29</v>
      </c>
      <c r="M104" s="192" t="s">
        <v>94</v>
      </c>
      <c r="N104" s="192" t="s">
        <v>82</v>
      </c>
      <c r="O104" s="192" t="s">
        <v>95</v>
      </c>
      <c r="Q104" s="191">
        <v>5</v>
      </c>
      <c r="R104" s="191">
        <v>8</v>
      </c>
      <c r="S104" s="191">
        <v>17</v>
      </c>
      <c r="T104" s="191">
        <v>16</v>
      </c>
      <c r="U104" s="191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14</v>
      </c>
      <c r="M105" s="192" t="s">
        <v>81</v>
      </c>
      <c r="N105" s="192" t="s">
        <v>96</v>
      </c>
      <c r="O105" s="192" t="s">
        <v>29</v>
      </c>
      <c r="Q105" s="191">
        <v>6</v>
      </c>
      <c r="R105" s="191">
        <v>1</v>
      </c>
      <c r="S105" s="191">
        <v>14</v>
      </c>
      <c r="T105" s="191">
        <v>15</v>
      </c>
      <c r="U105" s="191">
        <v>8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13</v>
      </c>
      <c r="L106" s="192" t="s">
        <v>31</v>
      </c>
      <c r="M106" s="192" t="s">
        <v>96</v>
      </c>
      <c r="N106" s="192" t="s">
        <v>12</v>
      </c>
      <c r="O106" s="192" t="s">
        <v>13</v>
      </c>
      <c r="Q106" s="191">
        <v>5</v>
      </c>
      <c r="R106" s="191">
        <v>7</v>
      </c>
      <c r="S106" s="191">
        <v>15</v>
      </c>
      <c r="T106" s="191">
        <v>4</v>
      </c>
      <c r="U106" s="191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31</v>
      </c>
      <c r="L107" s="192" t="s">
        <v>94</v>
      </c>
      <c r="M107" s="192" t="s">
        <v>81</v>
      </c>
      <c r="N107" s="192" t="s">
        <v>82</v>
      </c>
      <c r="O107" s="192" t="s">
        <v>28</v>
      </c>
      <c r="Q107" s="191">
        <v>7</v>
      </c>
      <c r="R107" s="191">
        <v>17</v>
      </c>
      <c r="S107" s="191">
        <v>14</v>
      </c>
      <c r="T107" s="191">
        <v>16</v>
      </c>
      <c r="U107" s="191">
        <v>9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95</v>
      </c>
      <c r="L108" s="192" t="s">
        <v>31</v>
      </c>
      <c r="M108" s="192" t="s">
        <v>96</v>
      </c>
      <c r="N108" s="192" t="s">
        <v>13</v>
      </c>
      <c r="O108" s="192" t="s">
        <v>29</v>
      </c>
      <c r="Q108" s="191">
        <v>6</v>
      </c>
      <c r="R108" s="191">
        <v>7</v>
      </c>
      <c r="S108" s="191">
        <v>15</v>
      </c>
      <c r="T108" s="191">
        <v>5</v>
      </c>
      <c r="U108" s="191">
        <v>8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31</v>
      </c>
      <c r="L109" s="192" t="s">
        <v>29</v>
      </c>
      <c r="M109" s="192" t="s">
        <v>80</v>
      </c>
      <c r="N109" s="192" t="s">
        <v>29</v>
      </c>
      <c r="O109" s="192" t="s">
        <v>31</v>
      </c>
      <c r="Q109" s="191">
        <v>7</v>
      </c>
      <c r="R109" s="191">
        <v>8</v>
      </c>
      <c r="S109" s="191">
        <v>13</v>
      </c>
      <c r="T109" s="191">
        <v>8</v>
      </c>
      <c r="U109" s="191">
        <v>7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13</v>
      </c>
      <c r="L110" s="192" t="s">
        <v>30</v>
      </c>
      <c r="M110" s="192" t="s">
        <v>81</v>
      </c>
      <c r="N110" s="192" t="s">
        <v>13</v>
      </c>
      <c r="O110" s="192" t="s">
        <v>29</v>
      </c>
      <c r="Q110" s="191">
        <v>5</v>
      </c>
      <c r="R110" s="191">
        <v>10</v>
      </c>
      <c r="S110" s="191">
        <v>14</v>
      </c>
      <c r="T110" s="191">
        <v>5</v>
      </c>
      <c r="U110" s="191">
        <v>8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31</v>
      </c>
      <c r="L111" s="192" t="s">
        <v>31</v>
      </c>
      <c r="M111" s="192" t="s">
        <v>94</v>
      </c>
      <c r="N111" s="192" t="s">
        <v>96</v>
      </c>
      <c r="O111" s="192" t="s">
        <v>95</v>
      </c>
      <c r="Q111" s="191">
        <v>7</v>
      </c>
      <c r="R111" s="191">
        <v>7</v>
      </c>
      <c r="S111" s="191">
        <v>17</v>
      </c>
      <c r="T111" s="191">
        <v>15</v>
      </c>
      <c r="U111" s="191">
        <v>6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13</v>
      </c>
      <c r="L112" s="192" t="s">
        <v>15</v>
      </c>
      <c r="M112" s="192" t="s">
        <v>82</v>
      </c>
      <c r="N112" s="192" t="s">
        <v>16</v>
      </c>
      <c r="O112" s="192" t="s">
        <v>31</v>
      </c>
      <c r="Q112" s="191">
        <v>5</v>
      </c>
      <c r="R112" s="191">
        <v>2</v>
      </c>
      <c r="S112" s="191">
        <v>16</v>
      </c>
      <c r="T112" s="191">
        <v>3</v>
      </c>
      <c r="U112" s="191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28</v>
      </c>
      <c r="L113" s="192" t="s">
        <v>29</v>
      </c>
      <c r="M113" s="192" t="s">
        <v>96</v>
      </c>
      <c r="N113" s="192" t="s">
        <v>31</v>
      </c>
      <c r="O113" s="192" t="s">
        <v>16</v>
      </c>
      <c r="Q113" s="191">
        <v>9</v>
      </c>
      <c r="R113" s="191">
        <v>8</v>
      </c>
      <c r="S113" s="191">
        <v>15</v>
      </c>
      <c r="T113" s="191">
        <v>7</v>
      </c>
      <c r="U113" s="191">
        <v>3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31</v>
      </c>
      <c r="L114" s="192" t="s">
        <v>94</v>
      </c>
      <c r="M114" s="192" t="s">
        <v>81</v>
      </c>
      <c r="N114" s="192" t="s">
        <v>13</v>
      </c>
      <c r="O114" s="192" t="s">
        <v>29</v>
      </c>
      <c r="Q114" s="191">
        <v>7</v>
      </c>
      <c r="R114" s="191">
        <v>17</v>
      </c>
      <c r="S114" s="191">
        <v>14</v>
      </c>
      <c r="T114" s="191">
        <v>5</v>
      </c>
      <c r="U114" s="191">
        <v>8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15</v>
      </c>
      <c r="M115" s="192" t="s">
        <v>82</v>
      </c>
      <c r="N115" s="192" t="s">
        <v>15</v>
      </c>
      <c r="O115" s="192" t="s">
        <v>13</v>
      </c>
      <c r="Q115" s="191">
        <v>5</v>
      </c>
      <c r="R115" s="191">
        <v>2</v>
      </c>
      <c r="S115" s="191">
        <v>16</v>
      </c>
      <c r="T115" s="191">
        <v>2</v>
      </c>
      <c r="U115" s="191">
        <v>5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31</v>
      </c>
      <c r="M116" s="192" t="s">
        <v>81</v>
      </c>
      <c r="N116" s="192" t="s">
        <v>29</v>
      </c>
      <c r="O116" s="192" t="s">
        <v>28</v>
      </c>
      <c r="Q116" s="191">
        <v>7</v>
      </c>
      <c r="R116" s="191">
        <v>7</v>
      </c>
      <c r="S116" s="191">
        <v>14</v>
      </c>
      <c r="T116" s="191">
        <v>8</v>
      </c>
      <c r="U116" s="191">
        <v>9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13</v>
      </c>
      <c r="L117" s="192" t="s">
        <v>81</v>
      </c>
      <c r="M117" s="192" t="s">
        <v>94</v>
      </c>
      <c r="N117" s="192" t="s">
        <v>95</v>
      </c>
      <c r="O117" s="192" t="s">
        <v>14</v>
      </c>
      <c r="Q117" s="191">
        <v>5</v>
      </c>
      <c r="R117" s="191">
        <v>14</v>
      </c>
      <c r="S117" s="191">
        <v>17</v>
      </c>
      <c r="T117" s="191">
        <v>6</v>
      </c>
      <c r="U117" s="191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31</v>
      </c>
      <c r="L118" s="192" t="s">
        <v>96</v>
      </c>
      <c r="M118" s="192" t="s">
        <v>82</v>
      </c>
      <c r="N118" s="192" t="s">
        <v>13</v>
      </c>
      <c r="O118" s="192" t="s">
        <v>16</v>
      </c>
      <c r="Q118" s="191">
        <v>7</v>
      </c>
      <c r="R118" s="191">
        <v>15</v>
      </c>
      <c r="S118" s="191">
        <v>16</v>
      </c>
      <c r="T118" s="191">
        <v>5</v>
      </c>
      <c r="U118" s="191">
        <v>3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13</v>
      </c>
      <c r="L119" s="192" t="s">
        <v>82</v>
      </c>
      <c r="M119" s="192" t="s">
        <v>81</v>
      </c>
      <c r="N119" s="192" t="s">
        <v>28</v>
      </c>
      <c r="O119" s="192" t="s">
        <v>13</v>
      </c>
      <c r="Q119" s="191">
        <v>5</v>
      </c>
      <c r="R119" s="191">
        <v>16</v>
      </c>
      <c r="S119" s="191">
        <v>14</v>
      </c>
      <c r="T119" s="191">
        <v>9</v>
      </c>
      <c r="U119" s="191">
        <v>5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31</v>
      </c>
      <c r="L120" s="192" t="s">
        <v>12</v>
      </c>
      <c r="M120" s="192" t="s">
        <v>96</v>
      </c>
      <c r="N120" s="192" t="s">
        <v>29</v>
      </c>
      <c r="O120" s="192" t="s">
        <v>95</v>
      </c>
      <c r="Q120" s="191">
        <v>7</v>
      </c>
      <c r="R120" s="191">
        <v>4</v>
      </c>
      <c r="S120" s="191">
        <v>15</v>
      </c>
      <c r="T120" s="191">
        <v>8</v>
      </c>
      <c r="U120" s="191">
        <v>6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29</v>
      </c>
      <c r="L121" s="192" t="s">
        <v>95</v>
      </c>
      <c r="M121" s="192" t="s">
        <v>94</v>
      </c>
      <c r="N121" s="192" t="s">
        <v>31</v>
      </c>
      <c r="O121" s="192" t="s">
        <v>12</v>
      </c>
      <c r="Q121" s="191">
        <v>8</v>
      </c>
      <c r="R121" s="191">
        <v>6</v>
      </c>
      <c r="S121" s="191">
        <v>17</v>
      </c>
      <c r="T121" s="191">
        <v>7</v>
      </c>
      <c r="U121" s="191">
        <v>4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95</v>
      </c>
      <c r="L122" s="192" t="s">
        <v>12</v>
      </c>
      <c r="M122" s="192" t="s">
        <v>81</v>
      </c>
      <c r="N122" s="192" t="s">
        <v>13</v>
      </c>
      <c r="O122" s="192" t="s">
        <v>31</v>
      </c>
      <c r="Q122" s="191">
        <v>6</v>
      </c>
      <c r="R122" s="191">
        <v>4</v>
      </c>
      <c r="S122" s="191">
        <v>14</v>
      </c>
      <c r="T122" s="191">
        <v>5</v>
      </c>
      <c r="U122" s="191">
        <v>7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31</v>
      </c>
      <c r="L123" s="192" t="s">
        <v>78</v>
      </c>
      <c r="M123" s="192" t="s">
        <v>94</v>
      </c>
      <c r="N123" s="192" t="s">
        <v>31</v>
      </c>
      <c r="O123" s="192" t="s">
        <v>29</v>
      </c>
      <c r="Q123" s="191">
        <v>7</v>
      </c>
      <c r="R123" s="191">
        <v>11</v>
      </c>
      <c r="S123" s="191">
        <v>17</v>
      </c>
      <c r="T123" s="191">
        <v>7</v>
      </c>
      <c r="U123" s="191">
        <v>8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13</v>
      </c>
      <c r="M124" s="192" t="s">
        <v>96</v>
      </c>
      <c r="N124" s="192" t="s">
        <v>82</v>
      </c>
      <c r="O124" s="192" t="s">
        <v>95</v>
      </c>
      <c r="Q124" s="191">
        <v>8</v>
      </c>
      <c r="R124" s="191">
        <v>5</v>
      </c>
      <c r="S124" s="191">
        <v>15</v>
      </c>
      <c r="T124" s="191">
        <v>16</v>
      </c>
      <c r="U124" s="191">
        <v>6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13</v>
      </c>
      <c r="L125" s="192" t="s">
        <v>95</v>
      </c>
      <c r="M125" s="192" t="s">
        <v>79</v>
      </c>
      <c r="N125" s="192" t="s">
        <v>95</v>
      </c>
      <c r="O125" s="192" t="s">
        <v>14</v>
      </c>
      <c r="Q125" s="191">
        <v>5</v>
      </c>
      <c r="R125" s="191">
        <v>6</v>
      </c>
      <c r="S125" s="191">
        <v>12</v>
      </c>
      <c r="T125" s="191">
        <v>6</v>
      </c>
      <c r="U125" s="191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31</v>
      </c>
      <c r="M126" s="192" t="s">
        <v>96</v>
      </c>
      <c r="N126" s="192" t="s">
        <v>29</v>
      </c>
      <c r="O126" s="192" t="s">
        <v>29</v>
      </c>
      <c r="Q126" s="191">
        <v>7</v>
      </c>
      <c r="R126" s="191">
        <v>7</v>
      </c>
      <c r="S126" s="191">
        <v>15</v>
      </c>
      <c r="T126" s="191">
        <v>8</v>
      </c>
      <c r="U126" s="191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95</v>
      </c>
      <c r="L127" s="192" t="s">
        <v>80</v>
      </c>
      <c r="M127" s="192" t="s">
        <v>82</v>
      </c>
      <c r="N127" s="192" t="s">
        <v>95</v>
      </c>
      <c r="O127" s="192" t="s">
        <v>31</v>
      </c>
      <c r="Q127" s="191">
        <v>6</v>
      </c>
      <c r="R127" s="191">
        <v>13</v>
      </c>
      <c r="S127" s="191">
        <v>16</v>
      </c>
      <c r="T127" s="191">
        <v>6</v>
      </c>
      <c r="U127" s="191">
        <v>7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12</v>
      </c>
      <c r="L128" s="192" t="s">
        <v>29</v>
      </c>
      <c r="M128" s="192" t="s">
        <v>96</v>
      </c>
      <c r="N128" s="192" t="s">
        <v>31</v>
      </c>
      <c r="O128" s="192" t="s">
        <v>30</v>
      </c>
      <c r="Q128" s="191">
        <v>4</v>
      </c>
      <c r="R128" s="191">
        <v>8</v>
      </c>
      <c r="S128" s="191">
        <v>15</v>
      </c>
      <c r="T128" s="191">
        <v>7</v>
      </c>
      <c r="U128" s="191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13</v>
      </c>
      <c r="L129" s="192" t="s">
        <v>13</v>
      </c>
      <c r="M129" s="192" t="s">
        <v>81</v>
      </c>
      <c r="N129" s="192" t="s">
        <v>29</v>
      </c>
      <c r="O129" s="192" t="s">
        <v>95</v>
      </c>
      <c r="Q129" s="191">
        <v>5</v>
      </c>
      <c r="R129" s="191">
        <v>5</v>
      </c>
      <c r="S129" s="191">
        <v>14</v>
      </c>
      <c r="T129" s="191">
        <v>8</v>
      </c>
      <c r="U129" s="191">
        <v>6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96</v>
      </c>
      <c r="M130" s="192" t="s">
        <v>80</v>
      </c>
      <c r="N130" s="192" t="s">
        <v>31</v>
      </c>
      <c r="O130" s="192" t="s">
        <v>13</v>
      </c>
      <c r="Q130" s="191">
        <v>8</v>
      </c>
      <c r="R130" s="191">
        <v>15</v>
      </c>
      <c r="S130" s="191">
        <v>13</v>
      </c>
      <c r="T130" s="191">
        <v>7</v>
      </c>
      <c r="U130" s="191">
        <v>5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82</v>
      </c>
      <c r="N131" s="192" t="s">
        <v>13</v>
      </c>
      <c r="O131" s="192" t="s">
        <v>16</v>
      </c>
      <c r="Q131" s="191">
        <v>6</v>
      </c>
      <c r="R131" s="191">
        <v>4</v>
      </c>
      <c r="S131" s="191">
        <v>16</v>
      </c>
      <c r="T131" s="191">
        <v>5</v>
      </c>
      <c r="U131" s="191">
        <v>3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29</v>
      </c>
      <c r="L132" s="192" t="s">
        <v>79</v>
      </c>
      <c r="M132" s="192" t="s">
        <v>87</v>
      </c>
      <c r="N132" s="192" t="s">
        <v>31</v>
      </c>
      <c r="O132" s="192" t="s">
        <v>95</v>
      </c>
      <c r="Q132" s="191">
        <v>8</v>
      </c>
      <c r="R132" s="191">
        <v>12</v>
      </c>
      <c r="S132" s="191">
        <v>19</v>
      </c>
      <c r="T132" s="191">
        <v>7</v>
      </c>
      <c r="U132" s="191">
        <v>6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31</v>
      </c>
      <c r="L133" s="192" t="s">
        <v>29</v>
      </c>
      <c r="M133" s="192" t="s">
        <v>94</v>
      </c>
      <c r="N133" s="192" t="s">
        <v>29</v>
      </c>
      <c r="O133" s="192" t="s">
        <v>13</v>
      </c>
      <c r="Q133" s="191">
        <v>7</v>
      </c>
      <c r="R133" s="191">
        <v>8</v>
      </c>
      <c r="S133" s="191">
        <v>17</v>
      </c>
      <c r="T133" s="191">
        <v>8</v>
      </c>
      <c r="U133" s="191">
        <v>5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16</v>
      </c>
      <c r="L134" s="192" t="s">
        <v>31</v>
      </c>
      <c r="M134" s="192" t="s">
        <v>81</v>
      </c>
      <c r="N134" s="192" t="s">
        <v>31</v>
      </c>
      <c r="O134" s="192" t="s">
        <v>16</v>
      </c>
      <c r="Q134" s="191">
        <v>3</v>
      </c>
      <c r="R134" s="191">
        <v>7</v>
      </c>
      <c r="S134" s="191">
        <v>14</v>
      </c>
      <c r="T134" s="191">
        <v>7</v>
      </c>
      <c r="U134" s="191">
        <v>3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12</v>
      </c>
      <c r="M135" s="192" t="s">
        <v>85</v>
      </c>
      <c r="N135" s="192" t="s">
        <v>29</v>
      </c>
      <c r="O135" s="192" t="s">
        <v>95</v>
      </c>
      <c r="Q135" s="191">
        <v>8</v>
      </c>
      <c r="R135" s="191">
        <v>4</v>
      </c>
      <c r="S135" s="191">
        <v>18</v>
      </c>
      <c r="T135" s="191">
        <v>8</v>
      </c>
      <c r="U135" s="191">
        <v>6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95</v>
      </c>
      <c r="L136" s="192" t="s">
        <v>96</v>
      </c>
      <c r="M136" s="192" t="s">
        <v>96</v>
      </c>
      <c r="N136" s="192" t="s">
        <v>13</v>
      </c>
      <c r="O136" s="192" t="s">
        <v>13</v>
      </c>
      <c r="Q136" s="191">
        <v>6</v>
      </c>
      <c r="R136" s="191">
        <v>15</v>
      </c>
      <c r="S136" s="191">
        <v>15</v>
      </c>
      <c r="T136" s="191">
        <v>5</v>
      </c>
      <c r="U136" s="191">
        <v>5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15</v>
      </c>
      <c r="M137" s="192" t="s">
        <v>82</v>
      </c>
      <c r="N137" s="192" t="s">
        <v>29</v>
      </c>
      <c r="O137" s="192" t="s">
        <v>31</v>
      </c>
      <c r="Q137" s="191">
        <v>5</v>
      </c>
      <c r="R137" s="191">
        <v>2</v>
      </c>
      <c r="S137" s="191">
        <v>16</v>
      </c>
      <c r="T137" s="191">
        <v>8</v>
      </c>
      <c r="U137" s="191">
        <v>7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95</v>
      </c>
      <c r="M138" s="192" t="s">
        <v>94</v>
      </c>
      <c r="N138" s="192" t="s">
        <v>31</v>
      </c>
      <c r="O138" s="192" t="s">
        <v>12</v>
      </c>
      <c r="Q138" s="191">
        <v>8</v>
      </c>
      <c r="R138" s="191">
        <v>6</v>
      </c>
      <c r="S138" s="191">
        <v>17</v>
      </c>
      <c r="T138" s="191">
        <v>7</v>
      </c>
      <c r="U138" s="191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95</v>
      </c>
      <c r="L139" s="192" t="s">
        <v>78</v>
      </c>
      <c r="M139" s="192" t="s">
        <v>82</v>
      </c>
      <c r="N139" s="192" t="s">
        <v>95</v>
      </c>
      <c r="O139" s="192" t="s">
        <v>13</v>
      </c>
      <c r="Q139" s="191">
        <v>6</v>
      </c>
      <c r="R139" s="191">
        <v>11</v>
      </c>
      <c r="S139" s="191">
        <v>16</v>
      </c>
      <c r="T139" s="191">
        <v>6</v>
      </c>
      <c r="U139" s="191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29</v>
      </c>
      <c r="L140" s="192" t="s">
        <v>85</v>
      </c>
      <c r="M140" s="192" t="s">
        <v>81</v>
      </c>
      <c r="N140" s="192" t="s">
        <v>13</v>
      </c>
      <c r="O140" s="192" t="s">
        <v>30</v>
      </c>
      <c r="Q140" s="191">
        <v>8</v>
      </c>
      <c r="R140" s="191">
        <v>18</v>
      </c>
      <c r="S140" s="191">
        <v>14</v>
      </c>
      <c r="T140" s="191">
        <v>5</v>
      </c>
      <c r="U140" s="191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95</v>
      </c>
      <c r="L141" s="192" t="s">
        <v>13</v>
      </c>
      <c r="M141" s="192" t="s">
        <v>96</v>
      </c>
      <c r="N141" s="192" t="s">
        <v>94</v>
      </c>
      <c r="O141" s="192" t="s">
        <v>31</v>
      </c>
      <c r="Q141" s="191">
        <v>6</v>
      </c>
      <c r="R141" s="191">
        <v>5</v>
      </c>
      <c r="S141" s="191">
        <v>15</v>
      </c>
      <c r="T141" s="191">
        <v>17</v>
      </c>
      <c r="U141" s="191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29</v>
      </c>
      <c r="L142" s="192" t="s">
        <v>15</v>
      </c>
      <c r="M142" s="192" t="s">
        <v>94</v>
      </c>
      <c r="N142" s="192" t="s">
        <v>31</v>
      </c>
      <c r="O142" s="192" t="s">
        <v>95</v>
      </c>
      <c r="Q142" s="191">
        <v>8</v>
      </c>
      <c r="R142" s="191">
        <v>2</v>
      </c>
      <c r="S142" s="191">
        <v>17</v>
      </c>
      <c r="T142" s="191">
        <v>7</v>
      </c>
      <c r="U142" s="191">
        <v>6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31</v>
      </c>
      <c r="M143" s="192" t="s">
        <v>96</v>
      </c>
      <c r="N143" s="192" t="s">
        <v>95</v>
      </c>
      <c r="O143" s="192" t="s">
        <v>31</v>
      </c>
      <c r="Q143" s="191">
        <v>5</v>
      </c>
      <c r="R143" s="191">
        <v>7</v>
      </c>
      <c r="S143" s="191">
        <v>15</v>
      </c>
      <c r="T143" s="191">
        <v>6</v>
      </c>
      <c r="U143" s="191">
        <v>7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29</v>
      </c>
      <c r="M144" s="192" t="s">
        <v>85</v>
      </c>
      <c r="N144" s="192" t="s">
        <v>96</v>
      </c>
      <c r="O144" s="192" t="s">
        <v>95</v>
      </c>
      <c r="Q144" s="191">
        <v>6</v>
      </c>
      <c r="R144" s="191">
        <v>8</v>
      </c>
      <c r="S144" s="191">
        <v>18</v>
      </c>
      <c r="T144" s="191">
        <v>15</v>
      </c>
      <c r="U144" s="191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13</v>
      </c>
      <c r="M145" s="192" t="s">
        <v>94</v>
      </c>
      <c r="N145" s="192" t="s">
        <v>31</v>
      </c>
      <c r="O145" s="192" t="s">
        <v>12</v>
      </c>
      <c r="Q145" s="191">
        <v>7</v>
      </c>
      <c r="R145" s="191">
        <v>5</v>
      </c>
      <c r="S145" s="191">
        <v>17</v>
      </c>
      <c r="T145" s="191">
        <v>7</v>
      </c>
      <c r="U145" s="191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87</v>
      </c>
      <c r="M146" s="192" t="s">
        <v>81</v>
      </c>
      <c r="N146" s="192" t="s">
        <v>28</v>
      </c>
      <c r="O146" s="192" t="s">
        <v>95</v>
      </c>
      <c r="Q146" s="191">
        <v>6</v>
      </c>
      <c r="R146" s="191">
        <v>19</v>
      </c>
      <c r="S146" s="191">
        <v>14</v>
      </c>
      <c r="T146" s="191">
        <v>9</v>
      </c>
      <c r="U146" s="191">
        <v>6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95</v>
      </c>
      <c r="M147" s="192" t="s">
        <v>96</v>
      </c>
      <c r="N147" s="192" t="s">
        <v>31</v>
      </c>
      <c r="O147" s="192" t="s">
        <v>13</v>
      </c>
      <c r="Q147" s="191">
        <v>5</v>
      </c>
      <c r="R147" s="191">
        <v>6</v>
      </c>
      <c r="S147" s="191">
        <v>15</v>
      </c>
      <c r="T147" s="191">
        <v>7</v>
      </c>
      <c r="U147" s="191">
        <v>5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16</v>
      </c>
      <c r="M148" s="192" t="s">
        <v>82</v>
      </c>
      <c r="N148" s="192" t="s">
        <v>13</v>
      </c>
      <c r="O148" s="192" t="s">
        <v>95</v>
      </c>
      <c r="Q148" s="191">
        <v>6</v>
      </c>
      <c r="R148" s="191">
        <v>3</v>
      </c>
      <c r="S148" s="191">
        <v>16</v>
      </c>
      <c r="T148" s="191">
        <v>5</v>
      </c>
      <c r="U148" s="191">
        <v>6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94</v>
      </c>
      <c r="M149" s="192" t="s">
        <v>94</v>
      </c>
      <c r="N149" s="192" t="s">
        <v>31</v>
      </c>
      <c r="O149" s="192" t="s">
        <v>13</v>
      </c>
      <c r="Q149" s="191">
        <v>8</v>
      </c>
      <c r="R149" s="191">
        <v>17</v>
      </c>
      <c r="S149" s="191">
        <v>17</v>
      </c>
      <c r="T149" s="191">
        <v>7</v>
      </c>
      <c r="U149" s="191">
        <v>5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29</v>
      </c>
      <c r="M150" s="192" t="s">
        <v>81</v>
      </c>
      <c r="N150" s="192" t="s">
        <v>95</v>
      </c>
      <c r="O150" s="192" t="s">
        <v>28</v>
      </c>
      <c r="Q150" s="191">
        <v>6</v>
      </c>
      <c r="R150" s="191">
        <v>8</v>
      </c>
      <c r="S150" s="191">
        <v>14</v>
      </c>
      <c r="T150" s="191">
        <v>6</v>
      </c>
      <c r="U150" s="191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95</v>
      </c>
      <c r="M151" s="192" t="s">
        <v>96</v>
      </c>
      <c r="N151" s="192" t="s">
        <v>31</v>
      </c>
      <c r="O151" s="192" t="s">
        <v>31</v>
      </c>
      <c r="Q151" s="191">
        <v>7</v>
      </c>
      <c r="R151" s="191">
        <v>6</v>
      </c>
      <c r="S151" s="191">
        <v>15</v>
      </c>
      <c r="T151" s="191">
        <v>7</v>
      </c>
      <c r="U151" s="191">
        <v>7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13</v>
      </c>
      <c r="L152" s="192" t="s">
        <v>94</v>
      </c>
      <c r="M152" s="192" t="s">
        <v>80</v>
      </c>
      <c r="N152" s="192" t="s">
        <v>13</v>
      </c>
      <c r="O152" s="192" t="s">
        <v>95</v>
      </c>
      <c r="Q152" s="191">
        <v>5</v>
      </c>
      <c r="R152" s="191">
        <v>17</v>
      </c>
      <c r="S152" s="191">
        <v>13</v>
      </c>
      <c r="T152" s="191">
        <v>5</v>
      </c>
      <c r="U152" s="191">
        <v>6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12</v>
      </c>
      <c r="M153" s="192" t="s">
        <v>81</v>
      </c>
      <c r="N153" s="192" t="s">
        <v>95</v>
      </c>
      <c r="O153" s="192" t="s">
        <v>28</v>
      </c>
      <c r="Q153" s="191">
        <v>6</v>
      </c>
      <c r="R153" s="191">
        <v>4</v>
      </c>
      <c r="S153" s="191">
        <v>14</v>
      </c>
      <c r="T153" s="191">
        <v>6</v>
      </c>
      <c r="U153" s="191">
        <v>9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13</v>
      </c>
      <c r="L154" s="192" t="s">
        <v>30</v>
      </c>
      <c r="M154" s="192" t="s">
        <v>96</v>
      </c>
      <c r="N154" s="192" t="s">
        <v>31</v>
      </c>
      <c r="O154" s="192" t="s">
        <v>29</v>
      </c>
      <c r="Q154" s="191">
        <v>5</v>
      </c>
      <c r="R154" s="191">
        <v>10</v>
      </c>
      <c r="S154" s="191">
        <v>15</v>
      </c>
      <c r="T154" s="191">
        <v>7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15</v>
      </c>
      <c r="L155" s="192" t="s">
        <v>95</v>
      </c>
      <c r="M155" s="192" t="s">
        <v>94</v>
      </c>
      <c r="N155" s="192" t="s">
        <v>13</v>
      </c>
      <c r="O155" s="192" t="s">
        <v>15</v>
      </c>
      <c r="Q155" s="191">
        <v>2</v>
      </c>
      <c r="R155" s="191">
        <v>6</v>
      </c>
      <c r="S155" s="191">
        <v>17</v>
      </c>
      <c r="T155" s="191">
        <v>5</v>
      </c>
      <c r="U155" s="191">
        <v>2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29</v>
      </c>
      <c r="L156" s="192" t="s">
        <v>82</v>
      </c>
      <c r="M156" s="192" t="s">
        <v>87</v>
      </c>
      <c r="N156" s="192" t="s">
        <v>81</v>
      </c>
      <c r="O156" s="192" t="s">
        <v>31</v>
      </c>
      <c r="Q156" s="191">
        <v>8</v>
      </c>
      <c r="R156" s="191">
        <v>16</v>
      </c>
      <c r="S156" s="191">
        <v>19</v>
      </c>
      <c r="T156" s="191">
        <v>14</v>
      </c>
      <c r="U156" s="191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31</v>
      </c>
      <c r="L157" s="192" t="s">
        <v>29</v>
      </c>
      <c r="M157" s="192" t="s">
        <v>96</v>
      </c>
      <c r="N157" s="192" t="s">
        <v>95</v>
      </c>
      <c r="O157" s="192" t="s">
        <v>29</v>
      </c>
      <c r="Q157" s="191">
        <v>7</v>
      </c>
      <c r="R157" s="191">
        <v>8</v>
      </c>
      <c r="S157" s="191">
        <v>15</v>
      </c>
      <c r="T157" s="191">
        <v>6</v>
      </c>
      <c r="U157" s="191">
        <v>8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30</v>
      </c>
      <c r="M158" s="192" t="s">
        <v>94</v>
      </c>
      <c r="N158" s="192" t="s">
        <v>31</v>
      </c>
      <c r="O158" s="192" t="s">
        <v>13</v>
      </c>
      <c r="Q158" s="191">
        <v>8</v>
      </c>
      <c r="R158" s="191">
        <v>10</v>
      </c>
      <c r="S158" s="191">
        <v>17</v>
      </c>
      <c r="T158" s="191">
        <v>7</v>
      </c>
      <c r="U158" s="191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13</v>
      </c>
      <c r="L159" s="192" t="s">
        <v>95</v>
      </c>
      <c r="M159" s="192" t="s">
        <v>80</v>
      </c>
      <c r="N159" s="192" t="s">
        <v>94</v>
      </c>
      <c r="O159" s="192" t="s">
        <v>31</v>
      </c>
      <c r="Q159" s="191">
        <v>5</v>
      </c>
      <c r="R159" s="191">
        <v>6</v>
      </c>
      <c r="S159" s="191">
        <v>13</v>
      </c>
      <c r="T159" s="191">
        <v>17</v>
      </c>
      <c r="U159" s="191">
        <v>7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31</v>
      </c>
      <c r="L160" s="192" t="s">
        <v>29</v>
      </c>
      <c r="M160" s="192" t="s">
        <v>96</v>
      </c>
      <c r="N160" s="192" t="s">
        <v>87</v>
      </c>
      <c r="O160" s="192" t="s">
        <v>29</v>
      </c>
      <c r="Q160" s="191">
        <v>7</v>
      </c>
      <c r="R160" s="191">
        <v>8</v>
      </c>
      <c r="S160" s="191">
        <v>15</v>
      </c>
      <c r="T160" s="191">
        <v>19</v>
      </c>
      <c r="U160" s="191">
        <v>8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94</v>
      </c>
      <c r="N161" s="192" t="s">
        <v>79</v>
      </c>
      <c r="O161" s="192" t="s">
        <v>95</v>
      </c>
      <c r="Q161" s="191">
        <v>8</v>
      </c>
      <c r="R161" s="191">
        <v>2</v>
      </c>
      <c r="S161" s="191">
        <v>17</v>
      </c>
      <c r="T161" s="191">
        <v>12</v>
      </c>
      <c r="U161" s="191">
        <v>6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13</v>
      </c>
      <c r="L162" s="192" t="s">
        <v>12</v>
      </c>
      <c r="M162" s="192" t="s">
        <v>96</v>
      </c>
      <c r="N162" s="192" t="s">
        <v>96</v>
      </c>
      <c r="O162" s="192" t="s">
        <v>29</v>
      </c>
      <c r="Q162" s="191">
        <v>5</v>
      </c>
      <c r="R162" s="191">
        <v>4</v>
      </c>
      <c r="S162" s="191">
        <v>15</v>
      </c>
      <c r="T162" s="191">
        <v>15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16</v>
      </c>
      <c r="M163" s="192" t="s">
        <v>82</v>
      </c>
      <c r="N163" s="192" t="s">
        <v>87</v>
      </c>
      <c r="O163" s="192" t="s">
        <v>31</v>
      </c>
      <c r="Q163" s="191">
        <v>8</v>
      </c>
      <c r="R163" s="191">
        <v>3</v>
      </c>
      <c r="S163" s="191">
        <v>16</v>
      </c>
      <c r="T163" s="191">
        <v>19</v>
      </c>
      <c r="U163" s="191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28</v>
      </c>
      <c r="L164" s="192" t="s">
        <v>31</v>
      </c>
      <c r="M164" s="192" t="s">
        <v>94</v>
      </c>
      <c r="N164" s="192" t="s">
        <v>31</v>
      </c>
      <c r="O164" s="192" t="s">
        <v>12</v>
      </c>
      <c r="Q164" s="191">
        <v>9</v>
      </c>
      <c r="R164" s="191">
        <v>7</v>
      </c>
      <c r="S164" s="191">
        <v>17</v>
      </c>
      <c r="T164" s="191">
        <v>7</v>
      </c>
      <c r="U164" s="191">
        <v>4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29</v>
      </c>
      <c r="M165" s="192" t="s">
        <v>96</v>
      </c>
      <c r="N165" s="192" t="s">
        <v>96</v>
      </c>
      <c r="O165" s="192" t="s">
        <v>95</v>
      </c>
      <c r="Q165" s="191">
        <v>5</v>
      </c>
      <c r="R165" s="191">
        <v>8</v>
      </c>
      <c r="S165" s="191">
        <v>15</v>
      </c>
      <c r="T165" s="191">
        <v>15</v>
      </c>
      <c r="U165" s="191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28</v>
      </c>
      <c r="L166" s="192" t="s">
        <v>80</v>
      </c>
      <c r="M166" s="192" t="s">
        <v>94</v>
      </c>
      <c r="N166" s="192" t="s">
        <v>95</v>
      </c>
      <c r="O166" s="192" t="s">
        <v>31</v>
      </c>
      <c r="Q166" s="191">
        <v>9</v>
      </c>
      <c r="R166" s="191">
        <v>13</v>
      </c>
      <c r="S166" s="191">
        <v>17</v>
      </c>
      <c r="T166" s="191">
        <v>6</v>
      </c>
      <c r="U166" s="191">
        <v>7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16</v>
      </c>
      <c r="M167" s="192" t="s">
        <v>81</v>
      </c>
      <c r="N167" s="192" t="s">
        <v>13</v>
      </c>
      <c r="O167" s="192" t="s">
        <v>30</v>
      </c>
      <c r="Q167" s="191">
        <v>6</v>
      </c>
      <c r="R167" s="191">
        <v>3</v>
      </c>
      <c r="S167" s="191">
        <v>14</v>
      </c>
      <c r="T167" s="191">
        <v>5</v>
      </c>
      <c r="U167" s="191">
        <v>10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13</v>
      </c>
      <c r="M168" s="192" t="s">
        <v>96</v>
      </c>
      <c r="N168" s="192" t="s">
        <v>31</v>
      </c>
      <c r="O168" s="192" t="s">
        <v>13</v>
      </c>
      <c r="Q168" s="191">
        <v>5</v>
      </c>
      <c r="R168" s="191">
        <v>5</v>
      </c>
      <c r="S168" s="191">
        <v>15</v>
      </c>
      <c r="T168" s="191">
        <v>7</v>
      </c>
      <c r="U168" s="191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16</v>
      </c>
      <c r="M169" s="192" t="s">
        <v>94</v>
      </c>
      <c r="N169" s="192" t="s">
        <v>29</v>
      </c>
      <c r="O169" s="192" t="s">
        <v>30</v>
      </c>
      <c r="Q169" s="191">
        <v>8</v>
      </c>
      <c r="R169" s="191">
        <v>3</v>
      </c>
      <c r="S169" s="191">
        <v>17</v>
      </c>
      <c r="T169" s="191">
        <v>8</v>
      </c>
      <c r="U169" s="191">
        <v>10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28</v>
      </c>
      <c r="L170" s="192" t="s">
        <v>95</v>
      </c>
      <c r="M170" s="192" t="s">
        <v>82</v>
      </c>
      <c r="N170" s="192" t="s">
        <v>31</v>
      </c>
      <c r="O170" s="192" t="s">
        <v>31</v>
      </c>
      <c r="Q170" s="191">
        <v>9</v>
      </c>
      <c r="R170" s="191">
        <v>6</v>
      </c>
      <c r="S170" s="191">
        <v>16</v>
      </c>
      <c r="T170" s="191">
        <v>7</v>
      </c>
      <c r="U170" s="191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95</v>
      </c>
      <c r="L171" s="192" t="s">
        <v>82</v>
      </c>
      <c r="M171" s="192" t="s">
        <v>96</v>
      </c>
      <c r="N171" s="192" t="s">
        <v>94</v>
      </c>
      <c r="O171" s="192" t="s">
        <v>29</v>
      </c>
      <c r="Q171" s="191">
        <v>6</v>
      </c>
      <c r="R171" s="191">
        <v>16</v>
      </c>
      <c r="S171" s="191">
        <v>15</v>
      </c>
      <c r="T171" s="191">
        <v>17</v>
      </c>
      <c r="U171" s="191">
        <v>8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28</v>
      </c>
      <c r="M172" s="192" t="s">
        <v>94</v>
      </c>
      <c r="N172" s="192" t="s">
        <v>14</v>
      </c>
      <c r="O172" s="192" t="s">
        <v>28</v>
      </c>
      <c r="Q172" s="191">
        <v>7</v>
      </c>
      <c r="R172" s="191">
        <v>9</v>
      </c>
      <c r="S172" s="191">
        <v>17</v>
      </c>
      <c r="T172" s="191">
        <v>1</v>
      </c>
      <c r="U172" s="191">
        <v>9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29</v>
      </c>
      <c r="L173" s="192" t="s">
        <v>15</v>
      </c>
      <c r="M173" s="192" t="s">
        <v>82</v>
      </c>
      <c r="N173" s="192" t="s">
        <v>81</v>
      </c>
      <c r="O173" s="192" t="s">
        <v>13</v>
      </c>
      <c r="Q173" s="191">
        <v>8</v>
      </c>
      <c r="R173" s="191">
        <v>2</v>
      </c>
      <c r="S173" s="191">
        <v>16</v>
      </c>
      <c r="T173" s="191">
        <v>14</v>
      </c>
      <c r="U173" s="191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31</v>
      </c>
      <c r="L174" s="192" t="s">
        <v>96</v>
      </c>
      <c r="M174" s="192" t="s">
        <v>81</v>
      </c>
      <c r="N174" s="192" t="s">
        <v>13</v>
      </c>
      <c r="O174" s="192" t="s">
        <v>31</v>
      </c>
      <c r="Q174" s="191">
        <v>7</v>
      </c>
      <c r="R174" s="191">
        <v>15</v>
      </c>
      <c r="S174" s="191">
        <v>14</v>
      </c>
      <c r="T174" s="191">
        <v>5</v>
      </c>
      <c r="U174" s="191">
        <v>7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28</v>
      </c>
      <c r="M175" s="192" t="s">
        <v>82</v>
      </c>
      <c r="N175" s="192" t="s">
        <v>80</v>
      </c>
      <c r="O175" s="192" t="s">
        <v>16</v>
      </c>
      <c r="Q175" s="191">
        <v>8</v>
      </c>
      <c r="R175" s="191">
        <v>9</v>
      </c>
      <c r="S175" s="191">
        <v>16</v>
      </c>
      <c r="T175" s="191">
        <v>13</v>
      </c>
      <c r="U175" s="191">
        <v>3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12</v>
      </c>
      <c r="L176" s="192" t="s">
        <v>13</v>
      </c>
      <c r="M176" s="192" t="s">
        <v>87</v>
      </c>
      <c r="N176" s="192" t="s">
        <v>85</v>
      </c>
      <c r="O176" s="192" t="s">
        <v>13</v>
      </c>
      <c r="Q176" s="191">
        <v>4</v>
      </c>
      <c r="R176" s="191">
        <v>5</v>
      </c>
      <c r="S176" s="191">
        <v>19</v>
      </c>
      <c r="T176" s="191">
        <v>18</v>
      </c>
      <c r="U176" s="191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13</v>
      </c>
      <c r="L177" s="192" t="s">
        <v>82</v>
      </c>
      <c r="M177" s="192" t="s">
        <v>94</v>
      </c>
      <c r="N177" s="192" t="s">
        <v>29</v>
      </c>
      <c r="O177" s="192" t="s">
        <v>95</v>
      </c>
      <c r="Q177" s="191">
        <v>5</v>
      </c>
      <c r="R177" s="191">
        <v>16</v>
      </c>
      <c r="S177" s="191">
        <v>17</v>
      </c>
      <c r="T177" s="191">
        <v>8</v>
      </c>
      <c r="U177" s="191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29</v>
      </c>
      <c r="L178" s="192" t="s">
        <v>96</v>
      </c>
      <c r="M178" s="192" t="s">
        <v>96</v>
      </c>
      <c r="N178" s="192" t="s">
        <v>94</v>
      </c>
      <c r="O178" s="192" t="s">
        <v>31</v>
      </c>
      <c r="Q178" s="191">
        <v>8</v>
      </c>
      <c r="R178" s="191">
        <v>15</v>
      </c>
      <c r="S178" s="191">
        <v>15</v>
      </c>
      <c r="T178" s="191">
        <v>17</v>
      </c>
      <c r="U178" s="191">
        <v>7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31</v>
      </c>
      <c r="L179" s="192" t="s">
        <v>31</v>
      </c>
      <c r="M179" s="192" t="s">
        <v>82</v>
      </c>
      <c r="N179" s="192" t="s">
        <v>12</v>
      </c>
      <c r="O179" s="192" t="s">
        <v>13</v>
      </c>
      <c r="Q179" s="191">
        <v>7</v>
      </c>
      <c r="R179" s="191">
        <v>7</v>
      </c>
      <c r="S179" s="191">
        <v>16</v>
      </c>
      <c r="T179" s="191">
        <v>4</v>
      </c>
      <c r="U179" s="191">
        <v>5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95</v>
      </c>
      <c r="L180" s="192" t="s">
        <v>28</v>
      </c>
      <c r="M180" s="192" t="s">
        <v>96</v>
      </c>
      <c r="N180" s="192" t="s">
        <v>13</v>
      </c>
      <c r="O180" s="192" t="s">
        <v>31</v>
      </c>
      <c r="Q180" s="191">
        <v>6</v>
      </c>
      <c r="R180" s="191">
        <v>9</v>
      </c>
      <c r="S180" s="191">
        <v>15</v>
      </c>
      <c r="T180" s="191">
        <v>5</v>
      </c>
      <c r="U180" s="191">
        <v>7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13</v>
      </c>
      <c r="L181" s="192" t="s">
        <v>29</v>
      </c>
      <c r="M181" s="192" t="s">
        <v>81</v>
      </c>
      <c r="N181" s="192" t="s">
        <v>95</v>
      </c>
      <c r="O181" s="192" t="s">
        <v>13</v>
      </c>
      <c r="Q181" s="191">
        <v>5</v>
      </c>
      <c r="R181" s="191">
        <v>8</v>
      </c>
      <c r="S181" s="191">
        <v>14</v>
      </c>
      <c r="T181" s="191">
        <v>6</v>
      </c>
      <c r="U181" s="191">
        <v>5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29</v>
      </c>
      <c r="L182" s="192" t="s">
        <v>31</v>
      </c>
      <c r="M182" s="192" t="s">
        <v>82</v>
      </c>
      <c r="N182" s="192" t="s">
        <v>94</v>
      </c>
      <c r="O182" s="192" t="s">
        <v>29</v>
      </c>
      <c r="Q182" s="191">
        <v>8</v>
      </c>
      <c r="R182" s="191">
        <v>7</v>
      </c>
      <c r="S182" s="191">
        <v>16</v>
      </c>
      <c r="T182" s="191">
        <v>17</v>
      </c>
      <c r="U182" s="191">
        <v>8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95</v>
      </c>
      <c r="L183" s="192" t="s">
        <v>95</v>
      </c>
      <c r="M183" s="192" t="s">
        <v>81</v>
      </c>
      <c r="N183" s="192" t="s">
        <v>95</v>
      </c>
      <c r="O183" s="192" t="s">
        <v>95</v>
      </c>
      <c r="Q183" s="191">
        <v>6</v>
      </c>
      <c r="R183" s="191">
        <v>6</v>
      </c>
      <c r="S183" s="191">
        <v>14</v>
      </c>
      <c r="T183" s="191">
        <v>6</v>
      </c>
      <c r="U183" s="191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31</v>
      </c>
      <c r="M184" s="192" t="s">
        <v>82</v>
      </c>
      <c r="N184" s="192" t="s">
        <v>29</v>
      </c>
      <c r="O184" s="192" t="s">
        <v>30</v>
      </c>
      <c r="Q184" s="191">
        <v>5</v>
      </c>
      <c r="R184" s="191">
        <v>7</v>
      </c>
      <c r="S184" s="191">
        <v>16</v>
      </c>
      <c r="T184" s="191">
        <v>8</v>
      </c>
      <c r="U184" s="191">
        <v>10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31</v>
      </c>
      <c r="L185" s="192" t="s">
        <v>81</v>
      </c>
      <c r="M185" s="192" t="s">
        <v>96</v>
      </c>
      <c r="N185" s="192" t="s">
        <v>96</v>
      </c>
      <c r="O185" s="192" t="s">
        <v>13</v>
      </c>
      <c r="Q185" s="191">
        <v>7</v>
      </c>
      <c r="R185" s="191">
        <v>14</v>
      </c>
      <c r="S185" s="191">
        <v>15</v>
      </c>
      <c r="T185" s="191">
        <v>15</v>
      </c>
      <c r="U185" s="191">
        <v>5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95</v>
      </c>
      <c r="L186" s="192" t="s">
        <v>29</v>
      </c>
      <c r="M186" s="192" t="s">
        <v>82</v>
      </c>
      <c r="N186" s="192" t="s">
        <v>13</v>
      </c>
      <c r="O186" s="192" t="s">
        <v>29</v>
      </c>
      <c r="Q186" s="191">
        <v>6</v>
      </c>
      <c r="R186" s="191">
        <v>8</v>
      </c>
      <c r="S186" s="191">
        <v>16</v>
      </c>
      <c r="T186" s="191">
        <v>5</v>
      </c>
      <c r="U186" s="191">
        <v>8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31</v>
      </c>
      <c r="M187" s="192" t="s">
        <v>81</v>
      </c>
      <c r="N187" s="192" t="s">
        <v>30</v>
      </c>
      <c r="O187" s="192" t="s">
        <v>31</v>
      </c>
      <c r="Q187" s="191">
        <v>8</v>
      </c>
      <c r="R187" s="191">
        <v>7</v>
      </c>
      <c r="S187" s="191">
        <v>14</v>
      </c>
      <c r="T187" s="191">
        <v>10</v>
      </c>
      <c r="U187" s="191">
        <v>7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13</v>
      </c>
      <c r="L188" s="192" t="s">
        <v>81</v>
      </c>
      <c r="M188" s="192" t="s">
        <v>96</v>
      </c>
      <c r="N188" s="192" t="s">
        <v>95</v>
      </c>
      <c r="O188" s="192" t="s">
        <v>29</v>
      </c>
      <c r="Q188" s="191">
        <v>5</v>
      </c>
      <c r="R188" s="191">
        <v>14</v>
      </c>
      <c r="S188" s="191">
        <v>15</v>
      </c>
      <c r="T188" s="191">
        <v>6</v>
      </c>
      <c r="U188" s="191">
        <v>8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12</v>
      </c>
      <c r="L189" s="192" t="s">
        <v>82</v>
      </c>
      <c r="M189" s="192" t="s">
        <v>94</v>
      </c>
      <c r="N189" s="192" t="s">
        <v>13</v>
      </c>
      <c r="O189" s="192" t="s">
        <v>95</v>
      </c>
      <c r="Q189" s="191">
        <v>4</v>
      </c>
      <c r="R189" s="191">
        <v>16</v>
      </c>
      <c r="S189" s="191">
        <v>17</v>
      </c>
      <c r="T189" s="191">
        <v>5</v>
      </c>
      <c r="U189" s="191">
        <v>6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96</v>
      </c>
      <c r="M190" s="192" t="s">
        <v>96</v>
      </c>
      <c r="N190" s="192" t="s">
        <v>31</v>
      </c>
      <c r="O190" s="192" t="s">
        <v>13</v>
      </c>
      <c r="Q190" s="191">
        <v>5</v>
      </c>
      <c r="R190" s="191">
        <v>15</v>
      </c>
      <c r="S190" s="191">
        <v>15</v>
      </c>
      <c r="T190" s="191">
        <v>7</v>
      </c>
      <c r="U190" s="191">
        <v>5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95</v>
      </c>
      <c r="L191" s="192" t="s">
        <v>13</v>
      </c>
      <c r="M191" s="192" t="s">
        <v>81</v>
      </c>
      <c r="N191" s="192" t="s">
        <v>81</v>
      </c>
      <c r="O191" s="192" t="s">
        <v>28</v>
      </c>
      <c r="Q191" s="191">
        <v>6</v>
      </c>
      <c r="R191" s="191">
        <v>5</v>
      </c>
      <c r="S191" s="191">
        <v>14</v>
      </c>
      <c r="T191" s="191">
        <v>14</v>
      </c>
      <c r="U191" s="191">
        <v>9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12</v>
      </c>
      <c r="M192" s="192" t="s">
        <v>94</v>
      </c>
      <c r="N192" s="192" t="s">
        <v>95</v>
      </c>
      <c r="O192" s="192" t="s">
        <v>13</v>
      </c>
      <c r="Q192" s="191">
        <v>5</v>
      </c>
      <c r="R192" s="191">
        <v>4</v>
      </c>
      <c r="S192" s="191">
        <v>17</v>
      </c>
      <c r="T192" s="191">
        <v>6</v>
      </c>
      <c r="U192" s="191">
        <v>5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95</v>
      </c>
      <c r="L193" s="192" t="s">
        <v>29</v>
      </c>
      <c r="M193" s="192" t="s">
        <v>82</v>
      </c>
      <c r="N193" s="192" t="s">
        <v>12</v>
      </c>
      <c r="O193" s="192" t="s">
        <v>95</v>
      </c>
      <c r="Q193" s="191">
        <v>6</v>
      </c>
      <c r="R193" s="191">
        <v>8</v>
      </c>
      <c r="S193" s="191">
        <v>16</v>
      </c>
      <c r="T193" s="191">
        <v>4</v>
      </c>
      <c r="U193" s="191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82</v>
      </c>
      <c r="M194" s="192" t="s">
        <v>96</v>
      </c>
      <c r="N194" s="192" t="s">
        <v>82</v>
      </c>
      <c r="O194" s="192" t="s">
        <v>30</v>
      </c>
      <c r="Q194" s="191">
        <v>8</v>
      </c>
      <c r="R194" s="191">
        <v>16</v>
      </c>
      <c r="S194" s="191">
        <v>15</v>
      </c>
      <c r="T194" s="191">
        <v>16</v>
      </c>
      <c r="U194" s="191">
        <v>10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31</v>
      </c>
      <c r="L195" s="192" t="s">
        <v>13</v>
      </c>
      <c r="M195" s="192" t="s">
        <v>82</v>
      </c>
      <c r="N195" s="192" t="s">
        <v>95</v>
      </c>
      <c r="O195" s="192" t="s">
        <v>29</v>
      </c>
      <c r="Q195" s="191">
        <v>7</v>
      </c>
      <c r="R195" s="191">
        <v>5</v>
      </c>
      <c r="S195" s="191">
        <v>16</v>
      </c>
      <c r="T195" s="191">
        <v>6</v>
      </c>
      <c r="U195" s="191">
        <v>8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29</v>
      </c>
      <c r="L196" s="192" t="s">
        <v>94</v>
      </c>
      <c r="M196" s="192" t="s">
        <v>94</v>
      </c>
      <c r="N196" s="192" t="s">
        <v>81</v>
      </c>
      <c r="O196" s="192" t="s">
        <v>13</v>
      </c>
      <c r="Q196" s="191">
        <v>8</v>
      </c>
      <c r="R196" s="191">
        <v>17</v>
      </c>
      <c r="S196" s="191">
        <v>17</v>
      </c>
      <c r="T196" s="191">
        <v>14</v>
      </c>
      <c r="U196" s="191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28</v>
      </c>
      <c r="M197" s="192" t="s">
        <v>81</v>
      </c>
      <c r="N197" s="192" t="s">
        <v>12</v>
      </c>
      <c r="O197" s="192" t="s">
        <v>95</v>
      </c>
      <c r="Q197" s="191">
        <v>5</v>
      </c>
      <c r="R197" s="191">
        <v>9</v>
      </c>
      <c r="S197" s="191">
        <v>14</v>
      </c>
      <c r="T197" s="191">
        <v>4</v>
      </c>
      <c r="U197" s="191">
        <v>6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29</v>
      </c>
      <c r="L198" s="192" t="s">
        <v>30</v>
      </c>
      <c r="M198" s="192" t="s">
        <v>94</v>
      </c>
      <c r="N198" s="192" t="s">
        <v>13</v>
      </c>
      <c r="O198" s="192" t="s">
        <v>29</v>
      </c>
      <c r="Q198" s="191">
        <v>8</v>
      </c>
      <c r="R198" s="191">
        <v>10</v>
      </c>
      <c r="S198" s="191">
        <v>17</v>
      </c>
      <c r="T198" s="191">
        <v>5</v>
      </c>
      <c r="U198" s="191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95</v>
      </c>
      <c r="L199" s="192" t="s">
        <v>82</v>
      </c>
      <c r="M199" s="192" t="s">
        <v>80</v>
      </c>
      <c r="N199" s="192" t="s">
        <v>95</v>
      </c>
      <c r="O199" s="192" t="s">
        <v>12</v>
      </c>
      <c r="Q199" s="191">
        <v>6</v>
      </c>
      <c r="R199" s="191">
        <v>16</v>
      </c>
      <c r="S199" s="191">
        <v>13</v>
      </c>
      <c r="T199" s="191">
        <v>6</v>
      </c>
      <c r="U199" s="191">
        <v>4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28</v>
      </c>
      <c r="M200" s="192" t="s">
        <v>94</v>
      </c>
      <c r="N200" s="192" t="s">
        <v>30</v>
      </c>
      <c r="O200" s="192" t="s">
        <v>95</v>
      </c>
      <c r="Q200" s="191">
        <v>5</v>
      </c>
      <c r="R200" s="191">
        <v>9</v>
      </c>
      <c r="S200" s="191">
        <v>17</v>
      </c>
      <c r="T200" s="191">
        <v>10</v>
      </c>
      <c r="U200" s="191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31</v>
      </c>
      <c r="L201" s="192" t="s">
        <v>79</v>
      </c>
      <c r="M201" s="192" t="s">
        <v>81</v>
      </c>
      <c r="N201" s="192" t="s">
        <v>29</v>
      </c>
      <c r="O201" s="192" t="s">
        <v>30</v>
      </c>
      <c r="Q201" s="191">
        <v>7</v>
      </c>
      <c r="R201" s="191">
        <v>12</v>
      </c>
      <c r="S201" s="191">
        <v>14</v>
      </c>
      <c r="T201" s="191">
        <v>8</v>
      </c>
      <c r="U201" s="191">
        <v>10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29</v>
      </c>
      <c r="L202" s="192" t="s">
        <v>12</v>
      </c>
      <c r="M202" s="192" t="s">
        <v>96</v>
      </c>
      <c r="N202" s="192" t="s">
        <v>81</v>
      </c>
      <c r="O202" s="192" t="s">
        <v>95</v>
      </c>
      <c r="Q202" s="191">
        <v>8</v>
      </c>
      <c r="R202" s="191">
        <v>4</v>
      </c>
      <c r="S202" s="191">
        <v>15</v>
      </c>
      <c r="T202" s="191">
        <v>14</v>
      </c>
      <c r="U202" s="191">
        <v>6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13</v>
      </c>
      <c r="L203" s="192" t="s">
        <v>13</v>
      </c>
      <c r="M203" s="192" t="s">
        <v>81</v>
      </c>
      <c r="N203" s="192" t="s">
        <v>13</v>
      </c>
      <c r="O203" s="192" t="s">
        <v>13</v>
      </c>
      <c r="Q203" s="191">
        <v>5</v>
      </c>
      <c r="R203" s="191">
        <v>5</v>
      </c>
      <c r="S203" s="191">
        <v>14</v>
      </c>
      <c r="T203" s="191">
        <v>5</v>
      </c>
      <c r="U203" s="191">
        <v>5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90" priority="24">
      <formula>_xlfn.LET(_xlpm.x, W4, AND(NOT(_xlfn.ISFORMULA(_xlpm.x)), _xlpm.x&lt;&gt;""))</formula>
    </cfRule>
  </conditionalFormatting>
  <conditionalFormatting sqref="W4:AA203">
    <cfRule type="expression" dxfId="89" priority="23">
      <formula>_xlfn.LET(_xlpm.x, W4, AND(NOT(_xlfn.ISFORMULA(_xlpm.x)), _xlpm.x&lt;&gt;""))</formula>
    </cfRule>
  </conditionalFormatting>
  <conditionalFormatting sqref="D52:D54">
    <cfRule type="cellIs" dxfId="88" priority="14" operator="equal">
      <formula>"C1"</formula>
    </cfRule>
    <cfRule type="cellIs" dxfId="87" priority="15" operator="between">
      <formula>"G1"</formula>
      <formula>"G4"</formula>
    </cfRule>
    <cfRule type="cellIs" dxfId="86" priority="16" operator="between">
      <formula>"GA"</formula>
      <formula>"GQ"</formula>
    </cfRule>
    <cfRule type="cellIs" dxfId="85" priority="17" operator="between">
      <formula>"M1"</formula>
      <formula>"M4"</formula>
    </cfRule>
  </conditionalFormatting>
  <conditionalFormatting sqref="E52:E54">
    <cfRule type="cellIs" dxfId="84" priority="10" operator="equal">
      <formula>"C1"</formula>
    </cfRule>
    <cfRule type="cellIs" dxfId="83" priority="11" operator="between">
      <formula>"G1"</formula>
      <formula>"G4"</formula>
    </cfRule>
    <cfRule type="cellIs" dxfId="82" priority="12" operator="between">
      <formula>"GA"</formula>
      <formula>"GQ"</formula>
    </cfRule>
    <cfRule type="cellIs" dxfId="81" priority="13" operator="between">
      <formula>"M1"</formula>
      <formula>"M4"</formula>
    </cfRule>
  </conditionalFormatting>
  <conditionalFormatting sqref="F52:F54">
    <cfRule type="cellIs" dxfId="80" priority="6" operator="equal">
      <formula>"C1"</formula>
    </cfRule>
    <cfRule type="cellIs" dxfId="79" priority="7" operator="between">
      <formula>"G1"</formula>
      <formula>"G4"</formula>
    </cfRule>
    <cfRule type="cellIs" dxfId="78" priority="8" operator="between">
      <formula>"GA"</formula>
      <formula>"GQ"</formula>
    </cfRule>
    <cfRule type="cellIs" dxfId="77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K1:O1048576">
    <cfRule type="cellIs" dxfId="76" priority="1" operator="equal">
      <formula>"C1"</formula>
    </cfRule>
    <cfRule type="cellIs" dxfId="75" priority="2" operator="between">
      <formula>"G1"</formula>
      <formula>"G5"</formula>
    </cfRule>
    <cfRule type="cellIs" dxfId="7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65D744BA-FCF6-40A6-BB96-F311AFA89BB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95</v>
      </c>
      <c r="O4" s="24" t="s">
        <v>31</v>
      </c>
      <c r="Q4" s="23">
        <v>7</v>
      </c>
      <c r="R4" s="23">
        <v>6</v>
      </c>
      <c r="S4" s="23">
        <v>14</v>
      </c>
      <c r="T4" s="23">
        <v>6</v>
      </c>
      <c r="U4" s="23">
        <v>7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3</v>
      </c>
      <c r="D5" s="199">
        <v>3</v>
      </c>
      <c r="E5" s="199">
        <v>0</v>
      </c>
      <c r="F5" s="199">
        <v>5</v>
      </c>
      <c r="G5" s="199">
        <v>5</v>
      </c>
      <c r="H5" s="197">
        <v>1</v>
      </c>
      <c r="I5" s="82"/>
      <c r="J5" s="191">
        <v>1</v>
      </c>
      <c r="K5" s="192" t="s">
        <v>95</v>
      </c>
      <c r="L5" s="192" t="s">
        <v>87</v>
      </c>
      <c r="M5" s="192" t="s">
        <v>94</v>
      </c>
      <c r="N5" s="192" t="s">
        <v>13</v>
      </c>
      <c r="O5" s="192" t="s">
        <v>16</v>
      </c>
      <c r="Q5" s="191">
        <v>6</v>
      </c>
      <c r="R5" s="191">
        <v>19</v>
      </c>
      <c r="S5" s="191">
        <v>17</v>
      </c>
      <c r="T5" s="191">
        <v>5</v>
      </c>
      <c r="U5" s="191">
        <v>3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31</v>
      </c>
      <c r="L6" s="192" t="s">
        <v>82</v>
      </c>
      <c r="M6" s="192" t="s">
        <v>81</v>
      </c>
      <c r="N6" s="192" t="s">
        <v>30</v>
      </c>
      <c r="O6" s="192" t="s">
        <v>13</v>
      </c>
      <c r="Q6" s="191">
        <v>7</v>
      </c>
      <c r="R6" s="191">
        <v>16</v>
      </c>
      <c r="S6" s="191">
        <v>14</v>
      </c>
      <c r="T6" s="191">
        <v>10</v>
      </c>
      <c r="U6" s="191">
        <v>5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12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29</v>
      </c>
      <c r="L7" s="24" t="s">
        <v>95</v>
      </c>
      <c r="M7" s="192" t="s">
        <v>96</v>
      </c>
      <c r="N7" s="192" t="s">
        <v>31</v>
      </c>
      <c r="O7" s="192" t="s">
        <v>95</v>
      </c>
      <c r="Q7" s="191">
        <v>8</v>
      </c>
      <c r="R7" s="191">
        <v>6</v>
      </c>
      <c r="S7" s="191">
        <v>15</v>
      </c>
      <c r="T7" s="191">
        <v>7</v>
      </c>
      <c r="U7" s="191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13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95</v>
      </c>
      <c r="L8" s="192" t="s">
        <v>96</v>
      </c>
      <c r="M8" s="192" t="s">
        <v>82</v>
      </c>
      <c r="N8" s="192" t="s">
        <v>29</v>
      </c>
      <c r="O8" s="192" t="s">
        <v>12</v>
      </c>
      <c r="Q8" s="191">
        <v>6</v>
      </c>
      <c r="R8" s="191">
        <v>15</v>
      </c>
      <c r="S8" s="191">
        <v>16</v>
      </c>
      <c r="T8" s="191">
        <v>8</v>
      </c>
      <c r="U8" s="191">
        <v>4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23</v>
      </c>
      <c r="E9" s="198">
        <v>0</v>
      </c>
      <c r="F9" s="198">
        <v>33</v>
      </c>
      <c r="G9" s="198">
        <v>35</v>
      </c>
      <c r="H9" s="132">
        <v>5</v>
      </c>
      <c r="I9" s="82"/>
      <c r="J9" s="191">
        <v>5</v>
      </c>
      <c r="K9" s="192" t="s">
        <v>14</v>
      </c>
      <c r="L9" s="192" t="s">
        <v>29</v>
      </c>
      <c r="M9" s="192" t="s">
        <v>81</v>
      </c>
      <c r="N9" s="192" t="s">
        <v>96</v>
      </c>
      <c r="O9" s="192" t="s">
        <v>15</v>
      </c>
      <c r="Q9" s="191">
        <v>1</v>
      </c>
      <c r="R9" s="191">
        <v>8</v>
      </c>
      <c r="S9" s="191">
        <v>14</v>
      </c>
      <c r="T9" s="191">
        <v>15</v>
      </c>
      <c r="U9" s="191">
        <v>2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23</v>
      </c>
      <c r="E10" s="198">
        <v>0</v>
      </c>
      <c r="F10" s="198">
        <v>33</v>
      </c>
      <c r="G10" s="198">
        <v>34</v>
      </c>
      <c r="H10" s="132">
        <v>6</v>
      </c>
      <c r="I10" s="82"/>
      <c r="J10" s="23">
        <v>6</v>
      </c>
      <c r="K10" s="192" t="s">
        <v>31</v>
      </c>
      <c r="L10" s="192" t="s">
        <v>15</v>
      </c>
      <c r="M10" s="192" t="s">
        <v>96</v>
      </c>
      <c r="N10" s="192" t="s">
        <v>13</v>
      </c>
      <c r="O10" s="192" t="s">
        <v>29</v>
      </c>
      <c r="Q10" s="191">
        <v>7</v>
      </c>
      <c r="R10" s="191">
        <v>2</v>
      </c>
      <c r="S10" s="191">
        <v>15</v>
      </c>
      <c r="T10" s="191">
        <v>5</v>
      </c>
      <c r="U10" s="191">
        <v>8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43</v>
      </c>
      <c r="D11" s="198">
        <v>27</v>
      </c>
      <c r="E11" s="198">
        <v>0</v>
      </c>
      <c r="F11" s="198">
        <v>33</v>
      </c>
      <c r="G11" s="198">
        <v>34</v>
      </c>
      <c r="H11" s="132">
        <v>7</v>
      </c>
      <c r="I11" s="82"/>
      <c r="J11" s="191">
        <v>7</v>
      </c>
      <c r="K11" s="192" t="s">
        <v>29</v>
      </c>
      <c r="L11" s="192" t="s">
        <v>81</v>
      </c>
      <c r="M11" s="192" t="s">
        <v>94</v>
      </c>
      <c r="N11" s="192" t="s">
        <v>16</v>
      </c>
      <c r="O11" s="192" t="s">
        <v>31</v>
      </c>
      <c r="Q11" s="191">
        <v>8</v>
      </c>
      <c r="R11" s="191">
        <v>14</v>
      </c>
      <c r="S11" s="191">
        <v>17</v>
      </c>
      <c r="T11" s="191">
        <v>3</v>
      </c>
      <c r="U11" s="191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25</v>
      </c>
      <c r="E12" s="198">
        <v>0</v>
      </c>
      <c r="F12" s="198">
        <v>34</v>
      </c>
      <c r="G12" s="198">
        <v>34</v>
      </c>
      <c r="H12" s="132">
        <v>8</v>
      </c>
      <c r="I12" s="82"/>
      <c r="J12" s="23">
        <v>8</v>
      </c>
      <c r="K12" s="192" t="s">
        <v>31</v>
      </c>
      <c r="L12" s="192" t="s">
        <v>29</v>
      </c>
      <c r="M12" s="192" t="s">
        <v>80</v>
      </c>
      <c r="N12" s="192" t="s">
        <v>96</v>
      </c>
      <c r="O12" s="192" t="s">
        <v>30</v>
      </c>
      <c r="Q12" s="191">
        <v>7</v>
      </c>
      <c r="R12" s="191">
        <v>8</v>
      </c>
      <c r="S12" s="191">
        <v>13</v>
      </c>
      <c r="T12" s="191">
        <v>15</v>
      </c>
      <c r="U12" s="191">
        <v>10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12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30</v>
      </c>
      <c r="L13" s="192" t="s">
        <v>15</v>
      </c>
      <c r="M13" s="192" t="s">
        <v>96</v>
      </c>
      <c r="N13" s="192" t="s">
        <v>85</v>
      </c>
      <c r="O13" s="192" t="s">
        <v>12</v>
      </c>
      <c r="Q13" s="191">
        <v>10</v>
      </c>
      <c r="R13" s="191">
        <v>2</v>
      </c>
      <c r="S13" s="191">
        <v>15</v>
      </c>
      <c r="T13" s="191">
        <v>18</v>
      </c>
      <c r="U13" s="191">
        <v>4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6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13</v>
      </c>
      <c r="L14" s="192" t="s">
        <v>95</v>
      </c>
      <c r="M14" s="192" t="s">
        <v>82</v>
      </c>
      <c r="N14" s="192" t="s">
        <v>96</v>
      </c>
      <c r="O14" s="192" t="s">
        <v>30</v>
      </c>
      <c r="Q14" s="191">
        <v>5</v>
      </c>
      <c r="R14" s="191">
        <v>6</v>
      </c>
      <c r="S14" s="191">
        <v>16</v>
      </c>
      <c r="T14" s="191">
        <v>15</v>
      </c>
      <c r="U14" s="191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29</v>
      </c>
      <c r="L15" s="192" t="s">
        <v>13</v>
      </c>
      <c r="M15" s="192" t="s">
        <v>81</v>
      </c>
      <c r="N15" s="192" t="s">
        <v>81</v>
      </c>
      <c r="O15" s="192" t="s">
        <v>29</v>
      </c>
      <c r="Q15" s="191">
        <v>8</v>
      </c>
      <c r="R15" s="191">
        <v>5</v>
      </c>
      <c r="S15" s="191">
        <v>14</v>
      </c>
      <c r="T15" s="191">
        <v>14</v>
      </c>
      <c r="U15" s="191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3</v>
      </c>
      <c r="E16" s="199">
        <v>4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16</v>
      </c>
      <c r="M16" s="192" t="s">
        <v>94</v>
      </c>
      <c r="N16" s="192" t="s">
        <v>13</v>
      </c>
      <c r="O16" s="192" t="s">
        <v>31</v>
      </c>
      <c r="Q16" s="191">
        <v>5</v>
      </c>
      <c r="R16" s="191">
        <v>3</v>
      </c>
      <c r="S16" s="191">
        <v>17</v>
      </c>
      <c r="T16" s="191">
        <v>5</v>
      </c>
      <c r="U16" s="191">
        <v>7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3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95</v>
      </c>
      <c r="L17" s="192" t="s">
        <v>29</v>
      </c>
      <c r="M17" s="192" t="s">
        <v>81</v>
      </c>
      <c r="N17" s="192" t="s">
        <v>28</v>
      </c>
      <c r="O17" s="192" t="s">
        <v>13</v>
      </c>
      <c r="Q17" s="191">
        <v>6</v>
      </c>
      <c r="R17" s="191">
        <v>8</v>
      </c>
      <c r="S17" s="191">
        <v>14</v>
      </c>
      <c r="T17" s="191">
        <v>9</v>
      </c>
      <c r="U17" s="191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7</v>
      </c>
      <c r="E18" s="199">
        <v>43</v>
      </c>
      <c r="F18" s="199">
        <v>8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31</v>
      </c>
      <c r="M18" s="192" t="s">
        <v>82</v>
      </c>
      <c r="N18" s="192" t="s">
        <v>31</v>
      </c>
      <c r="O18" s="192" t="s">
        <v>95</v>
      </c>
      <c r="Q18" s="191">
        <v>7</v>
      </c>
      <c r="R18" s="191">
        <v>7</v>
      </c>
      <c r="S18" s="191">
        <v>16</v>
      </c>
      <c r="T18" s="191">
        <v>7</v>
      </c>
      <c r="U18" s="191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7</v>
      </c>
      <c r="E19" s="199">
        <v>42</v>
      </c>
      <c r="F19" s="199">
        <v>9</v>
      </c>
      <c r="G19" s="199">
        <v>0</v>
      </c>
      <c r="H19" s="197">
        <v>15</v>
      </c>
      <c r="I19" s="82"/>
      <c r="J19" s="191">
        <v>15</v>
      </c>
      <c r="K19" s="192" t="s">
        <v>29</v>
      </c>
      <c r="L19" s="192" t="s">
        <v>29</v>
      </c>
      <c r="M19" s="192" t="s">
        <v>81</v>
      </c>
      <c r="N19" s="192" t="s">
        <v>95</v>
      </c>
      <c r="O19" s="192" t="s">
        <v>31</v>
      </c>
      <c r="Q19" s="191">
        <v>8</v>
      </c>
      <c r="R19" s="191">
        <v>8</v>
      </c>
      <c r="S19" s="191">
        <v>14</v>
      </c>
      <c r="T19" s="191">
        <v>6</v>
      </c>
      <c r="U19" s="191">
        <v>7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10</v>
      </c>
      <c r="E20" s="199">
        <v>42</v>
      </c>
      <c r="F20" s="199">
        <v>6</v>
      </c>
      <c r="G20" s="199">
        <v>0</v>
      </c>
      <c r="H20" s="197">
        <v>16</v>
      </c>
      <c r="I20" s="82"/>
      <c r="J20" s="23">
        <v>16</v>
      </c>
      <c r="K20" s="192" t="s">
        <v>13</v>
      </c>
      <c r="L20" s="192" t="s">
        <v>82</v>
      </c>
      <c r="M20" s="192" t="s">
        <v>80</v>
      </c>
      <c r="N20" s="192" t="s">
        <v>29</v>
      </c>
      <c r="O20" s="192" t="s">
        <v>95</v>
      </c>
      <c r="Q20" s="191">
        <v>5</v>
      </c>
      <c r="R20" s="191">
        <v>16</v>
      </c>
      <c r="S20" s="191">
        <v>13</v>
      </c>
      <c r="T20" s="191">
        <v>8</v>
      </c>
      <c r="U20" s="191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7</v>
      </c>
      <c r="E21" s="199">
        <v>43</v>
      </c>
      <c r="F21" s="199">
        <v>6</v>
      </c>
      <c r="G21" s="199">
        <v>0</v>
      </c>
      <c r="H21" s="197">
        <v>17</v>
      </c>
      <c r="I21" s="82"/>
      <c r="J21" s="191">
        <v>17</v>
      </c>
      <c r="K21" s="192" t="s">
        <v>29</v>
      </c>
      <c r="L21" s="192" t="s">
        <v>29</v>
      </c>
      <c r="M21" s="192" t="s">
        <v>82</v>
      </c>
      <c r="N21" s="192" t="s">
        <v>31</v>
      </c>
      <c r="O21" s="192" t="s">
        <v>30</v>
      </c>
      <c r="Q21" s="191">
        <v>8</v>
      </c>
      <c r="R21" s="191">
        <v>8</v>
      </c>
      <c r="S21" s="191">
        <v>16</v>
      </c>
      <c r="T21" s="191">
        <v>7</v>
      </c>
      <c r="U21" s="191">
        <v>10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3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31</v>
      </c>
      <c r="L22" s="192" t="s">
        <v>13</v>
      </c>
      <c r="M22" s="192" t="s">
        <v>81</v>
      </c>
      <c r="N22" s="192" t="s">
        <v>95</v>
      </c>
      <c r="O22" s="192" t="s">
        <v>14</v>
      </c>
      <c r="Q22" s="191">
        <v>7</v>
      </c>
      <c r="R22" s="191">
        <v>5</v>
      </c>
      <c r="S22" s="191">
        <v>14</v>
      </c>
      <c r="T22" s="191">
        <v>6</v>
      </c>
      <c r="U22" s="191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12</v>
      </c>
      <c r="L23" s="192" t="s">
        <v>95</v>
      </c>
      <c r="M23" s="192" t="s">
        <v>85</v>
      </c>
      <c r="N23" s="192" t="s">
        <v>29</v>
      </c>
      <c r="O23" s="192" t="s">
        <v>28</v>
      </c>
      <c r="Q23" s="191">
        <v>4</v>
      </c>
      <c r="R23" s="191">
        <v>6</v>
      </c>
      <c r="S23" s="191">
        <v>18</v>
      </c>
      <c r="T23" s="191">
        <v>8</v>
      </c>
      <c r="U23" s="191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31</v>
      </c>
      <c r="M24" s="192" t="s">
        <v>96</v>
      </c>
      <c r="N24" s="192" t="s">
        <v>79</v>
      </c>
      <c r="O24" s="192" t="s">
        <v>29</v>
      </c>
      <c r="Q24" s="191">
        <v>7</v>
      </c>
      <c r="R24" s="191">
        <v>7</v>
      </c>
      <c r="S24" s="191">
        <v>15</v>
      </c>
      <c r="T24" s="191">
        <v>12</v>
      </c>
      <c r="U24" s="191">
        <v>8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95</v>
      </c>
      <c r="L25" s="192" t="s">
        <v>79</v>
      </c>
      <c r="M25" s="192" t="s">
        <v>82</v>
      </c>
      <c r="N25" s="192" t="s">
        <v>95</v>
      </c>
      <c r="O25" s="192" t="s">
        <v>95</v>
      </c>
      <c r="Q25" s="191">
        <v>6</v>
      </c>
      <c r="R25" s="191">
        <v>12</v>
      </c>
      <c r="S25" s="191">
        <v>16</v>
      </c>
      <c r="T25" s="191">
        <v>6</v>
      </c>
      <c r="U25" s="191">
        <v>6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0.78</v>
      </c>
      <c r="E26" s="154">
        <v>0</v>
      </c>
      <c r="F26" s="154">
        <v>0.82</v>
      </c>
      <c r="G26" s="5">
        <v>1</v>
      </c>
      <c r="I26" s="82"/>
      <c r="J26" s="23">
        <v>22</v>
      </c>
      <c r="K26" s="192" t="s">
        <v>13</v>
      </c>
      <c r="L26" s="192" t="s">
        <v>29</v>
      </c>
      <c r="M26" s="192" t="s">
        <v>81</v>
      </c>
      <c r="N26" s="192" t="s">
        <v>29</v>
      </c>
      <c r="O26" s="192" t="s">
        <v>13</v>
      </c>
      <c r="Q26" s="191">
        <v>5</v>
      </c>
      <c r="R26" s="191">
        <v>8</v>
      </c>
      <c r="S26" s="191">
        <v>14</v>
      </c>
      <c r="T26" s="191">
        <v>8</v>
      </c>
      <c r="U26" s="191">
        <v>5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316</v>
      </c>
      <c r="C27" s="5">
        <v>0</v>
      </c>
      <c r="D27" s="154">
        <v>0.22</v>
      </c>
      <c r="E27" s="154">
        <v>1</v>
      </c>
      <c r="F27" s="154">
        <v>0.18</v>
      </c>
      <c r="G27" s="5">
        <v>0</v>
      </c>
      <c r="I27" s="82"/>
      <c r="J27" s="191">
        <v>23</v>
      </c>
      <c r="K27" s="192" t="s">
        <v>95</v>
      </c>
      <c r="L27" s="192" t="s">
        <v>95</v>
      </c>
      <c r="M27" s="192" t="s">
        <v>96</v>
      </c>
      <c r="N27" s="192" t="s">
        <v>94</v>
      </c>
      <c r="O27" s="192" t="s">
        <v>31</v>
      </c>
      <c r="Q27" s="191">
        <v>6</v>
      </c>
      <c r="R27" s="191">
        <v>6</v>
      </c>
      <c r="S27" s="191">
        <v>15</v>
      </c>
      <c r="T27" s="191">
        <v>17</v>
      </c>
      <c r="U27" s="191">
        <v>7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31</v>
      </c>
      <c r="L28" s="192" t="s">
        <v>12</v>
      </c>
      <c r="M28" s="192" t="s">
        <v>82</v>
      </c>
      <c r="N28" s="192" t="s">
        <v>29</v>
      </c>
      <c r="O28" s="192" t="s">
        <v>15</v>
      </c>
      <c r="Q28" s="191">
        <v>7</v>
      </c>
      <c r="R28" s="191">
        <v>4</v>
      </c>
      <c r="S28" s="191">
        <v>16</v>
      </c>
      <c r="T28" s="191">
        <v>8</v>
      </c>
      <c r="U28" s="191">
        <v>2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95</v>
      </c>
      <c r="M29" s="192" t="s">
        <v>81</v>
      </c>
      <c r="N29" s="192" t="s">
        <v>31</v>
      </c>
      <c r="O29" s="192" t="s">
        <v>31</v>
      </c>
      <c r="Q29" s="191">
        <v>8</v>
      </c>
      <c r="R29" s="191">
        <v>6</v>
      </c>
      <c r="S29" s="191">
        <v>14</v>
      </c>
      <c r="T29" s="191">
        <v>7</v>
      </c>
      <c r="U29" s="191">
        <v>7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13</v>
      </c>
      <c r="L30" s="192" t="s">
        <v>29</v>
      </c>
      <c r="M30" s="192" t="s">
        <v>96</v>
      </c>
      <c r="N30" s="192" t="s">
        <v>29</v>
      </c>
      <c r="O30" s="192" t="s">
        <v>13</v>
      </c>
      <c r="Q30" s="191">
        <v>5</v>
      </c>
      <c r="R30" s="191">
        <v>8</v>
      </c>
      <c r="S30" s="191">
        <v>15</v>
      </c>
      <c r="T30" s="191">
        <v>8</v>
      </c>
      <c r="U30" s="191">
        <v>5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95</v>
      </c>
      <c r="L31" s="192" t="s">
        <v>31</v>
      </c>
      <c r="M31" s="192" t="s">
        <v>82</v>
      </c>
      <c r="N31" s="192" t="s">
        <v>31</v>
      </c>
      <c r="O31" s="192" t="s">
        <v>31</v>
      </c>
      <c r="Q31" s="191">
        <v>6</v>
      </c>
      <c r="R31" s="191">
        <v>7</v>
      </c>
      <c r="S31" s="191">
        <v>16</v>
      </c>
      <c r="T31" s="191">
        <v>7</v>
      </c>
      <c r="U31" s="191">
        <v>7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29</v>
      </c>
      <c r="L32" s="192" t="s">
        <v>28</v>
      </c>
      <c r="M32" s="192" t="s">
        <v>87</v>
      </c>
      <c r="N32" s="192" t="s">
        <v>95</v>
      </c>
      <c r="O32" s="192" t="s">
        <v>12</v>
      </c>
      <c r="Q32" s="191">
        <v>8</v>
      </c>
      <c r="R32" s="191">
        <v>9</v>
      </c>
      <c r="S32" s="191">
        <v>19</v>
      </c>
      <c r="T32" s="191">
        <v>6</v>
      </c>
      <c r="U32" s="191">
        <v>4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13</v>
      </c>
      <c r="L33" s="192" t="s">
        <v>12</v>
      </c>
      <c r="M33" s="192" t="s">
        <v>82</v>
      </c>
      <c r="N33" s="192" t="s">
        <v>82</v>
      </c>
      <c r="O33" s="192" t="s">
        <v>29</v>
      </c>
      <c r="Q33" s="191">
        <v>5</v>
      </c>
      <c r="R33" s="191">
        <v>4</v>
      </c>
      <c r="S33" s="191">
        <v>16</v>
      </c>
      <c r="T33" s="191">
        <v>16</v>
      </c>
      <c r="U33" s="191">
        <v>8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31</v>
      </c>
      <c r="L34" s="192" t="s">
        <v>28</v>
      </c>
      <c r="M34" s="192" t="s">
        <v>80</v>
      </c>
      <c r="N34" s="192" t="s">
        <v>13</v>
      </c>
      <c r="O34" s="192" t="s">
        <v>95</v>
      </c>
      <c r="Q34" s="191">
        <v>7</v>
      </c>
      <c r="R34" s="191">
        <v>9</v>
      </c>
      <c r="S34" s="191">
        <v>13</v>
      </c>
      <c r="T34" s="191">
        <v>5</v>
      </c>
      <c r="U34" s="191">
        <v>6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29</v>
      </c>
      <c r="L35" s="192" t="s">
        <v>94</v>
      </c>
      <c r="M35" s="192" t="s">
        <v>96</v>
      </c>
      <c r="N35" s="192" t="s">
        <v>96</v>
      </c>
      <c r="O35" s="192" t="s">
        <v>31</v>
      </c>
      <c r="Q35" s="191">
        <v>8</v>
      </c>
      <c r="R35" s="191">
        <v>17</v>
      </c>
      <c r="S35" s="191">
        <v>15</v>
      </c>
      <c r="T35" s="191">
        <v>15</v>
      </c>
      <c r="U35" s="191">
        <v>7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31</v>
      </c>
      <c r="L36" s="192" t="s">
        <v>31</v>
      </c>
      <c r="M36" s="192" t="s">
        <v>94</v>
      </c>
      <c r="N36" s="192" t="s">
        <v>29</v>
      </c>
      <c r="O36" s="192" t="s">
        <v>28</v>
      </c>
      <c r="Q36" s="191">
        <v>7</v>
      </c>
      <c r="R36" s="191">
        <v>7</v>
      </c>
      <c r="S36" s="191">
        <v>17</v>
      </c>
      <c r="T36" s="191">
        <v>8</v>
      </c>
      <c r="U36" s="191">
        <v>9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95</v>
      </c>
      <c r="L37" s="192" t="s">
        <v>13</v>
      </c>
      <c r="M37" s="192" t="s">
        <v>82</v>
      </c>
      <c r="N37" s="192" t="s">
        <v>13</v>
      </c>
      <c r="O37" s="192" t="s">
        <v>30</v>
      </c>
      <c r="Q37" s="191">
        <v>6</v>
      </c>
      <c r="R37" s="191">
        <v>5</v>
      </c>
      <c r="S37" s="191">
        <v>16</v>
      </c>
      <c r="T37" s="191">
        <v>5</v>
      </c>
      <c r="U37" s="191">
        <v>10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13</v>
      </c>
      <c r="L38" s="192" t="s">
        <v>12</v>
      </c>
      <c r="M38" s="192" t="s">
        <v>96</v>
      </c>
      <c r="N38" s="192" t="s">
        <v>31</v>
      </c>
      <c r="O38" s="192" t="s">
        <v>31</v>
      </c>
      <c r="Q38" s="191">
        <v>5</v>
      </c>
      <c r="R38" s="191">
        <v>4</v>
      </c>
      <c r="S38" s="191">
        <v>15</v>
      </c>
      <c r="T38" s="191">
        <v>7</v>
      </c>
      <c r="U38" s="191">
        <v>7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29</v>
      </c>
      <c r="L39" s="192" t="s">
        <v>16</v>
      </c>
      <c r="M39" s="192" t="s">
        <v>82</v>
      </c>
      <c r="N39" s="192" t="s">
        <v>94</v>
      </c>
      <c r="O39" s="192" t="s">
        <v>13</v>
      </c>
      <c r="Q39" s="191">
        <v>8</v>
      </c>
      <c r="R39" s="191">
        <v>3</v>
      </c>
      <c r="S39" s="191">
        <v>16</v>
      </c>
      <c r="T39" s="191">
        <v>17</v>
      </c>
      <c r="U39" s="191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95</v>
      </c>
      <c r="L40" s="192" t="s">
        <v>14</v>
      </c>
      <c r="M40" s="192" t="s">
        <v>94</v>
      </c>
      <c r="N40" s="192" t="s">
        <v>30</v>
      </c>
      <c r="O40" s="192" t="s">
        <v>95</v>
      </c>
      <c r="Q40" s="191">
        <v>6</v>
      </c>
      <c r="R40" s="191">
        <v>1</v>
      </c>
      <c r="S40" s="191">
        <v>17</v>
      </c>
      <c r="T40" s="191">
        <v>10</v>
      </c>
      <c r="U40" s="191">
        <v>6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29</v>
      </c>
      <c r="L41" s="192" t="s">
        <v>96</v>
      </c>
      <c r="M41" s="192" t="s">
        <v>96</v>
      </c>
      <c r="N41" s="192" t="s">
        <v>95</v>
      </c>
      <c r="O41" s="192" t="s">
        <v>12</v>
      </c>
      <c r="Q41" s="191">
        <v>8</v>
      </c>
      <c r="R41" s="191">
        <v>15</v>
      </c>
      <c r="S41" s="191">
        <v>15</v>
      </c>
      <c r="T41" s="191">
        <v>6</v>
      </c>
      <c r="U41" s="191">
        <v>4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13</v>
      </c>
      <c r="M42" s="192" t="s">
        <v>87</v>
      </c>
      <c r="N42" s="192" t="s">
        <v>12</v>
      </c>
      <c r="O42" s="192" t="s">
        <v>28</v>
      </c>
      <c r="Q42" s="191">
        <v>5</v>
      </c>
      <c r="R42" s="191">
        <v>5</v>
      </c>
      <c r="S42" s="191">
        <v>19</v>
      </c>
      <c r="T42" s="191">
        <v>4</v>
      </c>
      <c r="U42" s="191">
        <v>9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29</v>
      </c>
      <c r="L43" s="192" t="s">
        <v>95</v>
      </c>
      <c r="M43" s="192" t="s">
        <v>78</v>
      </c>
      <c r="N43" s="192" t="s">
        <v>95</v>
      </c>
      <c r="O43" s="192" t="s">
        <v>31</v>
      </c>
      <c r="Q43" s="191">
        <v>8</v>
      </c>
      <c r="R43" s="191">
        <v>6</v>
      </c>
      <c r="S43" s="191">
        <v>11</v>
      </c>
      <c r="T43" s="191">
        <v>6</v>
      </c>
      <c r="U43" s="191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95</v>
      </c>
      <c r="L44" s="192" t="s">
        <v>30</v>
      </c>
      <c r="M44" s="192" t="s">
        <v>81</v>
      </c>
      <c r="N44" s="192" t="s">
        <v>29</v>
      </c>
      <c r="O44" s="192" t="s">
        <v>28</v>
      </c>
      <c r="Q44" s="191">
        <v>6</v>
      </c>
      <c r="R44" s="191">
        <v>10</v>
      </c>
      <c r="S44" s="191">
        <v>14</v>
      </c>
      <c r="T44" s="191">
        <v>8</v>
      </c>
      <c r="U44" s="191">
        <v>9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31</v>
      </c>
      <c r="L45" s="192" t="s">
        <v>16</v>
      </c>
      <c r="M45" s="192" t="s">
        <v>82</v>
      </c>
      <c r="N45" s="192" t="s">
        <v>13</v>
      </c>
      <c r="O45" s="192" t="s">
        <v>13</v>
      </c>
      <c r="Q45" s="191">
        <v>7</v>
      </c>
      <c r="R45" s="191">
        <v>3</v>
      </c>
      <c r="S45" s="191">
        <v>16</v>
      </c>
      <c r="T45" s="191">
        <v>5</v>
      </c>
      <c r="U45" s="191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13</v>
      </c>
      <c r="L46" s="192" t="s">
        <v>31</v>
      </c>
      <c r="M46" s="192" t="s">
        <v>94</v>
      </c>
      <c r="N46" s="192" t="s">
        <v>95</v>
      </c>
      <c r="O46" s="192" t="s">
        <v>29</v>
      </c>
      <c r="Q46" s="191">
        <v>5</v>
      </c>
      <c r="R46" s="191">
        <v>7</v>
      </c>
      <c r="S46" s="191">
        <v>17</v>
      </c>
      <c r="T46" s="191">
        <v>6</v>
      </c>
      <c r="U46" s="191">
        <v>8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29</v>
      </c>
      <c r="L47" s="192" t="s">
        <v>30</v>
      </c>
      <c r="M47" s="192" t="s">
        <v>82</v>
      </c>
      <c r="N47" s="192" t="s">
        <v>30</v>
      </c>
      <c r="O47" s="192" t="s">
        <v>13</v>
      </c>
      <c r="Q47" s="191">
        <v>8</v>
      </c>
      <c r="R47" s="191">
        <v>10</v>
      </c>
      <c r="S47" s="191">
        <v>16</v>
      </c>
      <c r="T47" s="191">
        <v>10</v>
      </c>
      <c r="U47" s="191">
        <v>5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31</v>
      </c>
      <c r="L48" s="192" t="s">
        <v>95</v>
      </c>
      <c r="M48" s="192" t="s">
        <v>96</v>
      </c>
      <c r="N48" s="192" t="s">
        <v>29</v>
      </c>
      <c r="O48" s="192" t="s">
        <v>29</v>
      </c>
      <c r="Q48" s="191">
        <v>7</v>
      </c>
      <c r="R48" s="191">
        <v>6</v>
      </c>
      <c r="S48" s="191">
        <v>15</v>
      </c>
      <c r="T48" s="191">
        <v>8</v>
      </c>
      <c r="U48" s="191">
        <v>8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95</v>
      </c>
      <c r="L49" s="192" t="s">
        <v>13</v>
      </c>
      <c r="M49" s="192" t="s">
        <v>81</v>
      </c>
      <c r="N49" s="192" t="s">
        <v>95</v>
      </c>
      <c r="O49" s="192" t="s">
        <v>30</v>
      </c>
      <c r="Q49" s="191">
        <v>6</v>
      </c>
      <c r="R49" s="191">
        <v>5</v>
      </c>
      <c r="S49" s="191">
        <v>14</v>
      </c>
      <c r="T49" s="191">
        <v>6</v>
      </c>
      <c r="U49" s="191">
        <v>10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29</v>
      </c>
      <c r="L50" s="192" t="s">
        <v>28</v>
      </c>
      <c r="M50" s="192" t="s">
        <v>87</v>
      </c>
      <c r="N50" s="192" t="s">
        <v>82</v>
      </c>
      <c r="O50" s="192" t="s">
        <v>13</v>
      </c>
      <c r="Q50" s="191">
        <v>8</v>
      </c>
      <c r="R50" s="191">
        <v>9</v>
      </c>
      <c r="S50" s="191">
        <v>19</v>
      </c>
      <c r="T50" s="191">
        <v>16</v>
      </c>
      <c r="U50" s="191">
        <v>5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13</v>
      </c>
      <c r="L51" s="192" t="s">
        <v>95</v>
      </c>
      <c r="M51" s="192" t="s">
        <v>82</v>
      </c>
      <c r="N51" s="192" t="s">
        <v>29</v>
      </c>
      <c r="O51" s="192" t="s">
        <v>95</v>
      </c>
      <c r="Q51" s="191">
        <v>5</v>
      </c>
      <c r="R51" s="191">
        <v>6</v>
      </c>
      <c r="S51" s="191">
        <v>16</v>
      </c>
      <c r="T51" s="191">
        <v>8</v>
      </c>
      <c r="U51" s="191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30</v>
      </c>
      <c r="L52" s="192" t="s">
        <v>16</v>
      </c>
      <c r="M52" s="192" t="s">
        <v>94</v>
      </c>
      <c r="N52" s="192" t="s">
        <v>81</v>
      </c>
      <c r="O52" s="192" t="s">
        <v>12</v>
      </c>
      <c r="Q52" s="191">
        <v>10</v>
      </c>
      <c r="R52" s="191">
        <v>3</v>
      </c>
      <c r="S52" s="191">
        <v>17</v>
      </c>
      <c r="T52" s="191">
        <v>14</v>
      </c>
      <c r="U52" s="191">
        <v>4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29</v>
      </c>
      <c r="L53" s="192" t="s">
        <v>31</v>
      </c>
      <c r="M53" s="192" t="s">
        <v>96</v>
      </c>
      <c r="N53" s="192" t="s">
        <v>96</v>
      </c>
      <c r="O53" s="192" t="s">
        <v>31</v>
      </c>
      <c r="Q53" s="191">
        <v>8</v>
      </c>
      <c r="R53" s="191">
        <v>7</v>
      </c>
      <c r="S53" s="191">
        <v>15</v>
      </c>
      <c r="T53" s="191">
        <v>15</v>
      </c>
      <c r="U53" s="191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28</v>
      </c>
      <c r="L54" s="192" t="s">
        <v>96</v>
      </c>
      <c r="M54" s="192" t="s">
        <v>80</v>
      </c>
      <c r="N54" s="192" t="s">
        <v>94</v>
      </c>
      <c r="O54" s="192" t="s">
        <v>15</v>
      </c>
      <c r="Q54" s="191">
        <v>9</v>
      </c>
      <c r="R54" s="191">
        <v>15</v>
      </c>
      <c r="S54" s="191">
        <v>13</v>
      </c>
      <c r="T54" s="191">
        <v>17</v>
      </c>
      <c r="U54" s="191">
        <v>2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13</v>
      </c>
      <c r="L55" s="192" t="s">
        <v>16</v>
      </c>
      <c r="M55" s="192" t="s">
        <v>81</v>
      </c>
      <c r="N55" s="192" t="s">
        <v>95</v>
      </c>
      <c r="O55" s="192" t="s">
        <v>95</v>
      </c>
      <c r="Q55" s="191">
        <v>5</v>
      </c>
      <c r="R55" s="191">
        <v>3</v>
      </c>
      <c r="S55" s="191">
        <v>14</v>
      </c>
      <c r="T55" s="191">
        <v>6</v>
      </c>
      <c r="U55" s="191">
        <v>6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29</v>
      </c>
      <c r="L56" s="192" t="s">
        <v>13</v>
      </c>
      <c r="M56" s="192" t="s">
        <v>80</v>
      </c>
      <c r="N56" s="192" t="s">
        <v>29</v>
      </c>
      <c r="O56" s="192" t="s">
        <v>31</v>
      </c>
      <c r="Q56" s="191">
        <v>8</v>
      </c>
      <c r="R56" s="191">
        <v>5</v>
      </c>
      <c r="S56" s="191">
        <v>13</v>
      </c>
      <c r="T56" s="191">
        <v>8</v>
      </c>
      <c r="U56" s="191">
        <v>7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15</v>
      </c>
      <c r="L57" s="192" t="s">
        <v>78</v>
      </c>
      <c r="M57" s="192" t="s">
        <v>94</v>
      </c>
      <c r="N57" s="192" t="s">
        <v>82</v>
      </c>
      <c r="O57" s="192" t="s">
        <v>13</v>
      </c>
      <c r="Q57" s="191">
        <v>2</v>
      </c>
      <c r="R57" s="191">
        <v>11</v>
      </c>
      <c r="S57" s="191">
        <v>17</v>
      </c>
      <c r="T57" s="191">
        <v>16</v>
      </c>
      <c r="U57" s="191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29</v>
      </c>
      <c r="L58" s="192" t="s">
        <v>14</v>
      </c>
      <c r="M58" s="192" t="s">
        <v>81</v>
      </c>
      <c r="N58" s="192" t="s">
        <v>94</v>
      </c>
      <c r="O58" s="192" t="s">
        <v>29</v>
      </c>
      <c r="Q58" s="191">
        <v>8</v>
      </c>
      <c r="R58" s="191">
        <v>1</v>
      </c>
      <c r="S58" s="191">
        <v>14</v>
      </c>
      <c r="T58" s="191">
        <v>17</v>
      </c>
      <c r="U58" s="191">
        <v>8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95</v>
      </c>
      <c r="L59" s="192" t="s">
        <v>82</v>
      </c>
      <c r="M59" s="192" t="s">
        <v>96</v>
      </c>
      <c r="N59" s="192" t="s">
        <v>29</v>
      </c>
      <c r="O59" s="192" t="s">
        <v>28</v>
      </c>
      <c r="Q59" s="191">
        <v>6</v>
      </c>
      <c r="R59" s="191">
        <v>16</v>
      </c>
      <c r="S59" s="191">
        <v>15</v>
      </c>
      <c r="T59" s="191">
        <v>8</v>
      </c>
      <c r="U59" s="191">
        <v>9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12</v>
      </c>
      <c r="L60" s="192" t="s">
        <v>13</v>
      </c>
      <c r="M60" s="192" t="s">
        <v>94</v>
      </c>
      <c r="N60" s="192" t="s">
        <v>95</v>
      </c>
      <c r="O60" s="192" t="s">
        <v>29</v>
      </c>
      <c r="Q60" s="191">
        <v>4</v>
      </c>
      <c r="R60" s="191">
        <v>5</v>
      </c>
      <c r="S60" s="191">
        <v>17</v>
      </c>
      <c r="T60" s="191">
        <v>6</v>
      </c>
      <c r="U60" s="191">
        <v>8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29</v>
      </c>
      <c r="L61" s="192" t="s">
        <v>95</v>
      </c>
      <c r="M61" s="192" t="s">
        <v>96</v>
      </c>
      <c r="N61" s="192" t="s">
        <v>15</v>
      </c>
      <c r="O61" s="192" t="s">
        <v>12</v>
      </c>
      <c r="Q61" s="191">
        <v>8</v>
      </c>
      <c r="R61" s="191">
        <v>6</v>
      </c>
      <c r="S61" s="191">
        <v>15</v>
      </c>
      <c r="T61" s="191">
        <v>2</v>
      </c>
      <c r="U61" s="191">
        <v>4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81</v>
      </c>
      <c r="M62" s="192" t="s">
        <v>82</v>
      </c>
      <c r="N62" s="192" t="s">
        <v>81</v>
      </c>
      <c r="O62" s="192" t="s">
        <v>30</v>
      </c>
      <c r="Q62" s="191">
        <v>6</v>
      </c>
      <c r="R62" s="191">
        <v>14</v>
      </c>
      <c r="S62" s="191">
        <v>16</v>
      </c>
      <c r="T62" s="191">
        <v>14</v>
      </c>
      <c r="U62" s="191">
        <v>10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29</v>
      </c>
      <c r="L63" s="192" t="s">
        <v>15</v>
      </c>
      <c r="M63" s="192" t="s">
        <v>96</v>
      </c>
      <c r="N63" s="192" t="s">
        <v>29</v>
      </c>
      <c r="O63" s="192" t="s">
        <v>12</v>
      </c>
      <c r="Q63" s="191">
        <v>8</v>
      </c>
      <c r="R63" s="191">
        <v>2</v>
      </c>
      <c r="S63" s="191">
        <v>15</v>
      </c>
      <c r="T63" s="191">
        <v>8</v>
      </c>
      <c r="U63" s="191">
        <v>4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13</v>
      </c>
      <c r="L64" s="192" t="s">
        <v>79</v>
      </c>
      <c r="M64" s="192" t="s">
        <v>94</v>
      </c>
      <c r="N64" s="192" t="s">
        <v>95</v>
      </c>
      <c r="O64" s="192" t="s">
        <v>31</v>
      </c>
      <c r="Q64" s="191">
        <v>5</v>
      </c>
      <c r="R64" s="191">
        <v>12</v>
      </c>
      <c r="S64" s="191">
        <v>17</v>
      </c>
      <c r="T64" s="191">
        <v>6</v>
      </c>
      <c r="U64" s="191">
        <v>7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95</v>
      </c>
      <c r="L65" s="192" t="s">
        <v>95</v>
      </c>
      <c r="M65" s="192" t="s">
        <v>80</v>
      </c>
      <c r="N65" s="192" t="s">
        <v>13</v>
      </c>
      <c r="O65" s="192" t="s">
        <v>29</v>
      </c>
      <c r="Q65" s="191">
        <v>6</v>
      </c>
      <c r="R65" s="191">
        <v>6</v>
      </c>
      <c r="S65" s="191">
        <v>13</v>
      </c>
      <c r="T65" s="191">
        <v>5</v>
      </c>
      <c r="U65" s="191">
        <v>8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31</v>
      </c>
      <c r="L66" s="192" t="s">
        <v>85</v>
      </c>
      <c r="M66" s="192" t="s">
        <v>94</v>
      </c>
      <c r="N66" s="192" t="s">
        <v>95</v>
      </c>
      <c r="O66" s="192" t="s">
        <v>95</v>
      </c>
      <c r="Q66" s="191">
        <v>7</v>
      </c>
      <c r="R66" s="191">
        <v>18</v>
      </c>
      <c r="S66" s="191">
        <v>17</v>
      </c>
      <c r="T66" s="191">
        <v>6</v>
      </c>
      <c r="U66" s="191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13</v>
      </c>
      <c r="L67" s="192" t="s">
        <v>12</v>
      </c>
      <c r="M67" s="192" t="s">
        <v>82</v>
      </c>
      <c r="N67" s="192" t="s">
        <v>29</v>
      </c>
      <c r="O67" s="192" t="s">
        <v>29</v>
      </c>
      <c r="Q67" s="191">
        <v>5</v>
      </c>
      <c r="R67" s="191">
        <v>4</v>
      </c>
      <c r="S67" s="191">
        <v>16</v>
      </c>
      <c r="T67" s="191">
        <v>8</v>
      </c>
      <c r="U67" s="191">
        <v>8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31</v>
      </c>
      <c r="L68" s="192" t="s">
        <v>31</v>
      </c>
      <c r="M68" s="192" t="s">
        <v>81</v>
      </c>
      <c r="N68" s="192" t="s">
        <v>13</v>
      </c>
      <c r="O68" s="192" t="s">
        <v>13</v>
      </c>
      <c r="Q68" s="191">
        <v>7</v>
      </c>
      <c r="R68" s="191">
        <v>7</v>
      </c>
      <c r="S68" s="191">
        <v>14</v>
      </c>
      <c r="T68" s="191">
        <v>5</v>
      </c>
      <c r="U68" s="191">
        <v>5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29</v>
      </c>
      <c r="L69" s="192" t="s">
        <v>12</v>
      </c>
      <c r="M69" s="192" t="s">
        <v>96</v>
      </c>
      <c r="N69" s="192" t="s">
        <v>95</v>
      </c>
      <c r="O69" s="192" t="s">
        <v>95</v>
      </c>
      <c r="Q69" s="191">
        <v>8</v>
      </c>
      <c r="R69" s="191">
        <v>4</v>
      </c>
      <c r="S69" s="191">
        <v>15</v>
      </c>
      <c r="T69" s="191">
        <v>6</v>
      </c>
      <c r="U69" s="191">
        <v>6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94</v>
      </c>
      <c r="M70" s="192" t="s">
        <v>94</v>
      </c>
      <c r="N70" s="192" t="s">
        <v>14</v>
      </c>
      <c r="O70" s="192" t="s">
        <v>30</v>
      </c>
      <c r="Q70" s="191">
        <v>7</v>
      </c>
      <c r="R70" s="191">
        <v>17</v>
      </c>
      <c r="S70" s="191">
        <v>17</v>
      </c>
      <c r="T70" s="191">
        <v>1</v>
      </c>
      <c r="U70" s="191">
        <v>10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95</v>
      </c>
      <c r="L71" s="192" t="s">
        <v>13</v>
      </c>
      <c r="M71" s="192" t="s">
        <v>81</v>
      </c>
      <c r="N71" s="192" t="s">
        <v>13</v>
      </c>
      <c r="O71" s="192" t="s">
        <v>29</v>
      </c>
      <c r="Q71" s="191">
        <v>6</v>
      </c>
      <c r="R71" s="191">
        <v>5</v>
      </c>
      <c r="S71" s="191">
        <v>14</v>
      </c>
      <c r="T71" s="191">
        <v>5</v>
      </c>
      <c r="U71" s="191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13</v>
      </c>
      <c r="L72" s="192" t="s">
        <v>28</v>
      </c>
      <c r="M72" s="192" t="s">
        <v>94</v>
      </c>
      <c r="N72" s="192" t="s">
        <v>95</v>
      </c>
      <c r="O72" s="192" t="s">
        <v>30</v>
      </c>
      <c r="Q72" s="191">
        <v>5</v>
      </c>
      <c r="R72" s="191">
        <v>9</v>
      </c>
      <c r="S72" s="191">
        <v>17</v>
      </c>
      <c r="T72" s="191">
        <v>6</v>
      </c>
      <c r="U72" s="191">
        <v>10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29</v>
      </c>
      <c r="L73" s="192" t="s">
        <v>13</v>
      </c>
      <c r="M73" s="192" t="s">
        <v>96</v>
      </c>
      <c r="N73" s="192" t="s">
        <v>29</v>
      </c>
      <c r="O73" s="192" t="s">
        <v>13</v>
      </c>
      <c r="Q73" s="191">
        <v>8</v>
      </c>
      <c r="R73" s="191">
        <v>5</v>
      </c>
      <c r="S73" s="191">
        <v>15</v>
      </c>
      <c r="T73" s="191">
        <v>8</v>
      </c>
      <c r="U73" s="191">
        <v>5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13</v>
      </c>
      <c r="L74" s="192" t="s">
        <v>95</v>
      </c>
      <c r="M74" s="192" t="s">
        <v>94</v>
      </c>
      <c r="N74" s="192" t="s">
        <v>95</v>
      </c>
      <c r="O74" s="192" t="s">
        <v>15</v>
      </c>
      <c r="Q74" s="191">
        <v>5</v>
      </c>
      <c r="R74" s="191">
        <v>6</v>
      </c>
      <c r="S74" s="191">
        <v>17</v>
      </c>
      <c r="T74" s="191">
        <v>6</v>
      </c>
      <c r="U74" s="191">
        <v>2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29</v>
      </c>
      <c r="L75" s="192" t="s">
        <v>12</v>
      </c>
      <c r="M75" s="192" t="s">
        <v>80</v>
      </c>
      <c r="N75" s="192" t="s">
        <v>13</v>
      </c>
      <c r="O75" s="192" t="s">
        <v>16</v>
      </c>
      <c r="Q75" s="191">
        <v>8</v>
      </c>
      <c r="R75" s="191">
        <v>4</v>
      </c>
      <c r="S75" s="191">
        <v>13</v>
      </c>
      <c r="T75" s="191">
        <v>5</v>
      </c>
      <c r="U75" s="191">
        <v>3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15</v>
      </c>
      <c r="L76" s="192" t="s">
        <v>94</v>
      </c>
      <c r="M76" s="192" t="s">
        <v>94</v>
      </c>
      <c r="N76" s="192" t="s">
        <v>29</v>
      </c>
      <c r="O76" s="192" t="s">
        <v>31</v>
      </c>
      <c r="Q76" s="191">
        <v>2</v>
      </c>
      <c r="R76" s="191">
        <v>17</v>
      </c>
      <c r="S76" s="191">
        <v>17</v>
      </c>
      <c r="T76" s="191">
        <v>8</v>
      </c>
      <c r="U76" s="191">
        <v>7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28</v>
      </c>
      <c r="L77" s="192" t="s">
        <v>12</v>
      </c>
      <c r="M77" s="192" t="s">
        <v>78</v>
      </c>
      <c r="N77" s="192" t="s">
        <v>95</v>
      </c>
      <c r="O77" s="192" t="s">
        <v>14</v>
      </c>
      <c r="Q77" s="191">
        <v>9</v>
      </c>
      <c r="R77" s="191">
        <v>4</v>
      </c>
      <c r="S77" s="191">
        <v>11</v>
      </c>
      <c r="T77" s="191">
        <v>6</v>
      </c>
      <c r="U77" s="191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95</v>
      </c>
      <c r="L78" s="192" t="s">
        <v>15</v>
      </c>
      <c r="M78" s="192" t="s">
        <v>81</v>
      </c>
      <c r="N78" s="192" t="s">
        <v>31</v>
      </c>
      <c r="O78" s="192" t="s">
        <v>28</v>
      </c>
      <c r="Q78" s="191">
        <v>6</v>
      </c>
      <c r="R78" s="191">
        <v>2</v>
      </c>
      <c r="S78" s="191">
        <v>14</v>
      </c>
      <c r="T78" s="191">
        <v>7</v>
      </c>
      <c r="U78" s="191">
        <v>9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29</v>
      </c>
      <c r="L79" s="192" t="s">
        <v>13</v>
      </c>
      <c r="M79" s="192" t="s">
        <v>82</v>
      </c>
      <c r="N79" s="192" t="s">
        <v>29</v>
      </c>
      <c r="O79" s="192" t="s">
        <v>95</v>
      </c>
      <c r="Q79" s="191">
        <v>8</v>
      </c>
      <c r="R79" s="191">
        <v>5</v>
      </c>
      <c r="S79" s="191">
        <v>16</v>
      </c>
      <c r="T79" s="191">
        <v>8</v>
      </c>
      <c r="U79" s="191">
        <v>6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95</v>
      </c>
      <c r="M80" s="192" t="s">
        <v>80</v>
      </c>
      <c r="N80" s="192" t="s">
        <v>13</v>
      </c>
      <c r="O80" s="192" t="s">
        <v>13</v>
      </c>
      <c r="Q80" s="191">
        <v>7</v>
      </c>
      <c r="R80" s="191">
        <v>6</v>
      </c>
      <c r="S80" s="191">
        <v>13</v>
      </c>
      <c r="T80" s="191">
        <v>5</v>
      </c>
      <c r="U80" s="191">
        <v>5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95</v>
      </c>
      <c r="L81" s="192" t="s">
        <v>31</v>
      </c>
      <c r="M81" s="192" t="s">
        <v>81</v>
      </c>
      <c r="N81" s="192" t="s">
        <v>12</v>
      </c>
      <c r="O81" s="192" t="s">
        <v>31</v>
      </c>
      <c r="Q81" s="191">
        <v>6</v>
      </c>
      <c r="R81" s="191">
        <v>7</v>
      </c>
      <c r="S81" s="191">
        <v>14</v>
      </c>
      <c r="T81" s="191">
        <v>4</v>
      </c>
      <c r="U81" s="191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85</v>
      </c>
      <c r="M82" s="192" t="s">
        <v>82</v>
      </c>
      <c r="N82" s="192" t="s">
        <v>13</v>
      </c>
      <c r="O82" s="192" t="s">
        <v>29</v>
      </c>
      <c r="Q82" s="191">
        <v>7</v>
      </c>
      <c r="R82" s="191">
        <v>18</v>
      </c>
      <c r="S82" s="191">
        <v>16</v>
      </c>
      <c r="T82" s="191">
        <v>5</v>
      </c>
      <c r="U82" s="191">
        <v>8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13</v>
      </c>
      <c r="M83" s="192" t="s">
        <v>81</v>
      </c>
      <c r="N83" s="192" t="s">
        <v>29</v>
      </c>
      <c r="O83" s="192" t="s">
        <v>15</v>
      </c>
      <c r="Q83" s="191">
        <v>6</v>
      </c>
      <c r="R83" s="191">
        <v>5</v>
      </c>
      <c r="S83" s="191">
        <v>14</v>
      </c>
      <c r="T83" s="191">
        <v>8</v>
      </c>
      <c r="U83" s="191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28</v>
      </c>
      <c r="M84" s="192" t="s">
        <v>94</v>
      </c>
      <c r="N84" s="192" t="s">
        <v>13</v>
      </c>
      <c r="O84" s="192" t="s">
        <v>29</v>
      </c>
      <c r="Q84" s="191">
        <v>8</v>
      </c>
      <c r="R84" s="191">
        <v>9</v>
      </c>
      <c r="S84" s="191">
        <v>17</v>
      </c>
      <c r="T84" s="191">
        <v>5</v>
      </c>
      <c r="U84" s="191">
        <v>8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95</v>
      </c>
      <c r="M85" s="192" t="s">
        <v>96</v>
      </c>
      <c r="N85" s="192" t="s">
        <v>29</v>
      </c>
      <c r="O85" s="192" t="s">
        <v>12</v>
      </c>
      <c r="Q85" s="191">
        <v>5</v>
      </c>
      <c r="R85" s="191">
        <v>6</v>
      </c>
      <c r="S85" s="191">
        <v>15</v>
      </c>
      <c r="T85" s="191">
        <v>8</v>
      </c>
      <c r="U85" s="191">
        <v>4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31</v>
      </c>
      <c r="M86" s="192" t="s">
        <v>81</v>
      </c>
      <c r="N86" s="192" t="s">
        <v>13</v>
      </c>
      <c r="O86" s="192" t="s">
        <v>13</v>
      </c>
      <c r="Q86" s="191">
        <v>8</v>
      </c>
      <c r="R86" s="191">
        <v>7</v>
      </c>
      <c r="S86" s="191">
        <v>14</v>
      </c>
      <c r="T86" s="191">
        <v>5</v>
      </c>
      <c r="U86" s="191">
        <v>5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96</v>
      </c>
      <c r="M87" s="192" t="s">
        <v>96</v>
      </c>
      <c r="N87" s="192" t="s">
        <v>96</v>
      </c>
      <c r="O87" s="192" t="s">
        <v>31</v>
      </c>
      <c r="Q87" s="191">
        <v>6</v>
      </c>
      <c r="R87" s="191">
        <v>15</v>
      </c>
      <c r="S87" s="191">
        <v>15</v>
      </c>
      <c r="T87" s="191">
        <v>15</v>
      </c>
      <c r="U87" s="191">
        <v>7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13</v>
      </c>
      <c r="L88" s="192" t="s">
        <v>31</v>
      </c>
      <c r="M88" s="192" t="s">
        <v>94</v>
      </c>
      <c r="N88" s="192" t="s">
        <v>29</v>
      </c>
      <c r="O88" s="192" t="s">
        <v>13</v>
      </c>
      <c r="Q88" s="191">
        <v>5</v>
      </c>
      <c r="R88" s="191">
        <v>7</v>
      </c>
      <c r="S88" s="191">
        <v>17</v>
      </c>
      <c r="T88" s="191">
        <v>8</v>
      </c>
      <c r="U88" s="191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12</v>
      </c>
      <c r="L89" s="192" t="s">
        <v>12</v>
      </c>
      <c r="M89" s="192" t="s">
        <v>81</v>
      </c>
      <c r="N89" s="192" t="s">
        <v>13</v>
      </c>
      <c r="O89" s="192" t="s">
        <v>29</v>
      </c>
      <c r="Q89" s="191">
        <v>4</v>
      </c>
      <c r="R89" s="191">
        <v>4</v>
      </c>
      <c r="S89" s="191">
        <v>14</v>
      </c>
      <c r="T89" s="191">
        <v>5</v>
      </c>
      <c r="U89" s="191">
        <v>8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13</v>
      </c>
      <c r="L90" s="192" t="s">
        <v>29</v>
      </c>
      <c r="M90" s="192" t="s">
        <v>96</v>
      </c>
      <c r="N90" s="192" t="s">
        <v>31</v>
      </c>
      <c r="O90" s="192" t="s">
        <v>30</v>
      </c>
      <c r="Q90" s="191">
        <v>5</v>
      </c>
      <c r="R90" s="191">
        <v>8</v>
      </c>
      <c r="S90" s="191">
        <v>15</v>
      </c>
      <c r="T90" s="191">
        <v>7</v>
      </c>
      <c r="U90" s="191">
        <v>10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95</v>
      </c>
      <c r="L91" s="192" t="s">
        <v>95</v>
      </c>
      <c r="M91" s="192" t="s">
        <v>81</v>
      </c>
      <c r="N91" s="192" t="s">
        <v>95</v>
      </c>
      <c r="O91" s="192" t="s">
        <v>29</v>
      </c>
      <c r="Q91" s="191">
        <v>6</v>
      </c>
      <c r="R91" s="191">
        <v>6</v>
      </c>
      <c r="S91" s="191">
        <v>14</v>
      </c>
      <c r="T91" s="191">
        <v>6</v>
      </c>
      <c r="U91" s="191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81</v>
      </c>
      <c r="M92" s="192" t="s">
        <v>79</v>
      </c>
      <c r="N92" s="192" t="s">
        <v>82</v>
      </c>
      <c r="O92" s="192" t="s">
        <v>13</v>
      </c>
      <c r="Q92" s="191">
        <v>5</v>
      </c>
      <c r="R92" s="191">
        <v>14</v>
      </c>
      <c r="S92" s="191">
        <v>12</v>
      </c>
      <c r="T92" s="191">
        <v>16</v>
      </c>
      <c r="U92" s="191">
        <v>5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29</v>
      </c>
      <c r="L93" s="192" t="s">
        <v>31</v>
      </c>
      <c r="M93" s="192" t="s">
        <v>82</v>
      </c>
      <c r="N93" s="192" t="s">
        <v>14</v>
      </c>
      <c r="O93" s="192" t="s">
        <v>95</v>
      </c>
      <c r="Q93" s="191">
        <v>8</v>
      </c>
      <c r="R93" s="191">
        <v>7</v>
      </c>
      <c r="S93" s="191">
        <v>16</v>
      </c>
      <c r="T93" s="191">
        <v>1</v>
      </c>
      <c r="U93" s="191">
        <v>6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29</v>
      </c>
      <c r="M94" s="192" t="s">
        <v>94</v>
      </c>
      <c r="N94" s="192" t="s">
        <v>95</v>
      </c>
      <c r="O94" s="192" t="s">
        <v>29</v>
      </c>
      <c r="Q94" s="191">
        <v>6</v>
      </c>
      <c r="R94" s="191">
        <v>8</v>
      </c>
      <c r="S94" s="191">
        <v>17</v>
      </c>
      <c r="T94" s="191">
        <v>6</v>
      </c>
      <c r="U94" s="191">
        <v>8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31</v>
      </c>
      <c r="L95" s="192" t="s">
        <v>30</v>
      </c>
      <c r="M95" s="192" t="s">
        <v>82</v>
      </c>
      <c r="N95" s="192" t="s">
        <v>13</v>
      </c>
      <c r="O95" s="192" t="s">
        <v>30</v>
      </c>
      <c r="Q95" s="191">
        <v>7</v>
      </c>
      <c r="R95" s="191">
        <v>10</v>
      </c>
      <c r="S95" s="191">
        <v>16</v>
      </c>
      <c r="T95" s="191">
        <v>5</v>
      </c>
      <c r="U95" s="191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95</v>
      </c>
      <c r="L96" s="192" t="s">
        <v>95</v>
      </c>
      <c r="M96" s="192" t="s">
        <v>94</v>
      </c>
      <c r="N96" s="192" t="s">
        <v>30</v>
      </c>
      <c r="O96" s="192" t="s">
        <v>13</v>
      </c>
      <c r="Q96" s="191">
        <v>6</v>
      </c>
      <c r="R96" s="191">
        <v>6</v>
      </c>
      <c r="S96" s="191">
        <v>17</v>
      </c>
      <c r="T96" s="191">
        <v>10</v>
      </c>
      <c r="U96" s="191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31</v>
      </c>
      <c r="L97" s="192" t="s">
        <v>28</v>
      </c>
      <c r="M97" s="192" t="s">
        <v>81</v>
      </c>
      <c r="N97" s="192" t="s">
        <v>31</v>
      </c>
      <c r="O97" s="192" t="s">
        <v>31</v>
      </c>
      <c r="Q97" s="191">
        <v>7</v>
      </c>
      <c r="R97" s="191">
        <v>9</v>
      </c>
      <c r="S97" s="191">
        <v>14</v>
      </c>
      <c r="T97" s="191">
        <v>7</v>
      </c>
      <c r="U97" s="191">
        <v>7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85</v>
      </c>
      <c r="M98" s="192" t="s">
        <v>82</v>
      </c>
      <c r="N98" s="192" t="s">
        <v>29</v>
      </c>
      <c r="O98" s="192" t="s">
        <v>13</v>
      </c>
      <c r="Q98" s="191">
        <v>8</v>
      </c>
      <c r="R98" s="191">
        <v>18</v>
      </c>
      <c r="S98" s="191">
        <v>16</v>
      </c>
      <c r="T98" s="191">
        <v>8</v>
      </c>
      <c r="U98" s="191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31</v>
      </c>
      <c r="L99" s="192" t="s">
        <v>15</v>
      </c>
      <c r="M99" s="192" t="s">
        <v>94</v>
      </c>
      <c r="N99" s="192" t="s">
        <v>81</v>
      </c>
      <c r="O99" s="192" t="s">
        <v>95</v>
      </c>
      <c r="Q99" s="191">
        <v>7</v>
      </c>
      <c r="R99" s="191">
        <v>2</v>
      </c>
      <c r="S99" s="191">
        <v>17</v>
      </c>
      <c r="T99" s="191">
        <v>14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30</v>
      </c>
      <c r="M100" s="192" t="s">
        <v>96</v>
      </c>
      <c r="N100" s="192" t="s">
        <v>87</v>
      </c>
      <c r="O100" s="192" t="s">
        <v>12</v>
      </c>
      <c r="Q100" s="191">
        <v>5</v>
      </c>
      <c r="R100" s="191">
        <v>10</v>
      </c>
      <c r="S100" s="191">
        <v>15</v>
      </c>
      <c r="T100" s="191">
        <v>19</v>
      </c>
      <c r="U100" s="191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95</v>
      </c>
      <c r="L101" s="192" t="s">
        <v>28</v>
      </c>
      <c r="M101" s="192" t="s">
        <v>94</v>
      </c>
      <c r="N101" s="192" t="s">
        <v>31</v>
      </c>
      <c r="O101" s="192" t="s">
        <v>95</v>
      </c>
      <c r="Q101" s="191">
        <v>6</v>
      </c>
      <c r="R101" s="191">
        <v>9</v>
      </c>
      <c r="S101" s="191">
        <v>17</v>
      </c>
      <c r="T101" s="191">
        <v>7</v>
      </c>
      <c r="U101" s="191">
        <v>6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29</v>
      </c>
      <c r="L102" s="192" t="s">
        <v>31</v>
      </c>
      <c r="M102" s="192" t="s">
        <v>96</v>
      </c>
      <c r="N102" s="192" t="s">
        <v>87</v>
      </c>
      <c r="O102" s="192" t="s">
        <v>29</v>
      </c>
      <c r="Q102" s="191">
        <v>8</v>
      </c>
      <c r="R102" s="191">
        <v>7</v>
      </c>
      <c r="S102" s="191">
        <v>15</v>
      </c>
      <c r="T102" s="191">
        <v>19</v>
      </c>
      <c r="U102" s="191">
        <v>8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80</v>
      </c>
      <c r="M103" s="192" t="s">
        <v>94</v>
      </c>
      <c r="N103" s="192" t="s">
        <v>29</v>
      </c>
      <c r="O103" s="192" t="s">
        <v>12</v>
      </c>
      <c r="Q103" s="191">
        <v>7</v>
      </c>
      <c r="R103" s="191">
        <v>13</v>
      </c>
      <c r="S103" s="191">
        <v>17</v>
      </c>
      <c r="T103" s="191">
        <v>8</v>
      </c>
      <c r="U103" s="191">
        <v>4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13</v>
      </c>
      <c r="L104" s="192" t="s">
        <v>82</v>
      </c>
      <c r="M104" s="192" t="s">
        <v>81</v>
      </c>
      <c r="N104" s="192" t="s">
        <v>81</v>
      </c>
      <c r="O104" s="192" t="s">
        <v>95</v>
      </c>
      <c r="Q104" s="191">
        <v>5</v>
      </c>
      <c r="R104" s="191">
        <v>16</v>
      </c>
      <c r="S104" s="191">
        <v>14</v>
      </c>
      <c r="T104" s="191">
        <v>14</v>
      </c>
      <c r="U104" s="191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30</v>
      </c>
      <c r="L105" s="192" t="s">
        <v>30</v>
      </c>
      <c r="M105" s="192" t="s">
        <v>96</v>
      </c>
      <c r="N105" s="192" t="s">
        <v>95</v>
      </c>
      <c r="O105" s="192" t="s">
        <v>15</v>
      </c>
      <c r="Q105" s="191">
        <v>10</v>
      </c>
      <c r="R105" s="191">
        <v>10</v>
      </c>
      <c r="S105" s="191">
        <v>15</v>
      </c>
      <c r="T105" s="191">
        <v>6</v>
      </c>
      <c r="U105" s="191">
        <v>2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95</v>
      </c>
      <c r="L106" s="192" t="s">
        <v>31</v>
      </c>
      <c r="M106" s="192" t="s">
        <v>85</v>
      </c>
      <c r="N106" s="192" t="s">
        <v>12</v>
      </c>
      <c r="O106" s="192" t="s">
        <v>12</v>
      </c>
      <c r="Q106" s="191">
        <v>6</v>
      </c>
      <c r="R106" s="191">
        <v>7</v>
      </c>
      <c r="S106" s="191">
        <v>18</v>
      </c>
      <c r="T106" s="191">
        <v>4</v>
      </c>
      <c r="U106" s="191">
        <v>4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13</v>
      </c>
      <c r="L107" s="192" t="s">
        <v>82</v>
      </c>
      <c r="M107" s="192" t="s">
        <v>94</v>
      </c>
      <c r="N107" s="192" t="s">
        <v>96</v>
      </c>
      <c r="O107" s="192" t="s">
        <v>95</v>
      </c>
      <c r="Q107" s="191">
        <v>5</v>
      </c>
      <c r="R107" s="191">
        <v>16</v>
      </c>
      <c r="S107" s="191">
        <v>17</v>
      </c>
      <c r="T107" s="191">
        <v>15</v>
      </c>
      <c r="U107" s="191">
        <v>6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31</v>
      </c>
      <c r="L108" s="192" t="s">
        <v>31</v>
      </c>
      <c r="M108" s="192" t="s">
        <v>96</v>
      </c>
      <c r="N108" s="192" t="s">
        <v>13</v>
      </c>
      <c r="O108" s="192" t="s">
        <v>31</v>
      </c>
      <c r="Q108" s="191">
        <v>7</v>
      </c>
      <c r="R108" s="191">
        <v>7</v>
      </c>
      <c r="S108" s="191">
        <v>15</v>
      </c>
      <c r="T108" s="191">
        <v>5</v>
      </c>
      <c r="U108" s="191">
        <v>7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13</v>
      </c>
      <c r="L109" s="192" t="s">
        <v>82</v>
      </c>
      <c r="M109" s="192" t="s">
        <v>94</v>
      </c>
      <c r="N109" s="192" t="s">
        <v>29</v>
      </c>
      <c r="O109" s="192" t="s">
        <v>28</v>
      </c>
      <c r="Q109" s="191">
        <v>5</v>
      </c>
      <c r="R109" s="191">
        <v>16</v>
      </c>
      <c r="S109" s="191">
        <v>17</v>
      </c>
      <c r="T109" s="191">
        <v>8</v>
      </c>
      <c r="U109" s="191">
        <v>9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31</v>
      </c>
      <c r="L110" s="192" t="s">
        <v>87</v>
      </c>
      <c r="M110" s="192" t="s">
        <v>81</v>
      </c>
      <c r="N110" s="192" t="s">
        <v>13</v>
      </c>
      <c r="O110" s="192" t="s">
        <v>31</v>
      </c>
      <c r="Q110" s="191">
        <v>7</v>
      </c>
      <c r="R110" s="191">
        <v>19</v>
      </c>
      <c r="S110" s="191">
        <v>14</v>
      </c>
      <c r="T110" s="191">
        <v>5</v>
      </c>
      <c r="U110" s="191">
        <v>7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16</v>
      </c>
      <c r="M111" s="192" t="s">
        <v>82</v>
      </c>
      <c r="N111" s="192" t="s">
        <v>31</v>
      </c>
      <c r="O111" s="192" t="s">
        <v>15</v>
      </c>
      <c r="Q111" s="191">
        <v>8</v>
      </c>
      <c r="R111" s="191">
        <v>3</v>
      </c>
      <c r="S111" s="191">
        <v>16</v>
      </c>
      <c r="T111" s="191">
        <v>7</v>
      </c>
      <c r="U111" s="191">
        <v>2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13</v>
      </c>
      <c r="L112" s="192" t="s">
        <v>78</v>
      </c>
      <c r="M112" s="192" t="s">
        <v>96</v>
      </c>
      <c r="N112" s="192" t="s">
        <v>95</v>
      </c>
      <c r="O112" s="192" t="s">
        <v>31</v>
      </c>
      <c r="Q112" s="191">
        <v>5</v>
      </c>
      <c r="R112" s="191">
        <v>11</v>
      </c>
      <c r="S112" s="191">
        <v>15</v>
      </c>
      <c r="T112" s="191">
        <v>6</v>
      </c>
      <c r="U112" s="191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95</v>
      </c>
      <c r="L113" s="192" t="s">
        <v>12</v>
      </c>
      <c r="M113" s="192" t="s">
        <v>87</v>
      </c>
      <c r="N113" s="192" t="s">
        <v>28</v>
      </c>
      <c r="O113" s="192" t="s">
        <v>13</v>
      </c>
      <c r="Q113" s="191">
        <v>6</v>
      </c>
      <c r="R113" s="191">
        <v>4</v>
      </c>
      <c r="S113" s="191">
        <v>19</v>
      </c>
      <c r="T113" s="191">
        <v>9</v>
      </c>
      <c r="U113" s="191">
        <v>5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13</v>
      </c>
      <c r="L114" s="192" t="s">
        <v>31</v>
      </c>
      <c r="M114" s="192" t="s">
        <v>82</v>
      </c>
      <c r="N114" s="192" t="s">
        <v>13</v>
      </c>
      <c r="O114" s="192" t="s">
        <v>95</v>
      </c>
      <c r="Q114" s="191">
        <v>5</v>
      </c>
      <c r="R114" s="191">
        <v>7</v>
      </c>
      <c r="S114" s="191">
        <v>16</v>
      </c>
      <c r="T114" s="191">
        <v>5</v>
      </c>
      <c r="U114" s="191">
        <v>6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14</v>
      </c>
      <c r="L115" s="192" t="s">
        <v>12</v>
      </c>
      <c r="M115" s="192" t="s">
        <v>96</v>
      </c>
      <c r="N115" s="192" t="s">
        <v>31</v>
      </c>
      <c r="O115" s="192" t="s">
        <v>29</v>
      </c>
      <c r="Q115" s="191">
        <v>1</v>
      </c>
      <c r="R115" s="191">
        <v>4</v>
      </c>
      <c r="S115" s="191">
        <v>15</v>
      </c>
      <c r="T115" s="191">
        <v>7</v>
      </c>
      <c r="U115" s="191">
        <v>8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95</v>
      </c>
      <c r="L116" s="192" t="s">
        <v>82</v>
      </c>
      <c r="M116" s="192" t="s">
        <v>79</v>
      </c>
      <c r="N116" s="192" t="s">
        <v>13</v>
      </c>
      <c r="O116" s="192" t="s">
        <v>31</v>
      </c>
      <c r="Q116" s="191">
        <v>6</v>
      </c>
      <c r="R116" s="191">
        <v>16</v>
      </c>
      <c r="S116" s="191">
        <v>12</v>
      </c>
      <c r="T116" s="191">
        <v>5</v>
      </c>
      <c r="U116" s="191">
        <v>7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28</v>
      </c>
      <c r="L117" s="192" t="s">
        <v>16</v>
      </c>
      <c r="M117" s="192" t="s">
        <v>81</v>
      </c>
      <c r="N117" s="192" t="s">
        <v>29</v>
      </c>
      <c r="O117" s="192" t="s">
        <v>95</v>
      </c>
      <c r="Q117" s="191">
        <v>9</v>
      </c>
      <c r="R117" s="191">
        <v>3</v>
      </c>
      <c r="S117" s="191">
        <v>14</v>
      </c>
      <c r="T117" s="191">
        <v>8</v>
      </c>
      <c r="U117" s="191">
        <v>6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13</v>
      </c>
      <c r="M118" s="192" t="s">
        <v>82</v>
      </c>
      <c r="N118" s="192" t="s">
        <v>12</v>
      </c>
      <c r="O118" s="192" t="s">
        <v>13</v>
      </c>
      <c r="Q118" s="191">
        <v>8</v>
      </c>
      <c r="R118" s="191">
        <v>5</v>
      </c>
      <c r="S118" s="191">
        <v>16</v>
      </c>
      <c r="T118" s="191">
        <v>4</v>
      </c>
      <c r="U118" s="191">
        <v>5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16</v>
      </c>
      <c r="M119" s="192" t="s">
        <v>81</v>
      </c>
      <c r="N119" s="192" t="s">
        <v>31</v>
      </c>
      <c r="O119" s="192" t="s">
        <v>95</v>
      </c>
      <c r="Q119" s="191">
        <v>7</v>
      </c>
      <c r="R119" s="191">
        <v>3</v>
      </c>
      <c r="S119" s="191">
        <v>14</v>
      </c>
      <c r="T119" s="191">
        <v>7</v>
      </c>
      <c r="U119" s="191">
        <v>6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30</v>
      </c>
      <c r="L120" s="192" t="s">
        <v>82</v>
      </c>
      <c r="M120" s="192" t="s">
        <v>96</v>
      </c>
      <c r="N120" s="192" t="s">
        <v>16</v>
      </c>
      <c r="O120" s="192" t="s">
        <v>29</v>
      </c>
      <c r="Q120" s="191">
        <v>10</v>
      </c>
      <c r="R120" s="191">
        <v>16</v>
      </c>
      <c r="S120" s="191">
        <v>15</v>
      </c>
      <c r="T120" s="191">
        <v>3</v>
      </c>
      <c r="U120" s="191">
        <v>8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12</v>
      </c>
      <c r="M121" s="192" t="s">
        <v>82</v>
      </c>
      <c r="N121" s="192" t="s">
        <v>31</v>
      </c>
      <c r="O121" s="192" t="s">
        <v>95</v>
      </c>
      <c r="Q121" s="191">
        <v>7</v>
      </c>
      <c r="R121" s="191">
        <v>4</v>
      </c>
      <c r="S121" s="191">
        <v>16</v>
      </c>
      <c r="T121" s="191">
        <v>7</v>
      </c>
      <c r="U121" s="191">
        <v>6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28</v>
      </c>
      <c r="L122" s="192" t="s">
        <v>96</v>
      </c>
      <c r="M122" s="192" t="s">
        <v>94</v>
      </c>
      <c r="N122" s="192" t="s">
        <v>95</v>
      </c>
      <c r="O122" s="192" t="s">
        <v>16</v>
      </c>
      <c r="Q122" s="191">
        <v>9</v>
      </c>
      <c r="R122" s="191">
        <v>15</v>
      </c>
      <c r="S122" s="191">
        <v>17</v>
      </c>
      <c r="T122" s="191">
        <v>6</v>
      </c>
      <c r="U122" s="191">
        <v>3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95</v>
      </c>
      <c r="L123" s="192" t="s">
        <v>95</v>
      </c>
      <c r="M123" s="192" t="s">
        <v>82</v>
      </c>
      <c r="N123" s="192" t="s">
        <v>13</v>
      </c>
      <c r="O123" s="192" t="s">
        <v>13</v>
      </c>
      <c r="Q123" s="191">
        <v>6</v>
      </c>
      <c r="R123" s="191">
        <v>6</v>
      </c>
      <c r="S123" s="191">
        <v>16</v>
      </c>
      <c r="T123" s="191">
        <v>5</v>
      </c>
      <c r="U123" s="191">
        <v>5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16</v>
      </c>
      <c r="M124" s="192" t="s">
        <v>81</v>
      </c>
      <c r="N124" s="192" t="s">
        <v>29</v>
      </c>
      <c r="O124" s="192" t="s">
        <v>29</v>
      </c>
      <c r="Q124" s="191">
        <v>8</v>
      </c>
      <c r="R124" s="191">
        <v>3</v>
      </c>
      <c r="S124" s="191">
        <v>14</v>
      </c>
      <c r="T124" s="191">
        <v>8</v>
      </c>
      <c r="U124" s="191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13</v>
      </c>
      <c r="L125" s="192" t="s">
        <v>30</v>
      </c>
      <c r="M125" s="192" t="s">
        <v>82</v>
      </c>
      <c r="N125" s="192" t="s">
        <v>31</v>
      </c>
      <c r="O125" s="192" t="s">
        <v>31</v>
      </c>
      <c r="Q125" s="191">
        <v>5</v>
      </c>
      <c r="R125" s="191">
        <v>10</v>
      </c>
      <c r="S125" s="191">
        <v>16</v>
      </c>
      <c r="T125" s="191">
        <v>7</v>
      </c>
      <c r="U125" s="191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29</v>
      </c>
      <c r="M126" s="192" t="s">
        <v>94</v>
      </c>
      <c r="N126" s="192" t="s">
        <v>13</v>
      </c>
      <c r="O126" s="192" t="s">
        <v>29</v>
      </c>
      <c r="Q126" s="191">
        <v>6</v>
      </c>
      <c r="R126" s="191">
        <v>8</v>
      </c>
      <c r="S126" s="191">
        <v>17</v>
      </c>
      <c r="T126" s="191">
        <v>5</v>
      </c>
      <c r="U126" s="191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28</v>
      </c>
      <c r="L127" s="192" t="s">
        <v>81</v>
      </c>
      <c r="M127" s="192" t="s">
        <v>81</v>
      </c>
      <c r="N127" s="192" t="s">
        <v>78</v>
      </c>
      <c r="O127" s="192" t="s">
        <v>13</v>
      </c>
      <c r="Q127" s="191">
        <v>9</v>
      </c>
      <c r="R127" s="191">
        <v>14</v>
      </c>
      <c r="S127" s="191">
        <v>14</v>
      </c>
      <c r="T127" s="191">
        <v>11</v>
      </c>
      <c r="U127" s="191">
        <v>5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82</v>
      </c>
      <c r="M128" s="192" t="s">
        <v>96</v>
      </c>
      <c r="N128" s="192" t="s">
        <v>31</v>
      </c>
      <c r="O128" s="192" t="s">
        <v>30</v>
      </c>
      <c r="Q128" s="191">
        <v>6</v>
      </c>
      <c r="R128" s="191">
        <v>16</v>
      </c>
      <c r="S128" s="191">
        <v>15</v>
      </c>
      <c r="T128" s="191">
        <v>7</v>
      </c>
      <c r="U128" s="191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30</v>
      </c>
      <c r="L129" s="192" t="s">
        <v>29</v>
      </c>
      <c r="M129" s="192" t="s">
        <v>82</v>
      </c>
      <c r="N129" s="192" t="s">
        <v>30</v>
      </c>
      <c r="O129" s="192" t="s">
        <v>13</v>
      </c>
      <c r="Q129" s="191">
        <v>10</v>
      </c>
      <c r="R129" s="191">
        <v>8</v>
      </c>
      <c r="S129" s="191">
        <v>16</v>
      </c>
      <c r="T129" s="191">
        <v>10</v>
      </c>
      <c r="U129" s="191">
        <v>5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13</v>
      </c>
      <c r="L130" s="192" t="s">
        <v>81</v>
      </c>
      <c r="M130" s="192" t="s">
        <v>85</v>
      </c>
      <c r="N130" s="192" t="s">
        <v>12</v>
      </c>
      <c r="O130" s="192" t="s">
        <v>29</v>
      </c>
      <c r="Q130" s="191">
        <v>5</v>
      </c>
      <c r="R130" s="191">
        <v>14</v>
      </c>
      <c r="S130" s="191">
        <v>18</v>
      </c>
      <c r="T130" s="191">
        <v>4</v>
      </c>
      <c r="U130" s="191">
        <v>8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29</v>
      </c>
      <c r="M131" s="192" t="s">
        <v>81</v>
      </c>
      <c r="N131" s="192" t="s">
        <v>95</v>
      </c>
      <c r="O131" s="192" t="s">
        <v>13</v>
      </c>
      <c r="Q131" s="191">
        <v>6</v>
      </c>
      <c r="R131" s="191">
        <v>8</v>
      </c>
      <c r="S131" s="191">
        <v>14</v>
      </c>
      <c r="T131" s="191">
        <v>6</v>
      </c>
      <c r="U131" s="191">
        <v>5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12</v>
      </c>
      <c r="L132" s="192" t="s">
        <v>95</v>
      </c>
      <c r="M132" s="192" t="s">
        <v>96</v>
      </c>
      <c r="N132" s="192" t="s">
        <v>31</v>
      </c>
      <c r="O132" s="192" t="s">
        <v>29</v>
      </c>
      <c r="Q132" s="191">
        <v>4</v>
      </c>
      <c r="R132" s="191">
        <v>6</v>
      </c>
      <c r="S132" s="191">
        <v>15</v>
      </c>
      <c r="T132" s="191">
        <v>7</v>
      </c>
      <c r="U132" s="191">
        <v>8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31</v>
      </c>
      <c r="L133" s="192" t="s">
        <v>13</v>
      </c>
      <c r="M133" s="192" t="s">
        <v>82</v>
      </c>
      <c r="N133" s="192" t="s">
        <v>29</v>
      </c>
      <c r="O133" s="192" t="s">
        <v>28</v>
      </c>
      <c r="Q133" s="191">
        <v>7</v>
      </c>
      <c r="R133" s="191">
        <v>5</v>
      </c>
      <c r="S133" s="191">
        <v>16</v>
      </c>
      <c r="T133" s="191">
        <v>8</v>
      </c>
      <c r="U133" s="191">
        <v>9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95</v>
      </c>
      <c r="L134" s="192" t="s">
        <v>29</v>
      </c>
      <c r="M134" s="192" t="s">
        <v>85</v>
      </c>
      <c r="N134" s="192" t="s">
        <v>15</v>
      </c>
      <c r="O134" s="192" t="s">
        <v>15</v>
      </c>
      <c r="Q134" s="191">
        <v>6</v>
      </c>
      <c r="R134" s="191">
        <v>8</v>
      </c>
      <c r="S134" s="191">
        <v>18</v>
      </c>
      <c r="T134" s="191">
        <v>2</v>
      </c>
      <c r="U134" s="191">
        <v>2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80</v>
      </c>
      <c r="M135" s="192" t="s">
        <v>81</v>
      </c>
      <c r="N135" s="192" t="s">
        <v>81</v>
      </c>
      <c r="O135" s="192" t="s">
        <v>16</v>
      </c>
      <c r="Q135" s="191">
        <v>7</v>
      </c>
      <c r="R135" s="191">
        <v>13</v>
      </c>
      <c r="S135" s="191">
        <v>14</v>
      </c>
      <c r="T135" s="191">
        <v>14</v>
      </c>
      <c r="U135" s="191">
        <v>3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29</v>
      </c>
      <c r="L136" s="192" t="s">
        <v>94</v>
      </c>
      <c r="M136" s="192" t="s">
        <v>82</v>
      </c>
      <c r="N136" s="192" t="s">
        <v>31</v>
      </c>
      <c r="O136" s="192" t="s">
        <v>29</v>
      </c>
      <c r="Q136" s="191">
        <v>8</v>
      </c>
      <c r="R136" s="191">
        <v>17</v>
      </c>
      <c r="S136" s="191">
        <v>16</v>
      </c>
      <c r="T136" s="191">
        <v>7</v>
      </c>
      <c r="U136" s="191">
        <v>8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30</v>
      </c>
      <c r="M137" s="192" t="s">
        <v>96</v>
      </c>
      <c r="N137" s="192" t="s">
        <v>95</v>
      </c>
      <c r="O137" s="192" t="s">
        <v>13</v>
      </c>
      <c r="Q137" s="191">
        <v>5</v>
      </c>
      <c r="R137" s="191">
        <v>10</v>
      </c>
      <c r="S137" s="191">
        <v>15</v>
      </c>
      <c r="T137" s="191">
        <v>6</v>
      </c>
      <c r="U137" s="191">
        <v>5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31</v>
      </c>
      <c r="L138" s="192" t="s">
        <v>29</v>
      </c>
      <c r="M138" s="192" t="s">
        <v>81</v>
      </c>
      <c r="N138" s="192" t="s">
        <v>31</v>
      </c>
      <c r="O138" s="192" t="s">
        <v>28</v>
      </c>
      <c r="Q138" s="191">
        <v>7</v>
      </c>
      <c r="R138" s="191">
        <v>8</v>
      </c>
      <c r="S138" s="191">
        <v>14</v>
      </c>
      <c r="T138" s="191">
        <v>7</v>
      </c>
      <c r="U138" s="191">
        <v>9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13</v>
      </c>
      <c r="L139" s="192" t="s">
        <v>28</v>
      </c>
      <c r="M139" s="192" t="s">
        <v>96</v>
      </c>
      <c r="N139" s="192" t="s">
        <v>29</v>
      </c>
      <c r="O139" s="192" t="s">
        <v>31</v>
      </c>
      <c r="Q139" s="191">
        <v>5</v>
      </c>
      <c r="R139" s="191">
        <v>9</v>
      </c>
      <c r="S139" s="191">
        <v>15</v>
      </c>
      <c r="T139" s="191">
        <v>8</v>
      </c>
      <c r="U139" s="191">
        <v>7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95</v>
      </c>
      <c r="L140" s="192" t="s">
        <v>16</v>
      </c>
      <c r="M140" s="192" t="s">
        <v>94</v>
      </c>
      <c r="N140" s="192" t="s">
        <v>96</v>
      </c>
      <c r="O140" s="192" t="s">
        <v>16</v>
      </c>
      <c r="Q140" s="191">
        <v>6</v>
      </c>
      <c r="R140" s="191">
        <v>3</v>
      </c>
      <c r="S140" s="191">
        <v>17</v>
      </c>
      <c r="T140" s="191">
        <v>15</v>
      </c>
      <c r="U140" s="191">
        <v>3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13</v>
      </c>
      <c r="L141" s="192" t="s">
        <v>81</v>
      </c>
      <c r="M141" s="192" t="s">
        <v>82</v>
      </c>
      <c r="N141" s="192" t="s">
        <v>29</v>
      </c>
      <c r="O141" s="192" t="s">
        <v>31</v>
      </c>
      <c r="Q141" s="191">
        <v>5</v>
      </c>
      <c r="R141" s="191">
        <v>14</v>
      </c>
      <c r="S141" s="191">
        <v>16</v>
      </c>
      <c r="T141" s="191">
        <v>8</v>
      </c>
      <c r="U141" s="191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94</v>
      </c>
      <c r="M142" s="192" t="s">
        <v>94</v>
      </c>
      <c r="N142" s="192" t="s">
        <v>31</v>
      </c>
      <c r="O142" s="192" t="s">
        <v>29</v>
      </c>
      <c r="Q142" s="191">
        <v>7</v>
      </c>
      <c r="R142" s="191">
        <v>17</v>
      </c>
      <c r="S142" s="191">
        <v>17</v>
      </c>
      <c r="T142" s="191">
        <v>7</v>
      </c>
      <c r="U142" s="191">
        <v>8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29</v>
      </c>
      <c r="L143" s="192" t="s">
        <v>31</v>
      </c>
      <c r="M143" s="192" t="s">
        <v>78</v>
      </c>
      <c r="N143" s="192" t="s">
        <v>29</v>
      </c>
      <c r="O143" s="192" t="s">
        <v>13</v>
      </c>
      <c r="Q143" s="191">
        <v>8</v>
      </c>
      <c r="R143" s="191">
        <v>7</v>
      </c>
      <c r="S143" s="191">
        <v>11</v>
      </c>
      <c r="T143" s="191">
        <v>8</v>
      </c>
      <c r="U143" s="191">
        <v>5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28</v>
      </c>
      <c r="M144" s="192" t="s">
        <v>96</v>
      </c>
      <c r="N144" s="192" t="s">
        <v>28</v>
      </c>
      <c r="O144" s="192" t="s">
        <v>28</v>
      </c>
      <c r="Q144" s="191">
        <v>6</v>
      </c>
      <c r="R144" s="191">
        <v>9</v>
      </c>
      <c r="S144" s="191">
        <v>15</v>
      </c>
      <c r="T144" s="191">
        <v>9</v>
      </c>
      <c r="U144" s="191">
        <v>9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13</v>
      </c>
      <c r="L145" s="192" t="s">
        <v>14</v>
      </c>
      <c r="M145" s="192" t="s">
        <v>82</v>
      </c>
      <c r="N145" s="192" t="s">
        <v>13</v>
      </c>
      <c r="O145" s="192" t="s">
        <v>30</v>
      </c>
      <c r="Q145" s="191">
        <v>5</v>
      </c>
      <c r="R145" s="191">
        <v>1</v>
      </c>
      <c r="S145" s="191">
        <v>16</v>
      </c>
      <c r="T145" s="191">
        <v>5</v>
      </c>
      <c r="U145" s="191">
        <v>10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29</v>
      </c>
      <c r="L146" s="192" t="s">
        <v>16</v>
      </c>
      <c r="M146" s="192" t="s">
        <v>87</v>
      </c>
      <c r="N146" s="192" t="s">
        <v>31</v>
      </c>
      <c r="O146" s="192" t="s">
        <v>14</v>
      </c>
      <c r="Q146" s="191">
        <v>8</v>
      </c>
      <c r="R146" s="191">
        <v>3</v>
      </c>
      <c r="S146" s="191">
        <v>19</v>
      </c>
      <c r="T146" s="191">
        <v>7</v>
      </c>
      <c r="U146" s="191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13</v>
      </c>
      <c r="M147" s="192" t="s">
        <v>96</v>
      </c>
      <c r="N147" s="192" t="s">
        <v>96</v>
      </c>
      <c r="O147" s="192" t="s">
        <v>95</v>
      </c>
      <c r="Q147" s="191">
        <v>7</v>
      </c>
      <c r="R147" s="191">
        <v>5</v>
      </c>
      <c r="S147" s="191">
        <v>15</v>
      </c>
      <c r="T147" s="191">
        <v>15</v>
      </c>
      <c r="U147" s="191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28</v>
      </c>
      <c r="M148" s="192" t="s">
        <v>81</v>
      </c>
      <c r="N148" s="192" t="s">
        <v>31</v>
      </c>
      <c r="O148" s="192" t="s">
        <v>29</v>
      </c>
      <c r="Q148" s="191">
        <v>6</v>
      </c>
      <c r="R148" s="191">
        <v>9</v>
      </c>
      <c r="S148" s="191">
        <v>14</v>
      </c>
      <c r="T148" s="191">
        <v>7</v>
      </c>
      <c r="U148" s="191">
        <v>8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15</v>
      </c>
      <c r="M149" s="192" t="s">
        <v>94</v>
      </c>
      <c r="N149" s="192" t="s">
        <v>80</v>
      </c>
      <c r="O149" s="192" t="s">
        <v>95</v>
      </c>
      <c r="Q149" s="191">
        <v>7</v>
      </c>
      <c r="R149" s="191">
        <v>2</v>
      </c>
      <c r="S149" s="191">
        <v>17</v>
      </c>
      <c r="T149" s="191">
        <v>13</v>
      </c>
      <c r="U149" s="191">
        <v>6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13</v>
      </c>
      <c r="L150" s="192" t="s">
        <v>81</v>
      </c>
      <c r="M150" s="192" t="s">
        <v>82</v>
      </c>
      <c r="N150" s="192" t="s">
        <v>95</v>
      </c>
      <c r="O150" s="192" t="s">
        <v>30</v>
      </c>
      <c r="Q150" s="191">
        <v>5</v>
      </c>
      <c r="R150" s="191">
        <v>14</v>
      </c>
      <c r="S150" s="191">
        <v>16</v>
      </c>
      <c r="T150" s="191">
        <v>6</v>
      </c>
      <c r="U150" s="191">
        <v>10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94</v>
      </c>
      <c r="N151" s="192" t="s">
        <v>31</v>
      </c>
      <c r="O151" s="192" t="s">
        <v>13</v>
      </c>
      <c r="Q151" s="191">
        <v>6</v>
      </c>
      <c r="R151" s="191">
        <v>2</v>
      </c>
      <c r="S151" s="191">
        <v>17</v>
      </c>
      <c r="T151" s="191">
        <v>7</v>
      </c>
      <c r="U151" s="191">
        <v>5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13</v>
      </c>
      <c r="L152" s="192" t="s">
        <v>31</v>
      </c>
      <c r="M152" s="192" t="s">
        <v>96</v>
      </c>
      <c r="N152" s="192" t="s">
        <v>95</v>
      </c>
      <c r="O152" s="192" t="s">
        <v>29</v>
      </c>
      <c r="Q152" s="191">
        <v>5</v>
      </c>
      <c r="R152" s="191">
        <v>7</v>
      </c>
      <c r="S152" s="191">
        <v>15</v>
      </c>
      <c r="T152" s="191">
        <v>6</v>
      </c>
      <c r="U152" s="191">
        <v>8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29</v>
      </c>
      <c r="M153" s="192" t="s">
        <v>81</v>
      </c>
      <c r="N153" s="192" t="s">
        <v>31</v>
      </c>
      <c r="O153" s="192" t="s">
        <v>95</v>
      </c>
      <c r="Q153" s="191">
        <v>6</v>
      </c>
      <c r="R153" s="191">
        <v>8</v>
      </c>
      <c r="S153" s="191">
        <v>14</v>
      </c>
      <c r="T153" s="191">
        <v>7</v>
      </c>
      <c r="U153" s="191">
        <v>6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29</v>
      </c>
      <c r="L154" s="192" t="s">
        <v>31</v>
      </c>
      <c r="M154" s="192" t="s">
        <v>87</v>
      </c>
      <c r="N154" s="192" t="s">
        <v>95</v>
      </c>
      <c r="O154" s="192" t="s">
        <v>29</v>
      </c>
      <c r="Q154" s="191">
        <v>8</v>
      </c>
      <c r="R154" s="191">
        <v>7</v>
      </c>
      <c r="S154" s="191">
        <v>19</v>
      </c>
      <c r="T154" s="191">
        <v>6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13</v>
      </c>
      <c r="M155" s="192" t="s">
        <v>81</v>
      </c>
      <c r="N155" s="192" t="s">
        <v>28</v>
      </c>
      <c r="O155" s="192" t="s">
        <v>13</v>
      </c>
      <c r="Q155" s="191">
        <v>5</v>
      </c>
      <c r="R155" s="191">
        <v>5</v>
      </c>
      <c r="S155" s="191">
        <v>14</v>
      </c>
      <c r="T155" s="191">
        <v>9</v>
      </c>
      <c r="U155" s="191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16</v>
      </c>
      <c r="L156" s="192" t="s">
        <v>29</v>
      </c>
      <c r="M156" s="192" t="s">
        <v>82</v>
      </c>
      <c r="N156" s="192" t="s">
        <v>14</v>
      </c>
      <c r="O156" s="192" t="s">
        <v>31</v>
      </c>
      <c r="Q156" s="191">
        <v>3</v>
      </c>
      <c r="R156" s="191">
        <v>8</v>
      </c>
      <c r="S156" s="191">
        <v>16</v>
      </c>
      <c r="T156" s="191">
        <v>1</v>
      </c>
      <c r="U156" s="191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29</v>
      </c>
      <c r="L157" s="192" t="s">
        <v>79</v>
      </c>
      <c r="M157" s="192" t="s">
        <v>94</v>
      </c>
      <c r="N157" s="192" t="s">
        <v>94</v>
      </c>
      <c r="O157" s="192" t="s">
        <v>28</v>
      </c>
      <c r="Q157" s="191">
        <v>8</v>
      </c>
      <c r="R157" s="191">
        <v>12</v>
      </c>
      <c r="S157" s="191">
        <v>17</v>
      </c>
      <c r="T157" s="191">
        <v>17</v>
      </c>
      <c r="U157" s="191">
        <v>9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16</v>
      </c>
      <c r="L158" s="192" t="s">
        <v>30</v>
      </c>
      <c r="M158" s="192" t="s">
        <v>82</v>
      </c>
      <c r="N158" s="192" t="s">
        <v>31</v>
      </c>
      <c r="O158" s="192" t="s">
        <v>13</v>
      </c>
      <c r="Q158" s="191">
        <v>3</v>
      </c>
      <c r="R158" s="191">
        <v>10</v>
      </c>
      <c r="S158" s="191">
        <v>16</v>
      </c>
      <c r="T158" s="191">
        <v>7</v>
      </c>
      <c r="U158" s="191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95</v>
      </c>
      <c r="M159" s="192" t="s">
        <v>94</v>
      </c>
      <c r="N159" s="192" t="s">
        <v>95</v>
      </c>
      <c r="O159" s="192" t="s">
        <v>95</v>
      </c>
      <c r="Q159" s="191">
        <v>8</v>
      </c>
      <c r="R159" s="191">
        <v>6</v>
      </c>
      <c r="S159" s="191">
        <v>17</v>
      </c>
      <c r="T159" s="191">
        <v>6</v>
      </c>
      <c r="U159" s="191">
        <v>6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31</v>
      </c>
      <c r="L160" s="192" t="s">
        <v>13</v>
      </c>
      <c r="M160" s="192" t="s">
        <v>79</v>
      </c>
      <c r="N160" s="192" t="s">
        <v>13</v>
      </c>
      <c r="O160" s="192" t="s">
        <v>12</v>
      </c>
      <c r="Q160" s="191">
        <v>7</v>
      </c>
      <c r="R160" s="191">
        <v>5</v>
      </c>
      <c r="S160" s="191">
        <v>12</v>
      </c>
      <c r="T160" s="191">
        <v>5</v>
      </c>
      <c r="U160" s="191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13</v>
      </c>
      <c r="L161" s="192" t="s">
        <v>31</v>
      </c>
      <c r="M161" s="192" t="s">
        <v>81</v>
      </c>
      <c r="N161" s="192" t="s">
        <v>30</v>
      </c>
      <c r="O161" s="192" t="s">
        <v>16</v>
      </c>
      <c r="Q161" s="191">
        <v>5</v>
      </c>
      <c r="R161" s="191">
        <v>7</v>
      </c>
      <c r="S161" s="191">
        <v>14</v>
      </c>
      <c r="T161" s="191">
        <v>10</v>
      </c>
      <c r="U161" s="191">
        <v>3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95</v>
      </c>
      <c r="L162" s="192" t="s">
        <v>96</v>
      </c>
      <c r="M162" s="192" t="s">
        <v>96</v>
      </c>
      <c r="N162" s="192" t="s">
        <v>13</v>
      </c>
      <c r="O162" s="192" t="s">
        <v>29</v>
      </c>
      <c r="Q162" s="191">
        <v>6</v>
      </c>
      <c r="R162" s="191">
        <v>15</v>
      </c>
      <c r="S162" s="191">
        <v>15</v>
      </c>
      <c r="T162" s="191">
        <v>5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14</v>
      </c>
      <c r="L163" s="192" t="s">
        <v>13</v>
      </c>
      <c r="M163" s="192" t="s">
        <v>94</v>
      </c>
      <c r="N163" s="192" t="s">
        <v>31</v>
      </c>
      <c r="O163" s="192" t="s">
        <v>95</v>
      </c>
      <c r="Q163" s="191">
        <v>1</v>
      </c>
      <c r="R163" s="191">
        <v>5</v>
      </c>
      <c r="S163" s="191">
        <v>17</v>
      </c>
      <c r="T163" s="191">
        <v>7</v>
      </c>
      <c r="U163" s="191">
        <v>6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80</v>
      </c>
      <c r="M164" s="192" t="s">
        <v>85</v>
      </c>
      <c r="N164" s="192" t="s">
        <v>28</v>
      </c>
      <c r="O164" s="192" t="s">
        <v>29</v>
      </c>
      <c r="Q164" s="191">
        <v>5</v>
      </c>
      <c r="R164" s="191">
        <v>13</v>
      </c>
      <c r="S164" s="191">
        <v>18</v>
      </c>
      <c r="T164" s="191">
        <v>9</v>
      </c>
      <c r="U164" s="191">
        <v>8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31</v>
      </c>
      <c r="L165" s="192" t="s">
        <v>29</v>
      </c>
      <c r="M165" s="192" t="s">
        <v>81</v>
      </c>
      <c r="N165" s="192" t="s">
        <v>16</v>
      </c>
      <c r="O165" s="192" t="s">
        <v>95</v>
      </c>
      <c r="Q165" s="191">
        <v>7</v>
      </c>
      <c r="R165" s="191">
        <v>8</v>
      </c>
      <c r="S165" s="191">
        <v>14</v>
      </c>
      <c r="T165" s="191">
        <v>3</v>
      </c>
      <c r="U165" s="191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13</v>
      </c>
      <c r="L166" s="192" t="s">
        <v>96</v>
      </c>
      <c r="M166" s="192" t="s">
        <v>94</v>
      </c>
      <c r="N166" s="192" t="s">
        <v>28</v>
      </c>
      <c r="O166" s="192" t="s">
        <v>13</v>
      </c>
      <c r="Q166" s="191">
        <v>5</v>
      </c>
      <c r="R166" s="191">
        <v>15</v>
      </c>
      <c r="S166" s="191">
        <v>17</v>
      </c>
      <c r="T166" s="191">
        <v>9</v>
      </c>
      <c r="U166" s="191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31</v>
      </c>
      <c r="L167" s="192" t="s">
        <v>31</v>
      </c>
      <c r="M167" s="192" t="s">
        <v>82</v>
      </c>
      <c r="N167" s="192" t="s">
        <v>15</v>
      </c>
      <c r="O167" s="192" t="s">
        <v>12</v>
      </c>
      <c r="Q167" s="191">
        <v>7</v>
      </c>
      <c r="R167" s="191">
        <v>7</v>
      </c>
      <c r="S167" s="191">
        <v>16</v>
      </c>
      <c r="T167" s="191">
        <v>2</v>
      </c>
      <c r="U167" s="191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95</v>
      </c>
      <c r="L168" s="192" t="s">
        <v>29</v>
      </c>
      <c r="M168" s="192" t="s">
        <v>81</v>
      </c>
      <c r="N168" s="192" t="s">
        <v>81</v>
      </c>
      <c r="O168" s="192" t="s">
        <v>95</v>
      </c>
      <c r="Q168" s="191">
        <v>6</v>
      </c>
      <c r="R168" s="191">
        <v>8</v>
      </c>
      <c r="S168" s="191">
        <v>14</v>
      </c>
      <c r="T168" s="191">
        <v>14</v>
      </c>
      <c r="U168" s="191">
        <v>6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31</v>
      </c>
      <c r="M169" s="192" t="s">
        <v>82</v>
      </c>
      <c r="N169" s="192" t="s">
        <v>29</v>
      </c>
      <c r="O169" s="192" t="s">
        <v>16</v>
      </c>
      <c r="Q169" s="191">
        <v>8</v>
      </c>
      <c r="R169" s="191">
        <v>7</v>
      </c>
      <c r="S169" s="191">
        <v>16</v>
      </c>
      <c r="T169" s="191">
        <v>8</v>
      </c>
      <c r="U169" s="191">
        <v>3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12</v>
      </c>
      <c r="L170" s="192" t="s">
        <v>12</v>
      </c>
      <c r="M170" s="192" t="s">
        <v>96</v>
      </c>
      <c r="N170" s="192" t="s">
        <v>31</v>
      </c>
      <c r="O170" s="192" t="s">
        <v>31</v>
      </c>
      <c r="Q170" s="191">
        <v>4</v>
      </c>
      <c r="R170" s="191">
        <v>4</v>
      </c>
      <c r="S170" s="191">
        <v>15</v>
      </c>
      <c r="T170" s="191">
        <v>7</v>
      </c>
      <c r="U170" s="191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31</v>
      </c>
      <c r="L171" s="192" t="s">
        <v>31</v>
      </c>
      <c r="M171" s="192" t="s">
        <v>94</v>
      </c>
      <c r="N171" s="192" t="s">
        <v>29</v>
      </c>
      <c r="O171" s="192" t="s">
        <v>95</v>
      </c>
      <c r="Q171" s="191">
        <v>7</v>
      </c>
      <c r="R171" s="191">
        <v>7</v>
      </c>
      <c r="S171" s="191">
        <v>17</v>
      </c>
      <c r="T171" s="191">
        <v>8</v>
      </c>
      <c r="U171" s="191">
        <v>6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29</v>
      </c>
      <c r="L172" s="192" t="s">
        <v>13</v>
      </c>
      <c r="M172" s="192" t="s">
        <v>79</v>
      </c>
      <c r="N172" s="192" t="s">
        <v>95</v>
      </c>
      <c r="O172" s="192" t="s">
        <v>29</v>
      </c>
      <c r="Q172" s="191">
        <v>8</v>
      </c>
      <c r="R172" s="191">
        <v>5</v>
      </c>
      <c r="S172" s="191">
        <v>12</v>
      </c>
      <c r="T172" s="191">
        <v>6</v>
      </c>
      <c r="U172" s="191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30</v>
      </c>
      <c r="L173" s="192" t="s">
        <v>31</v>
      </c>
      <c r="M173" s="192" t="s">
        <v>94</v>
      </c>
      <c r="N173" s="192" t="s">
        <v>29</v>
      </c>
      <c r="O173" s="192" t="s">
        <v>95</v>
      </c>
      <c r="Q173" s="191">
        <v>10</v>
      </c>
      <c r="R173" s="191">
        <v>7</v>
      </c>
      <c r="S173" s="191">
        <v>17</v>
      </c>
      <c r="T173" s="191">
        <v>8</v>
      </c>
      <c r="U173" s="191">
        <v>6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13</v>
      </c>
      <c r="L174" s="192" t="s">
        <v>95</v>
      </c>
      <c r="M174" s="192" t="s">
        <v>81</v>
      </c>
      <c r="N174" s="192" t="s">
        <v>12</v>
      </c>
      <c r="O174" s="192" t="s">
        <v>14</v>
      </c>
      <c r="Q174" s="191">
        <v>5</v>
      </c>
      <c r="R174" s="191">
        <v>6</v>
      </c>
      <c r="S174" s="191">
        <v>14</v>
      </c>
      <c r="T174" s="191">
        <v>4</v>
      </c>
      <c r="U174" s="191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28</v>
      </c>
      <c r="M175" s="192" t="s">
        <v>96</v>
      </c>
      <c r="N175" s="192" t="s">
        <v>13</v>
      </c>
      <c r="O175" s="192" t="s">
        <v>95</v>
      </c>
      <c r="Q175" s="191">
        <v>7</v>
      </c>
      <c r="R175" s="191">
        <v>9</v>
      </c>
      <c r="S175" s="191">
        <v>15</v>
      </c>
      <c r="T175" s="191">
        <v>5</v>
      </c>
      <c r="U175" s="191">
        <v>6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13</v>
      </c>
      <c r="L176" s="192" t="s">
        <v>29</v>
      </c>
      <c r="M176" s="192" t="s">
        <v>87</v>
      </c>
      <c r="N176" s="192" t="s">
        <v>95</v>
      </c>
      <c r="O176" s="192" t="s">
        <v>13</v>
      </c>
      <c r="Q176" s="191">
        <v>5</v>
      </c>
      <c r="R176" s="191">
        <v>8</v>
      </c>
      <c r="S176" s="191">
        <v>19</v>
      </c>
      <c r="T176" s="191">
        <v>6</v>
      </c>
      <c r="U176" s="191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15</v>
      </c>
      <c r="M177" s="192" t="s">
        <v>94</v>
      </c>
      <c r="N177" s="192" t="s">
        <v>29</v>
      </c>
      <c r="O177" s="192" t="s">
        <v>95</v>
      </c>
      <c r="Q177" s="191">
        <v>7</v>
      </c>
      <c r="R177" s="191">
        <v>2</v>
      </c>
      <c r="S177" s="191">
        <v>17</v>
      </c>
      <c r="T177" s="191">
        <v>8</v>
      </c>
      <c r="U177" s="191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28</v>
      </c>
      <c r="L178" s="192" t="s">
        <v>13</v>
      </c>
      <c r="M178" s="192" t="s">
        <v>82</v>
      </c>
      <c r="N178" s="192" t="s">
        <v>95</v>
      </c>
      <c r="O178" s="192" t="s">
        <v>13</v>
      </c>
      <c r="Q178" s="191">
        <v>9</v>
      </c>
      <c r="R178" s="191">
        <v>5</v>
      </c>
      <c r="S178" s="191">
        <v>16</v>
      </c>
      <c r="T178" s="191">
        <v>6</v>
      </c>
      <c r="U178" s="191">
        <v>5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31</v>
      </c>
      <c r="L179" s="192" t="s">
        <v>29</v>
      </c>
      <c r="M179" s="192" t="s">
        <v>94</v>
      </c>
      <c r="N179" s="192" t="s">
        <v>14</v>
      </c>
      <c r="O179" s="192" t="s">
        <v>28</v>
      </c>
      <c r="Q179" s="191">
        <v>7</v>
      </c>
      <c r="R179" s="191">
        <v>8</v>
      </c>
      <c r="S179" s="191">
        <v>17</v>
      </c>
      <c r="T179" s="191">
        <v>1</v>
      </c>
      <c r="U179" s="191">
        <v>9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16</v>
      </c>
      <c r="L180" s="192" t="s">
        <v>15</v>
      </c>
      <c r="M180" s="192" t="s">
        <v>82</v>
      </c>
      <c r="N180" s="192" t="s">
        <v>13</v>
      </c>
      <c r="O180" s="192" t="s">
        <v>13</v>
      </c>
      <c r="Q180" s="191">
        <v>3</v>
      </c>
      <c r="R180" s="191">
        <v>2</v>
      </c>
      <c r="S180" s="191">
        <v>16</v>
      </c>
      <c r="T180" s="191">
        <v>5</v>
      </c>
      <c r="U180" s="191">
        <v>5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29</v>
      </c>
      <c r="L181" s="192" t="s">
        <v>13</v>
      </c>
      <c r="M181" s="192" t="s">
        <v>96</v>
      </c>
      <c r="N181" s="192" t="s">
        <v>94</v>
      </c>
      <c r="O181" s="192" t="s">
        <v>31</v>
      </c>
      <c r="Q181" s="191">
        <v>8</v>
      </c>
      <c r="R181" s="191">
        <v>5</v>
      </c>
      <c r="S181" s="191">
        <v>15</v>
      </c>
      <c r="T181" s="191">
        <v>17</v>
      </c>
      <c r="U181" s="191">
        <v>7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94</v>
      </c>
      <c r="M182" s="192" t="s">
        <v>81</v>
      </c>
      <c r="N182" s="192" t="s">
        <v>29</v>
      </c>
      <c r="O182" s="192" t="s">
        <v>12</v>
      </c>
      <c r="Q182" s="191">
        <v>5</v>
      </c>
      <c r="R182" s="191">
        <v>17</v>
      </c>
      <c r="S182" s="191">
        <v>14</v>
      </c>
      <c r="T182" s="191">
        <v>8</v>
      </c>
      <c r="U182" s="191">
        <v>4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31</v>
      </c>
      <c r="L183" s="192" t="s">
        <v>95</v>
      </c>
      <c r="M183" s="192" t="s">
        <v>96</v>
      </c>
      <c r="N183" s="192" t="s">
        <v>31</v>
      </c>
      <c r="O183" s="192" t="s">
        <v>28</v>
      </c>
      <c r="Q183" s="191">
        <v>7</v>
      </c>
      <c r="R183" s="191">
        <v>6</v>
      </c>
      <c r="S183" s="191">
        <v>15</v>
      </c>
      <c r="T183" s="191">
        <v>7</v>
      </c>
      <c r="U183" s="191">
        <v>9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29</v>
      </c>
      <c r="L184" s="192" t="s">
        <v>31</v>
      </c>
      <c r="M184" s="192" t="s">
        <v>94</v>
      </c>
      <c r="N184" s="192" t="s">
        <v>95</v>
      </c>
      <c r="O184" s="192" t="s">
        <v>31</v>
      </c>
      <c r="Q184" s="191">
        <v>8</v>
      </c>
      <c r="R184" s="191">
        <v>7</v>
      </c>
      <c r="S184" s="191">
        <v>17</v>
      </c>
      <c r="T184" s="191">
        <v>6</v>
      </c>
      <c r="U184" s="191">
        <v>7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13</v>
      </c>
      <c r="L185" s="192" t="s">
        <v>13</v>
      </c>
      <c r="M185" s="192" t="s">
        <v>87</v>
      </c>
      <c r="N185" s="192" t="s">
        <v>13</v>
      </c>
      <c r="O185" s="192" t="s">
        <v>29</v>
      </c>
      <c r="Q185" s="191">
        <v>5</v>
      </c>
      <c r="R185" s="191">
        <v>5</v>
      </c>
      <c r="S185" s="191">
        <v>19</v>
      </c>
      <c r="T185" s="191">
        <v>5</v>
      </c>
      <c r="U185" s="191">
        <v>8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15</v>
      </c>
      <c r="L186" s="192" t="s">
        <v>15</v>
      </c>
      <c r="M186" s="192" t="s">
        <v>94</v>
      </c>
      <c r="N186" s="192" t="s">
        <v>31</v>
      </c>
      <c r="O186" s="192" t="s">
        <v>14</v>
      </c>
      <c r="Q186" s="191">
        <v>2</v>
      </c>
      <c r="R186" s="191">
        <v>2</v>
      </c>
      <c r="S186" s="191">
        <v>17</v>
      </c>
      <c r="T186" s="191">
        <v>7</v>
      </c>
      <c r="U186" s="191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31</v>
      </c>
      <c r="L187" s="192" t="s">
        <v>31</v>
      </c>
      <c r="M187" s="192" t="s">
        <v>81</v>
      </c>
      <c r="N187" s="192" t="s">
        <v>13</v>
      </c>
      <c r="O187" s="192" t="s">
        <v>95</v>
      </c>
      <c r="Q187" s="191">
        <v>7</v>
      </c>
      <c r="R187" s="191">
        <v>7</v>
      </c>
      <c r="S187" s="191">
        <v>14</v>
      </c>
      <c r="T187" s="191">
        <v>5</v>
      </c>
      <c r="U187" s="191">
        <v>6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29</v>
      </c>
      <c r="L188" s="192" t="s">
        <v>95</v>
      </c>
      <c r="M188" s="192" t="s">
        <v>96</v>
      </c>
      <c r="N188" s="192" t="s">
        <v>95</v>
      </c>
      <c r="O188" s="192" t="s">
        <v>16</v>
      </c>
      <c r="Q188" s="191">
        <v>8</v>
      </c>
      <c r="R188" s="191">
        <v>6</v>
      </c>
      <c r="S188" s="191">
        <v>15</v>
      </c>
      <c r="T188" s="191">
        <v>6</v>
      </c>
      <c r="U188" s="191">
        <v>3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95</v>
      </c>
      <c r="L189" s="192" t="s">
        <v>13</v>
      </c>
      <c r="M189" s="192" t="s">
        <v>81</v>
      </c>
      <c r="N189" s="192" t="s">
        <v>31</v>
      </c>
      <c r="O189" s="192" t="s">
        <v>29</v>
      </c>
      <c r="Q189" s="191">
        <v>6</v>
      </c>
      <c r="R189" s="191">
        <v>5</v>
      </c>
      <c r="S189" s="191">
        <v>14</v>
      </c>
      <c r="T189" s="191">
        <v>7</v>
      </c>
      <c r="U189" s="191">
        <v>8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31</v>
      </c>
      <c r="L190" s="192" t="s">
        <v>94</v>
      </c>
      <c r="M190" s="192" t="s">
        <v>94</v>
      </c>
      <c r="N190" s="192" t="s">
        <v>13</v>
      </c>
      <c r="O190" s="192" t="s">
        <v>31</v>
      </c>
      <c r="Q190" s="191">
        <v>7</v>
      </c>
      <c r="R190" s="191">
        <v>17</v>
      </c>
      <c r="S190" s="191">
        <v>17</v>
      </c>
      <c r="T190" s="191">
        <v>5</v>
      </c>
      <c r="U190" s="191">
        <v>7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13</v>
      </c>
      <c r="L191" s="192" t="s">
        <v>31</v>
      </c>
      <c r="M191" s="192" t="s">
        <v>82</v>
      </c>
      <c r="N191" s="192" t="s">
        <v>31</v>
      </c>
      <c r="O191" s="192" t="s">
        <v>15</v>
      </c>
      <c r="Q191" s="191">
        <v>5</v>
      </c>
      <c r="R191" s="191">
        <v>7</v>
      </c>
      <c r="S191" s="191">
        <v>16</v>
      </c>
      <c r="T191" s="191">
        <v>7</v>
      </c>
      <c r="U191" s="191">
        <v>2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29</v>
      </c>
      <c r="M192" s="192" t="s">
        <v>96</v>
      </c>
      <c r="N192" s="192" t="s">
        <v>13</v>
      </c>
      <c r="O192" s="192" t="s">
        <v>31</v>
      </c>
      <c r="Q192" s="191">
        <v>6</v>
      </c>
      <c r="R192" s="191">
        <v>8</v>
      </c>
      <c r="S192" s="191">
        <v>15</v>
      </c>
      <c r="T192" s="191">
        <v>5</v>
      </c>
      <c r="U192" s="191">
        <v>7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31</v>
      </c>
      <c r="L193" s="192" t="s">
        <v>82</v>
      </c>
      <c r="M193" s="192" t="s">
        <v>94</v>
      </c>
      <c r="N193" s="192" t="s">
        <v>30</v>
      </c>
      <c r="O193" s="192" t="s">
        <v>30</v>
      </c>
      <c r="Q193" s="191">
        <v>7</v>
      </c>
      <c r="R193" s="191">
        <v>16</v>
      </c>
      <c r="S193" s="191">
        <v>17</v>
      </c>
      <c r="T193" s="191">
        <v>10</v>
      </c>
      <c r="U193" s="191">
        <v>10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95</v>
      </c>
      <c r="L194" s="192" t="s">
        <v>31</v>
      </c>
      <c r="M194" s="192" t="s">
        <v>82</v>
      </c>
      <c r="N194" s="192" t="s">
        <v>14</v>
      </c>
      <c r="O194" s="192" t="s">
        <v>95</v>
      </c>
      <c r="Q194" s="191">
        <v>6</v>
      </c>
      <c r="R194" s="191">
        <v>7</v>
      </c>
      <c r="S194" s="191">
        <v>16</v>
      </c>
      <c r="T194" s="191">
        <v>1</v>
      </c>
      <c r="U194" s="191">
        <v>6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29</v>
      </c>
      <c r="L195" s="192" t="s">
        <v>29</v>
      </c>
      <c r="M195" s="192" t="s">
        <v>85</v>
      </c>
      <c r="N195" s="192" t="s">
        <v>12</v>
      </c>
      <c r="O195" s="192" t="s">
        <v>13</v>
      </c>
      <c r="Q195" s="191">
        <v>8</v>
      </c>
      <c r="R195" s="191">
        <v>8</v>
      </c>
      <c r="S195" s="191">
        <v>18</v>
      </c>
      <c r="T195" s="191">
        <v>4</v>
      </c>
      <c r="U195" s="191">
        <v>5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31</v>
      </c>
      <c r="L196" s="192" t="s">
        <v>28</v>
      </c>
      <c r="M196" s="192" t="s">
        <v>96</v>
      </c>
      <c r="N196" s="192" t="s">
        <v>81</v>
      </c>
      <c r="O196" s="192" t="s">
        <v>31</v>
      </c>
      <c r="Q196" s="191">
        <v>7</v>
      </c>
      <c r="R196" s="191">
        <v>9</v>
      </c>
      <c r="S196" s="191">
        <v>15</v>
      </c>
      <c r="T196" s="191">
        <v>14</v>
      </c>
      <c r="U196" s="191">
        <v>7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95</v>
      </c>
      <c r="L197" s="192" t="s">
        <v>29</v>
      </c>
      <c r="M197" s="192" t="s">
        <v>81</v>
      </c>
      <c r="N197" s="192" t="s">
        <v>31</v>
      </c>
      <c r="O197" s="192" t="s">
        <v>13</v>
      </c>
      <c r="Q197" s="191">
        <v>6</v>
      </c>
      <c r="R197" s="191">
        <v>8</v>
      </c>
      <c r="S197" s="191">
        <v>14</v>
      </c>
      <c r="T197" s="191">
        <v>7</v>
      </c>
      <c r="U197" s="191">
        <v>5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28</v>
      </c>
      <c r="L198" s="192" t="s">
        <v>13</v>
      </c>
      <c r="M198" s="192" t="s">
        <v>82</v>
      </c>
      <c r="N198" s="192" t="s">
        <v>80</v>
      </c>
      <c r="O198" s="192" t="s">
        <v>29</v>
      </c>
      <c r="Q198" s="191">
        <v>9</v>
      </c>
      <c r="R198" s="191">
        <v>5</v>
      </c>
      <c r="S198" s="191">
        <v>16</v>
      </c>
      <c r="T198" s="191">
        <v>13</v>
      </c>
      <c r="U198" s="191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12</v>
      </c>
      <c r="L199" s="192" t="s">
        <v>12</v>
      </c>
      <c r="M199" s="192" t="s">
        <v>81</v>
      </c>
      <c r="N199" s="192" t="s">
        <v>13</v>
      </c>
      <c r="O199" s="192" t="s">
        <v>31</v>
      </c>
      <c r="Q199" s="191">
        <v>4</v>
      </c>
      <c r="R199" s="191">
        <v>4</v>
      </c>
      <c r="S199" s="191">
        <v>14</v>
      </c>
      <c r="T199" s="191">
        <v>5</v>
      </c>
      <c r="U199" s="191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16</v>
      </c>
      <c r="M200" s="192" t="s">
        <v>96</v>
      </c>
      <c r="N200" s="192" t="s">
        <v>82</v>
      </c>
      <c r="O200" s="192" t="s">
        <v>95</v>
      </c>
      <c r="Q200" s="191">
        <v>6</v>
      </c>
      <c r="R200" s="191">
        <v>3</v>
      </c>
      <c r="S200" s="191">
        <v>15</v>
      </c>
      <c r="T200" s="191">
        <v>16</v>
      </c>
      <c r="U200" s="191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29</v>
      </c>
      <c r="M201" s="192" t="s">
        <v>87</v>
      </c>
      <c r="N201" s="192" t="s">
        <v>13</v>
      </c>
      <c r="O201" s="192" t="s">
        <v>31</v>
      </c>
      <c r="Q201" s="191">
        <v>5</v>
      </c>
      <c r="R201" s="191">
        <v>8</v>
      </c>
      <c r="S201" s="191">
        <v>19</v>
      </c>
      <c r="T201" s="191">
        <v>5</v>
      </c>
      <c r="U201" s="191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29</v>
      </c>
      <c r="L202" s="192" t="s">
        <v>95</v>
      </c>
      <c r="M202" s="192" t="s">
        <v>82</v>
      </c>
      <c r="N202" s="192" t="s">
        <v>82</v>
      </c>
      <c r="O202" s="192" t="s">
        <v>13</v>
      </c>
      <c r="Q202" s="191">
        <v>8</v>
      </c>
      <c r="R202" s="191">
        <v>6</v>
      </c>
      <c r="S202" s="191">
        <v>16</v>
      </c>
      <c r="T202" s="191">
        <v>16</v>
      </c>
      <c r="U202" s="191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12</v>
      </c>
      <c r="L203" s="192" t="s">
        <v>29</v>
      </c>
      <c r="M203" s="192" t="s">
        <v>94</v>
      </c>
      <c r="N203" s="192" t="s">
        <v>31</v>
      </c>
      <c r="O203" s="192" t="s">
        <v>31</v>
      </c>
      <c r="Q203" s="191">
        <v>4</v>
      </c>
      <c r="R203" s="191">
        <v>8</v>
      </c>
      <c r="S203" s="191">
        <v>17</v>
      </c>
      <c r="T203" s="191">
        <v>7</v>
      </c>
      <c r="U203" s="191">
        <v>7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72" priority="24">
      <formula>_xlfn.LET(_xlpm.x, W4, AND(NOT(_xlfn.ISFORMULA(_xlpm.x)), _xlpm.x&lt;&gt;""))</formula>
    </cfRule>
  </conditionalFormatting>
  <conditionalFormatting sqref="W4:AA203">
    <cfRule type="expression" dxfId="71" priority="23">
      <formula>_xlfn.LET(_xlpm.x, W4, AND(NOT(_xlfn.ISFORMULA(_xlpm.x)), _xlpm.x&lt;&gt;""))</formula>
    </cfRule>
  </conditionalFormatting>
  <conditionalFormatting sqref="D52:D54">
    <cfRule type="cellIs" dxfId="70" priority="14" operator="equal">
      <formula>"C1"</formula>
    </cfRule>
    <cfRule type="cellIs" dxfId="69" priority="15" operator="between">
      <formula>"G1"</formula>
      <formula>"G4"</formula>
    </cfRule>
    <cfRule type="cellIs" dxfId="68" priority="16" operator="between">
      <formula>"GA"</formula>
      <formula>"GQ"</formula>
    </cfRule>
    <cfRule type="cellIs" dxfId="67" priority="17" operator="between">
      <formula>"M1"</formula>
      <formula>"M4"</formula>
    </cfRule>
  </conditionalFormatting>
  <conditionalFormatting sqref="E52:E54">
    <cfRule type="cellIs" dxfId="66" priority="10" operator="equal">
      <formula>"C1"</formula>
    </cfRule>
    <cfRule type="cellIs" dxfId="65" priority="11" operator="between">
      <formula>"G1"</formula>
      <formula>"G4"</formula>
    </cfRule>
    <cfRule type="cellIs" dxfId="64" priority="12" operator="between">
      <formula>"GA"</formula>
      <formula>"GQ"</formula>
    </cfRule>
    <cfRule type="cellIs" dxfId="63" priority="13" operator="between">
      <formula>"M1"</formula>
      <formula>"M4"</formula>
    </cfRule>
  </conditionalFormatting>
  <conditionalFormatting sqref="F52:F54">
    <cfRule type="cellIs" dxfId="62" priority="6" operator="equal">
      <formula>"C1"</formula>
    </cfRule>
    <cfRule type="cellIs" dxfId="61" priority="7" operator="between">
      <formula>"G1"</formula>
      <formula>"G4"</formula>
    </cfRule>
    <cfRule type="cellIs" dxfId="60" priority="8" operator="between">
      <formula>"GA"</formula>
      <formula>"GQ"</formula>
    </cfRule>
    <cfRule type="cellIs" dxfId="59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K1:O1048576">
    <cfRule type="cellIs" dxfId="58" priority="1" operator="equal">
      <formula>"C1"</formula>
    </cfRule>
    <cfRule type="cellIs" dxfId="57" priority="2" operator="between">
      <formula>"G1"</formula>
      <formula>"G5"</formula>
    </cfRule>
    <cfRule type="cellIs" dxfId="5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A375984F-872E-4C40-AFBF-7DAE5B26C57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28</v>
      </c>
      <c r="L4" s="24" t="s">
        <v>95</v>
      </c>
      <c r="M4" s="24" t="s">
        <v>96</v>
      </c>
      <c r="N4" s="24" t="s">
        <v>29</v>
      </c>
      <c r="O4" s="24" t="s">
        <v>15</v>
      </c>
      <c r="Q4" s="23">
        <v>9</v>
      </c>
      <c r="R4" s="23">
        <v>6</v>
      </c>
      <c r="S4" s="23">
        <v>15</v>
      </c>
      <c r="T4" s="23">
        <v>8</v>
      </c>
      <c r="U4" s="23">
        <v>2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5</v>
      </c>
      <c r="D5" s="199">
        <v>5</v>
      </c>
      <c r="E5" s="199">
        <v>0</v>
      </c>
      <c r="F5" s="199">
        <v>8</v>
      </c>
      <c r="G5" s="199">
        <v>8</v>
      </c>
      <c r="H5" s="197">
        <v>1</v>
      </c>
      <c r="I5" s="82"/>
      <c r="J5" s="191">
        <v>1</v>
      </c>
      <c r="K5" s="192" t="s">
        <v>95</v>
      </c>
      <c r="L5" s="192" t="s">
        <v>15</v>
      </c>
      <c r="M5" s="192" t="s">
        <v>81</v>
      </c>
      <c r="N5" s="192" t="s">
        <v>28</v>
      </c>
      <c r="O5" s="192" t="s">
        <v>30</v>
      </c>
      <c r="Q5" s="191">
        <v>6</v>
      </c>
      <c r="R5" s="191">
        <v>2</v>
      </c>
      <c r="S5" s="191">
        <v>14</v>
      </c>
      <c r="T5" s="191">
        <v>9</v>
      </c>
      <c r="U5" s="191">
        <v>10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13</v>
      </c>
      <c r="L6" s="192" t="s">
        <v>95</v>
      </c>
      <c r="M6" s="192" t="s">
        <v>96</v>
      </c>
      <c r="N6" s="192" t="s">
        <v>29</v>
      </c>
      <c r="O6" s="192" t="s">
        <v>95</v>
      </c>
      <c r="Q6" s="191">
        <v>5</v>
      </c>
      <c r="R6" s="191">
        <v>6</v>
      </c>
      <c r="S6" s="191">
        <v>15</v>
      </c>
      <c r="T6" s="191">
        <v>8</v>
      </c>
      <c r="U6" s="191">
        <v>6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13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29</v>
      </c>
      <c r="L7" s="24" t="s">
        <v>16</v>
      </c>
      <c r="M7" s="192" t="s">
        <v>82</v>
      </c>
      <c r="N7" s="192" t="s">
        <v>30</v>
      </c>
      <c r="O7" s="192" t="s">
        <v>15</v>
      </c>
      <c r="Q7" s="191">
        <v>8</v>
      </c>
      <c r="R7" s="191">
        <v>3</v>
      </c>
      <c r="S7" s="191">
        <v>16</v>
      </c>
      <c r="T7" s="191">
        <v>10</v>
      </c>
      <c r="U7" s="191">
        <v>2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14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95</v>
      </c>
      <c r="L8" s="192" t="s">
        <v>31</v>
      </c>
      <c r="M8" s="192" t="s">
        <v>94</v>
      </c>
      <c r="N8" s="192" t="s">
        <v>13</v>
      </c>
      <c r="O8" s="192" t="s">
        <v>31</v>
      </c>
      <c r="Q8" s="191">
        <v>6</v>
      </c>
      <c r="R8" s="191">
        <v>7</v>
      </c>
      <c r="S8" s="191">
        <v>17</v>
      </c>
      <c r="T8" s="191">
        <v>5</v>
      </c>
      <c r="U8" s="191">
        <v>7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42</v>
      </c>
      <c r="D9" s="198">
        <v>25</v>
      </c>
      <c r="E9" s="198">
        <v>0</v>
      </c>
      <c r="F9" s="198">
        <v>33</v>
      </c>
      <c r="G9" s="198">
        <v>34</v>
      </c>
      <c r="H9" s="132">
        <v>5</v>
      </c>
      <c r="I9" s="82"/>
      <c r="J9" s="191">
        <v>5</v>
      </c>
      <c r="K9" s="192" t="s">
        <v>13</v>
      </c>
      <c r="L9" s="192" t="s">
        <v>28</v>
      </c>
      <c r="M9" s="192" t="s">
        <v>79</v>
      </c>
      <c r="N9" s="192" t="s">
        <v>96</v>
      </c>
      <c r="O9" s="192" t="s">
        <v>12</v>
      </c>
      <c r="Q9" s="191">
        <v>5</v>
      </c>
      <c r="R9" s="191">
        <v>9</v>
      </c>
      <c r="S9" s="191">
        <v>12</v>
      </c>
      <c r="T9" s="191">
        <v>15</v>
      </c>
      <c r="U9" s="191">
        <v>4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25</v>
      </c>
      <c r="E10" s="198">
        <v>0</v>
      </c>
      <c r="F10" s="198">
        <v>34</v>
      </c>
      <c r="G10" s="198">
        <v>34</v>
      </c>
      <c r="H10" s="132">
        <v>6</v>
      </c>
      <c r="I10" s="82"/>
      <c r="J10" s="23">
        <v>6</v>
      </c>
      <c r="K10" s="192" t="s">
        <v>31</v>
      </c>
      <c r="L10" s="192" t="s">
        <v>87</v>
      </c>
      <c r="M10" s="192" t="s">
        <v>94</v>
      </c>
      <c r="N10" s="192" t="s">
        <v>31</v>
      </c>
      <c r="O10" s="192" t="s">
        <v>30</v>
      </c>
      <c r="Q10" s="191">
        <v>7</v>
      </c>
      <c r="R10" s="191">
        <v>19</v>
      </c>
      <c r="S10" s="191">
        <v>17</v>
      </c>
      <c r="T10" s="191">
        <v>7</v>
      </c>
      <c r="U10" s="191">
        <v>10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42</v>
      </c>
      <c r="D11" s="198">
        <v>29</v>
      </c>
      <c r="E11" s="198">
        <v>0</v>
      </c>
      <c r="F11" s="198">
        <v>33</v>
      </c>
      <c r="G11" s="198">
        <v>33</v>
      </c>
      <c r="H11" s="132">
        <v>7</v>
      </c>
      <c r="I11" s="82"/>
      <c r="J11" s="191">
        <v>7</v>
      </c>
      <c r="K11" s="192" t="s">
        <v>13</v>
      </c>
      <c r="L11" s="192" t="s">
        <v>13</v>
      </c>
      <c r="M11" s="192" t="s">
        <v>96</v>
      </c>
      <c r="N11" s="192" t="s">
        <v>95</v>
      </c>
      <c r="O11" s="192" t="s">
        <v>31</v>
      </c>
      <c r="Q11" s="191">
        <v>5</v>
      </c>
      <c r="R11" s="191">
        <v>5</v>
      </c>
      <c r="S11" s="191">
        <v>15</v>
      </c>
      <c r="T11" s="191">
        <v>6</v>
      </c>
      <c r="U11" s="191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26</v>
      </c>
      <c r="E12" s="198">
        <v>0</v>
      </c>
      <c r="F12" s="198">
        <v>34</v>
      </c>
      <c r="G12" s="198">
        <v>33</v>
      </c>
      <c r="H12" s="132">
        <v>8</v>
      </c>
      <c r="I12" s="82"/>
      <c r="J12" s="23">
        <v>8</v>
      </c>
      <c r="K12" s="192" t="s">
        <v>95</v>
      </c>
      <c r="L12" s="192" t="s">
        <v>30</v>
      </c>
      <c r="M12" s="192" t="s">
        <v>80</v>
      </c>
      <c r="N12" s="192" t="s">
        <v>30</v>
      </c>
      <c r="O12" s="192" t="s">
        <v>12</v>
      </c>
      <c r="Q12" s="191">
        <v>6</v>
      </c>
      <c r="R12" s="191">
        <v>10</v>
      </c>
      <c r="S12" s="191">
        <v>13</v>
      </c>
      <c r="T12" s="191">
        <v>10</v>
      </c>
      <c r="U12" s="191">
        <v>4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13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15</v>
      </c>
      <c r="L13" s="192" t="s">
        <v>82</v>
      </c>
      <c r="M13" s="192" t="s">
        <v>82</v>
      </c>
      <c r="N13" s="192" t="s">
        <v>95</v>
      </c>
      <c r="O13" s="192" t="s">
        <v>13</v>
      </c>
      <c r="Q13" s="191">
        <v>2</v>
      </c>
      <c r="R13" s="191">
        <v>16</v>
      </c>
      <c r="S13" s="191">
        <v>16</v>
      </c>
      <c r="T13" s="191">
        <v>6</v>
      </c>
      <c r="U13" s="191">
        <v>5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6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13</v>
      </c>
      <c r="L14" s="192" t="s">
        <v>14</v>
      </c>
      <c r="M14" s="192" t="s">
        <v>94</v>
      </c>
      <c r="N14" s="192" t="s">
        <v>13</v>
      </c>
      <c r="O14" s="192" t="s">
        <v>30</v>
      </c>
      <c r="Q14" s="191">
        <v>5</v>
      </c>
      <c r="R14" s="191">
        <v>1</v>
      </c>
      <c r="S14" s="191">
        <v>17</v>
      </c>
      <c r="T14" s="191">
        <v>5</v>
      </c>
      <c r="U14" s="191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16</v>
      </c>
      <c r="M15" s="192" t="s">
        <v>82</v>
      </c>
      <c r="N15" s="192" t="s">
        <v>14</v>
      </c>
      <c r="O15" s="192" t="s">
        <v>13</v>
      </c>
      <c r="Q15" s="191">
        <v>6</v>
      </c>
      <c r="R15" s="191">
        <v>3</v>
      </c>
      <c r="S15" s="191">
        <v>16</v>
      </c>
      <c r="T15" s="191">
        <v>1</v>
      </c>
      <c r="U15" s="191">
        <v>5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2</v>
      </c>
      <c r="E16" s="199">
        <v>6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29</v>
      </c>
      <c r="L16" s="192" t="s">
        <v>95</v>
      </c>
      <c r="M16" s="192" t="s">
        <v>94</v>
      </c>
      <c r="N16" s="192" t="s">
        <v>96</v>
      </c>
      <c r="O16" s="192" t="s">
        <v>28</v>
      </c>
      <c r="Q16" s="191">
        <v>8</v>
      </c>
      <c r="R16" s="191">
        <v>6</v>
      </c>
      <c r="S16" s="191">
        <v>17</v>
      </c>
      <c r="T16" s="191">
        <v>15</v>
      </c>
      <c r="U16" s="191">
        <v>9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2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31</v>
      </c>
      <c r="L17" s="192" t="s">
        <v>29</v>
      </c>
      <c r="M17" s="192" t="s">
        <v>96</v>
      </c>
      <c r="N17" s="192" t="s">
        <v>31</v>
      </c>
      <c r="O17" s="192" t="s">
        <v>13</v>
      </c>
      <c r="Q17" s="191">
        <v>7</v>
      </c>
      <c r="R17" s="191">
        <v>8</v>
      </c>
      <c r="S17" s="191">
        <v>15</v>
      </c>
      <c r="T17" s="191">
        <v>7</v>
      </c>
      <c r="U17" s="191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5</v>
      </c>
      <c r="E18" s="199">
        <v>42</v>
      </c>
      <c r="F18" s="199">
        <v>7</v>
      </c>
      <c r="G18" s="199">
        <v>0</v>
      </c>
      <c r="H18" s="197">
        <v>14</v>
      </c>
      <c r="I18" s="82"/>
      <c r="J18" s="23">
        <v>14</v>
      </c>
      <c r="K18" s="192" t="s">
        <v>28</v>
      </c>
      <c r="L18" s="192" t="s">
        <v>16</v>
      </c>
      <c r="M18" s="192" t="s">
        <v>81</v>
      </c>
      <c r="N18" s="192" t="s">
        <v>96</v>
      </c>
      <c r="O18" s="192" t="s">
        <v>95</v>
      </c>
      <c r="Q18" s="191">
        <v>9</v>
      </c>
      <c r="R18" s="191">
        <v>3</v>
      </c>
      <c r="S18" s="191">
        <v>14</v>
      </c>
      <c r="T18" s="191">
        <v>15</v>
      </c>
      <c r="U18" s="191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5</v>
      </c>
      <c r="E19" s="199">
        <v>42</v>
      </c>
      <c r="F19" s="199">
        <v>6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94</v>
      </c>
      <c r="M19" s="192" t="s">
        <v>94</v>
      </c>
      <c r="N19" s="192" t="s">
        <v>79</v>
      </c>
      <c r="O19" s="192" t="s">
        <v>28</v>
      </c>
      <c r="Q19" s="191">
        <v>7</v>
      </c>
      <c r="R19" s="191">
        <v>17</v>
      </c>
      <c r="S19" s="191">
        <v>17</v>
      </c>
      <c r="T19" s="191">
        <v>12</v>
      </c>
      <c r="U19" s="191">
        <v>9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7</v>
      </c>
      <c r="E20" s="199">
        <v>42</v>
      </c>
      <c r="F20" s="199">
        <v>6</v>
      </c>
      <c r="G20" s="199">
        <v>0</v>
      </c>
      <c r="H20" s="197">
        <v>16</v>
      </c>
      <c r="I20" s="82"/>
      <c r="J20" s="23">
        <v>16</v>
      </c>
      <c r="K20" s="192" t="s">
        <v>13</v>
      </c>
      <c r="L20" s="192" t="s">
        <v>12</v>
      </c>
      <c r="M20" s="192" t="s">
        <v>82</v>
      </c>
      <c r="N20" s="192" t="s">
        <v>95</v>
      </c>
      <c r="O20" s="192" t="s">
        <v>29</v>
      </c>
      <c r="Q20" s="191">
        <v>5</v>
      </c>
      <c r="R20" s="191">
        <v>4</v>
      </c>
      <c r="S20" s="191">
        <v>16</v>
      </c>
      <c r="T20" s="191">
        <v>6</v>
      </c>
      <c r="U20" s="191">
        <v>8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5</v>
      </c>
      <c r="E21" s="199">
        <v>42</v>
      </c>
      <c r="F21" s="199">
        <v>6</v>
      </c>
      <c r="G21" s="199">
        <v>0</v>
      </c>
      <c r="H21" s="197">
        <v>17</v>
      </c>
      <c r="I21" s="82"/>
      <c r="J21" s="191">
        <v>17</v>
      </c>
      <c r="K21" s="192" t="s">
        <v>16</v>
      </c>
      <c r="L21" s="192" t="s">
        <v>30</v>
      </c>
      <c r="M21" s="192" t="s">
        <v>94</v>
      </c>
      <c r="N21" s="192" t="s">
        <v>13</v>
      </c>
      <c r="O21" s="192" t="s">
        <v>15</v>
      </c>
      <c r="Q21" s="191">
        <v>3</v>
      </c>
      <c r="R21" s="191">
        <v>10</v>
      </c>
      <c r="S21" s="191">
        <v>17</v>
      </c>
      <c r="T21" s="191">
        <v>5</v>
      </c>
      <c r="U21" s="191">
        <v>2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2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12</v>
      </c>
      <c r="M22" s="192" t="s">
        <v>81</v>
      </c>
      <c r="N22" s="192" t="s">
        <v>95</v>
      </c>
      <c r="O22" s="192" t="s">
        <v>13</v>
      </c>
      <c r="Q22" s="191">
        <v>8</v>
      </c>
      <c r="R22" s="191">
        <v>4</v>
      </c>
      <c r="S22" s="191">
        <v>14</v>
      </c>
      <c r="T22" s="191">
        <v>6</v>
      </c>
      <c r="U22" s="191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13</v>
      </c>
      <c r="L23" s="192" t="s">
        <v>13</v>
      </c>
      <c r="M23" s="192" t="s">
        <v>80</v>
      </c>
      <c r="N23" s="192" t="s">
        <v>13</v>
      </c>
      <c r="O23" s="192" t="s">
        <v>95</v>
      </c>
      <c r="Q23" s="191">
        <v>5</v>
      </c>
      <c r="R23" s="191">
        <v>5</v>
      </c>
      <c r="S23" s="191">
        <v>13</v>
      </c>
      <c r="T23" s="191">
        <v>5</v>
      </c>
      <c r="U23" s="191">
        <v>6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29</v>
      </c>
      <c r="L24" s="192" t="s">
        <v>31</v>
      </c>
      <c r="M24" s="192" t="s">
        <v>82</v>
      </c>
      <c r="N24" s="192" t="s">
        <v>14</v>
      </c>
      <c r="O24" s="192" t="s">
        <v>30</v>
      </c>
      <c r="Q24" s="191">
        <v>8</v>
      </c>
      <c r="R24" s="191">
        <v>7</v>
      </c>
      <c r="S24" s="191">
        <v>16</v>
      </c>
      <c r="T24" s="191">
        <v>1</v>
      </c>
      <c r="U24" s="191">
        <v>10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13</v>
      </c>
      <c r="L25" s="192" t="s">
        <v>15</v>
      </c>
      <c r="M25" s="192" t="s">
        <v>96</v>
      </c>
      <c r="N25" s="192" t="s">
        <v>31</v>
      </c>
      <c r="O25" s="192" t="s">
        <v>31</v>
      </c>
      <c r="Q25" s="191">
        <v>5</v>
      </c>
      <c r="R25" s="191">
        <v>2</v>
      </c>
      <c r="S25" s="191">
        <v>15</v>
      </c>
      <c r="T25" s="191">
        <v>7</v>
      </c>
      <c r="U25" s="191">
        <v>7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0.84</v>
      </c>
      <c r="E26" s="154">
        <v>0</v>
      </c>
      <c r="F26" s="154">
        <v>0.84</v>
      </c>
      <c r="G26" s="5">
        <v>1</v>
      </c>
      <c r="I26" s="82"/>
      <c r="J26" s="23">
        <v>22</v>
      </c>
      <c r="K26" s="192" t="s">
        <v>95</v>
      </c>
      <c r="L26" s="192" t="s">
        <v>30</v>
      </c>
      <c r="M26" s="192" t="s">
        <v>78</v>
      </c>
      <c r="N26" s="192" t="s">
        <v>95</v>
      </c>
      <c r="O26" s="192" t="s">
        <v>95</v>
      </c>
      <c r="Q26" s="191">
        <v>6</v>
      </c>
      <c r="R26" s="191">
        <v>10</v>
      </c>
      <c r="S26" s="191">
        <v>11</v>
      </c>
      <c r="T26" s="191">
        <v>6</v>
      </c>
      <c r="U26" s="191">
        <v>6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316</v>
      </c>
      <c r="C27" s="5">
        <v>0</v>
      </c>
      <c r="D27" s="154">
        <v>0.16</v>
      </c>
      <c r="E27" s="154">
        <v>1</v>
      </c>
      <c r="F27" s="154">
        <v>0.16</v>
      </c>
      <c r="G27" s="5">
        <v>0</v>
      </c>
      <c r="I27" s="82"/>
      <c r="J27" s="191">
        <v>23</v>
      </c>
      <c r="K27" s="192" t="s">
        <v>13</v>
      </c>
      <c r="L27" s="192" t="s">
        <v>13</v>
      </c>
      <c r="M27" s="192" t="s">
        <v>96</v>
      </c>
      <c r="N27" s="192" t="s">
        <v>29</v>
      </c>
      <c r="O27" s="192" t="s">
        <v>14</v>
      </c>
      <c r="Q27" s="191">
        <v>5</v>
      </c>
      <c r="R27" s="191">
        <v>5</v>
      </c>
      <c r="S27" s="191">
        <v>15</v>
      </c>
      <c r="T27" s="191">
        <v>8</v>
      </c>
      <c r="U27" s="191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12</v>
      </c>
      <c r="L28" s="192" t="s">
        <v>16</v>
      </c>
      <c r="M28" s="192" t="s">
        <v>81</v>
      </c>
      <c r="N28" s="192" t="s">
        <v>12</v>
      </c>
      <c r="O28" s="192" t="s">
        <v>31</v>
      </c>
      <c r="Q28" s="191">
        <v>4</v>
      </c>
      <c r="R28" s="191">
        <v>3</v>
      </c>
      <c r="S28" s="191">
        <v>14</v>
      </c>
      <c r="T28" s="191">
        <v>4</v>
      </c>
      <c r="U28" s="191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31</v>
      </c>
      <c r="L29" s="192" t="s">
        <v>29</v>
      </c>
      <c r="M29" s="192" t="s">
        <v>96</v>
      </c>
      <c r="N29" s="192" t="s">
        <v>31</v>
      </c>
      <c r="O29" s="192" t="s">
        <v>13</v>
      </c>
      <c r="Q29" s="191">
        <v>7</v>
      </c>
      <c r="R29" s="191">
        <v>8</v>
      </c>
      <c r="S29" s="191">
        <v>15</v>
      </c>
      <c r="T29" s="191">
        <v>7</v>
      </c>
      <c r="U29" s="191">
        <v>5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13</v>
      </c>
      <c r="L30" s="192" t="s">
        <v>82</v>
      </c>
      <c r="M30" s="192" t="s">
        <v>82</v>
      </c>
      <c r="N30" s="192" t="s">
        <v>95</v>
      </c>
      <c r="O30" s="192" t="s">
        <v>29</v>
      </c>
      <c r="Q30" s="191">
        <v>5</v>
      </c>
      <c r="R30" s="191">
        <v>16</v>
      </c>
      <c r="S30" s="191">
        <v>16</v>
      </c>
      <c r="T30" s="191">
        <v>6</v>
      </c>
      <c r="U30" s="191">
        <v>8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31</v>
      </c>
      <c r="L31" s="192" t="s">
        <v>15</v>
      </c>
      <c r="M31" s="192" t="s">
        <v>81</v>
      </c>
      <c r="N31" s="192" t="s">
        <v>29</v>
      </c>
      <c r="O31" s="192" t="s">
        <v>12</v>
      </c>
      <c r="Q31" s="191">
        <v>7</v>
      </c>
      <c r="R31" s="191">
        <v>2</v>
      </c>
      <c r="S31" s="191">
        <v>14</v>
      </c>
      <c r="T31" s="191">
        <v>8</v>
      </c>
      <c r="U31" s="191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13</v>
      </c>
      <c r="L32" s="192" t="s">
        <v>31</v>
      </c>
      <c r="M32" s="192" t="s">
        <v>80</v>
      </c>
      <c r="N32" s="192" t="s">
        <v>95</v>
      </c>
      <c r="O32" s="192" t="s">
        <v>31</v>
      </c>
      <c r="Q32" s="191">
        <v>5</v>
      </c>
      <c r="R32" s="191">
        <v>7</v>
      </c>
      <c r="S32" s="191">
        <v>13</v>
      </c>
      <c r="T32" s="191">
        <v>6</v>
      </c>
      <c r="U32" s="191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95</v>
      </c>
      <c r="L33" s="192" t="s">
        <v>29</v>
      </c>
      <c r="M33" s="192" t="s">
        <v>82</v>
      </c>
      <c r="N33" s="192" t="s">
        <v>85</v>
      </c>
      <c r="O33" s="192" t="s">
        <v>13</v>
      </c>
      <c r="Q33" s="191">
        <v>6</v>
      </c>
      <c r="R33" s="191">
        <v>8</v>
      </c>
      <c r="S33" s="191">
        <v>16</v>
      </c>
      <c r="T33" s="191">
        <v>18</v>
      </c>
      <c r="U33" s="191">
        <v>5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13</v>
      </c>
      <c r="L34" s="192" t="s">
        <v>15</v>
      </c>
      <c r="M34" s="192" t="s">
        <v>81</v>
      </c>
      <c r="N34" s="192" t="s">
        <v>13</v>
      </c>
      <c r="O34" s="192" t="s">
        <v>31</v>
      </c>
      <c r="Q34" s="191">
        <v>5</v>
      </c>
      <c r="R34" s="191">
        <v>2</v>
      </c>
      <c r="S34" s="191">
        <v>14</v>
      </c>
      <c r="T34" s="191">
        <v>5</v>
      </c>
      <c r="U34" s="191">
        <v>7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95</v>
      </c>
      <c r="L35" s="192" t="s">
        <v>82</v>
      </c>
      <c r="M35" s="192" t="s">
        <v>85</v>
      </c>
      <c r="N35" s="192" t="s">
        <v>81</v>
      </c>
      <c r="O35" s="192" t="s">
        <v>16</v>
      </c>
      <c r="Q35" s="191">
        <v>6</v>
      </c>
      <c r="R35" s="191">
        <v>16</v>
      </c>
      <c r="S35" s="191">
        <v>18</v>
      </c>
      <c r="T35" s="191">
        <v>14</v>
      </c>
      <c r="U35" s="191">
        <v>3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14</v>
      </c>
      <c r="L36" s="192" t="s">
        <v>13</v>
      </c>
      <c r="M36" s="192" t="s">
        <v>81</v>
      </c>
      <c r="N36" s="192" t="s">
        <v>28</v>
      </c>
      <c r="O36" s="192" t="s">
        <v>95</v>
      </c>
      <c r="Q36" s="191">
        <v>1</v>
      </c>
      <c r="R36" s="191">
        <v>5</v>
      </c>
      <c r="S36" s="191">
        <v>14</v>
      </c>
      <c r="T36" s="191">
        <v>9</v>
      </c>
      <c r="U36" s="191">
        <v>6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29</v>
      </c>
      <c r="L37" s="192" t="s">
        <v>29</v>
      </c>
      <c r="M37" s="192" t="s">
        <v>94</v>
      </c>
      <c r="N37" s="192" t="s">
        <v>13</v>
      </c>
      <c r="O37" s="192" t="s">
        <v>12</v>
      </c>
      <c r="Q37" s="191">
        <v>8</v>
      </c>
      <c r="R37" s="191">
        <v>8</v>
      </c>
      <c r="S37" s="191">
        <v>17</v>
      </c>
      <c r="T37" s="191">
        <v>5</v>
      </c>
      <c r="U37" s="191">
        <v>4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13</v>
      </c>
      <c r="L38" s="192" t="s">
        <v>13</v>
      </c>
      <c r="M38" s="192" t="s">
        <v>81</v>
      </c>
      <c r="N38" s="192" t="s">
        <v>78</v>
      </c>
      <c r="O38" s="192" t="s">
        <v>29</v>
      </c>
      <c r="Q38" s="191">
        <v>5</v>
      </c>
      <c r="R38" s="191">
        <v>5</v>
      </c>
      <c r="S38" s="191">
        <v>14</v>
      </c>
      <c r="T38" s="191">
        <v>11</v>
      </c>
      <c r="U38" s="191">
        <v>8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29</v>
      </c>
      <c r="L39" s="192" t="s">
        <v>31</v>
      </c>
      <c r="M39" s="192" t="s">
        <v>82</v>
      </c>
      <c r="N39" s="192" t="s">
        <v>29</v>
      </c>
      <c r="O39" s="192" t="s">
        <v>15</v>
      </c>
      <c r="Q39" s="191">
        <v>8</v>
      </c>
      <c r="R39" s="191">
        <v>7</v>
      </c>
      <c r="S39" s="191">
        <v>16</v>
      </c>
      <c r="T39" s="191">
        <v>8</v>
      </c>
      <c r="U39" s="191">
        <v>2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31</v>
      </c>
      <c r="L40" s="192" t="s">
        <v>29</v>
      </c>
      <c r="M40" s="192" t="s">
        <v>79</v>
      </c>
      <c r="N40" s="192" t="s">
        <v>95</v>
      </c>
      <c r="O40" s="192" t="s">
        <v>29</v>
      </c>
      <c r="Q40" s="191">
        <v>7</v>
      </c>
      <c r="R40" s="191">
        <v>8</v>
      </c>
      <c r="S40" s="191">
        <v>12</v>
      </c>
      <c r="T40" s="191">
        <v>6</v>
      </c>
      <c r="U40" s="191">
        <v>8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13</v>
      </c>
      <c r="L41" s="192" t="s">
        <v>16</v>
      </c>
      <c r="M41" s="192" t="s">
        <v>81</v>
      </c>
      <c r="N41" s="192" t="s">
        <v>29</v>
      </c>
      <c r="O41" s="192" t="s">
        <v>13</v>
      </c>
      <c r="Q41" s="191">
        <v>5</v>
      </c>
      <c r="R41" s="191">
        <v>3</v>
      </c>
      <c r="S41" s="191">
        <v>14</v>
      </c>
      <c r="T41" s="191">
        <v>8</v>
      </c>
      <c r="U41" s="191">
        <v>5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16</v>
      </c>
      <c r="L42" s="192" t="s">
        <v>12</v>
      </c>
      <c r="M42" s="192" t="s">
        <v>82</v>
      </c>
      <c r="N42" s="192" t="s">
        <v>12</v>
      </c>
      <c r="O42" s="192" t="s">
        <v>31</v>
      </c>
      <c r="Q42" s="191">
        <v>3</v>
      </c>
      <c r="R42" s="191">
        <v>4</v>
      </c>
      <c r="S42" s="191">
        <v>16</v>
      </c>
      <c r="T42" s="191">
        <v>4</v>
      </c>
      <c r="U42" s="191">
        <v>7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29</v>
      </c>
      <c r="L43" s="192" t="s">
        <v>29</v>
      </c>
      <c r="M43" s="192" t="s">
        <v>87</v>
      </c>
      <c r="N43" s="192" t="s">
        <v>30</v>
      </c>
      <c r="O43" s="192" t="s">
        <v>13</v>
      </c>
      <c r="Q43" s="191">
        <v>8</v>
      </c>
      <c r="R43" s="191">
        <v>8</v>
      </c>
      <c r="S43" s="191">
        <v>19</v>
      </c>
      <c r="T43" s="191">
        <v>10</v>
      </c>
      <c r="U43" s="191">
        <v>5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13</v>
      </c>
      <c r="L44" s="192" t="s">
        <v>13</v>
      </c>
      <c r="M44" s="192" t="s">
        <v>94</v>
      </c>
      <c r="N44" s="192" t="s">
        <v>31</v>
      </c>
      <c r="O44" s="192" t="s">
        <v>29</v>
      </c>
      <c r="Q44" s="191">
        <v>5</v>
      </c>
      <c r="R44" s="191">
        <v>5</v>
      </c>
      <c r="S44" s="191">
        <v>17</v>
      </c>
      <c r="T44" s="191">
        <v>7</v>
      </c>
      <c r="U44" s="191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29</v>
      </c>
      <c r="L45" s="192" t="s">
        <v>29</v>
      </c>
      <c r="M45" s="192" t="s">
        <v>87</v>
      </c>
      <c r="N45" s="192" t="s">
        <v>12</v>
      </c>
      <c r="O45" s="192" t="s">
        <v>13</v>
      </c>
      <c r="Q45" s="191">
        <v>8</v>
      </c>
      <c r="R45" s="191">
        <v>8</v>
      </c>
      <c r="S45" s="191">
        <v>19</v>
      </c>
      <c r="T45" s="191">
        <v>4</v>
      </c>
      <c r="U45" s="191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13</v>
      </c>
      <c r="L46" s="192" t="s">
        <v>95</v>
      </c>
      <c r="M46" s="192" t="s">
        <v>81</v>
      </c>
      <c r="N46" s="192" t="s">
        <v>29</v>
      </c>
      <c r="O46" s="192" t="s">
        <v>31</v>
      </c>
      <c r="Q46" s="191">
        <v>5</v>
      </c>
      <c r="R46" s="191">
        <v>6</v>
      </c>
      <c r="S46" s="191">
        <v>14</v>
      </c>
      <c r="T46" s="191">
        <v>8</v>
      </c>
      <c r="U46" s="191">
        <v>7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12</v>
      </c>
      <c r="L47" s="192" t="s">
        <v>29</v>
      </c>
      <c r="M47" s="192" t="s">
        <v>94</v>
      </c>
      <c r="N47" s="192" t="s">
        <v>31</v>
      </c>
      <c r="O47" s="192" t="s">
        <v>95</v>
      </c>
      <c r="Q47" s="191">
        <v>4</v>
      </c>
      <c r="R47" s="191">
        <v>8</v>
      </c>
      <c r="S47" s="191">
        <v>17</v>
      </c>
      <c r="T47" s="191">
        <v>7</v>
      </c>
      <c r="U47" s="191">
        <v>6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31</v>
      </c>
      <c r="L48" s="192" t="s">
        <v>31</v>
      </c>
      <c r="M48" s="192" t="s">
        <v>81</v>
      </c>
      <c r="N48" s="192" t="s">
        <v>95</v>
      </c>
      <c r="O48" s="192" t="s">
        <v>12</v>
      </c>
      <c r="Q48" s="191">
        <v>7</v>
      </c>
      <c r="R48" s="191">
        <v>7</v>
      </c>
      <c r="S48" s="191">
        <v>14</v>
      </c>
      <c r="T48" s="191">
        <v>6</v>
      </c>
      <c r="U48" s="191">
        <v>4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95</v>
      </c>
      <c r="L49" s="192" t="s">
        <v>81</v>
      </c>
      <c r="M49" s="192" t="s">
        <v>94</v>
      </c>
      <c r="N49" s="192" t="s">
        <v>82</v>
      </c>
      <c r="O49" s="192" t="s">
        <v>13</v>
      </c>
      <c r="Q49" s="191">
        <v>6</v>
      </c>
      <c r="R49" s="191">
        <v>14</v>
      </c>
      <c r="S49" s="191">
        <v>17</v>
      </c>
      <c r="T49" s="191">
        <v>16</v>
      </c>
      <c r="U49" s="191">
        <v>5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13</v>
      </c>
      <c r="L50" s="192" t="s">
        <v>31</v>
      </c>
      <c r="M50" s="192" t="s">
        <v>81</v>
      </c>
      <c r="N50" s="192" t="s">
        <v>31</v>
      </c>
      <c r="O50" s="192" t="s">
        <v>14</v>
      </c>
      <c r="Q50" s="191">
        <v>5</v>
      </c>
      <c r="R50" s="191">
        <v>7</v>
      </c>
      <c r="S50" s="191">
        <v>14</v>
      </c>
      <c r="T50" s="191">
        <v>7</v>
      </c>
      <c r="U50" s="191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31</v>
      </c>
      <c r="L51" s="192" t="s">
        <v>28</v>
      </c>
      <c r="M51" s="192" t="s">
        <v>85</v>
      </c>
      <c r="N51" s="192" t="s">
        <v>95</v>
      </c>
      <c r="O51" s="192" t="s">
        <v>13</v>
      </c>
      <c r="Q51" s="191">
        <v>7</v>
      </c>
      <c r="R51" s="191">
        <v>9</v>
      </c>
      <c r="S51" s="191">
        <v>18</v>
      </c>
      <c r="T51" s="191">
        <v>6</v>
      </c>
      <c r="U51" s="191">
        <v>5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28</v>
      </c>
      <c r="L52" s="192" t="s">
        <v>29</v>
      </c>
      <c r="M52" s="192" t="s">
        <v>94</v>
      </c>
      <c r="N52" s="192" t="s">
        <v>29</v>
      </c>
      <c r="O52" s="192" t="s">
        <v>31</v>
      </c>
      <c r="Q52" s="191">
        <v>9</v>
      </c>
      <c r="R52" s="191">
        <v>8</v>
      </c>
      <c r="S52" s="191">
        <v>17</v>
      </c>
      <c r="T52" s="191">
        <v>8</v>
      </c>
      <c r="U52" s="191">
        <v>7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29</v>
      </c>
      <c r="L53" s="192" t="s">
        <v>79</v>
      </c>
      <c r="M53" s="192" t="s">
        <v>96</v>
      </c>
      <c r="N53" s="192" t="s">
        <v>31</v>
      </c>
      <c r="O53" s="192" t="s">
        <v>15</v>
      </c>
      <c r="Q53" s="191">
        <v>8</v>
      </c>
      <c r="R53" s="191">
        <v>12</v>
      </c>
      <c r="S53" s="191">
        <v>15</v>
      </c>
      <c r="T53" s="191">
        <v>7</v>
      </c>
      <c r="U53" s="191">
        <v>2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95</v>
      </c>
      <c r="L54" s="192" t="s">
        <v>13</v>
      </c>
      <c r="M54" s="192" t="s">
        <v>78</v>
      </c>
      <c r="N54" s="192" t="s">
        <v>14</v>
      </c>
      <c r="O54" s="192" t="s">
        <v>12</v>
      </c>
      <c r="Q54" s="191">
        <v>6</v>
      </c>
      <c r="R54" s="191">
        <v>5</v>
      </c>
      <c r="S54" s="191">
        <v>11</v>
      </c>
      <c r="T54" s="191">
        <v>1</v>
      </c>
      <c r="U54" s="191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29</v>
      </c>
      <c r="L55" s="192" t="s">
        <v>95</v>
      </c>
      <c r="M55" s="192" t="s">
        <v>81</v>
      </c>
      <c r="N55" s="192" t="s">
        <v>29</v>
      </c>
      <c r="O55" s="192" t="s">
        <v>16</v>
      </c>
      <c r="Q55" s="191">
        <v>8</v>
      </c>
      <c r="R55" s="191">
        <v>6</v>
      </c>
      <c r="S55" s="191">
        <v>14</v>
      </c>
      <c r="T55" s="191">
        <v>8</v>
      </c>
      <c r="U55" s="191">
        <v>3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95</v>
      </c>
      <c r="L56" s="192" t="s">
        <v>15</v>
      </c>
      <c r="M56" s="192" t="s">
        <v>82</v>
      </c>
      <c r="N56" s="192" t="s">
        <v>13</v>
      </c>
      <c r="O56" s="192" t="s">
        <v>30</v>
      </c>
      <c r="Q56" s="191">
        <v>6</v>
      </c>
      <c r="R56" s="191">
        <v>2</v>
      </c>
      <c r="S56" s="191">
        <v>16</v>
      </c>
      <c r="T56" s="191">
        <v>5</v>
      </c>
      <c r="U56" s="191">
        <v>10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14</v>
      </c>
      <c r="L57" s="192" t="s">
        <v>31</v>
      </c>
      <c r="M57" s="192" t="s">
        <v>81</v>
      </c>
      <c r="N57" s="192" t="s">
        <v>95</v>
      </c>
      <c r="O57" s="192" t="s">
        <v>95</v>
      </c>
      <c r="Q57" s="191">
        <v>1</v>
      </c>
      <c r="R57" s="191">
        <v>7</v>
      </c>
      <c r="S57" s="191">
        <v>14</v>
      </c>
      <c r="T57" s="191">
        <v>6</v>
      </c>
      <c r="U57" s="191">
        <v>6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95</v>
      </c>
      <c r="L58" s="192" t="s">
        <v>30</v>
      </c>
      <c r="M58" s="192" t="s">
        <v>96</v>
      </c>
      <c r="N58" s="192" t="s">
        <v>12</v>
      </c>
      <c r="O58" s="192" t="s">
        <v>16</v>
      </c>
      <c r="Q58" s="191">
        <v>6</v>
      </c>
      <c r="R58" s="191">
        <v>10</v>
      </c>
      <c r="S58" s="191">
        <v>15</v>
      </c>
      <c r="T58" s="191">
        <v>4</v>
      </c>
      <c r="U58" s="191">
        <v>3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85</v>
      </c>
      <c r="N59" s="192" t="s">
        <v>81</v>
      </c>
      <c r="O59" s="192" t="s">
        <v>15</v>
      </c>
      <c r="Q59" s="191">
        <v>7</v>
      </c>
      <c r="R59" s="191">
        <v>4</v>
      </c>
      <c r="S59" s="191">
        <v>18</v>
      </c>
      <c r="T59" s="191">
        <v>14</v>
      </c>
      <c r="U59" s="191">
        <v>2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95</v>
      </c>
      <c r="L60" s="192" t="s">
        <v>96</v>
      </c>
      <c r="M60" s="192" t="s">
        <v>82</v>
      </c>
      <c r="N60" s="192" t="s">
        <v>31</v>
      </c>
      <c r="O60" s="192" t="s">
        <v>31</v>
      </c>
      <c r="Q60" s="191">
        <v>6</v>
      </c>
      <c r="R60" s="191">
        <v>15</v>
      </c>
      <c r="S60" s="191">
        <v>16</v>
      </c>
      <c r="T60" s="191">
        <v>7</v>
      </c>
      <c r="U60" s="191">
        <v>7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13</v>
      </c>
      <c r="L61" s="192" t="s">
        <v>13</v>
      </c>
      <c r="M61" s="192" t="s">
        <v>96</v>
      </c>
      <c r="N61" s="192" t="s">
        <v>95</v>
      </c>
      <c r="O61" s="192" t="s">
        <v>29</v>
      </c>
      <c r="Q61" s="191">
        <v>5</v>
      </c>
      <c r="R61" s="191">
        <v>5</v>
      </c>
      <c r="S61" s="191">
        <v>15</v>
      </c>
      <c r="T61" s="191">
        <v>6</v>
      </c>
      <c r="U61" s="191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29</v>
      </c>
      <c r="M62" s="192" t="s">
        <v>94</v>
      </c>
      <c r="N62" s="192" t="s">
        <v>13</v>
      </c>
      <c r="O62" s="192" t="s">
        <v>31</v>
      </c>
      <c r="Q62" s="191">
        <v>6</v>
      </c>
      <c r="R62" s="191">
        <v>8</v>
      </c>
      <c r="S62" s="191">
        <v>17</v>
      </c>
      <c r="T62" s="191">
        <v>5</v>
      </c>
      <c r="U62" s="191">
        <v>7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31</v>
      </c>
      <c r="L63" s="192" t="s">
        <v>12</v>
      </c>
      <c r="M63" s="192" t="s">
        <v>81</v>
      </c>
      <c r="N63" s="192" t="s">
        <v>29</v>
      </c>
      <c r="O63" s="192" t="s">
        <v>29</v>
      </c>
      <c r="Q63" s="191">
        <v>7</v>
      </c>
      <c r="R63" s="191">
        <v>4</v>
      </c>
      <c r="S63" s="191">
        <v>14</v>
      </c>
      <c r="T63" s="191">
        <v>8</v>
      </c>
      <c r="U63" s="191">
        <v>8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29</v>
      </c>
      <c r="L64" s="192" t="s">
        <v>29</v>
      </c>
      <c r="M64" s="192" t="s">
        <v>96</v>
      </c>
      <c r="N64" s="192" t="s">
        <v>82</v>
      </c>
      <c r="O64" s="192" t="s">
        <v>13</v>
      </c>
      <c r="Q64" s="191">
        <v>8</v>
      </c>
      <c r="R64" s="191">
        <v>8</v>
      </c>
      <c r="S64" s="191">
        <v>15</v>
      </c>
      <c r="T64" s="191">
        <v>16</v>
      </c>
      <c r="U64" s="191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31</v>
      </c>
      <c r="L65" s="192" t="s">
        <v>82</v>
      </c>
      <c r="M65" s="192" t="s">
        <v>81</v>
      </c>
      <c r="N65" s="192" t="s">
        <v>16</v>
      </c>
      <c r="O65" s="192" t="s">
        <v>14</v>
      </c>
      <c r="Q65" s="191">
        <v>7</v>
      </c>
      <c r="R65" s="191">
        <v>16</v>
      </c>
      <c r="S65" s="191">
        <v>14</v>
      </c>
      <c r="T65" s="191">
        <v>3</v>
      </c>
      <c r="U65" s="191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13</v>
      </c>
      <c r="M66" s="192" t="s">
        <v>96</v>
      </c>
      <c r="N66" s="192" t="s">
        <v>31</v>
      </c>
      <c r="O66" s="192" t="s">
        <v>95</v>
      </c>
      <c r="Q66" s="191">
        <v>8</v>
      </c>
      <c r="R66" s="191">
        <v>5</v>
      </c>
      <c r="S66" s="191">
        <v>15</v>
      </c>
      <c r="T66" s="191">
        <v>7</v>
      </c>
      <c r="U66" s="191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14</v>
      </c>
      <c r="M67" s="192" t="s">
        <v>82</v>
      </c>
      <c r="N67" s="192" t="s">
        <v>13</v>
      </c>
      <c r="O67" s="192" t="s">
        <v>31</v>
      </c>
      <c r="Q67" s="191">
        <v>7</v>
      </c>
      <c r="R67" s="191">
        <v>1</v>
      </c>
      <c r="S67" s="191">
        <v>16</v>
      </c>
      <c r="T67" s="191">
        <v>5</v>
      </c>
      <c r="U67" s="191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12</v>
      </c>
      <c r="L68" s="192" t="s">
        <v>28</v>
      </c>
      <c r="M68" s="192" t="s">
        <v>96</v>
      </c>
      <c r="N68" s="192" t="s">
        <v>31</v>
      </c>
      <c r="O68" s="192" t="s">
        <v>95</v>
      </c>
      <c r="Q68" s="191">
        <v>4</v>
      </c>
      <c r="R68" s="191">
        <v>9</v>
      </c>
      <c r="S68" s="191">
        <v>15</v>
      </c>
      <c r="T68" s="191">
        <v>7</v>
      </c>
      <c r="U68" s="191">
        <v>6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13</v>
      </c>
      <c r="L69" s="192" t="s">
        <v>12</v>
      </c>
      <c r="M69" s="192" t="s">
        <v>81</v>
      </c>
      <c r="N69" s="192" t="s">
        <v>13</v>
      </c>
      <c r="O69" s="192" t="s">
        <v>31</v>
      </c>
      <c r="Q69" s="191">
        <v>5</v>
      </c>
      <c r="R69" s="191">
        <v>4</v>
      </c>
      <c r="S69" s="191">
        <v>14</v>
      </c>
      <c r="T69" s="191">
        <v>5</v>
      </c>
      <c r="U69" s="191">
        <v>7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95</v>
      </c>
      <c r="L70" s="192" t="s">
        <v>15</v>
      </c>
      <c r="M70" s="192" t="s">
        <v>94</v>
      </c>
      <c r="N70" s="192" t="s">
        <v>81</v>
      </c>
      <c r="O70" s="192" t="s">
        <v>95</v>
      </c>
      <c r="Q70" s="191">
        <v>6</v>
      </c>
      <c r="R70" s="191">
        <v>2</v>
      </c>
      <c r="S70" s="191">
        <v>17</v>
      </c>
      <c r="T70" s="191">
        <v>14</v>
      </c>
      <c r="U70" s="191">
        <v>6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13</v>
      </c>
      <c r="M71" s="192" t="s">
        <v>80</v>
      </c>
      <c r="N71" s="192" t="s">
        <v>31</v>
      </c>
      <c r="O71" s="192" t="s">
        <v>29</v>
      </c>
      <c r="Q71" s="191">
        <v>10</v>
      </c>
      <c r="R71" s="191">
        <v>5</v>
      </c>
      <c r="S71" s="191">
        <v>13</v>
      </c>
      <c r="T71" s="191">
        <v>7</v>
      </c>
      <c r="U71" s="191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29</v>
      </c>
      <c r="L72" s="192" t="s">
        <v>29</v>
      </c>
      <c r="M72" s="192" t="s">
        <v>96</v>
      </c>
      <c r="N72" s="192" t="s">
        <v>95</v>
      </c>
      <c r="O72" s="192" t="s">
        <v>95</v>
      </c>
      <c r="Q72" s="191">
        <v>8</v>
      </c>
      <c r="R72" s="191">
        <v>8</v>
      </c>
      <c r="S72" s="191">
        <v>15</v>
      </c>
      <c r="T72" s="191">
        <v>6</v>
      </c>
      <c r="U72" s="191">
        <v>6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13</v>
      </c>
      <c r="L73" s="192" t="s">
        <v>96</v>
      </c>
      <c r="M73" s="192" t="s">
        <v>94</v>
      </c>
      <c r="N73" s="192" t="s">
        <v>13</v>
      </c>
      <c r="O73" s="192" t="s">
        <v>28</v>
      </c>
      <c r="Q73" s="191">
        <v>5</v>
      </c>
      <c r="R73" s="191">
        <v>15</v>
      </c>
      <c r="S73" s="191">
        <v>17</v>
      </c>
      <c r="T73" s="191">
        <v>5</v>
      </c>
      <c r="U73" s="191">
        <v>9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16</v>
      </c>
      <c r="L74" s="192" t="s">
        <v>15</v>
      </c>
      <c r="M74" s="192" t="s">
        <v>82</v>
      </c>
      <c r="N74" s="192" t="s">
        <v>29</v>
      </c>
      <c r="O74" s="192" t="s">
        <v>95</v>
      </c>
      <c r="Q74" s="191">
        <v>3</v>
      </c>
      <c r="R74" s="191">
        <v>2</v>
      </c>
      <c r="S74" s="191">
        <v>16</v>
      </c>
      <c r="T74" s="191">
        <v>8</v>
      </c>
      <c r="U74" s="191">
        <v>6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29</v>
      </c>
      <c r="L75" s="192" t="s">
        <v>31</v>
      </c>
      <c r="M75" s="192" t="s">
        <v>94</v>
      </c>
      <c r="N75" s="192" t="s">
        <v>95</v>
      </c>
      <c r="O75" s="192" t="s">
        <v>13</v>
      </c>
      <c r="Q75" s="191">
        <v>8</v>
      </c>
      <c r="R75" s="191">
        <v>7</v>
      </c>
      <c r="S75" s="191">
        <v>17</v>
      </c>
      <c r="T75" s="191">
        <v>6</v>
      </c>
      <c r="U75" s="191">
        <v>5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95</v>
      </c>
      <c r="L76" s="192" t="s">
        <v>95</v>
      </c>
      <c r="M76" s="192" t="s">
        <v>81</v>
      </c>
      <c r="N76" s="192" t="s">
        <v>29</v>
      </c>
      <c r="O76" s="192" t="s">
        <v>16</v>
      </c>
      <c r="Q76" s="191">
        <v>6</v>
      </c>
      <c r="R76" s="191">
        <v>6</v>
      </c>
      <c r="S76" s="191">
        <v>14</v>
      </c>
      <c r="T76" s="191">
        <v>8</v>
      </c>
      <c r="U76" s="191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31</v>
      </c>
      <c r="L77" s="192" t="s">
        <v>16</v>
      </c>
      <c r="M77" s="192" t="s">
        <v>96</v>
      </c>
      <c r="N77" s="192" t="s">
        <v>95</v>
      </c>
      <c r="O77" s="192" t="s">
        <v>95</v>
      </c>
      <c r="Q77" s="191">
        <v>7</v>
      </c>
      <c r="R77" s="191">
        <v>3</v>
      </c>
      <c r="S77" s="191">
        <v>15</v>
      </c>
      <c r="T77" s="191">
        <v>6</v>
      </c>
      <c r="U77" s="191">
        <v>6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29</v>
      </c>
      <c r="L78" s="192" t="s">
        <v>29</v>
      </c>
      <c r="M78" s="192" t="s">
        <v>81</v>
      </c>
      <c r="N78" s="192" t="s">
        <v>13</v>
      </c>
      <c r="O78" s="192" t="s">
        <v>29</v>
      </c>
      <c r="Q78" s="191">
        <v>8</v>
      </c>
      <c r="R78" s="191">
        <v>8</v>
      </c>
      <c r="S78" s="191">
        <v>14</v>
      </c>
      <c r="T78" s="191">
        <v>5</v>
      </c>
      <c r="U78" s="191">
        <v>8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13</v>
      </c>
      <c r="L79" s="192" t="s">
        <v>13</v>
      </c>
      <c r="M79" s="192" t="s">
        <v>96</v>
      </c>
      <c r="N79" s="192" t="s">
        <v>29</v>
      </c>
      <c r="O79" s="192" t="s">
        <v>13</v>
      </c>
      <c r="Q79" s="191">
        <v>5</v>
      </c>
      <c r="R79" s="191">
        <v>5</v>
      </c>
      <c r="S79" s="191">
        <v>15</v>
      </c>
      <c r="T79" s="191">
        <v>8</v>
      </c>
      <c r="U79" s="191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28</v>
      </c>
      <c r="M80" s="192" t="s">
        <v>81</v>
      </c>
      <c r="N80" s="192" t="s">
        <v>28</v>
      </c>
      <c r="O80" s="192" t="s">
        <v>30</v>
      </c>
      <c r="Q80" s="191">
        <v>8</v>
      </c>
      <c r="R80" s="191">
        <v>9</v>
      </c>
      <c r="S80" s="191">
        <v>14</v>
      </c>
      <c r="T80" s="191">
        <v>9</v>
      </c>
      <c r="U80" s="191">
        <v>10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95</v>
      </c>
      <c r="L81" s="192" t="s">
        <v>95</v>
      </c>
      <c r="M81" s="192" t="s">
        <v>96</v>
      </c>
      <c r="N81" s="192" t="s">
        <v>13</v>
      </c>
      <c r="O81" s="192" t="s">
        <v>29</v>
      </c>
      <c r="Q81" s="191">
        <v>6</v>
      </c>
      <c r="R81" s="191">
        <v>6</v>
      </c>
      <c r="S81" s="191">
        <v>15</v>
      </c>
      <c r="T81" s="191">
        <v>5</v>
      </c>
      <c r="U81" s="191">
        <v>8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29</v>
      </c>
      <c r="L82" s="192" t="s">
        <v>16</v>
      </c>
      <c r="M82" s="192" t="s">
        <v>81</v>
      </c>
      <c r="N82" s="192" t="s">
        <v>29</v>
      </c>
      <c r="O82" s="192" t="s">
        <v>95</v>
      </c>
      <c r="Q82" s="191">
        <v>8</v>
      </c>
      <c r="R82" s="191">
        <v>3</v>
      </c>
      <c r="S82" s="191">
        <v>14</v>
      </c>
      <c r="T82" s="191">
        <v>8</v>
      </c>
      <c r="U82" s="191">
        <v>6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14</v>
      </c>
      <c r="M83" s="192" t="s">
        <v>80</v>
      </c>
      <c r="N83" s="192" t="s">
        <v>13</v>
      </c>
      <c r="O83" s="192" t="s">
        <v>13</v>
      </c>
      <c r="Q83" s="191">
        <v>6</v>
      </c>
      <c r="R83" s="191">
        <v>1</v>
      </c>
      <c r="S83" s="191">
        <v>13</v>
      </c>
      <c r="T83" s="191">
        <v>5</v>
      </c>
      <c r="U83" s="191">
        <v>5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12</v>
      </c>
      <c r="L84" s="192" t="s">
        <v>95</v>
      </c>
      <c r="M84" s="192" t="s">
        <v>81</v>
      </c>
      <c r="N84" s="192" t="s">
        <v>29</v>
      </c>
      <c r="O84" s="192" t="s">
        <v>31</v>
      </c>
      <c r="Q84" s="191">
        <v>4</v>
      </c>
      <c r="R84" s="191">
        <v>6</v>
      </c>
      <c r="S84" s="191">
        <v>14</v>
      </c>
      <c r="T84" s="191">
        <v>8</v>
      </c>
      <c r="U84" s="191">
        <v>7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29</v>
      </c>
      <c r="M85" s="192" t="s">
        <v>85</v>
      </c>
      <c r="N85" s="192" t="s">
        <v>14</v>
      </c>
      <c r="O85" s="192" t="s">
        <v>30</v>
      </c>
      <c r="Q85" s="191">
        <v>5</v>
      </c>
      <c r="R85" s="191">
        <v>8</v>
      </c>
      <c r="S85" s="191">
        <v>18</v>
      </c>
      <c r="T85" s="191">
        <v>1</v>
      </c>
      <c r="U85" s="191">
        <v>10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28</v>
      </c>
      <c r="M86" s="192" t="s">
        <v>82</v>
      </c>
      <c r="N86" s="192" t="s">
        <v>95</v>
      </c>
      <c r="O86" s="192" t="s">
        <v>31</v>
      </c>
      <c r="Q86" s="191">
        <v>8</v>
      </c>
      <c r="R86" s="191">
        <v>9</v>
      </c>
      <c r="S86" s="191">
        <v>16</v>
      </c>
      <c r="T86" s="191">
        <v>6</v>
      </c>
      <c r="U86" s="191">
        <v>7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30</v>
      </c>
      <c r="L87" s="192" t="s">
        <v>81</v>
      </c>
      <c r="M87" s="192" t="s">
        <v>96</v>
      </c>
      <c r="N87" s="192" t="s">
        <v>16</v>
      </c>
      <c r="O87" s="192" t="s">
        <v>13</v>
      </c>
      <c r="Q87" s="191">
        <v>10</v>
      </c>
      <c r="R87" s="191">
        <v>14</v>
      </c>
      <c r="S87" s="191">
        <v>15</v>
      </c>
      <c r="T87" s="191">
        <v>3</v>
      </c>
      <c r="U87" s="191">
        <v>5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30</v>
      </c>
      <c r="M88" s="192" t="s">
        <v>94</v>
      </c>
      <c r="N88" s="192" t="s">
        <v>31</v>
      </c>
      <c r="O88" s="192" t="s">
        <v>28</v>
      </c>
      <c r="Q88" s="191">
        <v>6</v>
      </c>
      <c r="R88" s="191">
        <v>10</v>
      </c>
      <c r="S88" s="191">
        <v>17</v>
      </c>
      <c r="T88" s="191">
        <v>7</v>
      </c>
      <c r="U88" s="191">
        <v>9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31</v>
      </c>
      <c r="L89" s="192" t="s">
        <v>85</v>
      </c>
      <c r="M89" s="192" t="s">
        <v>82</v>
      </c>
      <c r="N89" s="192" t="s">
        <v>95</v>
      </c>
      <c r="O89" s="192" t="s">
        <v>13</v>
      </c>
      <c r="Q89" s="191">
        <v>7</v>
      </c>
      <c r="R89" s="191">
        <v>18</v>
      </c>
      <c r="S89" s="191">
        <v>16</v>
      </c>
      <c r="T89" s="191">
        <v>6</v>
      </c>
      <c r="U89" s="191">
        <v>5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95</v>
      </c>
      <c r="L90" s="192" t="s">
        <v>15</v>
      </c>
      <c r="M90" s="192" t="s">
        <v>96</v>
      </c>
      <c r="N90" s="192" t="s">
        <v>13</v>
      </c>
      <c r="O90" s="192" t="s">
        <v>28</v>
      </c>
      <c r="Q90" s="191">
        <v>6</v>
      </c>
      <c r="R90" s="191">
        <v>2</v>
      </c>
      <c r="S90" s="191">
        <v>15</v>
      </c>
      <c r="T90" s="191">
        <v>5</v>
      </c>
      <c r="U90" s="191">
        <v>9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30</v>
      </c>
      <c r="L91" s="192" t="s">
        <v>80</v>
      </c>
      <c r="M91" s="192" t="s">
        <v>79</v>
      </c>
      <c r="N91" s="192" t="s">
        <v>31</v>
      </c>
      <c r="O91" s="192" t="s">
        <v>30</v>
      </c>
      <c r="Q91" s="191">
        <v>10</v>
      </c>
      <c r="R91" s="191">
        <v>13</v>
      </c>
      <c r="S91" s="191">
        <v>12</v>
      </c>
      <c r="T91" s="191">
        <v>7</v>
      </c>
      <c r="U91" s="191">
        <v>10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28</v>
      </c>
      <c r="L92" s="192" t="s">
        <v>31</v>
      </c>
      <c r="M92" s="192" t="s">
        <v>87</v>
      </c>
      <c r="N92" s="192" t="s">
        <v>95</v>
      </c>
      <c r="O92" s="192" t="s">
        <v>28</v>
      </c>
      <c r="Q92" s="191">
        <v>9</v>
      </c>
      <c r="R92" s="191">
        <v>7</v>
      </c>
      <c r="S92" s="191">
        <v>19</v>
      </c>
      <c r="T92" s="191">
        <v>6</v>
      </c>
      <c r="U92" s="191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29</v>
      </c>
      <c r="L93" s="192" t="s">
        <v>28</v>
      </c>
      <c r="M93" s="192" t="s">
        <v>96</v>
      </c>
      <c r="N93" s="192" t="s">
        <v>94</v>
      </c>
      <c r="O93" s="192" t="s">
        <v>16</v>
      </c>
      <c r="Q93" s="191">
        <v>8</v>
      </c>
      <c r="R93" s="191">
        <v>9</v>
      </c>
      <c r="S93" s="191">
        <v>15</v>
      </c>
      <c r="T93" s="191">
        <v>17</v>
      </c>
      <c r="U93" s="191">
        <v>3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13</v>
      </c>
      <c r="L94" s="192" t="s">
        <v>95</v>
      </c>
      <c r="M94" s="192" t="s">
        <v>94</v>
      </c>
      <c r="N94" s="192" t="s">
        <v>29</v>
      </c>
      <c r="O94" s="192" t="s">
        <v>15</v>
      </c>
      <c r="Q94" s="191">
        <v>5</v>
      </c>
      <c r="R94" s="191">
        <v>6</v>
      </c>
      <c r="S94" s="191">
        <v>17</v>
      </c>
      <c r="T94" s="191">
        <v>8</v>
      </c>
      <c r="U94" s="191">
        <v>2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31</v>
      </c>
      <c r="L95" s="192" t="s">
        <v>82</v>
      </c>
      <c r="M95" s="192" t="s">
        <v>82</v>
      </c>
      <c r="N95" s="192" t="s">
        <v>80</v>
      </c>
      <c r="O95" s="192" t="s">
        <v>30</v>
      </c>
      <c r="Q95" s="191">
        <v>7</v>
      </c>
      <c r="R95" s="191">
        <v>16</v>
      </c>
      <c r="S95" s="191">
        <v>16</v>
      </c>
      <c r="T95" s="191">
        <v>13</v>
      </c>
      <c r="U95" s="191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13</v>
      </c>
      <c r="L96" s="192" t="s">
        <v>13</v>
      </c>
      <c r="M96" s="192" t="s">
        <v>81</v>
      </c>
      <c r="N96" s="192" t="s">
        <v>13</v>
      </c>
      <c r="O96" s="192" t="s">
        <v>29</v>
      </c>
      <c r="Q96" s="191">
        <v>5</v>
      </c>
      <c r="R96" s="191">
        <v>5</v>
      </c>
      <c r="S96" s="191">
        <v>14</v>
      </c>
      <c r="T96" s="191">
        <v>5</v>
      </c>
      <c r="U96" s="191">
        <v>8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95</v>
      </c>
      <c r="L97" s="192" t="s">
        <v>30</v>
      </c>
      <c r="M97" s="192" t="s">
        <v>96</v>
      </c>
      <c r="N97" s="192" t="s">
        <v>81</v>
      </c>
      <c r="O97" s="192" t="s">
        <v>14</v>
      </c>
      <c r="Q97" s="191">
        <v>6</v>
      </c>
      <c r="R97" s="191">
        <v>10</v>
      </c>
      <c r="S97" s="191">
        <v>15</v>
      </c>
      <c r="T97" s="191">
        <v>14</v>
      </c>
      <c r="U97" s="191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31</v>
      </c>
      <c r="L98" s="192" t="s">
        <v>95</v>
      </c>
      <c r="M98" s="192" t="s">
        <v>94</v>
      </c>
      <c r="N98" s="192" t="s">
        <v>29</v>
      </c>
      <c r="O98" s="192" t="s">
        <v>31</v>
      </c>
      <c r="Q98" s="191">
        <v>7</v>
      </c>
      <c r="R98" s="191">
        <v>6</v>
      </c>
      <c r="S98" s="191">
        <v>17</v>
      </c>
      <c r="T98" s="191">
        <v>8</v>
      </c>
      <c r="U98" s="191">
        <v>7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29</v>
      </c>
      <c r="L99" s="192" t="s">
        <v>31</v>
      </c>
      <c r="M99" s="192" t="s">
        <v>81</v>
      </c>
      <c r="N99" s="192" t="s">
        <v>13</v>
      </c>
      <c r="O99" s="192" t="s">
        <v>95</v>
      </c>
      <c r="Q99" s="191">
        <v>8</v>
      </c>
      <c r="R99" s="191">
        <v>7</v>
      </c>
      <c r="S99" s="191">
        <v>14</v>
      </c>
      <c r="T99" s="191">
        <v>5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14</v>
      </c>
      <c r="L100" s="192" t="s">
        <v>29</v>
      </c>
      <c r="M100" s="192" t="s">
        <v>94</v>
      </c>
      <c r="N100" s="192" t="s">
        <v>31</v>
      </c>
      <c r="O100" s="192" t="s">
        <v>12</v>
      </c>
      <c r="Q100" s="191">
        <v>1</v>
      </c>
      <c r="R100" s="191">
        <v>8</v>
      </c>
      <c r="S100" s="191">
        <v>17</v>
      </c>
      <c r="T100" s="191">
        <v>7</v>
      </c>
      <c r="U100" s="191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95</v>
      </c>
      <c r="L101" s="192" t="s">
        <v>95</v>
      </c>
      <c r="M101" s="192" t="s">
        <v>82</v>
      </c>
      <c r="N101" s="192" t="s">
        <v>13</v>
      </c>
      <c r="O101" s="192" t="s">
        <v>29</v>
      </c>
      <c r="Q101" s="191">
        <v>6</v>
      </c>
      <c r="R101" s="191">
        <v>6</v>
      </c>
      <c r="S101" s="191">
        <v>16</v>
      </c>
      <c r="T101" s="191">
        <v>5</v>
      </c>
      <c r="U101" s="191">
        <v>8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29</v>
      </c>
      <c r="L102" s="192" t="s">
        <v>28</v>
      </c>
      <c r="M102" s="192" t="s">
        <v>81</v>
      </c>
      <c r="N102" s="192" t="s">
        <v>87</v>
      </c>
      <c r="O102" s="192" t="s">
        <v>28</v>
      </c>
      <c r="Q102" s="191">
        <v>8</v>
      </c>
      <c r="R102" s="191">
        <v>9</v>
      </c>
      <c r="S102" s="191">
        <v>14</v>
      </c>
      <c r="T102" s="191">
        <v>19</v>
      </c>
      <c r="U102" s="191">
        <v>9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13</v>
      </c>
      <c r="L103" s="192" t="s">
        <v>95</v>
      </c>
      <c r="M103" s="192" t="s">
        <v>79</v>
      </c>
      <c r="N103" s="192" t="s">
        <v>29</v>
      </c>
      <c r="O103" s="192" t="s">
        <v>29</v>
      </c>
      <c r="Q103" s="191">
        <v>5</v>
      </c>
      <c r="R103" s="191">
        <v>6</v>
      </c>
      <c r="S103" s="191">
        <v>12</v>
      </c>
      <c r="T103" s="191">
        <v>8</v>
      </c>
      <c r="U103" s="191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29</v>
      </c>
      <c r="L104" s="192" t="s">
        <v>94</v>
      </c>
      <c r="M104" s="192" t="s">
        <v>82</v>
      </c>
      <c r="N104" s="192" t="s">
        <v>96</v>
      </c>
      <c r="O104" s="192" t="s">
        <v>13</v>
      </c>
      <c r="Q104" s="191">
        <v>8</v>
      </c>
      <c r="R104" s="191">
        <v>17</v>
      </c>
      <c r="S104" s="191">
        <v>16</v>
      </c>
      <c r="T104" s="191">
        <v>15</v>
      </c>
      <c r="U104" s="191">
        <v>5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14</v>
      </c>
      <c r="M105" s="192" t="s">
        <v>94</v>
      </c>
      <c r="N105" s="192" t="s">
        <v>13</v>
      </c>
      <c r="O105" s="192" t="s">
        <v>95</v>
      </c>
      <c r="Q105" s="191">
        <v>6</v>
      </c>
      <c r="R105" s="191">
        <v>1</v>
      </c>
      <c r="S105" s="191">
        <v>17</v>
      </c>
      <c r="T105" s="191">
        <v>5</v>
      </c>
      <c r="U105" s="191">
        <v>6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31</v>
      </c>
      <c r="L106" s="192" t="s">
        <v>29</v>
      </c>
      <c r="M106" s="192" t="s">
        <v>96</v>
      </c>
      <c r="N106" s="192" t="s">
        <v>29</v>
      </c>
      <c r="O106" s="192" t="s">
        <v>13</v>
      </c>
      <c r="Q106" s="191">
        <v>7</v>
      </c>
      <c r="R106" s="191">
        <v>8</v>
      </c>
      <c r="S106" s="191">
        <v>15</v>
      </c>
      <c r="T106" s="191">
        <v>8</v>
      </c>
      <c r="U106" s="191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30</v>
      </c>
      <c r="L107" s="192" t="s">
        <v>31</v>
      </c>
      <c r="M107" s="192" t="s">
        <v>81</v>
      </c>
      <c r="N107" s="192" t="s">
        <v>94</v>
      </c>
      <c r="O107" s="192" t="s">
        <v>31</v>
      </c>
      <c r="Q107" s="191">
        <v>10</v>
      </c>
      <c r="R107" s="191">
        <v>7</v>
      </c>
      <c r="S107" s="191">
        <v>14</v>
      </c>
      <c r="T107" s="191">
        <v>17</v>
      </c>
      <c r="U107" s="191">
        <v>7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28</v>
      </c>
      <c r="L108" s="192" t="s">
        <v>95</v>
      </c>
      <c r="M108" s="192" t="s">
        <v>82</v>
      </c>
      <c r="N108" s="192" t="s">
        <v>31</v>
      </c>
      <c r="O108" s="192" t="s">
        <v>95</v>
      </c>
      <c r="Q108" s="191">
        <v>9</v>
      </c>
      <c r="R108" s="191">
        <v>6</v>
      </c>
      <c r="S108" s="191">
        <v>16</v>
      </c>
      <c r="T108" s="191">
        <v>7</v>
      </c>
      <c r="U108" s="191">
        <v>6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13</v>
      </c>
      <c r="L109" s="192" t="s">
        <v>78</v>
      </c>
      <c r="M109" s="192" t="s">
        <v>81</v>
      </c>
      <c r="N109" s="192" t="s">
        <v>30</v>
      </c>
      <c r="O109" s="192" t="s">
        <v>12</v>
      </c>
      <c r="Q109" s="191">
        <v>5</v>
      </c>
      <c r="R109" s="191">
        <v>11</v>
      </c>
      <c r="S109" s="191">
        <v>14</v>
      </c>
      <c r="T109" s="191">
        <v>10</v>
      </c>
      <c r="U109" s="191">
        <v>4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95</v>
      </c>
      <c r="L110" s="192" t="s">
        <v>96</v>
      </c>
      <c r="M110" s="192" t="s">
        <v>94</v>
      </c>
      <c r="N110" s="192" t="s">
        <v>14</v>
      </c>
      <c r="O110" s="192" t="s">
        <v>16</v>
      </c>
      <c r="Q110" s="191">
        <v>6</v>
      </c>
      <c r="R110" s="191">
        <v>15</v>
      </c>
      <c r="S110" s="191">
        <v>17</v>
      </c>
      <c r="T110" s="191">
        <v>1</v>
      </c>
      <c r="U110" s="191">
        <v>3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29</v>
      </c>
      <c r="M111" s="192" t="s">
        <v>81</v>
      </c>
      <c r="N111" s="192" t="s">
        <v>15</v>
      </c>
      <c r="O111" s="192" t="s">
        <v>29</v>
      </c>
      <c r="Q111" s="191">
        <v>8</v>
      </c>
      <c r="R111" s="191">
        <v>8</v>
      </c>
      <c r="S111" s="191">
        <v>14</v>
      </c>
      <c r="T111" s="191">
        <v>2</v>
      </c>
      <c r="U111" s="191">
        <v>8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95</v>
      </c>
      <c r="L112" s="192" t="s">
        <v>94</v>
      </c>
      <c r="M112" s="192" t="s">
        <v>94</v>
      </c>
      <c r="N112" s="192" t="s">
        <v>13</v>
      </c>
      <c r="O112" s="192" t="s">
        <v>13</v>
      </c>
      <c r="Q112" s="191">
        <v>6</v>
      </c>
      <c r="R112" s="191">
        <v>17</v>
      </c>
      <c r="S112" s="191">
        <v>17</v>
      </c>
      <c r="T112" s="191">
        <v>5</v>
      </c>
      <c r="U112" s="191">
        <v>5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29</v>
      </c>
      <c r="L113" s="192" t="s">
        <v>12</v>
      </c>
      <c r="M113" s="192" t="s">
        <v>81</v>
      </c>
      <c r="N113" s="192" t="s">
        <v>96</v>
      </c>
      <c r="O113" s="192" t="s">
        <v>29</v>
      </c>
      <c r="Q113" s="191">
        <v>8</v>
      </c>
      <c r="R113" s="191">
        <v>4</v>
      </c>
      <c r="S113" s="191">
        <v>14</v>
      </c>
      <c r="T113" s="191">
        <v>15</v>
      </c>
      <c r="U113" s="191">
        <v>8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13</v>
      </c>
      <c r="L114" s="192" t="s">
        <v>31</v>
      </c>
      <c r="M114" s="192" t="s">
        <v>94</v>
      </c>
      <c r="N114" s="192" t="s">
        <v>31</v>
      </c>
      <c r="O114" s="192" t="s">
        <v>28</v>
      </c>
      <c r="Q114" s="191">
        <v>5</v>
      </c>
      <c r="R114" s="191">
        <v>7</v>
      </c>
      <c r="S114" s="191">
        <v>17</v>
      </c>
      <c r="T114" s="191">
        <v>7</v>
      </c>
      <c r="U114" s="191">
        <v>9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31</v>
      </c>
      <c r="L115" s="192" t="s">
        <v>79</v>
      </c>
      <c r="M115" s="192" t="s">
        <v>82</v>
      </c>
      <c r="N115" s="192" t="s">
        <v>15</v>
      </c>
      <c r="O115" s="192" t="s">
        <v>95</v>
      </c>
      <c r="Q115" s="191">
        <v>7</v>
      </c>
      <c r="R115" s="191">
        <v>12</v>
      </c>
      <c r="S115" s="191">
        <v>16</v>
      </c>
      <c r="T115" s="191">
        <v>2</v>
      </c>
      <c r="U115" s="191">
        <v>6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28</v>
      </c>
      <c r="L116" s="192" t="s">
        <v>95</v>
      </c>
      <c r="M116" s="192" t="s">
        <v>81</v>
      </c>
      <c r="N116" s="192" t="s">
        <v>28</v>
      </c>
      <c r="O116" s="192" t="s">
        <v>12</v>
      </c>
      <c r="Q116" s="191">
        <v>9</v>
      </c>
      <c r="R116" s="191">
        <v>6</v>
      </c>
      <c r="S116" s="191">
        <v>14</v>
      </c>
      <c r="T116" s="191">
        <v>9</v>
      </c>
      <c r="U116" s="191">
        <v>4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29</v>
      </c>
      <c r="L117" s="192" t="s">
        <v>16</v>
      </c>
      <c r="M117" s="192" t="s">
        <v>94</v>
      </c>
      <c r="N117" s="192" t="s">
        <v>29</v>
      </c>
      <c r="O117" s="192" t="s">
        <v>13</v>
      </c>
      <c r="Q117" s="191">
        <v>8</v>
      </c>
      <c r="R117" s="191">
        <v>3</v>
      </c>
      <c r="S117" s="191">
        <v>17</v>
      </c>
      <c r="T117" s="191">
        <v>8</v>
      </c>
      <c r="U117" s="191">
        <v>5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31</v>
      </c>
      <c r="L118" s="192" t="s">
        <v>95</v>
      </c>
      <c r="M118" s="192" t="s">
        <v>81</v>
      </c>
      <c r="N118" s="192" t="s">
        <v>31</v>
      </c>
      <c r="O118" s="192" t="s">
        <v>95</v>
      </c>
      <c r="Q118" s="191">
        <v>7</v>
      </c>
      <c r="R118" s="191">
        <v>6</v>
      </c>
      <c r="S118" s="191">
        <v>14</v>
      </c>
      <c r="T118" s="191">
        <v>7</v>
      </c>
      <c r="U118" s="191">
        <v>6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13</v>
      </c>
      <c r="L119" s="192" t="s">
        <v>82</v>
      </c>
      <c r="M119" s="192" t="s">
        <v>96</v>
      </c>
      <c r="N119" s="192" t="s">
        <v>14</v>
      </c>
      <c r="O119" s="192" t="s">
        <v>31</v>
      </c>
      <c r="Q119" s="191">
        <v>5</v>
      </c>
      <c r="R119" s="191">
        <v>16</v>
      </c>
      <c r="S119" s="191">
        <v>15</v>
      </c>
      <c r="T119" s="191">
        <v>1</v>
      </c>
      <c r="U119" s="191">
        <v>7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31</v>
      </c>
      <c r="L120" s="192" t="s">
        <v>31</v>
      </c>
      <c r="M120" s="192" t="s">
        <v>94</v>
      </c>
      <c r="N120" s="192" t="s">
        <v>95</v>
      </c>
      <c r="O120" s="192" t="s">
        <v>30</v>
      </c>
      <c r="Q120" s="191">
        <v>7</v>
      </c>
      <c r="R120" s="191">
        <v>7</v>
      </c>
      <c r="S120" s="191">
        <v>17</v>
      </c>
      <c r="T120" s="191">
        <v>6</v>
      </c>
      <c r="U120" s="191">
        <v>10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95</v>
      </c>
      <c r="L121" s="192" t="s">
        <v>95</v>
      </c>
      <c r="M121" s="192" t="s">
        <v>85</v>
      </c>
      <c r="N121" s="192" t="s">
        <v>12</v>
      </c>
      <c r="O121" s="192" t="s">
        <v>29</v>
      </c>
      <c r="Q121" s="191">
        <v>6</v>
      </c>
      <c r="R121" s="191">
        <v>6</v>
      </c>
      <c r="S121" s="191">
        <v>18</v>
      </c>
      <c r="T121" s="191">
        <v>4</v>
      </c>
      <c r="U121" s="191">
        <v>8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13</v>
      </c>
      <c r="M122" s="192" t="s">
        <v>80</v>
      </c>
      <c r="N122" s="192" t="s">
        <v>13</v>
      </c>
      <c r="O122" s="192" t="s">
        <v>13</v>
      </c>
      <c r="Q122" s="191">
        <v>7</v>
      </c>
      <c r="R122" s="191">
        <v>5</v>
      </c>
      <c r="S122" s="191">
        <v>13</v>
      </c>
      <c r="T122" s="191">
        <v>5</v>
      </c>
      <c r="U122" s="191">
        <v>5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31</v>
      </c>
      <c r="M123" s="192" t="s">
        <v>96</v>
      </c>
      <c r="N123" s="192" t="s">
        <v>31</v>
      </c>
      <c r="O123" s="192" t="s">
        <v>28</v>
      </c>
      <c r="Q123" s="191">
        <v>5</v>
      </c>
      <c r="R123" s="191">
        <v>7</v>
      </c>
      <c r="S123" s="191">
        <v>15</v>
      </c>
      <c r="T123" s="191">
        <v>7</v>
      </c>
      <c r="U123" s="191">
        <v>9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87</v>
      </c>
      <c r="M124" s="192" t="s">
        <v>82</v>
      </c>
      <c r="N124" s="192" t="s">
        <v>13</v>
      </c>
      <c r="O124" s="192" t="s">
        <v>29</v>
      </c>
      <c r="Q124" s="191">
        <v>8</v>
      </c>
      <c r="R124" s="191">
        <v>19</v>
      </c>
      <c r="S124" s="191">
        <v>16</v>
      </c>
      <c r="T124" s="191">
        <v>5</v>
      </c>
      <c r="U124" s="191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95</v>
      </c>
      <c r="L125" s="192" t="s">
        <v>30</v>
      </c>
      <c r="M125" s="192" t="s">
        <v>96</v>
      </c>
      <c r="N125" s="192" t="s">
        <v>31</v>
      </c>
      <c r="O125" s="192" t="s">
        <v>31</v>
      </c>
      <c r="Q125" s="191">
        <v>6</v>
      </c>
      <c r="R125" s="191">
        <v>10</v>
      </c>
      <c r="S125" s="191">
        <v>15</v>
      </c>
      <c r="T125" s="191">
        <v>7</v>
      </c>
      <c r="U125" s="191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81</v>
      </c>
      <c r="M126" s="192" t="s">
        <v>81</v>
      </c>
      <c r="N126" s="192" t="s">
        <v>96</v>
      </c>
      <c r="O126" s="192" t="s">
        <v>95</v>
      </c>
      <c r="Q126" s="191">
        <v>7</v>
      </c>
      <c r="R126" s="191">
        <v>14</v>
      </c>
      <c r="S126" s="191">
        <v>14</v>
      </c>
      <c r="T126" s="191">
        <v>15</v>
      </c>
      <c r="U126" s="191">
        <v>6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95</v>
      </c>
      <c r="M127" s="192" t="s">
        <v>96</v>
      </c>
      <c r="N127" s="192" t="s">
        <v>30</v>
      </c>
      <c r="O127" s="192" t="s">
        <v>29</v>
      </c>
      <c r="Q127" s="191">
        <v>8</v>
      </c>
      <c r="R127" s="191">
        <v>6</v>
      </c>
      <c r="S127" s="191">
        <v>15</v>
      </c>
      <c r="T127" s="191">
        <v>10</v>
      </c>
      <c r="U127" s="191">
        <v>8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31</v>
      </c>
      <c r="M128" s="192" t="s">
        <v>94</v>
      </c>
      <c r="N128" s="192" t="s">
        <v>94</v>
      </c>
      <c r="O128" s="192" t="s">
        <v>15</v>
      </c>
      <c r="Q128" s="191">
        <v>6</v>
      </c>
      <c r="R128" s="191">
        <v>7</v>
      </c>
      <c r="S128" s="191">
        <v>17</v>
      </c>
      <c r="T128" s="191">
        <v>17</v>
      </c>
      <c r="U128" s="191">
        <v>2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13</v>
      </c>
      <c r="L129" s="192" t="s">
        <v>94</v>
      </c>
      <c r="M129" s="192" t="s">
        <v>79</v>
      </c>
      <c r="N129" s="192" t="s">
        <v>82</v>
      </c>
      <c r="O129" s="192" t="s">
        <v>29</v>
      </c>
      <c r="Q129" s="191">
        <v>5</v>
      </c>
      <c r="R129" s="191">
        <v>17</v>
      </c>
      <c r="S129" s="191">
        <v>12</v>
      </c>
      <c r="T129" s="191">
        <v>16</v>
      </c>
      <c r="U129" s="191">
        <v>8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31</v>
      </c>
      <c r="L130" s="192" t="s">
        <v>16</v>
      </c>
      <c r="M130" s="192" t="s">
        <v>87</v>
      </c>
      <c r="N130" s="192" t="s">
        <v>13</v>
      </c>
      <c r="O130" s="192" t="s">
        <v>31</v>
      </c>
      <c r="Q130" s="191">
        <v>7</v>
      </c>
      <c r="R130" s="191">
        <v>3</v>
      </c>
      <c r="S130" s="191">
        <v>19</v>
      </c>
      <c r="T130" s="191">
        <v>5</v>
      </c>
      <c r="U130" s="191">
        <v>7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13</v>
      </c>
      <c r="L131" s="192" t="s">
        <v>31</v>
      </c>
      <c r="M131" s="192" t="s">
        <v>82</v>
      </c>
      <c r="N131" s="192" t="s">
        <v>95</v>
      </c>
      <c r="O131" s="192" t="s">
        <v>28</v>
      </c>
      <c r="Q131" s="191">
        <v>5</v>
      </c>
      <c r="R131" s="191">
        <v>7</v>
      </c>
      <c r="S131" s="191">
        <v>16</v>
      </c>
      <c r="T131" s="191">
        <v>6</v>
      </c>
      <c r="U131" s="191">
        <v>9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31</v>
      </c>
      <c r="L132" s="192" t="s">
        <v>29</v>
      </c>
      <c r="M132" s="192" t="s">
        <v>94</v>
      </c>
      <c r="N132" s="192" t="s">
        <v>13</v>
      </c>
      <c r="O132" s="192" t="s">
        <v>30</v>
      </c>
      <c r="Q132" s="191">
        <v>7</v>
      </c>
      <c r="R132" s="191">
        <v>8</v>
      </c>
      <c r="S132" s="191">
        <v>17</v>
      </c>
      <c r="T132" s="191">
        <v>5</v>
      </c>
      <c r="U132" s="191">
        <v>10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95</v>
      </c>
      <c r="L133" s="192" t="s">
        <v>95</v>
      </c>
      <c r="M133" s="192" t="s">
        <v>96</v>
      </c>
      <c r="N133" s="192" t="s">
        <v>94</v>
      </c>
      <c r="O133" s="192" t="s">
        <v>95</v>
      </c>
      <c r="Q133" s="191">
        <v>6</v>
      </c>
      <c r="R133" s="191">
        <v>6</v>
      </c>
      <c r="S133" s="191">
        <v>15</v>
      </c>
      <c r="T133" s="191">
        <v>17</v>
      </c>
      <c r="U133" s="191">
        <v>6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31</v>
      </c>
      <c r="L134" s="192" t="s">
        <v>16</v>
      </c>
      <c r="M134" s="192" t="s">
        <v>81</v>
      </c>
      <c r="N134" s="192" t="s">
        <v>31</v>
      </c>
      <c r="O134" s="192" t="s">
        <v>31</v>
      </c>
      <c r="Q134" s="191">
        <v>7</v>
      </c>
      <c r="R134" s="191">
        <v>3</v>
      </c>
      <c r="S134" s="191">
        <v>14</v>
      </c>
      <c r="T134" s="191">
        <v>7</v>
      </c>
      <c r="U134" s="191">
        <v>7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28</v>
      </c>
      <c r="M135" s="192" t="s">
        <v>94</v>
      </c>
      <c r="N135" s="192" t="s">
        <v>29</v>
      </c>
      <c r="O135" s="192" t="s">
        <v>13</v>
      </c>
      <c r="Q135" s="191">
        <v>8</v>
      </c>
      <c r="R135" s="191">
        <v>9</v>
      </c>
      <c r="S135" s="191">
        <v>17</v>
      </c>
      <c r="T135" s="191">
        <v>8</v>
      </c>
      <c r="U135" s="191">
        <v>5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95</v>
      </c>
      <c r="L136" s="192" t="s">
        <v>14</v>
      </c>
      <c r="M136" s="192" t="s">
        <v>82</v>
      </c>
      <c r="N136" s="192" t="s">
        <v>31</v>
      </c>
      <c r="O136" s="192" t="s">
        <v>31</v>
      </c>
      <c r="Q136" s="191">
        <v>6</v>
      </c>
      <c r="R136" s="191">
        <v>1</v>
      </c>
      <c r="S136" s="191">
        <v>16</v>
      </c>
      <c r="T136" s="191">
        <v>7</v>
      </c>
      <c r="U136" s="191">
        <v>7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31</v>
      </c>
      <c r="M137" s="192" t="s">
        <v>94</v>
      </c>
      <c r="N137" s="192" t="s">
        <v>29</v>
      </c>
      <c r="O137" s="192" t="s">
        <v>16</v>
      </c>
      <c r="Q137" s="191">
        <v>5</v>
      </c>
      <c r="R137" s="191">
        <v>7</v>
      </c>
      <c r="S137" s="191">
        <v>17</v>
      </c>
      <c r="T137" s="191">
        <v>8</v>
      </c>
      <c r="U137" s="191">
        <v>3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85</v>
      </c>
      <c r="M138" s="192" t="s">
        <v>81</v>
      </c>
      <c r="N138" s="192" t="s">
        <v>31</v>
      </c>
      <c r="O138" s="192" t="s">
        <v>95</v>
      </c>
      <c r="Q138" s="191">
        <v>8</v>
      </c>
      <c r="R138" s="191">
        <v>18</v>
      </c>
      <c r="S138" s="191">
        <v>14</v>
      </c>
      <c r="T138" s="191">
        <v>7</v>
      </c>
      <c r="U138" s="191">
        <v>6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29</v>
      </c>
      <c r="M139" s="192" t="s">
        <v>82</v>
      </c>
      <c r="N139" s="192" t="s">
        <v>29</v>
      </c>
      <c r="O139" s="192" t="s">
        <v>14</v>
      </c>
      <c r="Q139" s="191">
        <v>7</v>
      </c>
      <c r="R139" s="191">
        <v>8</v>
      </c>
      <c r="S139" s="191">
        <v>16</v>
      </c>
      <c r="T139" s="191">
        <v>8</v>
      </c>
      <c r="U139" s="191">
        <v>1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13</v>
      </c>
      <c r="M140" s="192" t="s">
        <v>79</v>
      </c>
      <c r="N140" s="192" t="s">
        <v>95</v>
      </c>
      <c r="O140" s="192" t="s">
        <v>31</v>
      </c>
      <c r="Q140" s="191">
        <v>5</v>
      </c>
      <c r="R140" s="191">
        <v>5</v>
      </c>
      <c r="S140" s="191">
        <v>12</v>
      </c>
      <c r="T140" s="191">
        <v>6</v>
      </c>
      <c r="U140" s="191">
        <v>7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31</v>
      </c>
      <c r="L141" s="192" t="s">
        <v>31</v>
      </c>
      <c r="M141" s="192" t="s">
        <v>96</v>
      </c>
      <c r="N141" s="192" t="s">
        <v>31</v>
      </c>
      <c r="O141" s="192" t="s">
        <v>29</v>
      </c>
      <c r="Q141" s="191">
        <v>7</v>
      </c>
      <c r="R141" s="191">
        <v>7</v>
      </c>
      <c r="S141" s="191">
        <v>15</v>
      </c>
      <c r="T141" s="191">
        <v>7</v>
      </c>
      <c r="U141" s="191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13</v>
      </c>
      <c r="L142" s="192" t="s">
        <v>16</v>
      </c>
      <c r="M142" s="192" t="s">
        <v>82</v>
      </c>
      <c r="N142" s="192" t="s">
        <v>13</v>
      </c>
      <c r="O142" s="192" t="s">
        <v>31</v>
      </c>
      <c r="Q142" s="191">
        <v>5</v>
      </c>
      <c r="R142" s="191">
        <v>3</v>
      </c>
      <c r="S142" s="191">
        <v>16</v>
      </c>
      <c r="T142" s="191">
        <v>5</v>
      </c>
      <c r="U142" s="191">
        <v>7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30</v>
      </c>
      <c r="L143" s="192" t="s">
        <v>31</v>
      </c>
      <c r="M143" s="192" t="s">
        <v>78</v>
      </c>
      <c r="N143" s="192" t="s">
        <v>80</v>
      </c>
      <c r="O143" s="192" t="s">
        <v>30</v>
      </c>
      <c r="Q143" s="191">
        <v>10</v>
      </c>
      <c r="R143" s="191">
        <v>7</v>
      </c>
      <c r="S143" s="191">
        <v>11</v>
      </c>
      <c r="T143" s="191">
        <v>13</v>
      </c>
      <c r="U143" s="191">
        <v>10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29</v>
      </c>
      <c r="L144" s="192" t="s">
        <v>12</v>
      </c>
      <c r="M144" s="192" t="s">
        <v>96</v>
      </c>
      <c r="N144" s="192" t="s">
        <v>95</v>
      </c>
      <c r="O144" s="192" t="s">
        <v>95</v>
      </c>
      <c r="Q144" s="191">
        <v>8</v>
      </c>
      <c r="R144" s="191">
        <v>4</v>
      </c>
      <c r="S144" s="191">
        <v>15</v>
      </c>
      <c r="T144" s="191">
        <v>6</v>
      </c>
      <c r="U144" s="191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95</v>
      </c>
      <c r="L145" s="192" t="s">
        <v>31</v>
      </c>
      <c r="M145" s="192" t="s">
        <v>82</v>
      </c>
      <c r="N145" s="192" t="s">
        <v>31</v>
      </c>
      <c r="O145" s="192" t="s">
        <v>12</v>
      </c>
      <c r="Q145" s="191">
        <v>6</v>
      </c>
      <c r="R145" s="191">
        <v>7</v>
      </c>
      <c r="S145" s="191">
        <v>16</v>
      </c>
      <c r="T145" s="191">
        <v>7</v>
      </c>
      <c r="U145" s="191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14</v>
      </c>
      <c r="L146" s="192" t="s">
        <v>81</v>
      </c>
      <c r="M146" s="192" t="s">
        <v>94</v>
      </c>
      <c r="N146" s="192" t="s">
        <v>87</v>
      </c>
      <c r="O146" s="192" t="s">
        <v>30</v>
      </c>
      <c r="Q146" s="191">
        <v>1</v>
      </c>
      <c r="R146" s="191">
        <v>14</v>
      </c>
      <c r="S146" s="191">
        <v>17</v>
      </c>
      <c r="T146" s="191">
        <v>19</v>
      </c>
      <c r="U146" s="191">
        <v>10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31</v>
      </c>
      <c r="M147" s="192" t="s">
        <v>82</v>
      </c>
      <c r="N147" s="192" t="s">
        <v>95</v>
      </c>
      <c r="O147" s="192" t="s">
        <v>95</v>
      </c>
      <c r="Q147" s="191">
        <v>5</v>
      </c>
      <c r="R147" s="191">
        <v>7</v>
      </c>
      <c r="S147" s="191">
        <v>16</v>
      </c>
      <c r="T147" s="191">
        <v>6</v>
      </c>
      <c r="U147" s="191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15</v>
      </c>
      <c r="L148" s="192" t="s">
        <v>12</v>
      </c>
      <c r="M148" s="192" t="s">
        <v>94</v>
      </c>
      <c r="N148" s="192" t="s">
        <v>30</v>
      </c>
      <c r="O148" s="192" t="s">
        <v>12</v>
      </c>
      <c r="Q148" s="191">
        <v>2</v>
      </c>
      <c r="R148" s="191">
        <v>4</v>
      </c>
      <c r="S148" s="191">
        <v>17</v>
      </c>
      <c r="T148" s="191">
        <v>10</v>
      </c>
      <c r="U148" s="191">
        <v>4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31</v>
      </c>
      <c r="M149" s="192" t="s">
        <v>82</v>
      </c>
      <c r="N149" s="192" t="s">
        <v>31</v>
      </c>
      <c r="O149" s="192" t="s">
        <v>29</v>
      </c>
      <c r="Q149" s="191">
        <v>8</v>
      </c>
      <c r="R149" s="191">
        <v>7</v>
      </c>
      <c r="S149" s="191">
        <v>16</v>
      </c>
      <c r="T149" s="191">
        <v>7</v>
      </c>
      <c r="U149" s="191">
        <v>8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13</v>
      </c>
      <c r="M150" s="192" t="s">
        <v>81</v>
      </c>
      <c r="N150" s="192" t="s">
        <v>95</v>
      </c>
      <c r="O150" s="192" t="s">
        <v>13</v>
      </c>
      <c r="Q150" s="191">
        <v>6</v>
      </c>
      <c r="R150" s="191">
        <v>5</v>
      </c>
      <c r="S150" s="191">
        <v>14</v>
      </c>
      <c r="T150" s="191">
        <v>6</v>
      </c>
      <c r="U150" s="191">
        <v>5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31</v>
      </c>
      <c r="M151" s="192" t="s">
        <v>82</v>
      </c>
      <c r="N151" s="192" t="s">
        <v>29</v>
      </c>
      <c r="O151" s="192" t="s">
        <v>29</v>
      </c>
      <c r="Q151" s="191">
        <v>7</v>
      </c>
      <c r="R151" s="191">
        <v>7</v>
      </c>
      <c r="S151" s="191">
        <v>16</v>
      </c>
      <c r="T151" s="191">
        <v>8</v>
      </c>
      <c r="U151" s="191">
        <v>8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95</v>
      </c>
      <c r="L152" s="192" t="s">
        <v>13</v>
      </c>
      <c r="M152" s="192" t="s">
        <v>87</v>
      </c>
      <c r="N152" s="192" t="s">
        <v>31</v>
      </c>
      <c r="O152" s="192" t="s">
        <v>31</v>
      </c>
      <c r="Q152" s="191">
        <v>6</v>
      </c>
      <c r="R152" s="191">
        <v>5</v>
      </c>
      <c r="S152" s="191">
        <v>19</v>
      </c>
      <c r="T152" s="191">
        <v>7</v>
      </c>
      <c r="U152" s="191">
        <v>7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13</v>
      </c>
      <c r="L153" s="192" t="s">
        <v>28</v>
      </c>
      <c r="M153" s="192" t="s">
        <v>96</v>
      </c>
      <c r="N153" s="192" t="s">
        <v>95</v>
      </c>
      <c r="O153" s="192" t="s">
        <v>13</v>
      </c>
      <c r="Q153" s="191">
        <v>5</v>
      </c>
      <c r="R153" s="191">
        <v>9</v>
      </c>
      <c r="S153" s="191">
        <v>15</v>
      </c>
      <c r="T153" s="191">
        <v>6</v>
      </c>
      <c r="U153" s="191">
        <v>5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15</v>
      </c>
      <c r="M154" s="192" t="s">
        <v>87</v>
      </c>
      <c r="N154" s="192" t="s">
        <v>94</v>
      </c>
      <c r="O154" s="192" t="s">
        <v>29</v>
      </c>
      <c r="Q154" s="191">
        <v>7</v>
      </c>
      <c r="R154" s="191">
        <v>2</v>
      </c>
      <c r="S154" s="191">
        <v>19</v>
      </c>
      <c r="T154" s="191">
        <v>17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16</v>
      </c>
      <c r="M155" s="192" t="s">
        <v>82</v>
      </c>
      <c r="N155" s="192" t="s">
        <v>12</v>
      </c>
      <c r="O155" s="192" t="s">
        <v>13</v>
      </c>
      <c r="Q155" s="191">
        <v>5</v>
      </c>
      <c r="R155" s="191">
        <v>3</v>
      </c>
      <c r="S155" s="191">
        <v>16</v>
      </c>
      <c r="T155" s="191">
        <v>4</v>
      </c>
      <c r="U155" s="191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29</v>
      </c>
      <c r="L156" s="192" t="s">
        <v>95</v>
      </c>
      <c r="M156" s="192" t="s">
        <v>96</v>
      </c>
      <c r="N156" s="192" t="s">
        <v>13</v>
      </c>
      <c r="O156" s="192" t="s">
        <v>29</v>
      </c>
      <c r="Q156" s="191">
        <v>8</v>
      </c>
      <c r="R156" s="191">
        <v>6</v>
      </c>
      <c r="S156" s="191">
        <v>15</v>
      </c>
      <c r="T156" s="191">
        <v>5</v>
      </c>
      <c r="U156" s="191">
        <v>8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15</v>
      </c>
      <c r="L157" s="192" t="s">
        <v>30</v>
      </c>
      <c r="M157" s="192" t="s">
        <v>80</v>
      </c>
      <c r="N157" s="192" t="s">
        <v>28</v>
      </c>
      <c r="O157" s="192" t="s">
        <v>14</v>
      </c>
      <c r="Q157" s="191">
        <v>2</v>
      </c>
      <c r="R157" s="191">
        <v>10</v>
      </c>
      <c r="S157" s="191">
        <v>13</v>
      </c>
      <c r="T157" s="191">
        <v>9</v>
      </c>
      <c r="U157" s="191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29</v>
      </c>
      <c r="M158" s="192" t="s">
        <v>82</v>
      </c>
      <c r="N158" s="192" t="s">
        <v>29</v>
      </c>
      <c r="O158" s="192" t="s">
        <v>31</v>
      </c>
      <c r="Q158" s="191">
        <v>5</v>
      </c>
      <c r="R158" s="191">
        <v>8</v>
      </c>
      <c r="S158" s="191">
        <v>16</v>
      </c>
      <c r="T158" s="191">
        <v>8</v>
      </c>
      <c r="U158" s="191">
        <v>7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31</v>
      </c>
      <c r="L159" s="192" t="s">
        <v>95</v>
      </c>
      <c r="M159" s="192" t="s">
        <v>81</v>
      </c>
      <c r="N159" s="192" t="s">
        <v>95</v>
      </c>
      <c r="O159" s="192" t="s">
        <v>12</v>
      </c>
      <c r="Q159" s="191">
        <v>7</v>
      </c>
      <c r="R159" s="191">
        <v>6</v>
      </c>
      <c r="S159" s="191">
        <v>14</v>
      </c>
      <c r="T159" s="191">
        <v>6</v>
      </c>
      <c r="U159" s="191">
        <v>4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12</v>
      </c>
      <c r="L160" s="192" t="s">
        <v>29</v>
      </c>
      <c r="M160" s="192" t="s">
        <v>96</v>
      </c>
      <c r="N160" s="192" t="s">
        <v>29</v>
      </c>
      <c r="O160" s="192" t="s">
        <v>13</v>
      </c>
      <c r="Q160" s="191">
        <v>4</v>
      </c>
      <c r="R160" s="191">
        <v>8</v>
      </c>
      <c r="S160" s="191">
        <v>15</v>
      </c>
      <c r="T160" s="191">
        <v>8</v>
      </c>
      <c r="U160" s="191">
        <v>5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13</v>
      </c>
      <c r="L161" s="192" t="s">
        <v>12</v>
      </c>
      <c r="M161" s="192" t="s">
        <v>94</v>
      </c>
      <c r="N161" s="192" t="s">
        <v>30</v>
      </c>
      <c r="O161" s="192" t="s">
        <v>31</v>
      </c>
      <c r="Q161" s="191">
        <v>5</v>
      </c>
      <c r="R161" s="191">
        <v>4</v>
      </c>
      <c r="S161" s="191">
        <v>17</v>
      </c>
      <c r="T161" s="191">
        <v>10</v>
      </c>
      <c r="U161" s="191">
        <v>7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29</v>
      </c>
      <c r="M162" s="192" t="s">
        <v>96</v>
      </c>
      <c r="N162" s="192" t="s">
        <v>29</v>
      </c>
      <c r="O162" s="192" t="s">
        <v>29</v>
      </c>
      <c r="Q162" s="191">
        <v>7</v>
      </c>
      <c r="R162" s="191">
        <v>8</v>
      </c>
      <c r="S162" s="191">
        <v>15</v>
      </c>
      <c r="T162" s="191">
        <v>8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14</v>
      </c>
      <c r="L163" s="192" t="s">
        <v>95</v>
      </c>
      <c r="M163" s="192" t="s">
        <v>82</v>
      </c>
      <c r="N163" s="192" t="s">
        <v>31</v>
      </c>
      <c r="O163" s="192" t="s">
        <v>31</v>
      </c>
      <c r="Q163" s="191">
        <v>1</v>
      </c>
      <c r="R163" s="191">
        <v>6</v>
      </c>
      <c r="S163" s="191">
        <v>16</v>
      </c>
      <c r="T163" s="191">
        <v>7</v>
      </c>
      <c r="U163" s="191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31</v>
      </c>
      <c r="L164" s="192" t="s">
        <v>78</v>
      </c>
      <c r="M164" s="192" t="s">
        <v>96</v>
      </c>
      <c r="N164" s="192" t="s">
        <v>82</v>
      </c>
      <c r="O164" s="192" t="s">
        <v>95</v>
      </c>
      <c r="Q164" s="191">
        <v>7</v>
      </c>
      <c r="R164" s="191">
        <v>11</v>
      </c>
      <c r="S164" s="191">
        <v>15</v>
      </c>
      <c r="T164" s="191">
        <v>16</v>
      </c>
      <c r="U164" s="191">
        <v>6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29</v>
      </c>
      <c r="L165" s="192" t="s">
        <v>94</v>
      </c>
      <c r="M165" s="192" t="s">
        <v>81</v>
      </c>
      <c r="N165" s="192" t="s">
        <v>81</v>
      </c>
      <c r="O165" s="192" t="s">
        <v>28</v>
      </c>
      <c r="Q165" s="191">
        <v>8</v>
      </c>
      <c r="R165" s="191">
        <v>17</v>
      </c>
      <c r="S165" s="191">
        <v>14</v>
      </c>
      <c r="T165" s="191">
        <v>14</v>
      </c>
      <c r="U165" s="191">
        <v>9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31</v>
      </c>
      <c r="L166" s="192" t="s">
        <v>81</v>
      </c>
      <c r="M166" s="192" t="s">
        <v>82</v>
      </c>
      <c r="N166" s="192" t="s">
        <v>95</v>
      </c>
      <c r="O166" s="192" t="s">
        <v>13</v>
      </c>
      <c r="Q166" s="191">
        <v>7</v>
      </c>
      <c r="R166" s="191">
        <v>14</v>
      </c>
      <c r="S166" s="191">
        <v>16</v>
      </c>
      <c r="T166" s="191">
        <v>6</v>
      </c>
      <c r="U166" s="191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15</v>
      </c>
      <c r="M167" s="192" t="s">
        <v>96</v>
      </c>
      <c r="N167" s="192" t="s">
        <v>81</v>
      </c>
      <c r="O167" s="192" t="s">
        <v>28</v>
      </c>
      <c r="Q167" s="191">
        <v>6</v>
      </c>
      <c r="R167" s="191">
        <v>2</v>
      </c>
      <c r="S167" s="191">
        <v>15</v>
      </c>
      <c r="T167" s="191">
        <v>14</v>
      </c>
      <c r="U167" s="191">
        <v>9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13</v>
      </c>
      <c r="M168" s="192" t="s">
        <v>85</v>
      </c>
      <c r="N168" s="192" t="s">
        <v>29</v>
      </c>
      <c r="O168" s="192" t="s">
        <v>13</v>
      </c>
      <c r="Q168" s="191">
        <v>7</v>
      </c>
      <c r="R168" s="191">
        <v>5</v>
      </c>
      <c r="S168" s="191">
        <v>18</v>
      </c>
      <c r="T168" s="191">
        <v>8</v>
      </c>
      <c r="U168" s="191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29</v>
      </c>
      <c r="M169" s="192" t="s">
        <v>94</v>
      </c>
      <c r="N169" s="192" t="s">
        <v>13</v>
      </c>
      <c r="O169" s="192" t="s">
        <v>95</v>
      </c>
      <c r="Q169" s="191">
        <v>8</v>
      </c>
      <c r="R169" s="191">
        <v>8</v>
      </c>
      <c r="S169" s="191">
        <v>17</v>
      </c>
      <c r="T169" s="191">
        <v>5</v>
      </c>
      <c r="U169" s="191">
        <v>6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13</v>
      </c>
      <c r="M170" s="192" t="s">
        <v>82</v>
      </c>
      <c r="N170" s="192" t="s">
        <v>31</v>
      </c>
      <c r="O170" s="192" t="s">
        <v>13</v>
      </c>
      <c r="Q170" s="191">
        <v>7</v>
      </c>
      <c r="R170" s="191">
        <v>5</v>
      </c>
      <c r="S170" s="191">
        <v>16</v>
      </c>
      <c r="T170" s="191">
        <v>7</v>
      </c>
      <c r="U170" s="191">
        <v>5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30</v>
      </c>
      <c r="L171" s="192" t="s">
        <v>29</v>
      </c>
      <c r="M171" s="192" t="s">
        <v>87</v>
      </c>
      <c r="N171" s="192" t="s">
        <v>29</v>
      </c>
      <c r="O171" s="192" t="s">
        <v>12</v>
      </c>
      <c r="Q171" s="191">
        <v>10</v>
      </c>
      <c r="R171" s="191">
        <v>8</v>
      </c>
      <c r="S171" s="191">
        <v>19</v>
      </c>
      <c r="T171" s="191">
        <v>8</v>
      </c>
      <c r="U171" s="191">
        <v>4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29</v>
      </c>
      <c r="L172" s="192" t="s">
        <v>16</v>
      </c>
      <c r="M172" s="192" t="s">
        <v>82</v>
      </c>
      <c r="N172" s="192" t="s">
        <v>95</v>
      </c>
      <c r="O172" s="192" t="s">
        <v>29</v>
      </c>
      <c r="Q172" s="191">
        <v>8</v>
      </c>
      <c r="R172" s="191">
        <v>3</v>
      </c>
      <c r="S172" s="191">
        <v>16</v>
      </c>
      <c r="T172" s="191">
        <v>6</v>
      </c>
      <c r="U172" s="191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12</v>
      </c>
      <c r="M173" s="192" t="s">
        <v>96</v>
      </c>
      <c r="N173" s="192" t="s">
        <v>13</v>
      </c>
      <c r="O173" s="192" t="s">
        <v>13</v>
      </c>
      <c r="Q173" s="191">
        <v>6</v>
      </c>
      <c r="R173" s="191">
        <v>4</v>
      </c>
      <c r="S173" s="191">
        <v>15</v>
      </c>
      <c r="T173" s="191">
        <v>5</v>
      </c>
      <c r="U173" s="191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13</v>
      </c>
      <c r="L174" s="192" t="s">
        <v>13</v>
      </c>
      <c r="M174" s="192" t="s">
        <v>94</v>
      </c>
      <c r="N174" s="192" t="s">
        <v>14</v>
      </c>
      <c r="O174" s="192" t="s">
        <v>29</v>
      </c>
      <c r="Q174" s="191">
        <v>5</v>
      </c>
      <c r="R174" s="191">
        <v>5</v>
      </c>
      <c r="S174" s="191">
        <v>17</v>
      </c>
      <c r="T174" s="191">
        <v>1</v>
      </c>
      <c r="U174" s="191">
        <v>8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12</v>
      </c>
      <c r="M175" s="192" t="s">
        <v>81</v>
      </c>
      <c r="N175" s="192" t="s">
        <v>15</v>
      </c>
      <c r="O175" s="192" t="s">
        <v>31</v>
      </c>
      <c r="Q175" s="191">
        <v>8</v>
      </c>
      <c r="R175" s="191">
        <v>4</v>
      </c>
      <c r="S175" s="191">
        <v>14</v>
      </c>
      <c r="T175" s="191">
        <v>2</v>
      </c>
      <c r="U175" s="191">
        <v>7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82</v>
      </c>
      <c r="M176" s="192" t="s">
        <v>82</v>
      </c>
      <c r="N176" s="192" t="s">
        <v>95</v>
      </c>
      <c r="O176" s="192" t="s">
        <v>95</v>
      </c>
      <c r="Q176" s="191">
        <v>6</v>
      </c>
      <c r="R176" s="191">
        <v>16</v>
      </c>
      <c r="S176" s="191">
        <v>16</v>
      </c>
      <c r="T176" s="191">
        <v>6</v>
      </c>
      <c r="U176" s="191">
        <v>6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28</v>
      </c>
      <c r="L177" s="192" t="s">
        <v>31</v>
      </c>
      <c r="M177" s="192" t="s">
        <v>96</v>
      </c>
      <c r="N177" s="192" t="s">
        <v>81</v>
      </c>
      <c r="O177" s="192" t="s">
        <v>14</v>
      </c>
      <c r="Q177" s="191">
        <v>9</v>
      </c>
      <c r="R177" s="191">
        <v>7</v>
      </c>
      <c r="S177" s="191">
        <v>15</v>
      </c>
      <c r="T177" s="191">
        <v>14</v>
      </c>
      <c r="U177" s="191">
        <v>1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31</v>
      </c>
      <c r="L178" s="192" t="s">
        <v>13</v>
      </c>
      <c r="M178" s="192" t="s">
        <v>94</v>
      </c>
      <c r="N178" s="192" t="s">
        <v>95</v>
      </c>
      <c r="O178" s="192" t="s">
        <v>16</v>
      </c>
      <c r="Q178" s="191">
        <v>7</v>
      </c>
      <c r="R178" s="191">
        <v>5</v>
      </c>
      <c r="S178" s="191">
        <v>17</v>
      </c>
      <c r="T178" s="191">
        <v>6</v>
      </c>
      <c r="U178" s="191">
        <v>3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13</v>
      </c>
      <c r="L179" s="192" t="s">
        <v>12</v>
      </c>
      <c r="M179" s="192" t="s">
        <v>82</v>
      </c>
      <c r="N179" s="192" t="s">
        <v>29</v>
      </c>
      <c r="O179" s="192" t="s">
        <v>29</v>
      </c>
      <c r="Q179" s="191">
        <v>5</v>
      </c>
      <c r="R179" s="191">
        <v>4</v>
      </c>
      <c r="S179" s="191">
        <v>16</v>
      </c>
      <c r="T179" s="191">
        <v>8</v>
      </c>
      <c r="U179" s="191">
        <v>8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12</v>
      </c>
      <c r="L180" s="192" t="s">
        <v>31</v>
      </c>
      <c r="M180" s="192" t="s">
        <v>96</v>
      </c>
      <c r="N180" s="192" t="s">
        <v>31</v>
      </c>
      <c r="O180" s="192" t="s">
        <v>95</v>
      </c>
      <c r="Q180" s="191">
        <v>4</v>
      </c>
      <c r="R180" s="191">
        <v>7</v>
      </c>
      <c r="S180" s="191">
        <v>15</v>
      </c>
      <c r="T180" s="191">
        <v>7</v>
      </c>
      <c r="U180" s="191">
        <v>6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95</v>
      </c>
      <c r="L181" s="192" t="s">
        <v>95</v>
      </c>
      <c r="M181" s="192" t="s">
        <v>94</v>
      </c>
      <c r="N181" s="192" t="s">
        <v>82</v>
      </c>
      <c r="O181" s="192" t="s">
        <v>29</v>
      </c>
      <c r="Q181" s="191">
        <v>6</v>
      </c>
      <c r="R181" s="191">
        <v>6</v>
      </c>
      <c r="S181" s="191">
        <v>17</v>
      </c>
      <c r="T181" s="191">
        <v>16</v>
      </c>
      <c r="U181" s="191">
        <v>8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29</v>
      </c>
      <c r="L182" s="192" t="s">
        <v>13</v>
      </c>
      <c r="M182" s="192" t="s">
        <v>96</v>
      </c>
      <c r="N182" s="192" t="s">
        <v>29</v>
      </c>
      <c r="O182" s="192" t="s">
        <v>15</v>
      </c>
      <c r="Q182" s="191">
        <v>8</v>
      </c>
      <c r="R182" s="191">
        <v>5</v>
      </c>
      <c r="S182" s="191">
        <v>15</v>
      </c>
      <c r="T182" s="191">
        <v>8</v>
      </c>
      <c r="U182" s="191">
        <v>2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31</v>
      </c>
      <c r="L183" s="192" t="s">
        <v>31</v>
      </c>
      <c r="M183" s="192" t="s">
        <v>94</v>
      </c>
      <c r="N183" s="192" t="s">
        <v>31</v>
      </c>
      <c r="O183" s="192" t="s">
        <v>95</v>
      </c>
      <c r="Q183" s="191">
        <v>7</v>
      </c>
      <c r="R183" s="191">
        <v>7</v>
      </c>
      <c r="S183" s="191">
        <v>17</v>
      </c>
      <c r="T183" s="191">
        <v>7</v>
      </c>
      <c r="U183" s="191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95</v>
      </c>
      <c r="L184" s="192" t="s">
        <v>95</v>
      </c>
      <c r="M184" s="192" t="s">
        <v>87</v>
      </c>
      <c r="N184" s="192" t="s">
        <v>13</v>
      </c>
      <c r="O184" s="192" t="s">
        <v>13</v>
      </c>
      <c r="Q184" s="191">
        <v>6</v>
      </c>
      <c r="R184" s="191">
        <v>6</v>
      </c>
      <c r="S184" s="191">
        <v>19</v>
      </c>
      <c r="T184" s="191">
        <v>5</v>
      </c>
      <c r="U184" s="191">
        <v>5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31</v>
      </c>
      <c r="L185" s="192" t="s">
        <v>31</v>
      </c>
      <c r="M185" s="192" t="s">
        <v>96</v>
      </c>
      <c r="N185" s="192" t="s">
        <v>94</v>
      </c>
      <c r="O185" s="192" t="s">
        <v>31</v>
      </c>
      <c r="Q185" s="191">
        <v>7</v>
      </c>
      <c r="R185" s="191">
        <v>7</v>
      </c>
      <c r="S185" s="191">
        <v>15</v>
      </c>
      <c r="T185" s="191">
        <v>17</v>
      </c>
      <c r="U185" s="191">
        <v>7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95</v>
      </c>
      <c r="L186" s="192" t="s">
        <v>28</v>
      </c>
      <c r="M186" s="192" t="s">
        <v>81</v>
      </c>
      <c r="N186" s="192" t="s">
        <v>29</v>
      </c>
      <c r="O186" s="192" t="s">
        <v>95</v>
      </c>
      <c r="Q186" s="191">
        <v>6</v>
      </c>
      <c r="R186" s="191">
        <v>9</v>
      </c>
      <c r="S186" s="191">
        <v>14</v>
      </c>
      <c r="T186" s="191">
        <v>8</v>
      </c>
      <c r="U186" s="191">
        <v>6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96</v>
      </c>
      <c r="M187" s="192" t="s">
        <v>94</v>
      </c>
      <c r="N187" s="192" t="s">
        <v>14</v>
      </c>
      <c r="O187" s="192" t="s">
        <v>30</v>
      </c>
      <c r="Q187" s="191">
        <v>8</v>
      </c>
      <c r="R187" s="191">
        <v>15</v>
      </c>
      <c r="S187" s="191">
        <v>17</v>
      </c>
      <c r="T187" s="191">
        <v>1</v>
      </c>
      <c r="U187" s="191">
        <v>10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31</v>
      </c>
      <c r="L188" s="192" t="s">
        <v>28</v>
      </c>
      <c r="M188" s="192" t="s">
        <v>81</v>
      </c>
      <c r="N188" s="192" t="s">
        <v>95</v>
      </c>
      <c r="O188" s="192" t="s">
        <v>13</v>
      </c>
      <c r="Q188" s="191">
        <v>7</v>
      </c>
      <c r="R188" s="191">
        <v>9</v>
      </c>
      <c r="S188" s="191">
        <v>14</v>
      </c>
      <c r="T188" s="191">
        <v>6</v>
      </c>
      <c r="U188" s="191">
        <v>5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13</v>
      </c>
      <c r="M189" s="192" t="s">
        <v>94</v>
      </c>
      <c r="N189" s="192" t="s">
        <v>12</v>
      </c>
      <c r="O189" s="192" t="s">
        <v>28</v>
      </c>
      <c r="Q189" s="191">
        <v>8</v>
      </c>
      <c r="R189" s="191">
        <v>5</v>
      </c>
      <c r="S189" s="191">
        <v>17</v>
      </c>
      <c r="T189" s="191">
        <v>4</v>
      </c>
      <c r="U189" s="191">
        <v>9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12</v>
      </c>
      <c r="L190" s="192" t="s">
        <v>96</v>
      </c>
      <c r="M190" s="192" t="s">
        <v>96</v>
      </c>
      <c r="N190" s="192" t="s">
        <v>95</v>
      </c>
      <c r="O190" s="192" t="s">
        <v>14</v>
      </c>
      <c r="Q190" s="191">
        <v>4</v>
      </c>
      <c r="R190" s="191">
        <v>15</v>
      </c>
      <c r="S190" s="191">
        <v>15</v>
      </c>
      <c r="T190" s="191">
        <v>6</v>
      </c>
      <c r="U190" s="191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95</v>
      </c>
      <c r="M191" s="192" t="s">
        <v>81</v>
      </c>
      <c r="N191" s="192" t="s">
        <v>31</v>
      </c>
      <c r="O191" s="192" t="s">
        <v>95</v>
      </c>
      <c r="Q191" s="191">
        <v>8</v>
      </c>
      <c r="R191" s="191">
        <v>6</v>
      </c>
      <c r="S191" s="191">
        <v>14</v>
      </c>
      <c r="T191" s="191">
        <v>7</v>
      </c>
      <c r="U191" s="191">
        <v>6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31</v>
      </c>
      <c r="L192" s="192" t="s">
        <v>13</v>
      </c>
      <c r="M192" s="192" t="s">
        <v>82</v>
      </c>
      <c r="N192" s="192" t="s">
        <v>82</v>
      </c>
      <c r="O192" s="192" t="s">
        <v>29</v>
      </c>
      <c r="Q192" s="191">
        <v>7</v>
      </c>
      <c r="R192" s="191">
        <v>5</v>
      </c>
      <c r="S192" s="191">
        <v>16</v>
      </c>
      <c r="T192" s="191">
        <v>16</v>
      </c>
      <c r="U192" s="191">
        <v>8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95</v>
      </c>
      <c r="L193" s="192" t="s">
        <v>29</v>
      </c>
      <c r="M193" s="192" t="s">
        <v>81</v>
      </c>
      <c r="N193" s="192" t="s">
        <v>13</v>
      </c>
      <c r="O193" s="192" t="s">
        <v>95</v>
      </c>
      <c r="Q193" s="191">
        <v>6</v>
      </c>
      <c r="R193" s="191">
        <v>8</v>
      </c>
      <c r="S193" s="191">
        <v>14</v>
      </c>
      <c r="T193" s="191">
        <v>5</v>
      </c>
      <c r="U193" s="191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80</v>
      </c>
      <c r="M194" s="192" t="s">
        <v>82</v>
      </c>
      <c r="N194" s="192" t="s">
        <v>29</v>
      </c>
      <c r="O194" s="192" t="s">
        <v>29</v>
      </c>
      <c r="Q194" s="191">
        <v>8</v>
      </c>
      <c r="R194" s="191">
        <v>13</v>
      </c>
      <c r="S194" s="191">
        <v>16</v>
      </c>
      <c r="T194" s="191">
        <v>8</v>
      </c>
      <c r="U194" s="191">
        <v>8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13</v>
      </c>
      <c r="L195" s="192" t="s">
        <v>31</v>
      </c>
      <c r="M195" s="192" t="s">
        <v>80</v>
      </c>
      <c r="N195" s="192" t="s">
        <v>13</v>
      </c>
      <c r="O195" s="192" t="s">
        <v>95</v>
      </c>
      <c r="Q195" s="191">
        <v>5</v>
      </c>
      <c r="R195" s="191">
        <v>7</v>
      </c>
      <c r="S195" s="191">
        <v>13</v>
      </c>
      <c r="T195" s="191">
        <v>5</v>
      </c>
      <c r="U195" s="191">
        <v>6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95</v>
      </c>
      <c r="L196" s="192" t="s">
        <v>13</v>
      </c>
      <c r="M196" s="192" t="s">
        <v>82</v>
      </c>
      <c r="N196" s="192" t="s">
        <v>16</v>
      </c>
      <c r="O196" s="192" t="s">
        <v>12</v>
      </c>
      <c r="Q196" s="191">
        <v>6</v>
      </c>
      <c r="R196" s="191">
        <v>5</v>
      </c>
      <c r="S196" s="191">
        <v>16</v>
      </c>
      <c r="T196" s="191">
        <v>3</v>
      </c>
      <c r="U196" s="191">
        <v>4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29</v>
      </c>
      <c r="M197" s="192" t="s">
        <v>94</v>
      </c>
      <c r="N197" s="192" t="s">
        <v>95</v>
      </c>
      <c r="O197" s="192" t="s">
        <v>31</v>
      </c>
      <c r="Q197" s="191">
        <v>8</v>
      </c>
      <c r="R197" s="191">
        <v>8</v>
      </c>
      <c r="S197" s="191">
        <v>17</v>
      </c>
      <c r="T197" s="191">
        <v>6</v>
      </c>
      <c r="U197" s="191">
        <v>7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95</v>
      </c>
      <c r="L198" s="192" t="s">
        <v>28</v>
      </c>
      <c r="M198" s="192" t="s">
        <v>82</v>
      </c>
      <c r="N198" s="192" t="s">
        <v>29</v>
      </c>
      <c r="O198" s="192" t="s">
        <v>95</v>
      </c>
      <c r="Q198" s="191">
        <v>6</v>
      </c>
      <c r="R198" s="191">
        <v>9</v>
      </c>
      <c r="S198" s="191">
        <v>16</v>
      </c>
      <c r="T198" s="191">
        <v>8</v>
      </c>
      <c r="U198" s="191">
        <v>6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31</v>
      </c>
      <c r="L199" s="192" t="s">
        <v>13</v>
      </c>
      <c r="M199" s="192" t="s">
        <v>94</v>
      </c>
      <c r="N199" s="192" t="s">
        <v>13</v>
      </c>
      <c r="O199" s="192" t="s">
        <v>31</v>
      </c>
      <c r="Q199" s="191">
        <v>7</v>
      </c>
      <c r="R199" s="191">
        <v>5</v>
      </c>
      <c r="S199" s="191">
        <v>17</v>
      </c>
      <c r="T199" s="191">
        <v>5</v>
      </c>
      <c r="U199" s="191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95</v>
      </c>
      <c r="M200" s="192" t="s">
        <v>87</v>
      </c>
      <c r="N200" s="192" t="s">
        <v>95</v>
      </c>
      <c r="O200" s="192" t="s">
        <v>29</v>
      </c>
      <c r="Q200" s="191">
        <v>5</v>
      </c>
      <c r="R200" s="191">
        <v>6</v>
      </c>
      <c r="S200" s="191">
        <v>19</v>
      </c>
      <c r="T200" s="191">
        <v>6</v>
      </c>
      <c r="U200" s="191">
        <v>8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95</v>
      </c>
      <c r="L201" s="192" t="s">
        <v>12</v>
      </c>
      <c r="M201" s="192" t="s">
        <v>82</v>
      </c>
      <c r="N201" s="192" t="s">
        <v>13</v>
      </c>
      <c r="O201" s="192" t="s">
        <v>31</v>
      </c>
      <c r="Q201" s="191">
        <v>6</v>
      </c>
      <c r="R201" s="191">
        <v>4</v>
      </c>
      <c r="S201" s="191">
        <v>16</v>
      </c>
      <c r="T201" s="191">
        <v>5</v>
      </c>
      <c r="U201" s="191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31</v>
      </c>
      <c r="L202" s="192" t="s">
        <v>28</v>
      </c>
      <c r="M202" s="192" t="s">
        <v>94</v>
      </c>
      <c r="N202" s="192" t="s">
        <v>28</v>
      </c>
      <c r="O202" s="192" t="s">
        <v>13</v>
      </c>
      <c r="Q202" s="191">
        <v>7</v>
      </c>
      <c r="R202" s="191">
        <v>9</v>
      </c>
      <c r="S202" s="191">
        <v>17</v>
      </c>
      <c r="T202" s="191">
        <v>9</v>
      </c>
      <c r="U202" s="191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29</v>
      </c>
      <c r="L203" s="192" t="s">
        <v>31</v>
      </c>
      <c r="M203" s="192" t="s">
        <v>96</v>
      </c>
      <c r="N203" s="192" t="s">
        <v>31</v>
      </c>
      <c r="O203" s="192" t="s">
        <v>29</v>
      </c>
      <c r="Q203" s="191">
        <v>8</v>
      </c>
      <c r="R203" s="191">
        <v>7</v>
      </c>
      <c r="S203" s="191">
        <v>15</v>
      </c>
      <c r="T203" s="191">
        <v>7</v>
      </c>
      <c r="U203" s="191">
        <v>8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54" priority="22">
      <formula>_xlfn.LET(_xlpm.x, W4, AND(NOT(_xlfn.ISFORMULA(_xlpm.x)), _xlpm.x&lt;&gt;""))</formula>
    </cfRule>
  </conditionalFormatting>
  <conditionalFormatting sqref="W4:AA203">
    <cfRule type="expression" dxfId="53" priority="21">
      <formula>_xlfn.LET(_xlpm.x, W4, AND(NOT(_xlfn.ISFORMULA(_xlpm.x)), _xlpm.x&lt;&gt;""))</formula>
    </cfRule>
  </conditionalFormatting>
  <conditionalFormatting sqref="C28:G28 D27:G27 C31:G46 C29:C30 G29:G3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2" priority="13" operator="equal">
      <formula>"C1"</formula>
    </cfRule>
    <cfRule type="cellIs" dxfId="51" priority="14" operator="between">
      <formula>"G1"</formula>
      <formula>"G4"</formula>
    </cfRule>
    <cfRule type="cellIs" dxfId="50" priority="15" operator="between">
      <formula>"GA"</formula>
      <formula>"GQ"</formula>
    </cfRule>
    <cfRule type="cellIs" dxfId="49" priority="16" operator="between">
      <formula>"M1"</formula>
      <formula>"M4"</formula>
    </cfRule>
  </conditionalFormatting>
  <conditionalFormatting sqref="E52:E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F52:F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D29:F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K1:O1048576">
    <cfRule type="cellIs" dxfId="40" priority="1" operator="equal">
      <formula>"C1"</formula>
    </cfRule>
    <cfRule type="cellIs" dxfId="39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85D2C080-9B27-454E-912B-9DFB5B000DB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298</v>
      </c>
      <c r="W2" s="25" t="s">
        <v>99</v>
      </c>
      <c r="AC2" s="25" t="s">
        <v>300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305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301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302</v>
      </c>
      <c r="AH4" s="5"/>
      <c r="AI4" s="5"/>
      <c r="AJ4" s="25" t="s">
        <v>302</v>
      </c>
      <c r="AO4" s="5"/>
    </row>
    <row r="5" spans="1:41" ht="15.9" customHeight="1">
      <c r="A5" s="199" t="s">
        <v>14</v>
      </c>
      <c r="B5" s="197" t="s">
        <v>39</v>
      </c>
      <c r="C5" s="199">
        <v>6</v>
      </c>
      <c r="D5" s="199">
        <v>6</v>
      </c>
      <c r="E5" s="199">
        <v>6</v>
      </c>
      <c r="F5" s="199">
        <v>9</v>
      </c>
      <c r="G5" s="199">
        <v>9</v>
      </c>
      <c r="H5" s="197">
        <v>1</v>
      </c>
      <c r="I5" s="82"/>
      <c r="J5" s="191">
        <v>1</v>
      </c>
      <c r="K5" s="192" t="s">
        <v>29</v>
      </c>
      <c r="L5" s="192" t="s">
        <v>87</v>
      </c>
      <c r="M5" s="192" t="s">
        <v>16</v>
      </c>
      <c r="N5" s="192" t="s">
        <v>31</v>
      </c>
      <c r="O5" s="192" t="s">
        <v>30</v>
      </c>
      <c r="Q5" s="191">
        <v>8</v>
      </c>
      <c r="R5" s="191">
        <v>19</v>
      </c>
      <c r="S5" s="191">
        <v>3</v>
      </c>
      <c r="T5" s="191">
        <v>7</v>
      </c>
      <c r="U5" s="191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20</v>
      </c>
      <c r="E6" s="198">
        <v>4</v>
      </c>
      <c r="F6" s="198">
        <v>21</v>
      </c>
      <c r="G6" s="198">
        <v>22</v>
      </c>
      <c r="H6" s="132">
        <v>2</v>
      </c>
      <c r="I6" s="82"/>
      <c r="J6" s="23">
        <v>2</v>
      </c>
      <c r="K6" s="192" t="s">
        <v>29</v>
      </c>
      <c r="L6" s="192" t="s">
        <v>79</v>
      </c>
      <c r="M6" s="192" t="s">
        <v>14</v>
      </c>
      <c r="N6" s="192" t="s">
        <v>30</v>
      </c>
      <c r="O6" s="192" t="s">
        <v>14</v>
      </c>
      <c r="Q6" s="191">
        <v>8</v>
      </c>
      <c r="R6" s="191">
        <v>12</v>
      </c>
      <c r="S6" s="191">
        <v>1</v>
      </c>
      <c r="T6" s="191">
        <v>10</v>
      </c>
      <c r="U6" s="191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97" t="s">
        <v>301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301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2</v>
      </c>
      <c r="D7" s="198">
        <v>18</v>
      </c>
      <c r="E7" s="198">
        <v>4</v>
      </c>
      <c r="F7" s="198">
        <v>20</v>
      </c>
      <c r="G7" s="198">
        <v>22</v>
      </c>
      <c r="H7" s="132">
        <v>3</v>
      </c>
      <c r="I7" s="82"/>
      <c r="J7" s="191">
        <v>3</v>
      </c>
      <c r="K7" s="192" t="s">
        <v>95</v>
      </c>
      <c r="L7" s="24" t="s">
        <v>96</v>
      </c>
      <c r="M7" s="192" t="s">
        <v>29</v>
      </c>
      <c r="N7" s="192" t="s">
        <v>16</v>
      </c>
      <c r="O7" s="192" t="s">
        <v>16</v>
      </c>
      <c r="Q7" s="191">
        <v>6</v>
      </c>
      <c r="R7" s="191">
        <v>15</v>
      </c>
      <c r="S7" s="191">
        <v>8</v>
      </c>
      <c r="T7" s="191">
        <v>3</v>
      </c>
      <c r="U7" s="191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97" t="s">
        <v>14</v>
      </c>
      <c r="AD7" s="197">
        <v>6</v>
      </c>
      <c r="AE7" s="197">
        <v>6</v>
      </c>
      <c r="AF7" s="197">
        <v>6</v>
      </c>
      <c r="AG7" s="197">
        <v>9</v>
      </c>
      <c r="AH7" s="197">
        <v>9</v>
      </c>
      <c r="AI7" s="5"/>
      <c r="AJ7" s="197" t="s">
        <v>14</v>
      </c>
      <c r="AK7" s="197">
        <v>6</v>
      </c>
      <c r="AL7" s="197">
        <v>6</v>
      </c>
      <c r="AM7" s="197">
        <v>6</v>
      </c>
      <c r="AN7" s="197">
        <v>9</v>
      </c>
      <c r="AO7" s="197">
        <v>9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18</v>
      </c>
      <c r="E8" s="198">
        <v>4</v>
      </c>
      <c r="F8" s="198">
        <v>20</v>
      </c>
      <c r="G8" s="198">
        <v>21</v>
      </c>
      <c r="H8" s="132">
        <v>4</v>
      </c>
      <c r="I8" s="82"/>
      <c r="J8" s="23">
        <v>4</v>
      </c>
      <c r="K8" s="192" t="s">
        <v>29</v>
      </c>
      <c r="L8" s="192" t="s">
        <v>96</v>
      </c>
      <c r="M8" s="192" t="s">
        <v>13</v>
      </c>
      <c r="N8" s="192" t="s">
        <v>80</v>
      </c>
      <c r="O8" s="192" t="s">
        <v>16</v>
      </c>
      <c r="Q8" s="191">
        <v>8</v>
      </c>
      <c r="R8" s="191">
        <v>15</v>
      </c>
      <c r="S8" s="191">
        <v>5</v>
      </c>
      <c r="T8" s="191">
        <v>13</v>
      </c>
      <c r="U8" s="191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2" t="s">
        <v>15</v>
      </c>
      <c r="AD8" s="198">
        <v>4</v>
      </c>
      <c r="AE8" s="198">
        <v>17</v>
      </c>
      <c r="AF8" s="198">
        <v>4</v>
      </c>
      <c r="AG8" s="198">
        <v>21</v>
      </c>
      <c r="AH8" s="198">
        <v>22</v>
      </c>
      <c r="AI8" s="5"/>
      <c r="AJ8" s="132" t="s">
        <v>15</v>
      </c>
      <c r="AK8" s="198">
        <v>4</v>
      </c>
      <c r="AL8" s="198">
        <v>17</v>
      </c>
      <c r="AM8" s="198">
        <v>4</v>
      </c>
      <c r="AN8" s="198">
        <v>21</v>
      </c>
      <c r="AO8" s="198">
        <v>22</v>
      </c>
    </row>
    <row r="9" spans="1:41" ht="15.9" customHeight="1">
      <c r="A9" s="198" t="s">
        <v>13</v>
      </c>
      <c r="B9" s="132" t="s">
        <v>13</v>
      </c>
      <c r="C9" s="198">
        <v>40</v>
      </c>
      <c r="D9" s="198">
        <v>17</v>
      </c>
      <c r="E9" s="198">
        <v>41</v>
      </c>
      <c r="F9" s="198">
        <v>14</v>
      </c>
      <c r="G9" s="198">
        <v>21</v>
      </c>
      <c r="H9" s="132">
        <v>5</v>
      </c>
      <c r="I9" s="82"/>
      <c r="J9" s="191">
        <v>5</v>
      </c>
      <c r="K9" s="192" t="s">
        <v>31</v>
      </c>
      <c r="L9" s="192" t="s">
        <v>94</v>
      </c>
      <c r="M9" s="192" t="s">
        <v>31</v>
      </c>
      <c r="N9" s="192" t="s">
        <v>30</v>
      </c>
      <c r="O9" s="192" t="s">
        <v>30</v>
      </c>
      <c r="Q9" s="191">
        <v>7</v>
      </c>
      <c r="R9" s="191">
        <v>17</v>
      </c>
      <c r="S9" s="191">
        <v>7</v>
      </c>
      <c r="T9" s="191">
        <v>10</v>
      </c>
      <c r="U9" s="191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2" t="s">
        <v>16</v>
      </c>
      <c r="AD9" s="198">
        <v>4</v>
      </c>
      <c r="AE9" s="198">
        <v>18</v>
      </c>
      <c r="AF9" s="198">
        <v>4</v>
      </c>
      <c r="AG9" s="198">
        <v>20</v>
      </c>
      <c r="AH9" s="198">
        <v>22</v>
      </c>
      <c r="AI9" s="5"/>
      <c r="AJ9" s="132" t="s">
        <v>16</v>
      </c>
      <c r="AK9" s="198">
        <v>4</v>
      </c>
      <c r="AL9" s="198">
        <v>18</v>
      </c>
      <c r="AM9" s="198">
        <v>4</v>
      </c>
      <c r="AN9" s="198">
        <v>20</v>
      </c>
      <c r="AO9" s="198">
        <v>22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11</v>
      </c>
      <c r="E10" s="198">
        <v>41</v>
      </c>
      <c r="F10" s="198">
        <v>14</v>
      </c>
      <c r="G10" s="198">
        <v>21</v>
      </c>
      <c r="H10" s="132">
        <v>6</v>
      </c>
      <c r="I10" s="82"/>
      <c r="J10" s="23">
        <v>6</v>
      </c>
      <c r="K10" s="192" t="s">
        <v>95</v>
      </c>
      <c r="L10" s="192" t="s">
        <v>13</v>
      </c>
      <c r="M10" s="192" t="s">
        <v>13</v>
      </c>
      <c r="N10" s="192" t="s">
        <v>30</v>
      </c>
      <c r="O10" s="192" t="s">
        <v>13</v>
      </c>
      <c r="Q10" s="191">
        <v>6</v>
      </c>
      <c r="R10" s="191">
        <v>5</v>
      </c>
      <c r="S10" s="191">
        <v>5</v>
      </c>
      <c r="T10" s="191">
        <v>10</v>
      </c>
      <c r="U10" s="191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2" t="s">
        <v>12</v>
      </c>
      <c r="AD10" s="198">
        <v>4</v>
      </c>
      <c r="AE10" s="198">
        <v>18</v>
      </c>
      <c r="AF10" s="198">
        <v>4</v>
      </c>
      <c r="AG10" s="198">
        <v>20</v>
      </c>
      <c r="AH10" s="198">
        <v>21</v>
      </c>
      <c r="AI10" s="5"/>
      <c r="AJ10" s="132" t="s">
        <v>12</v>
      </c>
      <c r="AK10" s="198">
        <v>4</v>
      </c>
      <c r="AL10" s="198">
        <v>18</v>
      </c>
      <c r="AM10" s="198">
        <v>4</v>
      </c>
      <c r="AN10" s="198">
        <v>20</v>
      </c>
      <c r="AO10" s="198">
        <v>21</v>
      </c>
    </row>
    <row r="11" spans="1:41" ht="15.9" customHeight="1">
      <c r="A11" s="198" t="s">
        <v>31</v>
      </c>
      <c r="B11" s="132" t="s">
        <v>31</v>
      </c>
      <c r="C11" s="198">
        <v>48</v>
      </c>
      <c r="D11" s="198">
        <v>12</v>
      </c>
      <c r="E11" s="198">
        <v>41</v>
      </c>
      <c r="F11" s="198">
        <v>14</v>
      </c>
      <c r="G11" s="198">
        <v>21</v>
      </c>
      <c r="H11" s="132">
        <v>7</v>
      </c>
      <c r="I11" s="82"/>
      <c r="J11" s="191">
        <v>7</v>
      </c>
      <c r="K11" s="192" t="s">
        <v>95</v>
      </c>
      <c r="L11" s="192" t="s">
        <v>13</v>
      </c>
      <c r="M11" s="192" t="s">
        <v>31</v>
      </c>
      <c r="N11" s="192" t="s">
        <v>31</v>
      </c>
      <c r="O11" s="192" t="s">
        <v>95</v>
      </c>
      <c r="Q11" s="191">
        <v>6</v>
      </c>
      <c r="R11" s="191">
        <v>5</v>
      </c>
      <c r="S11" s="191">
        <v>7</v>
      </c>
      <c r="T11" s="191">
        <v>7</v>
      </c>
      <c r="U11" s="191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2" t="s">
        <v>13</v>
      </c>
      <c r="AD11" s="198">
        <v>40</v>
      </c>
      <c r="AE11" s="198">
        <v>14</v>
      </c>
      <c r="AF11" s="198">
        <v>41</v>
      </c>
      <c r="AG11" s="198">
        <v>14</v>
      </c>
      <c r="AH11" s="198">
        <v>21</v>
      </c>
      <c r="AI11" s="5"/>
      <c r="AJ11" s="132" t="s">
        <v>13</v>
      </c>
      <c r="AK11" s="198">
        <v>40</v>
      </c>
      <c r="AL11" s="198">
        <v>14</v>
      </c>
      <c r="AM11" s="198">
        <v>41</v>
      </c>
      <c r="AN11" s="198">
        <v>14</v>
      </c>
      <c r="AO11" s="198">
        <v>21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12</v>
      </c>
      <c r="E12" s="198">
        <v>41</v>
      </c>
      <c r="F12" s="198">
        <v>14</v>
      </c>
      <c r="G12" s="198">
        <v>21</v>
      </c>
      <c r="H12" s="132">
        <v>8</v>
      </c>
      <c r="I12" s="82"/>
      <c r="J12" s="23">
        <v>8</v>
      </c>
      <c r="K12" s="192" t="s">
        <v>31</v>
      </c>
      <c r="L12" s="192" t="s">
        <v>79</v>
      </c>
      <c r="M12" s="192" t="s">
        <v>96</v>
      </c>
      <c r="N12" s="192" t="s">
        <v>12</v>
      </c>
      <c r="O12" s="192" t="s">
        <v>28</v>
      </c>
      <c r="Q12" s="191">
        <v>7</v>
      </c>
      <c r="R12" s="191">
        <v>12</v>
      </c>
      <c r="S12" s="191">
        <v>15</v>
      </c>
      <c r="T12" s="191">
        <v>4</v>
      </c>
      <c r="U12" s="191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2" t="s">
        <v>95</v>
      </c>
      <c r="AD12" s="198">
        <v>40</v>
      </c>
      <c r="AE12" s="198">
        <v>14</v>
      </c>
      <c r="AF12" s="198">
        <v>41</v>
      </c>
      <c r="AG12" s="198">
        <v>14</v>
      </c>
      <c r="AH12" s="198">
        <v>21</v>
      </c>
      <c r="AI12" s="5"/>
      <c r="AJ12" s="132" t="s">
        <v>95</v>
      </c>
      <c r="AK12" s="198">
        <v>40</v>
      </c>
      <c r="AL12" s="198">
        <v>14</v>
      </c>
      <c r="AM12" s="198">
        <v>41</v>
      </c>
      <c r="AN12" s="198">
        <v>14</v>
      </c>
      <c r="AO12" s="198">
        <v>21</v>
      </c>
    </row>
    <row r="13" spans="1:41" ht="15.9" customHeight="1">
      <c r="A13" s="198" t="s">
        <v>28</v>
      </c>
      <c r="B13" s="132" t="s">
        <v>28</v>
      </c>
      <c r="C13" s="198">
        <v>3</v>
      </c>
      <c r="D13" s="198">
        <v>19</v>
      </c>
      <c r="E13" s="198">
        <v>3</v>
      </c>
      <c r="F13" s="198">
        <v>21</v>
      </c>
      <c r="G13" s="198">
        <v>21</v>
      </c>
      <c r="H13" s="132">
        <v>9</v>
      </c>
      <c r="I13" s="82"/>
      <c r="J13" s="191">
        <v>9</v>
      </c>
      <c r="K13" s="192" t="s">
        <v>95</v>
      </c>
      <c r="L13" s="192" t="s">
        <v>14</v>
      </c>
      <c r="M13" s="192" t="s">
        <v>31</v>
      </c>
      <c r="N13" s="192" t="s">
        <v>95</v>
      </c>
      <c r="O13" s="192" t="s">
        <v>28</v>
      </c>
      <c r="Q13" s="191">
        <v>6</v>
      </c>
      <c r="R13" s="191">
        <v>1</v>
      </c>
      <c r="S13" s="191">
        <v>7</v>
      </c>
      <c r="T13" s="191">
        <v>6</v>
      </c>
      <c r="U13" s="191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2" t="s">
        <v>31</v>
      </c>
      <c r="AD13" s="198">
        <v>47</v>
      </c>
      <c r="AE13" s="198">
        <v>13</v>
      </c>
      <c r="AF13" s="198">
        <v>41</v>
      </c>
      <c r="AG13" s="198">
        <v>14</v>
      </c>
      <c r="AH13" s="198">
        <v>21</v>
      </c>
      <c r="AI13" s="5"/>
      <c r="AJ13" s="132" t="s">
        <v>31</v>
      </c>
      <c r="AK13" s="198">
        <v>47</v>
      </c>
      <c r="AL13" s="198">
        <v>13</v>
      </c>
      <c r="AM13" s="198">
        <v>41</v>
      </c>
      <c r="AN13" s="198">
        <v>14</v>
      </c>
      <c r="AO13" s="198">
        <v>21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16</v>
      </c>
      <c r="E14" s="198">
        <v>3</v>
      </c>
      <c r="F14" s="198">
        <v>21</v>
      </c>
      <c r="G14" s="198">
        <v>21</v>
      </c>
      <c r="H14" s="132">
        <v>10</v>
      </c>
      <c r="I14" s="82"/>
      <c r="J14" s="23">
        <v>10</v>
      </c>
      <c r="K14" s="192" t="s">
        <v>29</v>
      </c>
      <c r="L14" s="192" t="s">
        <v>28</v>
      </c>
      <c r="M14" s="192" t="s">
        <v>29</v>
      </c>
      <c r="N14" s="192" t="s">
        <v>16</v>
      </c>
      <c r="O14" s="192" t="s">
        <v>15</v>
      </c>
      <c r="Q14" s="191">
        <v>8</v>
      </c>
      <c r="R14" s="191">
        <v>9</v>
      </c>
      <c r="S14" s="191">
        <v>8</v>
      </c>
      <c r="T14" s="191">
        <v>3</v>
      </c>
      <c r="U14" s="191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2" t="s">
        <v>29</v>
      </c>
      <c r="AD14" s="198">
        <v>47</v>
      </c>
      <c r="AE14" s="198">
        <v>13</v>
      </c>
      <c r="AF14" s="198">
        <v>41</v>
      </c>
      <c r="AG14" s="198">
        <v>14</v>
      </c>
      <c r="AH14" s="198">
        <v>21</v>
      </c>
      <c r="AI14" s="5"/>
      <c r="AJ14" s="132" t="s">
        <v>29</v>
      </c>
      <c r="AK14" s="198">
        <v>47</v>
      </c>
      <c r="AL14" s="198">
        <v>13</v>
      </c>
      <c r="AM14" s="198">
        <v>41</v>
      </c>
      <c r="AN14" s="198">
        <v>14</v>
      </c>
      <c r="AO14" s="198">
        <v>21</v>
      </c>
    </row>
    <row r="15" spans="1:41" ht="15.9" customHeight="1">
      <c r="A15" s="199" t="s">
        <v>78</v>
      </c>
      <c r="B15" s="197" t="s">
        <v>306</v>
      </c>
      <c r="C15" s="199">
        <v>0</v>
      </c>
      <c r="D15" s="199">
        <v>8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15</v>
      </c>
      <c r="M15" s="192" t="s">
        <v>95</v>
      </c>
      <c r="N15" s="192" t="s">
        <v>12</v>
      </c>
      <c r="O15" s="192" t="s">
        <v>12</v>
      </c>
      <c r="Q15" s="191">
        <v>6</v>
      </c>
      <c r="R15" s="191">
        <v>2</v>
      </c>
      <c r="S15" s="191">
        <v>6</v>
      </c>
      <c r="T15" s="191">
        <v>4</v>
      </c>
      <c r="U15" s="191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2" t="s">
        <v>28</v>
      </c>
      <c r="AD15" s="198">
        <v>4</v>
      </c>
      <c r="AE15" s="198">
        <v>17</v>
      </c>
      <c r="AF15" s="198">
        <v>3</v>
      </c>
      <c r="AG15" s="198">
        <v>21</v>
      </c>
      <c r="AH15" s="198">
        <v>21</v>
      </c>
      <c r="AI15" s="5"/>
      <c r="AJ15" s="132" t="s">
        <v>28</v>
      </c>
      <c r="AK15" s="198">
        <v>4</v>
      </c>
      <c r="AL15" s="198">
        <v>17</v>
      </c>
      <c r="AM15" s="198">
        <v>3</v>
      </c>
      <c r="AN15" s="198">
        <v>21</v>
      </c>
      <c r="AO15" s="198">
        <v>21</v>
      </c>
    </row>
    <row r="16" spans="1:41" ht="15.9" customHeight="1">
      <c r="A16" s="199" t="s">
        <v>79</v>
      </c>
      <c r="B16" s="197" t="s">
        <v>307</v>
      </c>
      <c r="C16" s="199">
        <v>0</v>
      </c>
      <c r="D16" s="199">
        <v>7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85</v>
      </c>
      <c r="M16" s="192" t="s">
        <v>95</v>
      </c>
      <c r="N16" s="192" t="s">
        <v>30</v>
      </c>
      <c r="O16" s="192" t="s">
        <v>12</v>
      </c>
      <c r="Q16" s="191">
        <v>5</v>
      </c>
      <c r="R16" s="191">
        <v>18</v>
      </c>
      <c r="S16" s="191">
        <v>6</v>
      </c>
      <c r="T16" s="191">
        <v>10</v>
      </c>
      <c r="U16" s="191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2" t="s">
        <v>30</v>
      </c>
      <c r="AD16" s="198">
        <v>4</v>
      </c>
      <c r="AE16" s="198">
        <v>17</v>
      </c>
      <c r="AF16" s="198">
        <v>3</v>
      </c>
      <c r="AG16" s="198">
        <v>21</v>
      </c>
      <c r="AH16" s="198">
        <v>21</v>
      </c>
      <c r="AI16" s="5"/>
      <c r="AJ16" s="132" t="s">
        <v>30</v>
      </c>
      <c r="AK16" s="198">
        <v>4</v>
      </c>
      <c r="AL16" s="198">
        <v>17</v>
      </c>
      <c r="AM16" s="198">
        <v>3</v>
      </c>
      <c r="AN16" s="198">
        <v>21</v>
      </c>
      <c r="AO16" s="198">
        <v>21</v>
      </c>
    </row>
    <row r="17" spans="1:41" ht="15.9" customHeight="1">
      <c r="A17" s="199" t="s">
        <v>80</v>
      </c>
      <c r="B17" s="197" t="s">
        <v>308</v>
      </c>
      <c r="C17" s="199">
        <v>0</v>
      </c>
      <c r="D17" s="199">
        <v>7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95</v>
      </c>
      <c r="M17" s="192" t="s">
        <v>15</v>
      </c>
      <c r="N17" s="192" t="s">
        <v>30</v>
      </c>
      <c r="O17" s="192" t="s">
        <v>16</v>
      </c>
      <c r="Q17" s="191">
        <v>5</v>
      </c>
      <c r="R17" s="191">
        <v>6</v>
      </c>
      <c r="S17" s="191">
        <v>2</v>
      </c>
      <c r="T17" s="191">
        <v>10</v>
      </c>
      <c r="U17" s="191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97" t="s">
        <v>78</v>
      </c>
      <c r="AD17" s="199">
        <v>0</v>
      </c>
      <c r="AE17" s="199">
        <v>8</v>
      </c>
      <c r="AF17" s="199">
        <v>1</v>
      </c>
      <c r="AG17" s="199">
        <v>5</v>
      </c>
      <c r="AH17" s="199">
        <v>0</v>
      </c>
      <c r="AI17" s="5"/>
      <c r="AJ17" s="197" t="s">
        <v>78</v>
      </c>
      <c r="AK17" s="199">
        <v>0</v>
      </c>
      <c r="AL17" s="199">
        <v>8</v>
      </c>
      <c r="AM17" s="199">
        <v>1</v>
      </c>
      <c r="AN17" s="199">
        <v>5</v>
      </c>
      <c r="AO17" s="199">
        <v>0</v>
      </c>
    </row>
    <row r="18" spans="1:41" ht="15.9" customHeight="1">
      <c r="A18" s="199" t="s">
        <v>81</v>
      </c>
      <c r="B18" s="197" t="s">
        <v>309</v>
      </c>
      <c r="C18" s="199">
        <v>0</v>
      </c>
      <c r="D18" s="199">
        <v>4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78</v>
      </c>
      <c r="M18" s="192" t="s">
        <v>29</v>
      </c>
      <c r="N18" s="192" t="s">
        <v>29</v>
      </c>
      <c r="O18" s="192" t="s">
        <v>16</v>
      </c>
      <c r="Q18" s="191">
        <v>6</v>
      </c>
      <c r="R18" s="191">
        <v>11</v>
      </c>
      <c r="S18" s="191">
        <v>8</v>
      </c>
      <c r="T18" s="191">
        <v>8</v>
      </c>
      <c r="U18" s="191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97" t="s">
        <v>79</v>
      </c>
      <c r="AD18" s="199">
        <v>0</v>
      </c>
      <c r="AE18" s="199">
        <v>8</v>
      </c>
      <c r="AF18" s="199">
        <v>1</v>
      </c>
      <c r="AG18" s="199">
        <v>5</v>
      </c>
      <c r="AH18" s="199">
        <v>0</v>
      </c>
      <c r="AI18" s="5"/>
      <c r="AJ18" s="197" t="s">
        <v>79</v>
      </c>
      <c r="AK18" s="199">
        <v>0</v>
      </c>
      <c r="AL18" s="199">
        <v>8</v>
      </c>
      <c r="AM18" s="199">
        <v>1</v>
      </c>
      <c r="AN18" s="199">
        <v>5</v>
      </c>
      <c r="AO18" s="199">
        <v>0</v>
      </c>
    </row>
    <row r="19" spans="1:41" ht="15.9" customHeight="1">
      <c r="A19" s="199" t="s">
        <v>96</v>
      </c>
      <c r="B19" s="197" t="s">
        <v>310</v>
      </c>
      <c r="C19" s="199">
        <v>0</v>
      </c>
      <c r="D19" s="199">
        <v>4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16</v>
      </c>
      <c r="M19" s="192" t="s">
        <v>31</v>
      </c>
      <c r="N19" s="192" t="s">
        <v>15</v>
      </c>
      <c r="O19" s="192" t="s">
        <v>31</v>
      </c>
      <c r="Q19" s="191">
        <v>7</v>
      </c>
      <c r="R19" s="191">
        <v>3</v>
      </c>
      <c r="S19" s="191">
        <v>7</v>
      </c>
      <c r="T19" s="191">
        <v>2</v>
      </c>
      <c r="U19" s="191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97" t="s">
        <v>80</v>
      </c>
      <c r="AD19" s="199">
        <v>0</v>
      </c>
      <c r="AE19" s="199">
        <v>8</v>
      </c>
      <c r="AF19" s="199">
        <v>1</v>
      </c>
      <c r="AG19" s="199">
        <v>5</v>
      </c>
      <c r="AH19" s="199">
        <v>0</v>
      </c>
      <c r="AI19" s="5"/>
      <c r="AJ19" s="197" t="s">
        <v>80</v>
      </c>
      <c r="AK19" s="199">
        <v>0</v>
      </c>
      <c r="AL19" s="199">
        <v>8</v>
      </c>
      <c r="AM19" s="199">
        <v>1</v>
      </c>
      <c r="AN19" s="199">
        <v>5</v>
      </c>
      <c r="AO19" s="199">
        <v>0</v>
      </c>
    </row>
    <row r="20" spans="1:41" ht="15.9" customHeight="1">
      <c r="A20" s="199" t="s">
        <v>82</v>
      </c>
      <c r="B20" s="197" t="s">
        <v>311</v>
      </c>
      <c r="C20" s="199">
        <v>0</v>
      </c>
      <c r="D20" s="199">
        <v>4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16</v>
      </c>
      <c r="L20" s="192" t="s">
        <v>78</v>
      </c>
      <c r="M20" s="192" t="s">
        <v>15</v>
      </c>
      <c r="N20" s="192" t="s">
        <v>85</v>
      </c>
      <c r="O20" s="192" t="s">
        <v>13</v>
      </c>
      <c r="Q20" s="191">
        <v>3</v>
      </c>
      <c r="R20" s="191">
        <v>11</v>
      </c>
      <c r="S20" s="191">
        <v>2</v>
      </c>
      <c r="T20" s="191">
        <v>18</v>
      </c>
      <c r="U20" s="191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97" t="s">
        <v>81</v>
      </c>
      <c r="AD20" s="199">
        <v>0</v>
      </c>
      <c r="AE20" s="199">
        <v>5</v>
      </c>
      <c r="AF20" s="199">
        <v>4</v>
      </c>
      <c r="AG20" s="199">
        <v>4</v>
      </c>
      <c r="AH20" s="199">
        <v>0</v>
      </c>
      <c r="AI20" s="5"/>
      <c r="AJ20" s="197" t="s">
        <v>81</v>
      </c>
      <c r="AK20" s="199">
        <v>0</v>
      </c>
      <c r="AL20" s="199">
        <v>5</v>
      </c>
      <c r="AM20" s="199">
        <v>4</v>
      </c>
      <c r="AN20" s="199">
        <v>4</v>
      </c>
      <c r="AO20" s="199">
        <v>0</v>
      </c>
    </row>
    <row r="21" spans="1:41" ht="15.9" customHeight="1">
      <c r="A21" s="199" t="s">
        <v>94</v>
      </c>
      <c r="B21" s="197" t="s">
        <v>312</v>
      </c>
      <c r="C21" s="199">
        <v>0</v>
      </c>
      <c r="D21" s="199">
        <v>4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95</v>
      </c>
      <c r="M21" s="192" t="s">
        <v>30</v>
      </c>
      <c r="N21" s="192" t="s">
        <v>28</v>
      </c>
      <c r="O21" s="192" t="s">
        <v>95</v>
      </c>
      <c r="Q21" s="191">
        <v>7</v>
      </c>
      <c r="R21" s="191">
        <v>6</v>
      </c>
      <c r="S21" s="191">
        <v>10</v>
      </c>
      <c r="T21" s="191">
        <v>9</v>
      </c>
      <c r="U21" s="191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97" t="s">
        <v>96</v>
      </c>
      <c r="AD21" s="199">
        <v>0</v>
      </c>
      <c r="AE21" s="199">
        <v>5</v>
      </c>
      <c r="AF21" s="199">
        <v>4</v>
      </c>
      <c r="AG21" s="199">
        <v>4</v>
      </c>
      <c r="AH21" s="199">
        <v>0</v>
      </c>
      <c r="AI21" s="5"/>
      <c r="AJ21" s="197" t="s">
        <v>96</v>
      </c>
      <c r="AK21" s="199">
        <v>0</v>
      </c>
      <c r="AL21" s="199">
        <v>5</v>
      </c>
      <c r="AM21" s="199">
        <v>4</v>
      </c>
      <c r="AN21" s="199">
        <v>4</v>
      </c>
      <c r="AO21" s="199">
        <v>0</v>
      </c>
    </row>
    <row r="22" spans="1:41" ht="15.9" customHeight="1">
      <c r="A22" s="199" t="s">
        <v>85</v>
      </c>
      <c r="B22" s="197" t="s">
        <v>313</v>
      </c>
      <c r="C22" s="199">
        <v>0</v>
      </c>
      <c r="D22" s="199">
        <v>8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95</v>
      </c>
      <c r="M22" s="192" t="s">
        <v>29</v>
      </c>
      <c r="N22" s="192" t="s">
        <v>12</v>
      </c>
      <c r="O22" s="192" t="s">
        <v>15</v>
      </c>
      <c r="Q22" s="191">
        <v>8</v>
      </c>
      <c r="R22" s="191">
        <v>6</v>
      </c>
      <c r="S22" s="191">
        <v>8</v>
      </c>
      <c r="T22" s="191">
        <v>4</v>
      </c>
      <c r="U22" s="191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97" t="s">
        <v>82</v>
      </c>
      <c r="AD22" s="199">
        <v>0</v>
      </c>
      <c r="AE22" s="199">
        <v>5</v>
      </c>
      <c r="AF22" s="199">
        <v>4</v>
      </c>
      <c r="AG22" s="199">
        <v>4</v>
      </c>
      <c r="AH22" s="199">
        <v>0</v>
      </c>
      <c r="AI22" s="5"/>
      <c r="AJ22" s="197" t="s">
        <v>82</v>
      </c>
      <c r="AK22" s="199">
        <v>0</v>
      </c>
      <c r="AL22" s="199">
        <v>5</v>
      </c>
      <c r="AM22" s="199">
        <v>4</v>
      </c>
      <c r="AN22" s="199">
        <v>4</v>
      </c>
      <c r="AO22" s="199">
        <v>0</v>
      </c>
    </row>
    <row r="23" spans="1:41" ht="15.9" customHeight="1">
      <c r="A23" s="199" t="s">
        <v>87</v>
      </c>
      <c r="B23" s="197" t="s">
        <v>314</v>
      </c>
      <c r="C23" s="199">
        <v>0</v>
      </c>
      <c r="D23" s="199">
        <v>5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95</v>
      </c>
      <c r="L23" s="192" t="s">
        <v>13</v>
      </c>
      <c r="M23" s="192" t="s">
        <v>95</v>
      </c>
      <c r="N23" s="192" t="s">
        <v>82</v>
      </c>
      <c r="O23" s="192" t="s">
        <v>15</v>
      </c>
      <c r="Q23" s="191">
        <v>6</v>
      </c>
      <c r="R23" s="191">
        <v>5</v>
      </c>
      <c r="S23" s="191">
        <v>6</v>
      </c>
      <c r="T23" s="191">
        <v>16</v>
      </c>
      <c r="U23" s="191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97" t="s">
        <v>94</v>
      </c>
      <c r="AD23" s="199">
        <v>0</v>
      </c>
      <c r="AE23" s="199">
        <v>5</v>
      </c>
      <c r="AF23" s="199">
        <v>4</v>
      </c>
      <c r="AG23" s="199">
        <v>4</v>
      </c>
      <c r="AH23" s="199">
        <v>0</v>
      </c>
      <c r="AI23" s="5"/>
      <c r="AJ23" s="197" t="s">
        <v>94</v>
      </c>
      <c r="AK23" s="199">
        <v>0</v>
      </c>
      <c r="AL23" s="199">
        <v>5</v>
      </c>
      <c r="AM23" s="199">
        <v>4</v>
      </c>
      <c r="AN23" s="199">
        <v>4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94</v>
      </c>
      <c r="M24" s="192" t="s">
        <v>31</v>
      </c>
      <c r="N24" s="192" t="s">
        <v>28</v>
      </c>
      <c r="O24" s="192" t="s">
        <v>13</v>
      </c>
      <c r="Q24" s="191">
        <v>7</v>
      </c>
      <c r="R24" s="191">
        <v>17</v>
      </c>
      <c r="S24" s="191">
        <v>7</v>
      </c>
      <c r="T24" s="191">
        <v>9</v>
      </c>
      <c r="U24" s="191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97" t="s">
        <v>85</v>
      </c>
      <c r="AD24" s="199">
        <v>0</v>
      </c>
      <c r="AE24" s="199">
        <v>9</v>
      </c>
      <c r="AF24" s="199">
        <v>1</v>
      </c>
      <c r="AG24" s="199">
        <v>5</v>
      </c>
      <c r="AH24" s="199">
        <v>0</v>
      </c>
      <c r="AI24" s="5"/>
      <c r="AJ24" s="197" t="s">
        <v>85</v>
      </c>
      <c r="AK24" s="199">
        <v>0</v>
      </c>
      <c r="AL24" s="199">
        <v>9</v>
      </c>
      <c r="AM24" s="199">
        <v>1</v>
      </c>
      <c r="AN24" s="199">
        <v>5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94</v>
      </c>
      <c r="M25" s="192" t="s">
        <v>12</v>
      </c>
      <c r="N25" s="192" t="s">
        <v>15</v>
      </c>
      <c r="O25" s="192" t="s">
        <v>15</v>
      </c>
      <c r="Q25" s="191">
        <v>8</v>
      </c>
      <c r="R25" s="191">
        <v>17</v>
      </c>
      <c r="S25" s="191">
        <v>4</v>
      </c>
      <c r="T25" s="191">
        <v>2</v>
      </c>
      <c r="U25" s="191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97" t="s">
        <v>87</v>
      </c>
      <c r="AD25" s="199">
        <v>0</v>
      </c>
      <c r="AE25" s="199">
        <v>9</v>
      </c>
      <c r="AF25" s="199">
        <v>1</v>
      </c>
      <c r="AG25" s="199">
        <v>5</v>
      </c>
      <c r="AH25" s="199">
        <v>0</v>
      </c>
      <c r="AI25" s="5"/>
      <c r="AJ25" s="197" t="s">
        <v>87</v>
      </c>
      <c r="AK25" s="199">
        <v>0</v>
      </c>
      <c r="AL25" s="199">
        <v>9</v>
      </c>
      <c r="AM25" s="199">
        <v>1</v>
      </c>
      <c r="AN25" s="199">
        <v>5</v>
      </c>
      <c r="AO25" s="199">
        <v>0</v>
      </c>
    </row>
    <row r="26" spans="1:41" ht="16.5" customHeight="1">
      <c r="B26" s="5" t="s">
        <v>315</v>
      </c>
      <c r="C26" s="5">
        <v>1</v>
      </c>
      <c r="D26" s="154">
        <v>0.745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29</v>
      </c>
      <c r="L26" s="192" t="s">
        <v>16</v>
      </c>
      <c r="M26" s="192" t="s">
        <v>29</v>
      </c>
      <c r="N26" s="192" t="s">
        <v>31</v>
      </c>
      <c r="O26" s="192" t="s">
        <v>13</v>
      </c>
      <c r="Q26" s="191">
        <v>8</v>
      </c>
      <c r="R26" s="191">
        <v>3</v>
      </c>
      <c r="S26" s="191">
        <v>8</v>
      </c>
      <c r="T26" s="191">
        <v>7</v>
      </c>
      <c r="U26" s="191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1">
        <v>200</v>
      </c>
      <c r="AE26" s="101">
        <v>209</v>
      </c>
      <c r="AF26" s="101">
        <v>209</v>
      </c>
      <c r="AG26" s="101">
        <v>209</v>
      </c>
      <c r="AH26" s="101">
        <v>200</v>
      </c>
      <c r="AI26" s="5"/>
      <c r="AK26" s="101">
        <v>200</v>
      </c>
      <c r="AL26" s="101">
        <v>209</v>
      </c>
      <c r="AM26" s="101">
        <v>209</v>
      </c>
      <c r="AN26" s="101">
        <v>209</v>
      </c>
      <c r="AO26" s="101">
        <v>200</v>
      </c>
    </row>
    <row r="27" spans="1:41" ht="16.5" customHeight="1">
      <c r="B27" s="5" t="s">
        <v>316</v>
      </c>
      <c r="C27" s="5">
        <v>0</v>
      </c>
      <c r="D27" s="154">
        <v>0.255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29</v>
      </c>
      <c r="L27" s="192" t="s">
        <v>12</v>
      </c>
      <c r="M27" s="192" t="s">
        <v>95</v>
      </c>
      <c r="N27" s="192" t="s">
        <v>14</v>
      </c>
      <c r="O27" s="192" t="s">
        <v>95</v>
      </c>
      <c r="Q27" s="191">
        <v>8</v>
      </c>
      <c r="R27" s="191">
        <v>4</v>
      </c>
      <c r="S27" s="191">
        <v>6</v>
      </c>
      <c r="T27" s="191">
        <v>1</v>
      </c>
      <c r="U27" s="191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13</v>
      </c>
      <c r="L28" s="192" t="s">
        <v>12</v>
      </c>
      <c r="M28" s="192" t="s">
        <v>28</v>
      </c>
      <c r="N28" s="192" t="s">
        <v>87</v>
      </c>
      <c r="O28" s="192" t="s">
        <v>29</v>
      </c>
      <c r="Q28" s="191">
        <v>5</v>
      </c>
      <c r="R28" s="191">
        <v>4</v>
      </c>
      <c r="S28" s="191">
        <v>9</v>
      </c>
      <c r="T28" s="191">
        <v>19</v>
      </c>
      <c r="U28" s="191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303</v>
      </c>
      <c r="AH28" s="5"/>
      <c r="AI28" s="5"/>
      <c r="AJ28" s="25" t="s">
        <v>303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29</v>
      </c>
      <c r="M29" s="192" t="s">
        <v>29</v>
      </c>
      <c r="N29" s="192" t="s">
        <v>12</v>
      </c>
      <c r="O29" s="192" t="s">
        <v>12</v>
      </c>
      <c r="Q29" s="191">
        <v>8</v>
      </c>
      <c r="R29" s="191">
        <v>8</v>
      </c>
      <c r="S29" s="191">
        <v>8</v>
      </c>
      <c r="T29" s="191">
        <v>4</v>
      </c>
      <c r="U29" s="191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29</v>
      </c>
      <c r="M30" s="192" t="s">
        <v>95</v>
      </c>
      <c r="N30" s="192" t="s">
        <v>30</v>
      </c>
      <c r="O30" s="192" t="s">
        <v>95</v>
      </c>
      <c r="Q30" s="191">
        <v>7</v>
      </c>
      <c r="R30" s="191">
        <v>8</v>
      </c>
      <c r="S30" s="191">
        <v>6</v>
      </c>
      <c r="T30" s="191">
        <v>10</v>
      </c>
      <c r="U30" s="191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97" t="s">
        <v>301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301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13</v>
      </c>
      <c r="L31" s="192" t="s">
        <v>85</v>
      </c>
      <c r="M31" s="192" t="s">
        <v>31</v>
      </c>
      <c r="N31" s="192" t="s">
        <v>87</v>
      </c>
      <c r="O31" s="192" t="s">
        <v>28</v>
      </c>
      <c r="Q31" s="191">
        <v>5</v>
      </c>
      <c r="R31" s="191">
        <v>18</v>
      </c>
      <c r="S31" s="191">
        <v>7</v>
      </c>
      <c r="T31" s="191">
        <v>19</v>
      </c>
      <c r="U31" s="191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97" t="s">
        <v>14</v>
      </c>
      <c r="AD31" s="197">
        <v>6</v>
      </c>
      <c r="AE31" s="197">
        <v>6</v>
      </c>
      <c r="AF31" s="197">
        <v>6</v>
      </c>
      <c r="AG31" s="197">
        <v>9</v>
      </c>
      <c r="AH31" s="197">
        <v>9</v>
      </c>
      <c r="AI31" s="5"/>
      <c r="AJ31" s="197" t="s">
        <v>14</v>
      </c>
      <c r="AK31" s="197">
        <v>6</v>
      </c>
      <c r="AL31" s="197">
        <v>6</v>
      </c>
      <c r="AM31" s="197">
        <v>6</v>
      </c>
      <c r="AN31" s="197">
        <v>9</v>
      </c>
      <c r="AO31" s="197">
        <v>9</v>
      </c>
    </row>
    <row r="32" spans="1:41" ht="16.5" customHeight="1">
      <c r="J32" s="23">
        <v>28</v>
      </c>
      <c r="K32" s="192" t="s">
        <v>29</v>
      </c>
      <c r="L32" s="192" t="s">
        <v>81</v>
      </c>
      <c r="M32" s="192" t="s">
        <v>95</v>
      </c>
      <c r="N32" s="192" t="s">
        <v>78</v>
      </c>
      <c r="O32" s="192" t="s">
        <v>28</v>
      </c>
      <c r="Q32" s="191">
        <v>8</v>
      </c>
      <c r="R32" s="191">
        <v>14</v>
      </c>
      <c r="S32" s="191">
        <v>6</v>
      </c>
      <c r="T32" s="191">
        <v>11</v>
      </c>
      <c r="U32" s="191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2" t="s">
        <v>15</v>
      </c>
      <c r="AD32" s="198">
        <v>4</v>
      </c>
      <c r="AE32" s="198">
        <v>17</v>
      </c>
      <c r="AF32" s="198">
        <v>4</v>
      </c>
      <c r="AG32" s="198">
        <v>21</v>
      </c>
      <c r="AH32" s="198">
        <v>22</v>
      </c>
      <c r="AI32" s="5"/>
      <c r="AJ32" s="132" t="s">
        <v>15</v>
      </c>
      <c r="AK32" s="198">
        <v>4</v>
      </c>
      <c r="AL32" s="198">
        <v>17</v>
      </c>
      <c r="AM32" s="198">
        <v>4</v>
      </c>
      <c r="AN32" s="198">
        <v>21</v>
      </c>
      <c r="AO32" s="198">
        <v>22</v>
      </c>
    </row>
    <row r="33" spans="10:41" ht="16.5" customHeight="1">
      <c r="J33" s="191">
        <v>29</v>
      </c>
      <c r="K33" s="192" t="s">
        <v>15</v>
      </c>
      <c r="L33" s="192" t="s">
        <v>80</v>
      </c>
      <c r="M33" s="192" t="s">
        <v>13</v>
      </c>
      <c r="N33" s="192" t="s">
        <v>16</v>
      </c>
      <c r="O33" s="192" t="s">
        <v>15</v>
      </c>
      <c r="Q33" s="191">
        <v>2</v>
      </c>
      <c r="R33" s="191">
        <v>13</v>
      </c>
      <c r="S33" s="191">
        <v>5</v>
      </c>
      <c r="T33" s="191">
        <v>3</v>
      </c>
      <c r="U33" s="191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2" t="s">
        <v>16</v>
      </c>
      <c r="AD33" s="198">
        <v>4</v>
      </c>
      <c r="AE33" s="198">
        <v>18</v>
      </c>
      <c r="AF33" s="198">
        <v>4</v>
      </c>
      <c r="AG33" s="198">
        <v>20</v>
      </c>
      <c r="AH33" s="198">
        <v>22</v>
      </c>
      <c r="AI33" s="5"/>
      <c r="AJ33" s="132" t="s">
        <v>16</v>
      </c>
      <c r="AK33" s="198">
        <v>4</v>
      </c>
      <c r="AL33" s="198">
        <v>18</v>
      </c>
      <c r="AM33" s="198">
        <v>4</v>
      </c>
      <c r="AN33" s="198">
        <v>20</v>
      </c>
      <c r="AO33" s="198">
        <v>22</v>
      </c>
    </row>
    <row r="34" spans="10:41" ht="16.5" customHeight="1">
      <c r="J34" s="23">
        <v>30</v>
      </c>
      <c r="K34" s="192" t="s">
        <v>29</v>
      </c>
      <c r="L34" s="192" t="s">
        <v>30</v>
      </c>
      <c r="M34" s="192" t="s">
        <v>29</v>
      </c>
      <c r="N34" s="192" t="s">
        <v>15</v>
      </c>
      <c r="O34" s="192" t="s">
        <v>15</v>
      </c>
      <c r="Q34" s="191">
        <v>8</v>
      </c>
      <c r="R34" s="191">
        <v>10</v>
      </c>
      <c r="S34" s="191">
        <v>8</v>
      </c>
      <c r="T34" s="191">
        <v>2</v>
      </c>
      <c r="U34" s="191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2" t="s">
        <v>12</v>
      </c>
      <c r="AD34" s="198">
        <v>4</v>
      </c>
      <c r="AE34" s="198">
        <v>18</v>
      </c>
      <c r="AF34" s="198">
        <v>4</v>
      </c>
      <c r="AG34" s="198">
        <v>20</v>
      </c>
      <c r="AH34" s="198">
        <v>21</v>
      </c>
      <c r="AI34" s="5"/>
      <c r="AJ34" s="132" t="s">
        <v>12</v>
      </c>
      <c r="AK34" s="198">
        <v>4</v>
      </c>
      <c r="AL34" s="198">
        <v>18</v>
      </c>
      <c r="AM34" s="198">
        <v>4</v>
      </c>
      <c r="AN34" s="198">
        <v>20</v>
      </c>
      <c r="AO34" s="198">
        <v>21</v>
      </c>
    </row>
    <row r="35" spans="10:41" ht="16.5" customHeight="1">
      <c r="J35" s="191">
        <v>31</v>
      </c>
      <c r="K35" s="192" t="s">
        <v>13</v>
      </c>
      <c r="L35" s="192" t="s">
        <v>30</v>
      </c>
      <c r="M35" s="192" t="s">
        <v>31</v>
      </c>
      <c r="N35" s="192" t="s">
        <v>95</v>
      </c>
      <c r="O35" s="192" t="s">
        <v>14</v>
      </c>
      <c r="Q35" s="191">
        <v>5</v>
      </c>
      <c r="R35" s="191">
        <v>10</v>
      </c>
      <c r="S35" s="191">
        <v>7</v>
      </c>
      <c r="T35" s="191">
        <v>6</v>
      </c>
      <c r="U35" s="191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2" t="s">
        <v>13</v>
      </c>
      <c r="AD35" s="198">
        <v>40</v>
      </c>
      <c r="AE35" s="198">
        <v>14</v>
      </c>
      <c r="AF35" s="198">
        <v>41</v>
      </c>
      <c r="AG35" s="198">
        <v>14</v>
      </c>
      <c r="AH35" s="198">
        <v>21</v>
      </c>
      <c r="AI35" s="5"/>
      <c r="AJ35" s="132" t="s">
        <v>13</v>
      </c>
      <c r="AK35" s="198">
        <v>40</v>
      </c>
      <c r="AL35" s="198">
        <v>14</v>
      </c>
      <c r="AM35" s="198">
        <v>41</v>
      </c>
      <c r="AN35" s="198">
        <v>14</v>
      </c>
      <c r="AO35" s="198">
        <v>21</v>
      </c>
    </row>
    <row r="36" spans="10:41" ht="16.5" customHeight="1">
      <c r="J36" s="23">
        <v>32</v>
      </c>
      <c r="K36" s="192" t="s">
        <v>31</v>
      </c>
      <c r="L36" s="192" t="s">
        <v>13</v>
      </c>
      <c r="M36" s="192" t="s">
        <v>12</v>
      </c>
      <c r="N36" s="192" t="s">
        <v>95</v>
      </c>
      <c r="O36" s="192" t="s">
        <v>28</v>
      </c>
      <c r="Q36" s="191">
        <v>7</v>
      </c>
      <c r="R36" s="191">
        <v>5</v>
      </c>
      <c r="S36" s="191">
        <v>4</v>
      </c>
      <c r="T36" s="191">
        <v>6</v>
      </c>
      <c r="U36" s="191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2" t="s">
        <v>95</v>
      </c>
      <c r="AD36" s="198">
        <v>40</v>
      </c>
      <c r="AE36" s="198">
        <v>14</v>
      </c>
      <c r="AF36" s="198">
        <v>41</v>
      </c>
      <c r="AG36" s="198">
        <v>14</v>
      </c>
      <c r="AH36" s="198">
        <v>21</v>
      </c>
      <c r="AI36" s="5"/>
      <c r="AJ36" s="132" t="s">
        <v>95</v>
      </c>
      <c r="AK36" s="198">
        <v>40</v>
      </c>
      <c r="AL36" s="198">
        <v>14</v>
      </c>
      <c r="AM36" s="198">
        <v>41</v>
      </c>
      <c r="AN36" s="198">
        <v>14</v>
      </c>
      <c r="AO36" s="198">
        <v>21</v>
      </c>
    </row>
    <row r="37" spans="10:41" ht="16.5" customHeight="1">
      <c r="J37" s="191">
        <v>33</v>
      </c>
      <c r="K37" s="192" t="s">
        <v>13</v>
      </c>
      <c r="L37" s="192" t="s">
        <v>29</v>
      </c>
      <c r="M37" s="192" t="s">
        <v>29</v>
      </c>
      <c r="N37" s="192" t="s">
        <v>82</v>
      </c>
      <c r="O37" s="192" t="s">
        <v>29</v>
      </c>
      <c r="Q37" s="191">
        <v>5</v>
      </c>
      <c r="R37" s="191">
        <v>8</v>
      </c>
      <c r="S37" s="191">
        <v>8</v>
      </c>
      <c r="T37" s="191">
        <v>16</v>
      </c>
      <c r="U37" s="191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2" t="s">
        <v>31</v>
      </c>
      <c r="AD37" s="198">
        <v>47</v>
      </c>
      <c r="AE37" s="198">
        <v>13</v>
      </c>
      <c r="AF37" s="198">
        <v>41</v>
      </c>
      <c r="AG37" s="198">
        <v>14</v>
      </c>
      <c r="AH37" s="198">
        <v>21</v>
      </c>
      <c r="AI37" s="5"/>
      <c r="AJ37" s="132" t="s">
        <v>31</v>
      </c>
      <c r="AK37" s="198">
        <v>47</v>
      </c>
      <c r="AL37" s="198">
        <v>13</v>
      </c>
      <c r="AM37" s="198">
        <v>41</v>
      </c>
      <c r="AN37" s="198">
        <v>14</v>
      </c>
      <c r="AO37" s="198">
        <v>21</v>
      </c>
    </row>
    <row r="38" spans="10:41" ht="16.5" customHeight="1">
      <c r="J38" s="23">
        <v>34</v>
      </c>
      <c r="K38" s="192" t="s">
        <v>95</v>
      </c>
      <c r="L38" s="192" t="s">
        <v>79</v>
      </c>
      <c r="M38" s="192" t="s">
        <v>13</v>
      </c>
      <c r="N38" s="192" t="s">
        <v>29</v>
      </c>
      <c r="O38" s="192" t="s">
        <v>16</v>
      </c>
      <c r="Q38" s="191">
        <v>6</v>
      </c>
      <c r="R38" s="191">
        <v>12</v>
      </c>
      <c r="S38" s="191">
        <v>5</v>
      </c>
      <c r="T38" s="191">
        <v>8</v>
      </c>
      <c r="U38" s="191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2" t="s">
        <v>29</v>
      </c>
      <c r="AD38" s="198">
        <v>47</v>
      </c>
      <c r="AE38" s="198">
        <v>13</v>
      </c>
      <c r="AF38" s="198">
        <v>41</v>
      </c>
      <c r="AG38" s="198">
        <v>14</v>
      </c>
      <c r="AH38" s="198">
        <v>21</v>
      </c>
      <c r="AI38" s="5"/>
      <c r="AJ38" s="132" t="s">
        <v>29</v>
      </c>
      <c r="AK38" s="198">
        <v>47</v>
      </c>
      <c r="AL38" s="198">
        <v>13</v>
      </c>
      <c r="AM38" s="198">
        <v>41</v>
      </c>
      <c r="AN38" s="198">
        <v>14</v>
      </c>
      <c r="AO38" s="198">
        <v>21</v>
      </c>
    </row>
    <row r="39" spans="10:41" ht="16.5" customHeight="1">
      <c r="J39" s="191">
        <v>35</v>
      </c>
      <c r="K39" s="192" t="s">
        <v>95</v>
      </c>
      <c r="L39" s="192" t="s">
        <v>31</v>
      </c>
      <c r="M39" s="192" t="s">
        <v>95</v>
      </c>
      <c r="N39" s="192" t="s">
        <v>15</v>
      </c>
      <c r="O39" s="192" t="s">
        <v>30</v>
      </c>
      <c r="Q39" s="191">
        <v>6</v>
      </c>
      <c r="R39" s="191">
        <v>7</v>
      </c>
      <c r="S39" s="191">
        <v>6</v>
      </c>
      <c r="T39" s="191">
        <v>2</v>
      </c>
      <c r="U39" s="191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2" t="s">
        <v>28</v>
      </c>
      <c r="AD39" s="198">
        <v>4</v>
      </c>
      <c r="AE39" s="198">
        <v>17</v>
      </c>
      <c r="AF39" s="198">
        <v>3</v>
      </c>
      <c r="AG39" s="198">
        <v>21</v>
      </c>
      <c r="AH39" s="198">
        <v>21</v>
      </c>
      <c r="AI39" s="5"/>
      <c r="AJ39" s="132" t="s">
        <v>28</v>
      </c>
      <c r="AK39" s="198">
        <v>4</v>
      </c>
      <c r="AL39" s="198">
        <v>17</v>
      </c>
      <c r="AM39" s="198">
        <v>3</v>
      </c>
      <c r="AN39" s="198">
        <v>21</v>
      </c>
      <c r="AO39" s="198">
        <v>21</v>
      </c>
    </row>
    <row r="40" spans="10:41" ht="16.5" customHeight="1">
      <c r="J40" s="23">
        <v>36</v>
      </c>
      <c r="K40" s="192" t="s">
        <v>31</v>
      </c>
      <c r="L40" s="192" t="s">
        <v>82</v>
      </c>
      <c r="M40" s="192" t="s">
        <v>29</v>
      </c>
      <c r="N40" s="192" t="s">
        <v>81</v>
      </c>
      <c r="O40" s="192" t="s">
        <v>15</v>
      </c>
      <c r="Q40" s="191">
        <v>7</v>
      </c>
      <c r="R40" s="191">
        <v>16</v>
      </c>
      <c r="S40" s="191">
        <v>8</v>
      </c>
      <c r="T40" s="191">
        <v>14</v>
      </c>
      <c r="U40" s="191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2" t="s">
        <v>30</v>
      </c>
      <c r="AD40" s="198">
        <v>4</v>
      </c>
      <c r="AE40" s="198">
        <v>17</v>
      </c>
      <c r="AF40" s="198">
        <v>3</v>
      </c>
      <c r="AG40" s="198">
        <v>21</v>
      </c>
      <c r="AH40" s="198">
        <v>21</v>
      </c>
      <c r="AI40" s="5"/>
      <c r="AJ40" s="132" t="s">
        <v>30</v>
      </c>
      <c r="AK40" s="198">
        <v>4</v>
      </c>
      <c r="AL40" s="198">
        <v>17</v>
      </c>
      <c r="AM40" s="198">
        <v>3</v>
      </c>
      <c r="AN40" s="198">
        <v>21</v>
      </c>
      <c r="AO40" s="198">
        <v>21</v>
      </c>
    </row>
    <row r="41" spans="10:41" ht="16.5" customHeight="1">
      <c r="J41" s="191">
        <v>37</v>
      </c>
      <c r="K41" s="192" t="s">
        <v>13</v>
      </c>
      <c r="L41" s="192" t="s">
        <v>82</v>
      </c>
      <c r="M41" s="192" t="s">
        <v>31</v>
      </c>
      <c r="N41" s="192" t="s">
        <v>14</v>
      </c>
      <c r="O41" s="192" t="s">
        <v>28</v>
      </c>
      <c r="Q41" s="191">
        <v>5</v>
      </c>
      <c r="R41" s="191">
        <v>16</v>
      </c>
      <c r="S41" s="191">
        <v>7</v>
      </c>
      <c r="T41" s="191">
        <v>1</v>
      </c>
      <c r="U41" s="191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97" t="s">
        <v>78</v>
      </c>
      <c r="AD41" s="199">
        <v>0</v>
      </c>
      <c r="AE41" s="199">
        <v>8</v>
      </c>
      <c r="AF41" s="199">
        <v>1</v>
      </c>
      <c r="AG41" s="199">
        <v>5</v>
      </c>
      <c r="AH41" s="199">
        <v>0</v>
      </c>
      <c r="AI41" s="5"/>
      <c r="AJ41" s="197" t="s">
        <v>78</v>
      </c>
      <c r="AK41" s="199">
        <v>0</v>
      </c>
      <c r="AL41" s="199">
        <v>8</v>
      </c>
      <c r="AM41" s="199">
        <v>1</v>
      </c>
      <c r="AN41" s="199">
        <v>5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30</v>
      </c>
      <c r="M42" s="192" t="s">
        <v>30</v>
      </c>
      <c r="N42" s="192" t="s">
        <v>95</v>
      </c>
      <c r="O42" s="192" t="s">
        <v>13</v>
      </c>
      <c r="Q42" s="191">
        <v>5</v>
      </c>
      <c r="R42" s="191">
        <v>10</v>
      </c>
      <c r="S42" s="191">
        <v>10</v>
      </c>
      <c r="T42" s="191">
        <v>6</v>
      </c>
      <c r="U42" s="191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97" t="s">
        <v>79</v>
      </c>
      <c r="AD42" s="199">
        <v>0</v>
      </c>
      <c r="AE42" s="199">
        <v>8</v>
      </c>
      <c r="AF42" s="199">
        <v>1</v>
      </c>
      <c r="AG42" s="199">
        <v>5</v>
      </c>
      <c r="AH42" s="199">
        <v>0</v>
      </c>
      <c r="AI42" s="5"/>
      <c r="AJ42" s="197" t="s">
        <v>79</v>
      </c>
      <c r="AK42" s="199">
        <v>0</v>
      </c>
      <c r="AL42" s="199">
        <v>8</v>
      </c>
      <c r="AM42" s="199">
        <v>1</v>
      </c>
      <c r="AN42" s="199">
        <v>5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31</v>
      </c>
      <c r="N43" s="192" t="s">
        <v>95</v>
      </c>
      <c r="O43" s="192" t="s">
        <v>13</v>
      </c>
      <c r="Q43" s="191">
        <v>5</v>
      </c>
      <c r="R43" s="191">
        <v>5</v>
      </c>
      <c r="S43" s="191">
        <v>7</v>
      </c>
      <c r="T43" s="191">
        <v>6</v>
      </c>
      <c r="U43" s="191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97" t="s">
        <v>80</v>
      </c>
      <c r="AD43" s="199">
        <v>0</v>
      </c>
      <c r="AE43" s="199">
        <v>8</v>
      </c>
      <c r="AF43" s="199">
        <v>1</v>
      </c>
      <c r="AG43" s="199">
        <v>5</v>
      </c>
      <c r="AH43" s="199">
        <v>0</v>
      </c>
      <c r="AI43" s="5"/>
      <c r="AJ43" s="197" t="s">
        <v>80</v>
      </c>
      <c r="AK43" s="199">
        <v>0</v>
      </c>
      <c r="AL43" s="199">
        <v>8</v>
      </c>
      <c r="AM43" s="199">
        <v>1</v>
      </c>
      <c r="AN43" s="199">
        <v>5</v>
      </c>
      <c r="AO43" s="199">
        <v>0</v>
      </c>
    </row>
    <row r="44" spans="10:41" ht="16.5" customHeight="1">
      <c r="J44" s="23">
        <v>40</v>
      </c>
      <c r="K44" s="192" t="s">
        <v>29</v>
      </c>
      <c r="L44" s="192" t="s">
        <v>16</v>
      </c>
      <c r="M44" s="192" t="s">
        <v>13</v>
      </c>
      <c r="N44" s="192" t="s">
        <v>94</v>
      </c>
      <c r="O44" s="192" t="s">
        <v>31</v>
      </c>
      <c r="Q44" s="191">
        <v>8</v>
      </c>
      <c r="R44" s="191">
        <v>3</v>
      </c>
      <c r="S44" s="191">
        <v>5</v>
      </c>
      <c r="T44" s="191">
        <v>17</v>
      </c>
      <c r="U44" s="191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97" t="s">
        <v>81</v>
      </c>
      <c r="AD44" s="199">
        <v>0</v>
      </c>
      <c r="AE44" s="199">
        <v>5</v>
      </c>
      <c r="AF44" s="199">
        <v>4</v>
      </c>
      <c r="AG44" s="199">
        <v>4</v>
      </c>
      <c r="AH44" s="199">
        <v>0</v>
      </c>
      <c r="AI44" s="5"/>
      <c r="AJ44" s="197" t="s">
        <v>81</v>
      </c>
      <c r="AK44" s="199">
        <v>0</v>
      </c>
      <c r="AL44" s="199">
        <v>5</v>
      </c>
      <c r="AM44" s="199">
        <v>4</v>
      </c>
      <c r="AN44" s="199">
        <v>4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30</v>
      </c>
      <c r="M45" s="192" t="s">
        <v>95</v>
      </c>
      <c r="N45" s="192" t="s">
        <v>15</v>
      </c>
      <c r="O45" s="192" t="s">
        <v>13</v>
      </c>
      <c r="Q45" s="191">
        <v>6</v>
      </c>
      <c r="R45" s="191">
        <v>10</v>
      </c>
      <c r="S45" s="191">
        <v>6</v>
      </c>
      <c r="T45" s="191">
        <v>2</v>
      </c>
      <c r="U45" s="191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97" t="s">
        <v>96</v>
      </c>
      <c r="AD45" s="199">
        <v>0</v>
      </c>
      <c r="AE45" s="199">
        <v>5</v>
      </c>
      <c r="AF45" s="199">
        <v>4</v>
      </c>
      <c r="AG45" s="199">
        <v>4</v>
      </c>
      <c r="AH45" s="199">
        <v>0</v>
      </c>
      <c r="AI45" s="5"/>
      <c r="AJ45" s="197" t="s">
        <v>96</v>
      </c>
      <c r="AK45" s="199">
        <v>0</v>
      </c>
      <c r="AL45" s="199">
        <v>5</v>
      </c>
      <c r="AM45" s="199">
        <v>4</v>
      </c>
      <c r="AN45" s="199">
        <v>4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13</v>
      </c>
      <c r="M46" s="192" t="s">
        <v>31</v>
      </c>
      <c r="N46" s="192" t="s">
        <v>16</v>
      </c>
      <c r="O46" s="192" t="s">
        <v>30</v>
      </c>
      <c r="Q46" s="191">
        <v>6</v>
      </c>
      <c r="R46" s="191">
        <v>5</v>
      </c>
      <c r="S46" s="191">
        <v>7</v>
      </c>
      <c r="T46" s="191">
        <v>3</v>
      </c>
      <c r="U46" s="191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97" t="s">
        <v>82</v>
      </c>
      <c r="AD46" s="199">
        <v>0</v>
      </c>
      <c r="AE46" s="199">
        <v>5</v>
      </c>
      <c r="AF46" s="199">
        <v>4</v>
      </c>
      <c r="AG46" s="199">
        <v>4</v>
      </c>
      <c r="AH46" s="199">
        <v>0</v>
      </c>
      <c r="AI46" s="5"/>
      <c r="AJ46" s="197" t="s">
        <v>82</v>
      </c>
      <c r="AK46" s="199">
        <v>0</v>
      </c>
      <c r="AL46" s="199">
        <v>5</v>
      </c>
      <c r="AM46" s="199">
        <v>4</v>
      </c>
      <c r="AN46" s="199">
        <v>4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85</v>
      </c>
      <c r="M47" s="192" t="s">
        <v>29</v>
      </c>
      <c r="N47" s="192" t="s">
        <v>16</v>
      </c>
      <c r="O47" s="192" t="s">
        <v>14</v>
      </c>
      <c r="Q47" s="191">
        <v>6</v>
      </c>
      <c r="R47" s="191">
        <v>18</v>
      </c>
      <c r="S47" s="191">
        <v>8</v>
      </c>
      <c r="T47" s="191">
        <v>3</v>
      </c>
      <c r="U47" s="191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97" t="s">
        <v>94</v>
      </c>
      <c r="AD47" s="199">
        <v>0</v>
      </c>
      <c r="AE47" s="199">
        <v>5</v>
      </c>
      <c r="AF47" s="199">
        <v>4</v>
      </c>
      <c r="AG47" s="199">
        <v>4</v>
      </c>
      <c r="AH47" s="199">
        <v>0</v>
      </c>
      <c r="AI47" s="5"/>
      <c r="AJ47" s="197" t="s">
        <v>94</v>
      </c>
      <c r="AK47" s="199">
        <v>0</v>
      </c>
      <c r="AL47" s="199">
        <v>5</v>
      </c>
      <c r="AM47" s="199">
        <v>4</v>
      </c>
      <c r="AN47" s="199">
        <v>4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14</v>
      </c>
      <c r="M48" s="192" t="s">
        <v>31</v>
      </c>
      <c r="N48" s="192" t="s">
        <v>15</v>
      </c>
      <c r="O48" s="192" t="s">
        <v>13</v>
      </c>
      <c r="Q48" s="191">
        <v>5</v>
      </c>
      <c r="R48" s="191">
        <v>1</v>
      </c>
      <c r="S48" s="191">
        <v>7</v>
      </c>
      <c r="T48" s="191">
        <v>2</v>
      </c>
      <c r="U48" s="191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97" t="s">
        <v>85</v>
      </c>
      <c r="AD48" s="199">
        <v>0</v>
      </c>
      <c r="AE48" s="199">
        <v>9</v>
      </c>
      <c r="AF48" s="199">
        <v>1</v>
      </c>
      <c r="AG48" s="199">
        <v>5</v>
      </c>
      <c r="AH48" s="199">
        <v>0</v>
      </c>
      <c r="AI48" s="5"/>
      <c r="AJ48" s="197" t="s">
        <v>85</v>
      </c>
      <c r="AK48" s="199">
        <v>0</v>
      </c>
      <c r="AL48" s="199">
        <v>9</v>
      </c>
      <c r="AM48" s="199">
        <v>1</v>
      </c>
      <c r="AN48" s="199">
        <v>5</v>
      </c>
      <c r="AO48" s="199">
        <v>0</v>
      </c>
    </row>
    <row r="49" spans="10:41" ht="16.5" customHeight="1">
      <c r="J49" s="191">
        <v>45</v>
      </c>
      <c r="K49" s="192" t="s">
        <v>29</v>
      </c>
      <c r="L49" s="192" t="s">
        <v>12</v>
      </c>
      <c r="M49" s="192" t="s">
        <v>95</v>
      </c>
      <c r="N49" s="192" t="s">
        <v>30</v>
      </c>
      <c r="O49" s="192" t="s">
        <v>12</v>
      </c>
      <c r="Q49" s="191">
        <v>8</v>
      </c>
      <c r="R49" s="191">
        <v>4</v>
      </c>
      <c r="S49" s="191">
        <v>6</v>
      </c>
      <c r="T49" s="191">
        <v>10</v>
      </c>
      <c r="U49" s="191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97" t="s">
        <v>87</v>
      </c>
      <c r="AD49" s="199">
        <v>0</v>
      </c>
      <c r="AE49" s="199">
        <v>9</v>
      </c>
      <c r="AF49" s="199">
        <v>1</v>
      </c>
      <c r="AG49" s="199">
        <v>5</v>
      </c>
      <c r="AH49" s="199">
        <v>0</v>
      </c>
      <c r="AI49" s="5"/>
      <c r="AJ49" s="197" t="s">
        <v>87</v>
      </c>
      <c r="AK49" s="199">
        <v>0</v>
      </c>
      <c r="AL49" s="199">
        <v>9</v>
      </c>
      <c r="AM49" s="199">
        <v>1</v>
      </c>
      <c r="AN49" s="199">
        <v>5</v>
      </c>
      <c r="AO49" s="199">
        <v>0</v>
      </c>
    </row>
    <row r="50" spans="10:41" ht="16.5" customHeight="1">
      <c r="J50" s="23">
        <v>46</v>
      </c>
      <c r="K50" s="192" t="s">
        <v>31</v>
      </c>
      <c r="L50" s="192" t="s">
        <v>15</v>
      </c>
      <c r="M50" s="192" t="s">
        <v>31</v>
      </c>
      <c r="N50" s="192" t="s">
        <v>16</v>
      </c>
      <c r="O50" s="192" t="s">
        <v>30</v>
      </c>
      <c r="Q50" s="191">
        <v>7</v>
      </c>
      <c r="R50" s="191">
        <v>2</v>
      </c>
      <c r="S50" s="191">
        <v>7</v>
      </c>
      <c r="T50" s="191">
        <v>3</v>
      </c>
      <c r="U50" s="191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1">
        <v>200</v>
      </c>
      <c r="AE50" s="101">
        <v>209</v>
      </c>
      <c r="AF50" s="101">
        <v>209</v>
      </c>
      <c r="AG50" s="101">
        <v>209</v>
      </c>
      <c r="AH50" s="101">
        <v>200</v>
      </c>
      <c r="AI50" s="5"/>
      <c r="AK50" s="101">
        <v>200</v>
      </c>
      <c r="AL50" s="101">
        <v>209</v>
      </c>
      <c r="AM50" s="101">
        <v>209</v>
      </c>
      <c r="AN50" s="101">
        <v>209</v>
      </c>
      <c r="AO50" s="101">
        <v>200</v>
      </c>
    </row>
    <row r="51" spans="10:41" ht="16.5" customHeight="1">
      <c r="J51" s="191">
        <v>47</v>
      </c>
      <c r="K51" s="192" t="s">
        <v>14</v>
      </c>
      <c r="L51" s="192" t="s">
        <v>15</v>
      </c>
      <c r="M51" s="192" t="s">
        <v>16</v>
      </c>
      <c r="N51" s="192" t="s">
        <v>15</v>
      </c>
      <c r="O51" s="192" t="s">
        <v>28</v>
      </c>
      <c r="Q51" s="191">
        <v>1</v>
      </c>
      <c r="R51" s="191">
        <v>2</v>
      </c>
      <c r="S51" s="191">
        <v>3</v>
      </c>
      <c r="T51" s="191">
        <v>2</v>
      </c>
      <c r="U51" s="191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29</v>
      </c>
      <c r="L52" s="192" t="s">
        <v>13</v>
      </c>
      <c r="M52" s="192" t="s">
        <v>31</v>
      </c>
      <c r="N52" s="192" t="s">
        <v>31</v>
      </c>
      <c r="O52" s="192" t="s">
        <v>15</v>
      </c>
      <c r="Q52" s="191">
        <v>8</v>
      </c>
      <c r="R52" s="191">
        <v>5</v>
      </c>
      <c r="S52" s="191">
        <v>7</v>
      </c>
      <c r="T52" s="191">
        <v>7</v>
      </c>
      <c r="U52" s="191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304</v>
      </c>
      <c r="AH52" s="5"/>
      <c r="AI52" s="5"/>
      <c r="AJ52" s="25" t="s">
        <v>304</v>
      </c>
      <c r="AO52" s="5"/>
    </row>
    <row r="53" spans="10:41" ht="16.5" customHeight="1">
      <c r="J53" s="191">
        <v>49</v>
      </c>
      <c r="K53" s="192" t="s">
        <v>31</v>
      </c>
      <c r="L53" s="192" t="s">
        <v>29</v>
      </c>
      <c r="M53" s="192" t="s">
        <v>31</v>
      </c>
      <c r="N53" s="192" t="s">
        <v>28</v>
      </c>
      <c r="O53" s="192" t="s">
        <v>31</v>
      </c>
      <c r="Q53" s="191">
        <v>7</v>
      </c>
      <c r="R53" s="191">
        <v>8</v>
      </c>
      <c r="S53" s="191">
        <v>7</v>
      </c>
      <c r="T53" s="191">
        <v>9</v>
      </c>
      <c r="U53" s="191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29</v>
      </c>
      <c r="M54" s="192" t="s">
        <v>31</v>
      </c>
      <c r="N54" s="192" t="s">
        <v>28</v>
      </c>
      <c r="O54" s="192" t="s">
        <v>12</v>
      </c>
      <c r="Q54" s="191">
        <v>7</v>
      </c>
      <c r="R54" s="191">
        <v>8</v>
      </c>
      <c r="S54" s="191">
        <v>7</v>
      </c>
      <c r="T54" s="191">
        <v>9</v>
      </c>
      <c r="U54" s="191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97" t="s">
        <v>301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301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29</v>
      </c>
      <c r="M55" s="192" t="s">
        <v>29</v>
      </c>
      <c r="N55" s="192" t="s">
        <v>81</v>
      </c>
      <c r="O55" s="192" t="s">
        <v>15</v>
      </c>
      <c r="Q55" s="191">
        <v>6</v>
      </c>
      <c r="R55" s="191">
        <v>8</v>
      </c>
      <c r="S55" s="191">
        <v>8</v>
      </c>
      <c r="T55" s="191">
        <v>14</v>
      </c>
      <c r="U55" s="191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97" t="s">
        <v>14</v>
      </c>
      <c r="AD55" s="197">
        <v>6</v>
      </c>
      <c r="AE55" s="197">
        <v>6</v>
      </c>
      <c r="AF55" s="197">
        <v>6</v>
      </c>
      <c r="AG55" s="197">
        <v>9</v>
      </c>
      <c r="AH55" s="197">
        <v>9</v>
      </c>
      <c r="AI55" s="5"/>
      <c r="AJ55" s="197" t="s">
        <v>14</v>
      </c>
      <c r="AK55" s="197">
        <v>6</v>
      </c>
      <c r="AL55" s="197">
        <v>6</v>
      </c>
      <c r="AM55" s="197">
        <v>6</v>
      </c>
      <c r="AN55" s="197">
        <v>9</v>
      </c>
      <c r="AO55" s="197">
        <v>9</v>
      </c>
    </row>
    <row r="56" spans="10:41" ht="16.5" customHeight="1">
      <c r="J56" s="23">
        <v>52</v>
      </c>
      <c r="K56" s="192" t="s">
        <v>29</v>
      </c>
      <c r="L56" s="192" t="s">
        <v>28</v>
      </c>
      <c r="M56" s="192" t="s">
        <v>31</v>
      </c>
      <c r="N56" s="192" t="s">
        <v>12</v>
      </c>
      <c r="O56" s="192" t="s">
        <v>13</v>
      </c>
      <c r="Q56" s="191">
        <v>8</v>
      </c>
      <c r="R56" s="191">
        <v>9</v>
      </c>
      <c r="S56" s="191">
        <v>7</v>
      </c>
      <c r="T56" s="191">
        <v>4</v>
      </c>
      <c r="U56" s="191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2" t="s">
        <v>15</v>
      </c>
      <c r="AD56" s="198">
        <v>4</v>
      </c>
      <c r="AE56" s="198">
        <v>17</v>
      </c>
      <c r="AF56" s="198">
        <v>4</v>
      </c>
      <c r="AG56" s="198">
        <v>21</v>
      </c>
      <c r="AH56" s="198">
        <v>22</v>
      </c>
      <c r="AI56" s="5"/>
      <c r="AJ56" s="132" t="s">
        <v>15</v>
      </c>
      <c r="AK56" s="198">
        <v>4</v>
      </c>
      <c r="AL56" s="198">
        <v>17</v>
      </c>
      <c r="AM56" s="198">
        <v>4</v>
      </c>
      <c r="AN56" s="198">
        <v>21</v>
      </c>
      <c r="AO56" s="198">
        <v>22</v>
      </c>
    </row>
    <row r="57" spans="10:41" ht="16.5" customHeight="1">
      <c r="J57" s="191">
        <v>53</v>
      </c>
      <c r="K57" s="192" t="s">
        <v>31</v>
      </c>
      <c r="L57" s="192" t="s">
        <v>28</v>
      </c>
      <c r="M57" s="192" t="s">
        <v>95</v>
      </c>
      <c r="N57" s="192" t="s">
        <v>12</v>
      </c>
      <c r="O57" s="192" t="s">
        <v>16</v>
      </c>
      <c r="Q57" s="191">
        <v>7</v>
      </c>
      <c r="R57" s="191">
        <v>9</v>
      </c>
      <c r="S57" s="191">
        <v>6</v>
      </c>
      <c r="T57" s="191">
        <v>4</v>
      </c>
      <c r="U57" s="191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2" t="s">
        <v>16</v>
      </c>
      <c r="AD57" s="198">
        <v>4</v>
      </c>
      <c r="AE57" s="198">
        <v>18</v>
      </c>
      <c r="AF57" s="198">
        <v>4</v>
      </c>
      <c r="AG57" s="198">
        <v>20</v>
      </c>
      <c r="AH57" s="198">
        <v>22</v>
      </c>
      <c r="AI57" s="5"/>
      <c r="AJ57" s="132" t="s">
        <v>16</v>
      </c>
      <c r="AK57" s="198">
        <v>4</v>
      </c>
      <c r="AL57" s="198">
        <v>18</v>
      </c>
      <c r="AM57" s="198">
        <v>4</v>
      </c>
      <c r="AN57" s="198">
        <v>20</v>
      </c>
      <c r="AO57" s="198">
        <v>22</v>
      </c>
    </row>
    <row r="58" spans="10:41" ht="16.5" customHeight="1">
      <c r="J58" s="23">
        <v>54</v>
      </c>
      <c r="K58" s="192" t="s">
        <v>31</v>
      </c>
      <c r="L58" s="192" t="s">
        <v>12</v>
      </c>
      <c r="M58" s="192" t="s">
        <v>29</v>
      </c>
      <c r="N58" s="192" t="s">
        <v>78</v>
      </c>
      <c r="O58" s="192" t="s">
        <v>15</v>
      </c>
      <c r="Q58" s="191">
        <v>7</v>
      </c>
      <c r="R58" s="191">
        <v>4</v>
      </c>
      <c r="S58" s="191">
        <v>8</v>
      </c>
      <c r="T58" s="191">
        <v>11</v>
      </c>
      <c r="U58" s="191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2" t="s">
        <v>12</v>
      </c>
      <c r="AD58" s="198">
        <v>4</v>
      </c>
      <c r="AE58" s="198">
        <v>18</v>
      </c>
      <c r="AF58" s="198">
        <v>4</v>
      </c>
      <c r="AG58" s="198">
        <v>20</v>
      </c>
      <c r="AH58" s="198">
        <v>21</v>
      </c>
      <c r="AI58" s="5"/>
      <c r="AJ58" s="132" t="s">
        <v>12</v>
      </c>
      <c r="AK58" s="198">
        <v>4</v>
      </c>
      <c r="AL58" s="198">
        <v>18</v>
      </c>
      <c r="AM58" s="198">
        <v>4</v>
      </c>
      <c r="AN58" s="198">
        <v>20</v>
      </c>
      <c r="AO58" s="198">
        <v>21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29</v>
      </c>
      <c r="N59" s="192" t="s">
        <v>12</v>
      </c>
      <c r="O59" s="192" t="s">
        <v>29</v>
      </c>
      <c r="Q59" s="191">
        <v>7</v>
      </c>
      <c r="R59" s="191">
        <v>4</v>
      </c>
      <c r="S59" s="191">
        <v>8</v>
      </c>
      <c r="T59" s="191">
        <v>4</v>
      </c>
      <c r="U59" s="191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2" t="s">
        <v>13</v>
      </c>
      <c r="AD59" s="198">
        <v>40</v>
      </c>
      <c r="AE59" s="198">
        <v>14</v>
      </c>
      <c r="AF59" s="198">
        <v>41</v>
      </c>
      <c r="AG59" s="198">
        <v>14</v>
      </c>
      <c r="AH59" s="198">
        <v>21</v>
      </c>
      <c r="AI59" s="5"/>
      <c r="AJ59" s="132" t="s">
        <v>13</v>
      </c>
      <c r="AK59" s="198">
        <v>40</v>
      </c>
      <c r="AL59" s="198">
        <v>14</v>
      </c>
      <c r="AM59" s="198">
        <v>41</v>
      </c>
      <c r="AN59" s="198">
        <v>14</v>
      </c>
      <c r="AO59" s="198">
        <v>21</v>
      </c>
    </row>
    <row r="60" spans="10:41" ht="16.5" customHeight="1">
      <c r="J60" s="23">
        <v>56</v>
      </c>
      <c r="K60" s="192" t="s">
        <v>13</v>
      </c>
      <c r="L60" s="192" t="s">
        <v>81</v>
      </c>
      <c r="M60" s="192" t="s">
        <v>29</v>
      </c>
      <c r="N60" s="192" t="s">
        <v>29</v>
      </c>
      <c r="O60" s="192" t="s">
        <v>30</v>
      </c>
      <c r="Q60" s="191">
        <v>5</v>
      </c>
      <c r="R60" s="191">
        <v>14</v>
      </c>
      <c r="S60" s="191">
        <v>8</v>
      </c>
      <c r="T60" s="191">
        <v>8</v>
      </c>
      <c r="U60" s="191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2" t="s">
        <v>95</v>
      </c>
      <c r="AD60" s="198">
        <v>40</v>
      </c>
      <c r="AE60" s="198">
        <v>14</v>
      </c>
      <c r="AF60" s="198">
        <v>41</v>
      </c>
      <c r="AG60" s="198">
        <v>14</v>
      </c>
      <c r="AH60" s="198">
        <v>21</v>
      </c>
      <c r="AI60" s="5"/>
      <c r="AJ60" s="132" t="s">
        <v>95</v>
      </c>
      <c r="AK60" s="198">
        <v>40</v>
      </c>
      <c r="AL60" s="198">
        <v>14</v>
      </c>
      <c r="AM60" s="198">
        <v>41</v>
      </c>
      <c r="AN60" s="198">
        <v>14</v>
      </c>
      <c r="AO60" s="198">
        <v>21</v>
      </c>
    </row>
    <row r="61" spans="10:41">
      <c r="J61" s="191">
        <v>57</v>
      </c>
      <c r="K61" s="192" t="s">
        <v>95</v>
      </c>
      <c r="L61" s="192" t="s">
        <v>81</v>
      </c>
      <c r="M61" s="192" t="s">
        <v>95</v>
      </c>
      <c r="N61" s="192" t="s">
        <v>12</v>
      </c>
      <c r="O61" s="192" t="s">
        <v>30</v>
      </c>
      <c r="Q61" s="191">
        <v>6</v>
      </c>
      <c r="R61" s="191">
        <v>14</v>
      </c>
      <c r="S61" s="191">
        <v>6</v>
      </c>
      <c r="T61" s="191">
        <v>4</v>
      </c>
      <c r="U61" s="191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2" t="s">
        <v>31</v>
      </c>
      <c r="AD61" s="198">
        <v>47</v>
      </c>
      <c r="AE61" s="198">
        <v>13</v>
      </c>
      <c r="AF61" s="198">
        <v>41</v>
      </c>
      <c r="AG61" s="198">
        <v>14</v>
      </c>
      <c r="AH61" s="198">
        <v>21</v>
      </c>
      <c r="AI61" s="5"/>
      <c r="AJ61" s="132" t="s">
        <v>31</v>
      </c>
      <c r="AK61" s="198">
        <v>47</v>
      </c>
      <c r="AL61" s="198">
        <v>13</v>
      </c>
      <c r="AM61" s="198">
        <v>41</v>
      </c>
      <c r="AN61" s="198">
        <v>14</v>
      </c>
      <c r="AO61" s="198">
        <v>21</v>
      </c>
    </row>
    <row r="62" spans="10:41">
      <c r="J62" s="23">
        <v>58</v>
      </c>
      <c r="K62" s="192" t="s">
        <v>30</v>
      </c>
      <c r="L62" s="192" t="s">
        <v>28</v>
      </c>
      <c r="M62" s="192" t="s">
        <v>95</v>
      </c>
      <c r="N62" s="192" t="s">
        <v>94</v>
      </c>
      <c r="O62" s="192" t="s">
        <v>16</v>
      </c>
      <c r="Q62" s="191">
        <v>10</v>
      </c>
      <c r="R62" s="191">
        <v>9</v>
      </c>
      <c r="S62" s="191">
        <v>6</v>
      </c>
      <c r="T62" s="191">
        <v>17</v>
      </c>
      <c r="U62" s="191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13</v>
      </c>
      <c r="AF62" s="198">
        <v>41</v>
      </c>
      <c r="AG62" s="198">
        <v>14</v>
      </c>
      <c r="AH62" s="198">
        <v>21</v>
      </c>
      <c r="AI62" s="5"/>
      <c r="AJ62" s="132" t="s">
        <v>29</v>
      </c>
      <c r="AK62" s="198">
        <v>47</v>
      </c>
      <c r="AL62" s="198">
        <v>13</v>
      </c>
      <c r="AM62" s="198">
        <v>41</v>
      </c>
      <c r="AN62" s="198">
        <v>14</v>
      </c>
      <c r="AO62" s="198">
        <v>21</v>
      </c>
    </row>
    <row r="63" spans="10:41" ht="16.5" customHeight="1">
      <c r="J63" s="191">
        <v>59</v>
      </c>
      <c r="K63" s="192" t="s">
        <v>29</v>
      </c>
      <c r="L63" s="192" t="s">
        <v>80</v>
      </c>
      <c r="M63" s="192" t="s">
        <v>14</v>
      </c>
      <c r="N63" s="192" t="s">
        <v>85</v>
      </c>
      <c r="O63" s="192" t="s">
        <v>13</v>
      </c>
      <c r="Q63" s="191">
        <v>8</v>
      </c>
      <c r="R63" s="191">
        <v>13</v>
      </c>
      <c r="S63" s="191">
        <v>1</v>
      </c>
      <c r="T63" s="191">
        <v>18</v>
      </c>
      <c r="U63" s="191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2" t="s">
        <v>28</v>
      </c>
      <c r="AD63" s="198">
        <v>4</v>
      </c>
      <c r="AE63" s="198">
        <v>17</v>
      </c>
      <c r="AF63" s="198">
        <v>3</v>
      </c>
      <c r="AG63" s="198">
        <v>21</v>
      </c>
      <c r="AH63" s="198">
        <v>21</v>
      </c>
      <c r="AI63" s="5"/>
      <c r="AJ63" s="132" t="s">
        <v>28</v>
      </c>
      <c r="AK63" s="198">
        <v>4</v>
      </c>
      <c r="AL63" s="198">
        <v>17</v>
      </c>
      <c r="AM63" s="198">
        <v>3</v>
      </c>
      <c r="AN63" s="198">
        <v>21</v>
      </c>
      <c r="AO63" s="198">
        <v>21</v>
      </c>
    </row>
    <row r="64" spans="10:41" ht="16.5" customHeight="1">
      <c r="J64" s="23">
        <v>60</v>
      </c>
      <c r="K64" s="192" t="s">
        <v>95</v>
      </c>
      <c r="L64" s="192" t="s">
        <v>28</v>
      </c>
      <c r="M64" s="192" t="s">
        <v>13</v>
      </c>
      <c r="N64" s="192" t="s">
        <v>12</v>
      </c>
      <c r="O64" s="192" t="s">
        <v>28</v>
      </c>
      <c r="Q64" s="191">
        <v>6</v>
      </c>
      <c r="R64" s="191">
        <v>9</v>
      </c>
      <c r="S64" s="191">
        <v>5</v>
      </c>
      <c r="T64" s="191">
        <v>4</v>
      </c>
      <c r="U64" s="191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2" t="s">
        <v>30</v>
      </c>
      <c r="AD64" s="198">
        <v>4</v>
      </c>
      <c r="AE64" s="198">
        <v>17</v>
      </c>
      <c r="AF64" s="198">
        <v>3</v>
      </c>
      <c r="AG64" s="198">
        <v>21</v>
      </c>
      <c r="AH64" s="198">
        <v>21</v>
      </c>
      <c r="AI64" s="5"/>
      <c r="AJ64" s="132" t="s">
        <v>30</v>
      </c>
      <c r="AK64" s="198">
        <v>4</v>
      </c>
      <c r="AL64" s="198">
        <v>17</v>
      </c>
      <c r="AM64" s="198">
        <v>3</v>
      </c>
      <c r="AN64" s="198">
        <v>21</v>
      </c>
      <c r="AO64" s="198">
        <v>21</v>
      </c>
    </row>
    <row r="65" spans="10:41" ht="16.5" customHeight="1">
      <c r="J65" s="191">
        <v>61</v>
      </c>
      <c r="K65" s="192" t="s">
        <v>31</v>
      </c>
      <c r="L65" s="192" t="s">
        <v>30</v>
      </c>
      <c r="M65" s="192" t="s">
        <v>81</v>
      </c>
      <c r="N65" s="192" t="s">
        <v>16</v>
      </c>
      <c r="O65" s="192" t="s">
        <v>29</v>
      </c>
      <c r="Q65" s="191">
        <v>7</v>
      </c>
      <c r="R65" s="191">
        <v>10</v>
      </c>
      <c r="S65" s="191">
        <v>14</v>
      </c>
      <c r="T65" s="191">
        <v>3</v>
      </c>
      <c r="U65" s="191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97" t="s">
        <v>78</v>
      </c>
      <c r="AD65" s="199">
        <v>0</v>
      </c>
      <c r="AE65" s="199">
        <v>8</v>
      </c>
      <c r="AF65" s="199">
        <v>1</v>
      </c>
      <c r="AG65" s="199">
        <v>5</v>
      </c>
      <c r="AH65" s="199">
        <v>0</v>
      </c>
      <c r="AI65" s="5"/>
      <c r="AJ65" s="197" t="s">
        <v>78</v>
      </c>
      <c r="AK65" s="199">
        <v>0</v>
      </c>
      <c r="AL65" s="199">
        <v>8</v>
      </c>
      <c r="AM65" s="199">
        <v>1</v>
      </c>
      <c r="AN65" s="199">
        <v>5</v>
      </c>
      <c r="AO65" s="199">
        <v>0</v>
      </c>
    </row>
    <row r="66" spans="10:41" ht="16.5" customHeight="1">
      <c r="J66" s="23">
        <v>62</v>
      </c>
      <c r="K66" s="192" t="s">
        <v>15</v>
      </c>
      <c r="L66" s="192" t="s">
        <v>16</v>
      </c>
      <c r="M66" s="192" t="s">
        <v>13</v>
      </c>
      <c r="N66" s="192" t="s">
        <v>28</v>
      </c>
      <c r="O66" s="192" t="s">
        <v>28</v>
      </c>
      <c r="Q66" s="191">
        <v>2</v>
      </c>
      <c r="R66" s="191">
        <v>3</v>
      </c>
      <c r="S66" s="191">
        <v>5</v>
      </c>
      <c r="T66" s="191">
        <v>9</v>
      </c>
      <c r="U66" s="191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97" t="s">
        <v>79</v>
      </c>
      <c r="AD66" s="199">
        <v>0</v>
      </c>
      <c r="AE66" s="199">
        <v>8</v>
      </c>
      <c r="AF66" s="199">
        <v>1</v>
      </c>
      <c r="AG66" s="199">
        <v>5</v>
      </c>
      <c r="AH66" s="199">
        <v>0</v>
      </c>
      <c r="AI66" s="5"/>
      <c r="AJ66" s="197" t="s">
        <v>79</v>
      </c>
      <c r="AK66" s="199">
        <v>0</v>
      </c>
      <c r="AL66" s="199">
        <v>8</v>
      </c>
      <c r="AM66" s="199">
        <v>1</v>
      </c>
      <c r="AN66" s="199">
        <v>5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85</v>
      </c>
      <c r="M67" s="192" t="s">
        <v>95</v>
      </c>
      <c r="N67" s="192" t="s">
        <v>96</v>
      </c>
      <c r="O67" s="192" t="s">
        <v>16</v>
      </c>
      <c r="Q67" s="191">
        <v>7</v>
      </c>
      <c r="R67" s="191">
        <v>18</v>
      </c>
      <c r="S67" s="191">
        <v>6</v>
      </c>
      <c r="T67" s="191">
        <v>15</v>
      </c>
      <c r="U67" s="191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97" t="s">
        <v>80</v>
      </c>
      <c r="AD67" s="199">
        <v>0</v>
      </c>
      <c r="AE67" s="199">
        <v>8</v>
      </c>
      <c r="AF67" s="199">
        <v>1</v>
      </c>
      <c r="AG67" s="199">
        <v>5</v>
      </c>
      <c r="AH67" s="199">
        <v>0</v>
      </c>
      <c r="AI67" s="5"/>
      <c r="AJ67" s="197" t="s">
        <v>80</v>
      </c>
      <c r="AK67" s="199">
        <v>0</v>
      </c>
      <c r="AL67" s="199">
        <v>8</v>
      </c>
      <c r="AM67" s="199">
        <v>1</v>
      </c>
      <c r="AN67" s="199">
        <v>5</v>
      </c>
      <c r="AO67" s="199">
        <v>0</v>
      </c>
    </row>
    <row r="68" spans="10:41" ht="16.5" customHeight="1">
      <c r="J68" s="23">
        <v>64</v>
      </c>
      <c r="K68" s="192" t="s">
        <v>95</v>
      </c>
      <c r="L68" s="192" t="s">
        <v>16</v>
      </c>
      <c r="M68" s="192" t="s">
        <v>13</v>
      </c>
      <c r="N68" s="192" t="s">
        <v>29</v>
      </c>
      <c r="O68" s="192" t="s">
        <v>30</v>
      </c>
      <c r="Q68" s="191">
        <v>6</v>
      </c>
      <c r="R68" s="191">
        <v>3</v>
      </c>
      <c r="S68" s="191">
        <v>5</v>
      </c>
      <c r="T68" s="191">
        <v>8</v>
      </c>
      <c r="U68" s="191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97" t="s">
        <v>81</v>
      </c>
      <c r="AD68" s="199">
        <v>0</v>
      </c>
      <c r="AE68" s="199">
        <v>5</v>
      </c>
      <c r="AF68" s="199">
        <v>4</v>
      </c>
      <c r="AG68" s="199">
        <v>4</v>
      </c>
      <c r="AH68" s="199">
        <v>0</v>
      </c>
      <c r="AI68" s="5"/>
      <c r="AJ68" s="197" t="s">
        <v>81</v>
      </c>
      <c r="AK68" s="199">
        <v>0</v>
      </c>
      <c r="AL68" s="199">
        <v>5</v>
      </c>
      <c r="AM68" s="199">
        <v>4</v>
      </c>
      <c r="AN68" s="199">
        <v>4</v>
      </c>
      <c r="AO68" s="199">
        <v>0</v>
      </c>
    </row>
    <row r="69" spans="10:41" ht="16.5" customHeight="1">
      <c r="J69" s="191">
        <v>65</v>
      </c>
      <c r="K69" s="192" t="s">
        <v>14</v>
      </c>
      <c r="L69" s="192" t="s">
        <v>16</v>
      </c>
      <c r="M69" s="192" t="s">
        <v>95</v>
      </c>
      <c r="N69" s="192" t="s">
        <v>16</v>
      </c>
      <c r="O69" s="192" t="s">
        <v>28</v>
      </c>
      <c r="Q69" s="191">
        <v>1</v>
      </c>
      <c r="R69" s="191">
        <v>3</v>
      </c>
      <c r="S69" s="191">
        <v>6</v>
      </c>
      <c r="T69" s="191">
        <v>3</v>
      </c>
      <c r="U69" s="191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97" t="s">
        <v>96</v>
      </c>
      <c r="AD69" s="199">
        <v>0</v>
      </c>
      <c r="AE69" s="199">
        <v>5</v>
      </c>
      <c r="AF69" s="199">
        <v>4</v>
      </c>
      <c r="AG69" s="199">
        <v>4</v>
      </c>
      <c r="AH69" s="199">
        <v>0</v>
      </c>
      <c r="AI69" s="5"/>
      <c r="AJ69" s="197" t="s">
        <v>96</v>
      </c>
      <c r="AK69" s="199">
        <v>0</v>
      </c>
      <c r="AL69" s="199">
        <v>5</v>
      </c>
      <c r="AM69" s="199">
        <v>4</v>
      </c>
      <c r="AN69" s="199">
        <v>4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78</v>
      </c>
      <c r="M70" s="192" t="s">
        <v>96</v>
      </c>
      <c r="N70" s="192" t="s">
        <v>30</v>
      </c>
      <c r="O70" s="192" t="s">
        <v>95</v>
      </c>
      <c r="Q70" s="191">
        <v>7</v>
      </c>
      <c r="R70" s="191">
        <v>11</v>
      </c>
      <c r="S70" s="191">
        <v>15</v>
      </c>
      <c r="T70" s="191">
        <v>10</v>
      </c>
      <c r="U70" s="191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97" t="s">
        <v>82</v>
      </c>
      <c r="AD70" s="199">
        <v>0</v>
      </c>
      <c r="AE70" s="199">
        <v>5</v>
      </c>
      <c r="AF70" s="199">
        <v>4</v>
      </c>
      <c r="AG70" s="199">
        <v>4</v>
      </c>
      <c r="AH70" s="199">
        <v>0</v>
      </c>
      <c r="AI70" s="5"/>
      <c r="AJ70" s="197" t="s">
        <v>82</v>
      </c>
      <c r="AK70" s="199">
        <v>0</v>
      </c>
      <c r="AL70" s="199">
        <v>5</v>
      </c>
      <c r="AM70" s="199">
        <v>4</v>
      </c>
      <c r="AN70" s="199">
        <v>4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78</v>
      </c>
      <c r="M71" s="192" t="s">
        <v>95</v>
      </c>
      <c r="N71" s="192" t="s">
        <v>78</v>
      </c>
      <c r="O71" s="192" t="s">
        <v>15</v>
      </c>
      <c r="Q71" s="191">
        <v>10</v>
      </c>
      <c r="R71" s="191">
        <v>11</v>
      </c>
      <c r="S71" s="191">
        <v>6</v>
      </c>
      <c r="T71" s="191">
        <v>11</v>
      </c>
      <c r="U71" s="191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97" t="s">
        <v>94</v>
      </c>
      <c r="AD71" s="199">
        <v>0</v>
      </c>
      <c r="AE71" s="199">
        <v>5</v>
      </c>
      <c r="AF71" s="199">
        <v>4</v>
      </c>
      <c r="AG71" s="199">
        <v>4</v>
      </c>
      <c r="AH71" s="199">
        <v>0</v>
      </c>
      <c r="AI71" s="5"/>
      <c r="AJ71" s="197" t="s">
        <v>94</v>
      </c>
      <c r="AK71" s="199">
        <v>0</v>
      </c>
      <c r="AL71" s="199">
        <v>5</v>
      </c>
      <c r="AM71" s="199">
        <v>4</v>
      </c>
      <c r="AN71" s="199">
        <v>4</v>
      </c>
      <c r="AO71" s="199">
        <v>0</v>
      </c>
    </row>
    <row r="72" spans="10:41" ht="16.5" customHeight="1">
      <c r="J72" s="23">
        <v>68</v>
      </c>
      <c r="K72" s="192" t="s">
        <v>95</v>
      </c>
      <c r="L72" s="192" t="s">
        <v>14</v>
      </c>
      <c r="M72" s="192" t="s">
        <v>29</v>
      </c>
      <c r="N72" s="192" t="s">
        <v>30</v>
      </c>
      <c r="O72" s="192" t="s">
        <v>95</v>
      </c>
      <c r="Q72" s="191">
        <v>6</v>
      </c>
      <c r="R72" s="191">
        <v>1</v>
      </c>
      <c r="S72" s="191">
        <v>8</v>
      </c>
      <c r="T72" s="191">
        <v>10</v>
      </c>
      <c r="U72" s="191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97" t="s">
        <v>85</v>
      </c>
      <c r="AD72" s="199">
        <v>0</v>
      </c>
      <c r="AE72" s="199">
        <v>9</v>
      </c>
      <c r="AF72" s="199">
        <v>1</v>
      </c>
      <c r="AG72" s="199">
        <v>5</v>
      </c>
      <c r="AH72" s="199">
        <v>0</v>
      </c>
      <c r="AI72" s="5"/>
      <c r="AJ72" s="197" t="s">
        <v>85</v>
      </c>
      <c r="AK72" s="199">
        <v>0</v>
      </c>
      <c r="AL72" s="199">
        <v>9</v>
      </c>
      <c r="AM72" s="199">
        <v>1</v>
      </c>
      <c r="AN72" s="199">
        <v>5</v>
      </c>
      <c r="AO72" s="199">
        <v>0</v>
      </c>
    </row>
    <row r="73" spans="10:41" ht="16.5" customHeight="1">
      <c r="J73" s="191">
        <v>69</v>
      </c>
      <c r="K73" s="192" t="s">
        <v>30</v>
      </c>
      <c r="L73" s="192" t="s">
        <v>28</v>
      </c>
      <c r="M73" s="192" t="s">
        <v>95</v>
      </c>
      <c r="N73" s="192" t="s">
        <v>95</v>
      </c>
      <c r="O73" s="192" t="s">
        <v>31</v>
      </c>
      <c r="Q73" s="191">
        <v>10</v>
      </c>
      <c r="R73" s="191">
        <v>9</v>
      </c>
      <c r="S73" s="191">
        <v>6</v>
      </c>
      <c r="T73" s="191">
        <v>6</v>
      </c>
      <c r="U73" s="191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97" t="s">
        <v>87</v>
      </c>
      <c r="AD73" s="199">
        <v>0</v>
      </c>
      <c r="AE73" s="199">
        <v>9</v>
      </c>
      <c r="AF73" s="199">
        <v>1</v>
      </c>
      <c r="AG73" s="199">
        <v>5</v>
      </c>
      <c r="AH73" s="199">
        <v>0</v>
      </c>
      <c r="AI73" s="5"/>
      <c r="AJ73" s="197" t="s">
        <v>87</v>
      </c>
      <c r="AK73" s="199">
        <v>0</v>
      </c>
      <c r="AL73" s="199">
        <v>9</v>
      </c>
      <c r="AM73" s="199">
        <v>1</v>
      </c>
      <c r="AN73" s="199">
        <v>5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28</v>
      </c>
      <c r="M74" s="192" t="s">
        <v>31</v>
      </c>
      <c r="N74" s="192" t="s">
        <v>16</v>
      </c>
      <c r="O74" s="192" t="s">
        <v>12</v>
      </c>
      <c r="Q74" s="191">
        <v>8</v>
      </c>
      <c r="R74" s="191">
        <v>9</v>
      </c>
      <c r="S74" s="191">
        <v>7</v>
      </c>
      <c r="T74" s="191">
        <v>3</v>
      </c>
      <c r="U74" s="191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1">
        <v>200</v>
      </c>
      <c r="AE74" s="101">
        <v>209</v>
      </c>
      <c r="AF74" s="101">
        <v>209</v>
      </c>
      <c r="AG74" s="101">
        <v>209</v>
      </c>
      <c r="AH74" s="101">
        <v>200</v>
      </c>
      <c r="AI74" s="5"/>
      <c r="AK74" s="101">
        <v>200</v>
      </c>
      <c r="AL74" s="101">
        <v>209</v>
      </c>
      <c r="AM74" s="101">
        <v>209</v>
      </c>
      <c r="AN74" s="101">
        <v>209</v>
      </c>
      <c r="AO74" s="101">
        <v>200</v>
      </c>
    </row>
    <row r="75" spans="10:41" ht="16.5" customHeight="1">
      <c r="J75" s="191">
        <v>71</v>
      </c>
      <c r="K75" s="192" t="s">
        <v>13</v>
      </c>
      <c r="L75" s="192" t="s">
        <v>16</v>
      </c>
      <c r="M75" s="192" t="s">
        <v>95</v>
      </c>
      <c r="N75" s="192" t="s">
        <v>14</v>
      </c>
      <c r="O75" s="192" t="s">
        <v>30</v>
      </c>
      <c r="Q75" s="191">
        <v>5</v>
      </c>
      <c r="R75" s="191">
        <v>3</v>
      </c>
      <c r="S75" s="191">
        <v>6</v>
      </c>
      <c r="T75" s="191">
        <v>1</v>
      </c>
      <c r="U75" s="191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28</v>
      </c>
      <c r="L76" s="192" t="s">
        <v>16</v>
      </c>
      <c r="M76" s="192" t="s">
        <v>81</v>
      </c>
      <c r="N76" s="192" t="s">
        <v>78</v>
      </c>
      <c r="O76" s="192" t="s">
        <v>31</v>
      </c>
      <c r="Q76" s="191">
        <v>9</v>
      </c>
      <c r="R76" s="191">
        <v>3</v>
      </c>
      <c r="S76" s="191">
        <v>14</v>
      </c>
      <c r="T76" s="191">
        <v>11</v>
      </c>
      <c r="U76" s="191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81</v>
      </c>
      <c r="M77" s="192" t="s">
        <v>13</v>
      </c>
      <c r="N77" s="192" t="s">
        <v>15</v>
      </c>
      <c r="O77" s="192" t="s">
        <v>12</v>
      </c>
      <c r="Q77" s="191">
        <v>5</v>
      </c>
      <c r="R77" s="191">
        <v>14</v>
      </c>
      <c r="S77" s="191">
        <v>5</v>
      </c>
      <c r="T77" s="191">
        <v>2</v>
      </c>
      <c r="U77" s="191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15</v>
      </c>
      <c r="M78" s="192" t="s">
        <v>95</v>
      </c>
      <c r="N78" s="192" t="s">
        <v>28</v>
      </c>
      <c r="O78" s="192" t="s">
        <v>30</v>
      </c>
      <c r="Q78" s="191">
        <v>7</v>
      </c>
      <c r="R78" s="191">
        <v>2</v>
      </c>
      <c r="S78" s="191">
        <v>6</v>
      </c>
      <c r="T78" s="191">
        <v>9</v>
      </c>
      <c r="U78" s="191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31</v>
      </c>
      <c r="L79" s="192" t="s">
        <v>30</v>
      </c>
      <c r="M79" s="192" t="s">
        <v>31</v>
      </c>
      <c r="N79" s="192" t="s">
        <v>80</v>
      </c>
      <c r="O79" s="192" t="s">
        <v>31</v>
      </c>
      <c r="Q79" s="191">
        <v>7</v>
      </c>
      <c r="R79" s="191">
        <v>10</v>
      </c>
      <c r="S79" s="191">
        <v>7</v>
      </c>
      <c r="T79" s="191">
        <v>13</v>
      </c>
      <c r="U79" s="191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15</v>
      </c>
      <c r="M80" s="192" t="s">
        <v>30</v>
      </c>
      <c r="N80" s="192" t="s">
        <v>31</v>
      </c>
      <c r="O80" s="192" t="s">
        <v>13</v>
      </c>
      <c r="Q80" s="191">
        <v>8</v>
      </c>
      <c r="R80" s="191">
        <v>2</v>
      </c>
      <c r="S80" s="191">
        <v>10</v>
      </c>
      <c r="T80" s="191">
        <v>7</v>
      </c>
      <c r="U80" s="191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95</v>
      </c>
      <c r="M81" s="192" t="s">
        <v>13</v>
      </c>
      <c r="N81" s="192" t="s">
        <v>29</v>
      </c>
      <c r="O81" s="192" t="s">
        <v>31</v>
      </c>
      <c r="Q81" s="191">
        <v>7</v>
      </c>
      <c r="R81" s="191">
        <v>6</v>
      </c>
      <c r="S81" s="191">
        <v>5</v>
      </c>
      <c r="T81" s="191">
        <v>8</v>
      </c>
      <c r="U81" s="191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13</v>
      </c>
      <c r="L82" s="192" t="s">
        <v>79</v>
      </c>
      <c r="M82" s="192" t="s">
        <v>29</v>
      </c>
      <c r="N82" s="192" t="s">
        <v>12</v>
      </c>
      <c r="O82" s="192" t="s">
        <v>13</v>
      </c>
      <c r="Q82" s="191">
        <v>5</v>
      </c>
      <c r="R82" s="191">
        <v>12</v>
      </c>
      <c r="S82" s="191">
        <v>8</v>
      </c>
      <c r="T82" s="191">
        <v>4</v>
      </c>
      <c r="U82" s="191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30</v>
      </c>
      <c r="M83" s="192" t="s">
        <v>95</v>
      </c>
      <c r="N83" s="192" t="s">
        <v>16</v>
      </c>
      <c r="O83" s="192" t="s">
        <v>15</v>
      </c>
      <c r="Q83" s="191">
        <v>6</v>
      </c>
      <c r="R83" s="191">
        <v>10</v>
      </c>
      <c r="S83" s="191">
        <v>6</v>
      </c>
      <c r="T83" s="191">
        <v>3</v>
      </c>
      <c r="U83" s="191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30</v>
      </c>
      <c r="M84" s="192" t="s">
        <v>94</v>
      </c>
      <c r="N84" s="192" t="s">
        <v>14</v>
      </c>
      <c r="O84" s="192" t="s">
        <v>30</v>
      </c>
      <c r="Q84" s="191">
        <v>8</v>
      </c>
      <c r="R84" s="191">
        <v>10</v>
      </c>
      <c r="S84" s="191">
        <v>17</v>
      </c>
      <c r="T84" s="191">
        <v>1</v>
      </c>
      <c r="U84" s="191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31</v>
      </c>
      <c r="L85" s="192" t="s">
        <v>31</v>
      </c>
      <c r="M85" s="192" t="s">
        <v>31</v>
      </c>
      <c r="N85" s="192" t="s">
        <v>31</v>
      </c>
      <c r="O85" s="192" t="s">
        <v>29</v>
      </c>
      <c r="Q85" s="191">
        <v>7</v>
      </c>
      <c r="R85" s="191">
        <v>7</v>
      </c>
      <c r="S85" s="191">
        <v>7</v>
      </c>
      <c r="T85" s="191">
        <v>7</v>
      </c>
      <c r="U85" s="191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12</v>
      </c>
      <c r="L86" s="192" t="s">
        <v>13</v>
      </c>
      <c r="M86" s="192" t="s">
        <v>12</v>
      </c>
      <c r="N86" s="192" t="s">
        <v>31</v>
      </c>
      <c r="O86" s="192" t="s">
        <v>15</v>
      </c>
      <c r="Q86" s="191">
        <v>4</v>
      </c>
      <c r="R86" s="191">
        <v>5</v>
      </c>
      <c r="S86" s="191">
        <v>4</v>
      </c>
      <c r="T86" s="191">
        <v>7</v>
      </c>
      <c r="U86" s="191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16</v>
      </c>
      <c r="M87" s="192" t="s">
        <v>13</v>
      </c>
      <c r="N87" s="192" t="s">
        <v>13</v>
      </c>
      <c r="O87" s="192" t="s">
        <v>16</v>
      </c>
      <c r="Q87" s="191">
        <v>6</v>
      </c>
      <c r="R87" s="191">
        <v>3</v>
      </c>
      <c r="S87" s="191">
        <v>5</v>
      </c>
      <c r="T87" s="191">
        <v>5</v>
      </c>
      <c r="U87" s="191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28</v>
      </c>
      <c r="M88" s="192" t="s">
        <v>29</v>
      </c>
      <c r="N88" s="192" t="s">
        <v>16</v>
      </c>
      <c r="O88" s="192" t="s">
        <v>12</v>
      </c>
      <c r="Q88" s="191">
        <v>6</v>
      </c>
      <c r="R88" s="191">
        <v>9</v>
      </c>
      <c r="S88" s="191">
        <v>8</v>
      </c>
      <c r="T88" s="191">
        <v>3</v>
      </c>
      <c r="U88" s="191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14</v>
      </c>
      <c r="L89" s="192" t="s">
        <v>78</v>
      </c>
      <c r="M89" s="192" t="s">
        <v>29</v>
      </c>
      <c r="N89" s="192" t="s">
        <v>16</v>
      </c>
      <c r="O89" s="192" t="s">
        <v>29</v>
      </c>
      <c r="Q89" s="191">
        <v>1</v>
      </c>
      <c r="R89" s="191">
        <v>11</v>
      </c>
      <c r="S89" s="191">
        <v>8</v>
      </c>
      <c r="T89" s="191">
        <v>3</v>
      </c>
      <c r="U89" s="191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29</v>
      </c>
      <c r="L90" s="192" t="s">
        <v>16</v>
      </c>
      <c r="M90" s="192" t="s">
        <v>29</v>
      </c>
      <c r="N90" s="192" t="s">
        <v>16</v>
      </c>
      <c r="O90" s="192" t="s">
        <v>12</v>
      </c>
      <c r="Q90" s="191">
        <v>8</v>
      </c>
      <c r="R90" s="191">
        <v>3</v>
      </c>
      <c r="S90" s="191">
        <v>8</v>
      </c>
      <c r="T90" s="191">
        <v>3</v>
      </c>
      <c r="U90" s="191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31</v>
      </c>
      <c r="L91" s="192" t="s">
        <v>14</v>
      </c>
      <c r="M91" s="192" t="s">
        <v>31</v>
      </c>
      <c r="N91" s="192" t="s">
        <v>79</v>
      </c>
      <c r="O91" s="192" t="s">
        <v>12</v>
      </c>
      <c r="Q91" s="191">
        <v>7</v>
      </c>
      <c r="R91" s="191">
        <v>1</v>
      </c>
      <c r="S91" s="191">
        <v>7</v>
      </c>
      <c r="T91" s="191">
        <v>12</v>
      </c>
      <c r="U91" s="191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13</v>
      </c>
      <c r="M92" s="192" t="s">
        <v>95</v>
      </c>
      <c r="N92" s="192" t="s">
        <v>28</v>
      </c>
      <c r="O92" s="192" t="s">
        <v>13</v>
      </c>
      <c r="Q92" s="191">
        <v>5</v>
      </c>
      <c r="R92" s="191">
        <v>5</v>
      </c>
      <c r="S92" s="191">
        <v>6</v>
      </c>
      <c r="T92" s="191">
        <v>9</v>
      </c>
      <c r="U92" s="191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13</v>
      </c>
      <c r="L93" s="192" t="s">
        <v>13</v>
      </c>
      <c r="M93" s="192" t="s">
        <v>14</v>
      </c>
      <c r="N93" s="192" t="s">
        <v>30</v>
      </c>
      <c r="O93" s="192" t="s">
        <v>13</v>
      </c>
      <c r="Q93" s="191">
        <v>5</v>
      </c>
      <c r="R93" s="191">
        <v>5</v>
      </c>
      <c r="S93" s="191">
        <v>1</v>
      </c>
      <c r="T93" s="191">
        <v>10</v>
      </c>
      <c r="U93" s="191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30</v>
      </c>
      <c r="M94" s="192" t="s">
        <v>82</v>
      </c>
      <c r="N94" s="192" t="s">
        <v>12</v>
      </c>
      <c r="O94" s="192" t="s">
        <v>14</v>
      </c>
      <c r="Q94" s="191">
        <v>6</v>
      </c>
      <c r="R94" s="191">
        <v>10</v>
      </c>
      <c r="S94" s="191">
        <v>16</v>
      </c>
      <c r="T94" s="191">
        <v>4</v>
      </c>
      <c r="U94" s="191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16</v>
      </c>
      <c r="M95" s="192" t="s">
        <v>29</v>
      </c>
      <c r="N95" s="192" t="s">
        <v>12</v>
      </c>
      <c r="O95" s="192" t="s">
        <v>16</v>
      </c>
      <c r="Q95" s="191">
        <v>5</v>
      </c>
      <c r="R95" s="191">
        <v>3</v>
      </c>
      <c r="S95" s="191">
        <v>8</v>
      </c>
      <c r="T95" s="191">
        <v>4</v>
      </c>
      <c r="U95" s="191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78</v>
      </c>
      <c r="M96" s="192" t="s">
        <v>95</v>
      </c>
      <c r="N96" s="192" t="s">
        <v>28</v>
      </c>
      <c r="O96" s="192" t="s">
        <v>16</v>
      </c>
      <c r="Q96" s="191">
        <v>8</v>
      </c>
      <c r="R96" s="191">
        <v>11</v>
      </c>
      <c r="S96" s="191">
        <v>6</v>
      </c>
      <c r="T96" s="191">
        <v>9</v>
      </c>
      <c r="U96" s="191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15</v>
      </c>
      <c r="L97" s="192" t="s">
        <v>30</v>
      </c>
      <c r="M97" s="192" t="s">
        <v>31</v>
      </c>
      <c r="N97" s="192" t="s">
        <v>94</v>
      </c>
      <c r="O97" s="192" t="s">
        <v>31</v>
      </c>
      <c r="Q97" s="191">
        <v>2</v>
      </c>
      <c r="R97" s="191">
        <v>10</v>
      </c>
      <c r="S97" s="191">
        <v>7</v>
      </c>
      <c r="T97" s="191">
        <v>17</v>
      </c>
      <c r="U97" s="191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13</v>
      </c>
      <c r="L98" s="192" t="s">
        <v>79</v>
      </c>
      <c r="M98" s="192" t="s">
        <v>13</v>
      </c>
      <c r="N98" s="192" t="s">
        <v>15</v>
      </c>
      <c r="O98" s="192" t="s">
        <v>30</v>
      </c>
      <c r="Q98" s="191">
        <v>5</v>
      </c>
      <c r="R98" s="191">
        <v>12</v>
      </c>
      <c r="S98" s="191">
        <v>5</v>
      </c>
      <c r="T98" s="191">
        <v>2</v>
      </c>
      <c r="U98" s="191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15</v>
      </c>
      <c r="M99" s="192" t="s">
        <v>28</v>
      </c>
      <c r="N99" s="192" t="s">
        <v>30</v>
      </c>
      <c r="O99" s="192" t="s">
        <v>13</v>
      </c>
      <c r="Q99" s="191">
        <v>5</v>
      </c>
      <c r="R99" s="191">
        <v>2</v>
      </c>
      <c r="S99" s="191">
        <v>9</v>
      </c>
      <c r="T99" s="191">
        <v>10</v>
      </c>
      <c r="U99" s="191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31</v>
      </c>
      <c r="L100" s="192" t="s">
        <v>13</v>
      </c>
      <c r="M100" s="192" t="s">
        <v>29</v>
      </c>
      <c r="N100" s="192" t="s">
        <v>15</v>
      </c>
      <c r="O100" s="192" t="s">
        <v>15</v>
      </c>
      <c r="Q100" s="191">
        <v>7</v>
      </c>
      <c r="R100" s="191">
        <v>5</v>
      </c>
      <c r="S100" s="191">
        <v>8</v>
      </c>
      <c r="T100" s="191">
        <v>2</v>
      </c>
      <c r="U100" s="191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13</v>
      </c>
      <c r="M101" s="192" t="s">
        <v>13</v>
      </c>
      <c r="N101" s="192" t="s">
        <v>15</v>
      </c>
      <c r="O101" s="192" t="s">
        <v>15</v>
      </c>
      <c r="Q101" s="191">
        <v>8</v>
      </c>
      <c r="R101" s="191">
        <v>5</v>
      </c>
      <c r="S101" s="191">
        <v>5</v>
      </c>
      <c r="T101" s="191">
        <v>2</v>
      </c>
      <c r="U101" s="191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14</v>
      </c>
      <c r="L102" s="192" t="s">
        <v>78</v>
      </c>
      <c r="M102" s="192" t="s">
        <v>13</v>
      </c>
      <c r="N102" s="192" t="s">
        <v>13</v>
      </c>
      <c r="O102" s="192" t="s">
        <v>95</v>
      </c>
      <c r="Q102" s="191">
        <v>1</v>
      </c>
      <c r="R102" s="191">
        <v>11</v>
      </c>
      <c r="S102" s="191">
        <v>5</v>
      </c>
      <c r="T102" s="191">
        <v>5</v>
      </c>
      <c r="U102" s="191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95</v>
      </c>
      <c r="L103" s="192" t="s">
        <v>96</v>
      </c>
      <c r="M103" s="192" t="s">
        <v>29</v>
      </c>
      <c r="N103" s="192" t="s">
        <v>28</v>
      </c>
      <c r="O103" s="192" t="s">
        <v>28</v>
      </c>
      <c r="Q103" s="191">
        <v>6</v>
      </c>
      <c r="R103" s="191">
        <v>15</v>
      </c>
      <c r="S103" s="191">
        <v>8</v>
      </c>
      <c r="T103" s="191">
        <v>9</v>
      </c>
      <c r="U103" s="191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95</v>
      </c>
      <c r="L104" s="192" t="s">
        <v>12</v>
      </c>
      <c r="M104" s="192" t="s">
        <v>31</v>
      </c>
      <c r="N104" s="192" t="s">
        <v>31</v>
      </c>
      <c r="O104" s="192" t="s">
        <v>12</v>
      </c>
      <c r="Q104" s="191">
        <v>6</v>
      </c>
      <c r="R104" s="191">
        <v>4</v>
      </c>
      <c r="S104" s="191">
        <v>7</v>
      </c>
      <c r="T104" s="191">
        <v>7</v>
      </c>
      <c r="U104" s="191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28</v>
      </c>
      <c r="L105" s="192" t="s">
        <v>95</v>
      </c>
      <c r="M105" s="192" t="s">
        <v>31</v>
      </c>
      <c r="N105" s="192" t="s">
        <v>29</v>
      </c>
      <c r="O105" s="192" t="s">
        <v>13</v>
      </c>
      <c r="Q105" s="191">
        <v>9</v>
      </c>
      <c r="R105" s="191">
        <v>6</v>
      </c>
      <c r="S105" s="191">
        <v>7</v>
      </c>
      <c r="T105" s="191">
        <v>8</v>
      </c>
      <c r="U105" s="191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12</v>
      </c>
      <c r="L106" s="192" t="s">
        <v>95</v>
      </c>
      <c r="M106" s="192" t="s">
        <v>95</v>
      </c>
      <c r="N106" s="192" t="s">
        <v>29</v>
      </c>
      <c r="O106" s="192" t="s">
        <v>28</v>
      </c>
      <c r="Q106" s="191">
        <v>4</v>
      </c>
      <c r="R106" s="191">
        <v>6</v>
      </c>
      <c r="S106" s="191">
        <v>6</v>
      </c>
      <c r="T106" s="191">
        <v>8</v>
      </c>
      <c r="U106" s="191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95</v>
      </c>
      <c r="M107" s="192" t="s">
        <v>16</v>
      </c>
      <c r="N107" s="192" t="s">
        <v>13</v>
      </c>
      <c r="O107" s="192" t="s">
        <v>30</v>
      </c>
      <c r="Q107" s="191">
        <v>8</v>
      </c>
      <c r="R107" s="191">
        <v>6</v>
      </c>
      <c r="S107" s="191">
        <v>3</v>
      </c>
      <c r="T107" s="191">
        <v>5</v>
      </c>
      <c r="U107" s="191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30</v>
      </c>
      <c r="M108" s="192" t="s">
        <v>29</v>
      </c>
      <c r="N108" s="192" t="s">
        <v>30</v>
      </c>
      <c r="O108" s="192" t="s">
        <v>30</v>
      </c>
      <c r="Q108" s="191">
        <v>5</v>
      </c>
      <c r="R108" s="191">
        <v>10</v>
      </c>
      <c r="S108" s="191">
        <v>8</v>
      </c>
      <c r="T108" s="191">
        <v>10</v>
      </c>
      <c r="U108" s="191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30</v>
      </c>
      <c r="L109" s="192" t="s">
        <v>16</v>
      </c>
      <c r="M109" s="192" t="s">
        <v>31</v>
      </c>
      <c r="N109" s="192" t="s">
        <v>28</v>
      </c>
      <c r="O109" s="192" t="s">
        <v>16</v>
      </c>
      <c r="Q109" s="191">
        <v>10</v>
      </c>
      <c r="R109" s="191">
        <v>3</v>
      </c>
      <c r="S109" s="191">
        <v>7</v>
      </c>
      <c r="T109" s="191">
        <v>9</v>
      </c>
      <c r="U109" s="191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12</v>
      </c>
      <c r="M110" s="192" t="s">
        <v>13</v>
      </c>
      <c r="N110" s="192" t="s">
        <v>14</v>
      </c>
      <c r="O110" s="192" t="s">
        <v>28</v>
      </c>
      <c r="Q110" s="191">
        <v>8</v>
      </c>
      <c r="R110" s="191">
        <v>4</v>
      </c>
      <c r="S110" s="191">
        <v>5</v>
      </c>
      <c r="T110" s="191">
        <v>1</v>
      </c>
      <c r="U110" s="191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87</v>
      </c>
      <c r="M111" s="192" t="s">
        <v>14</v>
      </c>
      <c r="N111" s="192" t="s">
        <v>95</v>
      </c>
      <c r="O111" s="192" t="s">
        <v>12</v>
      </c>
      <c r="Q111" s="191">
        <v>8</v>
      </c>
      <c r="R111" s="191">
        <v>19</v>
      </c>
      <c r="S111" s="191">
        <v>1</v>
      </c>
      <c r="T111" s="191">
        <v>6</v>
      </c>
      <c r="U111" s="191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29</v>
      </c>
      <c r="L112" s="192" t="s">
        <v>85</v>
      </c>
      <c r="M112" s="192" t="s">
        <v>96</v>
      </c>
      <c r="N112" s="192" t="s">
        <v>15</v>
      </c>
      <c r="O112" s="192" t="s">
        <v>16</v>
      </c>
      <c r="Q112" s="191">
        <v>8</v>
      </c>
      <c r="R112" s="191">
        <v>18</v>
      </c>
      <c r="S112" s="191">
        <v>15</v>
      </c>
      <c r="T112" s="191">
        <v>2</v>
      </c>
      <c r="U112" s="191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95</v>
      </c>
      <c r="M113" s="192" t="s">
        <v>82</v>
      </c>
      <c r="N113" s="192" t="s">
        <v>15</v>
      </c>
      <c r="O113" s="192" t="s">
        <v>15</v>
      </c>
      <c r="Q113" s="191">
        <v>7</v>
      </c>
      <c r="R113" s="191">
        <v>6</v>
      </c>
      <c r="S113" s="191">
        <v>16</v>
      </c>
      <c r="T113" s="191">
        <v>2</v>
      </c>
      <c r="U113" s="191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95</v>
      </c>
      <c r="L114" s="192" t="s">
        <v>94</v>
      </c>
      <c r="M114" s="192" t="s">
        <v>29</v>
      </c>
      <c r="N114" s="192" t="s">
        <v>15</v>
      </c>
      <c r="O114" s="192" t="s">
        <v>13</v>
      </c>
      <c r="Q114" s="191">
        <v>6</v>
      </c>
      <c r="R114" s="191">
        <v>17</v>
      </c>
      <c r="S114" s="191">
        <v>8</v>
      </c>
      <c r="T114" s="191">
        <v>2</v>
      </c>
      <c r="U114" s="191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29</v>
      </c>
      <c r="M115" s="192" t="s">
        <v>13</v>
      </c>
      <c r="N115" s="192" t="s">
        <v>30</v>
      </c>
      <c r="O115" s="192" t="s">
        <v>13</v>
      </c>
      <c r="Q115" s="191">
        <v>5</v>
      </c>
      <c r="R115" s="191">
        <v>8</v>
      </c>
      <c r="S115" s="191">
        <v>5</v>
      </c>
      <c r="T115" s="191">
        <v>10</v>
      </c>
      <c r="U115" s="191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28</v>
      </c>
      <c r="M116" s="192" t="s">
        <v>95</v>
      </c>
      <c r="N116" s="192" t="s">
        <v>29</v>
      </c>
      <c r="O116" s="192" t="s">
        <v>31</v>
      </c>
      <c r="Q116" s="191">
        <v>7</v>
      </c>
      <c r="R116" s="191">
        <v>9</v>
      </c>
      <c r="S116" s="191">
        <v>6</v>
      </c>
      <c r="T116" s="191">
        <v>8</v>
      </c>
      <c r="U116" s="191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95</v>
      </c>
      <c r="L117" s="192" t="s">
        <v>28</v>
      </c>
      <c r="M117" s="192" t="s">
        <v>94</v>
      </c>
      <c r="N117" s="192" t="s">
        <v>30</v>
      </c>
      <c r="O117" s="192" t="s">
        <v>16</v>
      </c>
      <c r="Q117" s="191">
        <v>6</v>
      </c>
      <c r="R117" s="191">
        <v>9</v>
      </c>
      <c r="S117" s="191">
        <v>17</v>
      </c>
      <c r="T117" s="191">
        <v>10</v>
      </c>
      <c r="U117" s="191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80</v>
      </c>
      <c r="M118" s="192" t="s">
        <v>31</v>
      </c>
      <c r="N118" s="192" t="s">
        <v>16</v>
      </c>
      <c r="O118" s="192" t="s">
        <v>95</v>
      </c>
      <c r="Q118" s="191">
        <v>8</v>
      </c>
      <c r="R118" s="191">
        <v>13</v>
      </c>
      <c r="S118" s="191">
        <v>7</v>
      </c>
      <c r="T118" s="191">
        <v>3</v>
      </c>
      <c r="U118" s="191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29</v>
      </c>
      <c r="M119" s="192" t="s">
        <v>95</v>
      </c>
      <c r="N119" s="192" t="s">
        <v>13</v>
      </c>
      <c r="O119" s="192" t="s">
        <v>14</v>
      </c>
      <c r="Q119" s="191">
        <v>7</v>
      </c>
      <c r="R119" s="191">
        <v>8</v>
      </c>
      <c r="S119" s="191">
        <v>6</v>
      </c>
      <c r="T119" s="191">
        <v>5</v>
      </c>
      <c r="U119" s="191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29</v>
      </c>
      <c r="M120" s="192" t="s">
        <v>81</v>
      </c>
      <c r="N120" s="192" t="s">
        <v>14</v>
      </c>
      <c r="O120" s="192" t="s">
        <v>31</v>
      </c>
      <c r="Q120" s="191">
        <v>5</v>
      </c>
      <c r="R120" s="191">
        <v>8</v>
      </c>
      <c r="S120" s="191">
        <v>14</v>
      </c>
      <c r="T120" s="191">
        <v>1</v>
      </c>
      <c r="U120" s="191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13</v>
      </c>
      <c r="M121" s="192" t="s">
        <v>95</v>
      </c>
      <c r="N121" s="192" t="s">
        <v>12</v>
      </c>
      <c r="O121" s="192" t="s">
        <v>16</v>
      </c>
      <c r="Q121" s="191">
        <v>7</v>
      </c>
      <c r="R121" s="191">
        <v>5</v>
      </c>
      <c r="S121" s="191">
        <v>6</v>
      </c>
      <c r="T121" s="191">
        <v>4</v>
      </c>
      <c r="U121" s="191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13</v>
      </c>
      <c r="M122" s="192" t="s">
        <v>31</v>
      </c>
      <c r="N122" s="192" t="s">
        <v>31</v>
      </c>
      <c r="O122" s="192" t="s">
        <v>15</v>
      </c>
      <c r="Q122" s="191">
        <v>7</v>
      </c>
      <c r="R122" s="191">
        <v>5</v>
      </c>
      <c r="S122" s="191">
        <v>7</v>
      </c>
      <c r="T122" s="191">
        <v>7</v>
      </c>
      <c r="U122" s="191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13</v>
      </c>
      <c r="M123" s="192" t="s">
        <v>31</v>
      </c>
      <c r="N123" s="192" t="s">
        <v>31</v>
      </c>
      <c r="O123" s="192" t="s">
        <v>16</v>
      </c>
      <c r="Q123" s="191">
        <v>5</v>
      </c>
      <c r="R123" s="191">
        <v>5</v>
      </c>
      <c r="S123" s="191">
        <v>7</v>
      </c>
      <c r="T123" s="191">
        <v>7</v>
      </c>
      <c r="U123" s="191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13</v>
      </c>
      <c r="L124" s="192" t="s">
        <v>30</v>
      </c>
      <c r="M124" s="192" t="s">
        <v>95</v>
      </c>
      <c r="N124" s="192" t="s">
        <v>28</v>
      </c>
      <c r="O124" s="192" t="s">
        <v>12</v>
      </c>
      <c r="Q124" s="191">
        <v>5</v>
      </c>
      <c r="R124" s="191">
        <v>10</v>
      </c>
      <c r="S124" s="191">
        <v>6</v>
      </c>
      <c r="T124" s="191">
        <v>9</v>
      </c>
      <c r="U124" s="191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16</v>
      </c>
      <c r="M125" s="192" t="s">
        <v>95</v>
      </c>
      <c r="N125" s="192" t="s">
        <v>16</v>
      </c>
      <c r="O125" s="192" t="s">
        <v>13</v>
      </c>
      <c r="Q125" s="191">
        <v>7</v>
      </c>
      <c r="R125" s="191">
        <v>3</v>
      </c>
      <c r="S125" s="191">
        <v>6</v>
      </c>
      <c r="T125" s="191">
        <v>3</v>
      </c>
      <c r="U125" s="191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28</v>
      </c>
      <c r="M126" s="192" t="s">
        <v>14</v>
      </c>
      <c r="N126" s="192" t="s">
        <v>80</v>
      </c>
      <c r="O126" s="192" t="s">
        <v>28</v>
      </c>
      <c r="Q126" s="191">
        <v>6</v>
      </c>
      <c r="R126" s="191">
        <v>9</v>
      </c>
      <c r="S126" s="191">
        <v>1</v>
      </c>
      <c r="T126" s="191">
        <v>13</v>
      </c>
      <c r="U126" s="191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30</v>
      </c>
      <c r="M127" s="192" t="s">
        <v>29</v>
      </c>
      <c r="N127" s="192" t="s">
        <v>79</v>
      </c>
      <c r="O127" s="192" t="s">
        <v>16</v>
      </c>
      <c r="Q127" s="191">
        <v>8</v>
      </c>
      <c r="R127" s="191">
        <v>10</v>
      </c>
      <c r="S127" s="191">
        <v>8</v>
      </c>
      <c r="T127" s="191">
        <v>12</v>
      </c>
      <c r="U127" s="191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87</v>
      </c>
      <c r="M128" s="192" t="s">
        <v>15</v>
      </c>
      <c r="N128" s="192" t="s">
        <v>30</v>
      </c>
      <c r="O128" s="192" t="s">
        <v>30</v>
      </c>
      <c r="Q128" s="191">
        <v>5</v>
      </c>
      <c r="R128" s="191">
        <v>19</v>
      </c>
      <c r="S128" s="191">
        <v>2</v>
      </c>
      <c r="T128" s="191">
        <v>10</v>
      </c>
      <c r="U128" s="191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31</v>
      </c>
      <c r="L129" s="192" t="s">
        <v>15</v>
      </c>
      <c r="M129" s="192" t="s">
        <v>13</v>
      </c>
      <c r="N129" s="192" t="s">
        <v>30</v>
      </c>
      <c r="O129" s="192" t="s">
        <v>16</v>
      </c>
      <c r="Q129" s="191">
        <v>7</v>
      </c>
      <c r="R129" s="191">
        <v>2</v>
      </c>
      <c r="S129" s="191">
        <v>5</v>
      </c>
      <c r="T129" s="191">
        <v>10</v>
      </c>
      <c r="U129" s="191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85</v>
      </c>
      <c r="M130" s="192" t="s">
        <v>29</v>
      </c>
      <c r="N130" s="192" t="s">
        <v>30</v>
      </c>
      <c r="O130" s="192" t="s">
        <v>15</v>
      </c>
      <c r="Q130" s="191">
        <v>8</v>
      </c>
      <c r="R130" s="191">
        <v>18</v>
      </c>
      <c r="S130" s="191">
        <v>8</v>
      </c>
      <c r="T130" s="191">
        <v>10</v>
      </c>
      <c r="U130" s="191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31</v>
      </c>
      <c r="N131" s="192" t="s">
        <v>12</v>
      </c>
      <c r="O131" s="192" t="s">
        <v>12</v>
      </c>
      <c r="Q131" s="191">
        <v>6</v>
      </c>
      <c r="R131" s="191">
        <v>4</v>
      </c>
      <c r="S131" s="191">
        <v>7</v>
      </c>
      <c r="T131" s="191">
        <v>4</v>
      </c>
      <c r="U131" s="191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87</v>
      </c>
      <c r="M132" s="192" t="s">
        <v>31</v>
      </c>
      <c r="N132" s="192" t="s">
        <v>95</v>
      </c>
      <c r="O132" s="192" t="s">
        <v>12</v>
      </c>
      <c r="Q132" s="191">
        <v>6</v>
      </c>
      <c r="R132" s="191">
        <v>19</v>
      </c>
      <c r="S132" s="191">
        <v>7</v>
      </c>
      <c r="T132" s="191">
        <v>6</v>
      </c>
      <c r="U132" s="191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87</v>
      </c>
      <c r="M133" s="192" t="s">
        <v>13</v>
      </c>
      <c r="N133" s="192" t="s">
        <v>30</v>
      </c>
      <c r="O133" s="192" t="s">
        <v>30</v>
      </c>
      <c r="Q133" s="191">
        <v>5</v>
      </c>
      <c r="R133" s="191">
        <v>19</v>
      </c>
      <c r="S133" s="191">
        <v>5</v>
      </c>
      <c r="T133" s="191">
        <v>10</v>
      </c>
      <c r="U133" s="191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29</v>
      </c>
      <c r="L134" s="192" t="s">
        <v>15</v>
      </c>
      <c r="M134" s="192" t="s">
        <v>13</v>
      </c>
      <c r="N134" s="192" t="s">
        <v>12</v>
      </c>
      <c r="O134" s="192" t="s">
        <v>28</v>
      </c>
      <c r="Q134" s="191">
        <v>8</v>
      </c>
      <c r="R134" s="191">
        <v>2</v>
      </c>
      <c r="S134" s="191">
        <v>5</v>
      </c>
      <c r="T134" s="191">
        <v>4</v>
      </c>
      <c r="U134" s="191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80</v>
      </c>
      <c r="M135" s="192" t="s">
        <v>31</v>
      </c>
      <c r="N135" s="192" t="s">
        <v>13</v>
      </c>
      <c r="O135" s="192" t="s">
        <v>95</v>
      </c>
      <c r="Q135" s="191">
        <v>8</v>
      </c>
      <c r="R135" s="191">
        <v>13</v>
      </c>
      <c r="S135" s="191">
        <v>7</v>
      </c>
      <c r="T135" s="191">
        <v>5</v>
      </c>
      <c r="U135" s="191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82</v>
      </c>
      <c r="N136" s="192" t="s">
        <v>79</v>
      </c>
      <c r="O136" s="192" t="s">
        <v>15</v>
      </c>
      <c r="Q136" s="191">
        <v>7</v>
      </c>
      <c r="R136" s="191">
        <v>8</v>
      </c>
      <c r="S136" s="191">
        <v>16</v>
      </c>
      <c r="T136" s="191">
        <v>12</v>
      </c>
      <c r="U136" s="191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12</v>
      </c>
      <c r="M137" s="192" t="s">
        <v>31</v>
      </c>
      <c r="N137" s="192" t="s">
        <v>15</v>
      </c>
      <c r="O137" s="192" t="s">
        <v>13</v>
      </c>
      <c r="Q137" s="191">
        <v>6</v>
      </c>
      <c r="R137" s="191">
        <v>4</v>
      </c>
      <c r="S137" s="191">
        <v>7</v>
      </c>
      <c r="T137" s="191">
        <v>2</v>
      </c>
      <c r="U137" s="191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13</v>
      </c>
      <c r="M138" s="192" t="s">
        <v>13</v>
      </c>
      <c r="N138" s="192" t="s">
        <v>28</v>
      </c>
      <c r="O138" s="192" t="s">
        <v>16</v>
      </c>
      <c r="Q138" s="191">
        <v>8</v>
      </c>
      <c r="R138" s="191">
        <v>5</v>
      </c>
      <c r="S138" s="191">
        <v>5</v>
      </c>
      <c r="T138" s="191">
        <v>9</v>
      </c>
      <c r="U138" s="191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15</v>
      </c>
      <c r="M139" s="192" t="s">
        <v>29</v>
      </c>
      <c r="N139" s="192" t="s">
        <v>85</v>
      </c>
      <c r="O139" s="192" t="s">
        <v>30</v>
      </c>
      <c r="Q139" s="191">
        <v>7</v>
      </c>
      <c r="R139" s="191">
        <v>2</v>
      </c>
      <c r="S139" s="191">
        <v>8</v>
      </c>
      <c r="T139" s="191">
        <v>18</v>
      </c>
      <c r="U139" s="191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31</v>
      </c>
      <c r="M140" s="192" t="s">
        <v>13</v>
      </c>
      <c r="N140" s="192" t="s">
        <v>28</v>
      </c>
      <c r="O140" s="192" t="s">
        <v>31</v>
      </c>
      <c r="Q140" s="191">
        <v>5</v>
      </c>
      <c r="R140" s="191">
        <v>7</v>
      </c>
      <c r="S140" s="191">
        <v>5</v>
      </c>
      <c r="T140" s="191">
        <v>9</v>
      </c>
      <c r="U140" s="191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31</v>
      </c>
      <c r="M141" s="192" t="s">
        <v>95</v>
      </c>
      <c r="N141" s="192" t="s">
        <v>15</v>
      </c>
      <c r="O141" s="192" t="s">
        <v>28</v>
      </c>
      <c r="Q141" s="191">
        <v>8</v>
      </c>
      <c r="R141" s="191">
        <v>7</v>
      </c>
      <c r="S141" s="191">
        <v>6</v>
      </c>
      <c r="T141" s="191">
        <v>2</v>
      </c>
      <c r="U141" s="191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31</v>
      </c>
      <c r="M142" s="192" t="s">
        <v>94</v>
      </c>
      <c r="N142" s="192" t="s">
        <v>95</v>
      </c>
      <c r="O142" s="192" t="s">
        <v>12</v>
      </c>
      <c r="Q142" s="191">
        <v>7</v>
      </c>
      <c r="R142" s="191">
        <v>7</v>
      </c>
      <c r="S142" s="191">
        <v>17</v>
      </c>
      <c r="T142" s="191">
        <v>6</v>
      </c>
      <c r="U142" s="191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16</v>
      </c>
      <c r="M143" s="192" t="s">
        <v>29</v>
      </c>
      <c r="N143" s="192" t="s">
        <v>12</v>
      </c>
      <c r="O143" s="192" t="s">
        <v>31</v>
      </c>
      <c r="Q143" s="191">
        <v>5</v>
      </c>
      <c r="R143" s="191">
        <v>3</v>
      </c>
      <c r="S143" s="191">
        <v>8</v>
      </c>
      <c r="T143" s="191">
        <v>4</v>
      </c>
      <c r="U143" s="191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31</v>
      </c>
      <c r="M144" s="192" t="s">
        <v>13</v>
      </c>
      <c r="N144" s="192" t="s">
        <v>29</v>
      </c>
      <c r="O144" s="192" t="s">
        <v>31</v>
      </c>
      <c r="Q144" s="191">
        <v>6</v>
      </c>
      <c r="R144" s="191">
        <v>7</v>
      </c>
      <c r="S144" s="191">
        <v>5</v>
      </c>
      <c r="T144" s="191">
        <v>8</v>
      </c>
      <c r="U144" s="191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13</v>
      </c>
      <c r="N145" s="192" t="s">
        <v>31</v>
      </c>
      <c r="O145" s="192" t="s">
        <v>14</v>
      </c>
      <c r="Q145" s="191">
        <v>7</v>
      </c>
      <c r="R145" s="191">
        <v>7</v>
      </c>
      <c r="S145" s="191">
        <v>5</v>
      </c>
      <c r="T145" s="191">
        <v>7</v>
      </c>
      <c r="U145" s="191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95</v>
      </c>
      <c r="M146" s="192" t="s">
        <v>13</v>
      </c>
      <c r="N146" s="192" t="s">
        <v>13</v>
      </c>
      <c r="O146" s="192" t="s">
        <v>95</v>
      </c>
      <c r="Q146" s="191">
        <v>6</v>
      </c>
      <c r="R146" s="191">
        <v>6</v>
      </c>
      <c r="S146" s="191">
        <v>5</v>
      </c>
      <c r="T146" s="191">
        <v>5</v>
      </c>
      <c r="U146" s="191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79</v>
      </c>
      <c r="M147" s="192" t="s">
        <v>95</v>
      </c>
      <c r="N147" s="192" t="s">
        <v>13</v>
      </c>
      <c r="O147" s="192" t="s">
        <v>31</v>
      </c>
      <c r="Q147" s="191">
        <v>5</v>
      </c>
      <c r="R147" s="191">
        <v>12</v>
      </c>
      <c r="S147" s="191">
        <v>6</v>
      </c>
      <c r="T147" s="191">
        <v>5</v>
      </c>
      <c r="U147" s="191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31</v>
      </c>
      <c r="L148" s="192" t="s">
        <v>28</v>
      </c>
      <c r="M148" s="192" t="s">
        <v>31</v>
      </c>
      <c r="N148" s="192" t="s">
        <v>31</v>
      </c>
      <c r="O148" s="192" t="s">
        <v>95</v>
      </c>
      <c r="Q148" s="191">
        <v>7</v>
      </c>
      <c r="R148" s="191">
        <v>9</v>
      </c>
      <c r="S148" s="191">
        <v>7</v>
      </c>
      <c r="T148" s="191">
        <v>7</v>
      </c>
      <c r="U148" s="191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14</v>
      </c>
      <c r="M149" s="192" t="s">
        <v>31</v>
      </c>
      <c r="N149" s="192" t="s">
        <v>12</v>
      </c>
      <c r="O149" s="192" t="s">
        <v>16</v>
      </c>
      <c r="Q149" s="191">
        <v>8</v>
      </c>
      <c r="R149" s="191">
        <v>1</v>
      </c>
      <c r="S149" s="191">
        <v>7</v>
      </c>
      <c r="T149" s="191">
        <v>4</v>
      </c>
      <c r="U149" s="191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31</v>
      </c>
      <c r="L150" s="192" t="s">
        <v>15</v>
      </c>
      <c r="M150" s="192" t="s">
        <v>31</v>
      </c>
      <c r="N150" s="192" t="s">
        <v>12</v>
      </c>
      <c r="O150" s="192" t="s">
        <v>95</v>
      </c>
      <c r="Q150" s="191">
        <v>7</v>
      </c>
      <c r="R150" s="191">
        <v>2</v>
      </c>
      <c r="S150" s="191">
        <v>7</v>
      </c>
      <c r="T150" s="191">
        <v>4</v>
      </c>
      <c r="U150" s="191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95</v>
      </c>
      <c r="N151" s="192" t="s">
        <v>12</v>
      </c>
      <c r="O151" s="192" t="s">
        <v>15</v>
      </c>
      <c r="Q151" s="191">
        <v>6</v>
      </c>
      <c r="R151" s="191">
        <v>2</v>
      </c>
      <c r="S151" s="191">
        <v>6</v>
      </c>
      <c r="T151" s="191">
        <v>4</v>
      </c>
      <c r="U151" s="191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12</v>
      </c>
      <c r="L152" s="192" t="s">
        <v>16</v>
      </c>
      <c r="M152" s="192" t="s">
        <v>13</v>
      </c>
      <c r="N152" s="192" t="s">
        <v>30</v>
      </c>
      <c r="O152" s="192" t="s">
        <v>14</v>
      </c>
      <c r="Q152" s="191">
        <v>4</v>
      </c>
      <c r="R152" s="191">
        <v>3</v>
      </c>
      <c r="S152" s="191">
        <v>5</v>
      </c>
      <c r="T152" s="191">
        <v>10</v>
      </c>
      <c r="U152" s="191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31</v>
      </c>
      <c r="L153" s="192" t="s">
        <v>12</v>
      </c>
      <c r="M153" s="192" t="s">
        <v>16</v>
      </c>
      <c r="N153" s="192" t="s">
        <v>80</v>
      </c>
      <c r="O153" s="192" t="s">
        <v>95</v>
      </c>
      <c r="Q153" s="191">
        <v>7</v>
      </c>
      <c r="R153" s="191">
        <v>4</v>
      </c>
      <c r="S153" s="191">
        <v>3</v>
      </c>
      <c r="T153" s="191">
        <v>13</v>
      </c>
      <c r="U153" s="191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82</v>
      </c>
      <c r="M154" s="192" t="s">
        <v>29</v>
      </c>
      <c r="N154" s="192" t="s">
        <v>28</v>
      </c>
      <c r="O154" s="192" t="s">
        <v>28</v>
      </c>
      <c r="Q154" s="191">
        <v>7</v>
      </c>
      <c r="R154" s="191">
        <v>16</v>
      </c>
      <c r="S154" s="191">
        <v>8</v>
      </c>
      <c r="T154" s="191">
        <v>9</v>
      </c>
      <c r="U154" s="191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95</v>
      </c>
      <c r="L155" s="192" t="s">
        <v>12</v>
      </c>
      <c r="M155" s="192" t="s">
        <v>13</v>
      </c>
      <c r="N155" s="192" t="s">
        <v>13</v>
      </c>
      <c r="O155" s="192" t="s">
        <v>28</v>
      </c>
      <c r="Q155" s="191">
        <v>6</v>
      </c>
      <c r="R155" s="191">
        <v>4</v>
      </c>
      <c r="S155" s="191">
        <v>5</v>
      </c>
      <c r="T155" s="191">
        <v>5</v>
      </c>
      <c r="U155" s="191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30</v>
      </c>
      <c r="M156" s="192" t="s">
        <v>13</v>
      </c>
      <c r="N156" s="192" t="s">
        <v>29</v>
      </c>
      <c r="O156" s="192" t="s">
        <v>95</v>
      </c>
      <c r="Q156" s="191">
        <v>7</v>
      </c>
      <c r="R156" s="191">
        <v>10</v>
      </c>
      <c r="S156" s="191">
        <v>5</v>
      </c>
      <c r="T156" s="191">
        <v>8</v>
      </c>
      <c r="U156" s="191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15</v>
      </c>
      <c r="M157" s="192" t="s">
        <v>13</v>
      </c>
      <c r="N157" s="192" t="s">
        <v>82</v>
      </c>
      <c r="O157" s="192" t="s">
        <v>95</v>
      </c>
      <c r="Q157" s="191">
        <v>6</v>
      </c>
      <c r="R157" s="191">
        <v>2</v>
      </c>
      <c r="S157" s="191">
        <v>5</v>
      </c>
      <c r="T157" s="191">
        <v>16</v>
      </c>
      <c r="U157" s="191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12</v>
      </c>
      <c r="M158" s="192" t="s">
        <v>29</v>
      </c>
      <c r="N158" s="192" t="s">
        <v>15</v>
      </c>
      <c r="O158" s="192" t="s">
        <v>29</v>
      </c>
      <c r="Q158" s="191">
        <v>8</v>
      </c>
      <c r="R158" s="191">
        <v>4</v>
      </c>
      <c r="S158" s="191">
        <v>8</v>
      </c>
      <c r="T158" s="191">
        <v>2</v>
      </c>
      <c r="U158" s="191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31</v>
      </c>
      <c r="M159" s="192" t="s">
        <v>29</v>
      </c>
      <c r="N159" s="192" t="s">
        <v>14</v>
      </c>
      <c r="O159" s="192" t="s">
        <v>14</v>
      </c>
      <c r="Q159" s="191">
        <v>8</v>
      </c>
      <c r="R159" s="191">
        <v>7</v>
      </c>
      <c r="S159" s="191">
        <v>8</v>
      </c>
      <c r="T159" s="191">
        <v>1</v>
      </c>
      <c r="U159" s="191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14</v>
      </c>
      <c r="L160" s="192" t="s">
        <v>95</v>
      </c>
      <c r="M160" s="192" t="s">
        <v>31</v>
      </c>
      <c r="N160" s="192" t="s">
        <v>31</v>
      </c>
      <c r="O160" s="192" t="s">
        <v>13</v>
      </c>
      <c r="Q160" s="191">
        <v>1</v>
      </c>
      <c r="R160" s="191">
        <v>6</v>
      </c>
      <c r="S160" s="191">
        <v>7</v>
      </c>
      <c r="T160" s="191">
        <v>7</v>
      </c>
      <c r="U160" s="191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95</v>
      </c>
      <c r="N161" s="192" t="s">
        <v>28</v>
      </c>
      <c r="O161" s="192" t="s">
        <v>31</v>
      </c>
      <c r="Q161" s="191">
        <v>8</v>
      </c>
      <c r="R161" s="191">
        <v>2</v>
      </c>
      <c r="S161" s="191">
        <v>6</v>
      </c>
      <c r="T161" s="191">
        <v>9</v>
      </c>
      <c r="U161" s="191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30</v>
      </c>
      <c r="M162" s="192" t="s">
        <v>95</v>
      </c>
      <c r="N162" s="192" t="s">
        <v>28</v>
      </c>
      <c r="O162" s="192" t="s">
        <v>95</v>
      </c>
      <c r="Q162" s="191">
        <v>7</v>
      </c>
      <c r="R162" s="191">
        <v>10</v>
      </c>
      <c r="S162" s="191">
        <v>6</v>
      </c>
      <c r="T162" s="191">
        <v>9</v>
      </c>
      <c r="U162" s="191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12</v>
      </c>
      <c r="M163" s="192" t="s">
        <v>95</v>
      </c>
      <c r="N163" s="192" t="s">
        <v>28</v>
      </c>
      <c r="O163" s="192" t="s">
        <v>95</v>
      </c>
      <c r="Q163" s="191">
        <v>8</v>
      </c>
      <c r="R163" s="191">
        <v>4</v>
      </c>
      <c r="S163" s="191">
        <v>6</v>
      </c>
      <c r="T163" s="191">
        <v>9</v>
      </c>
      <c r="U163" s="191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29</v>
      </c>
      <c r="L164" s="192" t="s">
        <v>16</v>
      </c>
      <c r="M164" s="192" t="s">
        <v>13</v>
      </c>
      <c r="N164" s="192" t="s">
        <v>30</v>
      </c>
      <c r="O164" s="192" t="s">
        <v>29</v>
      </c>
      <c r="Q164" s="191">
        <v>8</v>
      </c>
      <c r="R164" s="191">
        <v>3</v>
      </c>
      <c r="S164" s="191">
        <v>5</v>
      </c>
      <c r="T164" s="191">
        <v>10</v>
      </c>
      <c r="U164" s="191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78</v>
      </c>
      <c r="M165" s="192" t="s">
        <v>15</v>
      </c>
      <c r="N165" s="192" t="s">
        <v>29</v>
      </c>
      <c r="O165" s="192" t="s">
        <v>30</v>
      </c>
      <c r="Q165" s="191">
        <v>5</v>
      </c>
      <c r="R165" s="191">
        <v>11</v>
      </c>
      <c r="S165" s="191">
        <v>2</v>
      </c>
      <c r="T165" s="191">
        <v>8</v>
      </c>
      <c r="U165" s="191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95</v>
      </c>
      <c r="L166" s="192" t="s">
        <v>12</v>
      </c>
      <c r="M166" s="192" t="s">
        <v>31</v>
      </c>
      <c r="N166" s="192" t="s">
        <v>29</v>
      </c>
      <c r="O166" s="192" t="s">
        <v>29</v>
      </c>
      <c r="Q166" s="191">
        <v>6</v>
      </c>
      <c r="R166" s="191">
        <v>4</v>
      </c>
      <c r="S166" s="191">
        <v>7</v>
      </c>
      <c r="T166" s="191">
        <v>8</v>
      </c>
      <c r="U166" s="191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16</v>
      </c>
      <c r="M167" s="192" t="s">
        <v>13</v>
      </c>
      <c r="N167" s="192" t="s">
        <v>13</v>
      </c>
      <c r="O167" s="192" t="s">
        <v>15</v>
      </c>
      <c r="Q167" s="191">
        <v>8</v>
      </c>
      <c r="R167" s="191">
        <v>3</v>
      </c>
      <c r="S167" s="191">
        <v>5</v>
      </c>
      <c r="T167" s="191">
        <v>5</v>
      </c>
      <c r="U167" s="191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80</v>
      </c>
      <c r="M168" s="192" t="s">
        <v>95</v>
      </c>
      <c r="N168" s="192" t="s">
        <v>15</v>
      </c>
      <c r="O168" s="192" t="s">
        <v>28</v>
      </c>
      <c r="Q168" s="191">
        <v>7</v>
      </c>
      <c r="R168" s="191">
        <v>13</v>
      </c>
      <c r="S168" s="191">
        <v>6</v>
      </c>
      <c r="T168" s="191">
        <v>2</v>
      </c>
      <c r="U168" s="191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28</v>
      </c>
      <c r="M169" s="192" t="s">
        <v>95</v>
      </c>
      <c r="N169" s="192" t="s">
        <v>15</v>
      </c>
      <c r="O169" s="192" t="s">
        <v>12</v>
      </c>
      <c r="Q169" s="191">
        <v>7</v>
      </c>
      <c r="R169" s="191">
        <v>9</v>
      </c>
      <c r="S169" s="191">
        <v>6</v>
      </c>
      <c r="T169" s="191">
        <v>2</v>
      </c>
      <c r="U169" s="191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15</v>
      </c>
      <c r="M170" s="192" t="s">
        <v>95</v>
      </c>
      <c r="N170" s="192" t="s">
        <v>13</v>
      </c>
      <c r="O170" s="192" t="s">
        <v>16</v>
      </c>
      <c r="Q170" s="191">
        <v>7</v>
      </c>
      <c r="R170" s="191">
        <v>2</v>
      </c>
      <c r="S170" s="191">
        <v>6</v>
      </c>
      <c r="T170" s="191">
        <v>5</v>
      </c>
      <c r="U170" s="191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13</v>
      </c>
      <c r="N171" s="192" t="s">
        <v>15</v>
      </c>
      <c r="O171" s="192" t="s">
        <v>29</v>
      </c>
      <c r="Q171" s="191">
        <v>8</v>
      </c>
      <c r="R171" s="191">
        <v>8</v>
      </c>
      <c r="S171" s="191">
        <v>5</v>
      </c>
      <c r="T171" s="191">
        <v>2</v>
      </c>
      <c r="U171" s="191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16</v>
      </c>
      <c r="M172" s="192" t="s">
        <v>95</v>
      </c>
      <c r="N172" s="192" t="s">
        <v>95</v>
      </c>
      <c r="O172" s="192" t="s">
        <v>15</v>
      </c>
      <c r="Q172" s="191">
        <v>7</v>
      </c>
      <c r="R172" s="191">
        <v>3</v>
      </c>
      <c r="S172" s="191">
        <v>6</v>
      </c>
      <c r="T172" s="191">
        <v>6</v>
      </c>
      <c r="U172" s="191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13</v>
      </c>
      <c r="L173" s="192" t="s">
        <v>28</v>
      </c>
      <c r="M173" s="192" t="s">
        <v>13</v>
      </c>
      <c r="N173" s="192" t="s">
        <v>16</v>
      </c>
      <c r="O173" s="192" t="s">
        <v>12</v>
      </c>
      <c r="Q173" s="191">
        <v>5</v>
      </c>
      <c r="R173" s="191">
        <v>9</v>
      </c>
      <c r="S173" s="191">
        <v>5</v>
      </c>
      <c r="T173" s="191">
        <v>3</v>
      </c>
      <c r="U173" s="191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31</v>
      </c>
      <c r="M174" s="192" t="s">
        <v>14</v>
      </c>
      <c r="N174" s="192" t="s">
        <v>95</v>
      </c>
      <c r="O174" s="192" t="s">
        <v>31</v>
      </c>
      <c r="Q174" s="191">
        <v>6</v>
      </c>
      <c r="R174" s="191">
        <v>7</v>
      </c>
      <c r="S174" s="191">
        <v>1</v>
      </c>
      <c r="T174" s="191">
        <v>6</v>
      </c>
      <c r="U174" s="191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31</v>
      </c>
      <c r="M175" s="192" t="s">
        <v>29</v>
      </c>
      <c r="N175" s="192" t="s">
        <v>31</v>
      </c>
      <c r="O175" s="192" t="s">
        <v>29</v>
      </c>
      <c r="Q175" s="191">
        <v>7</v>
      </c>
      <c r="R175" s="191">
        <v>7</v>
      </c>
      <c r="S175" s="191">
        <v>8</v>
      </c>
      <c r="T175" s="191">
        <v>7</v>
      </c>
      <c r="U175" s="191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12</v>
      </c>
      <c r="M176" s="192" t="s">
        <v>29</v>
      </c>
      <c r="N176" s="192" t="s">
        <v>81</v>
      </c>
      <c r="O176" s="192" t="s">
        <v>14</v>
      </c>
      <c r="Q176" s="191">
        <v>6</v>
      </c>
      <c r="R176" s="191">
        <v>4</v>
      </c>
      <c r="S176" s="191">
        <v>8</v>
      </c>
      <c r="T176" s="191">
        <v>14</v>
      </c>
      <c r="U176" s="191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95</v>
      </c>
      <c r="L177" s="192" t="s">
        <v>80</v>
      </c>
      <c r="M177" s="192" t="s">
        <v>13</v>
      </c>
      <c r="N177" s="192" t="s">
        <v>85</v>
      </c>
      <c r="O177" s="192" t="s">
        <v>29</v>
      </c>
      <c r="Q177" s="191">
        <v>6</v>
      </c>
      <c r="R177" s="191">
        <v>13</v>
      </c>
      <c r="S177" s="191">
        <v>5</v>
      </c>
      <c r="T177" s="191">
        <v>18</v>
      </c>
      <c r="U177" s="191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95</v>
      </c>
      <c r="L178" s="192" t="s">
        <v>15</v>
      </c>
      <c r="M178" s="192" t="s">
        <v>29</v>
      </c>
      <c r="N178" s="192" t="s">
        <v>87</v>
      </c>
      <c r="O178" s="192" t="s">
        <v>29</v>
      </c>
      <c r="Q178" s="191">
        <v>6</v>
      </c>
      <c r="R178" s="191">
        <v>2</v>
      </c>
      <c r="S178" s="191">
        <v>8</v>
      </c>
      <c r="T178" s="191">
        <v>19</v>
      </c>
      <c r="U178" s="191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14</v>
      </c>
      <c r="L179" s="192" t="s">
        <v>15</v>
      </c>
      <c r="M179" s="192" t="s">
        <v>13</v>
      </c>
      <c r="N179" s="192" t="s">
        <v>28</v>
      </c>
      <c r="O179" s="192" t="s">
        <v>31</v>
      </c>
      <c r="Q179" s="191">
        <v>1</v>
      </c>
      <c r="R179" s="191">
        <v>2</v>
      </c>
      <c r="S179" s="191">
        <v>5</v>
      </c>
      <c r="T179" s="191">
        <v>9</v>
      </c>
      <c r="U179" s="191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31</v>
      </c>
      <c r="L180" s="192" t="s">
        <v>15</v>
      </c>
      <c r="M180" s="192" t="s">
        <v>13</v>
      </c>
      <c r="N180" s="192" t="s">
        <v>13</v>
      </c>
      <c r="O180" s="192" t="s">
        <v>30</v>
      </c>
      <c r="Q180" s="191">
        <v>7</v>
      </c>
      <c r="R180" s="191">
        <v>2</v>
      </c>
      <c r="S180" s="191">
        <v>5</v>
      </c>
      <c r="T180" s="191">
        <v>5</v>
      </c>
      <c r="U180" s="191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95</v>
      </c>
      <c r="L181" s="192" t="s">
        <v>15</v>
      </c>
      <c r="M181" s="192" t="s">
        <v>31</v>
      </c>
      <c r="N181" s="192" t="s">
        <v>15</v>
      </c>
      <c r="O181" s="192" t="s">
        <v>30</v>
      </c>
      <c r="Q181" s="191">
        <v>6</v>
      </c>
      <c r="R181" s="191">
        <v>2</v>
      </c>
      <c r="S181" s="191">
        <v>7</v>
      </c>
      <c r="T181" s="191">
        <v>2</v>
      </c>
      <c r="U181" s="191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30</v>
      </c>
      <c r="M182" s="192" t="s">
        <v>29</v>
      </c>
      <c r="N182" s="192" t="s">
        <v>14</v>
      </c>
      <c r="O182" s="192" t="s">
        <v>29</v>
      </c>
      <c r="Q182" s="191">
        <v>5</v>
      </c>
      <c r="R182" s="191">
        <v>10</v>
      </c>
      <c r="S182" s="191">
        <v>8</v>
      </c>
      <c r="T182" s="191">
        <v>1</v>
      </c>
      <c r="U182" s="191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13</v>
      </c>
      <c r="L183" s="192" t="s">
        <v>28</v>
      </c>
      <c r="M183" s="192" t="s">
        <v>95</v>
      </c>
      <c r="N183" s="192" t="s">
        <v>29</v>
      </c>
      <c r="O183" s="192" t="s">
        <v>95</v>
      </c>
      <c r="Q183" s="191">
        <v>5</v>
      </c>
      <c r="R183" s="191">
        <v>9</v>
      </c>
      <c r="S183" s="191">
        <v>6</v>
      </c>
      <c r="T183" s="191">
        <v>8</v>
      </c>
      <c r="U183" s="191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96</v>
      </c>
      <c r="M184" s="192" t="s">
        <v>95</v>
      </c>
      <c r="N184" s="192" t="s">
        <v>16</v>
      </c>
      <c r="O184" s="192" t="s">
        <v>12</v>
      </c>
      <c r="Q184" s="191">
        <v>5</v>
      </c>
      <c r="R184" s="191">
        <v>15</v>
      </c>
      <c r="S184" s="191">
        <v>6</v>
      </c>
      <c r="T184" s="191">
        <v>3</v>
      </c>
      <c r="U184" s="191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29</v>
      </c>
      <c r="L185" s="192" t="s">
        <v>29</v>
      </c>
      <c r="M185" s="192" t="s">
        <v>13</v>
      </c>
      <c r="N185" s="192" t="s">
        <v>16</v>
      </c>
      <c r="O185" s="192" t="s">
        <v>29</v>
      </c>
      <c r="Q185" s="191">
        <v>8</v>
      </c>
      <c r="R185" s="191">
        <v>8</v>
      </c>
      <c r="S185" s="191">
        <v>5</v>
      </c>
      <c r="T185" s="191">
        <v>3</v>
      </c>
      <c r="U185" s="191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13</v>
      </c>
      <c r="L186" s="192" t="s">
        <v>31</v>
      </c>
      <c r="M186" s="192" t="s">
        <v>31</v>
      </c>
      <c r="N186" s="192" t="s">
        <v>95</v>
      </c>
      <c r="O186" s="192" t="s">
        <v>29</v>
      </c>
      <c r="Q186" s="191">
        <v>5</v>
      </c>
      <c r="R186" s="191">
        <v>7</v>
      </c>
      <c r="S186" s="191">
        <v>7</v>
      </c>
      <c r="T186" s="191">
        <v>6</v>
      </c>
      <c r="U186" s="191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28</v>
      </c>
      <c r="M187" s="192" t="s">
        <v>13</v>
      </c>
      <c r="N187" s="192" t="s">
        <v>96</v>
      </c>
      <c r="O187" s="192" t="s">
        <v>28</v>
      </c>
      <c r="Q187" s="191">
        <v>8</v>
      </c>
      <c r="R187" s="191">
        <v>9</v>
      </c>
      <c r="S187" s="191">
        <v>5</v>
      </c>
      <c r="T187" s="191">
        <v>15</v>
      </c>
      <c r="U187" s="191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12</v>
      </c>
      <c r="L188" s="192" t="s">
        <v>80</v>
      </c>
      <c r="M188" s="192" t="s">
        <v>29</v>
      </c>
      <c r="N188" s="192" t="s">
        <v>28</v>
      </c>
      <c r="O188" s="192" t="s">
        <v>30</v>
      </c>
      <c r="Q188" s="191">
        <v>4</v>
      </c>
      <c r="R188" s="191">
        <v>13</v>
      </c>
      <c r="S188" s="191">
        <v>8</v>
      </c>
      <c r="T188" s="191">
        <v>9</v>
      </c>
      <c r="U188" s="191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14</v>
      </c>
      <c r="M189" s="192" t="s">
        <v>13</v>
      </c>
      <c r="N189" s="192" t="s">
        <v>12</v>
      </c>
      <c r="O189" s="192" t="s">
        <v>29</v>
      </c>
      <c r="Q189" s="191">
        <v>8</v>
      </c>
      <c r="R189" s="191">
        <v>1</v>
      </c>
      <c r="S189" s="191">
        <v>5</v>
      </c>
      <c r="T189" s="191">
        <v>4</v>
      </c>
      <c r="U189" s="191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85</v>
      </c>
      <c r="M190" s="192" t="s">
        <v>13</v>
      </c>
      <c r="N190" s="192" t="s">
        <v>14</v>
      </c>
      <c r="O190" s="192" t="s">
        <v>29</v>
      </c>
      <c r="Q190" s="191">
        <v>5</v>
      </c>
      <c r="R190" s="191">
        <v>18</v>
      </c>
      <c r="S190" s="191">
        <v>5</v>
      </c>
      <c r="T190" s="191">
        <v>1</v>
      </c>
      <c r="U190" s="191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15</v>
      </c>
      <c r="M191" s="192" t="s">
        <v>29</v>
      </c>
      <c r="N191" s="192" t="s">
        <v>95</v>
      </c>
      <c r="O191" s="192" t="s">
        <v>31</v>
      </c>
      <c r="Q191" s="191">
        <v>8</v>
      </c>
      <c r="R191" s="191">
        <v>2</v>
      </c>
      <c r="S191" s="191">
        <v>8</v>
      </c>
      <c r="T191" s="191">
        <v>6</v>
      </c>
      <c r="U191" s="191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31</v>
      </c>
      <c r="M192" s="192" t="s">
        <v>29</v>
      </c>
      <c r="N192" s="192" t="s">
        <v>16</v>
      </c>
      <c r="O192" s="192" t="s">
        <v>31</v>
      </c>
      <c r="Q192" s="191">
        <v>6</v>
      </c>
      <c r="R192" s="191">
        <v>7</v>
      </c>
      <c r="S192" s="191">
        <v>8</v>
      </c>
      <c r="T192" s="191">
        <v>3</v>
      </c>
      <c r="U192" s="191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28</v>
      </c>
      <c r="M193" s="192" t="s">
        <v>31</v>
      </c>
      <c r="N193" s="192" t="s">
        <v>13</v>
      </c>
      <c r="O193" s="192" t="s">
        <v>28</v>
      </c>
      <c r="Q193" s="191">
        <v>5</v>
      </c>
      <c r="R193" s="191">
        <v>9</v>
      </c>
      <c r="S193" s="191">
        <v>7</v>
      </c>
      <c r="T193" s="191">
        <v>5</v>
      </c>
      <c r="U193" s="191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12</v>
      </c>
      <c r="M194" s="192" t="s">
        <v>95</v>
      </c>
      <c r="N194" s="192" t="s">
        <v>13</v>
      </c>
      <c r="O194" s="192" t="s">
        <v>12</v>
      </c>
      <c r="Q194" s="191">
        <v>8</v>
      </c>
      <c r="R194" s="191">
        <v>4</v>
      </c>
      <c r="S194" s="191">
        <v>6</v>
      </c>
      <c r="T194" s="191">
        <v>5</v>
      </c>
      <c r="U194" s="191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28</v>
      </c>
      <c r="L195" s="192" t="s">
        <v>95</v>
      </c>
      <c r="M195" s="192" t="s">
        <v>28</v>
      </c>
      <c r="N195" s="192" t="s">
        <v>87</v>
      </c>
      <c r="O195" s="192" t="s">
        <v>29</v>
      </c>
      <c r="Q195" s="191">
        <v>9</v>
      </c>
      <c r="R195" s="191">
        <v>6</v>
      </c>
      <c r="S195" s="191">
        <v>9</v>
      </c>
      <c r="T195" s="191">
        <v>19</v>
      </c>
      <c r="U195" s="191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13</v>
      </c>
      <c r="L196" s="192" t="s">
        <v>15</v>
      </c>
      <c r="M196" s="192" t="s">
        <v>13</v>
      </c>
      <c r="N196" s="192" t="s">
        <v>29</v>
      </c>
      <c r="O196" s="192" t="s">
        <v>95</v>
      </c>
      <c r="Q196" s="191">
        <v>5</v>
      </c>
      <c r="R196" s="191">
        <v>2</v>
      </c>
      <c r="S196" s="191">
        <v>5</v>
      </c>
      <c r="T196" s="191">
        <v>8</v>
      </c>
      <c r="U196" s="191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82</v>
      </c>
      <c r="M197" s="192" t="s">
        <v>31</v>
      </c>
      <c r="N197" s="192" t="s">
        <v>16</v>
      </c>
      <c r="O197" s="192" t="s">
        <v>29</v>
      </c>
      <c r="Q197" s="191">
        <v>8</v>
      </c>
      <c r="R197" s="191">
        <v>16</v>
      </c>
      <c r="S197" s="191">
        <v>7</v>
      </c>
      <c r="T197" s="191">
        <v>3</v>
      </c>
      <c r="U197" s="191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31</v>
      </c>
      <c r="L198" s="192" t="s">
        <v>12</v>
      </c>
      <c r="M198" s="192" t="s">
        <v>31</v>
      </c>
      <c r="N198" s="192" t="s">
        <v>30</v>
      </c>
      <c r="O198" s="192" t="s">
        <v>16</v>
      </c>
      <c r="Q198" s="191">
        <v>7</v>
      </c>
      <c r="R198" s="191">
        <v>4</v>
      </c>
      <c r="S198" s="191">
        <v>7</v>
      </c>
      <c r="T198" s="191">
        <v>10</v>
      </c>
      <c r="U198" s="191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13</v>
      </c>
      <c r="L199" s="192" t="s">
        <v>28</v>
      </c>
      <c r="M199" s="192" t="s">
        <v>13</v>
      </c>
      <c r="N199" s="192" t="s">
        <v>13</v>
      </c>
      <c r="O199" s="192" t="s">
        <v>31</v>
      </c>
      <c r="Q199" s="191">
        <v>5</v>
      </c>
      <c r="R199" s="191">
        <v>9</v>
      </c>
      <c r="S199" s="191">
        <v>5</v>
      </c>
      <c r="T199" s="191">
        <v>5</v>
      </c>
      <c r="U199" s="191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85</v>
      </c>
      <c r="M200" s="192" t="s">
        <v>29</v>
      </c>
      <c r="N200" s="192" t="s">
        <v>28</v>
      </c>
      <c r="O200" s="192" t="s">
        <v>31</v>
      </c>
      <c r="Q200" s="191">
        <v>6</v>
      </c>
      <c r="R200" s="191">
        <v>18</v>
      </c>
      <c r="S200" s="191">
        <v>8</v>
      </c>
      <c r="T200" s="191">
        <v>9</v>
      </c>
      <c r="U200" s="191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28</v>
      </c>
      <c r="M201" s="192" t="s">
        <v>95</v>
      </c>
      <c r="N201" s="192" t="s">
        <v>28</v>
      </c>
      <c r="O201" s="192" t="s">
        <v>95</v>
      </c>
      <c r="Q201" s="191">
        <v>5</v>
      </c>
      <c r="R201" s="191">
        <v>9</v>
      </c>
      <c r="S201" s="191">
        <v>6</v>
      </c>
      <c r="T201" s="191">
        <v>9</v>
      </c>
      <c r="U201" s="191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95</v>
      </c>
      <c r="L202" s="192" t="s">
        <v>13</v>
      </c>
      <c r="M202" s="192" t="s">
        <v>29</v>
      </c>
      <c r="N202" s="192" t="s">
        <v>96</v>
      </c>
      <c r="O202" s="192" t="s">
        <v>95</v>
      </c>
      <c r="Q202" s="191">
        <v>6</v>
      </c>
      <c r="R202" s="191">
        <v>5</v>
      </c>
      <c r="S202" s="191">
        <v>8</v>
      </c>
      <c r="T202" s="191">
        <v>15</v>
      </c>
      <c r="U202" s="191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79</v>
      </c>
      <c r="M203" s="192" t="s">
        <v>29</v>
      </c>
      <c r="N203" s="192" t="s">
        <v>79</v>
      </c>
      <c r="O203" s="192" t="s">
        <v>12</v>
      </c>
      <c r="Q203" s="191">
        <v>7</v>
      </c>
      <c r="R203" s="191">
        <v>12</v>
      </c>
      <c r="S203" s="191">
        <v>8</v>
      </c>
      <c r="T203" s="191">
        <v>12</v>
      </c>
      <c r="U203" s="191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37" priority="71">
      <formula>_xlfn.LET(_xlpm.x, W4, AND(NOT(_xlfn.ISFORMULA(_xlpm.x)), _xlpm.x&lt;&gt;""))</formula>
    </cfRule>
  </conditionalFormatting>
  <conditionalFormatting sqref="W4:AA203">
    <cfRule type="expression" dxfId="36" priority="66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/>
  <cols>
    <col min="1" max="1" width="8.88671875" style="15"/>
    <col min="2" max="2" width="9" style="15" hidden="1" customWidth="1"/>
    <col min="3" max="5" width="9.6640625" style="15" hidden="1" customWidth="1"/>
    <col min="6" max="6" width="0" style="15" hidden="1" customWidth="1"/>
    <col min="7" max="7" width="21.21875" style="15" hidden="1" customWidth="1"/>
    <col min="8" max="8" width="11" style="15" hidden="1" customWidth="1"/>
    <col min="9" max="9" width="9.5546875" style="15" hidden="1" customWidth="1"/>
    <col min="10" max="10" width="21.21875" style="15" hidden="1" customWidth="1"/>
    <col min="11" max="11" width="9.6640625" style="15" hidden="1" customWidth="1"/>
    <col min="12" max="12" width="9.5546875" style="15" hidden="1" customWidth="1"/>
    <col min="13" max="13" width="10.44140625" style="15" bestFit="1" customWidth="1"/>
    <col min="14" max="17" width="9.77734375" style="15" customWidth="1"/>
    <col min="18" max="18" width="9.5546875" style="15" bestFit="1" customWidth="1"/>
    <col min="19" max="19" width="10.44140625" style="15" bestFit="1" customWidth="1"/>
    <col min="20" max="23" width="9.77734375" style="15" customWidth="1"/>
    <col min="24" max="24" width="9.5546875" style="15" bestFit="1" customWidth="1"/>
    <col min="25" max="28" width="11" style="15" customWidth="1"/>
    <col min="29" max="31" width="11.21875" style="15" customWidth="1"/>
    <col min="32" max="32" width="8.88671875" style="15"/>
    <col min="33" max="35" width="11.21875" style="15" customWidth="1"/>
    <col min="36" max="16384" width="8.88671875" style="15"/>
  </cols>
  <sheetData>
    <row r="2" spans="2:31">
      <c r="B2" s="15" t="s">
        <v>127</v>
      </c>
      <c r="F2" s="141">
        <f>Parameter!L5+Parameter!L7</f>
        <v>0.89999999999999991</v>
      </c>
      <c r="G2" s="141">
        <f>Parameter!L6</f>
        <v>0.1</v>
      </c>
      <c r="M2" s="15" t="s">
        <v>126</v>
      </c>
      <c r="S2" s="15" t="s">
        <v>191</v>
      </c>
    </row>
    <row r="3" spans="2:31">
      <c r="B3" s="119" t="s">
        <v>65</v>
      </c>
      <c r="C3" s="119" t="s">
        <v>126</v>
      </c>
      <c r="D3" s="119" t="s">
        <v>181</v>
      </c>
      <c r="E3" s="119" t="s">
        <v>182</v>
      </c>
      <c r="M3" s="124" t="s">
        <v>186</v>
      </c>
      <c r="N3" s="124" t="s">
        <v>91</v>
      </c>
      <c r="O3" s="124" t="s">
        <v>92</v>
      </c>
      <c r="P3" s="124" t="s">
        <v>184</v>
      </c>
      <c r="Q3" s="124" t="s">
        <v>185</v>
      </c>
      <c r="S3" s="124" t="s">
        <v>186</v>
      </c>
      <c r="T3" s="124" t="s">
        <v>91</v>
      </c>
      <c r="U3" s="124" t="s">
        <v>92</v>
      </c>
      <c r="V3" s="124" t="s">
        <v>184</v>
      </c>
      <c r="W3" s="124" t="s">
        <v>185</v>
      </c>
      <c r="Y3" s="15" t="s">
        <v>192</v>
      </c>
      <c r="Z3" s="15" t="s">
        <v>193</v>
      </c>
      <c r="AA3" s="15" t="s">
        <v>92</v>
      </c>
    </row>
    <row r="4" spans="2:31">
      <c r="B4" s="111">
        <v>0</v>
      </c>
      <c r="C4" s="142">
        <v>0.12890728185260192</v>
      </c>
      <c r="D4" s="145">
        <v>0.17979999999999999</v>
      </c>
      <c r="E4" s="145">
        <v>0</v>
      </c>
      <c r="F4" s="136" cm="1">
        <f t="array" ref="F4:F13">D4:D13*F2+E4:E13*G2</f>
        <v>0.16181999999999996</v>
      </c>
      <c r="G4" s="15">
        <v>0</v>
      </c>
      <c r="H4" s="136" cm="1">
        <f t="array" ref="H4:H13">G4:G13/10000</f>
        <v>0</v>
      </c>
      <c r="M4" s="152">
        <v>0</v>
      </c>
      <c r="N4" s="151">
        <v>0.12890728185260192</v>
      </c>
      <c r="O4" s="151">
        <v>5.6827150749802685E-2</v>
      </c>
      <c r="P4" s="151">
        <v>0.1214574898785425</v>
      </c>
      <c r="Q4" s="151">
        <v>0.14634146341463414</v>
      </c>
      <c r="S4" s="152">
        <v>0</v>
      </c>
      <c r="T4" s="151">
        <v>4.3664399999999999E-2</v>
      </c>
      <c r="U4" s="151">
        <v>0</v>
      </c>
      <c r="V4" s="151">
        <v>0</v>
      </c>
      <c r="W4" s="151">
        <v>0</v>
      </c>
    </row>
    <row r="5" spans="2:31">
      <c r="B5" s="111">
        <v>1</v>
      </c>
      <c r="C5" s="142">
        <v>0.30351325173901561</v>
      </c>
      <c r="D5" s="145">
        <v>0.35339999999999999</v>
      </c>
      <c r="E5" s="145">
        <v>0</v>
      </c>
      <c r="F5" s="136">
        <v>0.31805999999999995</v>
      </c>
      <c r="G5" s="15" cm="1">
        <f t="array" ref="G5:G13">TRANSPOSE(Parameter!AD5:AL5)</f>
        <v>300</v>
      </c>
      <c r="H5" s="136">
        <v>0.03</v>
      </c>
      <c r="M5" s="153">
        <v>1</v>
      </c>
      <c r="N5" s="135">
        <v>0.30351325173901561</v>
      </c>
      <c r="O5" s="135">
        <v>0.14601420678768745</v>
      </c>
      <c r="P5" s="135">
        <v>0.22672064777327935</v>
      </c>
      <c r="Q5" s="135">
        <v>0.3902439024390244</v>
      </c>
      <c r="S5" s="153">
        <v>1</v>
      </c>
      <c r="T5" s="135">
        <v>0.31492110000000001</v>
      </c>
      <c r="U5" s="135">
        <v>0</v>
      </c>
      <c r="V5" s="135">
        <v>0</v>
      </c>
      <c r="W5" s="135">
        <v>0</v>
      </c>
      <c r="Y5" s="15" cm="1">
        <f t="array" ref="Y5:Y13">TRANSPOSE(Parameter!AD5:AL5)</f>
        <v>300</v>
      </c>
      <c r="Z5" s="15" cm="1">
        <f t="array" ref="Z5:Z13">TRANSPOSE(Parameter!AD6:AL6)</f>
        <v>0</v>
      </c>
      <c r="AA5" s="15" cm="1">
        <f t="array" ref="AA5:AA13">TRANSPOSE(Parameter!AD8:AL8)</f>
        <v>0</v>
      </c>
      <c r="AC5" s="136" cm="1">
        <f t="array" ref="AC5:AC13">_xlfn.ANCHORARRAY(Y5)/10000</f>
        <v>0.03</v>
      </c>
      <c r="AD5" s="136" cm="1">
        <f t="array" ref="AD5:AD13">_xlfn.ANCHORARRAY(Z5)/10000</f>
        <v>0</v>
      </c>
      <c r="AE5" s="136" cm="1">
        <f t="array" ref="AE5:AE13">_xlfn.ANCHORARRAY(AA5)/10000</f>
        <v>0</v>
      </c>
    </row>
    <row r="6" spans="2:31">
      <c r="B6" s="111">
        <v>2</v>
      </c>
      <c r="C6" s="142">
        <v>0.30338117460596986</v>
      </c>
      <c r="D6" s="145">
        <v>0.29630000000000001</v>
      </c>
      <c r="E6" s="145">
        <v>0</v>
      </c>
      <c r="F6" s="136">
        <v>0.26666999999999996</v>
      </c>
      <c r="G6" s="15">
        <v>600</v>
      </c>
      <c r="H6" s="136">
        <v>0.06</v>
      </c>
      <c r="M6" s="153">
        <v>2</v>
      </c>
      <c r="N6" s="135">
        <v>0.30338117460596986</v>
      </c>
      <c r="O6" s="135">
        <v>0.23993685872138912</v>
      </c>
      <c r="P6" s="135">
        <v>0.25506072874493929</v>
      </c>
      <c r="Q6" s="135">
        <v>0.26829268292682928</v>
      </c>
      <c r="S6" s="153">
        <v>2</v>
      </c>
      <c r="T6" s="135">
        <v>0.35247650000000003</v>
      </c>
      <c r="U6" s="135">
        <v>0</v>
      </c>
      <c r="V6" s="135">
        <v>0</v>
      </c>
      <c r="W6" s="135">
        <v>0</v>
      </c>
      <c r="Y6" s="15">
        <v>600</v>
      </c>
      <c r="Z6" s="15">
        <v>0</v>
      </c>
      <c r="AA6" s="15">
        <v>0</v>
      </c>
      <c r="AC6" s="136">
        <v>0.06</v>
      </c>
      <c r="AD6" s="136">
        <v>0</v>
      </c>
      <c r="AE6" s="136">
        <v>0</v>
      </c>
    </row>
    <row r="7" spans="2:31">
      <c r="B7" s="111">
        <v>3</v>
      </c>
      <c r="C7" s="142">
        <v>0.18173813507088141</v>
      </c>
      <c r="D7" s="145">
        <v>0.13270000000000001</v>
      </c>
      <c r="E7" s="145">
        <v>0.17960000000000001</v>
      </c>
      <c r="F7" s="136">
        <v>0.13738999999999998</v>
      </c>
      <c r="G7" s="15">
        <v>1080</v>
      </c>
      <c r="H7" s="136">
        <v>0.108</v>
      </c>
      <c r="M7" s="153">
        <v>3</v>
      </c>
      <c r="N7" s="135">
        <v>0.18173813507088141</v>
      </c>
      <c r="O7" s="135">
        <v>0.24072612470402527</v>
      </c>
      <c r="P7" s="135">
        <v>0.20647773279352227</v>
      </c>
      <c r="Q7" s="135">
        <v>0.12195121951219512</v>
      </c>
      <c r="S7" s="153">
        <v>3</v>
      </c>
      <c r="T7" s="135">
        <v>0.16485949999999999</v>
      </c>
      <c r="U7" s="135">
        <v>0.17066543425199321</v>
      </c>
      <c r="V7" s="135">
        <v>0.27341059521774169</v>
      </c>
      <c r="W7" s="135">
        <v>0.34563942836203743</v>
      </c>
      <c r="Y7" s="15">
        <v>1080</v>
      </c>
      <c r="Z7" s="15">
        <v>525</v>
      </c>
      <c r="AA7" s="15">
        <v>525</v>
      </c>
      <c r="AC7" s="136">
        <v>0.108</v>
      </c>
      <c r="AD7" s="136">
        <v>5.2499999999999998E-2</v>
      </c>
      <c r="AE7" s="136">
        <v>5.2499999999999998E-2</v>
      </c>
    </row>
    <row r="8" spans="2:31">
      <c r="B8" s="111">
        <v>4</v>
      </c>
      <c r="C8" s="142">
        <v>6.3705203839042004E-2</v>
      </c>
      <c r="D8" s="145">
        <v>3.3300000000000003E-2</v>
      </c>
      <c r="E8" s="145">
        <v>0.38219999999999998</v>
      </c>
      <c r="F8" s="136">
        <v>6.8190000000000001E-2</v>
      </c>
      <c r="G8" s="15">
        <v>1440</v>
      </c>
      <c r="H8" s="136">
        <v>0.14399999999999999</v>
      </c>
      <c r="M8" s="153">
        <v>4</v>
      </c>
      <c r="N8" s="135">
        <v>6.3705203839042004E-2</v>
      </c>
      <c r="O8" s="135">
        <v>0.17363851617995266</v>
      </c>
      <c r="P8" s="135">
        <v>8.9068825910931168E-2</v>
      </c>
      <c r="Q8" s="135">
        <v>2.4390243902439025E-2</v>
      </c>
      <c r="S8" s="153">
        <v>4</v>
      </c>
      <c r="T8" s="135">
        <v>6.9643399999999994E-2</v>
      </c>
      <c r="U8" s="135">
        <v>0.39462506183361939</v>
      </c>
      <c r="V8" s="135">
        <v>0.40069120484576121</v>
      </c>
      <c r="W8" s="135">
        <v>0.42079516306339321</v>
      </c>
      <c r="Y8" s="15">
        <v>1440</v>
      </c>
      <c r="Z8" s="15">
        <v>700</v>
      </c>
      <c r="AA8" s="15">
        <v>700</v>
      </c>
      <c r="AC8" s="136">
        <v>0.14399999999999999</v>
      </c>
      <c r="AD8" s="136">
        <v>7.0000000000000007E-2</v>
      </c>
      <c r="AE8" s="136">
        <v>7.0000000000000007E-2</v>
      </c>
    </row>
    <row r="9" spans="2:31">
      <c r="B9" s="111">
        <v>5</v>
      </c>
      <c r="C9" s="142">
        <v>1.4748613190103021E-2</v>
      </c>
      <c r="D9" s="145">
        <v>4.4000000000000003E-3</v>
      </c>
      <c r="E9" s="145">
        <v>0.29920000000000002</v>
      </c>
      <c r="F9" s="136">
        <v>3.388E-2</v>
      </c>
      <c r="G9" s="15">
        <v>2250</v>
      </c>
      <c r="H9" s="136">
        <v>0.22500000000000001</v>
      </c>
      <c r="M9" s="153">
        <v>5</v>
      </c>
      <c r="N9" s="135">
        <v>1.4748613190103021E-2</v>
      </c>
      <c r="O9" s="135">
        <v>0.10023677979479084</v>
      </c>
      <c r="P9" s="135">
        <v>7.6923076923076927E-2</v>
      </c>
      <c r="Q9" s="135">
        <v>4.878048780487805E-2</v>
      </c>
      <c r="S9" s="153">
        <v>5</v>
      </c>
      <c r="T9" s="135">
        <v>3.9675799999999997E-2</v>
      </c>
      <c r="U9" s="135">
        <v>0.30825772020316261</v>
      </c>
      <c r="V9" s="135">
        <v>0.23469213296534211</v>
      </c>
      <c r="W9" s="135">
        <v>0.19085745694393549</v>
      </c>
      <c r="Y9" s="15">
        <v>2250</v>
      </c>
      <c r="Z9" s="15">
        <v>1750</v>
      </c>
      <c r="AA9" s="15">
        <v>1750</v>
      </c>
      <c r="AC9" s="136">
        <v>0.22500000000000001</v>
      </c>
      <c r="AD9" s="136">
        <v>0.17499999999999999</v>
      </c>
      <c r="AE9" s="136">
        <v>0.17499999999999999</v>
      </c>
    </row>
    <row r="10" spans="2:31">
      <c r="B10" s="111">
        <v>6</v>
      </c>
      <c r="C10" s="142">
        <v>3.6101083032490976E-3</v>
      </c>
      <c r="D10" s="145">
        <v>2.0000000000000001E-4</v>
      </c>
      <c r="E10" s="145">
        <v>0.1134</v>
      </c>
      <c r="F10" s="136">
        <v>1.1520000000000001E-2</v>
      </c>
      <c r="G10" s="15">
        <v>2700</v>
      </c>
      <c r="H10" s="136">
        <v>0.27</v>
      </c>
      <c r="M10" s="153">
        <v>6</v>
      </c>
      <c r="N10" s="135">
        <v>3.6101083032490976E-3</v>
      </c>
      <c r="O10" s="135">
        <v>3.1570639305445937E-2</v>
      </c>
      <c r="P10" s="135">
        <v>1.2145748987854251E-2</v>
      </c>
      <c r="Q10" s="135">
        <v>0</v>
      </c>
      <c r="S10" s="153">
        <v>6</v>
      </c>
      <c r="T10" s="135">
        <v>1.29564E-2</v>
      </c>
      <c r="U10" s="135">
        <v>0.104598098891988</v>
      </c>
      <c r="V10" s="135">
        <v>7.5171580001465454E-2</v>
      </c>
      <c r="W10" s="135">
        <v>3.8090875778673497E-2</v>
      </c>
      <c r="Y10" s="15">
        <v>2700</v>
      </c>
      <c r="Z10" s="15">
        <v>2100</v>
      </c>
      <c r="AA10" s="15">
        <v>2100</v>
      </c>
      <c r="AC10" s="136">
        <v>0.27</v>
      </c>
      <c r="AD10" s="136">
        <v>0.21</v>
      </c>
      <c r="AE10" s="136">
        <v>0.21</v>
      </c>
    </row>
    <row r="11" spans="2:31">
      <c r="B11" s="111">
        <v>7</v>
      </c>
      <c r="C11" s="142">
        <v>3.9623139913709608E-4</v>
      </c>
      <c r="D11" s="145">
        <v>0</v>
      </c>
      <c r="E11" s="145">
        <v>2.3E-2</v>
      </c>
      <c r="F11" s="136">
        <v>2.3E-3</v>
      </c>
      <c r="G11" s="15">
        <v>3150</v>
      </c>
      <c r="H11" s="136">
        <v>0.315</v>
      </c>
      <c r="M11" s="153">
        <v>7</v>
      </c>
      <c r="N11" s="135">
        <v>3.9623139913709608E-4</v>
      </c>
      <c r="O11" s="135">
        <v>1.0260457774269928E-2</v>
      </c>
      <c r="P11" s="135">
        <v>1.2145748987854251E-2</v>
      </c>
      <c r="Q11" s="135">
        <v>0</v>
      </c>
      <c r="S11" s="153">
        <v>7</v>
      </c>
      <c r="T11" s="135">
        <v>1.6918E-3</v>
      </c>
      <c r="U11" s="135">
        <v>1.9803014925997061E-2</v>
      </c>
      <c r="V11" s="135">
        <v>1.4459126102142001E-2</v>
      </c>
      <c r="W11" s="135">
        <v>4.3972150971051671E-3</v>
      </c>
      <c r="Y11" s="15">
        <v>3150</v>
      </c>
      <c r="Z11" s="15">
        <v>3675</v>
      </c>
      <c r="AA11" s="15">
        <v>3675</v>
      </c>
      <c r="AC11" s="136">
        <v>0.315</v>
      </c>
      <c r="AD11" s="136">
        <v>0.36749999999999999</v>
      </c>
      <c r="AE11" s="136">
        <v>0.36749999999999999</v>
      </c>
    </row>
    <row r="12" spans="2:31">
      <c r="B12" s="111">
        <v>8</v>
      </c>
      <c r="C12" s="142">
        <v>0</v>
      </c>
      <c r="D12" s="145">
        <v>0</v>
      </c>
      <c r="E12" s="145">
        <v>2.3999999999999998E-3</v>
      </c>
      <c r="F12" s="136">
        <v>2.3999999999999998E-4</v>
      </c>
      <c r="G12" s="15">
        <v>3600</v>
      </c>
      <c r="H12" s="136">
        <v>0.36</v>
      </c>
      <c r="M12" s="153">
        <v>8</v>
      </c>
      <c r="N12" s="135">
        <v>0</v>
      </c>
      <c r="O12" s="135">
        <v>7.8926598263614838E-4</v>
      </c>
      <c r="P12" s="135">
        <v>0</v>
      </c>
      <c r="Q12" s="135">
        <v>0</v>
      </c>
      <c r="S12" s="153">
        <v>8</v>
      </c>
      <c r="T12" s="135">
        <v>1.111E-4</v>
      </c>
      <c r="U12" s="135">
        <v>1.9554519253769821E-3</v>
      </c>
      <c r="V12" s="135">
        <v>1.5753608675475659E-3</v>
      </c>
      <c r="W12" s="135">
        <v>2.198607548552583E-4</v>
      </c>
      <c r="Y12" s="15">
        <v>3600</v>
      </c>
      <c r="Z12" s="15">
        <v>4200</v>
      </c>
      <c r="AA12" s="15">
        <v>4200</v>
      </c>
      <c r="AC12" s="136">
        <v>0.36</v>
      </c>
      <c r="AD12" s="136">
        <v>0.42</v>
      </c>
      <c r="AE12" s="136">
        <v>0.42</v>
      </c>
    </row>
    <row r="13" spans="2:31">
      <c r="B13" s="111">
        <v>9</v>
      </c>
      <c r="C13" s="142">
        <v>0</v>
      </c>
      <c r="D13" s="145">
        <v>0</v>
      </c>
      <c r="E13" s="145">
        <v>1E-4</v>
      </c>
      <c r="F13" s="136">
        <v>1.0000000000000001E-5</v>
      </c>
      <c r="G13" s="15">
        <v>4050</v>
      </c>
      <c r="H13" s="136">
        <v>0.40500000000000003</v>
      </c>
      <c r="M13" s="153">
        <v>9</v>
      </c>
      <c r="N13" s="135">
        <v>0</v>
      </c>
      <c r="O13" s="135">
        <v>0</v>
      </c>
      <c r="P13" s="135">
        <v>0</v>
      </c>
      <c r="Q13" s="135">
        <v>0</v>
      </c>
      <c r="S13" s="153">
        <v>9</v>
      </c>
      <c r="T13" s="135">
        <v>0</v>
      </c>
      <c r="U13" s="135">
        <v>9.5217967862774646E-5</v>
      </c>
      <c r="V13" s="135">
        <v>0</v>
      </c>
      <c r="W13" s="135">
        <v>0</v>
      </c>
      <c r="Y13" s="15">
        <v>4050</v>
      </c>
      <c r="Z13" s="15">
        <v>4725</v>
      </c>
      <c r="AA13" s="15">
        <v>4725</v>
      </c>
      <c r="AC13" s="136">
        <v>0.40500000000000003</v>
      </c>
      <c r="AD13" s="136">
        <v>0.47249999999999998</v>
      </c>
      <c r="AE13" s="136">
        <v>0.47249999999999998</v>
      </c>
    </row>
    <row r="14" spans="2:31">
      <c r="M14" s="153" t="s">
        <v>187</v>
      </c>
      <c r="N14" s="150">
        <f>SUMPRODUCT($M$4:$M$13,N4:N13)</f>
        <v>1.808488157083737</v>
      </c>
      <c r="O14" s="150">
        <f t="shared" ref="O14:Q14" si="0">SUMPRODUCT($M$4:$M$13,O4:O13)</f>
        <v>2.8113654301499604</v>
      </c>
      <c r="P14" s="150">
        <f t="shared" si="0"/>
        <v>2.2550607287449393</v>
      </c>
      <c r="Q14" s="150">
        <f t="shared" si="0"/>
        <v>1.6341463414634148</v>
      </c>
      <c r="S14" s="153" t="s">
        <v>187</v>
      </c>
      <c r="T14" s="150">
        <f>SUMPRODUCT($M$4:$M$13,T4:T13)</f>
        <v>2.0818749999999997</v>
      </c>
      <c r="U14" s="150">
        <f t="shared" ref="U14" si="1">SUMPRODUCT($M$4:$M$13,U4:U13)</f>
        <v>4.4144954260539579</v>
      </c>
      <c r="V14" s="150">
        <f t="shared" ref="V14" si="2">SUMPRODUCT($M$4:$M$13,V4:V13)</f>
        <v>4.1613035195271477</v>
      </c>
      <c r="W14" s="150">
        <f t="shared" ref="W14" si="3">SUMPRODUCT($M$4:$M$13,W4:W13)</f>
        <v>3.9354708684499817</v>
      </c>
    </row>
    <row r="15" spans="2:31">
      <c r="G15" s="15" t="s">
        <v>183</v>
      </c>
      <c r="T15" s="149" cm="1">
        <f t="array" ref="T15:W15">T14:W14/N14:Q14</f>
        <v>1.1511687217001798</v>
      </c>
      <c r="U15" s="149">
        <v>1.5702318093235164</v>
      </c>
      <c r="V15" s="149">
        <v>1.8453177187131158</v>
      </c>
      <c r="W15" s="149">
        <v>2.408273218006705</v>
      </c>
      <c r="AB15" s="15" t="s">
        <v>194</v>
      </c>
      <c r="AC15" s="136">
        <f>SUMPRODUCT(T5:T13,AC5:AC13)</f>
        <v>7.14278946E-2</v>
      </c>
      <c r="AD15" s="136">
        <f>SUMPRODUCT(U5:U13,AD5:AD13)</f>
        <v>0.12063827971323134</v>
      </c>
      <c r="AE15" s="136">
        <f>SUMPRODUCT(U5:U13,AE5:AE13)</f>
        <v>0.12063827971323134</v>
      </c>
    </row>
    <row r="16" spans="2:31">
      <c r="G16" s="136">
        <f>SUMPRODUCT(H4:H13,D4:D13)</f>
        <v>4.8550799999999991E-2</v>
      </c>
      <c r="H16" s="149">
        <f>1/G16</f>
        <v>20.596982953936912</v>
      </c>
      <c r="AC16" s="136" cm="1">
        <f t="array" ref="AC16:AE16">1-AC15:AE15</f>
        <v>0.92857210540000001</v>
      </c>
      <c r="AD16" s="136">
        <v>0.87936172028676862</v>
      </c>
      <c r="AE16" s="136">
        <v>0.87936172028676862</v>
      </c>
    </row>
    <row r="17" spans="2:49">
      <c r="B17" s="15" t="s">
        <v>188</v>
      </c>
      <c r="M17" s="15" t="s">
        <v>126</v>
      </c>
      <c r="S17" s="15" t="s">
        <v>125</v>
      </c>
      <c r="Y17" s="15" t="s">
        <v>192</v>
      </c>
      <c r="AC17" s="15" t="s">
        <v>193</v>
      </c>
      <c r="AG17" s="15" t="s">
        <v>92</v>
      </c>
    </row>
    <row r="18" spans="2:49">
      <c r="B18" s="119"/>
      <c r="C18" s="119" t="s">
        <v>126</v>
      </c>
      <c r="D18" s="119" t="s">
        <v>181</v>
      </c>
      <c r="E18" s="119" t="s">
        <v>182</v>
      </c>
      <c r="G18" s="15" t="s">
        <v>179</v>
      </c>
      <c r="H18" s="15" t="s">
        <v>180</v>
      </c>
      <c r="M18" s="124" t="s">
        <v>189</v>
      </c>
      <c r="N18" s="124" t="s">
        <v>91</v>
      </c>
      <c r="O18" s="124" t="s">
        <v>92</v>
      </c>
      <c r="S18" s="124" t="s">
        <v>189</v>
      </c>
      <c r="T18" s="124" t="s">
        <v>91</v>
      </c>
      <c r="U18" s="124" t="s">
        <v>192</v>
      </c>
      <c r="V18" s="124" t="s">
        <v>193</v>
      </c>
      <c r="W18" s="124" t="s">
        <v>92</v>
      </c>
      <c r="Y18" s="119" t="s">
        <v>179</v>
      </c>
      <c r="Z18" s="119" t="s">
        <v>180</v>
      </c>
      <c r="AA18" s="119"/>
      <c r="AC18" s="119" t="s">
        <v>179</v>
      </c>
      <c r="AD18" s="119" t="s">
        <v>180</v>
      </c>
      <c r="AE18" s="119"/>
      <c r="AG18" s="119" t="s">
        <v>179</v>
      </c>
      <c r="AH18" s="119" t="s">
        <v>180</v>
      </c>
      <c r="AI18" s="119"/>
    </row>
    <row r="19" spans="2:49">
      <c r="B19" s="137">
        <v>0</v>
      </c>
      <c r="C19" s="143">
        <v>0.86973562490871026</v>
      </c>
      <c r="D19" s="138" cm="1">
        <f t="array" ref="D19:D31">K19:K31</f>
        <v>0</v>
      </c>
      <c r="E19" s="138" cm="1">
        <f t="array" ref="E19:E31">L19:L31</f>
        <v>0</v>
      </c>
      <c r="G19" s="15" cm="1">
        <f t="array" ref="G19:G31">TRANSPOSE(Parameter!O5:AA5)</f>
        <v>0</v>
      </c>
      <c r="H19" s="15" cm="1">
        <f t="array" ref="H19:H31">TRANSPOSE(Parameter!O17:AA17)</f>
        <v>0</v>
      </c>
      <c r="I19" s="136" cm="1">
        <f t="array" ref="I19:I31">_xlfn.ANCHORARRAY(G19)/SUM(_xlfn.ANCHORARRAY(G19))*G16</f>
        <v>0</v>
      </c>
      <c r="J19" s="136" cm="1">
        <f t="array" ref="J19:J31">_xlfn.ANCHORARRAY(H19)/SUM(_xlfn.ANCHORARRAY(H19))*(1-G16)</f>
        <v>0</v>
      </c>
      <c r="K19" s="136" cm="1">
        <f t="array" ref="K19:K23">J19:J23</f>
        <v>0</v>
      </c>
      <c r="M19" s="152">
        <v>0</v>
      </c>
      <c r="N19" s="151">
        <v>0.86973562490871026</v>
      </c>
      <c r="O19" s="151">
        <v>0.64345873104997198</v>
      </c>
      <c r="P19" s="158"/>
      <c r="Q19" s="136"/>
      <c r="R19" s="136"/>
      <c r="S19" s="152">
        <v>0</v>
      </c>
      <c r="T19" s="151" cm="1">
        <f t="array" ref="T19:T31">_xlfn.ANCHORARRAY(U19)*U33+_xlfn.ANCHORARRAY(V19)*V33</f>
        <v>0.74375000000000002</v>
      </c>
      <c r="U19" s="151" cm="1">
        <f t="array" ref="U19:U31">_xlfn.ANCHORARRAY(AA19)</f>
        <v>0.85</v>
      </c>
      <c r="V19" s="151" cm="1">
        <f t="array" ref="V19:V31">_xlfn.ANCHORARRAY(AE19)</f>
        <v>0</v>
      </c>
      <c r="W19" s="151" cm="1">
        <f t="array" ref="W19:W31">_xlfn.ANCHORARRAY(AI19)</f>
        <v>0</v>
      </c>
      <c r="Y19" s="15" cm="1">
        <f t="array" ref="Y19:Y31">TRANSPOSE(Parameter!O5:AA5)</f>
        <v>0</v>
      </c>
      <c r="Z19" s="15" cm="1">
        <f t="array" ref="Z19:Z31">TRANSPOSE(Parameter!O38:AA38)</f>
        <v>8500</v>
      </c>
      <c r="AA19" s="136" cm="1">
        <f t="array" ref="AA19:AA31">_xlfn.ANCHORARRAY(Z19)*AC15/SUM(_xlfn.ANCHORARRAY(Z19))+_xlfn.ANCHORARRAY(Z19)*AC16/SUM(_xlfn.ANCHORARRAY(Z19))</f>
        <v>0.85</v>
      </c>
      <c r="AC19" s="15" cm="1">
        <f t="array" ref="AC19:AC31">TRANSPOSE(Parameter!O6:AA6)</f>
        <v>0</v>
      </c>
      <c r="AD19" s="15" cm="1">
        <f t="array" ref="AD19:AD31">TRANSPOSE(Parameter!O17:AA17)</f>
        <v>0</v>
      </c>
      <c r="AE19" s="136" cm="1">
        <f t="array" ref="AE19:AE31">_xlfn.ANCHORARRAY(AC19)*AD15/SUM(_xlfn.ANCHORARRAY(AC19))+_xlfn.ANCHORARRAY(AD19)*AD16/SUM(_xlfn.ANCHORARRAY(AD19))</f>
        <v>0</v>
      </c>
      <c r="AG19" s="15" cm="1">
        <f t="array" ref="AG19:AG31">TRANSPOSE(Parameter!O8:AA8)</f>
        <v>0</v>
      </c>
      <c r="AH19" s="15" cm="1">
        <f t="array" ref="AH19:AH31">TRANSPOSE(Parameter!O19:AA19)</f>
        <v>0</v>
      </c>
      <c r="AI19" s="136" cm="1">
        <f t="array" ref="AI19:AI31">_xlfn.ANCHORARRAY(AG19)*AE15/SUM(_xlfn.ANCHORARRAY(AG19))+_xlfn.ANCHORARRAY(AH19)*AE16/SUM(_xlfn.ANCHORARRAY(AH19))</f>
        <v>0</v>
      </c>
      <c r="AN19" s="102"/>
      <c r="AO19" s="156">
        <v>50</v>
      </c>
      <c r="AP19" s="156">
        <v>50</v>
      </c>
      <c r="AQ19" s="156">
        <v>250</v>
      </c>
      <c r="AR19" s="156">
        <v>1500</v>
      </c>
      <c r="AS19" s="156">
        <v>4000</v>
      </c>
      <c r="AT19" s="156">
        <v>4000</v>
      </c>
      <c r="AU19" s="156">
        <v>4000</v>
      </c>
      <c r="AV19" s="156">
        <v>4000</v>
      </c>
      <c r="AW19" s="156">
        <v>4000</v>
      </c>
    </row>
    <row r="20" spans="2:49">
      <c r="B20" s="139">
        <v>2</v>
      </c>
      <c r="C20" s="144">
        <v>3.4690101757631819E-2</v>
      </c>
      <c r="D20" s="140">
        <v>0.34252171199999998</v>
      </c>
      <c r="E20" s="140">
        <v>0</v>
      </c>
      <c r="G20" s="15">
        <v>0</v>
      </c>
      <c r="H20" s="15">
        <v>3600</v>
      </c>
      <c r="I20" s="136">
        <v>0</v>
      </c>
      <c r="J20" s="136">
        <v>0.34252171199999998</v>
      </c>
      <c r="K20" s="136">
        <v>0.34252171199999998</v>
      </c>
      <c r="M20" s="153">
        <v>2</v>
      </c>
      <c r="N20" s="135">
        <v>3.4690101757631819E-2</v>
      </c>
      <c r="O20" s="135">
        <v>0.21617069062324537</v>
      </c>
      <c r="P20" s="136"/>
      <c r="Q20" s="136"/>
      <c r="R20" s="136"/>
      <c r="S20" s="153">
        <v>2</v>
      </c>
      <c r="T20" s="135">
        <v>8.3321277412904599E-2</v>
      </c>
      <c r="U20" s="135">
        <v>0.05</v>
      </c>
      <c r="V20" s="135">
        <v>0.3165702193032367</v>
      </c>
      <c r="W20" s="135">
        <v>0.52761703217206113</v>
      </c>
      <c r="X20" s="136"/>
      <c r="Y20" s="15">
        <v>0</v>
      </c>
      <c r="Z20" s="15">
        <v>500</v>
      </c>
      <c r="AA20" s="136">
        <v>0.05</v>
      </c>
      <c r="AC20" s="15">
        <v>0</v>
      </c>
      <c r="AD20" s="15">
        <v>3600</v>
      </c>
      <c r="AE20" s="136">
        <v>0.3165702193032367</v>
      </c>
      <c r="AG20" s="15">
        <v>0</v>
      </c>
      <c r="AH20" s="15">
        <v>6000</v>
      </c>
      <c r="AI20" s="136">
        <v>0.52761703217206113</v>
      </c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</row>
    <row r="21" spans="2:49">
      <c r="B21" s="139">
        <v>3</v>
      </c>
      <c r="C21" s="144">
        <v>2.8506743268903064E-2</v>
      </c>
      <c r="D21" s="140">
        <v>0.32349272800000001</v>
      </c>
      <c r="E21" s="140">
        <v>0</v>
      </c>
      <c r="G21" s="15">
        <v>0</v>
      </c>
      <c r="H21" s="15">
        <v>3400</v>
      </c>
      <c r="I21" s="136">
        <v>0</v>
      </c>
      <c r="J21" s="136">
        <v>0.32349272800000001</v>
      </c>
      <c r="K21" s="136">
        <v>0.32349272800000001</v>
      </c>
      <c r="M21" s="153">
        <v>3</v>
      </c>
      <c r="N21" s="135">
        <v>2.8506743268903064E-2</v>
      </c>
      <c r="O21" s="135">
        <v>8.5906793935991016E-2</v>
      </c>
      <c r="P21" s="136"/>
      <c r="Q21" s="136"/>
      <c r="R21" s="136"/>
      <c r="S21" s="153">
        <v>3</v>
      </c>
      <c r="T21" s="135">
        <v>7.2372873112187652E-2</v>
      </c>
      <c r="U21" s="135">
        <v>3.9999999999999994E-2</v>
      </c>
      <c r="V21" s="135">
        <v>0.2989829848975013</v>
      </c>
      <c r="W21" s="135">
        <v>0.24622128168029522</v>
      </c>
      <c r="X21" s="136"/>
      <c r="Y21" s="15">
        <v>0</v>
      </c>
      <c r="Z21" s="15">
        <v>400</v>
      </c>
      <c r="AA21" s="136">
        <v>3.9999999999999994E-2</v>
      </c>
      <c r="AC21" s="15">
        <v>0</v>
      </c>
      <c r="AD21" s="15">
        <v>3400</v>
      </c>
      <c r="AE21" s="136">
        <v>0.2989829848975013</v>
      </c>
      <c r="AG21" s="15">
        <v>0</v>
      </c>
      <c r="AH21" s="15">
        <v>2800</v>
      </c>
      <c r="AI21" s="136">
        <v>0.24622128168029522</v>
      </c>
      <c r="AN21" s="102">
        <v>300</v>
      </c>
      <c r="AO21" s="156" cm="1">
        <f t="array" ref="AO21:AW21">Parameter!AD4:AL4*AN21</f>
        <v>300</v>
      </c>
      <c r="AP21" s="156">
        <v>600</v>
      </c>
      <c r="AQ21" s="156">
        <v>900</v>
      </c>
      <c r="AR21" s="156">
        <v>1200</v>
      </c>
      <c r="AS21" s="156">
        <v>1500</v>
      </c>
      <c r="AT21" s="156">
        <v>1800</v>
      </c>
      <c r="AU21" s="156">
        <v>2100</v>
      </c>
      <c r="AV21" s="156">
        <v>2400</v>
      </c>
      <c r="AW21" s="156">
        <v>2700</v>
      </c>
    </row>
    <row r="22" spans="2:49">
      <c r="B22" s="139">
        <v>5</v>
      </c>
      <c r="C22" s="144">
        <v>1.9109985880519986E-2</v>
      </c>
      <c r="D22" s="140">
        <v>0.14271738</v>
      </c>
      <c r="E22" s="140">
        <v>0</v>
      </c>
      <c r="G22" s="15">
        <v>0</v>
      </c>
      <c r="H22" s="15">
        <v>1500</v>
      </c>
      <c r="I22" s="136">
        <v>0</v>
      </c>
      <c r="J22" s="136">
        <v>0.14271738</v>
      </c>
      <c r="K22" s="136">
        <v>0.14271738</v>
      </c>
      <c r="M22" s="153">
        <v>5</v>
      </c>
      <c r="N22" s="135">
        <v>1.9109985880519986E-2</v>
      </c>
      <c r="O22" s="135">
        <v>2.1897810218978103E-2</v>
      </c>
      <c r="P22" s="136"/>
      <c r="Q22" s="136"/>
      <c r="R22" s="136"/>
      <c r="S22" s="153">
        <v>5</v>
      </c>
      <c r="T22" s="135">
        <v>4.2738032255376909E-2</v>
      </c>
      <c r="U22" s="135">
        <v>0.03</v>
      </c>
      <c r="V22" s="135">
        <v>0.13190425804301528</v>
      </c>
      <c r="W22" s="135">
        <v>7.9142554825809175E-2</v>
      </c>
      <c r="X22" s="136"/>
      <c r="Y22" s="15">
        <v>0</v>
      </c>
      <c r="Z22" s="15">
        <v>300</v>
      </c>
      <c r="AA22" s="136">
        <v>0.03</v>
      </c>
      <c r="AC22" s="15">
        <v>0</v>
      </c>
      <c r="AD22" s="15">
        <v>1500</v>
      </c>
      <c r="AE22" s="136">
        <v>0.13190425804301528</v>
      </c>
      <c r="AG22" s="15">
        <v>0</v>
      </c>
      <c r="AH22" s="15">
        <v>900</v>
      </c>
      <c r="AI22" s="136">
        <v>7.9142554825809175E-2</v>
      </c>
      <c r="AN22" s="102"/>
      <c r="AO22" s="157">
        <v>1</v>
      </c>
      <c r="AP22" s="157">
        <v>1</v>
      </c>
      <c r="AQ22" s="157">
        <v>1.2</v>
      </c>
      <c r="AR22" s="157">
        <v>1.2</v>
      </c>
      <c r="AS22" s="157">
        <v>1.5</v>
      </c>
      <c r="AT22" s="157">
        <v>1.5</v>
      </c>
      <c r="AU22" s="157">
        <v>1.5</v>
      </c>
      <c r="AV22" s="157">
        <v>1.5</v>
      </c>
      <c r="AW22" s="157">
        <v>1.5</v>
      </c>
    </row>
    <row r="23" spans="2:49">
      <c r="B23" s="139">
        <v>8</v>
      </c>
      <c r="C23" s="144">
        <v>1.8111884707142509E-2</v>
      </c>
      <c r="D23" s="140">
        <v>0.14271738</v>
      </c>
      <c r="E23" s="140">
        <v>0</v>
      </c>
      <c r="G23" s="15">
        <v>0</v>
      </c>
      <c r="H23" s="15">
        <v>1500</v>
      </c>
      <c r="I23" s="136">
        <v>0</v>
      </c>
      <c r="J23" s="136">
        <v>0.14271738</v>
      </c>
      <c r="K23" s="136">
        <v>0.14271738</v>
      </c>
      <c r="M23" s="153">
        <v>8</v>
      </c>
      <c r="N23" s="135">
        <v>1.8111884707142509E-2</v>
      </c>
      <c r="O23" s="135">
        <v>1.0668163952835485E-2</v>
      </c>
      <c r="P23" s="136"/>
      <c r="Q23" s="136"/>
      <c r="R23" s="136"/>
      <c r="S23" s="153">
        <v>8</v>
      </c>
      <c r="T23" s="135">
        <v>4.2738032255376909E-2</v>
      </c>
      <c r="U23" s="135">
        <v>0.03</v>
      </c>
      <c r="V23" s="135">
        <v>0.13190425804301528</v>
      </c>
      <c r="W23" s="135">
        <v>2.6380851608603057E-2</v>
      </c>
      <c r="X23" s="136"/>
      <c r="Y23" s="15">
        <v>0</v>
      </c>
      <c r="Z23" s="15">
        <v>300</v>
      </c>
      <c r="AA23" s="136">
        <v>0.03</v>
      </c>
      <c r="AC23" s="15">
        <v>0</v>
      </c>
      <c r="AD23" s="15">
        <v>1500</v>
      </c>
      <c r="AE23" s="136">
        <v>0.13190425804301528</v>
      </c>
      <c r="AG23" s="15">
        <v>0</v>
      </c>
      <c r="AH23" s="15">
        <v>300</v>
      </c>
      <c r="AI23" s="136">
        <v>2.6380851608603057E-2</v>
      </c>
      <c r="AN23" s="102"/>
      <c r="AO23" s="102" cm="1">
        <f t="array" ref="AO23:AW23">INT(AO21:AW21*AO22:AW22)</f>
        <v>300</v>
      </c>
      <c r="AP23" s="102">
        <v>600</v>
      </c>
      <c r="AQ23" s="102">
        <v>1080</v>
      </c>
      <c r="AR23" s="102">
        <v>1440</v>
      </c>
      <c r="AS23" s="102">
        <v>2250</v>
      </c>
      <c r="AT23" s="102">
        <v>2700</v>
      </c>
      <c r="AU23" s="102">
        <v>3150</v>
      </c>
      <c r="AV23" s="102">
        <v>3600</v>
      </c>
      <c r="AW23" s="102">
        <v>4050</v>
      </c>
    </row>
    <row r="24" spans="2:49">
      <c r="B24" s="139">
        <v>10</v>
      </c>
      <c r="C24" s="144">
        <v>1.4849797945372219E-2</v>
      </c>
      <c r="D24" s="140">
        <v>1.3011614399999998E-2</v>
      </c>
      <c r="E24" s="140">
        <v>0</v>
      </c>
      <c r="G24" s="15">
        <v>2680</v>
      </c>
      <c r="H24" s="15">
        <v>0</v>
      </c>
      <c r="I24" s="136">
        <v>1.3011614399999998E-2</v>
      </c>
      <c r="J24" s="136">
        <v>0</v>
      </c>
      <c r="K24" s="136" cm="1">
        <f t="array" ref="K24:K31">I24:I31</f>
        <v>1.3011614399999998E-2</v>
      </c>
      <c r="M24" s="153">
        <v>10</v>
      </c>
      <c r="N24" s="135">
        <v>1.4849797945372219E-2</v>
      </c>
      <c r="O24" s="135">
        <v>1.0106681639528355E-2</v>
      </c>
      <c r="P24" s="136"/>
      <c r="Q24" s="136"/>
      <c r="R24" s="136"/>
      <c r="S24" s="153">
        <v>10</v>
      </c>
      <c r="T24" s="135">
        <v>4.0413823703932504E-3</v>
      </c>
      <c r="U24" s="135">
        <v>0</v>
      </c>
      <c r="V24" s="135">
        <v>3.2331058963146003E-2</v>
      </c>
      <c r="W24" s="135">
        <v>4.342978069676328E-2</v>
      </c>
      <c r="X24" s="136"/>
      <c r="Y24" s="15">
        <v>2680</v>
      </c>
      <c r="Z24" s="15">
        <v>0</v>
      </c>
      <c r="AA24" s="136">
        <v>0</v>
      </c>
      <c r="AC24" s="15">
        <v>2680</v>
      </c>
      <c r="AD24" s="15">
        <v>0</v>
      </c>
      <c r="AE24" s="136">
        <v>3.2331058963146003E-2</v>
      </c>
      <c r="AG24" s="15">
        <v>3600</v>
      </c>
      <c r="AH24" s="15">
        <v>0</v>
      </c>
      <c r="AI24" s="136">
        <v>4.342978069676328E-2</v>
      </c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</row>
    <row r="25" spans="2:49">
      <c r="B25" s="139">
        <v>15</v>
      </c>
      <c r="C25" s="144">
        <v>8.7881591119333951E-3</v>
      </c>
      <c r="D25" s="140">
        <v>1.4565239999999997E-2</v>
      </c>
      <c r="E25" s="140">
        <v>0</v>
      </c>
      <c r="G25" s="15">
        <v>3000</v>
      </c>
      <c r="H25" s="15">
        <v>0</v>
      </c>
      <c r="I25" s="136">
        <v>1.4565239999999997E-2</v>
      </c>
      <c r="J25" s="136">
        <v>0</v>
      </c>
      <c r="K25" s="136">
        <v>1.4565239999999997E-2</v>
      </c>
      <c r="M25" s="153">
        <v>15</v>
      </c>
      <c r="N25" s="135">
        <v>8.7881591119333951E-3</v>
      </c>
      <c r="O25" s="135">
        <v>5.8955642897248733E-3</v>
      </c>
      <c r="P25" s="136"/>
      <c r="Q25" s="136"/>
      <c r="R25" s="136"/>
      <c r="S25" s="153">
        <v>15</v>
      </c>
      <c r="T25" s="135">
        <v>4.5239354892461746E-3</v>
      </c>
      <c r="U25" s="135">
        <v>0</v>
      </c>
      <c r="V25" s="135">
        <v>3.6191483913969397E-2</v>
      </c>
      <c r="W25" s="135">
        <v>3.0159569928307831E-2</v>
      </c>
      <c r="X25" s="136"/>
      <c r="Y25" s="15">
        <v>3000</v>
      </c>
      <c r="Z25" s="15">
        <v>0</v>
      </c>
      <c r="AA25" s="136">
        <v>0</v>
      </c>
      <c r="AC25" s="15">
        <v>3000</v>
      </c>
      <c r="AD25" s="15">
        <v>0</v>
      </c>
      <c r="AE25" s="136">
        <v>3.6191483913969397E-2</v>
      </c>
      <c r="AG25" s="15">
        <v>2500</v>
      </c>
      <c r="AH25" s="15">
        <v>0</v>
      </c>
      <c r="AI25" s="136">
        <v>3.0159569928307831E-2</v>
      </c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</row>
    <row r="26" spans="2:49">
      <c r="B26" s="139">
        <v>20</v>
      </c>
      <c r="C26" s="144">
        <v>4.5523151078436146E-3</v>
      </c>
      <c r="D26" s="140">
        <v>9.7101599999999989E-3</v>
      </c>
      <c r="E26" s="140">
        <v>0</v>
      </c>
      <c r="G26" s="15">
        <v>2000</v>
      </c>
      <c r="H26" s="15">
        <v>0</v>
      </c>
      <c r="I26" s="136">
        <v>9.7101599999999989E-3</v>
      </c>
      <c r="J26" s="136">
        <v>0</v>
      </c>
      <c r="K26" s="136">
        <v>9.7101599999999989E-3</v>
      </c>
      <c r="M26" s="153">
        <v>20</v>
      </c>
      <c r="N26" s="135">
        <v>4.5523151078436146E-3</v>
      </c>
      <c r="O26" s="135">
        <v>2.807411566535654E-3</v>
      </c>
      <c r="P26" s="136"/>
      <c r="Q26" s="136"/>
      <c r="R26" s="136"/>
      <c r="S26" s="153">
        <v>20</v>
      </c>
      <c r="T26" s="135">
        <v>3.0159569928307835E-3</v>
      </c>
      <c r="U26" s="135">
        <v>0</v>
      </c>
      <c r="V26" s="135">
        <v>2.4127655942646268E-2</v>
      </c>
      <c r="W26" s="135">
        <v>1.8095741956984698E-2</v>
      </c>
      <c r="X26" s="136"/>
      <c r="Y26" s="15">
        <v>2000</v>
      </c>
      <c r="Z26" s="15">
        <v>0</v>
      </c>
      <c r="AA26" s="136">
        <v>0</v>
      </c>
      <c r="AC26" s="15">
        <v>2000</v>
      </c>
      <c r="AD26" s="15">
        <v>0</v>
      </c>
      <c r="AE26" s="136">
        <v>2.4127655942646268E-2</v>
      </c>
      <c r="AG26" s="15">
        <v>1500</v>
      </c>
      <c r="AH26" s="15">
        <v>0</v>
      </c>
      <c r="AI26" s="136">
        <v>1.8095741956984698E-2</v>
      </c>
      <c r="AN26" s="102">
        <v>350</v>
      </c>
      <c r="AO26" s="156" cm="1">
        <f t="array" ref="AO26:AW26">Parameter!AD4:AL4*AN26</f>
        <v>350</v>
      </c>
      <c r="AP26" s="156">
        <v>700</v>
      </c>
      <c r="AQ26" s="156">
        <v>1050</v>
      </c>
      <c r="AR26" s="156">
        <v>1400</v>
      </c>
      <c r="AS26" s="156">
        <v>1750</v>
      </c>
      <c r="AT26" s="156">
        <v>2100</v>
      </c>
      <c r="AU26" s="156">
        <v>2450</v>
      </c>
      <c r="AV26" s="156">
        <v>2800</v>
      </c>
      <c r="AW26" s="156">
        <v>3150</v>
      </c>
    </row>
    <row r="27" spans="2:49">
      <c r="B27" s="139">
        <v>25</v>
      </c>
      <c r="C27" s="144">
        <v>1.3876040703052729E-3</v>
      </c>
      <c r="D27" s="140">
        <v>2.4275399999999997E-3</v>
      </c>
      <c r="E27" s="140">
        <v>0</v>
      </c>
      <c r="G27" s="15">
        <v>500</v>
      </c>
      <c r="H27" s="15">
        <v>0</v>
      </c>
      <c r="I27" s="136">
        <v>2.4275399999999997E-3</v>
      </c>
      <c r="J27" s="136">
        <v>0</v>
      </c>
      <c r="K27" s="136">
        <v>2.4275399999999997E-3</v>
      </c>
      <c r="M27" s="153">
        <v>25</v>
      </c>
      <c r="N27" s="135">
        <v>1.3876040703052729E-3</v>
      </c>
      <c r="O27" s="135">
        <v>5.6148231330713087E-4</v>
      </c>
      <c r="P27" s="136"/>
      <c r="Q27" s="136"/>
      <c r="R27" s="136"/>
      <c r="S27" s="153">
        <v>25</v>
      </c>
      <c r="T27" s="135">
        <v>7.5398924820769587E-4</v>
      </c>
      <c r="U27" s="135">
        <v>0</v>
      </c>
      <c r="V27" s="135">
        <v>6.031913985661567E-3</v>
      </c>
      <c r="W27" s="135">
        <v>3.0159569928307835E-3</v>
      </c>
      <c r="X27" s="136"/>
      <c r="Y27" s="15">
        <v>500</v>
      </c>
      <c r="Z27" s="15">
        <v>0</v>
      </c>
      <c r="AA27" s="136">
        <v>0</v>
      </c>
      <c r="AC27" s="15">
        <v>500</v>
      </c>
      <c r="AD27" s="15">
        <v>0</v>
      </c>
      <c r="AE27" s="136">
        <v>6.031913985661567E-3</v>
      </c>
      <c r="AG27" s="15">
        <v>250</v>
      </c>
      <c r="AH27" s="15">
        <v>0</v>
      </c>
      <c r="AI27" s="136">
        <v>3.0159569928307835E-3</v>
      </c>
      <c r="AN27" s="102"/>
      <c r="AO27" s="157">
        <v>0</v>
      </c>
      <c r="AP27" s="157">
        <v>0</v>
      </c>
      <c r="AQ27" s="157">
        <v>1</v>
      </c>
      <c r="AR27" s="157">
        <v>1</v>
      </c>
      <c r="AS27" s="157">
        <v>1</v>
      </c>
      <c r="AT27" s="157">
        <v>1</v>
      </c>
      <c r="AU27" s="157">
        <v>1.5</v>
      </c>
      <c r="AV27" s="157">
        <v>1.5</v>
      </c>
      <c r="AW27" s="157">
        <v>1.5</v>
      </c>
    </row>
    <row r="28" spans="2:49">
      <c r="B28" s="139">
        <v>35</v>
      </c>
      <c r="C28" s="144">
        <v>1.9475144846389794E-4</v>
      </c>
      <c r="D28" s="140">
        <v>4.8550799999999995E-4</v>
      </c>
      <c r="E28" s="140">
        <v>0</v>
      </c>
      <c r="G28" s="15">
        <v>100</v>
      </c>
      <c r="H28" s="15">
        <v>0</v>
      </c>
      <c r="I28" s="136">
        <v>4.8550799999999995E-4</v>
      </c>
      <c r="J28" s="136">
        <v>0</v>
      </c>
      <c r="K28" s="136">
        <v>4.8550799999999995E-4</v>
      </c>
      <c r="M28" s="153">
        <v>35</v>
      </c>
      <c r="N28" s="135">
        <v>1.9475144846389794E-4</v>
      </c>
      <c r="O28" s="135">
        <v>5.6148231330713087E-4</v>
      </c>
      <c r="P28" s="136"/>
      <c r="Q28" s="136"/>
      <c r="R28" s="136"/>
      <c r="S28" s="153">
        <v>35</v>
      </c>
      <c r="T28" s="135">
        <v>1.5079784964153919E-4</v>
      </c>
      <c r="U28" s="135">
        <v>0</v>
      </c>
      <c r="V28" s="135">
        <v>1.2063827971323135E-3</v>
      </c>
      <c r="W28" s="135">
        <v>6.0319139856615674E-4</v>
      </c>
      <c r="X28" s="136"/>
      <c r="Y28" s="15">
        <v>100</v>
      </c>
      <c r="Z28" s="15">
        <v>0</v>
      </c>
      <c r="AA28" s="136">
        <v>0</v>
      </c>
      <c r="AC28" s="15">
        <v>100</v>
      </c>
      <c r="AD28" s="15">
        <v>0</v>
      </c>
      <c r="AE28" s="136">
        <v>1.2063827971323135E-3</v>
      </c>
      <c r="AG28" s="15">
        <v>50</v>
      </c>
      <c r="AH28" s="15">
        <v>0</v>
      </c>
      <c r="AI28" s="136">
        <v>6.0319139856615674E-4</v>
      </c>
      <c r="AN28" s="102"/>
      <c r="AO28" s="102" cm="1">
        <f t="array" ref="AO28:AW28">INT(_xlfn.ANCHORARRAY(AO26)*AO27:AW27)</f>
        <v>0</v>
      </c>
      <c r="AP28" s="102">
        <v>0</v>
      </c>
      <c r="AQ28" s="102">
        <v>1050</v>
      </c>
      <c r="AR28" s="102">
        <v>1400</v>
      </c>
      <c r="AS28" s="102">
        <v>1750</v>
      </c>
      <c r="AT28" s="102">
        <v>2100</v>
      </c>
      <c r="AU28" s="102">
        <v>3675</v>
      </c>
      <c r="AV28" s="102">
        <v>4200</v>
      </c>
      <c r="AW28" s="102">
        <v>4725</v>
      </c>
    </row>
    <row r="29" spans="2:49">
      <c r="B29" s="139">
        <v>50</v>
      </c>
      <c r="C29" s="144">
        <v>2.4343931057987243E-5</v>
      </c>
      <c r="D29" s="140">
        <v>5.8260959999999985E-3</v>
      </c>
      <c r="E29" s="140">
        <v>0</v>
      </c>
      <c r="G29" s="15">
        <v>1200</v>
      </c>
      <c r="H29" s="15">
        <v>0</v>
      </c>
      <c r="I29" s="136">
        <v>5.8260959999999985E-3</v>
      </c>
      <c r="J29" s="136">
        <v>0</v>
      </c>
      <c r="K29" s="136">
        <v>5.8260959999999985E-3</v>
      </c>
      <c r="M29" s="153">
        <v>50</v>
      </c>
      <c r="N29" s="135">
        <v>2.4343931057987243E-5</v>
      </c>
      <c r="O29" s="135">
        <v>8.4222346996069624E-4</v>
      </c>
      <c r="P29" s="136"/>
      <c r="Q29" s="136"/>
      <c r="R29" s="136"/>
      <c r="S29" s="153">
        <v>50</v>
      </c>
      <c r="T29" s="135">
        <v>1.80957419569847E-3</v>
      </c>
      <c r="U29" s="135">
        <v>0</v>
      </c>
      <c r="V29" s="135">
        <v>1.447659356558776E-2</v>
      </c>
      <c r="W29" s="135">
        <v>1.2063827971323134E-2</v>
      </c>
      <c r="X29" s="136"/>
      <c r="Y29" s="15">
        <v>1200</v>
      </c>
      <c r="Z29" s="15">
        <v>0</v>
      </c>
      <c r="AA29" s="136">
        <v>0</v>
      </c>
      <c r="AC29" s="15">
        <v>1200</v>
      </c>
      <c r="AD29" s="15">
        <v>0</v>
      </c>
      <c r="AE29" s="136">
        <v>1.447659356558776E-2</v>
      </c>
      <c r="AG29" s="15">
        <v>1000</v>
      </c>
      <c r="AH29" s="15">
        <v>0</v>
      </c>
      <c r="AI29" s="136">
        <v>1.2063827971323134E-2</v>
      </c>
    </row>
    <row r="30" spans="2:49">
      <c r="B30" s="139">
        <v>80</v>
      </c>
      <c r="C30" s="144">
        <v>4.8687862115974485E-5</v>
      </c>
      <c r="D30" s="140">
        <v>9.7101599999999978E-5</v>
      </c>
      <c r="E30" s="140">
        <v>0</v>
      </c>
      <c r="G30" s="15">
        <v>20</v>
      </c>
      <c r="H30" s="15">
        <v>0</v>
      </c>
      <c r="I30" s="136">
        <v>9.7101599999999978E-5</v>
      </c>
      <c r="J30" s="136">
        <v>0</v>
      </c>
      <c r="K30" s="136">
        <v>9.7101599999999978E-5</v>
      </c>
      <c r="M30" s="153">
        <v>80</v>
      </c>
      <c r="N30" s="135">
        <v>4.8687862115974485E-5</v>
      </c>
      <c r="O30" s="135">
        <v>8.4222346996069624E-4</v>
      </c>
      <c r="P30" s="136"/>
      <c r="Q30" s="136"/>
      <c r="R30" s="136"/>
      <c r="S30" s="153">
        <v>80</v>
      </c>
      <c r="T30" s="135">
        <v>3.0159569928307832E-5</v>
      </c>
      <c r="U30" s="135">
        <v>0</v>
      </c>
      <c r="V30" s="135">
        <v>2.4127655942646266E-4</v>
      </c>
      <c r="W30" s="135">
        <v>1.2063827971323135E-3</v>
      </c>
      <c r="X30" s="136"/>
      <c r="Y30" s="15">
        <v>20</v>
      </c>
      <c r="Z30" s="15">
        <v>0</v>
      </c>
      <c r="AA30" s="136">
        <v>0</v>
      </c>
      <c r="AC30" s="15">
        <v>20</v>
      </c>
      <c r="AD30" s="15">
        <v>0</v>
      </c>
      <c r="AE30" s="136">
        <v>2.4127655942646266E-4</v>
      </c>
      <c r="AG30" s="15">
        <v>100</v>
      </c>
      <c r="AH30" s="15">
        <v>0</v>
      </c>
      <c r="AI30" s="136">
        <v>1.2063827971323135E-3</v>
      </c>
    </row>
    <row r="31" spans="2:49">
      <c r="B31" s="139">
        <v>100</v>
      </c>
      <c r="C31" s="144">
        <v>0</v>
      </c>
      <c r="D31" s="140">
        <v>2.4275399999999997E-3</v>
      </c>
      <c r="E31" s="140">
        <v>0</v>
      </c>
      <c r="G31" s="15">
        <v>500</v>
      </c>
      <c r="H31" s="15">
        <v>0</v>
      </c>
      <c r="I31" s="136">
        <v>2.4275399999999997E-3</v>
      </c>
      <c r="J31" s="136">
        <v>0</v>
      </c>
      <c r="K31" s="136">
        <v>2.4275399999999997E-3</v>
      </c>
      <c r="M31" s="153">
        <v>100</v>
      </c>
      <c r="N31" s="135">
        <v>0</v>
      </c>
      <c r="O31" s="135">
        <v>2.8074115665356543E-4</v>
      </c>
      <c r="P31" s="136"/>
      <c r="Q31" s="136"/>
      <c r="R31" s="136"/>
      <c r="S31" s="153">
        <v>100</v>
      </c>
      <c r="T31" s="135">
        <v>7.5398924820769587E-4</v>
      </c>
      <c r="U31" s="135">
        <v>0</v>
      </c>
      <c r="V31" s="135">
        <v>6.031913985661567E-3</v>
      </c>
      <c r="W31" s="135">
        <v>1.2063827971323134E-2</v>
      </c>
      <c r="X31" s="136"/>
      <c r="Y31" s="15">
        <v>500</v>
      </c>
      <c r="Z31" s="15">
        <v>0</v>
      </c>
      <c r="AA31" s="136">
        <v>0</v>
      </c>
      <c r="AC31" s="15">
        <v>500</v>
      </c>
      <c r="AD31" s="15">
        <v>0</v>
      </c>
      <c r="AE31" s="136">
        <v>6.031913985661567E-3</v>
      </c>
      <c r="AG31" s="15">
        <v>1000</v>
      </c>
      <c r="AH31" s="15">
        <v>0</v>
      </c>
      <c r="AI31" s="136">
        <v>1.2063827971323134E-2</v>
      </c>
    </row>
    <row r="32" spans="2:49">
      <c r="C32" s="15">
        <f>SUMPRODUCT(C19:C31,B19:B31)</f>
        <v>0.81333073664735367</v>
      </c>
      <c r="D32" s="15">
        <f>SUMPRODUCT(D19:D31,B19:B31)</f>
        <v>4.6731537000000003</v>
      </c>
      <c r="M32" s="153" t="s">
        <v>190</v>
      </c>
      <c r="N32" s="150">
        <f>SUMPRODUCT($M$19:$M$31, N19:N31)</f>
        <v>0.81333073664735367</v>
      </c>
      <c r="O32" s="150">
        <f>SUMPRODUCT($M$19:$M$31, O19:O31)</f>
        <v>1.301796743402583</v>
      </c>
      <c r="S32" s="153" t="s">
        <v>190</v>
      </c>
      <c r="T32" s="150"/>
      <c r="U32" s="150">
        <f>SUMPRODUCT($M$20:$M$31, U20:U31)</f>
        <v>0.61</v>
      </c>
      <c r="V32" s="150">
        <f>SUMPRODUCT($M$20:$M$31, V20:V31)</f>
        <v>6.1329251641929341</v>
      </c>
      <c r="W32" s="150">
        <f>SUMPRODUCT($M$19:$M$31, W19:W31)</f>
        <v>5.6518591346544627</v>
      </c>
    </row>
    <row r="33" spans="3:29">
      <c r="U33" s="15">
        <f>Parameter!J5/SUM(Parameter!J5:J6)</f>
        <v>0.875</v>
      </c>
      <c r="V33" s="15">
        <f>Parameter!J6/SUM(Parameter!J5:J6)</f>
        <v>0.125</v>
      </c>
    </row>
    <row r="34" spans="3:29">
      <c r="C34" s="15">
        <f>1/SUM(C24:C31)</f>
        <v>33.50570962479609</v>
      </c>
      <c r="D34" s="15">
        <f>1/SUM(D24:D31)</f>
        <v>20.596982953936909</v>
      </c>
    </row>
    <row r="37" spans="3:29">
      <c r="Q37" s="15" cm="1">
        <f t="array" ref="Q37:AC37">TRANSPOSE(M19:M31)</f>
        <v>0</v>
      </c>
      <c r="R37" s="15">
        <v>2</v>
      </c>
      <c r="S37" s="15">
        <v>3</v>
      </c>
      <c r="T37" s="15">
        <v>5</v>
      </c>
      <c r="U37" s="15">
        <v>8</v>
      </c>
      <c r="V37" s="15">
        <v>10</v>
      </c>
      <c r="W37" s="15">
        <v>15</v>
      </c>
      <c r="X37" s="15">
        <v>20</v>
      </c>
      <c r="Y37" s="15">
        <v>25</v>
      </c>
      <c r="Z37" s="15">
        <v>35</v>
      </c>
      <c r="AA37" s="15">
        <v>50</v>
      </c>
      <c r="AB37" s="15">
        <v>80</v>
      </c>
      <c r="AC37" s="15">
        <v>100</v>
      </c>
    </row>
    <row r="38" spans="3:29">
      <c r="Q38" s="15" cm="1">
        <f t="array" ref="Q38:AC38">TRANSPOSE(Q19:Q31)</f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</row>
    <row r="39" spans="3:29">
      <c r="V39" s="15">
        <v>5000</v>
      </c>
      <c r="W39" s="15">
        <v>3000</v>
      </c>
      <c r="X39" s="15">
        <v>1500</v>
      </c>
      <c r="Y39" s="15">
        <v>500</v>
      </c>
      <c r="Z39" s="15">
        <v>65</v>
      </c>
      <c r="AA39" s="15">
        <v>30</v>
      </c>
      <c r="AB39" s="15">
        <v>30</v>
      </c>
      <c r="AC39" s="15">
        <v>30</v>
      </c>
    </row>
    <row r="42" spans="3:29">
      <c r="Q42" s="15" cm="1">
        <f t="array" ref="Q42:AC42">TRANSPOSE(Q19:Q31)</f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</row>
    <row r="67" spans="2:8">
      <c r="B67" s="15" t="s">
        <v>128</v>
      </c>
    </row>
    <row r="68" spans="2:8">
      <c r="B68" s="119" t="s">
        <v>65</v>
      </c>
      <c r="C68" s="119" t="s">
        <v>126</v>
      </c>
      <c r="D68" s="119" t="s">
        <v>125</v>
      </c>
      <c r="E68" s="146"/>
    </row>
    <row r="69" spans="2:8">
      <c r="B69" s="111">
        <v>0</v>
      </c>
      <c r="C69" s="135">
        <v>5.6827150749802685E-2</v>
      </c>
      <c r="D69" s="135">
        <v>0</v>
      </c>
      <c r="E69" s="148"/>
      <c r="H69" s="15">
        <v>0</v>
      </c>
    </row>
    <row r="70" spans="2:8">
      <c r="B70" s="111">
        <v>1</v>
      </c>
      <c r="C70" s="135">
        <v>0.14601420678768745</v>
      </c>
      <c r="D70" s="135">
        <v>0</v>
      </c>
      <c r="E70" s="148"/>
      <c r="H70" s="15" cm="1">
        <f t="array" ref="H70:H78">TRANSPOSE(Parameter!AD8:AL8)</f>
        <v>0</v>
      </c>
    </row>
    <row r="71" spans="2:8">
      <c r="B71" s="111">
        <v>2</v>
      </c>
      <c r="C71" s="135">
        <v>0.23993685872138912</v>
      </c>
      <c r="D71" s="135">
        <v>1.18E-2</v>
      </c>
      <c r="E71" s="148"/>
      <c r="H71" s="15">
        <v>0</v>
      </c>
    </row>
    <row r="72" spans="2:8">
      <c r="B72" s="111">
        <v>3</v>
      </c>
      <c r="C72" s="135">
        <v>0.24072612470402527</v>
      </c>
      <c r="D72" s="135">
        <v>0.23769999999999999</v>
      </c>
      <c r="E72" s="148"/>
      <c r="H72" s="15">
        <v>525</v>
      </c>
    </row>
    <row r="73" spans="2:8">
      <c r="B73" s="111">
        <v>4</v>
      </c>
      <c r="C73" s="135">
        <v>0.17363851617995266</v>
      </c>
      <c r="D73" s="135">
        <v>0.39269999999999999</v>
      </c>
      <c r="E73" s="148"/>
      <c r="H73" s="15">
        <v>700</v>
      </c>
    </row>
    <row r="74" spans="2:8">
      <c r="B74" s="111">
        <v>5</v>
      </c>
      <c r="C74" s="135">
        <v>0.10023677979479084</v>
      </c>
      <c r="D74" s="135">
        <v>0.25750000000000001</v>
      </c>
      <c r="E74" s="148"/>
      <c r="H74" s="15">
        <v>1750</v>
      </c>
    </row>
    <row r="75" spans="2:8">
      <c r="B75" s="111">
        <v>6</v>
      </c>
      <c r="C75" s="135">
        <v>3.1570639305445937E-2</v>
      </c>
      <c r="D75" s="135">
        <v>8.2699999999999996E-2</v>
      </c>
      <c r="E75" s="148"/>
      <c r="H75" s="15">
        <v>2100</v>
      </c>
    </row>
    <row r="76" spans="2:8">
      <c r="B76" s="111">
        <v>7</v>
      </c>
      <c r="C76" s="135">
        <v>1.0260457774269928E-2</v>
      </c>
      <c r="D76" s="135">
        <v>1.5800000000000002E-2</v>
      </c>
      <c r="E76" s="148"/>
      <c r="H76" s="15">
        <v>3675</v>
      </c>
    </row>
    <row r="77" spans="2:8">
      <c r="B77" s="111">
        <v>8</v>
      </c>
      <c r="C77" s="135">
        <v>7.8926598263614838E-4</v>
      </c>
      <c r="D77" s="135">
        <v>1.6999999999999999E-3</v>
      </c>
      <c r="E77" s="148"/>
      <c r="H77" s="15">
        <v>4200</v>
      </c>
    </row>
    <row r="78" spans="2:8">
      <c r="B78" s="111">
        <v>9</v>
      </c>
      <c r="C78" s="135">
        <v>0</v>
      </c>
      <c r="D78" s="135">
        <v>1E-4</v>
      </c>
      <c r="E78" s="148"/>
      <c r="H78" s="15">
        <v>4725</v>
      </c>
    </row>
    <row r="81" spans="2:12">
      <c r="B81" s="15" t="s">
        <v>188</v>
      </c>
      <c r="I81" s="15" t="e">
        <f>1/I82</f>
        <v>#REF!</v>
      </c>
    </row>
    <row r="82" spans="2:12">
      <c r="B82" s="119"/>
      <c r="C82" s="119" t="s">
        <v>126</v>
      </c>
      <c r="D82" s="119" t="s">
        <v>125</v>
      </c>
      <c r="E82" s="146"/>
      <c r="I82" s="136" t="e">
        <f>SUMPRODUCT(#REF!,D69:D78)</f>
        <v>#REF!</v>
      </c>
    </row>
    <row r="83" spans="2:12">
      <c r="B83" s="137">
        <v>0</v>
      </c>
      <c r="C83" s="138">
        <v>0.64345873104997198</v>
      </c>
      <c r="D83" s="138" t="e" cm="1">
        <f t="array" ref="D83:D95">J83:J95</f>
        <v>#REF!</v>
      </c>
      <c r="E83" s="147"/>
      <c r="G83" s="15" cm="1">
        <f t="array" ref="G83:G95">TRANSPOSE(Parameter!O19:AA19)</f>
        <v>0</v>
      </c>
      <c r="H83" s="15" cm="1">
        <f t="array" ref="H83:H95">TRANSPOSE(Parameter!O8:AA8)</f>
        <v>0</v>
      </c>
      <c r="I83" s="136" t="e" cm="1">
        <f t="array" ref="I83:I95">_xlfn.ANCHORARRAY(H83)/SUM(_xlfn.ANCHORARRAY(H83))*I82</f>
        <v>#REF!</v>
      </c>
      <c r="J83" s="136" t="e" cm="1">
        <f t="array" ref="J83">#REF!</f>
        <v>#REF!</v>
      </c>
      <c r="K83" s="136"/>
      <c r="L83" s="141"/>
    </row>
    <row r="84" spans="2:12">
      <c r="B84" s="139">
        <v>2</v>
      </c>
      <c r="C84" s="140">
        <v>0.21617069062324537</v>
      </c>
      <c r="D84" s="140">
        <v>0</v>
      </c>
      <c r="E84" s="147"/>
      <c r="G84" s="15">
        <v>6000</v>
      </c>
      <c r="H84" s="15">
        <v>0</v>
      </c>
      <c r="I84" s="136" t="e">
        <v>#REF!</v>
      </c>
      <c r="J84" s="136"/>
      <c r="K84" s="136"/>
      <c r="L84" s="136"/>
    </row>
    <row r="85" spans="2:12">
      <c r="B85" s="139">
        <v>3</v>
      </c>
      <c r="C85" s="140">
        <v>8.5906793935991016E-2</v>
      </c>
      <c r="D85" s="140">
        <v>0</v>
      </c>
      <c r="E85" s="147"/>
      <c r="G85" s="15">
        <v>2800</v>
      </c>
      <c r="H85" s="15">
        <v>0</v>
      </c>
      <c r="I85" s="136" t="e">
        <v>#REF!</v>
      </c>
      <c r="J85" s="136"/>
      <c r="K85" s="136"/>
      <c r="L85" s="136"/>
    </row>
    <row r="86" spans="2:12">
      <c r="B86" s="139">
        <v>5</v>
      </c>
      <c r="C86" s="140">
        <v>2.1897810218978103E-2</v>
      </c>
      <c r="D86" s="140">
        <v>0</v>
      </c>
      <c r="E86" s="147"/>
      <c r="G86" s="15">
        <v>900</v>
      </c>
      <c r="H86" s="15">
        <v>0</v>
      </c>
      <c r="I86" s="136" t="e">
        <v>#REF!</v>
      </c>
      <c r="J86" s="136"/>
      <c r="K86" s="136"/>
      <c r="L86" s="136"/>
    </row>
    <row r="87" spans="2:12">
      <c r="B87" s="139">
        <v>8</v>
      </c>
      <c r="C87" s="140">
        <v>1.0668163952835485E-2</v>
      </c>
      <c r="D87" s="140">
        <v>0</v>
      </c>
      <c r="E87" s="147"/>
      <c r="G87" s="15">
        <v>300</v>
      </c>
      <c r="H87" s="15">
        <v>0</v>
      </c>
      <c r="I87" s="136" t="e">
        <v>#REF!</v>
      </c>
      <c r="J87" s="136"/>
      <c r="K87" s="136"/>
      <c r="L87" s="136"/>
    </row>
    <row r="88" spans="2:12">
      <c r="B88" s="139">
        <v>10</v>
      </c>
      <c r="C88" s="140">
        <v>1.0106681639528355E-2</v>
      </c>
      <c r="D88" s="140" t="e">
        <v>#REF!</v>
      </c>
      <c r="E88" s="147"/>
      <c r="G88" s="15">
        <v>0</v>
      </c>
      <c r="H88" s="15">
        <v>3600</v>
      </c>
      <c r="I88" s="136" t="e">
        <v>#REF!</v>
      </c>
      <c r="J88" s="136" t="e" cm="1">
        <f t="array" ref="J88:J95">I88:I95</f>
        <v>#REF!</v>
      </c>
      <c r="K88" s="136"/>
      <c r="L88" s="136"/>
    </row>
    <row r="89" spans="2:12">
      <c r="B89" s="139">
        <v>15</v>
      </c>
      <c r="C89" s="140">
        <v>5.8955642897248733E-3</v>
      </c>
      <c r="D89" s="140" t="e">
        <v>#REF!</v>
      </c>
      <c r="E89" s="147"/>
      <c r="G89" s="15">
        <v>0</v>
      </c>
      <c r="H89" s="15">
        <v>2500</v>
      </c>
      <c r="I89" s="136" t="e">
        <v>#REF!</v>
      </c>
      <c r="J89" s="136" t="e">
        <v>#REF!</v>
      </c>
      <c r="K89" s="136"/>
      <c r="L89" s="136"/>
    </row>
    <row r="90" spans="2:12">
      <c r="B90" s="139">
        <v>20</v>
      </c>
      <c r="C90" s="140">
        <v>2.807411566535654E-3</v>
      </c>
      <c r="D90" s="140" t="e">
        <v>#REF!</v>
      </c>
      <c r="E90" s="147"/>
      <c r="G90" s="15">
        <v>0</v>
      </c>
      <c r="H90" s="15">
        <v>1500</v>
      </c>
      <c r="I90" s="136" t="e">
        <v>#REF!</v>
      </c>
      <c r="J90" s="136" t="e">
        <v>#REF!</v>
      </c>
      <c r="K90" s="136"/>
      <c r="L90" s="136"/>
    </row>
    <row r="91" spans="2:12">
      <c r="B91" s="139">
        <v>25</v>
      </c>
      <c r="C91" s="140">
        <v>5.6148231330713087E-4</v>
      </c>
      <c r="D91" s="140" t="e">
        <v>#REF!</v>
      </c>
      <c r="E91" s="147"/>
      <c r="G91" s="15">
        <v>0</v>
      </c>
      <c r="H91" s="15">
        <v>250</v>
      </c>
      <c r="I91" s="136" t="e">
        <v>#REF!</v>
      </c>
      <c r="J91" s="136" t="e">
        <v>#REF!</v>
      </c>
      <c r="K91" s="136"/>
      <c r="L91" s="136"/>
    </row>
    <row r="92" spans="2:12">
      <c r="B92" s="139">
        <v>35</v>
      </c>
      <c r="C92" s="140">
        <v>5.6148231330713087E-4</v>
      </c>
      <c r="D92" s="140" t="e">
        <v>#REF!</v>
      </c>
      <c r="E92" s="147"/>
      <c r="G92" s="15">
        <v>0</v>
      </c>
      <c r="H92" s="15">
        <v>50</v>
      </c>
      <c r="I92" s="136" t="e">
        <v>#REF!</v>
      </c>
      <c r="J92" s="136" t="e">
        <v>#REF!</v>
      </c>
      <c r="K92" s="136"/>
      <c r="L92" s="136"/>
    </row>
    <row r="93" spans="2:12">
      <c r="B93" s="139">
        <v>50</v>
      </c>
      <c r="C93" s="140">
        <v>8.4222346996069624E-4</v>
      </c>
      <c r="D93" s="140" t="e">
        <v>#REF!</v>
      </c>
      <c r="E93" s="147"/>
      <c r="G93" s="15">
        <v>0</v>
      </c>
      <c r="H93" s="15">
        <v>1000</v>
      </c>
      <c r="I93" s="136" t="e">
        <v>#REF!</v>
      </c>
      <c r="J93" s="136" t="e">
        <v>#REF!</v>
      </c>
      <c r="K93" s="136"/>
      <c r="L93" s="136"/>
    </row>
    <row r="94" spans="2:12">
      <c r="B94" s="139">
        <v>80</v>
      </c>
      <c r="C94" s="140">
        <v>8.4222346996069624E-4</v>
      </c>
      <c r="D94" s="140" t="e">
        <v>#REF!</v>
      </c>
      <c r="E94" s="147"/>
      <c r="G94" s="15">
        <v>0</v>
      </c>
      <c r="H94" s="15">
        <v>100</v>
      </c>
      <c r="I94" s="136" t="e">
        <v>#REF!</v>
      </c>
      <c r="J94" s="136" t="e">
        <v>#REF!</v>
      </c>
      <c r="K94" s="136"/>
      <c r="L94" s="136"/>
    </row>
    <row r="95" spans="2:12">
      <c r="B95" s="139">
        <v>100</v>
      </c>
      <c r="C95" s="140">
        <v>2.8074115665356543E-4</v>
      </c>
      <c r="D95" s="140" t="e">
        <v>#REF!</v>
      </c>
      <c r="E95" s="147"/>
      <c r="G95" s="15">
        <v>0</v>
      </c>
      <c r="H95" s="15">
        <v>1000</v>
      </c>
      <c r="I95" s="136" t="e">
        <v>#REF!</v>
      </c>
      <c r="J95" s="136" t="e">
        <v>#REF!</v>
      </c>
      <c r="K95" s="136"/>
      <c r="L95" s="136"/>
    </row>
    <row r="96" spans="2:12">
      <c r="C96" s="15">
        <f>SUMPRODUCT(C83:C95,B83:B95)</f>
        <v>1.301796743402583</v>
      </c>
      <c r="D96" s="15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2026-07-02T01:45:28Z</dcterms:modified>
</cp:coreProperties>
</file>