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249E345A-7551-48CE-A01B-1AE365A6400E}" xr6:coauthVersionLast="47" xr6:coauthVersionMax="47" xr10:uidLastSave="{00000000-0000-0000-0000-000000000000}"/>
  <bookViews>
    <workbookView xWindow="-28920" yWindow="60" windowWidth="29040" windowHeight="15720" xr2:uid="{B0D19361-19AC-4EBA-AC74-87CBF726FCAA}"/>
  </bookViews>
  <sheets>
    <sheet name="Overview" sheetId="4" r:id="rId1"/>
    <sheet name="Description" sheetId="55" r:id="rId2"/>
    <sheet name="Parameter" sheetId="30" r:id="rId3"/>
    <sheet name="Multiplier_Weight" sheetId="76" state="hidden" r:id="rId4"/>
    <sheet name="Multiplier_Weight_Newbie" sheetId="67" state="hidden" r:id="rId5"/>
    <sheet name="Multiplier_Weight_Oldhand" sheetId="48" r:id="rId6"/>
    <sheet name="OP Jackpot" sheetId="53" r:id="rId7"/>
    <sheet name="BG_Symbol" sheetId="13" r:id="rId8"/>
    <sheet name="BG_Symbol (2)" sheetId="68" r:id="rId9"/>
    <sheet name="BG_Symbol (3)" sheetId="74" r:id="rId10"/>
    <sheet name="FG_Symbol" sheetId="69" r:id="rId11"/>
    <sheet name="FG_Symbol (2)" sheetId="70" r:id="rId12"/>
    <sheet name="FG_Symbol (3)" sheetId="71" r:id="rId13"/>
    <sheet name="BF_Symbol" sheetId="72" r:id="rId14"/>
    <sheet name="工作表1" sheetId="75" state="hidden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2" i="4" l="1"/>
  <c r="B21" i="4"/>
  <c r="Q4" i="13" a="1"/>
  <c r="Q4" i="13" s="1"/>
  <c r="Y203" i="68" a="1"/>
  <c r="Y203" i="68" s="1"/>
  <c r="X203" i="68" a="1"/>
  <c r="X203" i="68" s="1"/>
  <c r="W203" i="68" a="1"/>
  <c r="W203" i="68" s="1"/>
  <c r="Y202" i="68" a="1"/>
  <c r="Y202" i="68" s="1"/>
  <c r="X202" i="68" a="1"/>
  <c r="X202" i="68" s="1"/>
  <c r="W202" i="68"/>
  <c r="W202" i="68" a="1"/>
  <c r="Y201" i="68" a="1"/>
  <c r="Y201" i="68" s="1"/>
  <c r="X201" i="68" a="1"/>
  <c r="X201" i="68" s="1"/>
  <c r="W201" i="68" a="1"/>
  <c r="W201" i="68" s="1"/>
  <c r="Y200" i="68" a="1"/>
  <c r="Y200" i="68" s="1"/>
  <c r="X200" i="68" a="1"/>
  <c r="X200" i="68" s="1"/>
  <c r="W200" i="68" a="1"/>
  <c r="W200" i="68" s="1"/>
  <c r="Y199" i="68" a="1"/>
  <c r="Y199" i="68" s="1"/>
  <c r="X199" i="68" a="1"/>
  <c r="X199" i="68" s="1"/>
  <c r="W199" i="68" a="1"/>
  <c r="W199" i="68" s="1"/>
  <c r="Y198" i="68" a="1"/>
  <c r="Y198" i="68" s="1"/>
  <c r="X198" i="68"/>
  <c r="X198" i="68" a="1"/>
  <c r="W198" i="68" a="1"/>
  <c r="W198" i="68" s="1"/>
  <c r="Y197" i="68" a="1"/>
  <c r="Y197" i="68" s="1"/>
  <c r="X197" i="68" a="1"/>
  <c r="X197" i="68" s="1"/>
  <c r="W197" i="68" a="1"/>
  <c r="W197" i="68" s="1"/>
  <c r="Y196" i="68" a="1"/>
  <c r="Y196" i="68" s="1"/>
  <c r="X196" i="68" a="1"/>
  <c r="X196" i="68" s="1"/>
  <c r="W196" i="68" a="1"/>
  <c r="W196" i="68" s="1"/>
  <c r="Y195" i="68" a="1"/>
  <c r="Y195" i="68" s="1"/>
  <c r="X195" i="68" a="1"/>
  <c r="X195" i="68" s="1"/>
  <c r="W195" i="68" a="1"/>
  <c r="W195" i="68" s="1"/>
  <c r="Y194" i="68"/>
  <c r="Y194" i="68" a="1"/>
  <c r="X194" i="68" a="1"/>
  <c r="X194" i="68" s="1"/>
  <c r="W194" i="68" a="1"/>
  <c r="W194" i="68" s="1"/>
  <c r="Y193" i="68" a="1"/>
  <c r="Y193" i="68" s="1"/>
  <c r="X193" i="68" a="1"/>
  <c r="X193" i="68" s="1"/>
  <c r="W193" i="68" a="1"/>
  <c r="W193" i="68" s="1"/>
  <c r="Y192" i="68" a="1"/>
  <c r="Y192" i="68" s="1"/>
  <c r="X192" i="68" a="1"/>
  <c r="X192" i="68" s="1"/>
  <c r="W192" i="68" a="1"/>
  <c r="W192" i="68" s="1"/>
  <c r="Y191" i="68" a="1"/>
  <c r="Y191" i="68" s="1"/>
  <c r="X191" i="68" a="1"/>
  <c r="X191" i="68" s="1"/>
  <c r="W191" i="68"/>
  <c r="W191" i="68" a="1"/>
  <c r="Y190" i="68" a="1"/>
  <c r="Y190" i="68" s="1"/>
  <c r="X190" i="68" a="1"/>
  <c r="X190" i="68" s="1"/>
  <c r="W190" i="68" a="1"/>
  <c r="W190" i="68" s="1"/>
  <c r="Y189" i="68" a="1"/>
  <c r="Y189" i="68" s="1"/>
  <c r="X189" i="68" a="1"/>
  <c r="X189" i="68" s="1"/>
  <c r="W189" i="68" a="1"/>
  <c r="W189" i="68" s="1"/>
  <c r="Y188" i="68" a="1"/>
  <c r="Y188" i="68" s="1"/>
  <c r="X188" i="68" a="1"/>
  <c r="X188" i="68" s="1"/>
  <c r="W188" i="68" a="1"/>
  <c r="W188" i="68" s="1"/>
  <c r="Y187" i="68" a="1"/>
  <c r="Y187" i="68" s="1"/>
  <c r="X187" i="68"/>
  <c r="X187" i="68" a="1"/>
  <c r="W187" i="68" a="1"/>
  <c r="W187" i="68" s="1"/>
  <c r="Y186" i="68" a="1"/>
  <c r="Y186" i="68" s="1"/>
  <c r="X186" i="68" a="1"/>
  <c r="X186" i="68" s="1"/>
  <c r="W186" i="68" a="1"/>
  <c r="W186" i="68" s="1"/>
  <c r="Y185" i="68" a="1"/>
  <c r="Y185" i="68" s="1"/>
  <c r="X185" i="68" a="1"/>
  <c r="X185" i="68" s="1"/>
  <c r="W185" i="68" a="1"/>
  <c r="W185" i="68" s="1"/>
  <c r="Y184" i="68" a="1"/>
  <c r="Y184" i="68" s="1"/>
  <c r="X184" i="68" a="1"/>
  <c r="X184" i="68" s="1"/>
  <c r="W184" i="68" a="1"/>
  <c r="W184" i="68" s="1"/>
  <c r="Y183" i="68" a="1"/>
  <c r="Y183" i="68" s="1"/>
  <c r="X183" i="68" a="1"/>
  <c r="X183" i="68" s="1"/>
  <c r="W183" i="68" a="1"/>
  <c r="W183" i="68" s="1"/>
  <c r="Y182" i="68" a="1"/>
  <c r="Y182" i="68" s="1"/>
  <c r="X182" i="68" a="1"/>
  <c r="X182" i="68" s="1"/>
  <c r="W182" i="68" a="1"/>
  <c r="W182" i="68" s="1"/>
  <c r="Y181" i="68" a="1"/>
  <c r="Y181" i="68" s="1"/>
  <c r="X181" i="68" a="1"/>
  <c r="X181" i="68" s="1"/>
  <c r="W181" i="68" a="1"/>
  <c r="W181" i="68" s="1"/>
  <c r="Y180" i="68" a="1"/>
  <c r="Y180" i="68" s="1"/>
  <c r="X180" i="68" a="1"/>
  <c r="X180" i="68" s="1"/>
  <c r="W180" i="68" a="1"/>
  <c r="W180" i="68" s="1"/>
  <c r="Y179" i="68"/>
  <c r="Y179" i="68" a="1"/>
  <c r="X179" i="68" a="1"/>
  <c r="X179" i="68" s="1"/>
  <c r="W179" i="68" a="1"/>
  <c r="W179" i="68" s="1"/>
  <c r="Y178" i="68" a="1"/>
  <c r="Y178" i="68" s="1"/>
  <c r="X178" i="68" a="1"/>
  <c r="X178" i="68" s="1"/>
  <c r="W178" i="68" a="1"/>
  <c r="W178" i="68" s="1"/>
  <c r="Y177" i="68" a="1"/>
  <c r="Y177" i="68" s="1"/>
  <c r="X177" i="68" a="1"/>
  <c r="X177" i="68" s="1"/>
  <c r="W177" i="68" a="1"/>
  <c r="W177" i="68" s="1"/>
  <c r="Y176" i="68" a="1"/>
  <c r="Y176" i="68" s="1"/>
  <c r="X176" i="68" a="1"/>
  <c r="X176" i="68" s="1"/>
  <c r="W176" i="68"/>
  <c r="W176" i="68" a="1"/>
  <c r="Y175" i="68" a="1"/>
  <c r="Y175" i="68" s="1"/>
  <c r="X175" i="68" a="1"/>
  <c r="X175" i="68" s="1"/>
  <c r="W175" i="68" a="1"/>
  <c r="W175" i="68" s="1"/>
  <c r="Y174" i="68" a="1"/>
  <c r="Y174" i="68" s="1"/>
  <c r="X174" i="68" a="1"/>
  <c r="X174" i="68" s="1"/>
  <c r="W174" i="68" a="1"/>
  <c r="W174" i="68" s="1"/>
  <c r="Y173" i="68" a="1"/>
  <c r="Y173" i="68" s="1"/>
  <c r="X173" i="68" a="1"/>
  <c r="X173" i="68" s="1"/>
  <c r="W173" i="68" a="1"/>
  <c r="W173" i="68" s="1"/>
  <c r="Y172" i="68" a="1"/>
  <c r="Y172" i="68" s="1"/>
  <c r="X172" i="68"/>
  <c r="X172" i="68" a="1"/>
  <c r="W172" i="68" a="1"/>
  <c r="W172" i="68" s="1"/>
  <c r="Y171" i="68" a="1"/>
  <c r="Y171" i="68" s="1"/>
  <c r="X171" i="68"/>
  <c r="X171" i="68" a="1"/>
  <c r="W171" i="68"/>
  <c r="W171" i="68" a="1"/>
  <c r="Y170" i="68" a="1"/>
  <c r="Y170" i="68" s="1"/>
  <c r="X170" i="68" a="1"/>
  <c r="X170" i="68" s="1"/>
  <c r="W170" i="68" a="1"/>
  <c r="W170" i="68" s="1"/>
  <c r="Y169" i="68" a="1"/>
  <c r="Y169" i="68" s="1"/>
  <c r="X169" i="68" a="1"/>
  <c r="X169" i="68" s="1"/>
  <c r="W169" i="68" a="1"/>
  <c r="W169" i="68" s="1"/>
  <c r="Y168" i="68"/>
  <c r="Y168" i="68" a="1"/>
  <c r="X168" i="68" a="1"/>
  <c r="X168" i="68" s="1"/>
  <c r="W168" i="68" a="1"/>
  <c r="W168" i="68" s="1"/>
  <c r="Y167" i="68" a="1"/>
  <c r="Y167" i="68" s="1"/>
  <c r="X167" i="68" a="1"/>
  <c r="X167" i="68" s="1"/>
  <c r="W167" i="68" a="1"/>
  <c r="W167" i="68" s="1"/>
  <c r="Y166" i="68" a="1"/>
  <c r="Y166" i="68" s="1"/>
  <c r="X166" i="68" a="1"/>
  <c r="X166" i="68" s="1"/>
  <c r="W166" i="68" a="1"/>
  <c r="W166" i="68" s="1"/>
  <c r="Y165" i="68" a="1"/>
  <c r="Y165" i="68" s="1"/>
  <c r="X165" i="68" a="1"/>
  <c r="X165" i="68" s="1"/>
  <c r="W165" i="68"/>
  <c r="W165" i="68" a="1"/>
  <c r="Y164" i="68" a="1"/>
  <c r="Y164" i="68" s="1"/>
  <c r="X164" i="68" a="1"/>
  <c r="X164" i="68" s="1"/>
  <c r="W164" i="68" a="1"/>
  <c r="W164" i="68" s="1"/>
  <c r="Y163" i="68" a="1"/>
  <c r="Y163" i="68" s="1"/>
  <c r="X163" i="68" a="1"/>
  <c r="X163" i="68" s="1"/>
  <c r="W163" i="68" a="1"/>
  <c r="W163" i="68" s="1"/>
  <c r="Y162" i="68" a="1"/>
  <c r="Y162" i="68" s="1"/>
  <c r="X162" i="68" a="1"/>
  <c r="X162" i="68" s="1"/>
  <c r="W162" i="68" a="1"/>
  <c r="W162" i="68" s="1"/>
  <c r="Y161" i="68" a="1"/>
  <c r="Y161" i="68" s="1"/>
  <c r="X161" i="68"/>
  <c r="X161" i="68" a="1"/>
  <c r="W161" i="68" a="1"/>
  <c r="W161" i="68" s="1"/>
  <c r="Y160" i="68" a="1"/>
  <c r="Y160" i="68" s="1"/>
  <c r="X160" i="68" a="1"/>
  <c r="X160" i="68" s="1"/>
  <c r="W160" i="68" a="1"/>
  <c r="W160" i="68" s="1"/>
  <c r="Y159" i="68" a="1"/>
  <c r="Y159" i="68" s="1"/>
  <c r="X159" i="68" a="1"/>
  <c r="X159" i="68" s="1"/>
  <c r="W159" i="68" a="1"/>
  <c r="W159" i="68" s="1"/>
  <c r="Y158" i="68" a="1"/>
  <c r="Y158" i="68" s="1"/>
  <c r="X158" i="68" a="1"/>
  <c r="X158" i="68" s="1"/>
  <c r="W158" i="68" a="1"/>
  <c r="W158" i="68" s="1"/>
  <c r="Y157" i="68"/>
  <c r="Y157" i="68" a="1"/>
  <c r="X157" i="68" a="1"/>
  <c r="X157" i="68" s="1"/>
  <c r="W157" i="68" a="1"/>
  <c r="W157" i="68" s="1"/>
  <c r="Y156" i="68" a="1"/>
  <c r="Y156" i="68" s="1"/>
  <c r="X156" i="68" a="1"/>
  <c r="X156" i="68" s="1"/>
  <c r="W156" i="68"/>
  <c r="W156" i="68" a="1"/>
  <c r="Y155" i="68"/>
  <c r="Y155" i="68" a="1"/>
  <c r="X155" i="68" a="1"/>
  <c r="X155" i="68" s="1"/>
  <c r="W155" i="68" a="1"/>
  <c r="W155" i="68" s="1"/>
  <c r="Y154" i="68" a="1"/>
  <c r="Y154" i="68" s="1"/>
  <c r="X154" i="68" a="1"/>
  <c r="X154" i="68" s="1"/>
  <c r="W154" i="68"/>
  <c r="W154" i="68" a="1"/>
  <c r="Y153" i="68" a="1"/>
  <c r="Y153" i="68" s="1"/>
  <c r="X153" i="68" a="1"/>
  <c r="X153" i="68" s="1"/>
  <c r="W153" i="68" a="1"/>
  <c r="W153" i="68" s="1"/>
  <c r="Y152" i="68" a="1"/>
  <c r="Y152" i="68" s="1"/>
  <c r="X152" i="68" a="1"/>
  <c r="X152" i="68" s="1"/>
  <c r="W152" i="68" a="1"/>
  <c r="W152" i="68" s="1"/>
  <c r="Y151" i="68" a="1"/>
  <c r="Y151" i="68" s="1"/>
  <c r="X151" i="68" a="1"/>
  <c r="X151" i="68" s="1"/>
  <c r="W151" i="68" a="1"/>
  <c r="W151" i="68" s="1"/>
  <c r="Y150" i="68" a="1"/>
  <c r="Y150" i="68" s="1"/>
  <c r="X150" i="68" a="1"/>
  <c r="X150" i="68" s="1"/>
  <c r="W150" i="68" a="1"/>
  <c r="W150" i="68" s="1"/>
  <c r="Y149" i="68" a="1"/>
  <c r="Y149" i="68" s="1"/>
  <c r="X149" i="68" a="1"/>
  <c r="X149" i="68" s="1"/>
  <c r="W149" i="68" a="1"/>
  <c r="W149" i="68" s="1"/>
  <c r="Y148" i="68" a="1"/>
  <c r="Y148" i="68" s="1"/>
  <c r="X148" i="68" a="1"/>
  <c r="X148" i="68" s="1"/>
  <c r="W148" i="68" a="1"/>
  <c r="W148" i="68" s="1"/>
  <c r="Y147" i="68" a="1"/>
  <c r="Y147" i="68" s="1"/>
  <c r="X147" i="68" a="1"/>
  <c r="X147" i="68" s="1"/>
  <c r="W147" i="68" a="1"/>
  <c r="W147" i="68" s="1"/>
  <c r="Y146" i="68" a="1"/>
  <c r="Y146" i="68" s="1"/>
  <c r="X146" i="68"/>
  <c r="X146" i="68" a="1"/>
  <c r="W146" i="68" a="1"/>
  <c r="W146" i="68" s="1"/>
  <c r="Y145" i="68" a="1"/>
  <c r="Y145" i="68" s="1"/>
  <c r="X145" i="68"/>
  <c r="X145" i="68" a="1"/>
  <c r="W145" i="68" a="1"/>
  <c r="W145" i="68" s="1"/>
  <c r="Y144" i="68" a="1"/>
  <c r="Y144" i="68" s="1"/>
  <c r="X144" i="68" a="1"/>
  <c r="X144" i="68" s="1"/>
  <c r="W144" i="68" a="1"/>
  <c r="W144" i="68" s="1"/>
  <c r="Y143" i="68" a="1"/>
  <c r="Y143" i="68" s="1"/>
  <c r="X143" i="68" a="1"/>
  <c r="X143" i="68" s="1"/>
  <c r="W143" i="68" a="1"/>
  <c r="W143" i="68" s="1"/>
  <c r="Y142" i="68"/>
  <c r="Y142" i="68" a="1"/>
  <c r="X142" i="68" a="1"/>
  <c r="X142" i="68" s="1"/>
  <c r="W142" i="68" a="1"/>
  <c r="W142" i="68" s="1"/>
  <c r="Y141" i="68" a="1"/>
  <c r="Y141" i="68" s="1"/>
  <c r="X141" i="68" a="1"/>
  <c r="X141" i="68" s="1"/>
  <c r="W141" i="68" a="1"/>
  <c r="W141" i="68" s="1"/>
  <c r="Y140" i="68" a="1"/>
  <c r="Y140" i="68" s="1"/>
  <c r="X140" i="68" a="1"/>
  <c r="X140" i="68" s="1"/>
  <c r="W140" i="68" a="1"/>
  <c r="W140" i="68" s="1"/>
  <c r="Y139" i="68" a="1"/>
  <c r="Y139" i="68" s="1"/>
  <c r="X139" i="68" a="1"/>
  <c r="X139" i="68" s="1"/>
  <c r="W139" i="68"/>
  <c r="W139" i="68" a="1"/>
  <c r="Y138" i="68" a="1"/>
  <c r="Y138" i="68" s="1"/>
  <c r="X138" i="68" a="1"/>
  <c r="X138" i="68" s="1"/>
  <c r="W138" i="68" a="1"/>
  <c r="W138" i="68" s="1"/>
  <c r="Y137" i="68" a="1"/>
  <c r="Y137" i="68" s="1"/>
  <c r="X137" i="68" a="1"/>
  <c r="X137" i="68" s="1"/>
  <c r="W137" i="68" a="1"/>
  <c r="W137" i="68" s="1"/>
  <c r="Y136" i="68" a="1"/>
  <c r="Y136" i="68" s="1"/>
  <c r="X136" i="68" a="1"/>
  <c r="X136" i="68" s="1"/>
  <c r="W136" i="68" a="1"/>
  <c r="W136" i="68" s="1"/>
  <c r="Y135" i="68" a="1"/>
  <c r="Y135" i="68" s="1"/>
  <c r="X135" i="68"/>
  <c r="X135" i="68" a="1"/>
  <c r="W135" i="68" a="1"/>
  <c r="W135" i="68" s="1"/>
  <c r="Y134" i="68" a="1"/>
  <c r="Y134" i="68" s="1"/>
  <c r="X134" i="68" a="1"/>
  <c r="X134" i="68" s="1"/>
  <c r="W134" i="68" a="1"/>
  <c r="W134" i="68" s="1"/>
  <c r="Y133" i="68" a="1"/>
  <c r="Y133" i="68" s="1"/>
  <c r="X133" i="68" a="1"/>
  <c r="X133" i="68" s="1"/>
  <c r="W133" i="68" a="1"/>
  <c r="W133" i="68" s="1"/>
  <c r="Y132" i="68" a="1"/>
  <c r="Y132" i="68" s="1"/>
  <c r="X132" i="68" a="1"/>
  <c r="X132" i="68" s="1"/>
  <c r="W132" i="68" a="1"/>
  <c r="W132" i="68" s="1"/>
  <c r="Y131" i="68"/>
  <c r="Y131" i="68" a="1"/>
  <c r="X131" i="68" a="1"/>
  <c r="X131" i="68" s="1"/>
  <c r="W131" i="68" a="1"/>
  <c r="W131" i="68" s="1"/>
  <c r="Y130" i="68" a="1"/>
  <c r="Y130" i="68" s="1"/>
  <c r="X130" i="68" a="1"/>
  <c r="X130" i="68" s="1"/>
  <c r="W130" i="68" a="1"/>
  <c r="W130" i="68" s="1"/>
  <c r="Y129" i="68" a="1"/>
  <c r="Y129" i="68" s="1"/>
  <c r="X129" i="68" a="1"/>
  <c r="X129" i="68" s="1"/>
  <c r="W129" i="68" a="1"/>
  <c r="W129" i="68" s="1"/>
  <c r="Y128" i="68" a="1"/>
  <c r="Y128" i="68" s="1"/>
  <c r="X128" i="68" a="1"/>
  <c r="X128" i="68" s="1"/>
  <c r="W128" i="68"/>
  <c r="W128" i="68" a="1"/>
  <c r="Y127" i="68" a="1"/>
  <c r="Y127" i="68" s="1"/>
  <c r="X127" i="68" a="1"/>
  <c r="X127" i="68" s="1"/>
  <c r="W127" i="68" a="1"/>
  <c r="W127" i="68" s="1"/>
  <c r="Y126" i="68" a="1"/>
  <c r="Y126" i="68" s="1"/>
  <c r="X126" i="68" a="1"/>
  <c r="X126" i="68" s="1"/>
  <c r="W126" i="68" a="1"/>
  <c r="W126" i="68" s="1"/>
  <c r="Y125" i="68" a="1"/>
  <c r="Y125" i="68" s="1"/>
  <c r="X125" i="68" a="1"/>
  <c r="X125" i="68" s="1"/>
  <c r="W125" i="68" a="1"/>
  <c r="W125" i="68" s="1"/>
  <c r="Y124" i="68" a="1"/>
  <c r="Y124" i="68" s="1"/>
  <c r="X124" i="68"/>
  <c r="X124" i="68" a="1"/>
  <c r="W124" i="68" a="1"/>
  <c r="W124" i="68" s="1"/>
  <c r="Y123" i="68" a="1"/>
  <c r="Y123" i="68" s="1"/>
  <c r="X123" i="68" a="1"/>
  <c r="X123" i="68" s="1"/>
  <c r="W123" i="68" a="1"/>
  <c r="W123" i="68" s="1"/>
  <c r="Y122" i="68" a="1"/>
  <c r="Y122" i="68" s="1"/>
  <c r="X122" i="68" a="1"/>
  <c r="X122" i="68" s="1"/>
  <c r="W122" i="68" a="1"/>
  <c r="W122" i="68" s="1"/>
  <c r="Y121" i="68" a="1"/>
  <c r="Y121" i="68" s="1"/>
  <c r="X121" i="68" a="1"/>
  <c r="X121" i="68" s="1"/>
  <c r="W121" i="68" a="1"/>
  <c r="W121" i="68" s="1"/>
  <c r="Y120" i="68"/>
  <c r="Y120" i="68" a="1"/>
  <c r="X120" i="68" a="1"/>
  <c r="X120" i="68" s="1"/>
  <c r="W120" i="68" a="1"/>
  <c r="W120" i="68" s="1"/>
  <c r="Y119" i="68" a="1"/>
  <c r="Y119" i="68" s="1"/>
  <c r="X119" i="68" a="1"/>
  <c r="X119" i="68" s="1"/>
  <c r="W119" i="68" a="1"/>
  <c r="W119" i="68" s="1"/>
  <c r="Y118" i="68"/>
  <c r="Y118" i="68" a="1"/>
  <c r="X118" i="68" a="1"/>
  <c r="X118" i="68" s="1"/>
  <c r="W118" i="68" a="1"/>
  <c r="W118" i="68" s="1"/>
  <c r="Y117" i="68" a="1"/>
  <c r="Y117" i="68" s="1"/>
  <c r="X117" i="68" a="1"/>
  <c r="X117" i="68" s="1"/>
  <c r="W117" i="68" a="1"/>
  <c r="W117" i="68" s="1"/>
  <c r="Y116" i="68" a="1"/>
  <c r="Y116" i="68" s="1"/>
  <c r="X116" i="68" a="1"/>
  <c r="X116" i="68" s="1"/>
  <c r="W116" i="68" a="1"/>
  <c r="W116" i="68" s="1"/>
  <c r="Y115" i="68" a="1"/>
  <c r="Y115" i="68" s="1"/>
  <c r="X115" i="68" a="1"/>
  <c r="X115" i="68" s="1"/>
  <c r="W115" i="68" a="1"/>
  <c r="W115" i="68" s="1"/>
  <c r="Y114" i="68" a="1"/>
  <c r="Y114" i="68" s="1"/>
  <c r="X114" i="68" a="1"/>
  <c r="X114" i="68" s="1"/>
  <c r="W114" i="68"/>
  <c r="W114" i="68" a="1"/>
  <c r="Y113" i="68" a="1"/>
  <c r="Y113" i="68" s="1"/>
  <c r="X113" i="68" a="1"/>
  <c r="X113" i="68" s="1"/>
  <c r="W113" i="68" a="1"/>
  <c r="W113" i="68" s="1"/>
  <c r="Y112" i="68" a="1"/>
  <c r="Y112" i="68" s="1"/>
  <c r="X112" i="68" a="1"/>
  <c r="X112" i="68" s="1"/>
  <c r="W112" i="68" a="1"/>
  <c r="W112" i="68" s="1"/>
  <c r="Y111" i="68"/>
  <c r="Y111" i="68" a="1"/>
  <c r="X111" i="68" a="1"/>
  <c r="X111" i="68" s="1"/>
  <c r="W111" i="68" a="1"/>
  <c r="W111" i="68" s="1"/>
  <c r="Y110" i="68" a="1"/>
  <c r="Y110" i="68" s="1"/>
  <c r="X110" i="68" a="1"/>
  <c r="X110" i="68" s="1"/>
  <c r="W110" i="68"/>
  <c r="W110" i="68" a="1"/>
  <c r="Y109" i="68" a="1"/>
  <c r="Y109" i="68" s="1"/>
  <c r="X109" i="68" a="1"/>
  <c r="X109" i="68" s="1"/>
  <c r="W109" i="68" a="1"/>
  <c r="W109" i="68" s="1"/>
  <c r="Y108" i="68" a="1"/>
  <c r="Y108" i="68" s="1"/>
  <c r="X108" i="68" a="1"/>
  <c r="X108" i="68" s="1"/>
  <c r="W108" i="68" a="1"/>
  <c r="W108" i="68" s="1"/>
  <c r="Y107" i="68" a="1"/>
  <c r="Y107" i="68" s="1"/>
  <c r="X107" i="68" a="1"/>
  <c r="X107" i="68" s="1"/>
  <c r="W107" i="68" a="1"/>
  <c r="W107" i="68" s="1"/>
  <c r="Y106" i="68" a="1"/>
  <c r="Y106" i="68" s="1"/>
  <c r="X106" i="68" a="1"/>
  <c r="X106" i="68" s="1"/>
  <c r="W106" i="68" a="1"/>
  <c r="W106" i="68" s="1"/>
  <c r="Y105" i="68"/>
  <c r="Y105" i="68" a="1"/>
  <c r="X105" i="68" a="1"/>
  <c r="X105" i="68" s="1"/>
  <c r="W105" i="68" a="1"/>
  <c r="W105" i="68" s="1"/>
  <c r="Y104" i="68"/>
  <c r="Y104" i="68" a="1"/>
  <c r="X104" i="68" a="1"/>
  <c r="X104" i="68" s="1"/>
  <c r="W104" i="68" a="1"/>
  <c r="W104" i="68" s="1"/>
  <c r="Y103" i="68" a="1"/>
  <c r="Y103" i="68" s="1"/>
  <c r="X103" i="68" a="1"/>
  <c r="X103" i="68" s="1"/>
  <c r="W103" i="68"/>
  <c r="W103" i="68" a="1"/>
  <c r="Y102" i="68" a="1"/>
  <c r="Y102" i="68" s="1"/>
  <c r="X102" i="68" a="1"/>
  <c r="X102" i="68" s="1"/>
  <c r="W102" i="68" a="1"/>
  <c r="W102" i="68" s="1"/>
  <c r="Y101" i="68" a="1"/>
  <c r="Y101" i="68" s="1"/>
  <c r="X101" i="68" a="1"/>
  <c r="X101" i="68" s="1"/>
  <c r="W101" i="68" a="1"/>
  <c r="W101" i="68" s="1"/>
  <c r="Y100" i="68" a="1"/>
  <c r="Y100" i="68" s="1"/>
  <c r="X100" i="68" a="1"/>
  <c r="X100" i="68" s="1"/>
  <c r="W100" i="68" a="1"/>
  <c r="W100" i="68" s="1"/>
  <c r="Y99" i="68" a="1"/>
  <c r="Y99" i="68" s="1"/>
  <c r="X99" i="68" a="1"/>
  <c r="X99" i="68" s="1"/>
  <c r="W99" i="68" a="1"/>
  <c r="W99" i="68" s="1"/>
  <c r="Y98" i="68" a="1"/>
  <c r="Y98" i="68" s="1"/>
  <c r="X98" i="68" a="1"/>
  <c r="X98" i="68" s="1"/>
  <c r="W98" i="68" a="1"/>
  <c r="W98" i="68" s="1"/>
  <c r="Y97" i="68"/>
  <c r="Y97" i="68" a="1"/>
  <c r="X97" i="68" a="1"/>
  <c r="X97" i="68" s="1"/>
  <c r="W97" i="68" a="1"/>
  <c r="W97" i="68" s="1"/>
  <c r="Y96" i="68" a="1"/>
  <c r="Y96" i="68" s="1"/>
  <c r="X96" i="68" a="1"/>
  <c r="X96" i="68" s="1"/>
  <c r="W96" i="68"/>
  <c r="W96" i="68" a="1"/>
  <c r="Y95" i="68" a="1"/>
  <c r="Y95" i="68" s="1"/>
  <c r="X95" i="68" a="1"/>
  <c r="X95" i="68" s="1"/>
  <c r="W95" i="68" a="1"/>
  <c r="W95" i="68" s="1"/>
  <c r="Y94" i="68" a="1"/>
  <c r="Y94" i="68" s="1"/>
  <c r="X94" i="68" a="1"/>
  <c r="X94" i="68" s="1"/>
  <c r="W94" i="68" a="1"/>
  <c r="W94" i="68" s="1"/>
  <c r="Y93" i="68" a="1"/>
  <c r="Y93" i="68" s="1"/>
  <c r="X93" i="68" a="1"/>
  <c r="X93" i="68" s="1"/>
  <c r="W93" i="68" a="1"/>
  <c r="W93" i="68" s="1"/>
  <c r="Y92" i="68" a="1"/>
  <c r="Y92" i="68" s="1"/>
  <c r="X92" i="68" a="1"/>
  <c r="X92" i="68" s="1"/>
  <c r="W92" i="68" a="1"/>
  <c r="W92" i="68" s="1"/>
  <c r="Y91" i="68"/>
  <c r="Y91" i="68" a="1"/>
  <c r="X91" i="68" a="1"/>
  <c r="X91" i="68" s="1"/>
  <c r="W91" i="68" a="1"/>
  <c r="W91" i="68" s="1"/>
  <c r="Y90" i="68"/>
  <c r="Y90" i="68" a="1"/>
  <c r="X90" i="68" a="1"/>
  <c r="X90" i="68" s="1"/>
  <c r="W90" i="68" a="1"/>
  <c r="W90" i="68" s="1"/>
  <c r="Y89" i="68" a="1"/>
  <c r="Y89" i="68" s="1"/>
  <c r="X89" i="68" a="1"/>
  <c r="X89" i="68" s="1"/>
  <c r="W89" i="68"/>
  <c r="W89" i="68" a="1"/>
  <c r="Y88" i="68" a="1"/>
  <c r="Y88" i="68" s="1"/>
  <c r="X88" i="68" a="1"/>
  <c r="X88" i="68" s="1"/>
  <c r="W88" i="68" a="1"/>
  <c r="W88" i="68" s="1"/>
  <c r="Y87" i="68" a="1"/>
  <c r="Y87" i="68" s="1"/>
  <c r="X87" i="68" a="1"/>
  <c r="X87" i="68" s="1"/>
  <c r="W87" i="68" a="1"/>
  <c r="W87" i="68" s="1"/>
  <c r="Y86" i="68" a="1"/>
  <c r="Y86" i="68" s="1"/>
  <c r="X86" i="68" a="1"/>
  <c r="X86" i="68" s="1"/>
  <c r="W86" i="68" a="1"/>
  <c r="W86" i="68" s="1"/>
  <c r="Y85" i="68" a="1"/>
  <c r="Y85" i="68" s="1"/>
  <c r="X85" i="68" a="1"/>
  <c r="X85" i="68" s="1"/>
  <c r="W85" i="68" a="1"/>
  <c r="W85" i="68" s="1"/>
  <c r="Y84" i="68" a="1"/>
  <c r="Y84" i="68" s="1"/>
  <c r="X84" i="68" a="1"/>
  <c r="X84" i="68" s="1"/>
  <c r="W84" i="68" a="1"/>
  <c r="W84" i="68" s="1"/>
  <c r="Y83" i="68" a="1"/>
  <c r="Y83" i="68" s="1"/>
  <c r="X83" i="68" a="1"/>
  <c r="X83" i="68" s="1"/>
  <c r="W83" i="68" a="1"/>
  <c r="W83" i="68" s="1"/>
  <c r="Y82" i="68" a="1"/>
  <c r="Y82" i="68" s="1"/>
  <c r="X82" i="68" a="1"/>
  <c r="X82" i="68" s="1"/>
  <c r="W82" i="68"/>
  <c r="W82" i="68" a="1"/>
  <c r="Y81" i="68" a="1"/>
  <c r="Y81" i="68" s="1"/>
  <c r="X81" i="68" a="1"/>
  <c r="X81" i="68" s="1"/>
  <c r="W81" i="68" a="1"/>
  <c r="W81" i="68" s="1"/>
  <c r="Y80" i="68" a="1"/>
  <c r="Y80" i="68" s="1"/>
  <c r="X80" i="68" a="1"/>
  <c r="X80" i="68" s="1"/>
  <c r="W80" i="68"/>
  <c r="W80" i="68" a="1"/>
  <c r="Y79" i="68" a="1"/>
  <c r="Y79" i="68" s="1"/>
  <c r="X79" i="68" a="1"/>
  <c r="X79" i="68" s="1"/>
  <c r="W79" i="68" a="1"/>
  <c r="W79" i="68" s="1"/>
  <c r="Y78" i="68" a="1"/>
  <c r="Y78" i="68" s="1"/>
  <c r="X78" i="68" a="1"/>
  <c r="X78" i="68" s="1"/>
  <c r="W78" i="68" a="1"/>
  <c r="W78" i="68" s="1"/>
  <c r="Y77" i="68" a="1"/>
  <c r="Y77" i="68" s="1"/>
  <c r="X77" i="68" a="1"/>
  <c r="X77" i="68" s="1"/>
  <c r="W77" i="68" a="1"/>
  <c r="W77" i="68" s="1"/>
  <c r="Y76" i="68" a="1"/>
  <c r="Y76" i="68" s="1"/>
  <c r="X76" i="68" a="1"/>
  <c r="X76" i="68" s="1"/>
  <c r="W76" i="68" a="1"/>
  <c r="W76" i="68" s="1"/>
  <c r="Y75" i="68" a="1"/>
  <c r="Y75" i="68" s="1"/>
  <c r="X75" i="68" a="1"/>
  <c r="X75" i="68" s="1"/>
  <c r="W75" i="68"/>
  <c r="W75" i="68" a="1"/>
  <c r="Y74" i="68" a="1"/>
  <c r="Y74" i="68" s="1"/>
  <c r="X74" i="68" a="1"/>
  <c r="X74" i="68" s="1"/>
  <c r="W74" i="68" a="1"/>
  <c r="W74" i="68" s="1"/>
  <c r="Y73" i="68" a="1"/>
  <c r="Y73" i="68" s="1"/>
  <c r="X73" i="68"/>
  <c r="X73" i="68" a="1"/>
  <c r="W73" i="68"/>
  <c r="W73" i="68" a="1"/>
  <c r="Y72" i="68" a="1"/>
  <c r="Y72" i="68" s="1"/>
  <c r="X72" i="68" a="1"/>
  <c r="X72" i="68" s="1"/>
  <c r="W72" i="68" a="1"/>
  <c r="W72" i="68" s="1"/>
  <c r="Y71" i="68" a="1"/>
  <c r="Y71" i="68" s="1"/>
  <c r="X71" i="68" a="1"/>
  <c r="X71" i="68" s="1"/>
  <c r="W71" i="68" a="1"/>
  <c r="W71" i="68" s="1"/>
  <c r="Y70" i="68" a="1"/>
  <c r="Y70" i="68" s="1"/>
  <c r="X70" i="68" a="1"/>
  <c r="X70" i="68" s="1"/>
  <c r="W70" i="68" a="1"/>
  <c r="W70" i="68" s="1"/>
  <c r="Y69" i="68" a="1"/>
  <c r="Y69" i="68" s="1"/>
  <c r="X69" i="68" a="1"/>
  <c r="X69" i="68" s="1"/>
  <c r="W69" i="68" a="1"/>
  <c r="W69" i="68" s="1"/>
  <c r="Y68" i="68" a="1"/>
  <c r="Y68" i="68" s="1"/>
  <c r="X68" i="68" a="1"/>
  <c r="X68" i="68" s="1"/>
  <c r="W68" i="68"/>
  <c r="W68" i="68" a="1"/>
  <c r="Y67" i="68" a="1"/>
  <c r="Y67" i="68" s="1"/>
  <c r="X67" i="68" a="1"/>
  <c r="X67" i="68" s="1"/>
  <c r="W67" i="68" a="1"/>
  <c r="W67" i="68" s="1"/>
  <c r="Y66" i="68" a="1"/>
  <c r="Y66" i="68" s="1"/>
  <c r="X66" i="68" a="1"/>
  <c r="X66" i="68" s="1"/>
  <c r="W66" i="68"/>
  <c r="W66" i="68" a="1"/>
  <c r="Y65" i="68" a="1"/>
  <c r="Y65" i="68" s="1"/>
  <c r="X65" i="68" a="1"/>
  <c r="X65" i="68" s="1"/>
  <c r="W65" i="68" a="1"/>
  <c r="W65" i="68" s="1"/>
  <c r="Y64" i="68" a="1"/>
  <c r="Y64" i="68" s="1"/>
  <c r="X64" i="68" a="1"/>
  <c r="X64" i="68" s="1"/>
  <c r="W64" i="68" a="1"/>
  <c r="W64" i="68" s="1"/>
  <c r="Y63" i="68" a="1"/>
  <c r="Y63" i="68" s="1"/>
  <c r="X63" i="68" a="1"/>
  <c r="X63" i="68" s="1"/>
  <c r="W63" i="68" a="1"/>
  <c r="W63" i="68" s="1"/>
  <c r="Y62" i="68" a="1"/>
  <c r="Y62" i="68" s="1"/>
  <c r="X62" i="68" a="1"/>
  <c r="X62" i="68" s="1"/>
  <c r="W62" i="68" a="1"/>
  <c r="W62" i="68" s="1"/>
  <c r="Y61" i="68" a="1"/>
  <c r="Y61" i="68" s="1"/>
  <c r="X61" i="68" a="1"/>
  <c r="X61" i="68" s="1"/>
  <c r="W61" i="68"/>
  <c r="W61" i="68" a="1"/>
  <c r="Y60" i="68" a="1"/>
  <c r="Y60" i="68" s="1"/>
  <c r="X60" i="68" a="1"/>
  <c r="X60" i="68" s="1"/>
  <c r="W60" i="68" a="1"/>
  <c r="W60" i="68" s="1"/>
  <c r="Y59" i="68" a="1"/>
  <c r="Y59" i="68" s="1"/>
  <c r="X59" i="68" a="1"/>
  <c r="X59" i="68" s="1"/>
  <c r="W59" i="68"/>
  <c r="W59" i="68" a="1"/>
  <c r="Y58" i="68" a="1"/>
  <c r="Y58" i="68" s="1"/>
  <c r="X58" i="68" a="1"/>
  <c r="X58" i="68" s="1"/>
  <c r="W58" i="68" a="1"/>
  <c r="W58" i="68" s="1"/>
  <c r="Y57" i="68" a="1"/>
  <c r="Y57" i="68" s="1"/>
  <c r="X57" i="68" a="1"/>
  <c r="X57" i="68" s="1"/>
  <c r="W57" i="68" a="1"/>
  <c r="W57" i="68" s="1"/>
  <c r="Y56" i="68" a="1"/>
  <c r="Y56" i="68" s="1"/>
  <c r="X56" i="68" a="1"/>
  <c r="X56" i="68" s="1"/>
  <c r="W56" i="68" a="1"/>
  <c r="W56" i="68" s="1"/>
  <c r="Y55" i="68" a="1"/>
  <c r="Y55" i="68" s="1"/>
  <c r="X55" i="68" a="1"/>
  <c r="X55" i="68" s="1"/>
  <c r="W55" i="68" a="1"/>
  <c r="W55" i="68" s="1"/>
  <c r="Y54" i="68" a="1"/>
  <c r="Y54" i="68" s="1"/>
  <c r="X54" i="68" a="1"/>
  <c r="X54" i="68" s="1"/>
  <c r="W54" i="68"/>
  <c r="W54" i="68" a="1"/>
  <c r="Y53" i="68" a="1"/>
  <c r="Y53" i="68" s="1"/>
  <c r="X53" i="68" a="1"/>
  <c r="X53" i="68" s="1"/>
  <c r="W53" i="68" a="1"/>
  <c r="W53" i="68" s="1"/>
  <c r="Y52" i="68" a="1"/>
  <c r="Y52" i="68" s="1"/>
  <c r="X52" i="68" a="1"/>
  <c r="X52" i="68" s="1"/>
  <c r="W52" i="68"/>
  <c r="W52" i="68" a="1"/>
  <c r="Y51" i="68" a="1"/>
  <c r="Y51" i="68" s="1"/>
  <c r="X51" i="68" a="1"/>
  <c r="X51" i="68" s="1"/>
  <c r="W51" i="68" a="1"/>
  <c r="W51" i="68" s="1"/>
  <c r="Y50" i="68" a="1"/>
  <c r="Y50" i="68" s="1"/>
  <c r="X50" i="68" a="1"/>
  <c r="X50" i="68" s="1"/>
  <c r="W50" i="68" a="1"/>
  <c r="W50" i="68" s="1"/>
  <c r="Y49" i="68" a="1"/>
  <c r="Y49" i="68" s="1"/>
  <c r="X49" i="68" a="1"/>
  <c r="X49" i="68" s="1"/>
  <c r="W49" i="68" a="1"/>
  <c r="W49" i="68" s="1"/>
  <c r="Y48" i="68" a="1"/>
  <c r="Y48" i="68" s="1"/>
  <c r="X48" i="68" a="1"/>
  <c r="X48" i="68" s="1"/>
  <c r="W48" i="68" a="1"/>
  <c r="W48" i="68" s="1"/>
  <c r="Y47" i="68" a="1"/>
  <c r="Y47" i="68" s="1"/>
  <c r="X47" i="68" a="1"/>
  <c r="X47" i="68" s="1"/>
  <c r="W47" i="68" a="1"/>
  <c r="W47" i="68" s="1"/>
  <c r="Y46" i="68" a="1"/>
  <c r="Y46" i="68" s="1"/>
  <c r="X46" i="68" a="1"/>
  <c r="X46" i="68" s="1"/>
  <c r="W46" i="68" a="1"/>
  <c r="W46" i="68" s="1"/>
  <c r="Y45" i="68" a="1"/>
  <c r="Y45" i="68" s="1"/>
  <c r="X45" i="68"/>
  <c r="X45" i="68" a="1"/>
  <c r="W45" i="68"/>
  <c r="W45" i="68" a="1"/>
  <c r="Y44" i="68" a="1"/>
  <c r="Y44" i="68" s="1"/>
  <c r="X44" i="68" a="1"/>
  <c r="X44" i="68" s="1"/>
  <c r="W44" i="68" a="1"/>
  <c r="W44" i="68" s="1"/>
  <c r="Y43" i="68" a="1"/>
  <c r="Y43" i="68" s="1"/>
  <c r="X43" i="68"/>
  <c r="X43" i="68" a="1"/>
  <c r="W43" i="68" a="1"/>
  <c r="W43" i="68" s="1"/>
  <c r="Y42" i="68" a="1"/>
  <c r="Y42" i="68" s="1"/>
  <c r="X42" i="68" a="1"/>
  <c r="X42" i="68" s="1"/>
  <c r="W42" i="68" a="1"/>
  <c r="W42" i="68" s="1"/>
  <c r="Y41" i="68" a="1"/>
  <c r="Y41" i="68" s="1"/>
  <c r="X41" i="68" a="1"/>
  <c r="X41" i="68" s="1"/>
  <c r="W41" i="68" a="1"/>
  <c r="W41" i="68" s="1"/>
  <c r="Y40" i="68" a="1"/>
  <c r="Y40" i="68" s="1"/>
  <c r="X40" i="68" a="1"/>
  <c r="X40" i="68" s="1"/>
  <c r="W40" i="68" a="1"/>
  <c r="W40" i="68" s="1"/>
  <c r="Y39" i="68" a="1"/>
  <c r="Y39" i="68" s="1"/>
  <c r="X39" i="68" a="1"/>
  <c r="X39" i="68" s="1"/>
  <c r="W39" i="68" a="1"/>
  <c r="W39" i="68" s="1"/>
  <c r="Y38" i="68" a="1"/>
  <c r="Y38" i="68" s="1"/>
  <c r="X38" i="68" a="1"/>
  <c r="X38" i="68" s="1"/>
  <c r="W38" i="68"/>
  <c r="W38" i="68" a="1"/>
  <c r="Y37" i="68" a="1"/>
  <c r="Y37" i="68" s="1"/>
  <c r="X37" i="68" a="1"/>
  <c r="X37" i="68" s="1"/>
  <c r="W37" i="68" a="1"/>
  <c r="W37" i="68" s="1"/>
  <c r="Y36" i="68" a="1"/>
  <c r="Y36" i="68" s="1"/>
  <c r="X36" i="68"/>
  <c r="X36" i="68" a="1"/>
  <c r="W36" i="68" a="1"/>
  <c r="W36" i="68" s="1"/>
  <c r="Y35" i="68"/>
  <c r="Y35" i="68" a="1"/>
  <c r="X35" i="68" a="1"/>
  <c r="X35" i="68" s="1"/>
  <c r="W35" i="68" a="1"/>
  <c r="W35" i="68" s="1"/>
  <c r="Y34" i="68" a="1"/>
  <c r="Y34" i="68" s="1"/>
  <c r="X34" i="68" a="1"/>
  <c r="X34" i="68" s="1"/>
  <c r="W34" i="68" a="1"/>
  <c r="W34" i="68" s="1"/>
  <c r="Y33" i="68" a="1"/>
  <c r="Y33" i="68" s="1"/>
  <c r="X33" i="68" a="1"/>
  <c r="X33" i="68" s="1"/>
  <c r="W33" i="68" a="1"/>
  <c r="W33" i="68" s="1"/>
  <c r="Y32" i="68" a="1"/>
  <c r="Y32" i="68" s="1"/>
  <c r="X32" i="68" a="1"/>
  <c r="X32" i="68" s="1"/>
  <c r="W32" i="68" a="1"/>
  <c r="W32" i="68" s="1"/>
  <c r="Y31" i="68"/>
  <c r="Y31" i="68" a="1"/>
  <c r="X31" i="68"/>
  <c r="X31" i="68" a="1"/>
  <c r="W31" i="68"/>
  <c r="W31" i="68" a="1"/>
  <c r="Y30" i="68" a="1"/>
  <c r="Y30" i="68" s="1"/>
  <c r="X30" i="68" a="1"/>
  <c r="X30" i="68" s="1"/>
  <c r="W30" i="68" a="1"/>
  <c r="W30" i="68" s="1"/>
  <c r="Y29" i="68" a="1"/>
  <c r="Y29" i="68" s="1"/>
  <c r="X29" i="68"/>
  <c r="X29" i="68" a="1"/>
  <c r="W29" i="68" a="1"/>
  <c r="W29" i="68" s="1"/>
  <c r="Y28" i="68" a="1"/>
  <c r="Y28" i="68" s="1"/>
  <c r="X28" i="68" a="1"/>
  <c r="X28" i="68" s="1"/>
  <c r="W28" i="68" a="1"/>
  <c r="W28" i="68" s="1"/>
  <c r="Y27" i="68" a="1"/>
  <c r="Y27" i="68" s="1"/>
  <c r="X27" i="68" a="1"/>
  <c r="X27" i="68" s="1"/>
  <c r="W27" i="68" a="1"/>
  <c r="W27" i="68" s="1"/>
  <c r="Y26" i="68" a="1"/>
  <c r="Y26" i="68" s="1"/>
  <c r="X26" i="68" a="1"/>
  <c r="X26" i="68" s="1"/>
  <c r="W26" i="68" a="1"/>
  <c r="W26" i="68" s="1"/>
  <c r="Y25" i="68" a="1"/>
  <c r="Y25" i="68" s="1"/>
  <c r="X25" i="68" a="1"/>
  <c r="X25" i="68" s="1"/>
  <c r="W25" i="68" a="1"/>
  <c r="W25" i="68" s="1"/>
  <c r="Y24" i="68" a="1"/>
  <c r="Y24" i="68" s="1"/>
  <c r="X24" i="68" a="1"/>
  <c r="X24" i="68" s="1"/>
  <c r="W24" i="68"/>
  <c r="W24" i="68" a="1"/>
  <c r="Y23" i="68" a="1"/>
  <c r="Y23" i="68" s="1"/>
  <c r="X23" i="68" a="1"/>
  <c r="X23" i="68" s="1"/>
  <c r="W23" i="68" a="1"/>
  <c r="W23" i="68" s="1"/>
  <c r="Y22" i="68" a="1"/>
  <c r="Y22" i="68" s="1"/>
  <c r="X22" i="68"/>
  <c r="X22" i="68" a="1"/>
  <c r="W22" i="68" a="1"/>
  <c r="W22" i="68" s="1"/>
  <c r="Y21" i="68" a="1"/>
  <c r="Y21" i="68" s="1"/>
  <c r="X21" i="68" a="1"/>
  <c r="X21" i="68" s="1"/>
  <c r="W21" i="68" a="1"/>
  <c r="W21" i="68" s="1"/>
  <c r="Y20" i="68" a="1"/>
  <c r="Y20" i="68" s="1"/>
  <c r="X20" i="68" a="1"/>
  <c r="X20" i="68" s="1"/>
  <c r="W20" i="68" a="1"/>
  <c r="W20" i="68" s="1"/>
  <c r="Y19" i="68" a="1"/>
  <c r="Y19" i="68" s="1"/>
  <c r="X19" i="68" a="1"/>
  <c r="X19" i="68" s="1"/>
  <c r="W19" i="68" a="1"/>
  <c r="W19" i="68" s="1"/>
  <c r="Y18" i="68" a="1"/>
  <c r="Y18" i="68" s="1"/>
  <c r="X18" i="68" a="1"/>
  <c r="X18" i="68" s="1"/>
  <c r="W18" i="68"/>
  <c r="W18" i="68" a="1"/>
  <c r="Y17" i="68"/>
  <c r="Y17" i="68" a="1"/>
  <c r="X17" i="68" a="1"/>
  <c r="X17" i="68" s="1"/>
  <c r="W17" i="68" a="1"/>
  <c r="W17" i="68" s="1"/>
  <c r="Y16" i="68" a="1"/>
  <c r="Y16" i="68" s="1"/>
  <c r="X16" i="68" a="1"/>
  <c r="X16" i="68" s="1"/>
  <c r="W16" i="68" a="1"/>
  <c r="W16" i="68" s="1"/>
  <c r="Y15" i="68" a="1"/>
  <c r="Y15" i="68" s="1"/>
  <c r="X15" i="68"/>
  <c r="X15" i="68" a="1"/>
  <c r="W15" i="68" a="1"/>
  <c r="W15" i="68" s="1"/>
  <c r="Y14" i="68" a="1"/>
  <c r="Y14" i="68" s="1"/>
  <c r="X14" i="68" a="1"/>
  <c r="X14" i="68" s="1"/>
  <c r="W14" i="68" a="1"/>
  <c r="W14" i="68" s="1"/>
  <c r="Y13" i="68" a="1"/>
  <c r="Y13" i="68" s="1"/>
  <c r="X13" i="68"/>
  <c r="X13" i="68" a="1"/>
  <c r="W13" i="68" a="1"/>
  <c r="W13" i="68" s="1"/>
  <c r="Y12" i="68" a="1"/>
  <c r="Y12" i="68" s="1"/>
  <c r="X12" i="68" a="1"/>
  <c r="X12" i="68" s="1"/>
  <c r="W12" i="68" a="1"/>
  <c r="W12" i="68" s="1"/>
  <c r="Y11" i="68" a="1"/>
  <c r="Y11" i="68" s="1"/>
  <c r="X11" i="68" a="1"/>
  <c r="X11" i="68" s="1"/>
  <c r="W11" i="68" a="1"/>
  <c r="W11" i="68" s="1"/>
  <c r="Y10" i="68" a="1"/>
  <c r="Y10" i="68" s="1"/>
  <c r="X10" i="68" a="1"/>
  <c r="X10" i="68" s="1"/>
  <c r="W10" i="68" a="1"/>
  <c r="W10" i="68" s="1"/>
  <c r="Y9" i="68" a="1"/>
  <c r="Y9" i="68" s="1"/>
  <c r="X9" i="68" a="1"/>
  <c r="X9" i="68" s="1"/>
  <c r="W9" i="68" a="1"/>
  <c r="W9" i="68" s="1"/>
  <c r="Y8" i="68" a="1"/>
  <c r="Y8" i="68" s="1"/>
  <c r="X8" i="68"/>
  <c r="X8" i="68" a="1"/>
  <c r="W8" i="68" a="1"/>
  <c r="W8" i="68" s="1"/>
  <c r="Y7" i="68" a="1"/>
  <c r="Y7" i="68" s="1"/>
  <c r="X7" i="68" a="1"/>
  <c r="X7" i="68" s="1"/>
  <c r="W7" i="68" a="1"/>
  <c r="W7" i="68" s="1"/>
  <c r="Y6" i="68" a="1"/>
  <c r="Y6" i="68" s="1"/>
  <c r="X6" i="68"/>
  <c r="X6" i="68" a="1"/>
  <c r="W6" i="68" a="1"/>
  <c r="W6" i="68" s="1"/>
  <c r="Y5" i="68" a="1"/>
  <c r="Y5" i="68" s="1"/>
  <c r="X5" i="68" a="1"/>
  <c r="X5" i="68" s="1"/>
  <c r="W5" i="68" a="1"/>
  <c r="W5" i="68" s="1"/>
  <c r="Y4" i="68" a="1"/>
  <c r="Y4" i="68" s="1"/>
  <c r="X4" i="68" a="1"/>
  <c r="X4" i="68" s="1"/>
  <c r="W4" i="68" a="1"/>
  <c r="W4" i="68"/>
  <c r="B85" i="48"/>
  <c r="P32" i="30"/>
  <c r="P31" i="30"/>
  <c r="P30" i="30"/>
  <c r="P28" i="30"/>
  <c r="AA203" i="74" a="1"/>
  <c r="AA203" i="74" s="1"/>
  <c r="Z203" i="74" a="1"/>
  <c r="Z203" i="74" s="1"/>
  <c r="Y203" i="74" a="1"/>
  <c r="Y203" i="74" s="1"/>
  <c r="X203" i="74" a="1"/>
  <c r="X203" i="74" s="1"/>
  <c r="W203" i="74"/>
  <c r="W203" i="74" a="1"/>
  <c r="AA202" i="74" a="1"/>
  <c r="AA202" i="74" s="1"/>
  <c r="Z202" i="74" a="1"/>
  <c r="Z202" i="74" s="1"/>
  <c r="Y202" i="74" a="1"/>
  <c r="Y202" i="74" s="1"/>
  <c r="X202" i="74" a="1"/>
  <c r="X202" i="74" s="1"/>
  <c r="W202" i="74" a="1"/>
  <c r="W202" i="74" s="1"/>
  <c r="AA201" i="74" a="1"/>
  <c r="AA201" i="74" s="1"/>
  <c r="Z201" i="74" a="1"/>
  <c r="Z201" i="74" s="1"/>
  <c r="Y201" i="74"/>
  <c r="Y201" i="74" a="1"/>
  <c r="X201" i="74" a="1"/>
  <c r="X201" i="74" s="1"/>
  <c r="W201" i="74"/>
  <c r="W201" i="74" a="1"/>
  <c r="AA200" i="74"/>
  <c r="AA200" i="74" a="1"/>
  <c r="Z200" i="74" a="1"/>
  <c r="Z200" i="74" s="1"/>
  <c r="Y200" i="74"/>
  <c r="Y200" i="74" a="1"/>
  <c r="X200" i="74" a="1"/>
  <c r="X200" i="74" s="1"/>
  <c r="W200" i="74" a="1"/>
  <c r="W200" i="74" s="1"/>
  <c r="AA199" i="74" a="1"/>
  <c r="AA199" i="74" s="1"/>
  <c r="Z199" i="74"/>
  <c r="Z199" i="74" a="1"/>
  <c r="Y199" i="74" a="1"/>
  <c r="Y199" i="74" s="1"/>
  <c r="X199" i="74" a="1"/>
  <c r="X199" i="74" s="1"/>
  <c r="W199" i="74"/>
  <c r="W199" i="74" a="1"/>
  <c r="AA198" i="74" a="1"/>
  <c r="AA198" i="74" s="1"/>
  <c r="Z198" i="74" a="1"/>
  <c r="Z198" i="74" s="1"/>
  <c r="Y198" i="74" a="1"/>
  <c r="Y198" i="74" s="1"/>
  <c r="X198" i="74" a="1"/>
  <c r="X198" i="74" s="1"/>
  <c r="W198" i="74" a="1"/>
  <c r="W198" i="74" s="1"/>
  <c r="AA197" i="74" a="1"/>
  <c r="AA197" i="74" s="1"/>
  <c r="Z197" i="74" a="1"/>
  <c r="Z197" i="74" s="1"/>
  <c r="Y197" i="74" a="1"/>
  <c r="Y197" i="74" s="1"/>
  <c r="X197" i="74" a="1"/>
  <c r="X197" i="74" s="1"/>
  <c r="W197" i="74"/>
  <c r="W197" i="74" a="1"/>
  <c r="AA196" i="74"/>
  <c r="AA196" i="74" a="1"/>
  <c r="Z196" i="74"/>
  <c r="Z196" i="74" a="1"/>
  <c r="Y196" i="74" a="1"/>
  <c r="Y196" i="74" s="1"/>
  <c r="X196" i="74" a="1"/>
  <c r="X196" i="74" s="1"/>
  <c r="W196" i="74" a="1"/>
  <c r="W196" i="74" s="1"/>
  <c r="AA195" i="74" a="1"/>
  <c r="AA195" i="74" s="1"/>
  <c r="Z195" i="74" a="1"/>
  <c r="Z195" i="74" s="1"/>
  <c r="Y195" i="74"/>
  <c r="Y195" i="74" a="1"/>
  <c r="X195" i="74" a="1"/>
  <c r="X195" i="74" s="1"/>
  <c r="W195" i="74"/>
  <c r="W195" i="74" a="1"/>
  <c r="AA194" i="74" a="1"/>
  <c r="AA194" i="74" s="1"/>
  <c r="Z194" i="74" a="1"/>
  <c r="Z194" i="74" s="1"/>
  <c r="Y194" i="74" a="1"/>
  <c r="Y194" i="74" s="1"/>
  <c r="X194" i="74" a="1"/>
  <c r="X194" i="74" s="1"/>
  <c r="W194" i="74" a="1"/>
  <c r="W194" i="74" s="1"/>
  <c r="AA193" i="74" a="1"/>
  <c r="AA193" i="74" s="1"/>
  <c r="Z193" i="74" a="1"/>
  <c r="Z193" i="74" s="1"/>
  <c r="Y193" i="74"/>
  <c r="Y193" i="74" a="1"/>
  <c r="X193" i="74" a="1"/>
  <c r="X193" i="74" s="1"/>
  <c r="W193" i="74"/>
  <c r="W193" i="74" a="1"/>
  <c r="AA192" i="74" a="1"/>
  <c r="AA192" i="74" s="1"/>
  <c r="Z192" i="74" a="1"/>
  <c r="Z192" i="74" s="1"/>
  <c r="Y192" i="74"/>
  <c r="Y192" i="74" a="1"/>
  <c r="X192" i="74" a="1"/>
  <c r="X192" i="74" s="1"/>
  <c r="W192" i="74" a="1"/>
  <c r="W192" i="74" s="1"/>
  <c r="AA191" i="74" a="1"/>
  <c r="AA191" i="74" s="1"/>
  <c r="Z191" i="74" a="1"/>
  <c r="Z191" i="74" s="1"/>
  <c r="Y191" i="74" a="1"/>
  <c r="Y191" i="74" s="1"/>
  <c r="X191" i="74"/>
  <c r="X191" i="74" a="1"/>
  <c r="W191" i="74"/>
  <c r="W191" i="74" a="1"/>
  <c r="AA190" i="74" a="1"/>
  <c r="AA190" i="74" s="1"/>
  <c r="Z190" i="74" a="1"/>
  <c r="Z190" i="74" s="1"/>
  <c r="Y190" i="74" a="1"/>
  <c r="Y190" i="74" s="1"/>
  <c r="X190" i="74" a="1"/>
  <c r="X190" i="74" s="1"/>
  <c r="W190" i="74" a="1"/>
  <c r="W190" i="74" s="1"/>
  <c r="AA189" i="74" a="1"/>
  <c r="AA189" i="74" s="1"/>
  <c r="Z189" i="74" a="1"/>
  <c r="Z189" i="74" s="1"/>
  <c r="Y189" i="74" a="1"/>
  <c r="Y189" i="74" s="1"/>
  <c r="X189" i="74" a="1"/>
  <c r="X189" i="74" s="1"/>
  <c r="W189" i="74"/>
  <c r="W189" i="74" a="1"/>
  <c r="AA188" i="74" a="1"/>
  <c r="AA188" i="74" s="1"/>
  <c r="Z188" i="74" a="1"/>
  <c r="Z188" i="74" s="1"/>
  <c r="Y188" i="74" a="1"/>
  <c r="Y188" i="74" s="1"/>
  <c r="X188" i="74"/>
  <c r="X188" i="74" a="1"/>
  <c r="W188" i="74" a="1"/>
  <c r="W188" i="74" s="1"/>
  <c r="AA187" i="74" a="1"/>
  <c r="AA187" i="74" s="1"/>
  <c r="Z187" i="74"/>
  <c r="Z187" i="74" a="1"/>
  <c r="Y187" i="74" a="1"/>
  <c r="Y187" i="74" s="1"/>
  <c r="X187" i="74" a="1"/>
  <c r="X187" i="74" s="1"/>
  <c r="W187" i="74"/>
  <c r="W187" i="74" a="1"/>
  <c r="AA186" i="74" a="1"/>
  <c r="AA186" i="74" s="1"/>
  <c r="Z186" i="74"/>
  <c r="Z186" i="74" a="1"/>
  <c r="Y186" i="74" a="1"/>
  <c r="Y186" i="74" s="1"/>
  <c r="X186" i="74" a="1"/>
  <c r="X186" i="74" s="1"/>
  <c r="W186" i="74" a="1"/>
  <c r="W186" i="74" s="1"/>
  <c r="AA185" i="74" a="1"/>
  <c r="AA185" i="74" s="1"/>
  <c r="Z185" i="74" a="1"/>
  <c r="Z185" i="74" s="1"/>
  <c r="Y185" i="74" a="1"/>
  <c r="Y185" i="74" s="1"/>
  <c r="X185" i="74" a="1"/>
  <c r="X185" i="74" s="1"/>
  <c r="W185" i="74"/>
  <c r="W185" i="74" a="1"/>
  <c r="AA184" i="74" a="1"/>
  <c r="AA184" i="74" s="1"/>
  <c r="Z184" i="74" a="1"/>
  <c r="Z184" i="74" s="1"/>
  <c r="Y184" i="74" a="1"/>
  <c r="Y184" i="74" s="1"/>
  <c r="X184" i="74" a="1"/>
  <c r="X184" i="74" s="1"/>
  <c r="W184" i="74"/>
  <c r="W184" i="74" a="1"/>
  <c r="AA183" i="74" a="1"/>
  <c r="AA183" i="74" s="1"/>
  <c r="Z183" i="74"/>
  <c r="Z183" i="74" a="1"/>
  <c r="Y183" i="74" a="1"/>
  <c r="Y183" i="74" s="1"/>
  <c r="X183" i="74" a="1"/>
  <c r="X183" i="74" s="1"/>
  <c r="W183" i="74"/>
  <c r="W183" i="74" a="1"/>
  <c r="AA182" i="74"/>
  <c r="AA182" i="74" a="1"/>
  <c r="Z182" i="74" a="1"/>
  <c r="Z182" i="74" s="1"/>
  <c r="Y182" i="74" a="1"/>
  <c r="Y182" i="74" s="1"/>
  <c r="X182" i="74" a="1"/>
  <c r="X182" i="74" s="1"/>
  <c r="W182" i="74" a="1"/>
  <c r="W182" i="74" s="1"/>
  <c r="AA181" i="74" a="1"/>
  <c r="AA181" i="74" s="1"/>
  <c r="Z181" i="74" a="1"/>
  <c r="Z181" i="74" s="1"/>
  <c r="Y181" i="74" a="1"/>
  <c r="Y181" i="74" s="1"/>
  <c r="X181" i="74" a="1"/>
  <c r="X181" i="74" s="1"/>
  <c r="W181" i="74"/>
  <c r="W181" i="74" a="1"/>
  <c r="AA180" i="74"/>
  <c r="AA180" i="74" a="1"/>
  <c r="Z180" i="74" a="1"/>
  <c r="Z180" i="74" s="1"/>
  <c r="Y180" i="74" a="1"/>
  <c r="Y180" i="74" s="1"/>
  <c r="X180" i="74" a="1"/>
  <c r="X180" i="74" s="1"/>
  <c r="W180" i="74" a="1"/>
  <c r="W180" i="74" s="1"/>
  <c r="AA179" i="74" a="1"/>
  <c r="AA179" i="74" s="1"/>
  <c r="Z179" i="74" a="1"/>
  <c r="Z179" i="74" s="1"/>
  <c r="Y179" i="74" a="1"/>
  <c r="Y179" i="74" s="1"/>
  <c r="X179" i="74" a="1"/>
  <c r="X179" i="74" s="1"/>
  <c r="W179" i="74"/>
  <c r="W179" i="74" a="1"/>
  <c r="AA178" i="74" a="1"/>
  <c r="AA178" i="74" s="1"/>
  <c r="Z178" i="74"/>
  <c r="Z178" i="74" a="1"/>
  <c r="Y178" i="74" a="1"/>
  <c r="Y178" i="74" s="1"/>
  <c r="X178" i="74" a="1"/>
  <c r="X178" i="74" s="1"/>
  <c r="W178" i="74" a="1"/>
  <c r="W178" i="74" s="1"/>
  <c r="AA177" i="74" a="1"/>
  <c r="AA177" i="74" s="1"/>
  <c r="Z177" i="74"/>
  <c r="Z177" i="74" a="1"/>
  <c r="Y177" i="74" a="1"/>
  <c r="Y177" i="74" s="1"/>
  <c r="X177" i="74" a="1"/>
  <c r="X177" i="74" s="1"/>
  <c r="W177" i="74"/>
  <c r="W177" i="74" a="1"/>
  <c r="AA176" i="74" a="1"/>
  <c r="AA176" i="74" s="1"/>
  <c r="Z176" i="74" a="1"/>
  <c r="Z176" i="74" s="1"/>
  <c r="Y176" i="74" a="1"/>
  <c r="Y176" i="74" s="1"/>
  <c r="X176" i="74" a="1"/>
  <c r="X176" i="74" s="1"/>
  <c r="W176" i="74" a="1"/>
  <c r="W176" i="74" s="1"/>
  <c r="AA175" i="74" a="1"/>
  <c r="AA175" i="74" s="1"/>
  <c r="Z175" i="74" a="1"/>
  <c r="Z175" i="74" s="1"/>
  <c r="Y175" i="74" a="1"/>
  <c r="Y175" i="74" s="1"/>
  <c r="X175" i="74"/>
  <c r="X175" i="74" a="1"/>
  <c r="W175" i="74"/>
  <c r="W175" i="74" a="1"/>
  <c r="AA174" i="74" a="1"/>
  <c r="AA174" i="74" s="1"/>
  <c r="Z174" i="74" a="1"/>
  <c r="Z174" i="74" s="1"/>
  <c r="Y174" i="74"/>
  <c r="Y174" i="74" a="1"/>
  <c r="X174" i="74" a="1"/>
  <c r="X174" i="74" s="1"/>
  <c r="W174" i="74"/>
  <c r="W174" i="74" a="1"/>
  <c r="AA173" i="74" a="1"/>
  <c r="AA173" i="74" s="1"/>
  <c r="Z173" i="74" a="1"/>
  <c r="Z173" i="74" s="1"/>
  <c r="Y173" i="74"/>
  <c r="Y173" i="74" a="1"/>
  <c r="X173" i="74" a="1"/>
  <c r="X173" i="74" s="1"/>
  <c r="W173" i="74"/>
  <c r="W173" i="74" a="1"/>
  <c r="AA172" i="74" a="1"/>
  <c r="AA172" i="74" s="1"/>
  <c r="Z172" i="74" a="1"/>
  <c r="Z172" i="74" s="1"/>
  <c r="Y172" i="74" a="1"/>
  <c r="Y172" i="74" s="1"/>
  <c r="X172" i="74" a="1"/>
  <c r="X172" i="74" s="1"/>
  <c r="W172" i="74" a="1"/>
  <c r="W172" i="74" s="1"/>
  <c r="AA171" i="74" a="1"/>
  <c r="AA171" i="74" s="1"/>
  <c r="Z171" i="74" a="1"/>
  <c r="Z171" i="74" s="1"/>
  <c r="Y171" i="74"/>
  <c r="Y171" i="74" a="1"/>
  <c r="X171" i="74" a="1"/>
  <c r="X171" i="74" s="1"/>
  <c r="W171" i="74"/>
  <c r="W171" i="74" a="1"/>
  <c r="AA170" i="74" a="1"/>
  <c r="AA170" i="74" s="1"/>
  <c r="Z170" i="74" a="1"/>
  <c r="Z170" i="74" s="1"/>
  <c r="Y170" i="74"/>
  <c r="Y170" i="74" a="1"/>
  <c r="X170" i="74"/>
  <c r="X170" i="74" a="1"/>
  <c r="W170" i="74" a="1"/>
  <c r="W170" i="74" s="1"/>
  <c r="AA169" i="74" a="1"/>
  <c r="AA169" i="74" s="1"/>
  <c r="Z169" i="74" a="1"/>
  <c r="Z169" i="74" s="1"/>
  <c r="Y169" i="74" a="1"/>
  <c r="Y169" i="74" s="1"/>
  <c r="X169" i="74"/>
  <c r="X169" i="74" a="1"/>
  <c r="W169" i="74"/>
  <c r="W169" i="74" a="1"/>
  <c r="AA168" i="74" a="1"/>
  <c r="AA168" i="74" s="1"/>
  <c r="Z168" i="74" a="1"/>
  <c r="Z168" i="74" s="1"/>
  <c r="Y168" i="74" a="1"/>
  <c r="Y168" i="74" s="1"/>
  <c r="X168" i="74"/>
  <c r="X168" i="74" a="1"/>
  <c r="W168" i="74" a="1"/>
  <c r="W168" i="74" s="1"/>
  <c r="AA167" i="74" a="1"/>
  <c r="AA167" i="74" s="1"/>
  <c r="Z167" i="74" a="1"/>
  <c r="Z167" i="74" s="1"/>
  <c r="Y167" i="74" a="1"/>
  <c r="Y167" i="74" s="1"/>
  <c r="X167" i="74" a="1"/>
  <c r="X167" i="74" s="1"/>
  <c r="W167" i="74"/>
  <c r="W167" i="74" a="1"/>
  <c r="AA166" i="74" a="1"/>
  <c r="AA166" i="74" s="1"/>
  <c r="Z166" i="74" a="1"/>
  <c r="Z166" i="74" s="1"/>
  <c r="Y166" i="74" a="1"/>
  <c r="Y166" i="74" s="1"/>
  <c r="X166" i="74" a="1"/>
  <c r="X166" i="74" s="1"/>
  <c r="W166" i="74"/>
  <c r="W166" i="74" a="1"/>
  <c r="AA165" i="74" a="1"/>
  <c r="AA165" i="74" s="1"/>
  <c r="Z165" i="74" a="1"/>
  <c r="Z165" i="74" s="1"/>
  <c r="Y165" i="74" a="1"/>
  <c r="Y165" i="74" s="1"/>
  <c r="X165" i="74" a="1"/>
  <c r="X165" i="74" s="1"/>
  <c r="W165" i="74"/>
  <c r="W165" i="74" a="1"/>
  <c r="AA164" i="74" a="1"/>
  <c r="AA164" i="74" s="1"/>
  <c r="Z164" i="74" a="1"/>
  <c r="Z164" i="74" s="1"/>
  <c r="Y164" i="74" a="1"/>
  <c r="Y164" i="74" s="1"/>
  <c r="X164" i="74" a="1"/>
  <c r="X164" i="74" s="1"/>
  <c r="W164" i="74" a="1"/>
  <c r="W164" i="74" s="1"/>
  <c r="AA163" i="74" a="1"/>
  <c r="AA163" i="74" s="1"/>
  <c r="Z163" i="74" a="1"/>
  <c r="Z163" i="74" s="1"/>
  <c r="Y163" i="74" a="1"/>
  <c r="Y163" i="74" s="1"/>
  <c r="X163" i="74" a="1"/>
  <c r="X163" i="74" s="1"/>
  <c r="W163" i="74"/>
  <c r="W163" i="74" a="1"/>
  <c r="AA162" i="74" a="1"/>
  <c r="AA162" i="74" s="1"/>
  <c r="Z162" i="74" a="1"/>
  <c r="Z162" i="74" s="1"/>
  <c r="Y162" i="74"/>
  <c r="Y162" i="74" a="1"/>
  <c r="X162" i="74" a="1"/>
  <c r="X162" i="74" s="1"/>
  <c r="W162" i="74" a="1"/>
  <c r="W162" i="74" s="1"/>
  <c r="AA161" i="74" a="1"/>
  <c r="AA161" i="74" s="1"/>
  <c r="Z161" i="74" a="1"/>
  <c r="Z161" i="74" s="1"/>
  <c r="Y161" i="74"/>
  <c r="Y161" i="74" a="1"/>
  <c r="X161" i="74" a="1"/>
  <c r="X161" i="74" s="1"/>
  <c r="W161" i="74"/>
  <c r="W161" i="74" a="1"/>
  <c r="AA160" i="74"/>
  <c r="AA160" i="74" a="1"/>
  <c r="Z160" i="74" a="1"/>
  <c r="Z160" i="74" s="1"/>
  <c r="Y160" i="74" a="1"/>
  <c r="Y160" i="74" s="1"/>
  <c r="X160" i="74" a="1"/>
  <c r="X160" i="74" s="1"/>
  <c r="W160" i="74" a="1"/>
  <c r="W160" i="74" s="1"/>
  <c r="AA159" i="74" a="1"/>
  <c r="AA159" i="74" s="1"/>
  <c r="Z159" i="74"/>
  <c r="Z159" i="74" a="1"/>
  <c r="Y159" i="74" a="1"/>
  <c r="Y159" i="74" s="1"/>
  <c r="X159" i="74" a="1"/>
  <c r="X159" i="74" s="1"/>
  <c r="W159" i="74"/>
  <c r="W159" i="74" a="1"/>
  <c r="AA158" i="74" a="1"/>
  <c r="AA158" i="74" s="1"/>
  <c r="Z158" i="74" a="1"/>
  <c r="Z158" i="74" s="1"/>
  <c r="Y158" i="74" a="1"/>
  <c r="Y158" i="74" s="1"/>
  <c r="X158" i="74" a="1"/>
  <c r="X158" i="74" s="1"/>
  <c r="W158" i="74" a="1"/>
  <c r="W158" i="74" s="1"/>
  <c r="AA157" i="74" a="1"/>
  <c r="AA157" i="74" s="1"/>
  <c r="Z157" i="74" a="1"/>
  <c r="Z157" i="74" s="1"/>
  <c r="Y157" i="74" a="1"/>
  <c r="Y157" i="74" s="1"/>
  <c r="X157" i="74" a="1"/>
  <c r="X157" i="74" s="1"/>
  <c r="W157" i="74"/>
  <c r="W157" i="74" a="1"/>
  <c r="AA156" i="74" a="1"/>
  <c r="AA156" i="74" s="1"/>
  <c r="Z156" i="74"/>
  <c r="Z156" i="74" a="1"/>
  <c r="Y156" i="74" a="1"/>
  <c r="Y156" i="74" s="1"/>
  <c r="X156" i="74" a="1"/>
  <c r="X156" i="74" s="1"/>
  <c r="W156" i="74"/>
  <c r="W156" i="74" a="1"/>
  <c r="AA155" i="74" a="1"/>
  <c r="AA155" i="74" s="1"/>
  <c r="Z155" i="74" a="1"/>
  <c r="Z155" i="74" s="1"/>
  <c r="Y155" i="74"/>
  <c r="Y155" i="74" a="1"/>
  <c r="X155" i="74" a="1"/>
  <c r="X155" i="74" s="1"/>
  <c r="W155" i="74"/>
  <c r="W155" i="74" a="1"/>
  <c r="AA154" i="74" a="1"/>
  <c r="AA154" i="74" s="1"/>
  <c r="Z154" i="74" a="1"/>
  <c r="Z154" i="74" s="1"/>
  <c r="Y154" i="74" a="1"/>
  <c r="Y154" i="74" s="1"/>
  <c r="X154" i="74" a="1"/>
  <c r="X154" i="74" s="1"/>
  <c r="W154" i="74" a="1"/>
  <c r="W154" i="74" s="1"/>
  <c r="AA153" i="74" a="1"/>
  <c r="AA153" i="74" s="1"/>
  <c r="Z153" i="74" a="1"/>
  <c r="Z153" i="74" s="1"/>
  <c r="Y153" i="74" a="1"/>
  <c r="Y153" i="74" s="1"/>
  <c r="X153" i="74" a="1"/>
  <c r="X153" i="74" s="1"/>
  <c r="W153" i="74"/>
  <c r="W153" i="74" a="1"/>
  <c r="AA152" i="74" a="1"/>
  <c r="AA152" i="74" s="1"/>
  <c r="Z152" i="74" a="1"/>
  <c r="Z152" i="74" s="1"/>
  <c r="Y152" i="74"/>
  <c r="Y152" i="74" a="1"/>
  <c r="X152" i="74" a="1"/>
  <c r="X152" i="74" s="1"/>
  <c r="W152" i="74"/>
  <c r="W152" i="74" a="1"/>
  <c r="AA151" i="74" a="1"/>
  <c r="AA151" i="74" s="1"/>
  <c r="Z151" i="74" a="1"/>
  <c r="Z151" i="74" s="1"/>
  <c r="Y151" i="74" a="1"/>
  <c r="Y151" i="74" s="1"/>
  <c r="X151" i="74"/>
  <c r="X151" i="74" a="1"/>
  <c r="W151" i="74"/>
  <c r="W151" i="74" a="1"/>
  <c r="AA150" i="74"/>
  <c r="AA150" i="74" a="1"/>
  <c r="Z150" i="74" a="1"/>
  <c r="Z150" i="74" s="1"/>
  <c r="Y150" i="74" a="1"/>
  <c r="Y150" i="74" s="1"/>
  <c r="X150" i="74" a="1"/>
  <c r="X150" i="74" s="1"/>
  <c r="W150" i="74" a="1"/>
  <c r="W150" i="74" s="1"/>
  <c r="AA149" i="74" a="1"/>
  <c r="AA149" i="74" s="1"/>
  <c r="Z149" i="74" a="1"/>
  <c r="Z149" i="74" s="1"/>
  <c r="Y149" i="74" a="1"/>
  <c r="Y149" i="74" s="1"/>
  <c r="X149" i="74" a="1"/>
  <c r="X149" i="74" s="1"/>
  <c r="W149" i="74"/>
  <c r="W149" i="74" a="1"/>
  <c r="AA148" i="74" a="1"/>
  <c r="AA148" i="74" s="1"/>
  <c r="Z148" i="74"/>
  <c r="Z148" i="74" a="1"/>
  <c r="Y148" i="74" a="1"/>
  <c r="Y148" i="74" s="1"/>
  <c r="X148" i="74"/>
  <c r="X148" i="74" a="1"/>
  <c r="W148" i="74" a="1"/>
  <c r="W148" i="74" s="1"/>
  <c r="AA147" i="74" a="1"/>
  <c r="AA147" i="74" s="1"/>
  <c r="Z147" i="74"/>
  <c r="Z147" i="74" a="1"/>
  <c r="Y147" i="74" a="1"/>
  <c r="Y147" i="74" s="1"/>
  <c r="X147" i="74" a="1"/>
  <c r="X147" i="74" s="1"/>
  <c r="W147" i="74"/>
  <c r="W147" i="74" a="1"/>
  <c r="AA146" i="74" a="1"/>
  <c r="AA146" i="74" s="1"/>
  <c r="Z146" i="74" a="1"/>
  <c r="Z146" i="74" s="1"/>
  <c r="Y146" i="74"/>
  <c r="Y146" i="74" a="1"/>
  <c r="X146" i="74" a="1"/>
  <c r="X146" i="74" s="1"/>
  <c r="W146" i="74" a="1"/>
  <c r="W146" i="74" s="1"/>
  <c r="AA145" i="74" a="1"/>
  <c r="AA145" i="74" s="1"/>
  <c r="Z145" i="74" a="1"/>
  <c r="Z145" i="74" s="1"/>
  <c r="Y145" i="74" a="1"/>
  <c r="Y145" i="74" s="1"/>
  <c r="X145" i="74"/>
  <c r="X145" i="74" a="1"/>
  <c r="W145" i="74" a="1"/>
  <c r="W145" i="74" s="1"/>
  <c r="AA144" i="74" a="1"/>
  <c r="AA144" i="74" s="1"/>
  <c r="Z144" i="74" a="1"/>
  <c r="Z144" i="74" s="1"/>
  <c r="Y144" i="74" a="1"/>
  <c r="Y144" i="74" s="1"/>
  <c r="X144" i="74" a="1"/>
  <c r="X144" i="74" s="1"/>
  <c r="W144" i="74"/>
  <c r="W144" i="74" a="1"/>
  <c r="AA143" i="74" a="1"/>
  <c r="AA143" i="74" s="1"/>
  <c r="Z143" i="74" a="1"/>
  <c r="Z143" i="74" s="1"/>
  <c r="Y143" i="74" a="1"/>
  <c r="Y143" i="74" s="1"/>
  <c r="X143" i="74" a="1"/>
  <c r="X143" i="74" s="1"/>
  <c r="W143" i="74"/>
  <c r="W143" i="74" a="1"/>
  <c r="AA142" i="74"/>
  <c r="AA142" i="74" a="1"/>
  <c r="Z142" i="74" a="1"/>
  <c r="Z142" i="74" s="1"/>
  <c r="Y142" i="74" a="1"/>
  <c r="Y142" i="74" s="1"/>
  <c r="X142" i="74" a="1"/>
  <c r="X142" i="74" s="1"/>
  <c r="W142" i="74" a="1"/>
  <c r="W142" i="74" s="1"/>
  <c r="AA141" i="74" a="1"/>
  <c r="AA141" i="74" s="1"/>
  <c r="Z141" i="74" a="1"/>
  <c r="Z141" i="74" s="1"/>
  <c r="Y141" i="74" a="1"/>
  <c r="Y141" i="74" s="1"/>
  <c r="X141" i="74" a="1"/>
  <c r="X141" i="74" s="1"/>
  <c r="W141" i="74" a="1"/>
  <c r="W141" i="74" s="1"/>
  <c r="AA140" i="74"/>
  <c r="AA140" i="74" a="1"/>
  <c r="Z140" i="74" a="1"/>
  <c r="Z140" i="74" s="1"/>
  <c r="Y140" i="74" a="1"/>
  <c r="Y140" i="74" s="1"/>
  <c r="X140" i="74" a="1"/>
  <c r="X140" i="74" s="1"/>
  <c r="W140" i="74" a="1"/>
  <c r="W140" i="74" s="1"/>
  <c r="AA139" i="74" a="1"/>
  <c r="AA139" i="74" s="1"/>
  <c r="Z139" i="74" a="1"/>
  <c r="Z139" i="74" s="1"/>
  <c r="Y139" i="74" a="1"/>
  <c r="Y139" i="74" s="1"/>
  <c r="X139" i="74" a="1"/>
  <c r="X139" i="74" s="1"/>
  <c r="W139" i="74" a="1"/>
  <c r="W139" i="74" s="1"/>
  <c r="AA138" i="74" a="1"/>
  <c r="AA138" i="74" s="1"/>
  <c r="Z138" i="74"/>
  <c r="Z138" i="74" a="1"/>
  <c r="Y138" i="74" a="1"/>
  <c r="Y138" i="74" s="1"/>
  <c r="X138" i="74" a="1"/>
  <c r="X138" i="74" s="1"/>
  <c r="W138" i="74" a="1"/>
  <c r="W138" i="74" s="1"/>
  <c r="AA137" i="74" a="1"/>
  <c r="AA137" i="74" s="1"/>
  <c r="Z137" i="74"/>
  <c r="Z137" i="74" a="1"/>
  <c r="Y137" i="74" a="1"/>
  <c r="Y137" i="74" s="1"/>
  <c r="X137" i="74" a="1"/>
  <c r="X137" i="74" s="1"/>
  <c r="W137" i="74"/>
  <c r="W137" i="74" a="1"/>
  <c r="AA136" i="74" a="1"/>
  <c r="AA136" i="74" s="1"/>
  <c r="Z136" i="74" a="1"/>
  <c r="Z136" i="74" s="1"/>
  <c r="Y136" i="74" a="1"/>
  <c r="Y136" i="74" s="1"/>
  <c r="X136" i="74" a="1"/>
  <c r="X136" i="74" s="1"/>
  <c r="W136" i="74"/>
  <c r="W136" i="74" a="1"/>
  <c r="AA135" i="74" a="1"/>
  <c r="AA135" i="74" s="1"/>
  <c r="Z135" i="74" a="1"/>
  <c r="Z135" i="74" s="1"/>
  <c r="Y135" i="74" a="1"/>
  <c r="Y135" i="74" s="1"/>
  <c r="X135" i="74" a="1"/>
  <c r="X135" i="74" s="1"/>
  <c r="W135" i="74" a="1"/>
  <c r="W135" i="74" s="1"/>
  <c r="AA134" i="74" a="1"/>
  <c r="AA134" i="74" s="1"/>
  <c r="Z134" i="74" a="1"/>
  <c r="Z134" i="74" s="1"/>
  <c r="Y134" i="74"/>
  <c r="Y134" i="74" a="1"/>
  <c r="X134" i="74" a="1"/>
  <c r="X134" i="74" s="1"/>
  <c r="W134" i="74" a="1"/>
  <c r="W134" i="74" s="1"/>
  <c r="AA133" i="74" a="1"/>
  <c r="AA133" i="74" s="1"/>
  <c r="Z133" i="74"/>
  <c r="Z133" i="74" a="1"/>
  <c r="Y133" i="74"/>
  <c r="Y133" i="74" a="1"/>
  <c r="X133" i="74" a="1"/>
  <c r="X133" i="74" s="1"/>
  <c r="W133" i="74" a="1"/>
  <c r="W133" i="74" s="1"/>
  <c r="AA132" i="74" a="1"/>
  <c r="AA132" i="74" s="1"/>
  <c r="Z132" i="74" a="1"/>
  <c r="Z132" i="74" s="1"/>
  <c r="Y132" i="74"/>
  <c r="Y132" i="74" a="1"/>
  <c r="X132" i="74" a="1"/>
  <c r="X132" i="74" s="1"/>
  <c r="W132" i="74" a="1"/>
  <c r="W132" i="74" s="1"/>
  <c r="AA131" i="74" a="1"/>
  <c r="AA131" i="74" s="1"/>
  <c r="Z131" i="74" a="1"/>
  <c r="Z131" i="74" s="1"/>
  <c r="Y131" i="74" a="1"/>
  <c r="Y131" i="74" s="1"/>
  <c r="X131" i="74" a="1"/>
  <c r="X131" i="74" s="1"/>
  <c r="W131" i="74" a="1"/>
  <c r="W131" i="74" s="1"/>
  <c r="AA130" i="74" a="1"/>
  <c r="AA130" i="74" s="1"/>
  <c r="Z130" i="74" a="1"/>
  <c r="Z130" i="74" s="1"/>
  <c r="Y130" i="74" a="1"/>
  <c r="Y130" i="74" s="1"/>
  <c r="X130" i="74"/>
  <c r="X130" i="74" a="1"/>
  <c r="W130" i="74" a="1"/>
  <c r="W130" i="74" s="1"/>
  <c r="AA129" i="74" a="1"/>
  <c r="AA129" i="74" s="1"/>
  <c r="Z129" i="74" a="1"/>
  <c r="Z129" i="74" s="1"/>
  <c r="Y129" i="74" a="1"/>
  <c r="Y129" i="74" s="1"/>
  <c r="X129" i="74"/>
  <c r="X129" i="74" a="1"/>
  <c r="W129" i="74" a="1"/>
  <c r="W129" i="74" s="1"/>
  <c r="AA128" i="74" a="1"/>
  <c r="AA128" i="74" s="1"/>
  <c r="Z128" i="74" a="1"/>
  <c r="Z128" i="74" s="1"/>
  <c r="Y128" i="74" a="1"/>
  <c r="Y128" i="74" s="1"/>
  <c r="X128" i="74" a="1"/>
  <c r="X128" i="74" s="1"/>
  <c r="W128" i="74" a="1"/>
  <c r="W128" i="74" s="1"/>
  <c r="AA127" i="74" a="1"/>
  <c r="AA127" i="74" s="1"/>
  <c r="Z127" i="74"/>
  <c r="Z127" i="74" a="1"/>
  <c r="Y127" i="74" a="1"/>
  <c r="Y127" i="74" s="1"/>
  <c r="X127" i="74" a="1"/>
  <c r="X127" i="74" s="1"/>
  <c r="W127" i="74" a="1"/>
  <c r="W127" i="74" s="1"/>
  <c r="AA126" i="74" a="1"/>
  <c r="AA126" i="74" s="1"/>
  <c r="Z126" i="74"/>
  <c r="Z126" i="74" a="1"/>
  <c r="Y126" i="74" a="1"/>
  <c r="Y126" i="74" s="1"/>
  <c r="X126" i="74" a="1"/>
  <c r="X126" i="74" s="1"/>
  <c r="W126" i="74"/>
  <c r="W126" i="74" a="1"/>
  <c r="AA125" i="74" a="1"/>
  <c r="AA125" i="74" s="1"/>
  <c r="Z125" i="74" a="1"/>
  <c r="Z125" i="74" s="1"/>
  <c r="Y125" i="74"/>
  <c r="Y125" i="74" a="1"/>
  <c r="X125" i="74" a="1"/>
  <c r="X125" i="74" s="1"/>
  <c r="W125" i="74"/>
  <c r="W125" i="74" a="1"/>
  <c r="AA124" i="74" a="1"/>
  <c r="AA124" i="74" s="1"/>
  <c r="Z124" i="74" a="1"/>
  <c r="Z124" i="74" s="1"/>
  <c r="Y124" i="74"/>
  <c r="Y124" i="74" a="1"/>
  <c r="X124" i="74" a="1"/>
  <c r="X124" i="74" s="1"/>
  <c r="W124" i="74" a="1"/>
  <c r="W124" i="74" s="1"/>
  <c r="AA123" i="74" a="1"/>
  <c r="AA123" i="74" s="1"/>
  <c r="Z123" i="74" a="1"/>
  <c r="Z123" i="74" s="1"/>
  <c r="Y123" i="74" a="1"/>
  <c r="Y123" i="74" s="1"/>
  <c r="X123" i="74" a="1"/>
  <c r="X123" i="74" s="1"/>
  <c r="W123" i="74" a="1"/>
  <c r="W123" i="74" s="1"/>
  <c r="AA122" i="74" a="1"/>
  <c r="AA122" i="74" s="1"/>
  <c r="Z122" i="74" a="1"/>
  <c r="Z122" i="74" s="1"/>
  <c r="Y122" i="74" a="1"/>
  <c r="Y122" i="74" s="1"/>
  <c r="X122" i="74"/>
  <c r="X122" i="74" a="1"/>
  <c r="W122" i="74" a="1"/>
  <c r="W122" i="74" s="1"/>
  <c r="AA121" i="74" a="1"/>
  <c r="AA121" i="74" s="1"/>
  <c r="Z121" i="74" a="1"/>
  <c r="Z121" i="74" s="1"/>
  <c r="Y121" i="74" a="1"/>
  <c r="Y121" i="74" s="1"/>
  <c r="X121" i="74" a="1"/>
  <c r="X121" i="74" s="1"/>
  <c r="W121" i="74" a="1"/>
  <c r="W121" i="74" s="1"/>
  <c r="AA120" i="74"/>
  <c r="AA120" i="74" a="1"/>
  <c r="Z120" i="74" a="1"/>
  <c r="Z120" i="74" s="1"/>
  <c r="Y120" i="74" a="1"/>
  <c r="Y120" i="74" s="1"/>
  <c r="X120" i="74" a="1"/>
  <c r="X120" i="74" s="1"/>
  <c r="W120" i="74" a="1"/>
  <c r="W120" i="74" s="1"/>
  <c r="AA119" i="74" a="1"/>
  <c r="AA119" i="74" s="1"/>
  <c r="Z119" i="74"/>
  <c r="Z119" i="74" a="1"/>
  <c r="Y119" i="74" a="1"/>
  <c r="Y119" i="74" s="1"/>
  <c r="X119" i="74" a="1"/>
  <c r="X119" i="74" s="1"/>
  <c r="W119" i="74" a="1"/>
  <c r="W119" i="74" s="1"/>
  <c r="AA118" i="74" a="1"/>
  <c r="AA118" i="74" s="1"/>
  <c r="Z118" i="74" a="1"/>
  <c r="Z118" i="74" s="1"/>
  <c r="Y118" i="74"/>
  <c r="Y118" i="74" a="1"/>
  <c r="X118" i="74" a="1"/>
  <c r="X118" i="74" s="1"/>
  <c r="W118" i="74" a="1"/>
  <c r="W118" i="74" s="1"/>
  <c r="AA117" i="74" a="1"/>
  <c r="AA117" i="74" s="1"/>
  <c r="Z117" i="74" a="1"/>
  <c r="Z117" i="74" s="1"/>
  <c r="Y117" i="74" a="1"/>
  <c r="Y117" i="74" s="1"/>
  <c r="X117" i="74" a="1"/>
  <c r="X117" i="74" s="1"/>
  <c r="W117" i="74" a="1"/>
  <c r="W117" i="74" s="1"/>
  <c r="AA116" i="74" a="1"/>
  <c r="AA116" i="74" s="1"/>
  <c r="Z116" i="74"/>
  <c r="Z116" i="74" a="1"/>
  <c r="Y116" i="74" a="1"/>
  <c r="Y116" i="74" s="1"/>
  <c r="X116" i="74" a="1"/>
  <c r="X116" i="74" s="1"/>
  <c r="W116" i="74" a="1"/>
  <c r="W116" i="74" s="1"/>
  <c r="AA115" i="74" a="1"/>
  <c r="AA115" i="74" s="1"/>
  <c r="Z115" i="74" a="1"/>
  <c r="Z115" i="74" s="1"/>
  <c r="Y115" i="74"/>
  <c r="Y115" i="74" a="1"/>
  <c r="X115" i="74" a="1"/>
  <c r="X115" i="74" s="1"/>
  <c r="W115" i="74"/>
  <c r="W115" i="74" a="1"/>
  <c r="AA114" i="74" a="1"/>
  <c r="AA114" i="74" s="1"/>
  <c r="Z114" i="74" a="1"/>
  <c r="Z114" i="74" s="1"/>
  <c r="Y114" i="74" a="1"/>
  <c r="Y114" i="74" s="1"/>
  <c r="X114" i="74" a="1"/>
  <c r="X114" i="74" s="1"/>
  <c r="W114" i="74" a="1"/>
  <c r="W114" i="74" s="1"/>
  <c r="AA113" i="74" a="1"/>
  <c r="AA113" i="74" s="1"/>
  <c r="Z113" i="74" a="1"/>
  <c r="Z113" i="74" s="1"/>
  <c r="Y113" i="74" a="1"/>
  <c r="Y113" i="74" s="1"/>
  <c r="X113" i="74" a="1"/>
  <c r="X113" i="74" s="1"/>
  <c r="W113" i="74" a="1"/>
  <c r="W113" i="74" s="1"/>
  <c r="AA112" i="74" a="1"/>
  <c r="AA112" i="74" s="1"/>
  <c r="Z112" i="74" a="1"/>
  <c r="Z112" i="74" s="1"/>
  <c r="Y112" i="74"/>
  <c r="Y112" i="74" a="1"/>
  <c r="X112" i="74" a="1"/>
  <c r="X112" i="74" s="1"/>
  <c r="W112" i="74" a="1"/>
  <c r="W112" i="74" s="1"/>
  <c r="AA111" i="74" a="1"/>
  <c r="AA111" i="74" s="1"/>
  <c r="Z111" i="74" a="1"/>
  <c r="Z111" i="74" s="1"/>
  <c r="Y111" i="74"/>
  <c r="Y111" i="74" a="1"/>
  <c r="X111" i="74"/>
  <c r="X111" i="74" a="1"/>
  <c r="W111" i="74" a="1"/>
  <c r="W111" i="74" s="1"/>
  <c r="AA110" i="74" a="1"/>
  <c r="AA110" i="74" s="1"/>
  <c r="Z110" i="74" a="1"/>
  <c r="Z110" i="74" s="1"/>
  <c r="Y110" i="74"/>
  <c r="Y110" i="74" a="1"/>
  <c r="X110" i="74" a="1"/>
  <c r="X110" i="74" s="1"/>
  <c r="W110" i="74" a="1"/>
  <c r="W110" i="74" s="1"/>
  <c r="AA109" i="74" a="1"/>
  <c r="AA109" i="74" s="1"/>
  <c r="Z109" i="74" a="1"/>
  <c r="Z109" i="74" s="1"/>
  <c r="Y109" i="74" a="1"/>
  <c r="Y109" i="74" s="1"/>
  <c r="X109" i="74" a="1"/>
  <c r="X109" i="74" s="1"/>
  <c r="W109" i="74" a="1"/>
  <c r="W109" i="74" s="1"/>
  <c r="AA108" i="74" a="1"/>
  <c r="AA108" i="74" s="1"/>
  <c r="Z108" i="74" a="1"/>
  <c r="Z108" i="74" s="1"/>
  <c r="Y108" i="74" a="1"/>
  <c r="Y108" i="74" s="1"/>
  <c r="X108" i="74"/>
  <c r="X108" i="74" a="1"/>
  <c r="W108" i="74" a="1"/>
  <c r="W108" i="74" s="1"/>
  <c r="AA107" i="74" a="1"/>
  <c r="AA107" i="74" s="1"/>
  <c r="Z107" i="74" a="1"/>
  <c r="Z107" i="74" s="1"/>
  <c r="Y107" i="74" a="1"/>
  <c r="Y107" i="74" s="1"/>
  <c r="X107" i="74" a="1"/>
  <c r="X107" i="74" s="1"/>
  <c r="W107" i="74"/>
  <c r="W107" i="74" a="1"/>
  <c r="AA106" i="74" a="1"/>
  <c r="AA106" i="74" s="1"/>
  <c r="Z106" i="74" a="1"/>
  <c r="Z106" i="74" s="1"/>
  <c r="Y106" i="74" a="1"/>
  <c r="Y106" i="74" s="1"/>
  <c r="X106" i="74" a="1"/>
  <c r="X106" i="74" s="1"/>
  <c r="W106" i="74" a="1"/>
  <c r="W106" i="74" s="1"/>
  <c r="AA105" i="74" a="1"/>
  <c r="AA105" i="74" s="1"/>
  <c r="Z105" i="74"/>
  <c r="Z105" i="74" a="1"/>
  <c r="Y105" i="74" a="1"/>
  <c r="Y105" i="74" s="1"/>
  <c r="X105" i="74" a="1"/>
  <c r="X105" i="74" s="1"/>
  <c r="W105" i="74" a="1"/>
  <c r="W105" i="74" s="1"/>
  <c r="AA104" i="74" a="1"/>
  <c r="AA104" i="74" s="1"/>
  <c r="Z104" i="74" a="1"/>
  <c r="Z104" i="74" s="1"/>
  <c r="Y104" i="74"/>
  <c r="Y104" i="74" a="1"/>
  <c r="X104" i="74" a="1"/>
  <c r="X104" i="74" s="1"/>
  <c r="W104" i="74"/>
  <c r="W104" i="74" a="1"/>
  <c r="AA103" i="74" a="1"/>
  <c r="AA103" i="74" s="1"/>
  <c r="Z103" i="74" a="1"/>
  <c r="Z103" i="74" s="1"/>
  <c r="Y103" i="74"/>
  <c r="Y103" i="74" a="1"/>
  <c r="X103" i="74" a="1"/>
  <c r="X103" i="74" s="1"/>
  <c r="W103" i="74" a="1"/>
  <c r="W103" i="74" s="1"/>
  <c r="AA102" i="74"/>
  <c r="AA102" i="74" a="1"/>
  <c r="Z102" i="74" a="1"/>
  <c r="Z102" i="74" s="1"/>
  <c r="Y102" i="74" a="1"/>
  <c r="Y102" i="74" s="1"/>
  <c r="X102" i="74"/>
  <c r="X102" i="74" a="1"/>
  <c r="W102" i="74" a="1"/>
  <c r="W102" i="74" s="1"/>
  <c r="AA101" i="74" a="1"/>
  <c r="AA101" i="74" s="1"/>
  <c r="Z101" i="74" a="1"/>
  <c r="Z101" i="74" s="1"/>
  <c r="Y101" i="74" a="1"/>
  <c r="Y101" i="74" s="1"/>
  <c r="X101" i="74" a="1"/>
  <c r="X101" i="74" s="1"/>
  <c r="W101" i="74" a="1"/>
  <c r="W101" i="74" s="1"/>
  <c r="AA100" i="74" a="1"/>
  <c r="AA100" i="74" s="1"/>
  <c r="Z100" i="74" a="1"/>
  <c r="Z100" i="74" s="1"/>
  <c r="Y100" i="74" a="1"/>
  <c r="Y100" i="74" s="1"/>
  <c r="X100" i="74" a="1"/>
  <c r="X100" i="74" s="1"/>
  <c r="W100" i="74" a="1"/>
  <c r="W100" i="74" s="1"/>
  <c r="AA99" i="74" a="1"/>
  <c r="AA99" i="74" s="1"/>
  <c r="Z99" i="74" a="1"/>
  <c r="Z99" i="74" s="1"/>
  <c r="Y99" i="74" a="1"/>
  <c r="Y99" i="74" s="1"/>
  <c r="X99" i="74" a="1"/>
  <c r="X99" i="74" s="1"/>
  <c r="W99" i="74" a="1"/>
  <c r="W99" i="74" s="1"/>
  <c r="AA98" i="74"/>
  <c r="AA98" i="74" a="1"/>
  <c r="Z98" i="74"/>
  <c r="Z98" i="74" a="1"/>
  <c r="Y98" i="74" a="1"/>
  <c r="Y98" i="74" s="1"/>
  <c r="X98" i="74" a="1"/>
  <c r="X98" i="74" s="1"/>
  <c r="W98" i="74" a="1"/>
  <c r="W98" i="74" s="1"/>
  <c r="AA97" i="74" a="1"/>
  <c r="AA97" i="74" s="1"/>
  <c r="Z97" i="74"/>
  <c r="Z97" i="74" a="1"/>
  <c r="Y97" i="74" a="1"/>
  <c r="Y97" i="74" s="1"/>
  <c r="X97" i="74" a="1"/>
  <c r="X97" i="74" s="1"/>
  <c r="W97" i="74" a="1"/>
  <c r="W97" i="74" s="1"/>
  <c r="AA96" i="74" a="1"/>
  <c r="AA96" i="74" s="1"/>
  <c r="Z96" i="74" a="1"/>
  <c r="Z96" i="74" s="1"/>
  <c r="Y96" i="74" a="1"/>
  <c r="Y96" i="74" s="1"/>
  <c r="X96" i="74" a="1"/>
  <c r="X96" i="74" s="1"/>
  <c r="W96" i="74" a="1"/>
  <c r="W96" i="74" s="1"/>
  <c r="AA95" i="74" a="1"/>
  <c r="AA95" i="74" s="1"/>
  <c r="Z95" i="74" a="1"/>
  <c r="Z95" i="74" s="1"/>
  <c r="Y95" i="74" a="1"/>
  <c r="Y95" i="74" s="1"/>
  <c r="X95" i="74" a="1"/>
  <c r="X95" i="74" s="1"/>
  <c r="W95" i="74" a="1"/>
  <c r="W95" i="74" s="1"/>
  <c r="AA94" i="74" a="1"/>
  <c r="AA94" i="74" s="1"/>
  <c r="Z94" i="74" a="1"/>
  <c r="Z94" i="74" s="1"/>
  <c r="Y94" i="74"/>
  <c r="Y94" i="74" a="1"/>
  <c r="X94" i="74" a="1"/>
  <c r="X94" i="74" s="1"/>
  <c r="W94" i="74" a="1"/>
  <c r="W94" i="74" s="1"/>
  <c r="AA93" i="74" a="1"/>
  <c r="AA93" i="74" s="1"/>
  <c r="Z93" i="74" a="1"/>
  <c r="Z93" i="74" s="1"/>
  <c r="Y93" i="74"/>
  <c r="Y93" i="74" a="1"/>
  <c r="X93" i="74" a="1"/>
  <c r="X93" i="74" s="1"/>
  <c r="W93" i="74" a="1"/>
  <c r="W93" i="74" s="1"/>
  <c r="AA92" i="74"/>
  <c r="AA92" i="74" a="1"/>
  <c r="Z92" i="74" a="1"/>
  <c r="Z92" i="74" s="1"/>
  <c r="Y92" i="74" a="1"/>
  <c r="Y92" i="74" s="1"/>
  <c r="X92" i="74" a="1"/>
  <c r="X92" i="74" s="1"/>
  <c r="W92" i="74" a="1"/>
  <c r="W92" i="74" s="1"/>
  <c r="AA91" i="74" a="1"/>
  <c r="AA91" i="74" s="1"/>
  <c r="Z91" i="74" a="1"/>
  <c r="Z91" i="74" s="1"/>
  <c r="Y91" i="74" a="1"/>
  <c r="Y91" i="74" s="1"/>
  <c r="X91" i="74" a="1"/>
  <c r="X91" i="74" s="1"/>
  <c r="W91" i="74" a="1"/>
  <c r="W91" i="74" s="1"/>
  <c r="AA90" i="74" a="1"/>
  <c r="AA90" i="74" s="1"/>
  <c r="Z90" i="74" a="1"/>
  <c r="Z90" i="74" s="1"/>
  <c r="Y90" i="74" a="1"/>
  <c r="Y90" i="74" s="1"/>
  <c r="X90" i="74"/>
  <c r="X90" i="74" a="1"/>
  <c r="W90" i="74" a="1"/>
  <c r="W90" i="74" s="1"/>
  <c r="AA89" i="74" a="1"/>
  <c r="AA89" i="74" s="1"/>
  <c r="Z89" i="74" a="1"/>
  <c r="Z89" i="74" s="1"/>
  <c r="Y89" i="74" a="1"/>
  <c r="Y89" i="74" s="1"/>
  <c r="X89" i="74"/>
  <c r="X89" i="74" a="1"/>
  <c r="W89" i="74" a="1"/>
  <c r="W89" i="74" s="1"/>
  <c r="AA88" i="74" a="1"/>
  <c r="AA88" i="74" s="1"/>
  <c r="Z88" i="74" a="1"/>
  <c r="Z88" i="74" s="1"/>
  <c r="Y88" i="74" a="1"/>
  <c r="Y88" i="74" s="1"/>
  <c r="X88" i="74" a="1"/>
  <c r="X88" i="74" s="1"/>
  <c r="W88" i="74" a="1"/>
  <c r="W88" i="74" s="1"/>
  <c r="AA87" i="74" a="1"/>
  <c r="AA87" i="74" s="1"/>
  <c r="Z87" i="74" a="1"/>
  <c r="Z87" i="74" s="1"/>
  <c r="Y87" i="74" a="1"/>
  <c r="Y87" i="74" s="1"/>
  <c r="X87" i="74"/>
  <c r="X87" i="74" a="1"/>
  <c r="W87" i="74" a="1"/>
  <c r="W87" i="74" s="1"/>
  <c r="AA86" i="74" a="1"/>
  <c r="AA86" i="74" s="1"/>
  <c r="Z86" i="74" a="1"/>
  <c r="Z86" i="74" s="1"/>
  <c r="Y86" i="74" a="1"/>
  <c r="Y86" i="74" s="1"/>
  <c r="X86" i="74" a="1"/>
  <c r="X86" i="74" s="1"/>
  <c r="W86" i="74"/>
  <c r="W86" i="74" a="1"/>
  <c r="AA85" i="74" a="1"/>
  <c r="AA85" i="74" s="1"/>
  <c r="Z85" i="74" a="1"/>
  <c r="Z85" i="74" s="1"/>
  <c r="Y85" i="74" a="1"/>
  <c r="Y85" i="74" s="1"/>
  <c r="X85" i="74"/>
  <c r="X85" i="74" a="1"/>
  <c r="W85" i="74"/>
  <c r="W85" i="74" a="1"/>
  <c r="AA84" i="74" a="1"/>
  <c r="AA84" i="74" s="1"/>
  <c r="Z84" i="74" a="1"/>
  <c r="Z84" i="74" s="1"/>
  <c r="Y84" i="74" a="1"/>
  <c r="Y84" i="74" s="1"/>
  <c r="X84" i="74" a="1"/>
  <c r="X84" i="74" s="1"/>
  <c r="W84" i="74"/>
  <c r="W84" i="74" a="1"/>
  <c r="AA83" i="74" a="1"/>
  <c r="AA83" i="74" s="1"/>
  <c r="Z83" i="74" a="1"/>
  <c r="Z83" i="74" s="1"/>
  <c r="Y83" i="74" a="1"/>
  <c r="Y83" i="74" s="1"/>
  <c r="X83" i="74" a="1"/>
  <c r="X83" i="74" s="1"/>
  <c r="W83" i="74" a="1"/>
  <c r="W83" i="74" s="1"/>
  <c r="AA82" i="74" a="1"/>
  <c r="AA82" i="74" s="1"/>
  <c r="Z82" i="74" a="1"/>
  <c r="Z82" i="74" s="1"/>
  <c r="Y82" i="74" a="1"/>
  <c r="Y82" i="74" s="1"/>
  <c r="X82" i="74" a="1"/>
  <c r="X82" i="74" s="1"/>
  <c r="W82" i="74" a="1"/>
  <c r="W82" i="74" s="1"/>
  <c r="AA81" i="74" a="1"/>
  <c r="AA81" i="74" s="1"/>
  <c r="Z81" i="74" a="1"/>
  <c r="Z81" i="74" s="1"/>
  <c r="Y81" i="74"/>
  <c r="Y81" i="74" a="1"/>
  <c r="X81" i="74" a="1"/>
  <c r="X81" i="74" s="1"/>
  <c r="W81" i="74" a="1"/>
  <c r="W81" i="74" s="1"/>
  <c r="AA80" i="74"/>
  <c r="AA80" i="74" a="1"/>
  <c r="Z80" i="74" a="1"/>
  <c r="Z80" i="74" s="1"/>
  <c r="Y80" i="74"/>
  <c r="Y80" i="74" a="1"/>
  <c r="X80" i="74" a="1"/>
  <c r="X80" i="74" s="1"/>
  <c r="W80" i="74" a="1"/>
  <c r="W80" i="74" s="1"/>
  <c r="AA79" i="74" a="1"/>
  <c r="AA79" i="74" s="1"/>
  <c r="Z79" i="74"/>
  <c r="Z79" i="74" a="1"/>
  <c r="Y79" i="74" a="1"/>
  <c r="Y79" i="74" s="1"/>
  <c r="X79" i="74"/>
  <c r="X79" i="74" a="1"/>
  <c r="W79" i="74" a="1"/>
  <c r="W79" i="74" s="1"/>
  <c r="AA78" i="74" a="1"/>
  <c r="AA78" i="74" s="1"/>
  <c r="Z78" i="74" a="1"/>
  <c r="Z78" i="74" s="1"/>
  <c r="Y78" i="74" a="1"/>
  <c r="Y78" i="74" s="1"/>
  <c r="X78" i="74"/>
  <c r="X78" i="74" a="1"/>
  <c r="W78" i="74" a="1"/>
  <c r="W78" i="74" s="1"/>
  <c r="AA77" i="74" a="1"/>
  <c r="AA77" i="74" s="1"/>
  <c r="Z77" i="74" a="1"/>
  <c r="Z77" i="74" s="1"/>
  <c r="Y77" i="74" a="1"/>
  <c r="Y77" i="74" s="1"/>
  <c r="X77" i="74" a="1"/>
  <c r="X77" i="74" s="1"/>
  <c r="W77" i="74" a="1"/>
  <c r="W77" i="74" s="1"/>
  <c r="AA76" i="74" a="1"/>
  <c r="AA76" i="74" s="1"/>
  <c r="Z76" i="74"/>
  <c r="Z76" i="74" a="1"/>
  <c r="Y76" i="74" a="1"/>
  <c r="Y76" i="74" s="1"/>
  <c r="X76" i="74" a="1"/>
  <c r="X76" i="74" s="1"/>
  <c r="W76" i="74" a="1"/>
  <c r="W76" i="74" s="1"/>
  <c r="AA75" i="74" a="1"/>
  <c r="AA75" i="74" s="1"/>
  <c r="Z75" i="74" a="1"/>
  <c r="Z75" i="74" s="1"/>
  <c r="Y75" i="74"/>
  <c r="Y75" i="74" a="1"/>
  <c r="X75" i="74" a="1"/>
  <c r="X75" i="74" s="1"/>
  <c r="W75" i="74" a="1"/>
  <c r="W75" i="74" s="1"/>
  <c r="AA74" i="74" a="1"/>
  <c r="AA74" i="74" s="1"/>
  <c r="Z74" i="74" a="1"/>
  <c r="Z74" i="74" s="1"/>
  <c r="Y74" i="74" a="1"/>
  <c r="Y74" i="74" s="1"/>
  <c r="X74" i="74" a="1"/>
  <c r="X74" i="74" s="1"/>
  <c r="W74" i="74" a="1"/>
  <c r="W74" i="74" s="1"/>
  <c r="AA73" i="74" a="1"/>
  <c r="AA73" i="74" s="1"/>
  <c r="Z73" i="74"/>
  <c r="Z73" i="74" a="1"/>
  <c r="Y73" i="74" a="1"/>
  <c r="Y73" i="74" s="1"/>
  <c r="X73" i="74" a="1"/>
  <c r="X73" i="74" s="1"/>
  <c r="W73" i="74" a="1"/>
  <c r="W73" i="74" s="1"/>
  <c r="AA72" i="74" a="1"/>
  <c r="AA72" i="74" s="1"/>
  <c r="Z72" i="74"/>
  <c r="Z72" i="74" a="1"/>
  <c r="Y72" i="74"/>
  <c r="Y72" i="74" a="1"/>
  <c r="X72" i="74" a="1"/>
  <c r="X72" i="74" s="1"/>
  <c r="W72" i="74" a="1"/>
  <c r="W72" i="74" s="1"/>
  <c r="AA71" i="74" a="1"/>
  <c r="AA71" i="74" s="1"/>
  <c r="Z71" i="74" a="1"/>
  <c r="Z71" i="74" s="1"/>
  <c r="Y71" i="74" a="1"/>
  <c r="Y71" i="74" s="1"/>
  <c r="X71" i="74"/>
  <c r="X71" i="74" a="1"/>
  <c r="W71" i="74" a="1"/>
  <c r="W71" i="74" s="1"/>
  <c r="AA70" i="74" a="1"/>
  <c r="AA70" i="74" s="1"/>
  <c r="Z70" i="74" a="1"/>
  <c r="Z70" i="74" s="1"/>
  <c r="Y70" i="74" a="1"/>
  <c r="Y70" i="74" s="1"/>
  <c r="X70" i="74" a="1"/>
  <c r="X70" i="74" s="1"/>
  <c r="W70" i="74" a="1"/>
  <c r="W70" i="74" s="1"/>
  <c r="AA69" i="74" a="1"/>
  <c r="AA69" i="74" s="1"/>
  <c r="Z69" i="74" a="1"/>
  <c r="Z69" i="74" s="1"/>
  <c r="Y69" i="74" a="1"/>
  <c r="Y69" i="74" s="1"/>
  <c r="X69" i="74" a="1"/>
  <c r="X69" i="74" s="1"/>
  <c r="W69" i="74" a="1"/>
  <c r="W69" i="74" s="1"/>
  <c r="AA68" i="74" a="1"/>
  <c r="AA68" i="74" s="1"/>
  <c r="Z68" i="74" a="1"/>
  <c r="Z68" i="74" s="1"/>
  <c r="Y68" i="74" a="1"/>
  <c r="Y68" i="74" s="1"/>
  <c r="X68" i="74"/>
  <c r="X68" i="74" a="1"/>
  <c r="W68" i="74" a="1"/>
  <c r="W68" i="74" s="1"/>
  <c r="AA67" i="74" a="1"/>
  <c r="AA67" i="74" s="1"/>
  <c r="Z67" i="74" a="1"/>
  <c r="Z67" i="74" s="1"/>
  <c r="Y67" i="74" a="1"/>
  <c r="Y67" i="74" s="1"/>
  <c r="X67" i="74" a="1"/>
  <c r="X67" i="74" s="1"/>
  <c r="W67" i="74"/>
  <c r="W67" i="74" a="1"/>
  <c r="AA66" i="74"/>
  <c r="AA66" i="74" a="1"/>
  <c r="Z66" i="74" a="1"/>
  <c r="Z66" i="74" s="1"/>
  <c r="Y66" i="74" a="1"/>
  <c r="Y66" i="74" s="1"/>
  <c r="X66" i="74" a="1"/>
  <c r="X66" i="74" s="1"/>
  <c r="W66" i="74" a="1"/>
  <c r="W66" i="74" s="1"/>
  <c r="AA65" i="74" a="1"/>
  <c r="AA65" i="74" s="1"/>
  <c r="Z65" i="74" a="1"/>
  <c r="Z65" i="74" s="1"/>
  <c r="Y65" i="74" a="1"/>
  <c r="Y65" i="74" s="1"/>
  <c r="X65" i="74" a="1"/>
  <c r="X65" i="74" s="1"/>
  <c r="W65" i="74" a="1"/>
  <c r="W65" i="74" s="1"/>
  <c r="AA64" i="74" a="1"/>
  <c r="AA64" i="74" s="1"/>
  <c r="Z64" i="74" a="1"/>
  <c r="Z64" i="74" s="1"/>
  <c r="Y64" i="74" a="1"/>
  <c r="Y64" i="74" s="1"/>
  <c r="X64" i="74" a="1"/>
  <c r="X64" i="74" s="1"/>
  <c r="W64" i="74"/>
  <c r="W64" i="74" a="1"/>
  <c r="AA63" i="74" a="1"/>
  <c r="AA63" i="74" s="1"/>
  <c r="Z63" i="74" a="1"/>
  <c r="Z63" i="74" s="1"/>
  <c r="Y63" i="74" a="1"/>
  <c r="Y63" i="74" s="1"/>
  <c r="X63" i="74" a="1"/>
  <c r="X63" i="74" s="1"/>
  <c r="W63" i="74" a="1"/>
  <c r="W63" i="74" s="1"/>
  <c r="AA62" i="74"/>
  <c r="AA62" i="74" a="1"/>
  <c r="Z62" i="74" a="1"/>
  <c r="Z62" i="74" s="1"/>
  <c r="Y62" i="74"/>
  <c r="Y62" i="74" a="1"/>
  <c r="X62" i="74" a="1"/>
  <c r="X62" i="74" s="1"/>
  <c r="W62" i="74" a="1"/>
  <c r="W62" i="74" s="1"/>
  <c r="AA61" i="74" a="1"/>
  <c r="AA61" i="74" s="1"/>
  <c r="Z61" i="74" a="1"/>
  <c r="Z61" i="74" s="1"/>
  <c r="Y61" i="74" a="1"/>
  <c r="Y61" i="74" s="1"/>
  <c r="X61" i="74"/>
  <c r="X61" i="74" a="1"/>
  <c r="W61" i="74" a="1"/>
  <c r="W61" i="74" s="1"/>
  <c r="AA60" i="74" a="1"/>
  <c r="AA60" i="74" s="1"/>
  <c r="Z60" i="74" a="1"/>
  <c r="Z60" i="74" s="1"/>
  <c r="Y60" i="74" a="1"/>
  <c r="Y60" i="74" s="1"/>
  <c r="X60" i="74" a="1"/>
  <c r="X60" i="74" s="1"/>
  <c r="W60" i="74" a="1"/>
  <c r="W60" i="74" s="1"/>
  <c r="AA59" i="74" a="1"/>
  <c r="AA59" i="74" s="1"/>
  <c r="Z59" i="74" a="1"/>
  <c r="Z59" i="74" s="1"/>
  <c r="Y59" i="74" a="1"/>
  <c r="Y59" i="74" s="1"/>
  <c r="X59" i="74" a="1"/>
  <c r="X59" i="74" s="1"/>
  <c r="W59" i="74" a="1"/>
  <c r="W59" i="74" s="1"/>
  <c r="AA58" i="74"/>
  <c r="AA58" i="74" a="1"/>
  <c r="Z58" i="74"/>
  <c r="Z58" i="74" a="1"/>
  <c r="Y58" i="74" a="1"/>
  <c r="Y58" i="74" s="1"/>
  <c r="X58" i="74" a="1"/>
  <c r="X58" i="74" s="1"/>
  <c r="W58" i="74" a="1"/>
  <c r="W58" i="74" s="1"/>
  <c r="AA57" i="74" a="1"/>
  <c r="AA57" i="74" s="1"/>
  <c r="Z57" i="74"/>
  <c r="Z57" i="74" a="1"/>
  <c r="Y57" i="74" a="1"/>
  <c r="Y57" i="74" s="1"/>
  <c r="X57" i="74"/>
  <c r="X57" i="74" a="1"/>
  <c r="W57" i="74" a="1"/>
  <c r="W57" i="74" s="1"/>
  <c r="AA56" i="74" a="1"/>
  <c r="AA56" i="74" s="1"/>
  <c r="Z56" i="74"/>
  <c r="Z56" i="74" a="1"/>
  <c r="Y56" i="74" a="1"/>
  <c r="Y56" i="74" s="1"/>
  <c r="X56" i="74" a="1"/>
  <c r="X56" i="74" s="1"/>
  <c r="W56" i="74" a="1"/>
  <c r="W56" i="74" s="1"/>
  <c r="AA55" i="74" a="1"/>
  <c r="AA55" i="74" s="1"/>
  <c r="Z55" i="74" a="1"/>
  <c r="Z55" i="74" s="1"/>
  <c r="Y55" i="74" a="1"/>
  <c r="Y55" i="74" s="1"/>
  <c r="X55" i="74" a="1"/>
  <c r="X55" i="74" s="1"/>
  <c r="W55" i="74" a="1"/>
  <c r="W55" i="74" s="1"/>
  <c r="AA54" i="74" a="1"/>
  <c r="AA54" i="74" s="1"/>
  <c r="Z54" i="74" a="1"/>
  <c r="Z54" i="74" s="1"/>
  <c r="Y54" i="74"/>
  <c r="Y54" i="74" a="1"/>
  <c r="X54" i="74" a="1"/>
  <c r="X54" i="74" s="1"/>
  <c r="W54" i="74" a="1"/>
  <c r="W54" i="74" s="1"/>
  <c r="AA53" i="74" a="1"/>
  <c r="AA53" i="74" s="1"/>
  <c r="Z53" i="74" a="1"/>
  <c r="Z53" i="74" s="1"/>
  <c r="Y53" i="74"/>
  <c r="Y53" i="74" a="1"/>
  <c r="X53" i="74" a="1"/>
  <c r="X53" i="74" s="1"/>
  <c r="W53" i="74" a="1"/>
  <c r="W53" i="74" s="1"/>
  <c r="AA52" i="74" a="1"/>
  <c r="AA52" i="74" s="1"/>
  <c r="Z52" i="74" a="1"/>
  <c r="Z52" i="74" s="1"/>
  <c r="Y52" i="74" a="1"/>
  <c r="Y52" i="74" s="1"/>
  <c r="X52" i="74" a="1"/>
  <c r="X52" i="74" s="1"/>
  <c r="W52" i="74" a="1"/>
  <c r="W52" i="74" s="1"/>
  <c r="AA51" i="74" a="1"/>
  <c r="AA51" i="74" s="1"/>
  <c r="Z51" i="74" a="1"/>
  <c r="Z51" i="74" s="1"/>
  <c r="Y51" i="74" a="1"/>
  <c r="Y51" i="74" s="1"/>
  <c r="X51" i="74" a="1"/>
  <c r="X51" i="74" s="1"/>
  <c r="W51" i="74"/>
  <c r="W51" i="74" a="1"/>
  <c r="AA50" i="74" a="1"/>
  <c r="AA50" i="74" s="1"/>
  <c r="Z50" i="74" a="1"/>
  <c r="Z50" i="74" s="1"/>
  <c r="Y50" i="74"/>
  <c r="Y50" i="74" a="1"/>
  <c r="X50" i="74"/>
  <c r="X50" i="74" a="1"/>
  <c r="W50" i="74" a="1"/>
  <c r="W50" i="74" s="1"/>
  <c r="AA49" i="74" a="1"/>
  <c r="AA49" i="74" s="1"/>
  <c r="Z49" i="74" a="1"/>
  <c r="Z49" i="74" s="1"/>
  <c r="Y49" i="74" a="1"/>
  <c r="Y49" i="74" s="1"/>
  <c r="X49" i="74"/>
  <c r="X49" i="74" a="1"/>
  <c r="W49" i="74"/>
  <c r="W49" i="74" a="1"/>
  <c r="AA48" i="74" a="1"/>
  <c r="AA48" i="74" s="1"/>
  <c r="Z48" i="74" a="1"/>
  <c r="Z48" i="74" s="1"/>
  <c r="Y48" i="74" a="1"/>
  <c r="Y48" i="74" s="1"/>
  <c r="X48" i="74" a="1"/>
  <c r="X48" i="74" s="1"/>
  <c r="W48" i="74" a="1"/>
  <c r="W48" i="74" s="1"/>
  <c r="AA47" i="74" a="1"/>
  <c r="AA47" i="74" s="1"/>
  <c r="Z47" i="74"/>
  <c r="Z47" i="74" a="1"/>
  <c r="Y47" i="74" a="1"/>
  <c r="Y47" i="74" s="1"/>
  <c r="X47" i="74" a="1"/>
  <c r="X47" i="74" s="1"/>
  <c r="W47" i="74" a="1"/>
  <c r="W47" i="74" s="1"/>
  <c r="AA46" i="74" a="1"/>
  <c r="AA46" i="74" s="1"/>
  <c r="Z46" i="74"/>
  <c r="Z46" i="74" a="1"/>
  <c r="Y46" i="74" a="1"/>
  <c r="Y46" i="74" s="1"/>
  <c r="X46" i="74" a="1"/>
  <c r="X46" i="74" s="1"/>
  <c r="W46" i="74"/>
  <c r="W46" i="74" a="1"/>
  <c r="AA45" i="74" a="1"/>
  <c r="AA45" i="74" s="1"/>
  <c r="Z45" i="74" a="1"/>
  <c r="Z45" i="74" s="1"/>
  <c r="Y45" i="74"/>
  <c r="Y45" i="74" a="1"/>
  <c r="X45" i="74" a="1"/>
  <c r="X45" i="74" s="1"/>
  <c r="W45" i="74"/>
  <c r="W45" i="74" a="1"/>
  <c r="AA44" i="74" a="1"/>
  <c r="AA44" i="74" s="1"/>
  <c r="Z44" i="74" a="1"/>
  <c r="Z44" i="74" s="1"/>
  <c r="Y44" i="74" a="1"/>
  <c r="Y44" i="74" s="1"/>
  <c r="X44" i="74" a="1"/>
  <c r="X44" i="74" s="1"/>
  <c r="W44" i="74" a="1"/>
  <c r="W44" i="74" s="1"/>
  <c r="AA43" i="74" a="1"/>
  <c r="AA43" i="74" s="1"/>
  <c r="Z43" i="74"/>
  <c r="Z43" i="74" a="1"/>
  <c r="Y43" i="74" a="1"/>
  <c r="Y43" i="74" s="1"/>
  <c r="X43" i="74" a="1"/>
  <c r="X43" i="74" s="1"/>
  <c r="W43" i="74" a="1"/>
  <c r="W43" i="74" s="1"/>
  <c r="AA42" i="74" a="1"/>
  <c r="AA42" i="74" s="1"/>
  <c r="Z42" i="74" a="1"/>
  <c r="Z42" i="74" s="1"/>
  <c r="Y42" i="74"/>
  <c r="Y42" i="74" a="1"/>
  <c r="X42" i="74" a="1"/>
  <c r="X42" i="74" s="1"/>
  <c r="W42" i="74" a="1"/>
  <c r="W42" i="74" s="1"/>
  <c r="AA41" i="74" a="1"/>
  <c r="AA41" i="74" s="1"/>
  <c r="Z41" i="74" a="1"/>
  <c r="Z41" i="74" s="1"/>
  <c r="Y41" i="74" a="1"/>
  <c r="Y41" i="74" s="1"/>
  <c r="X41" i="74" a="1"/>
  <c r="X41" i="74" s="1"/>
  <c r="W41" i="74"/>
  <c r="W41" i="74" a="1"/>
  <c r="AA40" i="74"/>
  <c r="AA40" i="74" a="1"/>
  <c r="Z40" i="74" a="1"/>
  <c r="Z40" i="74" s="1"/>
  <c r="Y40" i="74" a="1"/>
  <c r="Y40" i="74" s="1"/>
  <c r="X40" i="74" a="1"/>
  <c r="X40" i="74" s="1"/>
  <c r="W40" i="74" a="1"/>
  <c r="W40" i="74" s="1"/>
  <c r="AA39" i="74" a="1"/>
  <c r="AA39" i="74" s="1"/>
  <c r="Z39" i="74"/>
  <c r="Z39" i="74" a="1"/>
  <c r="Y39" i="74" a="1"/>
  <c r="Y39" i="74" s="1"/>
  <c r="X39" i="74" a="1"/>
  <c r="X39" i="74" s="1"/>
  <c r="W39" i="74" a="1"/>
  <c r="W39" i="74" s="1"/>
  <c r="AA38" i="74" a="1"/>
  <c r="AA38" i="74" s="1"/>
  <c r="Z38" i="74" a="1"/>
  <c r="Z38" i="74" s="1"/>
  <c r="Y38" i="74" a="1"/>
  <c r="Y38" i="74" s="1"/>
  <c r="X38" i="74" a="1"/>
  <c r="X38" i="74" s="1"/>
  <c r="W38" i="74" a="1"/>
  <c r="W38" i="74" s="1"/>
  <c r="AA37" i="74" a="1"/>
  <c r="AA37" i="74" s="1"/>
  <c r="Z37" i="74" a="1"/>
  <c r="Z37" i="74" s="1"/>
  <c r="Y37" i="74" a="1"/>
  <c r="Y37" i="74" s="1"/>
  <c r="X37" i="74" a="1"/>
  <c r="X37" i="74" s="1"/>
  <c r="W37" i="74" a="1"/>
  <c r="W37" i="74" s="1"/>
  <c r="AA36" i="74" a="1"/>
  <c r="AA36" i="74" s="1"/>
  <c r="Z36" i="74"/>
  <c r="Z36" i="74" a="1"/>
  <c r="Y36" i="74" a="1"/>
  <c r="Y36" i="74" s="1"/>
  <c r="X36" i="74" a="1"/>
  <c r="X36" i="74" s="1"/>
  <c r="W36" i="74" a="1"/>
  <c r="W36" i="74" s="1"/>
  <c r="AA35" i="74" a="1"/>
  <c r="AA35" i="74" s="1"/>
  <c r="Z35" i="74"/>
  <c r="Z35" i="74" a="1"/>
  <c r="Y35" i="74"/>
  <c r="Y35" i="74" a="1"/>
  <c r="X35" i="74" a="1"/>
  <c r="X35" i="74" s="1"/>
  <c r="W35" i="74" a="1"/>
  <c r="W35" i="74" s="1"/>
  <c r="AA34" i="74" a="1"/>
  <c r="AA34" i="74" s="1"/>
  <c r="Z34" i="74" a="1"/>
  <c r="Z34" i="74" s="1"/>
  <c r="Y34" i="74" a="1"/>
  <c r="Y34" i="74" s="1"/>
  <c r="X34" i="74" a="1"/>
  <c r="X34" i="74" s="1"/>
  <c r="W34" i="74" a="1"/>
  <c r="W34" i="74" s="1"/>
  <c r="AA33" i="74" a="1"/>
  <c r="AA33" i="74" s="1"/>
  <c r="Z33" i="74" a="1"/>
  <c r="Z33" i="74" s="1"/>
  <c r="Y33" i="74"/>
  <c r="Y33" i="74" a="1"/>
  <c r="X33" i="74" a="1"/>
  <c r="X33" i="74" s="1"/>
  <c r="W33" i="74" a="1"/>
  <c r="W33" i="74" s="1"/>
  <c r="AA32" i="74" a="1"/>
  <c r="AA32" i="74" s="1"/>
  <c r="Z32" i="74" a="1"/>
  <c r="Z32" i="74" s="1"/>
  <c r="Y32" i="74" a="1"/>
  <c r="Y32" i="74" s="1"/>
  <c r="X32" i="74" a="1"/>
  <c r="X32" i="74" s="1"/>
  <c r="W32" i="74" a="1"/>
  <c r="W32" i="74" s="1"/>
  <c r="AA31" i="74" a="1"/>
  <c r="AA31" i="74" s="1"/>
  <c r="Z31" i="74" a="1"/>
  <c r="Z31" i="74" s="1"/>
  <c r="Y31" i="74"/>
  <c r="Y31" i="74" a="1"/>
  <c r="X31" i="74" a="1"/>
  <c r="X31" i="74" s="1"/>
  <c r="W31" i="74" a="1"/>
  <c r="W31" i="74" s="1"/>
  <c r="AA30" i="74" a="1"/>
  <c r="AA30" i="74" s="1"/>
  <c r="Z30" i="74"/>
  <c r="Z30" i="74" a="1"/>
  <c r="Y30" i="74" a="1"/>
  <c r="Y30" i="74" s="1"/>
  <c r="X30" i="74"/>
  <c r="X30" i="74" a="1"/>
  <c r="W30" i="74" a="1"/>
  <c r="W30" i="74" s="1"/>
  <c r="AA29" i="74" a="1"/>
  <c r="AA29" i="74" s="1"/>
  <c r="Z29" i="74" a="1"/>
  <c r="Z29" i="74" s="1"/>
  <c r="Y29" i="74"/>
  <c r="Y29" i="74" a="1"/>
  <c r="X29" i="74" a="1"/>
  <c r="X29" i="74" s="1"/>
  <c r="W29" i="74" a="1"/>
  <c r="W29" i="74" s="1"/>
  <c r="AA28" i="74" a="1"/>
  <c r="AA28" i="74" s="1"/>
  <c r="Z28" i="74" a="1"/>
  <c r="Z28" i="74" s="1"/>
  <c r="Y28" i="74" a="1"/>
  <c r="Y28" i="74" s="1"/>
  <c r="X28" i="74" a="1"/>
  <c r="X28" i="74" s="1"/>
  <c r="W28" i="74" a="1"/>
  <c r="W28" i="74" s="1"/>
  <c r="AA27" i="74" a="1"/>
  <c r="AA27" i="74" s="1"/>
  <c r="Z27" i="74" a="1"/>
  <c r="Z27" i="74" s="1"/>
  <c r="Y27" i="74"/>
  <c r="Y27" i="74" a="1"/>
  <c r="X27" i="74"/>
  <c r="X27" i="74" a="1"/>
  <c r="W27" i="74" a="1"/>
  <c r="W27" i="74" s="1"/>
  <c r="AA26" i="74" a="1"/>
  <c r="AA26" i="74" s="1"/>
  <c r="Z26" i="74"/>
  <c r="Z26" i="74" a="1"/>
  <c r="Y26" i="74" a="1"/>
  <c r="Y26" i="74" s="1"/>
  <c r="X26" i="74" a="1"/>
  <c r="X26" i="74" s="1"/>
  <c r="W26" i="74"/>
  <c r="W26" i="74" a="1"/>
  <c r="AA25" i="74" a="1"/>
  <c r="AA25" i="74" s="1"/>
  <c r="Z25" i="74" a="1"/>
  <c r="Z25" i="74" s="1"/>
  <c r="Y25" i="74"/>
  <c r="Y25" i="74" a="1"/>
  <c r="X25" i="74"/>
  <c r="X25" i="74" a="1"/>
  <c r="W25" i="74" a="1"/>
  <c r="W25" i="74" s="1"/>
  <c r="AA24" i="74" a="1"/>
  <c r="AA24" i="74" s="1"/>
  <c r="Z24" i="74" a="1"/>
  <c r="Z24" i="74" s="1"/>
  <c r="Y24" i="74" a="1"/>
  <c r="Y24" i="74" s="1"/>
  <c r="X24" i="74" a="1"/>
  <c r="X24" i="74" s="1"/>
  <c r="W24" i="74"/>
  <c r="W24" i="74" a="1"/>
  <c r="AA23" i="74" a="1"/>
  <c r="AA23" i="74" s="1"/>
  <c r="Z23" i="74" a="1"/>
  <c r="Z23" i="74" s="1"/>
  <c r="Y23" i="74"/>
  <c r="Y23" i="74" a="1"/>
  <c r="X23" i="74" a="1"/>
  <c r="X23" i="74" s="1"/>
  <c r="W23" i="74"/>
  <c r="W23" i="74" a="1"/>
  <c r="AA22" i="74" a="1"/>
  <c r="AA22" i="74" s="1"/>
  <c r="Z22" i="74" a="1"/>
  <c r="Z22" i="74" s="1"/>
  <c r="Y22" i="74" a="1"/>
  <c r="Y22" i="74" s="1"/>
  <c r="X22" i="74" a="1"/>
  <c r="X22" i="74" s="1"/>
  <c r="W22" i="74" a="1"/>
  <c r="W22" i="74" s="1"/>
  <c r="AA21" i="74"/>
  <c r="AA21" i="74" a="1"/>
  <c r="Z21" i="74" a="1"/>
  <c r="Z21" i="74" s="1"/>
  <c r="Y21" i="74"/>
  <c r="Y21" i="74" a="1"/>
  <c r="X21" i="74" a="1"/>
  <c r="X21" i="74" s="1"/>
  <c r="W21" i="74" a="1"/>
  <c r="W21" i="74" s="1"/>
  <c r="AA20" i="74" a="1"/>
  <c r="AA20" i="74" s="1"/>
  <c r="Z20" i="74" a="1"/>
  <c r="Z20" i="74" s="1"/>
  <c r="Y20" i="74" a="1"/>
  <c r="Y20" i="74" s="1"/>
  <c r="X20" i="74" a="1"/>
  <c r="X20" i="74" s="1"/>
  <c r="W20" i="74"/>
  <c r="W20" i="74" a="1"/>
  <c r="AA19" i="74" a="1"/>
  <c r="AA19" i="74" s="1"/>
  <c r="Z19" i="74" a="1"/>
  <c r="Z19" i="74" s="1"/>
  <c r="Y19" i="74"/>
  <c r="Y19" i="74" a="1"/>
  <c r="X19" i="74" a="1"/>
  <c r="X19" i="74" s="1"/>
  <c r="W19" i="74" a="1"/>
  <c r="W19" i="74" s="1"/>
  <c r="AA18" i="74"/>
  <c r="AA18" i="74" a="1"/>
  <c r="Z18" i="74" a="1"/>
  <c r="Z18" i="74" s="1"/>
  <c r="Y18" i="74" a="1"/>
  <c r="Y18" i="74" s="1"/>
  <c r="X18" i="74" a="1"/>
  <c r="X18" i="74" s="1"/>
  <c r="W18" i="74" a="1"/>
  <c r="W18" i="74" s="1"/>
  <c r="AA17" i="74" a="1"/>
  <c r="AA17" i="74" s="1"/>
  <c r="Z17" i="74"/>
  <c r="Z17" i="74" a="1"/>
  <c r="Y17" i="74"/>
  <c r="Y17" i="74" a="1"/>
  <c r="X17" i="74" a="1"/>
  <c r="X17" i="74" s="1"/>
  <c r="W17" i="74" a="1"/>
  <c r="W17" i="74" s="1"/>
  <c r="AA16" i="74" a="1"/>
  <c r="AA16" i="74" s="1"/>
  <c r="Z16" i="74" a="1"/>
  <c r="Z16" i="74" s="1"/>
  <c r="Y16" i="74" a="1"/>
  <c r="Y16" i="74" s="1"/>
  <c r="X16" i="74" a="1"/>
  <c r="X16" i="74" s="1"/>
  <c r="W16" i="74" a="1"/>
  <c r="W16" i="74" s="1"/>
  <c r="AA15" i="74" a="1"/>
  <c r="AA15" i="74" s="1"/>
  <c r="Z15" i="74" a="1"/>
  <c r="Z15" i="74" s="1"/>
  <c r="Y15" i="74"/>
  <c r="Y15" i="74" a="1"/>
  <c r="X15" i="74" a="1"/>
  <c r="X15" i="74" s="1"/>
  <c r="W15" i="74" a="1"/>
  <c r="W15" i="74" s="1"/>
  <c r="AA14" i="74" a="1"/>
  <c r="AA14" i="74" s="1"/>
  <c r="Z14" i="74"/>
  <c r="Z14" i="74" a="1"/>
  <c r="Y14" i="74" a="1"/>
  <c r="Y14" i="74" s="1"/>
  <c r="X14" i="74" a="1"/>
  <c r="X14" i="74" s="1"/>
  <c r="W14" i="74" a="1"/>
  <c r="W14" i="74" s="1"/>
  <c r="AA13" i="74" a="1"/>
  <c r="AA13" i="74" s="1"/>
  <c r="Z13" i="74" a="1"/>
  <c r="Z13" i="74" s="1"/>
  <c r="Y13" i="74"/>
  <c r="Y13" i="74" a="1"/>
  <c r="X13" i="74" a="1"/>
  <c r="X13" i="74" s="1"/>
  <c r="W13" i="74" a="1"/>
  <c r="W13" i="74" s="1"/>
  <c r="AA12" i="74" a="1"/>
  <c r="AA12" i="74" s="1"/>
  <c r="Z12" i="74"/>
  <c r="Z12" i="74" a="1"/>
  <c r="Y12" i="74" a="1"/>
  <c r="Y12" i="74" s="1"/>
  <c r="X12" i="74" a="1"/>
  <c r="X12" i="74" s="1"/>
  <c r="W12" i="74" a="1"/>
  <c r="W12" i="74" s="1"/>
  <c r="AA11" i="74" a="1"/>
  <c r="AA11" i="74" s="1"/>
  <c r="Z11" i="74" a="1"/>
  <c r="Z11" i="74" s="1"/>
  <c r="Y11" i="74"/>
  <c r="Y11" i="74" a="1"/>
  <c r="X11" i="74" a="1"/>
  <c r="X11" i="74" s="1"/>
  <c r="W11" i="74" a="1"/>
  <c r="W11" i="74" s="1"/>
  <c r="AA10" i="74" a="1"/>
  <c r="AA10" i="74" s="1"/>
  <c r="Z10" i="74" a="1"/>
  <c r="Z10" i="74" s="1"/>
  <c r="Y10" i="74" a="1"/>
  <c r="Y10" i="74" s="1"/>
  <c r="X10" i="74" a="1"/>
  <c r="X10" i="74" s="1"/>
  <c r="W10" i="74" a="1"/>
  <c r="W10" i="74" s="1"/>
  <c r="AA9" i="74" a="1"/>
  <c r="AA9" i="74" s="1"/>
  <c r="Z9" i="74" a="1"/>
  <c r="Z9" i="74" s="1"/>
  <c r="Y9" i="74"/>
  <c r="Y9" i="74" a="1"/>
  <c r="X9" i="74"/>
  <c r="X9" i="74" a="1"/>
  <c r="W9" i="74" a="1"/>
  <c r="W9" i="74" s="1"/>
  <c r="AA8" i="74" a="1"/>
  <c r="AA8" i="74" s="1"/>
  <c r="Z8" i="74"/>
  <c r="Z8" i="74" a="1"/>
  <c r="Y8" i="74" a="1"/>
  <c r="Y8" i="74" s="1"/>
  <c r="X8" i="74"/>
  <c r="X8" i="74" a="1"/>
  <c r="W8" i="74" a="1"/>
  <c r="W8" i="74" s="1"/>
  <c r="AA7" i="74" a="1"/>
  <c r="AA7" i="74" s="1"/>
  <c r="Z7" i="74" a="1"/>
  <c r="Z7" i="74" s="1"/>
  <c r="Y7" i="74"/>
  <c r="Y7" i="74" a="1"/>
  <c r="X7" i="74"/>
  <c r="X7" i="74" a="1"/>
  <c r="W7" i="74" a="1"/>
  <c r="W7" i="74" s="1"/>
  <c r="AA6" i="74" a="1"/>
  <c r="AA6" i="74" s="1"/>
  <c r="Z6" i="74" a="1"/>
  <c r="Z6" i="74" s="1"/>
  <c r="Y6" i="74" a="1"/>
  <c r="Y6" i="74" s="1"/>
  <c r="X6" i="74" a="1"/>
  <c r="X6" i="74" s="1"/>
  <c r="W6" i="74" a="1"/>
  <c r="W6" i="74" s="1"/>
  <c r="AA5" i="74" a="1"/>
  <c r="AA5" i="74" s="1"/>
  <c r="Z5" i="74" a="1"/>
  <c r="Z5" i="74" s="1"/>
  <c r="Y5" i="74"/>
  <c r="Y5" i="74" a="1"/>
  <c r="X5" i="74" a="1"/>
  <c r="X5" i="74" s="1"/>
  <c r="W5" i="74"/>
  <c r="W5" i="74" a="1"/>
  <c r="AA4" i="74" a="1"/>
  <c r="AA4" i="74" s="1"/>
  <c r="Z4" i="74" a="1"/>
  <c r="Z4" i="74" s="1"/>
  <c r="Y4" i="74" a="1"/>
  <c r="Y4" i="74" s="1"/>
  <c r="X4" i="74" a="1"/>
  <c r="X4" i="74" s="1"/>
  <c r="W4" i="74" a="1"/>
  <c r="W4" i="74" s="1"/>
  <c r="Y203" i="72" l="1" a="1"/>
  <c r="Y203" i="72" s="1"/>
  <c r="X203" i="72" a="1"/>
  <c r="X203" i="72" s="1"/>
  <c r="W203" i="72" a="1"/>
  <c r="W203" i="72" s="1"/>
  <c r="Y202" i="72" a="1"/>
  <c r="Y202" i="72" s="1"/>
  <c r="X202" i="72"/>
  <c r="X202" i="72" a="1"/>
  <c r="W202" i="72" a="1"/>
  <c r="W202" i="72" s="1"/>
  <c r="Y201" i="72" a="1"/>
  <c r="Y201" i="72" s="1"/>
  <c r="X201" i="72"/>
  <c r="X201" i="72" a="1"/>
  <c r="W201" i="72" a="1"/>
  <c r="W201" i="72" s="1"/>
  <c r="Y200" i="72" a="1"/>
  <c r="Y200" i="72" s="1"/>
  <c r="X200" i="72" a="1"/>
  <c r="X200" i="72" s="1"/>
  <c r="W200" i="72" a="1"/>
  <c r="W200" i="72" s="1"/>
  <c r="Y199" i="72" a="1"/>
  <c r="Y199" i="72" s="1"/>
  <c r="X199" i="72" a="1"/>
  <c r="X199" i="72" s="1"/>
  <c r="W199" i="72"/>
  <c r="W199" i="72" a="1"/>
  <c r="Y198" i="72" a="1"/>
  <c r="Y198" i="72" s="1"/>
  <c r="X198" i="72" a="1"/>
  <c r="X198" i="72" s="1"/>
  <c r="W198" i="72" a="1"/>
  <c r="W198" i="72" s="1"/>
  <c r="Y197" i="72" a="1"/>
  <c r="Y197" i="72" s="1"/>
  <c r="X197" i="72" a="1"/>
  <c r="X197" i="72" s="1"/>
  <c r="W197" i="72" a="1"/>
  <c r="W197" i="72" s="1"/>
  <c r="Y196" i="72" a="1"/>
  <c r="Y196" i="72" s="1"/>
  <c r="X196" i="72" a="1"/>
  <c r="X196" i="72" s="1"/>
  <c r="W196" i="72" a="1"/>
  <c r="W196" i="72" s="1"/>
  <c r="Y195" i="72"/>
  <c r="Y195" i="72" a="1"/>
  <c r="X195" i="72" a="1"/>
  <c r="X195" i="72" s="1"/>
  <c r="W195" i="72" a="1"/>
  <c r="W195" i="72" s="1"/>
  <c r="Y194" i="72" a="1"/>
  <c r="Y194" i="72" s="1"/>
  <c r="X194" i="72" a="1"/>
  <c r="X194" i="72" s="1"/>
  <c r="W194" i="72" a="1"/>
  <c r="W194" i="72" s="1"/>
  <c r="Y193" i="72" a="1"/>
  <c r="Y193" i="72" s="1"/>
  <c r="X193" i="72" a="1"/>
  <c r="X193" i="72" s="1"/>
  <c r="W193" i="72" a="1"/>
  <c r="W193" i="72" s="1"/>
  <c r="Y192" i="72" a="1"/>
  <c r="Y192" i="72" s="1"/>
  <c r="X192" i="72"/>
  <c r="X192" i="72" a="1"/>
  <c r="W192" i="72" a="1"/>
  <c r="W192" i="72" s="1"/>
  <c r="Y191" i="72" a="1"/>
  <c r="Y191" i="72" s="1"/>
  <c r="X191" i="72" a="1"/>
  <c r="X191" i="72" s="1"/>
  <c r="W191" i="72" a="1"/>
  <c r="W191" i="72" s="1"/>
  <c r="Y190" i="72" a="1"/>
  <c r="Y190" i="72" s="1"/>
  <c r="X190" i="72" a="1"/>
  <c r="X190" i="72" s="1"/>
  <c r="W190" i="72" a="1"/>
  <c r="W190" i="72" s="1"/>
  <c r="Y189" i="72" a="1"/>
  <c r="Y189" i="72" s="1"/>
  <c r="X189" i="72" a="1"/>
  <c r="X189" i="72" s="1"/>
  <c r="W189" i="72"/>
  <c r="W189" i="72" a="1"/>
  <c r="Y188" i="72" a="1"/>
  <c r="Y188" i="72" s="1"/>
  <c r="X188" i="72" a="1"/>
  <c r="X188" i="72" s="1"/>
  <c r="W188" i="72" a="1"/>
  <c r="W188" i="72" s="1"/>
  <c r="Y187" i="72"/>
  <c r="Y187" i="72" a="1"/>
  <c r="X187" i="72"/>
  <c r="X187" i="72" a="1"/>
  <c r="W187" i="72" a="1"/>
  <c r="W187" i="72" s="1"/>
  <c r="Y186" i="72" a="1"/>
  <c r="Y186" i="72" s="1"/>
  <c r="X186" i="72" a="1"/>
  <c r="X186" i="72" s="1"/>
  <c r="W186" i="72" a="1"/>
  <c r="W186" i="72" s="1"/>
  <c r="Y185" i="72"/>
  <c r="Y185" i="72" a="1"/>
  <c r="X185" i="72" a="1"/>
  <c r="X185" i="72" s="1"/>
  <c r="W185" i="72" a="1"/>
  <c r="W185" i="72" s="1"/>
  <c r="Y184" i="72" a="1"/>
  <c r="Y184" i="72" s="1"/>
  <c r="X184" i="72" a="1"/>
  <c r="X184" i="72" s="1"/>
  <c r="W184" i="72" a="1"/>
  <c r="W184" i="72" s="1"/>
  <c r="Y183" i="72" a="1"/>
  <c r="Y183" i="72" s="1"/>
  <c r="X183" i="72" a="1"/>
  <c r="X183" i="72" s="1"/>
  <c r="W183" i="72" a="1"/>
  <c r="W183" i="72" s="1"/>
  <c r="Y182" i="72" a="1"/>
  <c r="Y182" i="72" s="1"/>
  <c r="X182" i="72"/>
  <c r="X182" i="72" a="1"/>
  <c r="W182" i="72" a="1"/>
  <c r="W182" i="72" s="1"/>
  <c r="Y181" i="72" a="1"/>
  <c r="Y181" i="72" s="1"/>
  <c r="X181" i="72" a="1"/>
  <c r="X181" i="72" s="1"/>
  <c r="W181" i="72" a="1"/>
  <c r="W181" i="72" s="1"/>
  <c r="Y180" i="72" a="1"/>
  <c r="Y180" i="72" s="1"/>
  <c r="X180" i="72" a="1"/>
  <c r="X180" i="72" s="1"/>
  <c r="W180" i="72" a="1"/>
  <c r="W180" i="72" s="1"/>
  <c r="Y179" i="72" a="1"/>
  <c r="Y179" i="72" s="1"/>
  <c r="X179" i="72" a="1"/>
  <c r="X179" i="72" s="1"/>
  <c r="W179" i="72" a="1"/>
  <c r="W179" i="72" s="1"/>
  <c r="Y178" i="72" a="1"/>
  <c r="Y178" i="72" s="1"/>
  <c r="X178" i="72" a="1"/>
  <c r="X178" i="72" s="1"/>
  <c r="W178" i="72" a="1"/>
  <c r="W178" i="72" s="1"/>
  <c r="Y177" i="72"/>
  <c r="Y177" i="72" a="1"/>
  <c r="X177" i="72" a="1"/>
  <c r="X177" i="72" s="1"/>
  <c r="W177" i="72" a="1"/>
  <c r="W177" i="72" s="1"/>
  <c r="Y176" i="72" a="1"/>
  <c r="Y176" i="72" s="1"/>
  <c r="X176" i="72" a="1"/>
  <c r="X176" i="72" s="1"/>
  <c r="W176" i="72" a="1"/>
  <c r="W176" i="72" s="1"/>
  <c r="Y175" i="72"/>
  <c r="Y175" i="72" a="1"/>
  <c r="X175" i="72" a="1"/>
  <c r="X175" i="72" s="1"/>
  <c r="W175" i="72" a="1"/>
  <c r="W175" i="72" s="1"/>
  <c r="Y174" i="72" a="1"/>
  <c r="Y174" i="72" s="1"/>
  <c r="X174" i="72" a="1"/>
  <c r="X174" i="72" s="1"/>
  <c r="W174" i="72" a="1"/>
  <c r="W174" i="72" s="1"/>
  <c r="Y173" i="72" a="1"/>
  <c r="Y173" i="72" s="1"/>
  <c r="X173" i="72" a="1"/>
  <c r="X173" i="72" s="1"/>
  <c r="W173" i="72" a="1"/>
  <c r="W173" i="72" s="1"/>
  <c r="Y172" i="72" a="1"/>
  <c r="Y172" i="72" s="1"/>
  <c r="X172" i="72"/>
  <c r="X172" i="72" a="1"/>
  <c r="W172" i="72" a="1"/>
  <c r="W172" i="72" s="1"/>
  <c r="Y171" i="72" a="1"/>
  <c r="Y171" i="72" s="1"/>
  <c r="X171" i="72" a="1"/>
  <c r="X171" i="72" s="1"/>
  <c r="W171" i="72" a="1"/>
  <c r="W171" i="72" s="1"/>
  <c r="Y170" i="72" a="1"/>
  <c r="Y170" i="72" s="1"/>
  <c r="X170" i="72" a="1"/>
  <c r="X170" i="72" s="1"/>
  <c r="W170" i="72" a="1"/>
  <c r="W170" i="72" s="1"/>
  <c r="Y169" i="72" a="1"/>
  <c r="Y169" i="72" s="1"/>
  <c r="X169" i="72"/>
  <c r="X169" i="72" a="1"/>
  <c r="W169" i="72"/>
  <c r="W169" i="72" a="1"/>
  <c r="Y168" i="72" a="1"/>
  <c r="Y168" i="72" s="1"/>
  <c r="X168" i="72" a="1"/>
  <c r="X168" i="72" s="1"/>
  <c r="W168" i="72" a="1"/>
  <c r="W168" i="72" s="1"/>
  <c r="Y167" i="72" a="1"/>
  <c r="Y167" i="72" s="1"/>
  <c r="X167" i="72" a="1"/>
  <c r="X167" i="72" s="1"/>
  <c r="W167" i="72" a="1"/>
  <c r="W167" i="72" s="1"/>
  <c r="Y166" i="72" a="1"/>
  <c r="Y166" i="72" s="1"/>
  <c r="X166" i="72" a="1"/>
  <c r="X166" i="72" s="1"/>
  <c r="W166" i="72" a="1"/>
  <c r="W166" i="72" s="1"/>
  <c r="Y165" i="72"/>
  <c r="Y165" i="72" a="1"/>
  <c r="X165" i="72" a="1"/>
  <c r="X165" i="72" s="1"/>
  <c r="W165" i="72" a="1"/>
  <c r="W165" i="72" s="1"/>
  <c r="Y164" i="72" a="1"/>
  <c r="Y164" i="72" s="1"/>
  <c r="X164" i="72"/>
  <c r="X164" i="72" a="1"/>
  <c r="W164" i="72"/>
  <c r="W164" i="72" a="1"/>
  <c r="Y163" i="72" a="1"/>
  <c r="Y163" i="72" s="1"/>
  <c r="X163" i="72" a="1"/>
  <c r="X163" i="72" s="1"/>
  <c r="W163" i="72" a="1"/>
  <c r="W163" i="72" s="1"/>
  <c r="Y162" i="72" a="1"/>
  <c r="Y162" i="72" s="1"/>
  <c r="X162" i="72"/>
  <c r="X162" i="72" a="1"/>
  <c r="W162" i="72" a="1"/>
  <c r="W162" i="72" s="1"/>
  <c r="Y161" i="72" a="1"/>
  <c r="Y161" i="72" s="1"/>
  <c r="X161" i="72"/>
  <c r="X161" i="72" a="1"/>
  <c r="W161" i="72" a="1"/>
  <c r="W161" i="72" s="1"/>
  <c r="Y160" i="72" a="1"/>
  <c r="Y160" i="72" s="1"/>
  <c r="X160" i="72" a="1"/>
  <c r="X160" i="72" s="1"/>
  <c r="W160" i="72" a="1"/>
  <c r="W160" i="72" s="1"/>
  <c r="Y159" i="72" a="1"/>
  <c r="Y159" i="72" s="1"/>
  <c r="X159" i="72"/>
  <c r="X159" i="72" a="1"/>
  <c r="W159" i="72"/>
  <c r="W159" i="72" a="1"/>
  <c r="Y158" i="72" a="1"/>
  <c r="Y158" i="72" s="1"/>
  <c r="X158" i="72" a="1"/>
  <c r="X158" i="72" s="1"/>
  <c r="W158" i="72" a="1"/>
  <c r="W158" i="72" s="1"/>
  <c r="Y157" i="72" a="1"/>
  <c r="Y157" i="72" s="1"/>
  <c r="X157" i="72" a="1"/>
  <c r="X157" i="72" s="1"/>
  <c r="W157" i="72" a="1"/>
  <c r="W157" i="72" s="1"/>
  <c r="Y156" i="72" a="1"/>
  <c r="Y156" i="72" s="1"/>
  <c r="X156" i="72" a="1"/>
  <c r="X156" i="72" s="1"/>
  <c r="W156" i="72" a="1"/>
  <c r="W156" i="72" s="1"/>
  <c r="Y155" i="72"/>
  <c r="Y155" i="72" a="1"/>
  <c r="X155" i="72" a="1"/>
  <c r="X155" i="72" s="1"/>
  <c r="W155" i="72" a="1"/>
  <c r="W155" i="72" s="1"/>
  <c r="Y154" i="72" a="1"/>
  <c r="Y154" i="72" s="1"/>
  <c r="X154" i="72" a="1"/>
  <c r="X154" i="72" s="1"/>
  <c r="W154" i="72" a="1"/>
  <c r="W154" i="72" s="1"/>
  <c r="Y153" i="72" a="1"/>
  <c r="Y153" i="72" s="1"/>
  <c r="X153" i="72" a="1"/>
  <c r="X153" i="72" s="1"/>
  <c r="W153" i="72" a="1"/>
  <c r="W153" i="72" s="1"/>
  <c r="Y152" i="72" a="1"/>
  <c r="Y152" i="72" s="1"/>
  <c r="X152" i="72"/>
  <c r="X152" i="72" a="1"/>
  <c r="W152" i="72" a="1"/>
  <c r="W152" i="72" s="1"/>
  <c r="Y151" i="72" a="1"/>
  <c r="Y151" i="72" s="1"/>
  <c r="X151" i="72" a="1"/>
  <c r="X151" i="72" s="1"/>
  <c r="W151" i="72" a="1"/>
  <c r="W151" i="72" s="1"/>
  <c r="Y150" i="72"/>
  <c r="Y150" i="72" a="1"/>
  <c r="X150" i="72" a="1"/>
  <c r="X150" i="72" s="1"/>
  <c r="W150" i="72" a="1"/>
  <c r="W150" i="72" s="1"/>
  <c r="Y149" i="72" a="1"/>
  <c r="Y149" i="72" s="1"/>
  <c r="X149" i="72" a="1"/>
  <c r="X149" i="72" s="1"/>
  <c r="W149" i="72"/>
  <c r="W149" i="72" a="1"/>
  <c r="Y148" i="72" a="1"/>
  <c r="Y148" i="72" s="1"/>
  <c r="X148" i="72" a="1"/>
  <c r="X148" i="72" s="1"/>
  <c r="W148" i="72"/>
  <c r="W148" i="72" a="1"/>
  <c r="Y147" i="72" a="1"/>
  <c r="Y147" i="72" s="1"/>
  <c r="X147" i="72" a="1"/>
  <c r="X147" i="72" s="1"/>
  <c r="W147" i="72" a="1"/>
  <c r="W147" i="72" s="1"/>
  <c r="Y146" i="72" a="1"/>
  <c r="Y146" i="72" s="1"/>
  <c r="X146" i="72" a="1"/>
  <c r="X146" i="72" s="1"/>
  <c r="W146" i="72"/>
  <c r="W146" i="72" a="1"/>
  <c r="Y145" i="72"/>
  <c r="Y145" i="72" a="1"/>
  <c r="X145" i="72" a="1"/>
  <c r="X145" i="72" s="1"/>
  <c r="W145" i="72" a="1"/>
  <c r="W145" i="72" s="1"/>
  <c r="Y144" i="72" a="1"/>
  <c r="Y144" i="72" s="1"/>
  <c r="X144" i="72" a="1"/>
  <c r="X144" i="72" s="1"/>
  <c r="W144" i="72" a="1"/>
  <c r="W144" i="72" s="1"/>
  <c r="Y143" i="72" a="1"/>
  <c r="Y143" i="72" s="1"/>
  <c r="X143" i="72" a="1"/>
  <c r="X143" i="72" s="1"/>
  <c r="W143" i="72" a="1"/>
  <c r="W143" i="72" s="1"/>
  <c r="Y142" i="72" a="1"/>
  <c r="Y142" i="72" s="1"/>
  <c r="X142" i="72"/>
  <c r="X142" i="72" a="1"/>
  <c r="W142" i="72" a="1"/>
  <c r="W142" i="72" s="1"/>
  <c r="Y141" i="72" a="1"/>
  <c r="Y141" i="72" s="1"/>
  <c r="X141" i="72" a="1"/>
  <c r="X141" i="72" s="1"/>
  <c r="W141" i="72" a="1"/>
  <c r="W141" i="72" s="1"/>
  <c r="Y140" i="72" a="1"/>
  <c r="Y140" i="72" s="1"/>
  <c r="X140" i="72" a="1"/>
  <c r="X140" i="72" s="1"/>
  <c r="W140" i="72" a="1"/>
  <c r="W140" i="72" s="1"/>
  <c r="Y139" i="72" a="1"/>
  <c r="Y139" i="72" s="1"/>
  <c r="X139" i="72"/>
  <c r="X139" i="72" a="1"/>
  <c r="W139" i="72"/>
  <c r="W139" i="72" a="1"/>
  <c r="Y138" i="72" a="1"/>
  <c r="Y138" i="72" s="1"/>
  <c r="X138" i="72" a="1"/>
  <c r="X138" i="72" s="1"/>
  <c r="W138" i="72" a="1"/>
  <c r="W138" i="72" s="1"/>
  <c r="Y137" i="72" a="1"/>
  <c r="Y137" i="72" s="1"/>
  <c r="X137" i="72"/>
  <c r="X137" i="72" a="1"/>
  <c r="W137" i="72" a="1"/>
  <c r="W137" i="72" s="1"/>
  <c r="Y136" i="72" a="1"/>
  <c r="Y136" i="72" s="1"/>
  <c r="X136" i="72" a="1"/>
  <c r="X136" i="72" s="1"/>
  <c r="W136" i="72" a="1"/>
  <c r="W136" i="72" s="1"/>
  <c r="Y135" i="72"/>
  <c r="Y135" i="72" a="1"/>
  <c r="X135" i="72" a="1"/>
  <c r="X135" i="72" s="1"/>
  <c r="W135" i="72" a="1"/>
  <c r="W135" i="72" s="1"/>
  <c r="Y134" i="72"/>
  <c r="Y134" i="72" a="1"/>
  <c r="X134" i="72" a="1"/>
  <c r="X134" i="72" s="1"/>
  <c r="W134" i="72" a="1"/>
  <c r="W134" i="72" s="1"/>
  <c r="Y133" i="72" a="1"/>
  <c r="Y133" i="72" s="1"/>
  <c r="X133" i="72" a="1"/>
  <c r="X133" i="72" s="1"/>
  <c r="W133" i="72" a="1"/>
  <c r="W133" i="72" s="1"/>
  <c r="Y132" i="72"/>
  <c r="Y132" i="72" a="1"/>
  <c r="X132" i="72"/>
  <c r="X132" i="72" a="1"/>
  <c r="W132" i="72" a="1"/>
  <c r="W132" i="72" s="1"/>
  <c r="Y131" i="72" a="1"/>
  <c r="Y131" i="72" s="1"/>
  <c r="X131" i="72" a="1"/>
  <c r="X131" i="72" s="1"/>
  <c r="W131" i="72" a="1"/>
  <c r="W131" i="72" s="1"/>
  <c r="Y130" i="72" a="1"/>
  <c r="Y130" i="72" s="1"/>
  <c r="X130" i="72" a="1"/>
  <c r="X130" i="72" s="1"/>
  <c r="W130" i="72" a="1"/>
  <c r="W130" i="72" s="1"/>
  <c r="Y129" i="72" a="1"/>
  <c r="Y129" i="72" s="1"/>
  <c r="X129" i="72" a="1"/>
  <c r="X129" i="72" s="1"/>
  <c r="W129" i="72"/>
  <c r="W129" i="72" a="1"/>
  <c r="Y128" i="72" a="1"/>
  <c r="Y128" i="72" s="1"/>
  <c r="X128" i="72" a="1"/>
  <c r="X128" i="72" s="1"/>
  <c r="W128" i="72" a="1"/>
  <c r="W128" i="72" s="1"/>
  <c r="Y127" i="72" a="1"/>
  <c r="Y127" i="72" s="1"/>
  <c r="X127" i="72" a="1"/>
  <c r="X127" i="72" s="1"/>
  <c r="W127" i="72" a="1"/>
  <c r="W127" i="72" s="1"/>
  <c r="Y126" i="72" a="1"/>
  <c r="Y126" i="72" s="1"/>
  <c r="X126" i="72" a="1"/>
  <c r="X126" i="72" s="1"/>
  <c r="W126" i="72" a="1"/>
  <c r="W126" i="72" s="1"/>
  <c r="Y125" i="72"/>
  <c r="Y125" i="72" a="1"/>
  <c r="X125" i="72" a="1"/>
  <c r="X125" i="72" s="1"/>
  <c r="W125" i="72" a="1"/>
  <c r="W125" i="72" s="1"/>
  <c r="Y124" i="72"/>
  <c r="Y124" i="72" a="1"/>
  <c r="X124" i="72" a="1"/>
  <c r="X124" i="72" s="1"/>
  <c r="W124" i="72"/>
  <c r="W124" i="72" a="1"/>
  <c r="Y123" i="72" a="1"/>
  <c r="Y123" i="72" s="1"/>
  <c r="X123" i="72" a="1"/>
  <c r="X123" i="72" s="1"/>
  <c r="W123" i="72" a="1"/>
  <c r="W123" i="72" s="1"/>
  <c r="Y122" i="72" a="1"/>
  <c r="Y122" i="72" s="1"/>
  <c r="X122" i="72"/>
  <c r="X122" i="72" a="1"/>
  <c r="W122" i="72" a="1"/>
  <c r="W122" i="72" s="1"/>
  <c r="Y121" i="72" a="1"/>
  <c r="Y121" i="72" s="1"/>
  <c r="X121" i="72"/>
  <c r="X121" i="72" a="1"/>
  <c r="W121" i="72" a="1"/>
  <c r="W121" i="72" s="1"/>
  <c r="Y120" i="72" a="1"/>
  <c r="Y120" i="72" s="1"/>
  <c r="X120" i="72" a="1"/>
  <c r="X120" i="72" s="1"/>
  <c r="W120" i="72"/>
  <c r="W120" i="72" a="1"/>
  <c r="Y119" i="72" a="1"/>
  <c r="Y119" i="72" s="1"/>
  <c r="X119" i="72" a="1"/>
  <c r="X119" i="72" s="1"/>
  <c r="W119" i="72"/>
  <c r="W119" i="72" a="1"/>
  <c r="Y118" i="72" a="1"/>
  <c r="Y118" i="72" s="1"/>
  <c r="X118" i="72" a="1"/>
  <c r="X118" i="72" s="1"/>
  <c r="W118" i="72" a="1"/>
  <c r="W118" i="72" s="1"/>
  <c r="Y117" i="72" a="1"/>
  <c r="Y117" i="72" s="1"/>
  <c r="X117" i="72"/>
  <c r="X117" i="72" a="1"/>
  <c r="W117" i="72" a="1"/>
  <c r="W117" i="72" s="1"/>
  <c r="Y116" i="72" a="1"/>
  <c r="Y116" i="72" s="1"/>
  <c r="X116" i="72" a="1"/>
  <c r="X116" i="72" s="1"/>
  <c r="W116" i="72" a="1"/>
  <c r="W116" i="72" s="1"/>
  <c r="Y115" i="72"/>
  <c r="Y115" i="72" a="1"/>
  <c r="X115" i="72" a="1"/>
  <c r="X115" i="72" s="1"/>
  <c r="W115" i="72" a="1"/>
  <c r="W115" i="72" s="1"/>
  <c r="Y114" i="72" a="1"/>
  <c r="Y114" i="72" s="1"/>
  <c r="X114" i="72" a="1"/>
  <c r="X114" i="72" s="1"/>
  <c r="W114" i="72" a="1"/>
  <c r="W114" i="72" s="1"/>
  <c r="Y113" i="72" a="1"/>
  <c r="Y113" i="72" s="1"/>
  <c r="X113" i="72" a="1"/>
  <c r="X113" i="72" s="1"/>
  <c r="W113" i="72" a="1"/>
  <c r="W113" i="72" s="1"/>
  <c r="Y112" i="72" a="1"/>
  <c r="Y112" i="72" s="1"/>
  <c r="X112" i="72"/>
  <c r="X112" i="72" a="1"/>
  <c r="W112" i="72" a="1"/>
  <c r="W112" i="72" s="1"/>
  <c r="Y111" i="72" a="1"/>
  <c r="Y111" i="72" s="1"/>
  <c r="X111" i="72" a="1"/>
  <c r="X111" i="72" s="1"/>
  <c r="W111" i="72" a="1"/>
  <c r="W111" i="72" s="1"/>
  <c r="Y110" i="72" a="1"/>
  <c r="Y110" i="72" s="1"/>
  <c r="X110" i="72" a="1"/>
  <c r="X110" i="72" s="1"/>
  <c r="W110" i="72" a="1"/>
  <c r="W110" i="72" s="1"/>
  <c r="Y109" i="72" a="1"/>
  <c r="Y109" i="72" s="1"/>
  <c r="X109" i="72" a="1"/>
  <c r="X109" i="72" s="1"/>
  <c r="W109" i="72"/>
  <c r="W109" i="72" a="1"/>
  <c r="Y108" i="72" a="1"/>
  <c r="Y108" i="72" s="1"/>
  <c r="X108" i="72" a="1"/>
  <c r="X108" i="72" s="1"/>
  <c r="W108" i="72" a="1"/>
  <c r="W108" i="72" s="1"/>
  <c r="Y107" i="72" a="1"/>
  <c r="Y107" i="72" s="1"/>
  <c r="X107" i="72" a="1"/>
  <c r="X107" i="72" s="1"/>
  <c r="W107" i="72" a="1"/>
  <c r="W107" i="72" s="1"/>
  <c r="Y106" i="72" a="1"/>
  <c r="Y106" i="72" s="1"/>
  <c r="X106" i="72" a="1"/>
  <c r="X106" i="72" s="1"/>
  <c r="W106" i="72" a="1"/>
  <c r="W106" i="72" s="1"/>
  <c r="Y105" i="72"/>
  <c r="Y105" i="72" a="1"/>
  <c r="X105" i="72" a="1"/>
  <c r="X105" i="72" s="1"/>
  <c r="W105" i="72" a="1"/>
  <c r="W105" i="72" s="1"/>
  <c r="Y104" i="72"/>
  <c r="Y104" i="72" a="1"/>
  <c r="X104" i="72" a="1"/>
  <c r="X104" i="72" s="1"/>
  <c r="W104" i="72" a="1"/>
  <c r="W104" i="72" s="1"/>
  <c r="Y103" i="72" a="1"/>
  <c r="Y103" i="72" s="1"/>
  <c r="X103" i="72" a="1"/>
  <c r="X103" i="72" s="1"/>
  <c r="W103" i="72" a="1"/>
  <c r="W103" i="72" s="1"/>
  <c r="Y102" i="72" a="1"/>
  <c r="Y102" i="72" s="1"/>
  <c r="X102" i="72"/>
  <c r="X102" i="72" a="1"/>
  <c r="W102" i="72" a="1"/>
  <c r="W102" i="72" s="1"/>
  <c r="Y101" i="72" a="1"/>
  <c r="Y101" i="72" s="1"/>
  <c r="X101" i="72" a="1"/>
  <c r="X101" i="72" s="1"/>
  <c r="W101" i="72" a="1"/>
  <c r="W101" i="72" s="1"/>
  <c r="Y100" i="72"/>
  <c r="Y100" i="72" a="1"/>
  <c r="X100" i="72" a="1"/>
  <c r="X100" i="72" s="1"/>
  <c r="W100" i="72" a="1"/>
  <c r="W100" i="72" s="1"/>
  <c r="Y99" i="72" a="1"/>
  <c r="Y99" i="72" s="1"/>
  <c r="X99" i="72" a="1"/>
  <c r="X99" i="72" s="1"/>
  <c r="W99" i="72"/>
  <c r="W99" i="72" a="1"/>
  <c r="Y98" i="72" a="1"/>
  <c r="Y98" i="72" s="1"/>
  <c r="X98" i="72" a="1"/>
  <c r="X98" i="72" s="1"/>
  <c r="W98" i="72" a="1"/>
  <c r="W98" i="72" s="1"/>
  <c r="Y97" i="72" a="1"/>
  <c r="Y97" i="72" s="1"/>
  <c r="X97" i="72" a="1"/>
  <c r="X97" i="72" s="1"/>
  <c r="W97" i="72" a="1"/>
  <c r="W97" i="72" s="1"/>
  <c r="Y96" i="72" a="1"/>
  <c r="Y96" i="72" s="1"/>
  <c r="X96" i="72" a="1"/>
  <c r="X96" i="72" s="1"/>
  <c r="W96" i="72" a="1"/>
  <c r="W96" i="72" s="1"/>
  <c r="Y95" i="72"/>
  <c r="Y95" i="72" a="1"/>
  <c r="X95" i="72" a="1"/>
  <c r="X95" i="72" s="1"/>
  <c r="W95" i="72" a="1"/>
  <c r="W95" i="72" s="1"/>
  <c r="Y94" i="72" a="1"/>
  <c r="Y94" i="72" s="1"/>
  <c r="X94" i="72" a="1"/>
  <c r="X94" i="72" s="1"/>
  <c r="W94" i="72" a="1"/>
  <c r="W94" i="72" s="1"/>
  <c r="Y93" i="72" a="1"/>
  <c r="Y93" i="72" s="1"/>
  <c r="X93" i="72" a="1"/>
  <c r="X93" i="72" s="1"/>
  <c r="W93" i="72" a="1"/>
  <c r="W93" i="72" s="1"/>
  <c r="Y92" i="72"/>
  <c r="Y92" i="72" a="1"/>
  <c r="X92" i="72"/>
  <c r="X92" i="72" a="1"/>
  <c r="W92" i="72" a="1"/>
  <c r="W92" i="72" s="1"/>
  <c r="Y91" i="72" a="1"/>
  <c r="Y91" i="72" s="1"/>
  <c r="X91" i="72" a="1"/>
  <c r="X91" i="72" s="1"/>
  <c r="W91" i="72" a="1"/>
  <c r="W91" i="72" s="1"/>
  <c r="Y90" i="72" a="1"/>
  <c r="Y90" i="72" s="1"/>
  <c r="X90" i="72" a="1"/>
  <c r="X90" i="72" s="1"/>
  <c r="W90" i="72" a="1"/>
  <c r="W90" i="72" s="1"/>
  <c r="Y89" i="72" a="1"/>
  <c r="Y89" i="72" s="1"/>
  <c r="X89" i="72" a="1"/>
  <c r="X89" i="72" s="1"/>
  <c r="W89" i="72"/>
  <c r="W89" i="72" a="1"/>
  <c r="Y88" i="72" a="1"/>
  <c r="Y88" i="72" s="1"/>
  <c r="X88" i="72" a="1"/>
  <c r="X88" i="72" s="1"/>
  <c r="W88" i="72"/>
  <c r="W88" i="72" a="1"/>
  <c r="Y87" i="72" a="1"/>
  <c r="Y87" i="72" s="1"/>
  <c r="X87" i="72" a="1"/>
  <c r="X87" i="72" s="1"/>
  <c r="W87" i="72" a="1"/>
  <c r="W87" i="72" s="1"/>
  <c r="Y86" i="72" a="1"/>
  <c r="Y86" i="72" s="1"/>
  <c r="X86" i="72" a="1"/>
  <c r="X86" i="72" s="1"/>
  <c r="W86" i="72" a="1"/>
  <c r="W86" i="72" s="1"/>
  <c r="Y85" i="72"/>
  <c r="Y85" i="72" a="1"/>
  <c r="X85" i="72" a="1"/>
  <c r="X85" i="72" s="1"/>
  <c r="W85" i="72" a="1"/>
  <c r="W85" i="72" s="1"/>
  <c r="Y84" i="72" a="1"/>
  <c r="Y84" i="72" s="1"/>
  <c r="X84" i="72" a="1"/>
  <c r="X84" i="72" s="1"/>
  <c r="W84" i="72"/>
  <c r="W84" i="72" a="1"/>
  <c r="Y83" i="72" a="1"/>
  <c r="Y83" i="72" s="1"/>
  <c r="X83" i="72" a="1"/>
  <c r="X83" i="72" s="1"/>
  <c r="W83" i="72" a="1"/>
  <c r="W83" i="72" s="1"/>
  <c r="Y82" i="72" a="1"/>
  <c r="Y82" i="72" s="1"/>
  <c r="X82" i="72"/>
  <c r="X82" i="72" a="1"/>
  <c r="W82" i="72" a="1"/>
  <c r="W82" i="72" s="1"/>
  <c r="Y81" i="72" a="1"/>
  <c r="Y81" i="72" s="1"/>
  <c r="X81" i="72" a="1"/>
  <c r="X81" i="72" s="1"/>
  <c r="W81" i="72" a="1"/>
  <c r="W81" i="72" s="1"/>
  <c r="Y80" i="72" a="1"/>
  <c r="Y80" i="72" s="1"/>
  <c r="X80" i="72" a="1"/>
  <c r="X80" i="72" s="1"/>
  <c r="W80" i="72" a="1"/>
  <c r="W80" i="72" s="1"/>
  <c r="Y79" i="72" a="1"/>
  <c r="Y79" i="72" s="1"/>
  <c r="X79" i="72" a="1"/>
  <c r="X79" i="72" s="1"/>
  <c r="W79" i="72"/>
  <c r="W79" i="72" a="1"/>
  <c r="Y78" i="72" a="1"/>
  <c r="Y78" i="72" s="1"/>
  <c r="X78" i="72" a="1"/>
  <c r="X78" i="72" s="1"/>
  <c r="W78" i="72" a="1"/>
  <c r="W78" i="72" s="1"/>
  <c r="Y77" i="72" a="1"/>
  <c r="Y77" i="72" s="1"/>
  <c r="X77" i="72" a="1"/>
  <c r="X77" i="72" s="1"/>
  <c r="W77" i="72" a="1"/>
  <c r="W77" i="72" s="1"/>
  <c r="Y76" i="72" a="1"/>
  <c r="Y76" i="72" s="1"/>
  <c r="X76" i="72" a="1"/>
  <c r="X76" i="72" s="1"/>
  <c r="W76" i="72"/>
  <c r="W76" i="72" a="1"/>
  <c r="Y75" i="72"/>
  <c r="Y75" i="72" a="1"/>
  <c r="X75" i="72" a="1"/>
  <c r="X75" i="72" s="1"/>
  <c r="W75" i="72" a="1"/>
  <c r="W75" i="72" s="1"/>
  <c r="Y74" i="72" a="1"/>
  <c r="Y74" i="72" s="1"/>
  <c r="X74" i="72" a="1"/>
  <c r="X74" i="72" s="1"/>
  <c r="W74" i="72" a="1"/>
  <c r="W74" i="72" s="1"/>
  <c r="Y73" i="72" a="1"/>
  <c r="Y73" i="72" s="1"/>
  <c r="X73" i="72" a="1"/>
  <c r="X73" i="72" s="1"/>
  <c r="W73" i="72" a="1"/>
  <c r="W73" i="72" s="1"/>
  <c r="Y72" i="72" a="1"/>
  <c r="Y72" i="72" s="1"/>
  <c r="X72" i="72" a="1"/>
  <c r="X72" i="72" s="1"/>
  <c r="W72" i="72" a="1"/>
  <c r="W72" i="72" s="1"/>
  <c r="Y71" i="72" a="1"/>
  <c r="Y71" i="72" s="1"/>
  <c r="X71" i="72" a="1"/>
  <c r="X71" i="72" s="1"/>
  <c r="W71" i="72" a="1"/>
  <c r="W71" i="72" s="1"/>
  <c r="Y70" i="72" a="1"/>
  <c r="Y70" i="72" s="1"/>
  <c r="X70" i="72" a="1"/>
  <c r="X70" i="72" s="1"/>
  <c r="W70" i="72" a="1"/>
  <c r="W70" i="72" s="1"/>
  <c r="Y69" i="72" a="1"/>
  <c r="Y69" i="72" s="1"/>
  <c r="X69" i="72" a="1"/>
  <c r="X69" i="72" s="1"/>
  <c r="W69" i="72"/>
  <c r="W69" i="72" a="1"/>
  <c r="Y68" i="72" a="1"/>
  <c r="Y68" i="72" s="1"/>
  <c r="X68" i="72" a="1"/>
  <c r="X68" i="72" s="1"/>
  <c r="W68" i="72" a="1"/>
  <c r="W68" i="72" s="1"/>
  <c r="Y67" i="72" a="1"/>
  <c r="Y67" i="72" s="1"/>
  <c r="X67" i="72"/>
  <c r="X67" i="72" a="1"/>
  <c r="W67" i="72" a="1"/>
  <c r="W67" i="72" s="1"/>
  <c r="Y66" i="72" a="1"/>
  <c r="Y66" i="72" s="1"/>
  <c r="X66" i="72" a="1"/>
  <c r="X66" i="72" s="1"/>
  <c r="W66" i="72" a="1"/>
  <c r="W66" i="72" s="1"/>
  <c r="Y65" i="72"/>
  <c r="Y65" i="72" a="1"/>
  <c r="X65" i="72" a="1"/>
  <c r="X65" i="72" s="1"/>
  <c r="W65" i="72" a="1"/>
  <c r="W65" i="72" s="1"/>
  <c r="Y64" i="72" a="1"/>
  <c r="Y64" i="72" s="1"/>
  <c r="X64" i="72" a="1"/>
  <c r="X64" i="72" s="1"/>
  <c r="W64" i="72"/>
  <c r="W64" i="72" a="1"/>
  <c r="Y63" i="72" a="1"/>
  <c r="Y63" i="72" s="1"/>
  <c r="X63" i="72" a="1"/>
  <c r="X63" i="72" s="1"/>
  <c r="W63" i="72" a="1"/>
  <c r="W63" i="72" s="1"/>
  <c r="Y62" i="72" a="1"/>
  <c r="Y62" i="72" s="1"/>
  <c r="X62" i="72"/>
  <c r="X62" i="72" a="1"/>
  <c r="W62" i="72" a="1"/>
  <c r="W62" i="72" s="1"/>
  <c r="Y61" i="72" a="1"/>
  <c r="Y61" i="72" s="1"/>
  <c r="X61" i="72" a="1"/>
  <c r="X61" i="72" s="1"/>
  <c r="W61" i="72" a="1"/>
  <c r="W61" i="72" s="1"/>
  <c r="Y60" i="72" a="1"/>
  <c r="Y60" i="72" s="1"/>
  <c r="X60" i="72" a="1"/>
  <c r="X60" i="72" s="1"/>
  <c r="W60" i="72" a="1"/>
  <c r="W60" i="72" s="1"/>
  <c r="Y59" i="72" a="1"/>
  <c r="Y59" i="72" s="1"/>
  <c r="X59" i="72" a="1"/>
  <c r="X59" i="72" s="1"/>
  <c r="W59" i="72"/>
  <c r="W59" i="72" a="1"/>
  <c r="Y58" i="72" a="1"/>
  <c r="Y58" i="72" s="1"/>
  <c r="X58" i="72" a="1"/>
  <c r="X58" i="72" s="1"/>
  <c r="W58" i="72" a="1"/>
  <c r="W58" i="72" s="1"/>
  <c r="Y57" i="72" a="1"/>
  <c r="Y57" i="72" s="1"/>
  <c r="X57" i="72" a="1"/>
  <c r="X57" i="72" s="1"/>
  <c r="W57" i="72" a="1"/>
  <c r="W57" i="72" s="1"/>
  <c r="Y56" i="72" a="1"/>
  <c r="Y56" i="72" s="1"/>
  <c r="X56" i="72" a="1"/>
  <c r="X56" i="72" s="1"/>
  <c r="W56" i="72" a="1"/>
  <c r="W56" i="72" s="1"/>
  <c r="Y55" i="72"/>
  <c r="Y55" i="72" a="1"/>
  <c r="X55" i="72" a="1"/>
  <c r="X55" i="72" s="1"/>
  <c r="W55" i="72" a="1"/>
  <c r="W55" i="72" s="1"/>
  <c r="Y54" i="72"/>
  <c r="Y54" i="72" a="1"/>
  <c r="X54" i="72" a="1"/>
  <c r="X54" i="72" s="1"/>
  <c r="W54" i="72" a="1"/>
  <c r="W54" i="72" s="1"/>
  <c r="Y53" i="72" a="1"/>
  <c r="Y53" i="72" s="1"/>
  <c r="X53" i="72" a="1"/>
  <c r="X53" i="72" s="1"/>
  <c r="W53" i="72" a="1"/>
  <c r="W53" i="72" s="1"/>
  <c r="Y52" i="72" a="1"/>
  <c r="Y52" i="72" s="1"/>
  <c r="X52" i="72"/>
  <c r="X52" i="72" a="1"/>
  <c r="W52" i="72" a="1"/>
  <c r="W52" i="72" s="1"/>
  <c r="Y51" i="72" a="1"/>
  <c r="Y51" i="72" s="1"/>
  <c r="X51" i="72" a="1"/>
  <c r="X51" i="72" s="1"/>
  <c r="W51" i="72" a="1"/>
  <c r="W51" i="72" s="1"/>
  <c r="Y50" i="72"/>
  <c r="Y50" i="72" a="1"/>
  <c r="X50" i="72" a="1"/>
  <c r="X50" i="72" s="1"/>
  <c r="W50" i="72" a="1"/>
  <c r="W50" i="72" s="1"/>
  <c r="Y49" i="72" a="1"/>
  <c r="Y49" i="72" s="1"/>
  <c r="X49" i="72" a="1"/>
  <c r="X49" i="72" s="1"/>
  <c r="W49" i="72"/>
  <c r="W49" i="72" a="1"/>
  <c r="Y48" i="72" a="1"/>
  <c r="Y48" i="72" s="1"/>
  <c r="X48" i="72" a="1"/>
  <c r="X48" i="72" s="1"/>
  <c r="W48" i="72" a="1"/>
  <c r="W48" i="72" s="1"/>
  <c r="Y47" i="72" a="1"/>
  <c r="Y47" i="72" s="1"/>
  <c r="X47" i="72"/>
  <c r="X47" i="72" a="1"/>
  <c r="W47" i="72" a="1"/>
  <c r="W47" i="72" s="1"/>
  <c r="Y46" i="72" a="1"/>
  <c r="Y46" i="72" s="1"/>
  <c r="X46" i="72" a="1"/>
  <c r="X46" i="72" s="1"/>
  <c r="W46" i="72" a="1"/>
  <c r="W46" i="72" s="1"/>
  <c r="Y45" i="72"/>
  <c r="Y45" i="72" a="1"/>
  <c r="X45" i="72" a="1"/>
  <c r="X45" i="72" s="1"/>
  <c r="W45" i="72" a="1"/>
  <c r="W45" i="72" s="1"/>
  <c r="Y44" i="72"/>
  <c r="Y44" i="72" a="1"/>
  <c r="X44" i="72" a="1"/>
  <c r="X44" i="72" s="1"/>
  <c r="W44" i="72" a="1"/>
  <c r="W44" i="72" s="1"/>
  <c r="Y43" i="72" a="1"/>
  <c r="Y43" i="72" s="1"/>
  <c r="X43" i="72" a="1"/>
  <c r="X43" i="72" s="1"/>
  <c r="W43" i="72" a="1"/>
  <c r="W43" i="72" s="1"/>
  <c r="Y42" i="72" a="1"/>
  <c r="Y42" i="72" s="1"/>
  <c r="X42" i="72"/>
  <c r="X42" i="72" a="1"/>
  <c r="W42" i="72" a="1"/>
  <c r="W42" i="72" s="1"/>
  <c r="Y41" i="72" a="1"/>
  <c r="Y41" i="72" s="1"/>
  <c r="X41" i="72" a="1"/>
  <c r="X41" i="72" s="1"/>
  <c r="W41" i="72" a="1"/>
  <c r="W41" i="72" s="1"/>
  <c r="Y40" i="72" a="1"/>
  <c r="Y40" i="72" s="1"/>
  <c r="X40" i="72" a="1"/>
  <c r="X40" i="72" s="1"/>
  <c r="W40" i="72" a="1"/>
  <c r="W40" i="72" s="1"/>
  <c r="Y39" i="72" a="1"/>
  <c r="Y39" i="72" s="1"/>
  <c r="X39" i="72" a="1"/>
  <c r="X39" i="72" s="1"/>
  <c r="W39" i="72"/>
  <c r="W39" i="72" a="1"/>
  <c r="Y38" i="72" a="1"/>
  <c r="Y38" i="72" s="1"/>
  <c r="X38" i="72" a="1"/>
  <c r="X38" i="72" s="1"/>
  <c r="W38" i="72"/>
  <c r="W38" i="72" a="1"/>
  <c r="Y37" i="72" a="1"/>
  <c r="Y37" i="72" s="1"/>
  <c r="X37" i="72" a="1"/>
  <c r="X37" i="72" s="1"/>
  <c r="W37" i="72" a="1"/>
  <c r="W37" i="72" s="1"/>
  <c r="Y36" i="72" a="1"/>
  <c r="Y36" i="72" s="1"/>
  <c r="X36" i="72" a="1"/>
  <c r="X36" i="72" s="1"/>
  <c r="W36" i="72" a="1"/>
  <c r="W36" i="72" s="1"/>
  <c r="Y35" i="72"/>
  <c r="Y35" i="72" a="1"/>
  <c r="X35" i="72" a="1"/>
  <c r="X35" i="72" s="1"/>
  <c r="W35" i="72" a="1"/>
  <c r="W35" i="72" s="1"/>
  <c r="Y34" i="72" a="1"/>
  <c r="Y34" i="72" s="1"/>
  <c r="X34" i="72" a="1"/>
  <c r="X34" i="72" s="1"/>
  <c r="W34" i="72"/>
  <c r="W34" i="72" a="1"/>
  <c r="Y33" i="72" a="1"/>
  <c r="Y33" i="72" s="1"/>
  <c r="X33" i="72" a="1"/>
  <c r="X33" i="72" s="1"/>
  <c r="W33" i="72" a="1"/>
  <c r="W33" i="72" s="1"/>
  <c r="Y32" i="72" a="1"/>
  <c r="Y32" i="72" s="1"/>
  <c r="X32" i="72"/>
  <c r="X32" i="72" a="1"/>
  <c r="W32" i="72" a="1"/>
  <c r="W32" i="72" s="1"/>
  <c r="Y31" i="72" a="1"/>
  <c r="Y31" i="72" s="1"/>
  <c r="X31" i="72" a="1"/>
  <c r="X31" i="72" s="1"/>
  <c r="W31" i="72" a="1"/>
  <c r="W31" i="72" s="1"/>
  <c r="Y30" i="72" a="1"/>
  <c r="Y30" i="72" s="1"/>
  <c r="X30" i="72" a="1"/>
  <c r="X30" i="72" s="1"/>
  <c r="W30" i="72" a="1"/>
  <c r="W30" i="72" s="1"/>
  <c r="Y29" i="72" a="1"/>
  <c r="Y29" i="72" s="1"/>
  <c r="X29" i="72" a="1"/>
  <c r="X29" i="72" s="1"/>
  <c r="W29" i="72"/>
  <c r="W29" i="72" a="1"/>
  <c r="Y28" i="72" a="1"/>
  <c r="Y28" i="72" s="1"/>
  <c r="X28" i="72" a="1"/>
  <c r="X28" i="72" s="1"/>
  <c r="W28" i="72"/>
  <c r="W28" i="72" a="1"/>
  <c r="Y27" i="72" a="1"/>
  <c r="Y27" i="72" s="1"/>
  <c r="X27" i="72" a="1"/>
  <c r="X27" i="72" s="1"/>
  <c r="W27" i="72" a="1"/>
  <c r="W27" i="72" s="1"/>
  <c r="Y26" i="72" a="1"/>
  <c r="Y26" i="72" s="1"/>
  <c r="X26" i="72" a="1"/>
  <c r="X26" i="72" s="1"/>
  <c r="W26" i="72" a="1"/>
  <c r="W26" i="72" s="1"/>
  <c r="Y25" i="72"/>
  <c r="Y25" i="72" a="1"/>
  <c r="X25" i="72" a="1"/>
  <c r="X25" i="72" s="1"/>
  <c r="W25" i="72" a="1"/>
  <c r="W25" i="72" s="1"/>
  <c r="Y24" i="72" a="1"/>
  <c r="Y24" i="72" s="1"/>
  <c r="X24" i="72" a="1"/>
  <c r="X24" i="72" s="1"/>
  <c r="W24" i="72" a="1"/>
  <c r="W24" i="72" s="1"/>
  <c r="Y23" i="72" a="1"/>
  <c r="Y23" i="72" s="1"/>
  <c r="X23" i="72" a="1"/>
  <c r="X23" i="72" s="1"/>
  <c r="W23" i="72" a="1"/>
  <c r="W23" i="72" s="1"/>
  <c r="Y22" i="72" a="1"/>
  <c r="Y22" i="72" s="1"/>
  <c r="X22" i="72"/>
  <c r="X22" i="72" a="1"/>
  <c r="W22" i="72" a="1"/>
  <c r="W22" i="72" s="1"/>
  <c r="Y21" i="72" a="1"/>
  <c r="Y21" i="72" s="1"/>
  <c r="X21" i="72"/>
  <c r="X21" i="72" a="1"/>
  <c r="W21" i="72" a="1"/>
  <c r="W21" i="72" s="1"/>
  <c r="Y20" i="72" a="1"/>
  <c r="Y20" i="72" s="1"/>
  <c r="X20" i="72" a="1"/>
  <c r="X20" i="72" s="1"/>
  <c r="W20" i="72" a="1"/>
  <c r="W20" i="72" s="1"/>
  <c r="Y19" i="72" a="1"/>
  <c r="Y19" i="72" s="1"/>
  <c r="X19" i="72" a="1"/>
  <c r="X19" i="72" s="1"/>
  <c r="W19" i="72"/>
  <c r="W19" i="72" a="1"/>
  <c r="Y18" i="72" a="1"/>
  <c r="Y18" i="72" s="1"/>
  <c r="X18" i="72" a="1"/>
  <c r="X18" i="72" s="1"/>
  <c r="W18" i="72" a="1"/>
  <c r="W18" i="72" s="1"/>
  <c r="Y17" i="72" a="1"/>
  <c r="Y17" i="72" s="1"/>
  <c r="X17" i="72"/>
  <c r="X17" i="72" a="1"/>
  <c r="W17" i="72" a="1"/>
  <c r="W17" i="72" s="1"/>
  <c r="Y16" i="72" a="1"/>
  <c r="Y16" i="72" s="1"/>
  <c r="X16" i="72" a="1"/>
  <c r="X16" i="72" s="1"/>
  <c r="W16" i="72" a="1"/>
  <c r="W16" i="72" s="1"/>
  <c r="Y15" i="72"/>
  <c r="Y15" i="72" a="1"/>
  <c r="X15" i="72" a="1"/>
  <c r="X15" i="72" s="1"/>
  <c r="W15" i="72" a="1"/>
  <c r="W15" i="72" s="1"/>
  <c r="Y14" i="72" a="1"/>
  <c r="Y14" i="72" s="1"/>
  <c r="X14" i="72" a="1"/>
  <c r="X14" i="72" s="1"/>
  <c r="W14" i="72" a="1"/>
  <c r="W14" i="72" s="1"/>
  <c r="Y13" i="72" a="1"/>
  <c r="Y13" i="72" s="1"/>
  <c r="X13" i="72" a="1"/>
  <c r="X13" i="72" s="1"/>
  <c r="W13" i="72" a="1"/>
  <c r="W13" i="72" s="1"/>
  <c r="Y12" i="72" a="1"/>
  <c r="Y12" i="72" s="1"/>
  <c r="X12" i="72" a="1"/>
  <c r="X12" i="72" s="1"/>
  <c r="W12" i="72" a="1"/>
  <c r="W12" i="72" s="1"/>
  <c r="Y11" i="72" a="1"/>
  <c r="Y11" i="72" s="1"/>
  <c r="X11" i="72" a="1"/>
  <c r="X11" i="72" s="1"/>
  <c r="W11" i="72" a="1"/>
  <c r="W11" i="72" s="1"/>
  <c r="Y10" i="72" a="1"/>
  <c r="Y10" i="72" s="1"/>
  <c r="X10" i="72" a="1"/>
  <c r="X10" i="72" s="1"/>
  <c r="W10" i="72" a="1"/>
  <c r="W10" i="72" s="1"/>
  <c r="Y9" i="72" a="1"/>
  <c r="Y9" i="72" s="1"/>
  <c r="X9" i="72" a="1"/>
  <c r="X9" i="72" s="1"/>
  <c r="W9" i="72"/>
  <c r="W9" i="72" a="1"/>
  <c r="Y8" i="72" a="1"/>
  <c r="Y8" i="72" s="1"/>
  <c r="X8" i="72" a="1"/>
  <c r="X8" i="72" s="1"/>
  <c r="W8" i="72" a="1"/>
  <c r="W8" i="72" s="1"/>
  <c r="Y7" i="72" a="1"/>
  <c r="Y7" i="72" s="1"/>
  <c r="X7" i="72" a="1"/>
  <c r="X7" i="72" s="1"/>
  <c r="W7" i="72" a="1"/>
  <c r="W7" i="72" s="1"/>
  <c r="Y6" i="72" a="1"/>
  <c r="Y6" i="72" s="1"/>
  <c r="X6" i="72" a="1"/>
  <c r="X6" i="72" s="1"/>
  <c r="W6" i="72" a="1"/>
  <c r="W6" i="72" s="1"/>
  <c r="Y5" i="72"/>
  <c r="Y5" i="72" a="1"/>
  <c r="X5" i="72" a="1"/>
  <c r="X5" i="72" s="1"/>
  <c r="W5" i="72" a="1"/>
  <c r="W5" i="72" s="1"/>
  <c r="Y4" i="72"/>
  <c r="Y4" i="72" a="1"/>
  <c r="X4" i="72" a="1"/>
  <c r="X4" i="72" s="1"/>
  <c r="C79" i="48"/>
  <c r="B13" i="67"/>
  <c r="C87" i="67" a="1"/>
  <c r="C87" i="67" s="1"/>
  <c r="E79" i="67"/>
  <c r="D79" i="67"/>
  <c r="C15" i="67" a="1"/>
  <c r="C15" i="67" s="1"/>
  <c r="W4" i="72" a="1"/>
  <c r="W4" i="72" s="1"/>
  <c r="AO74" i="72"/>
  <c r="AN74" i="72"/>
  <c r="AM74" i="72"/>
  <c r="AL74" i="72"/>
  <c r="AK74" i="72"/>
  <c r="AH74" i="72"/>
  <c r="AG74" i="72"/>
  <c r="AF74" i="72"/>
  <c r="AE74" i="72"/>
  <c r="AD74" i="72"/>
  <c r="AO50" i="72"/>
  <c r="AN50" i="72"/>
  <c r="AM50" i="72"/>
  <c r="AL50" i="72"/>
  <c r="AK50" i="72"/>
  <c r="AH50" i="72"/>
  <c r="AG50" i="72"/>
  <c r="AF50" i="72"/>
  <c r="AE50" i="72"/>
  <c r="AD50" i="72"/>
  <c r="AO26" i="72"/>
  <c r="AN26" i="72"/>
  <c r="AM26" i="72"/>
  <c r="AL26" i="72"/>
  <c r="AK26" i="72"/>
  <c r="AH26" i="72"/>
  <c r="AG26" i="72"/>
  <c r="AF26" i="72"/>
  <c r="AE26" i="72"/>
  <c r="AD26" i="72"/>
  <c r="C79" i="67" l="1"/>
  <c r="AB55" i="30" a="1"/>
  <c r="AB55" i="30" s="1"/>
  <c r="AB54" i="30" a="1"/>
  <c r="AB54" i="30" s="1"/>
  <c r="AB53" i="30" a="1"/>
  <c r="AB53" i="30" s="1"/>
  <c r="AB52" i="30" a="1"/>
  <c r="AB52" i="30" s="1"/>
  <c r="AB51" i="30" a="1"/>
  <c r="AB51" i="30" s="1"/>
  <c r="AB50" i="30" a="1"/>
  <c r="AB50" i="30" s="1"/>
  <c r="AB49" i="30" a="1"/>
  <c r="AB49" i="30" s="1"/>
  <c r="AB44" i="30" a="1"/>
  <c r="AB44" i="30" s="1"/>
  <c r="AB43" i="30" a="1"/>
  <c r="AB43" i="30" s="1"/>
  <c r="AB42" i="30" a="1"/>
  <c r="AB42" i="30" s="1"/>
  <c r="AB41" i="30"/>
  <c r="AB41" i="30" a="1"/>
  <c r="AB40" i="30" a="1"/>
  <c r="AB40" i="30" s="1"/>
  <c r="AB39" i="30" a="1"/>
  <c r="AB39" i="30" s="1"/>
  <c r="AB38" i="30" a="1"/>
  <c r="AB38" i="30" s="1"/>
  <c r="AO21" i="75" a="1"/>
  <c r="AO21" i="75" s="1"/>
  <c r="AO23" i="75" s="1" a="1"/>
  <c r="AO23" i="75" s="1"/>
  <c r="AO26" i="75" a="1"/>
  <c r="AO26" i="75"/>
  <c r="AO28" i="75" a="1"/>
  <c r="AO28" i="75"/>
  <c r="T10" i="30"/>
  <c r="T9" i="30"/>
  <c r="P21" i="30"/>
  <c r="O21" i="30" s="1"/>
  <c r="P20" i="30"/>
  <c r="O20" i="30"/>
  <c r="T6" i="30"/>
  <c r="T8" i="30"/>
  <c r="O8" i="30" s="1"/>
  <c r="AG19" i="75" s="1" a="1"/>
  <c r="AG19" i="75" s="1"/>
  <c r="T5" i="30"/>
  <c r="P19" i="30"/>
  <c r="O19" i="30" s="1"/>
  <c r="AH19" i="75" s="1" a="1"/>
  <c r="AH19" i="75" s="1"/>
  <c r="AE15" i="75"/>
  <c r="AA5" i="75" a="1"/>
  <c r="AA5" i="75" s="1"/>
  <c r="AE5" i="75" s="1" a="1"/>
  <c r="AE5" i="75" s="1"/>
  <c r="P17" i="30"/>
  <c r="Q37" i="75" a="1"/>
  <c r="Q37" i="75" s="1"/>
  <c r="O11" i="30"/>
  <c r="O7" i="30"/>
  <c r="O22" i="30"/>
  <c r="O18" i="30"/>
  <c r="O32" i="30"/>
  <c r="O31" i="30"/>
  <c r="O30" i="30"/>
  <c r="O29" i="30"/>
  <c r="O28" i="30"/>
  <c r="O54" i="30"/>
  <c r="O53" i="30"/>
  <c r="O52" i="30"/>
  <c r="O51" i="30"/>
  <c r="O43" i="30"/>
  <c r="O42" i="30"/>
  <c r="Z5" i="75" a="1"/>
  <c r="Z5" i="75" s="1"/>
  <c r="AD5" i="75" s="1" a="1"/>
  <c r="AD5" i="75" s="1"/>
  <c r="AD15" i="75" s="1"/>
  <c r="Y5" i="75" a="1"/>
  <c r="Y5" i="75" s="1"/>
  <c r="AC5" i="75" s="1" a="1"/>
  <c r="AC5" i="75" s="1"/>
  <c r="AC15" i="75" s="1"/>
  <c r="T15" i="75" a="1"/>
  <c r="T15" i="75" s="1"/>
  <c r="W14" i="75"/>
  <c r="V14" i="75"/>
  <c r="U14" i="75"/>
  <c r="T14" i="75"/>
  <c r="O32" i="75"/>
  <c r="N32" i="75"/>
  <c r="Q14" i="75"/>
  <c r="P14" i="75"/>
  <c r="O14" i="75"/>
  <c r="N14" i="75"/>
  <c r="Q38" i="75" l="1" a="1"/>
  <c r="Q38" i="75" s="1"/>
  <c r="Q42" i="75" a="1"/>
  <c r="Q42" i="75" s="1"/>
  <c r="AC16" i="75" a="1"/>
  <c r="AC16" i="75" s="1"/>
  <c r="O9" i="30" l="1"/>
  <c r="O10" i="30"/>
  <c r="AI19" i="75" a="1"/>
  <c r="AI19" i="75" s="1"/>
  <c r="W19" i="75" s="1" a="1"/>
  <c r="W19" i="75" s="1"/>
  <c r="W32" i="75" s="1"/>
  <c r="C34" i="75" l="1"/>
  <c r="E19" i="75" a="1"/>
  <c r="E19" i="75" s="1"/>
  <c r="G5" i="75" a="1"/>
  <c r="G5" i="75" s="1"/>
  <c r="H4" i="75" s="1" a="1"/>
  <c r="H4" i="75" s="1"/>
  <c r="G16" i="75" s="1"/>
  <c r="H16" i="75" s="1"/>
  <c r="H70" i="75" a="1"/>
  <c r="H70" i="75" s="1"/>
  <c r="I82" i="75" s="1"/>
  <c r="I81" i="75" s="1"/>
  <c r="AB7" i="30" a="1"/>
  <c r="AB7" i="30" s="1"/>
  <c r="O6" i="30"/>
  <c r="AC19" i="75" s="1" a="1"/>
  <c r="AC19" i="75" s="1"/>
  <c r="O5" i="30"/>
  <c r="Y19" i="75" s="1" a="1"/>
  <c r="Y19" i="75" s="1"/>
  <c r="AB22" i="30" a="1"/>
  <c r="AB22" i="30" s="1"/>
  <c r="O33" i="30"/>
  <c r="AB33" i="30" s="1" a="1"/>
  <c r="AB33" i="30" s="1"/>
  <c r="AB18" i="30" a="1"/>
  <c r="AB18" i="30" s="1"/>
  <c r="AB29" i="30" a="1"/>
  <c r="AB29" i="30" s="1"/>
  <c r="O27" i="30"/>
  <c r="AB27" i="30" s="1" a="1"/>
  <c r="AB27" i="30" s="1"/>
  <c r="C96" i="75"/>
  <c r="O44" i="30"/>
  <c r="O41" i="30"/>
  <c r="AB11" i="30" a="1"/>
  <c r="AB11" i="30" s="1"/>
  <c r="O55" i="30"/>
  <c r="O50" i="30"/>
  <c r="O49" i="30"/>
  <c r="O38" i="30"/>
  <c r="O40" i="30"/>
  <c r="O39" i="30"/>
  <c r="Z19" i="75" l="1" a="1"/>
  <c r="Z19" i="75" s="1"/>
  <c r="AA19" i="75" s="1" a="1"/>
  <c r="AA19" i="75" s="1"/>
  <c r="U19" i="75" s="1" a="1"/>
  <c r="H83" i="75" a="1"/>
  <c r="H83" i="75" s="1"/>
  <c r="I83" i="75" s="1" a="1"/>
  <c r="G19" i="75" a="1"/>
  <c r="G19" i="75" s="1"/>
  <c r="I19" i="75" s="1" a="1"/>
  <c r="G83" i="75" a="1"/>
  <c r="G83" i="75" s="1"/>
  <c r="J83" i="75" a="1"/>
  <c r="J83" i="75" s="1"/>
  <c r="AB28" i="30" a="1"/>
  <c r="AB28" i="30" s="1"/>
  <c r="AB8" i="30" a="1"/>
  <c r="AB8" i="30" s="1"/>
  <c r="AB19" i="30" a="1"/>
  <c r="AB19" i="30" s="1"/>
  <c r="C32" i="75"/>
  <c r="U19" i="75" l="1"/>
  <c r="U32" i="75"/>
  <c r="AB30" i="30" a="1"/>
  <c r="AB30" i="30" s="1"/>
  <c r="AB10" i="30" a="1"/>
  <c r="AB10" i="30" s="1"/>
  <c r="AB9" i="30" a="1"/>
  <c r="AB9" i="30" s="1"/>
  <c r="AB21" i="30" a="1"/>
  <c r="AB21" i="30" s="1"/>
  <c r="AB20" i="30" a="1"/>
  <c r="AB20" i="30" s="1"/>
  <c r="I83" i="75"/>
  <c r="J88" i="75" a="1"/>
  <c r="J88" i="75" s="1"/>
  <c r="D83" i="75" s="1" a="1"/>
  <c r="D83" i="75" s="1"/>
  <c r="D96" i="75" s="1"/>
  <c r="I19" i="75"/>
  <c r="K24" i="75" a="1"/>
  <c r="K24" i="75" s="1"/>
  <c r="AB32" i="30" l="1" a="1"/>
  <c r="AB32" i="30" s="1"/>
  <c r="AB31" i="30" a="1"/>
  <c r="AB31" i="30" s="1"/>
  <c r="O17" i="30"/>
  <c r="H19" i="75" l="1" a="1"/>
  <c r="H19" i="75" s="1"/>
  <c r="J19" i="75" s="1" a="1"/>
  <c r="J19" i="75" s="1"/>
  <c r="K19" i="75" s="1" a="1"/>
  <c r="K19" i="75" s="1"/>
  <c r="AD19" i="75" a="1"/>
  <c r="AD19" i="75" s="1"/>
  <c r="AE19" i="75" s="1" a="1"/>
  <c r="AE19" i="75" s="1"/>
  <c r="V19" i="75" s="1" a="1"/>
  <c r="AB17" i="30" a="1"/>
  <c r="AB17" i="30" s="1"/>
  <c r="AB6" i="30" a="1"/>
  <c r="AB6" i="30" s="1"/>
  <c r="AB5" i="30" a="1"/>
  <c r="AB5" i="30" s="1"/>
  <c r="V19" i="75" l="1"/>
  <c r="V32" i="75"/>
  <c r="O16" i="30"/>
  <c r="AB16" i="30" s="1" a="1"/>
  <c r="AB16" i="30" s="1"/>
  <c r="J5" i="30" l="1"/>
  <c r="V33" i="75" l="1"/>
  <c r="U33" i="75"/>
  <c r="T19" i="75" s="1" a="1"/>
  <c r="T19" i="75" s="1"/>
  <c r="D19" i="75" a="1"/>
  <c r="J8" i="30"/>
  <c r="D19" i="75" l="1"/>
  <c r="D32" i="75" s="1"/>
  <c r="D34" i="75"/>
  <c r="AO74" i="71"/>
  <c r="AN74" i="71"/>
  <c r="AM74" i="71"/>
  <c r="AL74" i="71"/>
  <c r="AK74" i="71"/>
  <c r="AH74" i="71"/>
  <c r="AG74" i="71"/>
  <c r="AF74" i="71"/>
  <c r="AE74" i="71"/>
  <c r="AD74" i="71"/>
  <c r="AO50" i="71"/>
  <c r="AN50" i="71"/>
  <c r="AM50" i="71"/>
  <c r="AL50" i="71"/>
  <c r="AK50" i="71"/>
  <c r="AH50" i="71"/>
  <c r="AG50" i="71"/>
  <c r="AF50" i="71"/>
  <c r="AE50" i="71"/>
  <c r="AD50" i="71"/>
  <c r="AO26" i="71"/>
  <c r="AN26" i="71"/>
  <c r="AM26" i="71"/>
  <c r="AL26" i="71"/>
  <c r="AK26" i="71"/>
  <c r="AH26" i="71"/>
  <c r="AG26" i="71"/>
  <c r="AF26" i="71"/>
  <c r="AE26" i="71"/>
  <c r="AD26" i="71"/>
  <c r="J4" i="71" a="1"/>
  <c r="J4" i="71" s="1"/>
  <c r="AO74" i="70"/>
  <c r="AN74" i="70"/>
  <c r="AM74" i="70"/>
  <c r="AL74" i="70"/>
  <c r="AK74" i="70"/>
  <c r="AH74" i="70"/>
  <c r="AG74" i="70"/>
  <c r="AF74" i="70"/>
  <c r="AE74" i="70"/>
  <c r="AD74" i="70"/>
  <c r="AO50" i="70"/>
  <c r="AN50" i="70"/>
  <c r="AM50" i="70"/>
  <c r="AL50" i="70"/>
  <c r="AK50" i="70"/>
  <c r="AH50" i="70"/>
  <c r="AG50" i="70"/>
  <c r="AF50" i="70"/>
  <c r="AE50" i="70"/>
  <c r="AD50" i="70"/>
  <c r="AO26" i="70"/>
  <c r="AN26" i="70"/>
  <c r="AM26" i="70"/>
  <c r="AL26" i="70"/>
  <c r="AK26" i="70"/>
  <c r="AH26" i="70"/>
  <c r="AG26" i="70"/>
  <c r="AF26" i="70"/>
  <c r="AE26" i="70"/>
  <c r="AD26" i="70"/>
  <c r="J4" i="70" a="1"/>
  <c r="J4" i="70" s="1"/>
  <c r="AO74" i="69"/>
  <c r="AN74" i="69"/>
  <c r="AM74" i="69"/>
  <c r="AL74" i="69"/>
  <c r="AK74" i="69"/>
  <c r="AH74" i="69"/>
  <c r="AG74" i="69"/>
  <c r="AF74" i="69"/>
  <c r="AE74" i="69"/>
  <c r="AD74" i="69"/>
  <c r="AO50" i="69"/>
  <c r="AN50" i="69"/>
  <c r="AM50" i="69"/>
  <c r="AL50" i="69"/>
  <c r="AK50" i="69"/>
  <c r="AH50" i="69"/>
  <c r="AG50" i="69"/>
  <c r="AF50" i="69"/>
  <c r="AE50" i="69"/>
  <c r="AD50" i="69"/>
  <c r="AO26" i="69"/>
  <c r="AN26" i="69"/>
  <c r="AM26" i="69"/>
  <c r="AL26" i="69"/>
  <c r="AK26" i="69"/>
  <c r="AH26" i="69"/>
  <c r="AG26" i="69"/>
  <c r="AF26" i="69"/>
  <c r="AE26" i="69"/>
  <c r="AD26" i="69"/>
  <c r="J4" i="69" a="1"/>
  <c r="J4" i="69" s="1"/>
  <c r="AO74" i="74"/>
  <c r="AN74" i="74"/>
  <c r="AM74" i="74"/>
  <c r="AL74" i="74"/>
  <c r="AK74" i="74"/>
  <c r="AH74" i="74"/>
  <c r="AG74" i="74"/>
  <c r="AF74" i="74"/>
  <c r="AE74" i="74"/>
  <c r="AD74" i="74"/>
  <c r="AO50" i="74"/>
  <c r="AN50" i="74"/>
  <c r="AM50" i="74"/>
  <c r="AL50" i="74"/>
  <c r="AK50" i="74"/>
  <c r="AH50" i="74"/>
  <c r="AG50" i="74"/>
  <c r="AF50" i="74"/>
  <c r="AE50" i="74"/>
  <c r="AD50" i="74"/>
  <c r="AO26" i="74"/>
  <c r="AN26" i="74"/>
  <c r="AM26" i="74"/>
  <c r="AL26" i="74"/>
  <c r="AK26" i="74"/>
  <c r="AH26" i="74"/>
  <c r="AG26" i="74"/>
  <c r="AF26" i="74"/>
  <c r="AE26" i="74"/>
  <c r="AD26" i="74"/>
  <c r="J4" i="74" a="1"/>
  <c r="J4" i="74" s="1"/>
  <c r="AO74" i="68"/>
  <c r="AN74" i="68"/>
  <c r="AM74" i="68"/>
  <c r="AL74" i="68"/>
  <c r="AK74" i="68"/>
  <c r="AH74" i="68"/>
  <c r="AG74" i="68"/>
  <c r="AF74" i="68"/>
  <c r="AE74" i="68"/>
  <c r="AD74" i="68"/>
  <c r="AO50" i="68"/>
  <c r="AN50" i="68"/>
  <c r="AM50" i="68"/>
  <c r="AL50" i="68"/>
  <c r="AK50" i="68"/>
  <c r="AH50" i="68"/>
  <c r="AG50" i="68"/>
  <c r="AF50" i="68"/>
  <c r="AE50" i="68"/>
  <c r="AD50" i="68"/>
  <c r="AO26" i="68"/>
  <c r="AN26" i="68"/>
  <c r="AM26" i="68"/>
  <c r="AL26" i="68"/>
  <c r="AK26" i="68"/>
  <c r="AH26" i="68"/>
  <c r="AG26" i="68"/>
  <c r="AF26" i="68"/>
  <c r="AE26" i="68"/>
  <c r="AD26" i="68"/>
  <c r="AO74" i="13" l="1"/>
  <c r="AN74" i="13"/>
  <c r="AM74" i="13"/>
  <c r="AL74" i="13"/>
  <c r="AK74" i="13"/>
  <c r="AH74" i="13"/>
  <c r="AG74" i="13"/>
  <c r="AF74" i="13"/>
  <c r="AE74" i="13"/>
  <c r="AD74" i="13"/>
  <c r="AO50" i="13"/>
  <c r="AN50" i="13"/>
  <c r="AM50" i="13"/>
  <c r="AL50" i="13"/>
  <c r="AK50" i="13"/>
  <c r="AH50" i="13"/>
  <c r="AG50" i="13"/>
  <c r="AF50" i="13"/>
  <c r="AE50" i="13"/>
  <c r="AD50" i="13"/>
  <c r="AO26" i="13"/>
  <c r="AN26" i="13"/>
  <c r="AM26" i="13"/>
  <c r="AL26" i="13"/>
  <c r="AK26" i="13"/>
  <c r="AH26" i="13"/>
  <c r="AG26" i="13"/>
  <c r="AF26" i="13"/>
  <c r="AE26" i="13"/>
  <c r="AD26" i="13"/>
  <c r="B5" i="30" l="1" a="1"/>
  <c r="B5" i="30" s="1"/>
  <c r="H4" i="74" l="1" a="1"/>
  <c r="H4" i="74" s="1"/>
  <c r="A4" i="74" a="1"/>
  <c r="D21" i="74" s="1"/>
  <c r="Q4" i="74" l="1" a="1"/>
  <c r="Q4" i="74" s="1"/>
  <c r="E6" i="74"/>
  <c r="F9" i="74"/>
  <c r="F13" i="74"/>
  <c r="F17" i="74"/>
  <c r="F21" i="74"/>
  <c r="A4" i="74"/>
  <c r="F6" i="74"/>
  <c r="G9" i="74"/>
  <c r="G13" i="74"/>
  <c r="G17" i="74"/>
  <c r="G21" i="74"/>
  <c r="G7" i="74"/>
  <c r="G11" i="74"/>
  <c r="G15" i="74"/>
  <c r="G19" i="74"/>
  <c r="G23" i="74"/>
  <c r="E7" i="74"/>
  <c r="E11" i="74"/>
  <c r="E15" i="74"/>
  <c r="E19" i="74"/>
  <c r="E23" i="74"/>
  <c r="F7" i="74"/>
  <c r="F11" i="74"/>
  <c r="F15" i="74"/>
  <c r="F19" i="74"/>
  <c r="F23" i="74"/>
  <c r="C8" i="74"/>
  <c r="C12" i="74"/>
  <c r="C16" i="74"/>
  <c r="C20" i="74"/>
  <c r="E17" i="74"/>
  <c r="G6" i="74"/>
  <c r="C14" i="74"/>
  <c r="D14" i="74"/>
  <c r="D18" i="74"/>
  <c r="D22" i="74"/>
  <c r="E10" i="74"/>
  <c r="E14" i="74"/>
  <c r="E18" i="74"/>
  <c r="E22" i="74"/>
  <c r="F10" i="74"/>
  <c r="F14" i="74"/>
  <c r="F18" i="74"/>
  <c r="F22" i="74"/>
  <c r="G10" i="74"/>
  <c r="G14" i="74"/>
  <c r="G18" i="74"/>
  <c r="G22" i="74"/>
  <c r="D7" i="74"/>
  <c r="D11" i="74"/>
  <c r="D15" i="74"/>
  <c r="D19" i="74"/>
  <c r="D23" i="74"/>
  <c r="D5" i="74"/>
  <c r="F16" i="74"/>
  <c r="D6" i="74"/>
  <c r="E9" i="74"/>
  <c r="E13" i="74"/>
  <c r="E21" i="74"/>
  <c r="C10" i="74"/>
  <c r="C18" i="74"/>
  <c r="C22" i="74"/>
  <c r="D10" i="74"/>
  <c r="C7" i="74"/>
  <c r="C11" i="74"/>
  <c r="C15" i="74"/>
  <c r="C19" i="74"/>
  <c r="C23" i="74"/>
  <c r="C5" i="74"/>
  <c r="D8" i="74"/>
  <c r="D12" i="74"/>
  <c r="D16" i="74"/>
  <c r="D20" i="74"/>
  <c r="E8" i="74"/>
  <c r="E12" i="74"/>
  <c r="E16" i="74"/>
  <c r="E20" i="74"/>
  <c r="E5" i="74"/>
  <c r="F8" i="74"/>
  <c r="F12" i="74"/>
  <c r="F20" i="74"/>
  <c r="F5" i="74"/>
  <c r="G8" i="74"/>
  <c r="G12" i="74"/>
  <c r="G16" i="74"/>
  <c r="G20" i="74"/>
  <c r="G5" i="74"/>
  <c r="C9" i="74"/>
  <c r="C13" i="74"/>
  <c r="C17" i="74"/>
  <c r="C21" i="74"/>
  <c r="C6" i="74"/>
  <c r="D9" i="74"/>
  <c r="D13" i="74"/>
  <c r="D17" i="74"/>
  <c r="AJ54" i="74" l="1" a="1"/>
  <c r="AJ54" i="74" s="1"/>
  <c r="AC54" i="74" a="1"/>
  <c r="AC54" i="74" s="1"/>
  <c r="AJ6" i="74" a="1"/>
  <c r="AJ6" i="74" s="1"/>
  <c r="AC6" i="74" a="1"/>
  <c r="AC6" i="74" s="1"/>
  <c r="AJ30" i="74" a="1"/>
  <c r="AJ30" i="74" s="1"/>
  <c r="AC30" i="74" a="1"/>
  <c r="AC30" i="74" s="1"/>
  <c r="D4" i="74"/>
  <c r="D24" i="74" s="1"/>
  <c r="C4" i="74"/>
  <c r="G4" i="74"/>
  <c r="G24" i="74" s="1"/>
  <c r="F4" i="74"/>
  <c r="F24" i="74" s="1"/>
  <c r="E4" i="74"/>
  <c r="E24" i="74" s="1"/>
  <c r="E27" i="74" l="1"/>
  <c r="E26" i="74"/>
  <c r="G27" i="74"/>
  <c r="G26" i="74"/>
  <c r="D27" i="74"/>
  <c r="D26" i="74"/>
  <c r="F27" i="74"/>
  <c r="F26" i="74"/>
  <c r="C24" i="74"/>
  <c r="C27" i="74" l="1"/>
  <c r="C26" i="74"/>
  <c r="D20" i="72"/>
  <c r="C20" i="72"/>
  <c r="G19" i="72"/>
  <c r="F19" i="72"/>
  <c r="E19" i="72"/>
  <c r="D19" i="72"/>
  <c r="C15" i="72"/>
  <c r="G14" i="72"/>
  <c r="F14" i="72"/>
  <c r="E14" i="72"/>
  <c r="D14" i="72"/>
  <c r="C14" i="72"/>
  <c r="G9" i="72"/>
  <c r="D9" i="72"/>
  <c r="E8" i="72"/>
  <c r="D8" i="72"/>
  <c r="C8" i="72"/>
  <c r="G7" i="72"/>
  <c r="J4" i="72" a="1"/>
  <c r="J4" i="72" s="1"/>
  <c r="H4" i="72" a="1"/>
  <c r="H4" i="72" s="1"/>
  <c r="A4" i="72" a="1"/>
  <c r="F21" i="72" s="1"/>
  <c r="E20" i="71"/>
  <c r="D20" i="71"/>
  <c r="C20" i="71"/>
  <c r="G19" i="71"/>
  <c r="F19" i="71"/>
  <c r="E19" i="71"/>
  <c r="H4" i="71" a="1"/>
  <c r="H4" i="71" s="1"/>
  <c r="A4" i="71" a="1"/>
  <c r="F21" i="71" s="1"/>
  <c r="G22" i="70"/>
  <c r="F22" i="70"/>
  <c r="E22" i="70"/>
  <c r="D18" i="70"/>
  <c r="C18" i="70"/>
  <c r="G17" i="70"/>
  <c r="H4" i="70" a="1"/>
  <c r="H4" i="70" s="1"/>
  <c r="A4" i="70" a="1"/>
  <c r="F21" i="70" s="1"/>
  <c r="F22" i="69"/>
  <c r="E22" i="69"/>
  <c r="D22" i="69"/>
  <c r="C22" i="69"/>
  <c r="G21" i="69"/>
  <c r="E21" i="69"/>
  <c r="C21" i="69"/>
  <c r="G20" i="69"/>
  <c r="F20" i="69"/>
  <c r="G17" i="69"/>
  <c r="E17" i="69"/>
  <c r="D17" i="69"/>
  <c r="G16" i="69"/>
  <c r="F16" i="69"/>
  <c r="E16" i="69"/>
  <c r="D16" i="69"/>
  <c r="C16" i="69"/>
  <c r="G15" i="69"/>
  <c r="F15" i="69"/>
  <c r="E12" i="69"/>
  <c r="D12" i="69"/>
  <c r="C12" i="69"/>
  <c r="G11" i="69"/>
  <c r="F11" i="69"/>
  <c r="E11" i="69"/>
  <c r="D11" i="69"/>
  <c r="C11" i="69"/>
  <c r="G10" i="69"/>
  <c r="C10" i="69"/>
  <c r="G7" i="69"/>
  <c r="F7" i="69"/>
  <c r="E7" i="69"/>
  <c r="D7" i="69"/>
  <c r="C7" i="69"/>
  <c r="G6" i="69"/>
  <c r="F6" i="69"/>
  <c r="F5" i="69"/>
  <c r="E5" i="69"/>
  <c r="D5" i="69"/>
  <c r="C5" i="69"/>
  <c r="H4" i="69" a="1"/>
  <c r="H4" i="69" s="1"/>
  <c r="A4" i="69" a="1"/>
  <c r="F21" i="69" s="1"/>
  <c r="H4" i="68" a="1"/>
  <c r="H4" i="68" s="1"/>
  <c r="A4" i="68" a="1"/>
  <c r="J19" i="30"/>
  <c r="J12" i="30"/>
  <c r="D21" i="72" l="1"/>
  <c r="F12" i="69"/>
  <c r="C13" i="69"/>
  <c r="C11" i="72"/>
  <c r="E16" i="72"/>
  <c r="C22" i="72"/>
  <c r="F11" i="68"/>
  <c r="G8" i="71"/>
  <c r="F5" i="72"/>
  <c r="D11" i="72"/>
  <c r="F16" i="72"/>
  <c r="G22" i="72"/>
  <c r="C8" i="71"/>
  <c r="E10" i="72"/>
  <c r="F15" i="72"/>
  <c r="C21" i="72"/>
  <c r="F14" i="68"/>
  <c r="E23" i="69"/>
  <c r="C5" i="72"/>
  <c r="F23" i="69"/>
  <c r="G21" i="72"/>
  <c r="G23" i="69"/>
  <c r="E22" i="68"/>
  <c r="F22" i="68"/>
  <c r="C9" i="71"/>
  <c r="G22" i="68"/>
  <c r="E8" i="69"/>
  <c r="G13" i="69"/>
  <c r="E19" i="69"/>
  <c r="E8" i="70"/>
  <c r="C13" i="71"/>
  <c r="C6" i="72"/>
  <c r="G11" i="72"/>
  <c r="C17" i="72"/>
  <c r="D23" i="72"/>
  <c r="C10" i="72"/>
  <c r="D15" i="72"/>
  <c r="F20" i="72"/>
  <c r="G11" i="68"/>
  <c r="E5" i="72"/>
  <c r="E18" i="69"/>
  <c r="D19" i="69"/>
  <c r="E11" i="72"/>
  <c r="F19" i="69"/>
  <c r="F8" i="70"/>
  <c r="D13" i="71"/>
  <c r="F6" i="72"/>
  <c r="C12" i="72"/>
  <c r="D17" i="72"/>
  <c r="E23" i="72"/>
  <c r="C11" i="68"/>
  <c r="E8" i="71"/>
  <c r="G10" i="72"/>
  <c r="G19" i="68"/>
  <c r="D18" i="69"/>
  <c r="D13" i="69"/>
  <c r="D8" i="69"/>
  <c r="G5" i="72"/>
  <c r="G8" i="70"/>
  <c r="G6" i="72"/>
  <c r="E18" i="72"/>
  <c r="F23" i="72"/>
  <c r="D8" i="71"/>
  <c r="F10" i="72"/>
  <c r="C18" i="69"/>
  <c r="D5" i="72"/>
  <c r="D16" i="72"/>
  <c r="F8" i="71"/>
  <c r="C8" i="69"/>
  <c r="E13" i="69"/>
  <c r="C23" i="72"/>
  <c r="G8" i="69"/>
  <c r="C9" i="69"/>
  <c r="G19" i="69"/>
  <c r="F14" i="71"/>
  <c r="E23" i="68"/>
  <c r="D9" i="69"/>
  <c r="C15" i="69"/>
  <c r="C20" i="69"/>
  <c r="C13" i="70"/>
  <c r="G14" i="71"/>
  <c r="C7" i="72"/>
  <c r="E12" i="72"/>
  <c r="F18" i="72"/>
  <c r="G23" i="72"/>
  <c r="Q4" i="69" a="1"/>
  <c r="Q4" i="69" s="1"/>
  <c r="E11" i="68"/>
  <c r="E9" i="69"/>
  <c r="D15" i="69"/>
  <c r="D20" i="69"/>
  <c r="D13" i="70"/>
  <c r="C15" i="71"/>
  <c r="E7" i="72"/>
  <c r="F12" i="72"/>
  <c r="G18" i="72"/>
  <c r="G10" i="68"/>
  <c r="D10" i="72"/>
  <c r="E15" i="72"/>
  <c r="G20" i="72"/>
  <c r="E14" i="68"/>
  <c r="G15" i="72"/>
  <c r="F19" i="68"/>
  <c r="G16" i="72"/>
  <c r="C23" i="68"/>
  <c r="C14" i="69"/>
  <c r="D14" i="69"/>
  <c r="D12" i="72"/>
  <c r="A4" i="69"/>
  <c r="G9" i="69"/>
  <c r="E15" i="69"/>
  <c r="E20" i="69"/>
  <c r="E13" i="70"/>
  <c r="D15" i="71"/>
  <c r="F7" i="72"/>
  <c r="G12" i="72"/>
  <c r="C19" i="72"/>
  <c r="J22" i="30"/>
  <c r="J15" i="30"/>
  <c r="F15" i="71"/>
  <c r="G20" i="71"/>
  <c r="C15" i="68"/>
  <c r="G23" i="68"/>
  <c r="F5" i="70"/>
  <c r="E10" i="70"/>
  <c r="C15" i="70"/>
  <c r="C20" i="70"/>
  <c r="D5" i="71"/>
  <c r="G10" i="71"/>
  <c r="C16" i="71"/>
  <c r="D21" i="71"/>
  <c r="A4" i="70"/>
  <c r="F4" i="70" s="1"/>
  <c r="D9" i="70"/>
  <c r="C14" i="70"/>
  <c r="F18" i="70"/>
  <c r="D23" i="70"/>
  <c r="C5" i="70"/>
  <c r="G9" i="70"/>
  <c r="C19" i="70"/>
  <c r="D5" i="70"/>
  <c r="C10" i="70"/>
  <c r="F14" i="70"/>
  <c r="D19" i="70"/>
  <c r="E9" i="71"/>
  <c r="G14" i="68"/>
  <c r="F23" i="68"/>
  <c r="E5" i="70"/>
  <c r="D10" i="70"/>
  <c r="G14" i="70"/>
  <c r="G19" i="70"/>
  <c r="C5" i="71"/>
  <c r="F10" i="71"/>
  <c r="G15" i="71"/>
  <c r="C21" i="71"/>
  <c r="F8" i="69"/>
  <c r="G12" i="69"/>
  <c r="C17" i="69"/>
  <c r="D21" i="69"/>
  <c r="G5" i="70"/>
  <c r="F10" i="70"/>
  <c r="D15" i="70"/>
  <c r="D20" i="70"/>
  <c r="E5" i="71"/>
  <c r="C11" i="71"/>
  <c r="D16" i="71"/>
  <c r="F22" i="71"/>
  <c r="D7" i="72"/>
  <c r="F11" i="72"/>
  <c r="C16" i="72"/>
  <c r="E20" i="72"/>
  <c r="E14" i="70"/>
  <c r="D6" i="70"/>
  <c r="C23" i="71"/>
  <c r="F6" i="70"/>
  <c r="D11" i="70"/>
  <c r="D16" i="70"/>
  <c r="G20" i="70"/>
  <c r="C6" i="71"/>
  <c r="F11" i="71"/>
  <c r="G16" i="71"/>
  <c r="D23" i="71"/>
  <c r="C9" i="70"/>
  <c r="G13" i="70"/>
  <c r="E18" i="70"/>
  <c r="C23" i="70"/>
  <c r="E9" i="70"/>
  <c r="D14" i="70"/>
  <c r="G18" i="70"/>
  <c r="G23" i="70"/>
  <c r="E4" i="69"/>
  <c r="AC30" i="69" a="1"/>
  <c r="AC30" i="69" s="1"/>
  <c r="AJ54" i="69" a="1"/>
  <c r="AJ54" i="69" s="1"/>
  <c r="AC54" i="69" a="1"/>
  <c r="AC54" i="69" s="1"/>
  <c r="AC6" i="69" a="1"/>
  <c r="AC6" i="69" s="1"/>
  <c r="AJ6" i="69" a="1"/>
  <c r="AJ6" i="69" s="1"/>
  <c r="AJ30" i="69" a="1"/>
  <c r="AJ30" i="69" s="1"/>
  <c r="E16" i="70"/>
  <c r="D6" i="71"/>
  <c r="G11" i="71"/>
  <c r="E23" i="71"/>
  <c r="E15" i="68"/>
  <c r="F15" i="68"/>
  <c r="E18" i="68"/>
  <c r="F18" i="71"/>
  <c r="D9" i="71"/>
  <c r="E15" i="71"/>
  <c r="F20" i="71"/>
  <c r="C6" i="70"/>
  <c r="G10" i="70"/>
  <c r="G15" i="70"/>
  <c r="E20" i="70"/>
  <c r="F5" i="71"/>
  <c r="D11" i="71"/>
  <c r="E16" i="71"/>
  <c r="G22" i="71"/>
  <c r="E7" i="68"/>
  <c r="F18" i="68"/>
  <c r="C7" i="70"/>
  <c r="C12" i="70"/>
  <c r="F16" i="70"/>
  <c r="C7" i="71"/>
  <c r="C12" i="71"/>
  <c r="D17" i="71"/>
  <c r="F23" i="71"/>
  <c r="D7" i="70"/>
  <c r="D12" i="70"/>
  <c r="G16" i="70"/>
  <c r="E21" i="70"/>
  <c r="D7" i="71"/>
  <c r="D12" i="71"/>
  <c r="G23" i="71"/>
  <c r="F8" i="72"/>
  <c r="C13" i="72"/>
  <c r="G17" i="72"/>
  <c r="D22" i="72"/>
  <c r="D21" i="70"/>
  <c r="F7" i="68"/>
  <c r="G18" i="68"/>
  <c r="G7" i="68"/>
  <c r="G5" i="69"/>
  <c r="D10" i="69"/>
  <c r="F18" i="69"/>
  <c r="G7" i="70"/>
  <c r="E12" i="70"/>
  <c r="C17" i="70"/>
  <c r="E7" i="71"/>
  <c r="E12" i="71"/>
  <c r="E10" i="68"/>
  <c r="C6" i="69"/>
  <c r="E10" i="69"/>
  <c r="F14" i="69"/>
  <c r="G18" i="69"/>
  <c r="C23" i="69"/>
  <c r="C8" i="70"/>
  <c r="F12" i="70"/>
  <c r="D17" i="70"/>
  <c r="C22" i="70"/>
  <c r="F7" i="71"/>
  <c r="F12" i="71"/>
  <c r="C19" i="71"/>
  <c r="A4" i="72"/>
  <c r="E4" i="72" s="1"/>
  <c r="G8" i="72"/>
  <c r="D13" i="72"/>
  <c r="C18" i="72"/>
  <c r="E22" i="72"/>
  <c r="C11" i="70"/>
  <c r="C16" i="70"/>
  <c r="F20" i="70"/>
  <c r="G5" i="71"/>
  <c r="E11" i="71"/>
  <c r="F16" i="71"/>
  <c r="C7" i="68"/>
  <c r="G15" i="68"/>
  <c r="G6" i="70"/>
  <c r="G11" i="70"/>
  <c r="C21" i="70"/>
  <c r="C17" i="71"/>
  <c r="C19" i="68"/>
  <c r="E14" i="69"/>
  <c r="G22" i="69"/>
  <c r="G21" i="70"/>
  <c r="G18" i="71"/>
  <c r="F10" i="68"/>
  <c r="E19" i="68"/>
  <c r="D6" i="69"/>
  <c r="F10" i="69"/>
  <c r="G14" i="69"/>
  <c r="C19" i="69"/>
  <c r="D23" i="69"/>
  <c r="D8" i="70"/>
  <c r="G12" i="70"/>
  <c r="E17" i="70"/>
  <c r="D22" i="70"/>
  <c r="G7" i="71"/>
  <c r="G12" i="71"/>
  <c r="D19" i="71"/>
  <c r="C9" i="72"/>
  <c r="G13" i="72"/>
  <c r="D18" i="72"/>
  <c r="F22" i="72"/>
  <c r="L12" i="30" a="1"/>
  <c r="L12" i="30" s="1"/>
  <c r="K15" i="30" s="1"/>
  <c r="L19" i="30" a="1"/>
  <c r="L19" i="30" s="1"/>
  <c r="K22" i="30" s="1"/>
  <c r="L5" i="30" a="1"/>
  <c r="Q4" i="72" a="1"/>
  <c r="Q4" i="72" s="1"/>
  <c r="C4" i="72"/>
  <c r="F4" i="72"/>
  <c r="D6" i="72"/>
  <c r="E9" i="72"/>
  <c r="E13" i="72"/>
  <c r="E17" i="72"/>
  <c r="E21" i="72"/>
  <c r="E6" i="72"/>
  <c r="F9" i="72"/>
  <c r="F13" i="72"/>
  <c r="F17" i="72"/>
  <c r="E13" i="71"/>
  <c r="E17" i="71"/>
  <c r="E21" i="71"/>
  <c r="A4" i="71"/>
  <c r="F6" i="71"/>
  <c r="G9" i="71"/>
  <c r="G13" i="71"/>
  <c r="G17" i="71"/>
  <c r="G21" i="71"/>
  <c r="G6" i="71"/>
  <c r="C10" i="71"/>
  <c r="C14" i="71"/>
  <c r="C18" i="71"/>
  <c r="C22" i="71"/>
  <c r="D10" i="71"/>
  <c r="D14" i="71"/>
  <c r="D18" i="71"/>
  <c r="D22" i="71"/>
  <c r="E10" i="71"/>
  <c r="E14" i="71"/>
  <c r="E18" i="71"/>
  <c r="E22" i="71"/>
  <c r="E6" i="71"/>
  <c r="F9" i="71"/>
  <c r="F13" i="71"/>
  <c r="F17" i="71"/>
  <c r="E7" i="70"/>
  <c r="E11" i="70"/>
  <c r="E15" i="70"/>
  <c r="E19" i="70"/>
  <c r="E23" i="70"/>
  <c r="F7" i="70"/>
  <c r="F11" i="70"/>
  <c r="F15" i="70"/>
  <c r="F19" i="70"/>
  <c r="F23" i="70"/>
  <c r="E6" i="70"/>
  <c r="F9" i="70"/>
  <c r="F13" i="70"/>
  <c r="F17" i="70"/>
  <c r="F4" i="69"/>
  <c r="G4" i="69"/>
  <c r="C4" i="69"/>
  <c r="D4" i="69"/>
  <c r="E6" i="69"/>
  <c r="F9" i="69"/>
  <c r="F13" i="69"/>
  <c r="F17" i="69"/>
  <c r="E6" i="68"/>
  <c r="F9" i="68"/>
  <c r="F13" i="68"/>
  <c r="F17" i="68"/>
  <c r="F21" i="68"/>
  <c r="A4" i="68"/>
  <c r="F6" i="68"/>
  <c r="G9" i="68"/>
  <c r="G13" i="68"/>
  <c r="G17" i="68"/>
  <c r="G21" i="68"/>
  <c r="F5" i="68"/>
  <c r="G8" i="68"/>
  <c r="G12" i="68"/>
  <c r="G16" i="68"/>
  <c r="G20" i="68"/>
  <c r="G5" i="68"/>
  <c r="C9" i="68"/>
  <c r="C13" i="68"/>
  <c r="C17" i="68"/>
  <c r="C21" i="68"/>
  <c r="C6" i="68"/>
  <c r="E9" i="68"/>
  <c r="E13" i="68"/>
  <c r="E17" i="68"/>
  <c r="E21" i="68"/>
  <c r="G6" i="68"/>
  <c r="C10" i="68"/>
  <c r="C14" i="68"/>
  <c r="C18" i="68"/>
  <c r="C22" i="68"/>
  <c r="C8" i="68"/>
  <c r="C12" i="68"/>
  <c r="C16" i="68"/>
  <c r="C20" i="68"/>
  <c r="C5" i="68"/>
  <c r="E8" i="68"/>
  <c r="E12" i="68"/>
  <c r="E16" i="68"/>
  <c r="E20" i="68"/>
  <c r="E5" i="68"/>
  <c r="F8" i="68"/>
  <c r="F12" i="68"/>
  <c r="F16" i="68"/>
  <c r="F20" i="68"/>
  <c r="G4" i="70" l="1"/>
  <c r="G24" i="70" s="1"/>
  <c r="D4" i="70"/>
  <c r="D24" i="70" s="1"/>
  <c r="D4" i="72"/>
  <c r="D24" i="72" s="1"/>
  <c r="D26" i="72" s="1"/>
  <c r="AJ30" i="72" a="1"/>
  <c r="AJ30" i="72" s="1"/>
  <c r="AC30" i="72" a="1"/>
  <c r="AC30" i="72" s="1"/>
  <c r="AJ6" i="72" a="1"/>
  <c r="AJ6" i="72" s="1"/>
  <c r="AC6" i="72" a="1"/>
  <c r="AC6" i="72" s="1"/>
  <c r="AJ54" i="72" a="1"/>
  <c r="AJ54" i="72" s="1"/>
  <c r="AC54" i="72" a="1"/>
  <c r="AC54" i="72" s="1"/>
  <c r="L5" i="30"/>
  <c r="G2" i="75"/>
  <c r="C24" i="72"/>
  <c r="C26" i="72" s="1"/>
  <c r="G24" i="69"/>
  <c r="E4" i="70"/>
  <c r="E24" i="70" s="1"/>
  <c r="AJ30" i="70" a="1"/>
  <c r="AJ30" i="70" s="1"/>
  <c r="AJ54" i="70" a="1"/>
  <c r="AJ54" i="70" s="1"/>
  <c r="AJ6" i="70" a="1"/>
  <c r="AJ6" i="70" s="1"/>
  <c r="AC30" i="70" a="1"/>
  <c r="AC30" i="70" s="1"/>
  <c r="AC6" i="70" a="1"/>
  <c r="AC6" i="70" s="1"/>
  <c r="AC54" i="70" a="1"/>
  <c r="AC54" i="70" s="1"/>
  <c r="AJ54" i="68" a="1"/>
  <c r="AJ54" i="68" s="1"/>
  <c r="AJ6" i="68" a="1"/>
  <c r="AJ6" i="68" s="1"/>
  <c r="AC6" i="68" a="1"/>
  <c r="AC6" i="68" s="1"/>
  <c r="AC54" i="68" a="1"/>
  <c r="AC54" i="68" s="1"/>
  <c r="AJ30" i="68" a="1"/>
  <c r="AJ30" i="68" s="1"/>
  <c r="AC30" i="68" a="1"/>
  <c r="AC30" i="68" s="1"/>
  <c r="C4" i="70"/>
  <c r="C24" i="70" s="1"/>
  <c r="Q4" i="70" a="1"/>
  <c r="Q4" i="70" s="1"/>
  <c r="AJ54" i="71" a="1"/>
  <c r="AJ54" i="71" s="1"/>
  <c r="AC54" i="71" a="1"/>
  <c r="AC54" i="71" s="1"/>
  <c r="AC6" i="71" a="1"/>
  <c r="AC6" i="71" s="1"/>
  <c r="AJ30" i="71" a="1"/>
  <c r="AJ30" i="71" s="1"/>
  <c r="AC30" i="71" a="1"/>
  <c r="AC30" i="71" s="1"/>
  <c r="AJ6" i="71" a="1"/>
  <c r="AJ6" i="71" s="1"/>
  <c r="G4" i="72"/>
  <c r="E24" i="69"/>
  <c r="D24" i="69"/>
  <c r="C24" i="69"/>
  <c r="Q4" i="71" a="1"/>
  <c r="Q4" i="71" s="1"/>
  <c r="F24" i="72"/>
  <c r="F27" i="72" s="1"/>
  <c r="E24" i="72"/>
  <c r="E26" i="72" s="1"/>
  <c r="G4" i="71"/>
  <c r="G24" i="71" s="1"/>
  <c r="E4" i="71"/>
  <c r="E24" i="71" s="1"/>
  <c r="D4" i="71"/>
  <c r="C4" i="71"/>
  <c r="C24" i="71" s="1"/>
  <c r="F4" i="71"/>
  <c r="F24" i="71" s="1"/>
  <c r="F24" i="70"/>
  <c r="F24" i="69"/>
  <c r="E4" i="68"/>
  <c r="E24" i="68" s="1"/>
  <c r="F4" i="68"/>
  <c r="F24" i="68" s="1"/>
  <c r="G4" i="68"/>
  <c r="G24" i="68" s="1"/>
  <c r="C4" i="68"/>
  <c r="H178" i="48"/>
  <c r="H150" i="67"/>
  <c r="H149" i="67"/>
  <c r="H148" i="67"/>
  <c r="H147" i="67"/>
  <c r="H146" i="67"/>
  <c r="H145" i="67"/>
  <c r="H144" i="67"/>
  <c r="H143" i="67"/>
  <c r="H142" i="67"/>
  <c r="H141" i="67"/>
  <c r="H140" i="67"/>
  <c r="H139" i="67"/>
  <c r="H138" i="67"/>
  <c r="H137" i="67"/>
  <c r="H136" i="67"/>
  <c r="H135" i="67"/>
  <c r="H134" i="67"/>
  <c r="H133" i="67"/>
  <c r="H132" i="67"/>
  <c r="H131" i="67"/>
  <c r="H130" i="67"/>
  <c r="H129" i="67"/>
  <c r="H128" i="67"/>
  <c r="H127" i="67"/>
  <c r="H126" i="67"/>
  <c r="H125" i="67"/>
  <c r="H124" i="67"/>
  <c r="H123" i="67"/>
  <c r="H122" i="67"/>
  <c r="H121" i="67"/>
  <c r="H120" i="67"/>
  <c r="H119" i="67"/>
  <c r="H118" i="67"/>
  <c r="H117" i="67"/>
  <c r="H116" i="67"/>
  <c r="H115" i="67"/>
  <c r="H114" i="67"/>
  <c r="H113" i="67"/>
  <c r="H112" i="67"/>
  <c r="H111" i="67"/>
  <c r="H110" i="67"/>
  <c r="H109" i="67"/>
  <c r="H108" i="67"/>
  <c r="H107" i="67"/>
  <c r="H106" i="67"/>
  <c r="H105" i="67"/>
  <c r="H104" i="67"/>
  <c r="H103" i="67"/>
  <c r="H102" i="67"/>
  <c r="H101" i="67"/>
  <c r="H100" i="67"/>
  <c r="H99" i="67"/>
  <c r="H98" i="67"/>
  <c r="H97" i="67"/>
  <c r="H96" i="67"/>
  <c r="H95" i="67"/>
  <c r="H94" i="67"/>
  <c r="H93" i="67"/>
  <c r="H92" i="67"/>
  <c r="H91" i="67"/>
  <c r="H90" i="67"/>
  <c r="H89" i="67"/>
  <c r="H88" i="67"/>
  <c r="O87" i="67" a="1"/>
  <c r="O87" i="67" s="1"/>
  <c r="H87" i="67"/>
  <c r="E87" i="67" a="1"/>
  <c r="E87" i="67" s="1"/>
  <c r="J87" i="67" s="1" a="1"/>
  <c r="J87" i="67" s="1"/>
  <c r="K87" i="67" s="1" a="1"/>
  <c r="H78" i="67"/>
  <c r="H77" i="67"/>
  <c r="H76" i="67"/>
  <c r="H75" i="67"/>
  <c r="H74" i="67"/>
  <c r="H73" i="67"/>
  <c r="H72" i="67"/>
  <c r="H71" i="67"/>
  <c r="H70" i="67"/>
  <c r="H69" i="67"/>
  <c r="H68" i="67"/>
  <c r="H67" i="67"/>
  <c r="H66" i="67"/>
  <c r="H65" i="67"/>
  <c r="H64" i="67"/>
  <c r="H63" i="67"/>
  <c r="H62" i="67"/>
  <c r="H61" i="67"/>
  <c r="H60" i="67"/>
  <c r="H59" i="67"/>
  <c r="H58" i="67"/>
  <c r="H57" i="67"/>
  <c r="H56" i="67"/>
  <c r="H55" i="67"/>
  <c r="H54" i="67"/>
  <c r="H53" i="67"/>
  <c r="H52" i="67"/>
  <c r="H51" i="67"/>
  <c r="H50" i="67"/>
  <c r="H49" i="67"/>
  <c r="H48" i="67"/>
  <c r="H47" i="67"/>
  <c r="H46" i="67"/>
  <c r="H45" i="67"/>
  <c r="H44" i="67"/>
  <c r="H43" i="67"/>
  <c r="H42" i="67"/>
  <c r="H41" i="67"/>
  <c r="H40" i="67"/>
  <c r="H39" i="67"/>
  <c r="H38" i="67"/>
  <c r="H37" i="67"/>
  <c r="H36" i="67"/>
  <c r="H35" i="67"/>
  <c r="H34" i="67"/>
  <c r="H33" i="67"/>
  <c r="H32" i="67"/>
  <c r="H31" i="67"/>
  <c r="H30" i="67"/>
  <c r="H29" i="67"/>
  <c r="H28" i="67"/>
  <c r="H27" i="67"/>
  <c r="H26" i="67"/>
  <c r="H25" i="67"/>
  <c r="H24" i="67"/>
  <c r="H23" i="67"/>
  <c r="H22" i="67"/>
  <c r="H21" i="67"/>
  <c r="H20" i="67"/>
  <c r="H19" i="67"/>
  <c r="H18" i="67"/>
  <c r="H17" i="67"/>
  <c r="H16" i="67"/>
  <c r="O15" i="67" a="1"/>
  <c r="O15" i="67" s="1"/>
  <c r="H15" i="67"/>
  <c r="E15" i="67" a="1"/>
  <c r="E15" i="67" s="1"/>
  <c r="J15" i="67" s="1" a="1"/>
  <c r="B7" i="67" a="1"/>
  <c r="B7" i="67" s="1"/>
  <c r="B3" i="67"/>
  <c r="H28" i="48"/>
  <c r="F27" i="71" l="1"/>
  <c r="F26" i="71"/>
  <c r="E26" i="69"/>
  <c r="E27" i="69"/>
  <c r="E27" i="68"/>
  <c r="E26" i="68"/>
  <c r="D26" i="70"/>
  <c r="D27" i="70"/>
  <c r="E27" i="70"/>
  <c r="E26" i="70"/>
  <c r="F87" i="67" a="1"/>
  <c r="F87" i="67" s="1"/>
  <c r="F15" i="67" a="1"/>
  <c r="F15" i="67" s="1"/>
  <c r="F27" i="70"/>
  <c r="F26" i="70"/>
  <c r="G26" i="71"/>
  <c r="G27" i="71"/>
  <c r="E27" i="71"/>
  <c r="E26" i="71"/>
  <c r="G27" i="68"/>
  <c r="G26" i="68"/>
  <c r="G27" i="69"/>
  <c r="G26" i="69"/>
  <c r="C26" i="71"/>
  <c r="C27" i="71"/>
  <c r="F27" i="68"/>
  <c r="F26" i="68"/>
  <c r="G27" i="70"/>
  <c r="G26" i="70"/>
  <c r="F27" i="69"/>
  <c r="F26" i="69"/>
  <c r="C26" i="70"/>
  <c r="C27" i="70"/>
  <c r="C26" i="69"/>
  <c r="C27" i="69"/>
  <c r="D27" i="69"/>
  <c r="D26" i="69"/>
  <c r="F26" i="72"/>
  <c r="C27" i="72"/>
  <c r="G24" i="72"/>
  <c r="G27" i="72" s="1"/>
  <c r="G26" i="72"/>
  <c r="E27" i="72"/>
  <c r="D27" i="72"/>
  <c r="D24" i="71"/>
  <c r="D27" i="71" s="1"/>
  <c r="K8" i="30"/>
  <c r="F2" i="75"/>
  <c r="F4" i="75" s="1" a="1"/>
  <c r="F4" i="75" s="1"/>
  <c r="C24" i="68"/>
  <c r="K87" i="67"/>
  <c r="L87" i="67" s="1" a="1"/>
  <c r="L87" i="67" s="1"/>
  <c r="J15" i="67"/>
  <c r="K15" i="67" s="1" a="1"/>
  <c r="K79" i="67"/>
  <c r="O157" i="48" a="1"/>
  <c r="O157" i="48" s="1"/>
  <c r="O87" i="48" a="1"/>
  <c r="O87" i="48" s="1"/>
  <c r="O15" i="48" a="1"/>
  <c r="O15" i="48" s="1"/>
  <c r="C26" i="68" l="1"/>
  <c r="C27" i="68"/>
  <c r="M87" i="67" a="1"/>
  <c r="M87" i="67" s="1"/>
  <c r="D4" i="76" a="1"/>
  <c r="D4" i="76" s="1"/>
  <c r="D26" i="71"/>
  <c r="K15" i="67"/>
  <c r="L15" i="67" s="1" a="1"/>
  <c r="L15" i="67" s="1"/>
  <c r="C4" i="76" s="1" a="1"/>
  <c r="C4" i="76" s="1"/>
  <c r="N87" i="67" l="1" a="1"/>
  <c r="N87" i="67" s="1"/>
  <c r="G34" i="67"/>
  <c r="G33" i="67"/>
  <c r="G31" i="67"/>
  <c r="G28" i="67"/>
  <c r="M15" i="67" a="1"/>
  <c r="G29" i="67"/>
  <c r="G27" i="67"/>
  <c r="G26" i="67"/>
  <c r="G30" i="67"/>
  <c r="G32" i="67"/>
  <c r="F7" i="67" l="1"/>
  <c r="G7" i="67" s="1"/>
  <c r="M15" i="67"/>
  <c r="D7" i="67"/>
  <c r="H7" i="67" l="1"/>
  <c r="N15" i="67" a="1"/>
  <c r="N15" i="67" s="1"/>
  <c r="C7" i="67" s="1"/>
  <c r="E7" i="67" s="1"/>
  <c r="B7" i="48" a="1"/>
  <c r="B7" i="48" s="1"/>
  <c r="B3" i="48"/>
  <c r="F15" i="48" s="1" a="1"/>
  <c r="F15" i="48" s="1"/>
  <c r="H4" i="13" l="1" a="1"/>
  <c r="H4" i="13" s="1"/>
  <c r="A4" i="13" a="1"/>
  <c r="C22" i="13" l="1"/>
  <c r="G22" i="13"/>
  <c r="C23" i="13"/>
  <c r="E23" i="13"/>
  <c r="F23" i="13"/>
  <c r="G23" i="13"/>
  <c r="E22" i="13"/>
  <c r="F22" i="13"/>
  <c r="A4" i="13"/>
  <c r="E13" i="13"/>
  <c r="E20" i="13"/>
  <c r="C21" i="13"/>
  <c r="F6" i="13"/>
  <c r="F13" i="13"/>
  <c r="F20" i="13"/>
  <c r="G6" i="13"/>
  <c r="G13" i="13"/>
  <c r="G20" i="13"/>
  <c r="C7" i="13"/>
  <c r="C14" i="13"/>
  <c r="E7" i="13"/>
  <c r="E14" i="13"/>
  <c r="F7" i="13"/>
  <c r="F14" i="13"/>
  <c r="G7" i="13"/>
  <c r="F16" i="13"/>
  <c r="G16" i="13"/>
  <c r="C10" i="13"/>
  <c r="C17" i="13"/>
  <c r="E10" i="13"/>
  <c r="E17" i="13"/>
  <c r="F10" i="13"/>
  <c r="F17" i="13"/>
  <c r="G10" i="13"/>
  <c r="G17" i="13"/>
  <c r="C11" i="13"/>
  <c r="C20" i="13"/>
  <c r="C8" i="13"/>
  <c r="E11" i="13"/>
  <c r="G14" i="13"/>
  <c r="C18" i="13"/>
  <c r="E21" i="13"/>
  <c r="F11" i="13"/>
  <c r="F21" i="13"/>
  <c r="C5" i="13"/>
  <c r="G11" i="13"/>
  <c r="C15" i="13"/>
  <c r="E18" i="13"/>
  <c r="F8" i="13"/>
  <c r="F18" i="13"/>
  <c r="E5" i="13"/>
  <c r="C12" i="13"/>
  <c r="E15" i="13"/>
  <c r="G18" i="13"/>
  <c r="G5" i="13"/>
  <c r="E12" i="13"/>
  <c r="F9" i="13"/>
  <c r="F19" i="13"/>
  <c r="E8" i="13"/>
  <c r="G21" i="13"/>
  <c r="G8" i="13"/>
  <c r="F5" i="13"/>
  <c r="F15" i="13"/>
  <c r="C9" i="13"/>
  <c r="G15" i="13"/>
  <c r="C19" i="13"/>
  <c r="F12" i="13"/>
  <c r="C6" i="13"/>
  <c r="E9" i="13"/>
  <c r="G12" i="13"/>
  <c r="C16" i="13"/>
  <c r="E19" i="13"/>
  <c r="E6" i="13"/>
  <c r="G9" i="13"/>
  <c r="C13" i="13"/>
  <c r="E16" i="13"/>
  <c r="G19" i="13"/>
  <c r="AC30" i="13" l="1" a="1"/>
  <c r="AC30" i="13" s="1"/>
  <c r="AC54" i="13" a="1"/>
  <c r="AC54" i="13" s="1"/>
  <c r="AJ6" i="13" a="1"/>
  <c r="AJ6" i="13" s="1"/>
  <c r="AC6" i="13" a="1"/>
  <c r="AC6" i="13" s="1"/>
  <c r="AJ54" i="13" a="1"/>
  <c r="AJ54" i="13" s="1"/>
  <c r="AJ30" i="13" a="1"/>
  <c r="AJ30" i="13" s="1"/>
  <c r="E4" i="13"/>
  <c r="E24" i="13" s="1"/>
  <c r="F4" i="13"/>
  <c r="F24" i="13" s="1"/>
  <c r="C4" i="13"/>
  <c r="C24" i="13" s="1"/>
  <c r="G4" i="13"/>
  <c r="G24" i="13" s="1"/>
  <c r="G27" i="13" l="1"/>
  <c r="G26" i="13"/>
  <c r="F27" i="13"/>
  <c r="F26" i="13"/>
  <c r="E27" i="13"/>
  <c r="E26" i="13"/>
  <c r="C27" i="13"/>
  <c r="C26" i="13"/>
  <c r="B36" i="4"/>
  <c r="E24" i="53" l="1"/>
  <c r="C35" i="53" s="1"/>
  <c r="E20" i="53"/>
  <c r="C34" i="53" s="1"/>
  <c r="E16" i="53"/>
  <c r="C33" i="53" s="1"/>
  <c r="E12" i="53"/>
  <c r="C32" i="53" s="1"/>
  <c r="E8" i="53"/>
  <c r="C31" i="53" s="1"/>
  <c r="E4" i="53"/>
  <c r="C30" i="53" s="1"/>
  <c r="A17" i="4" l="1"/>
  <c r="A11" i="4" a="1"/>
  <c r="A11" i="4" s="1"/>
  <c r="M80" i="48" l="1"/>
  <c r="C157" i="48" l="1" a="1"/>
  <c r="C157" i="48" s="1"/>
  <c r="H220" i="48"/>
  <c r="H219" i="48"/>
  <c r="H218" i="48"/>
  <c r="H217" i="48"/>
  <c r="H216" i="48"/>
  <c r="H215" i="48"/>
  <c r="H214" i="48"/>
  <c r="H213" i="48"/>
  <c r="H212" i="48"/>
  <c r="H211" i="48"/>
  <c r="H210" i="48"/>
  <c r="H209" i="48"/>
  <c r="H208" i="48"/>
  <c r="H207" i="48"/>
  <c r="H206" i="48"/>
  <c r="H205" i="48"/>
  <c r="H204" i="48"/>
  <c r="H203" i="48"/>
  <c r="H202" i="48"/>
  <c r="H201" i="48"/>
  <c r="H200" i="48"/>
  <c r="H199" i="48"/>
  <c r="H198" i="48"/>
  <c r="H197" i="48"/>
  <c r="H196" i="48"/>
  <c r="H195" i="48"/>
  <c r="H194" i="48"/>
  <c r="H193" i="48"/>
  <c r="H192" i="48"/>
  <c r="H191" i="48"/>
  <c r="H190" i="48"/>
  <c r="H189" i="48"/>
  <c r="H188" i="48"/>
  <c r="H187" i="48"/>
  <c r="H186" i="48"/>
  <c r="H185" i="48"/>
  <c r="H184" i="48"/>
  <c r="H183" i="48"/>
  <c r="H182" i="48"/>
  <c r="H181" i="48"/>
  <c r="H180" i="48"/>
  <c r="H179" i="48"/>
  <c r="H177" i="48"/>
  <c r="H176" i="48"/>
  <c r="H175" i="48"/>
  <c r="H174" i="48"/>
  <c r="H173" i="48"/>
  <c r="H172" i="48"/>
  <c r="H171" i="48"/>
  <c r="H170" i="48"/>
  <c r="H169" i="48"/>
  <c r="H168" i="48"/>
  <c r="H167" i="48"/>
  <c r="H166" i="48"/>
  <c r="H165" i="48"/>
  <c r="H164" i="48"/>
  <c r="H163" i="48"/>
  <c r="H162" i="48"/>
  <c r="H161" i="48"/>
  <c r="H160" i="48"/>
  <c r="H159" i="48"/>
  <c r="H158" i="48"/>
  <c r="H157" i="48"/>
  <c r="E157" i="48" l="1" a="1"/>
  <c r="E157" i="48" s="1"/>
  <c r="J157" i="48" s="1" a="1"/>
  <c r="J157" i="48" s="1"/>
  <c r="K157" i="48" s="1" a="1"/>
  <c r="K157" i="48" l="1"/>
  <c r="L157" i="48" s="1" a="1"/>
  <c r="L157" i="48" s="1"/>
  <c r="G4" i="76" s="1" a="1"/>
  <c r="G4" i="76" s="1"/>
  <c r="M157" i="48" l="1" a="1"/>
  <c r="M157" i="48" l="1"/>
  <c r="S157" i="48" l="1" a="1"/>
  <c r="S157" i="48" s="1"/>
  <c r="P157" i="48" a="1"/>
  <c r="P157" i="48" s="1"/>
  <c r="F8" i="48" l="1"/>
  <c r="G8" i="48" s="1"/>
  <c r="H150" i="48"/>
  <c r="H149" i="48"/>
  <c r="H148" i="48"/>
  <c r="H147" i="48"/>
  <c r="H146" i="48"/>
  <c r="H145" i="48"/>
  <c r="H144" i="48"/>
  <c r="H143" i="48"/>
  <c r="H142" i="48"/>
  <c r="H141" i="48"/>
  <c r="H140" i="48"/>
  <c r="H139" i="48"/>
  <c r="H138" i="48"/>
  <c r="H137" i="48"/>
  <c r="H136" i="48"/>
  <c r="H135" i="48"/>
  <c r="H134" i="48"/>
  <c r="H133" i="48"/>
  <c r="H132" i="48"/>
  <c r="H131" i="48"/>
  <c r="H130" i="48"/>
  <c r="H129" i="48"/>
  <c r="H128" i="48"/>
  <c r="H127" i="48"/>
  <c r="H126" i="48"/>
  <c r="H125" i="48"/>
  <c r="H124" i="48"/>
  <c r="H123" i="48"/>
  <c r="H122" i="48"/>
  <c r="H121" i="48"/>
  <c r="H120" i="48"/>
  <c r="H119" i="48"/>
  <c r="H118" i="48"/>
  <c r="H117" i="48"/>
  <c r="H116" i="48"/>
  <c r="H115" i="48"/>
  <c r="H114" i="48"/>
  <c r="H113" i="48"/>
  <c r="H112" i="48"/>
  <c r="H111" i="48"/>
  <c r="H110" i="48"/>
  <c r="H109" i="48"/>
  <c r="H108" i="48"/>
  <c r="H107" i="48"/>
  <c r="H106" i="48"/>
  <c r="H105" i="48"/>
  <c r="H104" i="48"/>
  <c r="H103" i="48"/>
  <c r="H102" i="48"/>
  <c r="H101" i="48"/>
  <c r="H100" i="48"/>
  <c r="H99" i="48"/>
  <c r="H98" i="48"/>
  <c r="H97" i="48"/>
  <c r="H96" i="48"/>
  <c r="H95" i="48"/>
  <c r="H94" i="48"/>
  <c r="H93" i="48"/>
  <c r="H92" i="48"/>
  <c r="H91" i="48"/>
  <c r="H90" i="48"/>
  <c r="H89" i="48"/>
  <c r="H88" i="48"/>
  <c r="H87" i="48"/>
  <c r="E87" i="48" a="1"/>
  <c r="E87" i="48" s="1"/>
  <c r="J87" i="48" s="1" a="1"/>
  <c r="J87" i="48" s="1"/>
  <c r="E15" i="48" a="1"/>
  <c r="E15" i="48" s="1"/>
  <c r="J15" i="48" s="1" a="1"/>
  <c r="J15" i="48" s="1"/>
  <c r="K87" i="48" l="1" a="1"/>
  <c r="K15" i="48" a="1"/>
  <c r="K87" i="48" l="1"/>
  <c r="L87" i="48" s="1" a="1"/>
  <c r="L87" i="48" s="1"/>
  <c r="F4" i="76" s="1" a="1"/>
  <c r="F4" i="76" s="1"/>
  <c r="K15" i="48"/>
  <c r="M87" i="48" l="1" a="1"/>
  <c r="H78" i="48"/>
  <c r="H72" i="48"/>
  <c r="H73" i="48"/>
  <c r="H74" i="48"/>
  <c r="H75" i="48"/>
  <c r="H76" i="48"/>
  <c r="H77" i="48"/>
  <c r="M87" i="48" l="1"/>
  <c r="S87" i="48" s="1" a="1"/>
  <c r="S87" i="48" s="1"/>
  <c r="H71" i="48"/>
  <c r="H70" i="48"/>
  <c r="H69" i="48"/>
  <c r="H68" i="48"/>
  <c r="H67" i="48"/>
  <c r="H66" i="48"/>
  <c r="H65" i="48"/>
  <c r="H64" i="48"/>
  <c r="H63" i="48"/>
  <c r="H62" i="48"/>
  <c r="H61" i="48"/>
  <c r="H60" i="48"/>
  <c r="H59" i="48"/>
  <c r="H58" i="48"/>
  <c r="H57" i="48"/>
  <c r="H56" i="48"/>
  <c r="H55" i="48"/>
  <c r="H54" i="48"/>
  <c r="H53" i="48"/>
  <c r="H52" i="48"/>
  <c r="H51" i="48"/>
  <c r="H50" i="48"/>
  <c r="H49" i="48"/>
  <c r="H48" i="48"/>
  <c r="H47" i="48"/>
  <c r="H46" i="48"/>
  <c r="H45" i="48"/>
  <c r="H44" i="48"/>
  <c r="H43" i="48"/>
  <c r="H42" i="48"/>
  <c r="H41" i="48"/>
  <c r="H40" i="48"/>
  <c r="H39" i="48"/>
  <c r="H38" i="48"/>
  <c r="H37" i="48"/>
  <c r="H36" i="48"/>
  <c r="H35" i="48"/>
  <c r="H34" i="48"/>
  <c r="H33" i="48"/>
  <c r="H32" i="48"/>
  <c r="H31" i="48"/>
  <c r="H30" i="48"/>
  <c r="H29" i="48"/>
  <c r="H27" i="48"/>
  <c r="H26" i="48"/>
  <c r="H25" i="48"/>
  <c r="H24" i="48"/>
  <c r="H23" i="48"/>
  <c r="H22" i="48"/>
  <c r="H21" i="48"/>
  <c r="H20" i="48"/>
  <c r="H19" i="48"/>
  <c r="H18" i="48"/>
  <c r="H17" i="48"/>
  <c r="H16" i="48"/>
  <c r="H15" i="48"/>
  <c r="P87" i="48" l="1" a="1"/>
  <c r="P87" i="48" s="1"/>
  <c r="K79" i="48"/>
  <c r="L15" i="48" l="1" a="1"/>
  <c r="L15" i="48" s="1"/>
  <c r="M15" i="48" l="1" a="1"/>
  <c r="M15" i="48" s="1"/>
  <c r="S15" i="48" s="1" a="1"/>
  <c r="S15" i="48" s="1"/>
  <c r="E4" i="76" a="1"/>
  <c r="E4" i="76" s="1"/>
  <c r="P15" i="48" l="1" a="1"/>
  <c r="P15" i="48" s="1"/>
  <c r="F7" i="48"/>
  <c r="G7" i="48" s="1"/>
  <c r="D17" i="4" l="1"/>
  <c r="C17" i="4" s="1"/>
  <c r="A21" i="4"/>
  <c r="C21" i="4"/>
  <c r="F87" i="48" l="1" a="1"/>
  <c r="F87" i="48" s="1"/>
  <c r="N87" i="48" s="1" a="1"/>
  <c r="N87" i="48" s="1"/>
  <c r="D7" i="48" s="1"/>
  <c r="B18" i="4" s="1"/>
  <c r="F157" i="48" a="1"/>
  <c r="F157" i="48" s="1"/>
  <c r="N157" i="48" s="1" a="1"/>
  <c r="N157" i="48" s="1"/>
  <c r="D8" i="48" l="1"/>
  <c r="H8" i="48" s="1"/>
  <c r="N80" i="48"/>
  <c r="C8" i="48" s="1"/>
  <c r="N15" i="48" a="1"/>
  <c r="N15" i="48" s="1"/>
  <c r="C7" i="48" s="1"/>
  <c r="B17" i="4" s="1"/>
  <c r="H7" i="48"/>
  <c r="C11" i="4" l="1"/>
  <c r="E7" i="48"/>
  <c r="C12" i="4"/>
  <c r="E8" i="48"/>
  <c r="D15" i="13"/>
  <c r="D4" i="13"/>
  <c r="D16" i="13"/>
  <c r="D8" i="13"/>
  <c r="D12" i="13"/>
  <c r="D10" i="13"/>
  <c r="D6" i="13"/>
  <c r="D23" i="13"/>
  <c r="D18" i="13"/>
  <c r="D13" i="13"/>
  <c r="D11" i="13"/>
  <c r="D14" i="13"/>
  <c r="D7" i="13"/>
  <c r="D5" i="13"/>
  <c r="D19" i="13"/>
  <c r="D9" i="13"/>
  <c r="D22" i="13"/>
  <c r="D17" i="13"/>
  <c r="D20" i="13"/>
  <c r="D21" i="13"/>
  <c r="J4" i="13" a="1"/>
  <c r="J4" i="13" s="1"/>
  <c r="D24" i="13" l="1"/>
  <c r="D27" i="13" s="1"/>
  <c r="D26" i="13" l="1"/>
  <c r="D4" i="68"/>
  <c r="Q4" i="68" a="1"/>
  <c r="Q4" i="68" s="1"/>
  <c r="D9" i="68"/>
  <c r="D11" i="68"/>
  <c r="D18" i="68"/>
  <c r="D21" i="68"/>
  <c r="D17" i="68"/>
  <c r="D10" i="68"/>
  <c r="D23" i="68"/>
  <c r="D6" i="68"/>
  <c r="D19" i="68"/>
  <c r="D12" i="68"/>
  <c r="D7" i="68"/>
  <c r="D5" i="68"/>
  <c r="D13" i="68"/>
  <c r="D14" i="68"/>
  <c r="D20" i="68"/>
  <c r="D16" i="68"/>
  <c r="D8" i="68"/>
  <c r="D22" i="68"/>
  <c r="J4" i="68" a="1"/>
  <c r="J4" i="68" s="1"/>
  <c r="D15" i="68"/>
  <c r="D24" i="68" l="1"/>
  <c r="D27" i="68" s="1"/>
  <c r="D26" i="68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<sst xmlns="http://schemas.openxmlformats.org/spreadsheetml/2006/main" count="8022" uniqueCount="333">
  <si>
    <t xml:space="preserve">Pay Back </t>
    <phoneticPr fontId="22" type="noConversion"/>
  </si>
  <si>
    <t>Hit%</t>
    <phoneticPr fontId="22" type="noConversion"/>
  </si>
  <si>
    <t>Pulls/Hit</t>
    <phoneticPr fontId="22" type="noConversion"/>
  </si>
  <si>
    <t>Reel #</t>
    <phoneticPr fontId="22" type="noConversion"/>
  </si>
  <si>
    <t>Visible Window Size</t>
    <phoneticPr fontId="22" type="noConversion"/>
  </si>
  <si>
    <t>Symbol</t>
    <phoneticPr fontId="22" type="noConversion"/>
  </si>
  <si>
    <t>R1</t>
    <phoneticPr fontId="22" type="noConversion"/>
  </si>
  <si>
    <t>R2</t>
    <phoneticPr fontId="22" type="noConversion"/>
  </si>
  <si>
    <t>R3</t>
    <phoneticPr fontId="22" type="noConversion"/>
  </si>
  <si>
    <t>R4</t>
    <phoneticPr fontId="22" type="noConversion"/>
  </si>
  <si>
    <t>R5</t>
    <phoneticPr fontId="22" type="noConversion"/>
  </si>
  <si>
    <t>ID</t>
    <phoneticPr fontId="22" type="noConversion"/>
  </si>
  <si>
    <t>Description</t>
    <phoneticPr fontId="22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</si>
  <si>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</si>
  <si>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</si>
  <si>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</si>
  <si>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</si>
  <si>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</si>
  <si>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</si>
  <si>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</si>
  <si>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</si>
  <si>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</si>
  <si>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</si>
  <si>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>A</t>
    <phoneticPr fontId="20" type="noConversion"/>
  </si>
  <si>
    <t>Total Pay Back Percentage includes the following adjustments.</t>
    <phoneticPr fontId="22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</si>
  <si>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</si>
  <si>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</si>
  <si>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</si>
  <si>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</si>
  <si>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</si>
  <si>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</si>
  <si>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</si>
  <si>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</si>
  <si>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</si>
  <si>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Q</t>
  </si>
  <si>
    <t>K</t>
  </si>
  <si>
    <t>J</t>
  </si>
  <si>
    <t>A</t>
  </si>
  <si>
    <t>Total RTP</t>
    <phoneticPr fontId="20" type="noConversion"/>
  </si>
  <si>
    <t>Model:</t>
  </si>
  <si>
    <t>Version:</t>
    <phoneticPr fontId="22" type="noConversion"/>
  </si>
  <si>
    <t>C1 Num.</t>
    <phoneticPr fontId="20" type="noConversion"/>
  </si>
  <si>
    <t>Symbol</t>
  </si>
  <si>
    <t>Description</t>
  </si>
  <si>
    <t>Wild</t>
  </si>
  <si>
    <t>Scatter</t>
  </si>
  <si>
    <r>
      <t>Pay Table</t>
    </r>
    <r>
      <rPr>
        <sz val="12"/>
        <rFont val="微軟正黑體"/>
        <family val="2"/>
        <charset val="136"/>
      </rPr>
      <t>：</t>
    </r>
    <phoneticPr fontId="22" type="noConversion"/>
  </si>
  <si>
    <t>Free Spins Setting</t>
    <phoneticPr fontId="22" type="noConversion"/>
  </si>
  <si>
    <t>Id</t>
    <phoneticPr fontId="20" type="noConversion"/>
  </si>
  <si>
    <t>Base Game</t>
    <phoneticPr fontId="20" type="noConversion"/>
  </si>
  <si>
    <t>Free Game</t>
    <phoneticPr fontId="20" type="noConversion"/>
  </si>
  <si>
    <t>Coin in</t>
    <phoneticPr fontId="22" type="noConversion"/>
  </si>
  <si>
    <t>Bet Type</t>
    <phoneticPr fontId="20" type="noConversion"/>
  </si>
  <si>
    <t>Normal Bet</t>
    <phoneticPr fontId="20" type="noConversion"/>
  </si>
  <si>
    <t>Price(x)</t>
    <phoneticPr fontId="22" type="noConversion"/>
  </si>
  <si>
    <t>Buy Feature</t>
    <phoneticPr fontId="20" type="noConversion"/>
  </si>
  <si>
    <t>Base Bet</t>
    <phoneticPr fontId="22" type="noConversion"/>
  </si>
  <si>
    <t>Free Game</t>
    <phoneticPr fontId="22" type="noConversion"/>
  </si>
  <si>
    <t>Lower</t>
    <phoneticPr fontId="29" type="noConversion"/>
  </si>
  <si>
    <t>Upper</t>
    <phoneticPr fontId="29" type="noConversion"/>
  </si>
  <si>
    <t>Simulator RTP</t>
    <phoneticPr fontId="29" type="noConversion"/>
  </si>
  <si>
    <t>Range</t>
    <phoneticPr fontId="29" type="noConversion"/>
  </si>
  <si>
    <t>Threshold</t>
  </si>
  <si>
    <t>Fix Num</t>
    <phoneticPr fontId="29" type="noConversion"/>
  </si>
  <si>
    <t>Fix Rate</t>
    <phoneticPr fontId="29" type="noConversion"/>
  </si>
  <si>
    <t>Final Rate</t>
    <phoneticPr fontId="29" type="noConversion"/>
  </si>
  <si>
    <t>Weight</t>
    <phoneticPr fontId="29" type="noConversion"/>
  </si>
  <si>
    <t>Hit Rate</t>
    <phoneticPr fontId="29" type="noConversion"/>
  </si>
  <si>
    <t>Bet</t>
    <phoneticPr fontId="20" type="noConversion"/>
  </si>
  <si>
    <t>Hit Rate</t>
  </si>
  <si>
    <t>FG Period</t>
  </si>
  <si>
    <t>Cnt</t>
    <phoneticPr fontId="20" type="noConversion"/>
  </si>
  <si>
    <t>Pay</t>
    <phoneticPr fontId="20" type="noConversion"/>
  </si>
  <si>
    <t>Hit Rate</t>
    <phoneticPr fontId="20" type="noConversion"/>
  </si>
  <si>
    <t>Coin in</t>
    <phoneticPr fontId="20" type="noConversion"/>
  </si>
  <si>
    <t>Simulator</t>
    <phoneticPr fontId="20" type="noConversion"/>
  </si>
  <si>
    <t>Calculate</t>
    <phoneticPr fontId="20" type="noConversion"/>
  </si>
  <si>
    <t>Total</t>
    <phoneticPr fontId="20" type="noConversion"/>
  </si>
  <si>
    <t>Free Game</t>
    <phoneticPr fontId="29" type="noConversion"/>
  </si>
  <si>
    <t>Buy Feature</t>
    <phoneticPr fontId="29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</si>
  <si>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</si>
  <si>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Compare</t>
    <phoneticPr fontId="20" type="noConversion"/>
  </si>
  <si>
    <t>RTP</t>
  </si>
  <si>
    <t>Avg Multi</t>
    <phoneticPr fontId="20" type="noConversion"/>
  </si>
  <si>
    <r>
      <rPr>
        <sz val="12"/>
        <color theme="1"/>
        <rFont val="微軟正黑體"/>
        <family val="2"/>
        <charset val="136"/>
      </rPr>
      <t>目前</t>
    </r>
    <phoneticPr fontId="20" type="noConversion"/>
  </si>
  <si>
    <t>Avg. Multi.</t>
    <phoneticPr fontId="20" type="noConversion"/>
  </si>
  <si>
    <t>FGC1Screen</t>
    <phoneticPr fontId="20" type="noConversion"/>
  </si>
  <si>
    <t>BGC1Screen</t>
    <phoneticPr fontId="20" type="noConversion"/>
  </si>
  <si>
    <t>G1</t>
  </si>
  <si>
    <t>G2</t>
  </si>
  <si>
    <t>G3</t>
  </si>
  <si>
    <t>G4</t>
  </si>
  <si>
    <t>GA</t>
  </si>
  <si>
    <t>GA</t>
    <phoneticPr fontId="20" type="noConversion"/>
  </si>
  <si>
    <t>GK</t>
    <phoneticPr fontId="20" type="noConversion"/>
  </si>
  <si>
    <t>GQ</t>
  </si>
  <si>
    <t>GQ</t>
    <phoneticPr fontId="20" type="noConversion"/>
  </si>
  <si>
    <t>GJ</t>
  </si>
  <si>
    <t>GJ</t>
    <phoneticPr fontId="20" type="noConversion"/>
  </si>
  <si>
    <t>Gold M1</t>
    <phoneticPr fontId="20" type="noConversion"/>
  </si>
  <si>
    <t>Gold M2</t>
    <phoneticPr fontId="20" type="noConversion"/>
  </si>
  <si>
    <t>Gold M3</t>
    <phoneticPr fontId="20" type="noConversion"/>
  </si>
  <si>
    <t>Gold M4</t>
    <phoneticPr fontId="20" type="noConversion"/>
  </si>
  <si>
    <t>Gold A</t>
    <phoneticPr fontId="20" type="noConversion"/>
  </si>
  <si>
    <t>Gold K</t>
    <phoneticPr fontId="20" type="noConversion"/>
  </si>
  <si>
    <t>Gold Q</t>
    <phoneticPr fontId="20" type="noConversion"/>
  </si>
  <si>
    <t>Gold J</t>
    <phoneticPr fontId="20" type="noConversion"/>
  </si>
  <si>
    <t>B</t>
    <phoneticPr fontId="20" type="noConversion"/>
  </si>
  <si>
    <t>Weight</t>
    <phoneticPr fontId="20" type="noConversion"/>
  </si>
  <si>
    <t>BG</t>
    <phoneticPr fontId="20" type="noConversion"/>
  </si>
  <si>
    <t>FG</t>
    <phoneticPr fontId="20" type="noConversion"/>
  </si>
  <si>
    <t>Eliminate Wheel Weight B</t>
  </si>
  <si>
    <t>GK</t>
  </si>
  <si>
    <t>NB-Newbie-A</t>
  </si>
  <si>
    <t>NB-Newbie-A</t>
    <phoneticPr fontId="20" type="noConversion"/>
  </si>
  <si>
    <t>NB-Newbie-B</t>
  </si>
  <si>
    <t>NB-Newbie-B</t>
    <phoneticPr fontId="20" type="noConversion"/>
  </si>
  <si>
    <t>NB-Oldhand-B</t>
  </si>
  <si>
    <t>NB-Oldhand-B</t>
    <phoneticPr fontId="20" type="noConversion"/>
  </si>
  <si>
    <t>NB-Oldhand-A</t>
  </si>
  <si>
    <t>NB-Oldhand-A</t>
    <phoneticPr fontId="20" type="noConversion"/>
  </si>
  <si>
    <t>BF-A</t>
  </si>
  <si>
    <t>BF-A</t>
    <phoneticPr fontId="20" type="noConversion"/>
  </si>
  <si>
    <t>BF-B</t>
  </si>
  <si>
    <t>BF-B</t>
    <phoneticPr fontId="20" type="noConversion"/>
  </si>
  <si>
    <t>M5</t>
  </si>
  <si>
    <t>G5</t>
  </si>
  <si>
    <t>Gold M5</t>
  </si>
  <si>
    <t>BG_Symbol</t>
    <phoneticPr fontId="20" type="noConversion"/>
  </si>
  <si>
    <t>BG_Symbol (2)</t>
    <phoneticPr fontId="20" type="noConversion"/>
  </si>
  <si>
    <t xml:space="preserve">3+ Combo </t>
    <phoneticPr fontId="20" type="noConversion"/>
  </si>
  <si>
    <t xml:space="preserve">1 Combo </t>
    <phoneticPr fontId="20" type="noConversion"/>
  </si>
  <si>
    <t xml:space="preserve">2 Combo </t>
    <phoneticPr fontId="20" type="noConversion"/>
  </si>
  <si>
    <t>Symbol</t>
    <phoneticPr fontId="20" type="noConversion"/>
  </si>
  <si>
    <t>Symbol ID</t>
    <phoneticPr fontId="20" type="noConversion"/>
  </si>
  <si>
    <t>Symbol Weight</t>
    <phoneticPr fontId="22" type="noConversion"/>
  </si>
  <si>
    <t>FG_Symbol</t>
  </si>
  <si>
    <t>FG_Symbol</t>
    <phoneticPr fontId="20" type="noConversion"/>
  </si>
  <si>
    <t>FG_Symbol (2)</t>
  </si>
  <si>
    <t>FG_Symbol (2)</t>
    <phoneticPr fontId="20" type="noConversion"/>
  </si>
  <si>
    <t>FG_Symbol (3)</t>
  </si>
  <si>
    <t>FG_Symbol (3)</t>
    <phoneticPr fontId="20" type="noConversion"/>
  </si>
  <si>
    <t>Worksheet Name</t>
  </si>
  <si>
    <t>Worksheet Name</t>
    <phoneticPr fontId="20" type="noConversion"/>
  </si>
  <si>
    <t>BG_Symbol</t>
  </si>
  <si>
    <t>BG_Symbol (2)</t>
  </si>
  <si>
    <t>Worksheet Name \ Multiple</t>
    <phoneticPr fontId="20" type="noConversion"/>
  </si>
  <si>
    <t>Eliminate Wheel Weight A</t>
    <phoneticPr fontId="20" type="noConversion"/>
  </si>
  <si>
    <t>Used Special Pool Weight (Weight/10000)</t>
    <phoneticPr fontId="20" type="noConversion"/>
  </si>
  <si>
    <t>Multiple Selection Weight - Special Pool (Weight/Total)</t>
    <phoneticPr fontId="20" type="noConversion"/>
  </si>
  <si>
    <t>Multiple Selection Weight - After Eliminate (Weight/Total)</t>
    <phoneticPr fontId="20" type="noConversion"/>
  </si>
  <si>
    <t>Multiple Selection Weight - Before Eliminate (Weight/Total)</t>
    <phoneticPr fontId="20" type="noConversion"/>
  </si>
  <si>
    <t>Table Selection Weight - Free Game (Weight/Total)</t>
    <phoneticPr fontId="20" type="noConversion"/>
  </si>
  <si>
    <t>Table Selection Weight - Base Game (Weight/Total)</t>
    <phoneticPr fontId="20" type="noConversion"/>
  </si>
  <si>
    <t>Table Selection Weight - Buy Feature (Weight/Total)</t>
    <phoneticPr fontId="20" type="noConversion"/>
  </si>
  <si>
    <t>BF_Symbol</t>
    <phoneticPr fontId="20" type="noConversion"/>
  </si>
  <si>
    <t>BG_Symbol (3)</t>
    <phoneticPr fontId="20" type="noConversion"/>
  </si>
  <si>
    <t>ID</t>
    <phoneticPr fontId="20" type="noConversion"/>
  </si>
  <si>
    <t>RTP</t>
    <phoneticPr fontId="20" type="noConversion"/>
  </si>
  <si>
    <t>Multiplier</t>
    <phoneticPr fontId="20" type="noConversion"/>
  </si>
  <si>
    <t>Multiplier Range</t>
    <phoneticPr fontId="20" type="noConversion"/>
  </si>
  <si>
    <t>R1</t>
    <phoneticPr fontId="20" type="noConversion"/>
  </si>
  <si>
    <t>Line</t>
    <phoneticPr fontId="20" type="noConversion"/>
  </si>
  <si>
    <t>Eliminate Table Weight</t>
    <phoneticPr fontId="20" type="noConversion"/>
  </si>
  <si>
    <t xml:space="preserve"> A</t>
    <phoneticPr fontId="20" type="noConversion"/>
  </si>
  <si>
    <t>Multiple Selection Weight - Reel3 Before Eliminate (Weight/Total)</t>
    <phoneticPr fontId="20" type="noConversion"/>
  </si>
  <si>
    <t>Multiple Selection Weight - Reel3 After Eliminate (Weight/Total)</t>
    <phoneticPr fontId="20" type="noConversion"/>
  </si>
  <si>
    <t>The maximum of free spins is 50.</t>
    <phoneticPr fontId="20" type="noConversion"/>
  </si>
  <si>
    <t>OP</t>
    <phoneticPr fontId="20" type="noConversion"/>
  </si>
  <si>
    <t>PG</t>
    <phoneticPr fontId="20" type="noConversion"/>
  </si>
  <si>
    <r>
      <rPr>
        <sz val="12"/>
        <rFont val="微軟正黑體"/>
        <family val="2"/>
        <charset val="136"/>
      </rPr>
      <t>金框出現率</t>
    </r>
    <r>
      <rPr>
        <sz val="12"/>
        <rFont val="Courier New"/>
        <family val="3"/>
      </rPr>
      <t>(B1)</t>
    </r>
    <phoneticPr fontId="20" type="noConversion"/>
  </si>
  <si>
    <r>
      <rPr>
        <sz val="12"/>
        <rFont val="微軟正黑體"/>
        <family val="2"/>
        <charset val="136"/>
      </rPr>
      <t>金框出現率</t>
    </r>
    <r>
      <rPr>
        <sz val="12"/>
        <rFont val="Courier New"/>
        <family val="3"/>
      </rPr>
      <t>(F2)</t>
    </r>
    <phoneticPr fontId="20" type="noConversion"/>
  </si>
  <si>
    <t xml:space="preserve">  </t>
  </si>
  <si>
    <r>
      <t xml:space="preserve">7. BG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</si>
  <si>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7.1 BG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</si>
  <si>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BG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</si>
  <si>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  1. </t>
    </r>
    <r>
      <rPr>
        <sz val="12"/>
        <color theme="1"/>
        <rFont val="微軟正黑體"/>
        <family val="2"/>
        <charset val="136"/>
      </rPr>
      <t>先用</t>
    </r>
    <r>
      <rPr>
        <sz val="12"/>
        <color theme="1"/>
        <rFont val="Courier New"/>
        <family val="3"/>
      </rPr>
      <t xml:space="preserve"> Table Selection Weight - Base Game </t>
    </r>
    <r>
      <rPr>
        <sz val="12"/>
        <color theme="1"/>
        <rFont val="微軟正黑體"/>
        <family val="2"/>
        <charset val="136"/>
      </rPr>
      <t>選出</t>
    </r>
    <r>
      <rPr>
        <sz val="12"/>
        <color theme="1"/>
        <rFont val="Courier New"/>
        <family val="3"/>
      </rPr>
      <t xml:space="preserve"> BG table</t>
    </r>
    <r>
      <rPr>
        <sz val="12"/>
        <color theme="1"/>
        <rFont val="微軟正黑體"/>
        <family val="2"/>
        <charset val="136"/>
      </rPr>
      <t>。</t>
    </r>
  </si>
  <si>
    <r>
      <t xml:space="preserve">    2. </t>
    </r>
    <r>
      <rPr>
        <sz val="12"/>
        <color theme="1"/>
        <rFont val="微軟正黑體"/>
        <family val="2"/>
        <charset val="136"/>
      </rPr>
      <t>再用該</t>
    </r>
    <r>
      <rPr>
        <sz val="12"/>
        <color theme="1"/>
        <rFont val="Courier New"/>
        <family val="3"/>
      </rPr>
      <t xml:space="preserve"> strip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抽停輪位置。</t>
    </r>
  </si>
  <si>
    <r>
      <t xml:space="preserve">    3. </t>
    </r>
    <r>
      <rPr>
        <sz val="12"/>
        <color theme="1"/>
        <rFont val="微軟正黑體"/>
        <family val="2"/>
        <charset val="136"/>
      </rPr>
      <t>依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生成初始盤面。</t>
    </r>
  </si>
  <si>
    <r>
      <t xml:space="preserve">    4. </t>
    </r>
    <r>
      <rPr>
        <sz val="12"/>
        <color theme="1"/>
        <rFont val="微軟正黑體"/>
        <family val="2"/>
        <charset val="136"/>
      </rPr>
      <t>盤面上的金框會先判定是否觸發</t>
    </r>
    <r>
      <rPr>
        <sz val="12"/>
        <color theme="1"/>
        <rFont val="Courier New"/>
        <family val="3"/>
      </rPr>
      <t xml:space="preserve"> Used Special Pool Weight</t>
    </r>
    <r>
      <rPr>
        <sz val="12"/>
        <color theme="1"/>
        <rFont val="微軟正黑體"/>
        <family val="2"/>
        <charset val="136"/>
      </rPr>
      <t>。</t>
    </r>
  </si>
  <si>
    <r>
      <t xml:space="preserve">    5. </t>
    </r>
    <r>
      <rPr>
        <sz val="12"/>
        <color theme="1"/>
        <rFont val="微軟正黑體"/>
        <family val="2"/>
        <charset val="136"/>
      </rPr>
      <t>若命中特殊池，該金框用</t>
    </r>
    <r>
      <rPr>
        <sz val="12"/>
        <color theme="1"/>
        <rFont val="Courier New"/>
        <family val="3"/>
      </rPr>
      <t xml:space="preserve"> Multiple Selection Weight - Special Pool </t>
    </r>
    <r>
      <rPr>
        <sz val="12"/>
        <color theme="1"/>
        <rFont val="微軟正黑體"/>
        <family val="2"/>
        <charset val="136"/>
      </rPr>
      <t>抽倍率。</t>
    </r>
  </si>
  <si>
    <r>
      <t xml:space="preserve">    6. </t>
    </r>
    <r>
      <rPr>
        <sz val="12"/>
        <color theme="1"/>
        <rFont val="微軟正黑體"/>
        <family val="2"/>
        <charset val="136"/>
      </rPr>
      <t>若沒命中特殊池：</t>
    </r>
  </si>
  <si>
    <r>
      <t xml:space="preserve">      - </t>
    </r>
    <r>
      <rPr>
        <sz val="12"/>
        <color theme="1"/>
        <rFont val="微軟正黑體"/>
        <family val="2"/>
        <charset val="136"/>
      </rPr>
      <t>且是</t>
    </r>
    <r>
      <rPr>
        <sz val="12"/>
        <color theme="1"/>
        <rFont val="Courier New"/>
        <family val="3"/>
      </rPr>
      <t xml:space="preserve"> BG_Symbol (2) </t>
    </r>
    <r>
      <rPr>
        <sz val="12"/>
        <color theme="1"/>
        <rFont val="微軟正黑體"/>
        <family val="2"/>
        <charset val="136"/>
      </rPr>
      <t>則第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輪金框用</t>
    </r>
    <r>
      <rPr>
        <sz val="12"/>
        <color theme="1"/>
        <rFont val="Courier New"/>
        <family val="3"/>
      </rPr>
      <t xml:space="preserve"> Multiple Selection Weight - Reel3 Before Eliminate</t>
    </r>
  </si>
  <si>
    <r>
      <t xml:space="preserve">      - </t>
    </r>
    <r>
      <rPr>
        <sz val="12"/>
        <color theme="1"/>
        <rFont val="微軟正黑體"/>
        <family val="2"/>
        <charset val="136"/>
      </rPr>
      <t>其他輪金框用</t>
    </r>
    <r>
      <rPr>
        <sz val="12"/>
        <color theme="1"/>
        <rFont val="Courier New"/>
        <family val="3"/>
      </rPr>
      <t xml:space="preserve"> Multiple Selection Weight - Before Eliminate</t>
    </r>
  </si>
  <si>
    <r>
      <t xml:space="preserve">    7. </t>
    </r>
    <r>
      <rPr>
        <sz val="12"/>
        <color theme="1"/>
        <rFont val="微軟正黑體"/>
        <family val="2"/>
        <charset val="136"/>
      </rPr>
      <t>再用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決定本局是掉落表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</si>
  <si>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7.2 BG cascade </t>
    </r>
    <r>
      <rPr>
        <sz val="12"/>
        <color theme="1"/>
        <rFont val="微軟正黑體"/>
        <family val="2"/>
        <charset val="136"/>
      </rPr>
      <t>流程</t>
    </r>
  </si>
  <si>
    <r>
      <t xml:space="preserve">  BG </t>
    </r>
    <r>
      <rPr>
        <sz val="12"/>
        <color theme="1"/>
        <rFont val="微軟正黑體"/>
        <family val="2"/>
        <charset val="136"/>
      </rPr>
      <t>發生消除後：</t>
    </r>
  </si>
  <si>
    <r>
      <t xml:space="preserve">    1. </t>
    </r>
    <r>
      <rPr>
        <sz val="12"/>
        <color theme="1"/>
        <rFont val="微軟正黑體"/>
        <family val="2"/>
        <charset val="136"/>
      </rPr>
      <t>一般命中符號會移除。</t>
    </r>
  </si>
  <si>
    <r>
      <t xml:space="preserve">    2. </t>
    </r>
    <r>
      <rPr>
        <sz val="12"/>
        <color theme="1"/>
        <rFont val="微軟正黑體"/>
        <family val="2"/>
        <charset val="136"/>
      </rPr>
      <t>命中的金框會把自身倍率加進最終倍率和，並轉成</t>
    </r>
    <r>
      <rPr>
        <sz val="12"/>
        <color theme="1"/>
        <rFont val="Courier New"/>
        <family val="3"/>
      </rPr>
      <t xml:space="preserve"> WW </t>
    </r>
    <r>
      <rPr>
        <sz val="12"/>
        <color theme="1"/>
        <rFont val="微軟正黑體"/>
        <family val="2"/>
        <charset val="136"/>
      </rPr>
      <t>留在盤面。</t>
    </r>
  </si>
  <si>
    <r>
      <t xml:space="preserve">    3. </t>
    </r>
    <r>
      <rPr>
        <sz val="12"/>
        <color theme="1"/>
        <rFont val="微軟正黑體"/>
        <family val="2"/>
        <charset val="136"/>
      </rPr>
      <t>新補進來的符號由</t>
    </r>
    <r>
      <rPr>
        <sz val="12"/>
        <color theme="1"/>
        <rFont val="Courier New"/>
        <family val="3"/>
      </rPr>
      <t xml:space="preserve"> Eliminate Wheel Weight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Eliminate Wheel Weight B </t>
    </r>
    <r>
      <rPr>
        <sz val="12"/>
        <color theme="1"/>
        <rFont val="微軟正黑體"/>
        <family val="2"/>
        <charset val="136"/>
      </rPr>
      <t>決定。</t>
    </r>
  </si>
  <si>
    <r>
      <t xml:space="preserve">    4. </t>
    </r>
    <r>
      <rPr>
        <sz val="12"/>
        <color theme="1"/>
        <rFont val="微軟正黑體"/>
        <family val="2"/>
        <charset val="136"/>
      </rPr>
      <t>若新補進來的是金框：</t>
    </r>
  </si>
  <si>
    <r>
      <t xml:space="preserve">      - </t>
    </r>
    <r>
      <rPr>
        <sz val="12"/>
        <color theme="1"/>
        <rFont val="微軟正黑體"/>
        <family val="2"/>
        <charset val="136"/>
      </rPr>
      <t>且是</t>
    </r>
    <r>
      <rPr>
        <sz val="12"/>
        <color theme="1"/>
        <rFont val="Courier New"/>
        <family val="3"/>
      </rPr>
      <t xml:space="preserve"> BG_Symbol (2) </t>
    </r>
    <r>
      <rPr>
        <sz val="12"/>
        <color theme="1"/>
        <rFont val="微軟正黑體"/>
        <family val="2"/>
        <charset val="136"/>
      </rPr>
      <t>則第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</si>
  <si>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</si>
  <si>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7.3 BG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觸發關係</t>
    </r>
  </si>
  <si>
    <r>
      <t xml:space="preserve">    1. BG </t>
    </r>
    <r>
      <rPr>
        <sz val="12"/>
        <color theme="1"/>
        <rFont val="微軟正黑體"/>
        <family val="2"/>
        <charset val="136"/>
      </rPr>
      <t>盤面上的</t>
    </r>
    <r>
      <rPr>
        <sz val="12"/>
        <color theme="1"/>
        <rFont val="Courier New"/>
        <family val="3"/>
      </rPr>
      <t xml:space="preserve"> C1 </t>
    </r>
    <r>
      <rPr>
        <sz val="12"/>
        <color theme="1"/>
        <rFont val="微軟正黑體"/>
        <family val="2"/>
        <charset val="136"/>
      </rPr>
      <t>數量若達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個以上，就觸發</t>
    </r>
    <r>
      <rPr>
        <sz val="12"/>
        <color theme="1"/>
        <rFont val="Courier New"/>
        <family val="3"/>
      </rPr>
      <t xml:space="preserve"> FG</t>
    </r>
    <r>
      <rPr>
        <sz val="12"/>
        <color theme="1"/>
        <rFont val="微軟正黑體"/>
        <family val="2"/>
        <charset val="136"/>
      </rPr>
      <t>。</t>
    </r>
  </si>
  <si>
    <r>
      <t xml:space="preserve">    2. FG </t>
    </r>
    <r>
      <rPr>
        <sz val="12"/>
        <color theme="1"/>
        <rFont val="微軟正黑體"/>
        <family val="2"/>
        <charset val="136"/>
      </rPr>
      <t>次數</t>
    </r>
    <r>
      <rPr>
        <sz val="12"/>
        <color theme="1"/>
        <rFont val="Courier New"/>
        <family val="3"/>
      </rPr>
      <t xml:space="preserve"> = 15 + (scatter_count - 3) * 2</t>
    </r>
  </si>
  <si>
    <r>
      <t xml:space="preserve">8. FG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</si>
  <si>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8.1 FG table </t>
    </r>
    <r>
      <rPr>
        <sz val="12"/>
        <color theme="1"/>
        <rFont val="微軟正黑體"/>
        <family val="2"/>
        <charset val="136"/>
      </rPr>
      <t>切換規則</t>
    </r>
  </si>
  <si>
    <r>
      <t xml:space="preserve">  FG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不是靠</t>
    </r>
    <r>
      <rPr>
        <sz val="12"/>
        <color theme="1"/>
        <rFont val="Courier New"/>
        <family val="3"/>
      </rPr>
      <t xml:space="preserve"> Table_FG </t>
    </r>
    <r>
      <rPr>
        <sz val="12"/>
        <color theme="1"/>
        <rFont val="微軟正黑體"/>
        <family val="2"/>
        <charset val="136"/>
      </rPr>
      <t>權重抽，而是依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累積倍率和切換：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</si>
  <si>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10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</si>
  <si>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(2)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</si>
  <si>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&gt;=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(3)</t>
    </r>
  </si>
  <si>
    <r>
      <t xml:space="preserve">  8.2 FG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</si>
  <si>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FG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</si>
  <si>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1. </t>
    </r>
    <r>
      <rPr>
        <sz val="12"/>
        <color theme="1"/>
        <rFont val="微軟正黑體"/>
        <family val="2"/>
        <charset val="136"/>
      </rPr>
      <t>依當前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累積倍率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選擇</t>
    </r>
    <r>
      <rPr>
        <sz val="12"/>
        <color theme="1"/>
        <rFont val="Courier New"/>
        <family val="3"/>
      </rPr>
      <t xml:space="preserve"> FG table</t>
    </r>
    <r>
      <rPr>
        <sz val="12"/>
        <color theme="1"/>
        <rFont val="微軟正黑體"/>
        <family val="2"/>
        <charset val="136"/>
      </rPr>
      <t>。</t>
    </r>
  </si>
  <si>
    <r>
      <t xml:space="preserve">  2. </t>
    </r>
    <r>
      <rPr>
        <sz val="12"/>
        <color theme="1"/>
        <rFont val="微軟正黑體"/>
        <family val="2"/>
        <charset val="136"/>
      </rPr>
      <t>用該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生成盤面。</t>
    </r>
  </si>
  <si>
    <r>
      <t xml:space="preserve">  3. </t>
    </r>
    <r>
      <rPr>
        <sz val="12"/>
        <color theme="1"/>
        <rFont val="微軟正黑體"/>
        <family val="2"/>
        <charset val="136"/>
      </rPr>
      <t>初始金框倍率分配：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</si>
  <si>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Before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</si>
  <si>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Before Eliminate</t>
    </r>
  </si>
  <si>
    <r>
      <t xml:space="preserve">  5. </t>
    </r>
    <r>
      <rPr>
        <sz val="12"/>
        <color theme="1"/>
        <rFont val="微軟正黑體"/>
        <family val="2"/>
        <charset val="136"/>
      </rPr>
      <t>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</si>
  <si>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8.3 FG cascade </t>
    </r>
    <r>
      <rPr>
        <sz val="12"/>
        <color theme="1"/>
        <rFont val="微軟正黑體"/>
        <family val="2"/>
        <charset val="136"/>
      </rPr>
      <t>與倍率累加</t>
    </r>
  </si>
  <si>
    <r>
      <t xml:space="preserve">  FG </t>
    </r>
    <r>
      <rPr>
        <sz val="12"/>
        <color theme="1"/>
        <rFont val="微軟正黑體"/>
        <family val="2"/>
        <charset val="136"/>
      </rPr>
      <t>消除後：</t>
    </r>
  </si>
  <si>
    <r>
      <t xml:space="preserve">  1. </t>
    </r>
    <r>
      <rPr>
        <sz val="12"/>
        <color theme="1"/>
        <rFont val="微軟正黑體"/>
        <family val="2"/>
        <charset val="136"/>
      </rPr>
      <t>命中的金框一樣會把倍率加到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累積倍率</t>
    </r>
  </si>
  <si>
    <r>
      <t xml:space="preserve">  2. </t>
    </r>
    <r>
      <rPr>
        <sz val="12"/>
        <color theme="1"/>
        <rFont val="微軟正黑體"/>
        <family val="2"/>
        <charset val="136"/>
      </rPr>
      <t>該累積值會帶到下一個</t>
    </r>
    <r>
      <rPr>
        <sz val="12"/>
        <color theme="1"/>
        <rFont val="Courier New"/>
        <family val="3"/>
      </rPr>
      <t xml:space="preserve"> FG spin</t>
    </r>
    <r>
      <rPr>
        <sz val="12"/>
        <color theme="1"/>
        <rFont val="微軟正黑體"/>
        <family val="2"/>
        <charset val="136"/>
      </rPr>
      <t>，作為下一局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切換條件。</t>
    </r>
  </si>
  <si>
    <r>
      <t xml:space="preserve">  3. </t>
    </r>
    <r>
      <rPr>
        <sz val="12"/>
        <color theme="1"/>
        <rFont val="微軟正黑體"/>
        <family val="2"/>
        <charset val="136"/>
      </rPr>
      <t>新補進來金框的倍率來源：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</si>
  <si>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</si>
  <si>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</si>
  <si>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8.4 FG </t>
    </r>
    <r>
      <rPr>
        <sz val="12"/>
        <color theme="1"/>
        <rFont val="微軟正黑體"/>
        <family val="2"/>
        <charset val="136"/>
      </rPr>
      <t>再觸發</t>
    </r>
  </si>
  <si>
    <r>
      <t xml:space="preserve">    1. FG </t>
    </r>
    <r>
      <rPr>
        <sz val="12"/>
        <color theme="1"/>
        <rFont val="微軟正黑體"/>
        <family val="2"/>
        <charset val="136"/>
      </rPr>
      <t>內若再次出現</t>
    </r>
    <r>
      <rPr>
        <sz val="12"/>
        <color theme="1"/>
        <rFont val="Courier New"/>
        <family val="3"/>
      </rPr>
      <t xml:space="preserve"> C1 &gt;= 3</t>
    </r>
    <r>
      <rPr>
        <sz val="12"/>
        <color theme="1"/>
        <rFont val="微軟正黑體"/>
        <family val="2"/>
        <charset val="136"/>
      </rPr>
      <t>，會再加</t>
    </r>
    <r>
      <rPr>
        <sz val="12"/>
        <color theme="1"/>
        <rFont val="Courier New"/>
        <family val="3"/>
      </rPr>
      <t xml:space="preserve"> 15 + (scatter_count - 3) * 2</t>
    </r>
  </si>
  <si>
    <r>
      <t xml:space="preserve">    2. </t>
    </r>
    <r>
      <rPr>
        <sz val="12"/>
        <color theme="1"/>
        <rFont val="微軟正黑體"/>
        <family val="2"/>
        <charset val="136"/>
      </rPr>
      <t>但總剩餘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次數會被</t>
    </r>
    <r>
      <rPr>
        <sz val="12"/>
        <color theme="1"/>
        <rFont val="Courier New"/>
        <family val="3"/>
      </rPr>
      <t xml:space="preserve"> fg_spin_cap = 50 </t>
    </r>
    <r>
      <rPr>
        <sz val="12"/>
        <color theme="1"/>
        <rFont val="微軟正黑體"/>
        <family val="2"/>
        <charset val="136"/>
      </rPr>
      <t>封頂</t>
    </r>
  </si>
  <si>
    <r>
      <t xml:space="preserve">9. </t>
    </r>
    <r>
      <rPr>
        <sz val="12"/>
        <color theme="1"/>
        <rFont val="微軟正黑體"/>
        <family val="2"/>
        <charset val="136"/>
      </rPr>
      <t>流程</t>
    </r>
  </si>
  <si>
    <r>
      <t xml:space="preserve">  1. Spin (</t>
    </r>
    <r>
      <rPr>
        <sz val="12"/>
        <color theme="1"/>
        <rFont val="微軟正黑體"/>
        <family val="2"/>
        <charset val="136"/>
      </rPr>
      <t>啟動</t>
    </r>
    <r>
      <rPr>
        <sz val="12"/>
        <color theme="1"/>
        <rFont val="Courier New"/>
        <family val="3"/>
      </rPr>
      <t>)</t>
    </r>
  </si>
  <si>
    <r>
      <t xml:space="preserve">  2. </t>
    </r>
    <r>
      <rPr>
        <sz val="12"/>
        <color theme="1"/>
        <rFont val="微軟正黑體"/>
        <family val="2"/>
        <charset val="136"/>
      </rPr>
      <t>決定畫面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依據</t>
    </r>
    <r>
      <rPr>
        <sz val="12"/>
        <color theme="1"/>
        <rFont val="Courier New"/>
        <family val="3"/>
      </rPr>
      <t xml:space="preserve"> Table/Symbol </t>
    </r>
    <r>
      <rPr>
        <sz val="12"/>
        <color theme="1"/>
        <rFont val="微軟正黑體"/>
        <family val="2"/>
        <charset val="136"/>
      </rPr>
      <t>權重</t>
    </r>
    <r>
      <rPr>
        <sz val="12"/>
        <color theme="1"/>
        <rFont val="Courier New"/>
        <family val="3"/>
      </rPr>
      <t>)</t>
    </r>
  </si>
  <si>
    <r>
      <t xml:space="preserve">  3. </t>
    </r>
    <r>
      <rPr>
        <sz val="12"/>
        <color theme="1"/>
        <rFont val="微軟正黑體"/>
        <family val="2"/>
        <charset val="136"/>
      </rPr>
      <t>判定倍數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初始金框</t>
    </r>
    <r>
      <rPr>
        <sz val="12"/>
        <color theme="1"/>
        <rFont val="Courier New"/>
        <family val="3"/>
      </rPr>
      <t>/Special Pool)</t>
    </r>
  </si>
  <si>
    <r>
      <t xml:space="preserve">  4. </t>
    </r>
    <r>
      <rPr>
        <sz val="12"/>
        <color theme="1"/>
        <rFont val="微軟正黑體"/>
        <family val="2"/>
        <charset val="136"/>
      </rPr>
      <t>算分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計算中獎連線</t>
    </r>
    <r>
      <rPr>
        <sz val="12"/>
        <color theme="1"/>
        <rFont val="Courier New"/>
        <family val="3"/>
      </rPr>
      <t>)</t>
    </r>
  </si>
  <si>
    <r>
      <t xml:space="preserve">  5. </t>
    </r>
    <r>
      <rPr>
        <sz val="12"/>
        <color theme="1"/>
        <rFont val="微軟正黑體"/>
        <family val="2"/>
        <charset val="136"/>
      </rPr>
      <t>消除循環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消除中獎符號，新符號掉落並判定新金框倍數</t>
    </r>
    <r>
      <rPr>
        <sz val="12"/>
        <color theme="1"/>
        <rFont val="Courier New"/>
        <family val="3"/>
      </rPr>
      <t>)</t>
    </r>
  </si>
  <si>
    <r>
      <t xml:space="preserve">  6. </t>
    </r>
    <r>
      <rPr>
        <sz val="12"/>
        <color theme="1"/>
        <rFont val="微軟正黑體"/>
        <family val="2"/>
        <charset val="136"/>
      </rPr>
      <t>算分循環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重複檢查連線</t>
    </r>
    <r>
      <rPr>
        <sz val="12"/>
        <color theme="1"/>
        <rFont val="Courier New"/>
        <family val="3"/>
      </rPr>
      <t>)</t>
    </r>
  </si>
  <si>
    <r>
      <t xml:space="preserve">  7. </t>
    </r>
    <r>
      <rPr>
        <sz val="12"/>
        <color theme="1"/>
        <rFont val="微軟正黑體"/>
        <family val="2"/>
        <charset val="136"/>
      </rPr>
      <t>結算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加總總得分</t>
    </r>
    <r>
      <rPr>
        <sz val="12"/>
        <color theme="1"/>
        <rFont val="Courier New"/>
        <family val="3"/>
      </rPr>
      <t>)</t>
    </r>
  </si>
  <si>
    <r>
      <t xml:space="preserve">10. </t>
    </r>
    <r>
      <rPr>
        <sz val="12"/>
        <color theme="1"/>
        <rFont val="微軟正黑體"/>
        <family val="2"/>
        <charset val="136"/>
      </rPr>
      <t>注意</t>
    </r>
  </si>
  <si>
    <r>
      <t xml:space="preserve">  1. </t>
    </r>
    <r>
      <rPr>
        <sz val="12"/>
        <color theme="1"/>
        <rFont val="微軟正黑體"/>
        <family val="2"/>
        <charset val="136"/>
      </rPr>
      <t>倍數會直到該次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消除完後再作用到該次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的總得分</t>
    </r>
  </si>
  <si>
    <r>
      <t xml:space="preserve">  2. FG </t>
    </r>
    <r>
      <rPr>
        <sz val="12"/>
        <color theme="1"/>
        <rFont val="微軟正黑體"/>
        <family val="2"/>
        <charset val="136"/>
      </rPr>
      <t>滿足條件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蒐集到倍數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累積倍數才會作用</t>
    </r>
  </si>
  <si>
    <r>
      <t xml:space="preserve">  3. </t>
    </r>
    <r>
      <rPr>
        <sz val="12"/>
        <color theme="1"/>
        <rFont val="微軟正黑體"/>
        <family val="2"/>
        <charset val="136"/>
      </rPr>
      <t>每一輪最多出現一個</t>
    </r>
    <r>
      <rPr>
        <sz val="12"/>
        <color theme="1"/>
        <rFont val="Courier New"/>
        <family val="3"/>
      </rPr>
      <t xml:space="preserve"> SC</t>
    </r>
  </si>
  <si>
    <r>
      <t xml:space="preserve">  4. BG_Symbol (2): </t>
    </r>
    <r>
      <rPr>
        <sz val="12"/>
        <color theme="1"/>
        <rFont val="微軟正黑體"/>
        <family val="2"/>
        <charset val="136"/>
      </rPr>
      <t>觸發全部都是金框用的表。</t>
    </r>
  </si>
  <si>
    <r>
      <t xml:space="preserve">  5. BG_Symbol (3): </t>
    </r>
    <r>
      <rPr>
        <sz val="12"/>
        <color theme="1"/>
        <rFont val="微軟正黑體"/>
        <family val="2"/>
        <charset val="136"/>
      </rPr>
      <t>觸發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用的表。得分少、</t>
    </r>
    <r>
      <rPr>
        <sz val="12"/>
        <color theme="1"/>
        <rFont val="Courier New"/>
        <family val="3"/>
      </rPr>
      <t xml:space="preserve">C1 </t>
    </r>
    <r>
      <rPr>
        <sz val="12"/>
        <color theme="1"/>
        <rFont val="微軟正黑體"/>
        <family val="2"/>
        <charset val="136"/>
      </rPr>
      <t>多，盡量不要有倍數百搭參與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→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控制進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時的得分</t>
    </r>
  </si>
  <si>
    <t>Special</t>
    <phoneticPr fontId="20" type="noConversion"/>
  </si>
  <si>
    <t>Normal</t>
    <phoneticPr fontId="20" type="noConversion"/>
  </si>
  <si>
    <t>OP B1</t>
    <phoneticPr fontId="20" type="noConversion"/>
  </si>
  <si>
    <t>OP B2</t>
    <phoneticPr fontId="20" type="noConversion"/>
  </si>
  <si>
    <t>Special Appear</t>
    <phoneticPr fontId="20" type="noConversion"/>
  </si>
  <si>
    <t>FG10</t>
  </si>
  <si>
    <t>FG20</t>
  </si>
  <si>
    <r>
      <rPr>
        <sz val="12"/>
        <rFont val="微軟正黑體"/>
        <family val="2"/>
        <charset val="136"/>
      </rPr>
      <t>金框分布</t>
    </r>
    <phoneticPr fontId="20" type="noConversion"/>
  </si>
  <si>
    <r>
      <rPr>
        <sz val="12"/>
        <rFont val="微軟正黑體"/>
        <family val="2"/>
        <charset val="136"/>
      </rPr>
      <t>平均數量</t>
    </r>
    <phoneticPr fontId="20" type="noConversion"/>
  </si>
  <si>
    <r>
      <rPr>
        <sz val="12"/>
        <rFont val="微軟正黑體"/>
        <family val="2"/>
        <charset val="136"/>
      </rPr>
      <t>倍數出現率</t>
    </r>
    <phoneticPr fontId="20" type="noConversion"/>
  </si>
  <si>
    <t>Normal Symbol</t>
    <phoneticPr fontId="20" type="noConversion"/>
  </si>
  <si>
    <t>Golden Symbol</t>
    <phoneticPr fontId="20" type="noConversion"/>
  </si>
  <si>
    <r>
      <rPr>
        <sz val="12"/>
        <rFont val="微軟正黑體"/>
        <family val="2"/>
        <charset val="136"/>
      </rPr>
      <t>倍數分布</t>
    </r>
    <phoneticPr fontId="20" type="noConversion"/>
  </si>
  <si>
    <r>
      <rPr>
        <sz val="12"/>
        <rFont val="微軟正黑體"/>
        <family val="2"/>
        <charset val="136"/>
      </rPr>
      <t>平均倍數</t>
    </r>
    <phoneticPr fontId="20" type="noConversion"/>
  </si>
  <si>
    <t>OP (Simulator)</t>
    <phoneticPr fontId="20" type="noConversion"/>
  </si>
  <si>
    <t>B1</t>
    <phoneticPr fontId="20" type="noConversion"/>
  </si>
  <si>
    <t>B2</t>
    <phoneticPr fontId="20" type="noConversion"/>
  </si>
  <si>
    <t>Special Trigger Rate</t>
    <phoneticPr fontId="20" type="noConversion"/>
  </si>
  <si>
    <r>
      <rPr>
        <sz val="12"/>
        <color theme="1"/>
        <rFont val="微軟正黑體"/>
        <family val="2"/>
        <charset val="136"/>
      </rPr>
      <t>墨西哥狂歡</t>
    </r>
    <phoneticPr fontId="20" type="noConversion"/>
  </si>
  <si>
    <t>Free Game</t>
  </si>
  <si>
    <t>(100000, 9999999]</t>
  </si>
  <si>
    <t>(90000, 100000]</t>
  </si>
  <si>
    <t>(80000, 90000]</t>
  </si>
  <si>
    <t>(70000, 80000]</t>
  </si>
  <si>
    <t>(60000, 70000]</t>
  </si>
  <si>
    <t>(50000, 60000]</t>
  </si>
  <si>
    <t>(40000, 50000]</t>
  </si>
  <si>
    <t>(30000, 40000]</t>
  </si>
  <si>
    <t>(20000, 30000]</t>
  </si>
  <si>
    <t>(10000, 20000]</t>
  </si>
  <si>
    <t>(9000, 10000]</t>
  </si>
  <si>
    <t>(8000, 9000]</t>
  </si>
  <si>
    <t>(7000, 8000]</t>
  </si>
  <si>
    <t>(6000, 7000]</t>
  </si>
  <si>
    <t>(5000, 6000]</t>
  </si>
  <si>
    <t>(4000, 5000]</t>
  </si>
  <si>
    <t>(3000, 4000]</t>
  </si>
  <si>
    <t>(2000, 3000]</t>
  </si>
  <si>
    <t>(1000, 2000]</t>
  </si>
  <si>
    <t>(950, 1000]</t>
  </si>
  <si>
    <t>(900, 950]</t>
  </si>
  <si>
    <t>(850, 900]</t>
  </si>
  <si>
    <t>(800, 850]</t>
  </si>
  <si>
    <t>(750, 800]</t>
  </si>
  <si>
    <t>(700, 750]</t>
  </si>
  <si>
    <t>(650, 700]</t>
  </si>
  <si>
    <t>(600, 650]</t>
  </si>
  <si>
    <t>(550, 600]</t>
  </si>
  <si>
    <t>(500, 550]</t>
  </si>
  <si>
    <t>(450, 500]</t>
  </si>
  <si>
    <t>(400, 450]</t>
  </si>
  <si>
    <t>(350, 400]</t>
  </si>
  <si>
    <t>(300, 350]</t>
  </si>
  <si>
    <t>(250, 300]</t>
  </si>
  <si>
    <t>(200, 250]</t>
  </si>
  <si>
    <t>(180, 200]</t>
  </si>
  <si>
    <t>(160, 180]</t>
  </si>
  <si>
    <t>(140, 160]</t>
  </si>
  <si>
    <t>(120, 140]</t>
  </si>
  <si>
    <t>(100, 120]</t>
  </si>
  <si>
    <t>(90, 100]</t>
  </si>
  <si>
    <t>(80, 90]</t>
  </si>
  <si>
    <t>(70, 80]</t>
  </si>
  <si>
    <t>(60, 70]</t>
  </si>
  <si>
    <t>(50, 60]</t>
  </si>
  <si>
    <t>(45, 50]</t>
  </si>
  <si>
    <t>(40, 45]</t>
  </si>
  <si>
    <t>(35, 40]</t>
  </si>
  <si>
    <t>(30, 35]</t>
  </si>
  <si>
    <t>(25, 30]</t>
  </si>
  <si>
    <t>(20, 25]</t>
  </si>
  <si>
    <t>(15, 20]</t>
  </si>
  <si>
    <t>(10, 15]</t>
  </si>
  <si>
    <t>(9, 10]</t>
  </si>
  <si>
    <t>(8, 9]</t>
  </si>
  <si>
    <t>(7, 8]</t>
  </si>
  <si>
    <t>(6, 7]</t>
  </si>
  <si>
    <t>(5, 6]</t>
  </si>
  <si>
    <t>(4, 5]</t>
  </si>
  <si>
    <t>(3, 4]</t>
  </si>
  <si>
    <t>(2, 3]</t>
  </si>
  <si>
    <t>(1, 2]</t>
  </si>
  <si>
    <t>(0, 1]</t>
  </si>
  <si>
    <t>(-1, 0]</t>
  </si>
  <si>
    <t>Weight_BF</t>
    <phoneticPr fontId="29" type="noConversion"/>
  </si>
  <si>
    <t>Weight_FG</t>
    <phoneticPr fontId="29" type="noConversion"/>
  </si>
  <si>
    <t>Weight_BG</t>
    <phoneticPr fontId="29" type="noConversion"/>
  </si>
  <si>
    <t>Range</t>
  </si>
  <si>
    <t>Oldhand</t>
    <phoneticPr fontId="20" type="noConversion"/>
  </si>
  <si>
    <t>Newbie</t>
    <phoneticPr fontId="20" type="noConversion"/>
  </si>
  <si>
    <t>Fix Num A</t>
    <phoneticPr fontId="29" type="noConversion"/>
  </si>
  <si>
    <t>Fix Num B</t>
    <phoneticPr fontId="29" type="noConversion"/>
  </si>
  <si>
    <t>M5</t>
    <phoneticPr fontId="20" type="noConversion"/>
  </si>
  <si>
    <t>G1</t>
    <phoneticPr fontId="20" type="noConversion"/>
  </si>
  <si>
    <t>G5</t>
    <phoneticPr fontId="20" type="noConversion"/>
  </si>
  <si>
    <t>G4</t>
    <phoneticPr fontId="20" type="noConversion"/>
  </si>
  <si>
    <t>目標</t>
    <phoneticPr fontId="20" type="noConversion"/>
  </si>
  <si>
    <t>1.0.0.0</t>
    <phoneticPr fontId="20" type="noConversion"/>
  </si>
  <si>
    <t>H026194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</si>
</sst>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0.00_);[Red]\(0.00\)"/>
    <numFmt numFmtId="177" formatCode="0.0000%"/>
    <numFmt numFmtId="178" formatCode="_-* #,##0_-;\-* #,##0_-;_-* &quot;-&quot;??_-;_-@_-"/>
    <numFmt numFmtId="179" formatCode="0_);[Red]\(0\)"/>
    <numFmt numFmtId="180" formatCode="0.000000"/>
    <numFmt numFmtId="181" formatCode="0.0%"/>
    <numFmt numFmtId="182" formatCode="0.0000"/>
    <numFmt numFmtId="183" formatCode="0.000"/>
    <numFmt numFmtId="184" formatCode="0.0"/>
  </numFmts>
  <fonts count="32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name val="微軟正黑體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9"/>
      <name val="Courier New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細明體"/>
      <family val="3"/>
      <charset val="136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1100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21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top"/>
    </xf>
    <xf numFmtId="3" fontId="19" fillId="0" borderId="0" xfId="0" applyNumberFormat="1" applyFont="1" applyAlignment="1">
      <alignment horizontal="center" vertical="center" wrapText="1"/>
    </xf>
    <xf numFmtId="3" fontId="19" fillId="0" borderId="0" xfId="0" applyNumberFormat="1" applyFont="1" applyAlignment="1">
      <alignment horizontal="right" vertical="top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10" fontId="19" fillId="0" borderId="0" xfId="1" applyNumberFormat="1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top" wrapText="1"/>
    </xf>
    <xf numFmtId="0" fontId="19" fillId="0" borderId="0" xfId="0" applyFont="1" applyAlignment="1">
      <alignment horizontal="center" vertical="top" wrapText="1"/>
    </xf>
    <xf numFmtId="10" fontId="19" fillId="0" borderId="0" xfId="1" applyNumberFormat="1" applyFont="1" applyBorder="1" applyAlignment="1">
      <alignment horizontal="center" vertical="center" wrapText="1"/>
    </xf>
    <xf numFmtId="176" fontId="19" fillId="0" borderId="0" xfId="1" applyNumberFormat="1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25" fillId="0" borderId="11" xfId="0" applyFont="1" applyBorder="1" applyAlignment="1">
      <alignment horizontal="center"/>
    </xf>
    <xf numFmtId="0" fontId="19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Border="1" applyAlignment="1">
      <alignment vertical="top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center"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0" xfId="58215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0" fontId="19" fillId="0" borderId="0" xfId="0" applyFont="1" applyFill="1" applyAlignment="1">
      <alignment horizontal="center" vertical="center"/>
    </xf>
    <xf numFmtId="176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10" fontId="19" fillId="0" borderId="0" xfId="1" applyNumberFormat="1" applyFont="1" applyFill="1" applyBorder="1" applyAlignment="1">
      <alignment horizontal="center" vertical="center" wrapText="1"/>
    </xf>
    <xf numFmtId="10" fontId="19" fillId="0" borderId="0" xfId="0" applyNumberFormat="1" applyFont="1" applyFill="1" applyBorder="1" applyAlignment="1">
      <alignment horizontal="center" vertical="center" wrapText="1"/>
    </xf>
    <xf numFmtId="10" fontId="19" fillId="0" borderId="0" xfId="1" applyNumberFormat="1" applyFont="1" applyFill="1" applyAlignment="1">
      <alignment vertical="center"/>
    </xf>
    <xf numFmtId="0" fontId="25" fillId="0" borderId="11" xfId="0" applyFont="1" applyBorder="1"/>
    <xf numFmtId="10" fontId="19" fillId="0" borderId="11" xfId="1" applyNumberFormat="1" applyFont="1" applyFill="1" applyBorder="1" applyAlignment="1">
      <alignment horizontal="center" vertical="center" wrapText="1"/>
    </xf>
    <xf numFmtId="0" fontId="27" fillId="0" borderId="0" xfId="0" applyFont="1"/>
    <xf numFmtId="0" fontId="25" fillId="0" borderId="0" xfId="0" applyFont="1" applyAlignment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25" fillId="38" borderId="0" xfId="0" applyFont="1" applyFill="1" applyAlignment="1">
      <alignment horizontal="center" vertical="center"/>
    </xf>
    <xf numFmtId="10" fontId="25" fillId="38" borderId="0" xfId="0" applyNumberFormat="1" applyFont="1" applyFill="1" applyAlignment="1">
      <alignment vertical="center"/>
    </xf>
    <xf numFmtId="0" fontId="25" fillId="38" borderId="0" xfId="0" applyFont="1" applyFill="1"/>
    <xf numFmtId="0" fontId="25" fillId="0" borderId="11" xfId="0" applyFont="1" applyBorder="1" applyAlignment="1">
      <alignment vertical="center"/>
    </xf>
    <xf numFmtId="10" fontId="25" fillId="0" borderId="11" xfId="1" applyNumberFormat="1" applyFont="1" applyFill="1" applyBorder="1">
      <alignment vertical="center"/>
    </xf>
    <xf numFmtId="0" fontId="25" fillId="0" borderId="11" xfId="1" applyNumberFormat="1" applyFont="1" applyFill="1" applyBorder="1">
      <alignment vertical="center"/>
    </xf>
    <xf numFmtId="0" fontId="25" fillId="0" borderId="11" xfId="0" applyFont="1" applyBorder="1" applyAlignment="1">
      <alignment horizontal="center" vertical="center"/>
    </xf>
    <xf numFmtId="0" fontId="25" fillId="33" borderId="11" xfId="0" applyFont="1" applyFill="1" applyBorder="1" applyAlignment="1">
      <alignment vertical="center"/>
    </xf>
    <xf numFmtId="10" fontId="25" fillId="0" borderId="11" xfId="1" applyNumberFormat="1" applyFont="1" applyBorder="1">
      <alignment vertical="center"/>
    </xf>
    <xf numFmtId="0" fontId="25" fillId="0" borderId="10" xfId="0" applyFont="1" applyBorder="1" applyAlignment="1">
      <alignment vertical="center"/>
    </xf>
    <xf numFmtId="10" fontId="25" fillId="39" borderId="11" xfId="1" quotePrefix="1" applyNumberFormat="1" applyFont="1" applyFill="1" applyBorder="1" applyAlignment="1">
      <alignment vertical="center"/>
    </xf>
    <xf numFmtId="10" fontId="25" fillId="0" borderId="0" xfId="1" applyNumberFormat="1" applyFont="1">
      <alignment vertical="center"/>
    </xf>
    <xf numFmtId="10" fontId="25" fillId="33" borderId="11" xfId="1" applyNumberFormat="1" applyFont="1" applyFill="1" applyBorder="1">
      <alignment vertical="center"/>
    </xf>
    <xf numFmtId="178" fontId="25" fillId="0" borderId="0" xfId="61099" applyNumberFormat="1" applyFont="1" applyAlignment="1">
      <alignment vertical="center"/>
    </xf>
    <xf numFmtId="10" fontId="25" fillId="0" borderId="10" xfId="1" applyNumberFormat="1" applyFont="1" applyFill="1" applyBorder="1">
      <alignment vertical="center"/>
    </xf>
    <xf numFmtId="0" fontId="25" fillId="0" borderId="0" xfId="0" applyFont="1" applyAlignment="1">
      <alignment horizontal="left" vertical="center"/>
    </xf>
    <xf numFmtId="178" fontId="19" fillId="33" borderId="10" xfId="61099" applyNumberFormat="1" applyFont="1" applyFill="1" applyBorder="1" applyAlignment="1">
      <alignment vertical="center"/>
    </xf>
    <xf numFmtId="178" fontId="19" fillId="33" borderId="11" xfId="61099" applyNumberFormat="1" applyFont="1" applyFill="1" applyBorder="1" applyAlignment="1">
      <alignment vertical="center"/>
    </xf>
    <xf numFmtId="178" fontId="19" fillId="0" borderId="11" xfId="61099" applyNumberFormat="1" applyFont="1" applyFill="1" applyBorder="1" applyAlignment="1">
      <alignment vertical="center"/>
    </xf>
    <xf numFmtId="10" fontId="25" fillId="39" borderId="11" xfId="1" applyNumberFormat="1" applyFont="1" applyFill="1" applyBorder="1" applyAlignment="1"/>
    <xf numFmtId="1" fontId="25" fillId="39" borderId="11" xfId="1" applyNumberFormat="1" applyFont="1" applyFill="1" applyBorder="1" applyAlignment="1"/>
    <xf numFmtId="0" fontId="19" fillId="37" borderId="0" xfId="0" applyFont="1" applyFill="1" applyAlignment="1">
      <alignment vertical="center"/>
    </xf>
    <xf numFmtId="0" fontId="25" fillId="37" borderId="0" xfId="0" applyFont="1" applyFill="1" applyAlignment="1">
      <alignment vertical="center"/>
    </xf>
    <xf numFmtId="0" fontId="25" fillId="37" borderId="0" xfId="0" applyFont="1" applyFill="1" applyAlignment="1">
      <alignment horizontal="center" vertical="center"/>
    </xf>
    <xf numFmtId="10" fontId="25" fillId="37" borderId="0" xfId="0" applyNumberFormat="1" applyFont="1" applyFill="1" applyAlignment="1">
      <alignment vertical="center"/>
    </xf>
    <xf numFmtId="0" fontId="25" fillId="37" borderId="0" xfId="0" applyFont="1" applyFill="1"/>
    <xf numFmtId="0" fontId="25" fillId="0" borderId="11" xfId="0" applyFont="1" applyFill="1" applyBorder="1" applyAlignment="1">
      <alignment vertical="center"/>
    </xf>
    <xf numFmtId="177" fontId="25" fillId="39" borderId="11" xfId="1" applyNumberFormat="1" applyFont="1" applyFill="1" applyBorder="1" applyAlignment="1">
      <alignment vertical="center"/>
    </xf>
    <xf numFmtId="10" fontId="25" fillId="0" borderId="11" xfId="1" applyNumberFormat="1" applyFont="1" applyBorder="1" applyAlignment="1"/>
    <xf numFmtId="179" fontId="25" fillId="39" borderId="11" xfId="61099" applyNumberFormat="1" applyFont="1" applyFill="1" applyBorder="1">
      <alignment vertical="center"/>
    </xf>
    <xf numFmtId="179" fontId="25" fillId="0" borderId="11" xfId="61099" applyNumberFormat="1" applyFont="1" applyFill="1" applyBorder="1">
      <alignment vertical="center"/>
    </xf>
    <xf numFmtId="0" fontId="25" fillId="34" borderId="11" xfId="0" applyFont="1" applyFill="1" applyBorder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0" fontId="27" fillId="38" borderId="0" xfId="0" applyFont="1" applyFill="1"/>
    <xf numFmtId="0" fontId="27" fillId="37" borderId="0" xfId="0" applyFont="1" applyFill="1"/>
    <xf numFmtId="2" fontId="27" fillId="0" borderId="0" xfId="0" applyNumberFormat="1" applyFont="1"/>
    <xf numFmtId="0" fontId="25" fillId="34" borderId="11" xfId="0" applyFont="1" applyFill="1" applyBorder="1" applyAlignment="1">
      <alignment vertical="center"/>
    </xf>
    <xf numFmtId="176" fontId="25" fillId="0" borderId="10" xfId="1" applyNumberFormat="1" applyFont="1" applyFill="1" applyBorder="1">
      <alignment vertical="center"/>
    </xf>
    <xf numFmtId="176" fontId="25" fillId="0" borderId="11" xfId="1" applyNumberFormat="1" applyFont="1" applyFill="1" applyBorder="1">
      <alignment vertical="center"/>
    </xf>
    <xf numFmtId="178" fontId="27" fillId="0" borderId="11" xfId="61099" applyNumberFormat="1" applyFont="1" applyFill="1" applyBorder="1" applyAlignment="1">
      <alignment vertical="center"/>
    </xf>
    <xf numFmtId="2" fontId="25" fillId="39" borderId="11" xfId="1" applyNumberFormat="1" applyFont="1" applyFill="1" applyBorder="1" applyAlignment="1"/>
    <xf numFmtId="178" fontId="27" fillId="0" borderId="10" xfId="61099" applyNumberFormat="1" applyFont="1" applyFill="1" applyBorder="1" applyAlignment="1">
      <alignment vertical="center"/>
    </xf>
    <xf numFmtId="0" fontId="19" fillId="0" borderId="11" xfId="0" applyFont="1" applyBorder="1"/>
    <xf numFmtId="177" fontId="25" fillId="36" borderId="11" xfId="1" applyNumberFormat="1" applyFont="1" applyFill="1" applyBorder="1" applyAlignment="1">
      <alignment vertical="center"/>
    </xf>
    <xf numFmtId="0" fontId="19" fillId="0" borderId="11" xfId="0" applyFont="1" applyFill="1" applyBorder="1" applyAlignment="1">
      <alignment horizontal="center" vertical="center" wrapText="1"/>
    </xf>
    <xf numFmtId="180" fontId="27" fillId="0" borderId="0" xfId="0" applyNumberFormat="1" applyFont="1"/>
    <xf numFmtId="1" fontId="27" fillId="0" borderId="0" xfId="0" applyNumberFormat="1" applyFont="1"/>
    <xf numFmtId="1" fontId="25" fillId="0" borderId="0" xfId="0" applyNumberFormat="1" applyFont="1"/>
    <xf numFmtId="181" fontId="25" fillId="0" borderId="0" xfId="1" applyNumberFormat="1" applyFont="1" applyAlignment="1"/>
    <xf numFmtId="10" fontId="25" fillId="0" borderId="0" xfId="1" applyNumberFormat="1" applyFont="1" applyAlignment="1"/>
    <xf numFmtId="10" fontId="19" fillId="0" borderId="11" xfId="1" applyNumberFormat="1" applyFont="1" applyFill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0" fontId="25" fillId="0" borderId="0" xfId="1" applyNumberFormat="1" applyFont="1" applyAlignment="1">
      <alignment vertical="center"/>
    </xf>
    <xf numFmtId="10" fontId="27" fillId="0" borderId="0" xfId="1" applyNumberFormat="1" applyFont="1" applyAlignment="1">
      <alignment vertical="center"/>
    </xf>
    <xf numFmtId="0" fontId="25" fillId="33" borderId="11" xfId="0" applyFont="1" applyFill="1" applyBorder="1"/>
    <xf numFmtId="179" fontId="25" fillId="35" borderId="11" xfId="0" applyNumberFormat="1" applyFont="1" applyFill="1" applyBorder="1"/>
    <xf numFmtId="10" fontId="25" fillId="0" borderId="0" xfId="0" applyNumberFormat="1" applyFont="1"/>
    <xf numFmtId="0" fontId="19" fillId="40" borderId="11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9" fillId="0" borderId="0" xfId="0" applyNumberFormat="1" applyFont="1" applyFill="1" applyBorder="1"/>
    <xf numFmtId="0" fontId="25" fillId="36" borderId="11" xfId="0" applyFont="1" applyFill="1" applyBorder="1" applyAlignment="1">
      <alignment horizontal="center" vertical="center"/>
    </xf>
    <xf numFmtId="43" fontId="25" fillId="0" borderId="0" xfId="0" applyNumberFormat="1" applyFont="1"/>
    <xf numFmtId="0" fontId="19" fillId="33" borderId="11" xfId="0" applyFont="1" applyFill="1" applyBorder="1" applyAlignment="1">
      <alignment vertical="center"/>
    </xf>
    <xf numFmtId="10" fontId="19" fillId="0" borderId="11" xfId="1" applyNumberFormat="1" applyFont="1" applyFill="1" applyBorder="1">
      <alignment vertical="center"/>
    </xf>
    <xf numFmtId="179" fontId="19" fillId="39" borderId="11" xfId="61099" applyNumberFormat="1" applyFont="1" applyFill="1" applyBorder="1">
      <alignment vertical="center"/>
    </xf>
    <xf numFmtId="10" fontId="27" fillId="0" borderId="0" xfId="1" applyNumberFormat="1" applyFont="1" applyAlignment="1"/>
    <xf numFmtId="182" fontId="27" fillId="0" borderId="0" xfId="0" applyNumberFormat="1" applyFont="1"/>
    <xf numFmtId="10" fontId="25" fillId="0" borderId="0" xfId="0" applyNumberFormat="1" applyFont="1" applyAlignment="1">
      <alignment vertical="center"/>
    </xf>
    <xf numFmtId="178" fontId="25" fillId="35" borderId="11" xfId="61099" applyNumberFormat="1" applyFont="1" applyFill="1" applyBorder="1" applyAlignment="1"/>
    <xf numFmtId="0" fontId="19" fillId="0" borderId="15" xfId="0" applyFont="1" applyBorder="1"/>
    <xf numFmtId="0" fontId="25" fillId="33" borderId="15" xfId="0" applyFont="1" applyFill="1" applyBorder="1"/>
    <xf numFmtId="0" fontId="25" fillId="0" borderId="15" xfId="0" applyFont="1" applyBorder="1"/>
    <xf numFmtId="183" fontId="27" fillId="0" borderId="0" xfId="1" applyNumberFormat="1" applyFont="1" applyAlignment="1"/>
    <xf numFmtId="183" fontId="27" fillId="0" borderId="0" xfId="0" applyNumberFormat="1" applyFont="1"/>
    <xf numFmtId="1" fontId="19" fillId="0" borderId="0" xfId="0" applyNumberFormat="1" applyFont="1" applyAlignment="1">
      <alignment vertical="center"/>
    </xf>
    <xf numFmtId="1" fontId="25" fillId="0" borderId="0" xfId="1" applyNumberFormat="1" applyFont="1" applyAlignment="1"/>
    <xf numFmtId="1" fontId="25" fillId="0" borderId="0" xfId="1" applyNumberFormat="1" applyFont="1" applyAlignment="1">
      <alignment vertical="center"/>
    </xf>
    <xf numFmtId="0" fontId="19" fillId="0" borderId="15" xfId="0" applyFont="1" applyFill="1" applyBorder="1" applyAlignment="1">
      <alignment horizontal="center" vertical="center"/>
    </xf>
    <xf numFmtId="0" fontId="19" fillId="40" borderId="11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center" vertical="center"/>
    </xf>
    <xf numFmtId="0" fontId="19" fillId="35" borderId="10" xfId="0" applyFont="1" applyFill="1" applyBorder="1"/>
    <xf numFmtId="0" fontId="19" fillId="35" borderId="15" xfId="0" applyFont="1" applyFill="1" applyBorder="1"/>
    <xf numFmtId="0" fontId="19" fillId="0" borderId="15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10" fontId="27" fillId="0" borderId="0" xfId="1" applyNumberFormat="1" applyFont="1" applyFill="1" applyBorder="1" applyAlignment="1"/>
    <xf numFmtId="0" fontId="27" fillId="0" borderId="0" xfId="0" applyNumberFormat="1" applyFont="1" applyFill="1" applyBorder="1"/>
    <xf numFmtId="0" fontId="19" fillId="0" borderId="15" xfId="0" applyNumberFormat="1" applyFont="1" applyFill="1" applyBorder="1"/>
    <xf numFmtId="0" fontId="19" fillId="34" borderId="15" xfId="0" applyNumberFormat="1" applyFont="1" applyFill="1" applyBorder="1" applyAlignment="1">
      <alignment horizontal="center" vertical="center"/>
    </xf>
    <xf numFmtId="0" fontId="19" fillId="35" borderId="15" xfId="0" applyNumberFormat="1" applyFont="1" applyFill="1" applyBorder="1"/>
    <xf numFmtId="0" fontId="19" fillId="42" borderId="11" xfId="0" applyFont="1" applyFill="1" applyBorder="1" applyAlignment="1">
      <alignment horizontal="center" vertical="center"/>
    </xf>
    <xf numFmtId="0" fontId="19" fillId="42" borderId="10" xfId="0" quotePrefix="1" applyFont="1" applyFill="1" applyBorder="1" applyAlignment="1">
      <alignment horizontal="center" vertical="center"/>
    </xf>
    <xf numFmtId="0" fontId="19" fillId="42" borderId="11" xfId="0" quotePrefix="1" applyFont="1" applyFill="1" applyBorder="1" applyAlignment="1">
      <alignment horizontal="center" vertical="center"/>
    </xf>
    <xf numFmtId="0" fontId="19" fillId="42" borderId="15" xfId="0" applyFont="1" applyFill="1" applyBorder="1" applyAlignment="1">
      <alignment horizontal="center" vertical="center"/>
    </xf>
    <xf numFmtId="0" fontId="19" fillId="0" borderId="10" xfId="0" applyFont="1" applyFill="1" applyBorder="1"/>
    <xf numFmtId="0" fontId="19" fillId="0" borderId="15" xfId="0" applyFont="1" applyFill="1" applyBorder="1"/>
    <xf numFmtId="0" fontId="19" fillId="33" borderId="10" xfId="0" applyFont="1" applyFill="1" applyBorder="1"/>
    <xf numFmtId="0" fontId="19" fillId="33" borderId="15" xfId="0" applyFont="1" applyFill="1" applyBorder="1"/>
    <xf numFmtId="0" fontId="19" fillId="33" borderId="15" xfId="0" applyNumberFormat="1" applyFont="1" applyFill="1" applyBorder="1"/>
    <xf numFmtId="0" fontId="19" fillId="40" borderId="15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0" fontId="19" fillId="43" borderId="15" xfId="0" applyNumberFormat="1" applyFont="1" applyFill="1" applyBorder="1"/>
    <xf numFmtId="0" fontId="19" fillId="0" borderId="10" xfId="0" applyNumberFormat="1" applyFont="1" applyFill="1" applyBorder="1"/>
    <xf numFmtId="0" fontId="19" fillId="35" borderId="10" xfId="0" applyNumberFormat="1" applyFont="1" applyFill="1" applyBorder="1"/>
    <xf numFmtId="0" fontId="19" fillId="43" borderId="10" xfId="0" applyNumberFormat="1" applyFont="1" applyFill="1" applyBorder="1"/>
    <xf numFmtId="2" fontId="19" fillId="0" borderId="0" xfId="0" applyNumberFormat="1" applyFont="1" applyFill="1" applyBorder="1"/>
    <xf numFmtId="2" fontId="27" fillId="0" borderId="0" xfId="1" applyNumberFormat="1" applyFont="1" applyFill="1" applyBorder="1" applyAlignment="1"/>
    <xf numFmtId="10" fontId="19" fillId="0" borderId="15" xfId="1" applyNumberFormat="1" applyFont="1" applyBorder="1" applyAlignment="1"/>
    <xf numFmtId="10" fontId="19" fillId="0" borderId="0" xfId="1" applyNumberFormat="1" applyFont="1" applyAlignment="1"/>
    <xf numFmtId="0" fontId="19" fillId="0" borderId="10" xfId="0" applyFont="1" applyBorder="1" applyAlignment="1">
      <alignment vertical="center"/>
    </xf>
    <xf numFmtId="10" fontId="19" fillId="0" borderId="10" xfId="1" applyNumberFormat="1" applyFont="1" applyBorder="1">
      <alignment vertical="center"/>
    </xf>
    <xf numFmtId="0" fontId="19" fillId="0" borderId="15" xfId="0" applyFont="1" applyBorder="1" applyAlignment="1">
      <alignment vertical="center"/>
    </xf>
    <xf numFmtId="10" fontId="19" fillId="0" borderId="15" xfId="1" applyNumberFormat="1" applyFont="1" applyBorder="1">
      <alignment vertical="center"/>
    </xf>
    <xf numFmtId="10" fontId="19" fillId="0" borderId="0" xfId="0" applyNumberFormat="1" applyFont="1"/>
    <xf numFmtId="10" fontId="19" fillId="43" borderId="15" xfId="1" applyNumberFormat="1" applyFont="1" applyFill="1" applyBorder="1" applyAlignment="1"/>
    <xf numFmtId="10" fontId="19" fillId="43" borderId="10" xfId="1" applyNumberFormat="1" applyFont="1" applyFill="1" applyBorder="1">
      <alignment vertical="center"/>
    </xf>
    <xf numFmtId="10" fontId="19" fillId="43" borderId="15" xfId="1" applyNumberFormat="1" applyFont="1" applyFill="1" applyBorder="1">
      <alignment vertical="center"/>
    </xf>
    <xf numFmtId="10" fontId="19" fillId="39" borderId="15" xfId="1" applyNumberFormat="1" applyFont="1" applyFill="1" applyBorder="1" applyAlignment="1"/>
    <xf numFmtId="0" fontId="19" fillId="34" borderId="0" xfId="0" applyFont="1" applyFill="1" applyBorder="1" applyAlignment="1">
      <alignment horizontal="center" vertical="center"/>
    </xf>
    <xf numFmtId="10" fontId="19" fillId="0" borderId="0" xfId="1" applyNumberFormat="1" applyFont="1" applyBorder="1">
      <alignment vertical="center"/>
    </xf>
    <xf numFmtId="10" fontId="19" fillId="0" borderId="0" xfId="1" applyNumberFormat="1" applyFont="1" applyBorder="1" applyAlignment="1"/>
    <xf numFmtId="2" fontId="19" fillId="0" borderId="0" xfId="0" applyNumberFormat="1" applyFont="1"/>
    <xf numFmtId="2" fontId="19" fillId="0" borderId="15" xfId="0" applyNumberFormat="1" applyFont="1" applyBorder="1"/>
    <xf numFmtId="10" fontId="19" fillId="0" borderId="10" xfId="1" applyNumberFormat="1" applyFont="1" applyBorder="1" applyAlignment="1"/>
    <xf numFmtId="0" fontId="19" fillId="0" borderId="10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10" fontId="19" fillId="0" borderId="0" xfId="1" applyNumberFormat="1" applyFont="1" applyAlignment="1">
      <alignment horizontal="center" vertical="center"/>
    </xf>
    <xf numFmtId="10" fontId="19" fillId="0" borderId="0" xfId="1" applyNumberFormat="1" applyFont="1" applyFill="1" applyBorder="1" applyAlignment="1"/>
    <xf numFmtId="1" fontId="19" fillId="0" borderId="0" xfId="0" applyNumberFormat="1" applyFont="1" applyFill="1" applyBorder="1"/>
    <xf numFmtId="184" fontId="19" fillId="35" borderId="0" xfId="0" applyNumberFormat="1" applyFont="1" applyFill="1" applyBorder="1"/>
    <xf numFmtId="1" fontId="19" fillId="0" borderId="0" xfId="0" applyNumberFormat="1" applyFont="1"/>
    <xf numFmtId="0" fontId="19" fillId="44" borderId="0" xfId="0" applyFont="1" applyFill="1" applyAlignment="1">
      <alignment vertical="center"/>
    </xf>
    <xf numFmtId="0" fontId="27" fillId="44" borderId="0" xfId="0" applyFont="1" applyFill="1"/>
    <xf numFmtId="0" fontId="25" fillId="44" borderId="0" xfId="0" applyFont="1" applyFill="1" applyAlignment="1">
      <alignment horizontal="center" vertical="center"/>
    </xf>
    <xf numFmtId="10" fontId="25" fillId="44" borderId="0" xfId="0" applyNumberFormat="1" applyFont="1" applyFill="1" applyAlignment="1">
      <alignment vertical="center"/>
    </xf>
    <xf numFmtId="0" fontId="25" fillId="44" borderId="0" xfId="0" applyFont="1" applyFill="1" applyAlignment="1">
      <alignment vertical="center"/>
    </xf>
    <xf numFmtId="0" fontId="25" fillId="44" borderId="0" xfId="0" applyFont="1" applyFill="1"/>
    <xf numFmtId="0" fontId="25" fillId="41" borderId="15" xfId="0" applyFont="1" applyFill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180" fontId="25" fillId="0" borderId="0" xfId="1" applyNumberFormat="1" applyFont="1" applyAlignment="1"/>
    <xf numFmtId="0" fontId="25" fillId="36" borderId="15" xfId="0" applyFont="1" applyFill="1" applyBorder="1" applyAlignment="1">
      <alignment horizontal="center" vertical="center"/>
    </xf>
    <xf numFmtId="10" fontId="19" fillId="33" borderId="11" xfId="1" applyNumberFormat="1" applyFont="1" applyFill="1" applyBorder="1" applyAlignment="1">
      <alignment vertical="center"/>
    </xf>
    <xf numFmtId="178" fontId="25" fillId="33" borderId="0" xfId="61099" applyNumberFormat="1" applyFont="1" applyFill="1" applyAlignment="1">
      <alignment vertical="center"/>
    </xf>
    <xf numFmtId="0" fontId="31" fillId="34" borderId="11" xfId="0" applyFont="1" applyFill="1" applyBorder="1" applyAlignment="1">
      <alignment horizontal="center"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10" fontId="19" fillId="0" borderId="14" xfId="0" applyNumberFormat="1" applyFont="1" applyFill="1" applyBorder="1" applyAlignment="1">
      <alignment horizontal="center" vertical="center" wrapText="1"/>
    </xf>
    <xf numFmtId="10" fontId="19" fillId="0" borderId="10" xfId="0" applyNumberFormat="1" applyFont="1" applyFill="1" applyBorder="1" applyAlignment="1">
      <alignment horizontal="center" vertical="center" wrapText="1"/>
    </xf>
    <xf numFmtId="176" fontId="19" fillId="33" borderId="14" xfId="0" applyNumberFormat="1" applyFont="1" applyFill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76" fontId="19" fillId="0" borderId="14" xfId="0" applyNumberFormat="1" applyFont="1" applyFill="1" applyBorder="1" applyAlignment="1">
      <alignment horizontal="center" vertical="center" wrapText="1"/>
    </xf>
    <xf numFmtId="176" fontId="19" fillId="0" borderId="10" xfId="0" applyNumberFormat="1" applyFont="1" applyFill="1" applyBorder="1" applyAlignment="1">
      <alignment horizontal="center" vertical="center" wrapText="1"/>
    </xf>
    <xf numFmtId="0" fontId="28" fillId="37" borderId="0" xfId="0" applyFont="1" applyFill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8" fillId="44" borderId="0" xfId="0" applyFont="1" applyFill="1" applyAlignment="1">
      <alignment horizontal="center" vertical="center"/>
    </xf>
  </cellXfs>
  <cellStyles count="61100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59"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ont>
        <color theme="0" tint="-0.24994659260841701"/>
      </font>
      <numFmt numFmtId="185" formatCode="0_ "/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FFCC"/>
      <color rgb="FFFFFF00"/>
      <color rgb="FFFFFF99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I102"/>
  <sheetViews>
    <sheetView tabSelected="1" workbookViewId="0">
      <selection activeCell="G13" sqref="G13"/>
    </sheetView>
  </sheetViews>
  <sheetFormatPr defaultColWidth="8.88671875" defaultRowHeight="15.6" x14ac:dyDescent="0.3"/>
  <cols>
    <col min="1" max="1" width="28.21875" style="1" customWidth="1"/>
    <col min="2" max="4" width="19.33203125" style="1" customWidth="1"/>
    <col min="5" max="5" width="37.33203125" style="1" bestFit="1" customWidth="1"/>
    <col min="6" max="6" width="19.33203125" style="1" customWidth="1"/>
    <col min="7" max="7" width="20.33203125" style="1" customWidth="1"/>
    <col min="8" max="8" width="15.77734375" style="1" customWidth="1"/>
    <col min="9" max="9" width="14.6640625" style="1" customWidth="1"/>
    <col min="10" max="16384" width="8.88671875" style="1"/>
  </cols>
  <sheetData>
    <row r="2" spans="1:9" x14ac:dyDescent="0.3">
      <c r="A2" s="18" t="s">
        <v>39</v>
      </c>
      <c r="B2" s="38" t="s">
        <v>332</v>
      </c>
      <c r="C2" s="5"/>
    </row>
    <row r="3" spans="1:9" x14ac:dyDescent="0.3">
      <c r="A3" s="18" t="s">
        <v>40</v>
      </c>
      <c r="B3" s="38" t="s">
        <v>331</v>
      </c>
      <c r="C3" s="19"/>
    </row>
    <row r="4" spans="1:9" x14ac:dyDescent="0.3">
      <c r="C4" s="28"/>
    </row>
    <row r="5" spans="1:9" x14ac:dyDescent="0.3">
      <c r="C5" s="28"/>
    </row>
    <row r="6" spans="1:9" x14ac:dyDescent="0.3">
      <c r="A6" s="20" t="s">
        <v>56</v>
      </c>
      <c r="C6" s="28"/>
    </row>
    <row r="7" spans="1:9" x14ac:dyDescent="0.3">
      <c r="A7" s="37">
        <v>100</v>
      </c>
      <c r="C7" s="28"/>
    </row>
    <row r="8" spans="1:9" x14ac:dyDescent="0.3">
      <c r="C8" s="28"/>
    </row>
    <row r="9" spans="1:9" x14ac:dyDescent="0.3">
      <c r="C9" s="28"/>
    </row>
    <row r="10" spans="1:9" x14ac:dyDescent="0.3">
      <c r="A10" s="20" t="s">
        <v>51</v>
      </c>
      <c r="B10" s="20" t="s">
        <v>54</v>
      </c>
      <c r="C10" s="33" t="s">
        <v>38</v>
      </c>
      <c r="D10" s="33" t="s">
        <v>52</v>
      </c>
      <c r="G10" s="7"/>
      <c r="H10" s="7"/>
      <c r="I10" s="7"/>
    </row>
    <row r="11" spans="1:9" x14ac:dyDescent="0.3">
      <c r="A11" s="42" cm="1">
        <f t="array" ref="A11:A12">B11:B12*A7</f>
        <v>100</v>
      </c>
      <c r="B11" s="37">
        <v>1</v>
      </c>
      <c r="C11" s="105">
        <f>SUM(B17:B18)</f>
        <v>0.93999989203672973</v>
      </c>
      <c r="D11" s="105" t="s">
        <v>53</v>
      </c>
      <c r="G11" s="7"/>
      <c r="H11" s="7"/>
      <c r="I11" s="7"/>
    </row>
    <row r="12" spans="1:9" x14ac:dyDescent="0.3">
      <c r="A12" s="42">
        <v>7500</v>
      </c>
      <c r="B12" s="37">
        <v>75</v>
      </c>
      <c r="C12" s="50">
        <f>SUM(B21:B22)</f>
        <v>0.92499972277007414</v>
      </c>
      <c r="D12" s="50" t="s">
        <v>55</v>
      </c>
    </row>
    <row r="13" spans="1:9" x14ac:dyDescent="0.3">
      <c r="A13" s="23"/>
      <c r="B13" s="23"/>
      <c r="C13" s="24"/>
      <c r="D13" s="2"/>
      <c r="F13" s="3"/>
    </row>
    <row r="14" spans="1:9" x14ac:dyDescent="0.3">
      <c r="A14" s="10"/>
      <c r="B14" s="10"/>
      <c r="C14" s="24"/>
      <c r="D14" s="24"/>
      <c r="F14" s="4"/>
    </row>
    <row r="15" spans="1:9" x14ac:dyDescent="0.3">
      <c r="A15" s="27" t="s">
        <v>24</v>
      </c>
      <c r="B15" s="11"/>
      <c r="C15" s="47"/>
      <c r="D15" s="44"/>
      <c r="E15" s="48"/>
      <c r="F15" s="7"/>
      <c r="G15" s="7"/>
      <c r="H15" s="7"/>
      <c r="I15" s="12"/>
    </row>
    <row r="16" spans="1:9" x14ac:dyDescent="0.3">
      <c r="A16" s="33" t="s">
        <v>52</v>
      </c>
      <c r="B16" s="20" t="s">
        <v>0</v>
      </c>
      <c r="C16" s="20" t="s">
        <v>1</v>
      </c>
      <c r="D16" s="20" t="s">
        <v>2</v>
      </c>
      <c r="E16" s="20" t="s">
        <v>12</v>
      </c>
      <c r="F16" s="108"/>
      <c r="G16" s="7"/>
      <c r="H16" s="7"/>
      <c r="I16" s="12"/>
    </row>
    <row r="17" spans="1:9" x14ac:dyDescent="0.3">
      <c r="A17" s="199" t="str">
        <f>D11</f>
        <v>Normal Bet</v>
      </c>
      <c r="B17" s="41">
        <f>Multiplier_Weight_Oldhand!C7</f>
        <v>0.70001109288565933</v>
      </c>
      <c r="C17" s="200">
        <f>1/D17</f>
        <v>4.1949845413782215E-3</v>
      </c>
      <c r="D17" s="202">
        <f>Multiplier_Weight_Oldhand!G7</f>
        <v>238.3799010786008</v>
      </c>
      <c r="E17" s="29" t="s">
        <v>49</v>
      </c>
      <c r="F17" s="108"/>
      <c r="G17" s="7"/>
      <c r="H17" s="7"/>
      <c r="I17" s="12"/>
    </row>
    <row r="18" spans="1:9" x14ac:dyDescent="0.3">
      <c r="A18" s="199"/>
      <c r="B18" s="41">
        <f>Multiplier_Weight_Oldhand!D7</f>
        <v>0.23998879915107044</v>
      </c>
      <c r="C18" s="201"/>
      <c r="D18" s="203"/>
      <c r="E18" s="29" t="s">
        <v>57</v>
      </c>
      <c r="F18" s="108"/>
      <c r="G18" s="7"/>
      <c r="H18" s="7"/>
      <c r="I18" s="12"/>
    </row>
    <row r="19" spans="1:9" x14ac:dyDescent="0.3">
      <c r="A19" s="45"/>
      <c r="B19" s="46"/>
      <c r="C19" s="47"/>
      <c r="D19" s="44"/>
      <c r="E19" s="7"/>
      <c r="F19" s="108"/>
      <c r="G19" s="7"/>
      <c r="H19" s="7"/>
      <c r="I19" s="12"/>
    </row>
    <row r="20" spans="1:9" x14ac:dyDescent="0.3">
      <c r="A20" s="33" t="s">
        <v>52</v>
      </c>
      <c r="B20" s="20" t="s">
        <v>0</v>
      </c>
      <c r="C20" s="20" t="s">
        <v>1</v>
      </c>
      <c r="D20" s="20" t="s">
        <v>2</v>
      </c>
      <c r="E20" s="20" t="s">
        <v>12</v>
      </c>
      <c r="F20" s="108"/>
      <c r="G20" s="7"/>
      <c r="H20" s="7"/>
      <c r="I20" s="12"/>
    </row>
    <row r="21" spans="1:9" x14ac:dyDescent="0.3">
      <c r="A21" s="199" t="str">
        <f>D12</f>
        <v>Buy Feature</v>
      </c>
      <c r="B21" s="41">
        <f>Multiplier_Weight_Oldhand!C8</f>
        <v>0</v>
      </c>
      <c r="C21" s="200">
        <f>1/D21</f>
        <v>1</v>
      </c>
      <c r="D21" s="204">
        <v>1</v>
      </c>
      <c r="E21" s="29" t="s">
        <v>49</v>
      </c>
      <c r="F21" s="108"/>
      <c r="G21" s="7"/>
      <c r="H21" s="7"/>
      <c r="I21" s="12"/>
    </row>
    <row r="22" spans="1:9" x14ac:dyDescent="0.3">
      <c r="A22" s="199"/>
      <c r="B22" s="41">
        <f>Multiplier_Weight_Oldhand!D8</f>
        <v>0.92499972277007414</v>
      </c>
      <c r="C22" s="201"/>
      <c r="D22" s="205"/>
      <c r="E22" s="29" t="s">
        <v>57</v>
      </c>
      <c r="F22" s="108"/>
      <c r="G22" s="7"/>
      <c r="H22" s="7"/>
      <c r="I22" s="12"/>
    </row>
    <row r="23" spans="1:9" x14ac:dyDescent="0.3">
      <c r="A23" s="45"/>
      <c r="B23" s="46"/>
      <c r="C23" s="47"/>
      <c r="D23" s="44"/>
      <c r="E23" s="7"/>
      <c r="F23" s="7"/>
      <c r="G23" s="7"/>
      <c r="H23" s="7"/>
      <c r="I23" s="12"/>
    </row>
    <row r="24" spans="1:9" x14ac:dyDescent="0.3">
      <c r="A24" s="45"/>
      <c r="B24" s="46"/>
      <c r="C24" s="47"/>
      <c r="D24" s="44"/>
      <c r="E24" s="7"/>
      <c r="F24" s="7"/>
      <c r="G24" s="7"/>
      <c r="H24" s="7"/>
      <c r="I24" s="12"/>
    </row>
    <row r="25" spans="1:9" x14ac:dyDescent="0.3">
      <c r="A25" s="20" t="s">
        <v>3</v>
      </c>
      <c r="B25" s="20">
        <v>1</v>
      </c>
      <c r="C25" s="20">
        <v>2</v>
      </c>
      <c r="D25" s="20">
        <v>3</v>
      </c>
      <c r="E25" s="20">
        <v>4</v>
      </c>
      <c r="F25" s="20">
        <v>5</v>
      </c>
      <c r="G25" s="7"/>
      <c r="H25" s="7"/>
    </row>
    <row r="26" spans="1:9" x14ac:dyDescent="0.3">
      <c r="A26" s="21" t="s">
        <v>4</v>
      </c>
      <c r="B26" s="22">
        <v>3</v>
      </c>
      <c r="C26" s="22">
        <v>3</v>
      </c>
      <c r="D26" s="22">
        <v>3</v>
      </c>
      <c r="E26" s="22">
        <v>3</v>
      </c>
      <c r="F26" s="22">
        <v>3</v>
      </c>
      <c r="G26" s="7"/>
      <c r="H26" s="7"/>
    </row>
    <row r="27" spans="1:9" x14ac:dyDescent="0.3">
      <c r="A27" s="31"/>
      <c r="B27" s="31"/>
      <c r="C27" s="31"/>
      <c r="D27" s="31"/>
      <c r="E27" s="31"/>
      <c r="F27" s="31"/>
      <c r="G27" s="31"/>
    </row>
    <row r="28" spans="1:9" x14ac:dyDescent="0.3">
      <c r="A28" s="31"/>
      <c r="B28" s="31"/>
      <c r="C28" s="31"/>
      <c r="D28" s="31"/>
      <c r="E28" s="31"/>
      <c r="F28" s="31"/>
      <c r="G28" s="31"/>
    </row>
    <row r="29" spans="1:9" x14ac:dyDescent="0.3">
      <c r="A29" s="1" t="s">
        <v>47</v>
      </c>
    </row>
    <row r="30" spans="1:9" x14ac:dyDescent="0.3">
      <c r="A30" s="20" t="s">
        <v>41</v>
      </c>
      <c r="B30" s="20" t="s">
        <v>49</v>
      </c>
      <c r="C30" s="20" t="s">
        <v>50</v>
      </c>
    </row>
    <row r="31" spans="1:9" x14ac:dyDescent="0.3">
      <c r="A31" s="22">
        <v>3</v>
      </c>
      <c r="B31" s="39">
        <v>15</v>
      </c>
      <c r="C31" s="39">
        <v>15</v>
      </c>
    </row>
    <row r="32" spans="1:9" x14ac:dyDescent="0.3">
      <c r="A32" s="22">
        <v>4</v>
      </c>
      <c r="B32" s="39">
        <v>17</v>
      </c>
      <c r="C32" s="39">
        <v>17</v>
      </c>
    </row>
    <row r="33" spans="1:6" x14ac:dyDescent="0.3">
      <c r="A33" s="8">
        <v>5</v>
      </c>
      <c r="B33" s="40">
        <v>19</v>
      </c>
      <c r="C33" s="40">
        <v>19</v>
      </c>
    </row>
    <row r="34" spans="1:6" x14ac:dyDescent="0.3">
      <c r="A34" s="155" t="s">
        <v>167</v>
      </c>
      <c r="B34" s="32"/>
    </row>
    <row r="36" spans="1:6" x14ac:dyDescent="0.3">
      <c r="A36" s="1" t="s">
        <v>46</v>
      </c>
      <c r="B36" s="1" t="str">
        <f>"All wins show for "&amp;A7&amp;" credit bet."</f>
        <v>All wins show for 100 credit bet.</v>
      </c>
    </row>
    <row r="37" spans="1:6" x14ac:dyDescent="0.3">
      <c r="A37" s="20" t="s">
        <v>42</v>
      </c>
      <c r="B37" s="20" t="s">
        <v>43</v>
      </c>
      <c r="C37" s="20">
        <v>3</v>
      </c>
      <c r="D37" s="20">
        <v>4</v>
      </c>
      <c r="E37" s="20">
        <v>5</v>
      </c>
      <c r="F37" s="20" t="s">
        <v>48</v>
      </c>
    </row>
    <row r="38" spans="1:6" x14ac:dyDescent="0.3">
      <c r="A38" s="22" t="s">
        <v>25</v>
      </c>
      <c r="B38" s="22" t="s">
        <v>44</v>
      </c>
      <c r="C38" s="34">
        <v>0</v>
      </c>
      <c r="D38" s="34">
        <v>0</v>
      </c>
      <c r="E38" s="34">
        <v>0</v>
      </c>
      <c r="F38" s="35">
        <v>0</v>
      </c>
    </row>
    <row r="39" spans="1:6" x14ac:dyDescent="0.3">
      <c r="A39" s="8" t="s">
        <v>30</v>
      </c>
      <c r="B39" s="8" t="s">
        <v>45</v>
      </c>
      <c r="C39" s="30">
        <v>0</v>
      </c>
      <c r="D39" s="30">
        <v>0</v>
      </c>
      <c r="E39" s="30">
        <v>0</v>
      </c>
      <c r="F39" s="36">
        <v>1</v>
      </c>
    </row>
    <row r="40" spans="1:6" x14ac:dyDescent="0.3">
      <c r="A40" s="145" t="s">
        <v>26</v>
      </c>
      <c r="B40" s="145" t="s">
        <v>26</v>
      </c>
      <c r="C40" s="145">
        <v>250</v>
      </c>
      <c r="D40" s="145">
        <v>1250</v>
      </c>
      <c r="E40" s="145">
        <v>5000</v>
      </c>
      <c r="F40" s="146">
        <v>2</v>
      </c>
    </row>
    <row r="41" spans="1:6" x14ac:dyDescent="0.3">
      <c r="A41" s="145" t="s">
        <v>27</v>
      </c>
      <c r="B41" s="145" t="s">
        <v>27</v>
      </c>
      <c r="C41" s="145">
        <v>100</v>
      </c>
      <c r="D41" s="145">
        <v>500</v>
      </c>
      <c r="E41" s="145">
        <v>2000</v>
      </c>
      <c r="F41" s="147">
        <v>3</v>
      </c>
    </row>
    <row r="42" spans="1:6" x14ac:dyDescent="0.3">
      <c r="A42" s="145" t="s">
        <v>28</v>
      </c>
      <c r="B42" s="145" t="s">
        <v>28</v>
      </c>
      <c r="C42" s="145">
        <v>75</v>
      </c>
      <c r="D42" s="145">
        <v>250</v>
      </c>
      <c r="E42" s="145">
        <v>1000</v>
      </c>
      <c r="F42" s="146">
        <v>4</v>
      </c>
    </row>
    <row r="43" spans="1:6" x14ac:dyDescent="0.3">
      <c r="A43" s="145" t="s">
        <v>29</v>
      </c>
      <c r="B43" s="145" t="s">
        <v>29</v>
      </c>
      <c r="C43" s="145">
        <v>50</v>
      </c>
      <c r="D43" s="145">
        <v>200</v>
      </c>
      <c r="E43" s="145">
        <v>750</v>
      </c>
      <c r="F43" s="147">
        <v>5</v>
      </c>
    </row>
    <row r="44" spans="1:6" x14ac:dyDescent="0.3">
      <c r="A44" s="145" t="s">
        <v>125</v>
      </c>
      <c r="B44" s="145" t="s">
        <v>125</v>
      </c>
      <c r="C44" s="148">
        <v>25</v>
      </c>
      <c r="D44" s="148">
        <v>100</v>
      </c>
      <c r="E44" s="148">
        <v>500</v>
      </c>
      <c r="F44" s="146">
        <v>6</v>
      </c>
    </row>
    <row r="45" spans="1:6" x14ac:dyDescent="0.3">
      <c r="A45" s="145" t="s">
        <v>23</v>
      </c>
      <c r="B45" s="145" t="s">
        <v>23</v>
      </c>
      <c r="C45" s="145">
        <v>10</v>
      </c>
      <c r="D45" s="145">
        <v>50</v>
      </c>
      <c r="E45" s="145">
        <v>250</v>
      </c>
      <c r="F45" s="147">
        <v>7</v>
      </c>
    </row>
    <row r="46" spans="1:6" x14ac:dyDescent="0.3">
      <c r="A46" s="145" t="s">
        <v>31</v>
      </c>
      <c r="B46" s="145" t="s">
        <v>31</v>
      </c>
      <c r="C46" s="145">
        <v>10</v>
      </c>
      <c r="D46" s="145">
        <v>50</v>
      </c>
      <c r="E46" s="145">
        <v>250</v>
      </c>
      <c r="F46" s="146">
        <v>8</v>
      </c>
    </row>
    <row r="47" spans="1:6" x14ac:dyDescent="0.3">
      <c r="A47" s="145" t="s">
        <v>32</v>
      </c>
      <c r="B47" s="145" t="s">
        <v>32</v>
      </c>
      <c r="C47" s="145">
        <v>10</v>
      </c>
      <c r="D47" s="145">
        <v>50</v>
      </c>
      <c r="E47" s="145">
        <v>250</v>
      </c>
      <c r="F47" s="147">
        <v>9</v>
      </c>
    </row>
    <row r="48" spans="1:6" x14ac:dyDescent="0.3">
      <c r="A48" s="145" t="s">
        <v>33</v>
      </c>
      <c r="B48" s="145" t="s">
        <v>33</v>
      </c>
      <c r="C48" s="145">
        <v>10</v>
      </c>
      <c r="D48" s="145">
        <v>50</v>
      </c>
      <c r="E48" s="145">
        <v>250</v>
      </c>
      <c r="F48" s="146">
        <v>10</v>
      </c>
    </row>
    <row r="49" spans="1:9" x14ac:dyDescent="0.3">
      <c r="A49" s="8" t="s">
        <v>88</v>
      </c>
      <c r="B49" s="8" t="s">
        <v>99</v>
      </c>
      <c r="C49" s="30">
        <v>250</v>
      </c>
      <c r="D49" s="30">
        <v>1250</v>
      </c>
      <c r="E49" s="30">
        <v>5000</v>
      </c>
      <c r="F49" s="36">
        <v>11</v>
      </c>
    </row>
    <row r="50" spans="1:9" x14ac:dyDescent="0.3">
      <c r="A50" s="8" t="s">
        <v>89</v>
      </c>
      <c r="B50" s="8" t="s">
        <v>100</v>
      </c>
      <c r="C50" s="30">
        <v>100</v>
      </c>
      <c r="D50" s="30">
        <v>500</v>
      </c>
      <c r="E50" s="30">
        <v>2000</v>
      </c>
      <c r="F50" s="35">
        <v>12</v>
      </c>
    </row>
    <row r="51" spans="1:9" x14ac:dyDescent="0.3">
      <c r="A51" s="8" t="s">
        <v>90</v>
      </c>
      <c r="B51" s="8" t="s">
        <v>101</v>
      </c>
      <c r="C51" s="30">
        <v>75</v>
      </c>
      <c r="D51" s="30">
        <v>250</v>
      </c>
      <c r="E51" s="30">
        <v>1000</v>
      </c>
      <c r="F51" s="36">
        <v>13</v>
      </c>
    </row>
    <row r="52" spans="1:9" x14ac:dyDescent="0.3">
      <c r="A52" s="8" t="s">
        <v>91</v>
      </c>
      <c r="B52" s="8" t="s">
        <v>102</v>
      </c>
      <c r="C52" s="30">
        <v>50</v>
      </c>
      <c r="D52" s="30">
        <v>200</v>
      </c>
      <c r="E52" s="30">
        <v>750</v>
      </c>
      <c r="F52" s="35">
        <v>14</v>
      </c>
    </row>
    <row r="53" spans="1:9" x14ac:dyDescent="0.3">
      <c r="A53" s="8" t="s">
        <v>126</v>
      </c>
      <c r="B53" s="8" t="s">
        <v>127</v>
      </c>
      <c r="C53" s="132">
        <v>25</v>
      </c>
      <c r="D53" s="132">
        <v>100</v>
      </c>
      <c r="E53" s="132">
        <v>500</v>
      </c>
      <c r="F53" s="36">
        <v>15</v>
      </c>
    </row>
    <row r="54" spans="1:9" x14ac:dyDescent="0.3">
      <c r="A54" s="8" t="s">
        <v>93</v>
      </c>
      <c r="B54" s="8" t="s">
        <v>103</v>
      </c>
      <c r="C54" s="30">
        <v>10</v>
      </c>
      <c r="D54" s="30">
        <v>50</v>
      </c>
      <c r="E54" s="30">
        <v>250</v>
      </c>
      <c r="F54" s="35">
        <v>16</v>
      </c>
    </row>
    <row r="55" spans="1:9" x14ac:dyDescent="0.3">
      <c r="A55" s="8" t="s">
        <v>94</v>
      </c>
      <c r="B55" s="8" t="s">
        <v>104</v>
      </c>
      <c r="C55" s="30">
        <v>10</v>
      </c>
      <c r="D55" s="30">
        <v>50</v>
      </c>
      <c r="E55" s="30">
        <v>250</v>
      </c>
      <c r="F55" s="36">
        <v>17</v>
      </c>
    </row>
    <row r="56" spans="1:9" x14ac:dyDescent="0.3">
      <c r="A56" s="8" t="s">
        <v>96</v>
      </c>
      <c r="B56" s="8" t="s">
        <v>105</v>
      </c>
      <c r="C56" s="30">
        <v>10</v>
      </c>
      <c r="D56" s="30">
        <v>50</v>
      </c>
      <c r="E56" s="30">
        <v>250</v>
      </c>
      <c r="F56" s="35">
        <v>18</v>
      </c>
    </row>
    <row r="57" spans="1:9" x14ac:dyDescent="0.3">
      <c r="A57" s="8" t="s">
        <v>98</v>
      </c>
      <c r="B57" s="8" t="s">
        <v>106</v>
      </c>
      <c r="C57" s="30">
        <v>10</v>
      </c>
      <c r="D57" s="30">
        <v>50</v>
      </c>
      <c r="E57" s="30">
        <v>250</v>
      </c>
      <c r="F57" s="36">
        <v>19</v>
      </c>
    </row>
    <row r="58" spans="1:9" x14ac:dyDescent="0.3">
      <c r="A58" s="24"/>
      <c r="B58" s="24"/>
      <c r="C58" s="24"/>
      <c r="D58" s="24"/>
      <c r="E58" s="24"/>
      <c r="F58" s="24"/>
      <c r="G58" s="24"/>
      <c r="H58" s="24"/>
      <c r="I58" s="24"/>
    </row>
    <row r="59" spans="1:9" x14ac:dyDescent="0.3">
      <c r="A59" s="24"/>
      <c r="B59" s="24"/>
      <c r="C59" s="24"/>
      <c r="D59" s="24"/>
      <c r="E59" s="24"/>
      <c r="F59" s="24"/>
      <c r="G59" s="24"/>
      <c r="H59" s="24"/>
      <c r="I59" s="24"/>
    </row>
    <row r="60" spans="1:9" x14ac:dyDescent="0.3">
      <c r="A60" s="24"/>
      <c r="B60" s="24"/>
      <c r="C60" s="24"/>
      <c r="D60" s="24"/>
      <c r="E60" s="24"/>
      <c r="F60" s="24"/>
      <c r="G60" s="24"/>
      <c r="H60" s="24"/>
      <c r="I60" s="24"/>
    </row>
    <row r="61" spans="1:9" x14ac:dyDescent="0.3">
      <c r="A61" s="24"/>
      <c r="B61" s="24"/>
      <c r="C61" s="24"/>
      <c r="D61" s="24"/>
      <c r="E61" s="24"/>
      <c r="F61" s="24"/>
      <c r="G61" s="24"/>
      <c r="H61" s="24"/>
      <c r="I61" s="24"/>
    </row>
    <row r="62" spans="1:9" x14ac:dyDescent="0.3">
      <c r="A62" s="24"/>
      <c r="B62" s="24"/>
      <c r="C62" s="24"/>
      <c r="D62" s="24"/>
      <c r="E62" s="24"/>
      <c r="F62" s="24"/>
      <c r="G62" s="24"/>
      <c r="H62" s="24"/>
      <c r="I62" s="24"/>
    </row>
    <row r="63" spans="1:9" x14ac:dyDescent="0.3">
      <c r="A63" s="24"/>
      <c r="B63" s="24"/>
      <c r="C63" s="24"/>
      <c r="D63" s="24"/>
      <c r="E63" s="24"/>
      <c r="F63" s="24"/>
      <c r="G63" s="24"/>
      <c r="H63" s="24"/>
      <c r="I63" s="24"/>
    </row>
    <row r="64" spans="1:9" x14ac:dyDescent="0.3">
      <c r="A64" s="24"/>
      <c r="B64" s="24"/>
      <c r="C64" s="24"/>
      <c r="D64" s="24"/>
      <c r="E64" s="24"/>
      <c r="F64" s="24"/>
      <c r="G64" s="24"/>
      <c r="H64" s="24"/>
      <c r="I64" s="24"/>
    </row>
    <row r="65" spans="1:9" x14ac:dyDescent="0.3">
      <c r="A65" s="24"/>
      <c r="B65" s="24"/>
      <c r="C65" s="24"/>
      <c r="D65" s="24"/>
      <c r="E65" s="24"/>
      <c r="F65" s="24"/>
      <c r="G65" s="24"/>
      <c r="H65" s="24"/>
      <c r="I65" s="24"/>
    </row>
    <row r="66" spans="1:9" x14ac:dyDescent="0.3">
      <c r="A66" s="24"/>
      <c r="B66" s="24"/>
      <c r="C66" s="24"/>
      <c r="D66" s="24"/>
      <c r="E66" s="24"/>
      <c r="F66" s="24"/>
      <c r="G66" s="24"/>
      <c r="H66" s="24"/>
      <c r="I66" s="24"/>
    </row>
    <row r="67" spans="1:9" x14ac:dyDescent="0.3">
      <c r="A67" s="24"/>
      <c r="B67" s="24"/>
      <c r="C67" s="24"/>
      <c r="D67" s="24"/>
      <c r="E67" s="24"/>
      <c r="F67" s="24"/>
      <c r="G67" s="24"/>
      <c r="H67" s="24"/>
      <c r="I67" s="24"/>
    </row>
    <row r="68" spans="1:9" x14ac:dyDescent="0.3">
      <c r="A68" s="24"/>
      <c r="B68" s="24"/>
      <c r="C68" s="24"/>
      <c r="D68" s="24"/>
      <c r="E68" s="24"/>
      <c r="F68" s="24"/>
      <c r="G68" s="24"/>
      <c r="H68" s="24"/>
      <c r="I68" s="24"/>
    </row>
    <row r="69" spans="1:9" x14ac:dyDescent="0.3">
      <c r="A69" s="24"/>
      <c r="B69" s="24"/>
      <c r="C69" s="24"/>
      <c r="D69" s="24"/>
      <c r="E69" s="24"/>
      <c r="F69" s="24"/>
      <c r="G69" s="24"/>
      <c r="H69" s="24"/>
      <c r="I69" s="24"/>
    </row>
    <row r="70" spans="1:9" x14ac:dyDescent="0.3">
      <c r="A70" s="24"/>
      <c r="B70" s="24"/>
      <c r="C70" s="24"/>
      <c r="D70" s="24"/>
      <c r="E70" s="24"/>
      <c r="F70" s="24"/>
      <c r="G70" s="24"/>
      <c r="H70" s="24"/>
      <c r="I70" s="24"/>
    </row>
    <row r="71" spans="1:9" x14ac:dyDescent="0.3">
      <c r="A71" s="24"/>
      <c r="B71" s="24"/>
      <c r="C71" s="24"/>
      <c r="D71" s="24"/>
      <c r="E71" s="24"/>
      <c r="F71" s="24"/>
      <c r="G71" s="24"/>
      <c r="H71" s="24"/>
      <c r="I71" s="24"/>
    </row>
    <row r="72" spans="1:9" x14ac:dyDescent="0.3">
      <c r="A72" s="24"/>
      <c r="B72" s="24"/>
      <c r="C72" s="24"/>
      <c r="D72" s="24"/>
      <c r="E72" s="24"/>
      <c r="F72" s="24"/>
      <c r="G72" s="24"/>
      <c r="H72" s="24"/>
      <c r="I72" s="24"/>
    </row>
    <row r="73" spans="1:9" x14ac:dyDescent="0.3">
      <c r="A73" s="24"/>
      <c r="B73" s="24"/>
      <c r="C73" s="24"/>
      <c r="D73" s="24"/>
      <c r="E73" s="24"/>
      <c r="F73" s="24"/>
      <c r="G73" s="24"/>
      <c r="H73" s="24"/>
      <c r="I73" s="24"/>
    </row>
    <row r="74" spans="1:9" x14ac:dyDescent="0.3">
      <c r="A74" s="24"/>
      <c r="B74" s="24"/>
      <c r="C74" s="24"/>
      <c r="D74" s="24"/>
      <c r="E74" s="24"/>
      <c r="F74" s="24"/>
      <c r="G74" s="24"/>
      <c r="H74" s="24"/>
      <c r="I74" s="24"/>
    </row>
    <row r="75" spans="1:9" x14ac:dyDescent="0.3">
      <c r="A75" s="24"/>
      <c r="B75" s="24"/>
      <c r="C75" s="24"/>
      <c r="D75" s="24"/>
      <c r="E75" s="24"/>
      <c r="F75" s="24"/>
      <c r="G75" s="24"/>
      <c r="H75" s="24"/>
      <c r="I75" s="24"/>
    </row>
    <row r="76" spans="1:9" x14ac:dyDescent="0.3">
      <c r="A76" s="24"/>
      <c r="B76" s="24"/>
      <c r="C76" s="24"/>
      <c r="D76" s="24"/>
      <c r="E76" s="24"/>
      <c r="F76" s="24"/>
      <c r="G76" s="24"/>
      <c r="H76" s="24"/>
      <c r="I76" s="24"/>
    </row>
    <row r="77" spans="1:9" x14ac:dyDescent="0.3">
      <c r="A77" s="24"/>
      <c r="B77" s="24"/>
      <c r="C77" s="24"/>
      <c r="D77" s="24"/>
      <c r="E77" s="24"/>
      <c r="F77" s="24"/>
      <c r="G77" s="24"/>
      <c r="H77" s="24"/>
      <c r="I77" s="24"/>
    </row>
    <row r="78" spans="1:9" x14ac:dyDescent="0.3">
      <c r="A78" s="24"/>
      <c r="B78" s="24"/>
      <c r="C78" s="24"/>
      <c r="D78" s="24"/>
      <c r="E78" s="24"/>
      <c r="F78" s="24"/>
      <c r="G78" s="24"/>
      <c r="H78" s="24"/>
      <c r="I78" s="24"/>
    </row>
    <row r="79" spans="1:9" x14ac:dyDescent="0.3">
      <c r="A79" s="24"/>
      <c r="B79" s="24"/>
      <c r="C79" s="24"/>
      <c r="D79" s="24"/>
      <c r="E79" s="24"/>
      <c r="F79" s="24"/>
      <c r="G79" s="24"/>
      <c r="H79" s="24"/>
      <c r="I79" s="24"/>
    </row>
    <row r="80" spans="1:9" x14ac:dyDescent="0.3">
      <c r="B80" s="6"/>
      <c r="C80" s="6"/>
      <c r="D80" s="6"/>
    </row>
    <row r="82" spans="6:9" x14ac:dyDescent="0.3">
      <c r="F82" s="24"/>
      <c r="G82" s="24"/>
      <c r="H82" s="24"/>
      <c r="I82" s="24"/>
    </row>
    <row r="87" spans="6:9" x14ac:dyDescent="0.3">
      <c r="F87" s="24"/>
      <c r="G87" s="24"/>
      <c r="H87" s="24"/>
      <c r="I87" s="24"/>
    </row>
    <row r="92" spans="6:9" x14ac:dyDescent="0.3">
      <c r="F92" s="24"/>
      <c r="G92" s="24"/>
    </row>
    <row r="97" spans="6:7" x14ac:dyDescent="0.3">
      <c r="F97" s="24"/>
      <c r="G97" s="24"/>
    </row>
    <row r="102" spans="6:7" x14ac:dyDescent="0.3">
      <c r="F102" s="24"/>
      <c r="G102" s="24"/>
    </row>
  </sheetData>
  <mergeCells count="6">
    <mergeCell ref="A17:A18"/>
    <mergeCell ref="C17:C18"/>
    <mergeCell ref="D17:D18"/>
    <mergeCell ref="A21:A22"/>
    <mergeCell ref="D21:D22"/>
    <mergeCell ref="C21:C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731A-0C36-4228-AF3E-301877BA201D}">
  <sheetPr codeName="工作表4"/>
  <dimension ref="B3:B83"/>
  <sheetViews>
    <sheetView workbookViewId="0"/>
  </sheetViews>
  <sheetFormatPr defaultRowHeight="15.6" x14ac:dyDescent="0.3"/>
  <cols>
    <col min="1" max="16384" width="8.88671875" style="24"/>
  </cols>
  <sheetData>
    <row r="3" spans="2:2" x14ac:dyDescent="0.3">
      <c r="B3" s="24" t="s">
        <v>173</v>
      </c>
    </row>
    <row r="5" spans="2:2" x14ac:dyDescent="0.3">
      <c r="B5" s="24" t="s">
        <v>174</v>
      </c>
    </row>
    <row r="7" spans="2:2" x14ac:dyDescent="0.3">
      <c r="B7" s="24" t="s">
        <v>175</v>
      </c>
    </row>
    <row r="8" spans="2:2" x14ac:dyDescent="0.3">
      <c r="B8" s="24" t="s">
        <v>176</v>
      </c>
    </row>
    <row r="9" spans="2:2" x14ac:dyDescent="0.3">
      <c r="B9" s="24" t="s">
        <v>177</v>
      </c>
    </row>
    <row r="10" spans="2:2" x14ac:dyDescent="0.3">
      <c r="B10" s="24" t="s">
        <v>178</v>
      </c>
    </row>
    <row r="11" spans="2:2" x14ac:dyDescent="0.3">
      <c r="B11" s="24" t="s">
        <v>179</v>
      </c>
    </row>
    <row r="12" spans="2:2" x14ac:dyDescent="0.3">
      <c r="B12" s="24" t="s">
        <v>180</v>
      </c>
    </row>
    <row r="13" spans="2:2" x14ac:dyDescent="0.3">
      <c r="B13" s="24" t="s">
        <v>181</v>
      </c>
    </row>
    <row r="14" spans="2:2" x14ac:dyDescent="0.3">
      <c r="B14" s="24" t="s">
        <v>182</v>
      </c>
    </row>
    <row r="15" spans="2:2" x14ac:dyDescent="0.3">
      <c r="B15" s="24" t="s">
        <v>183</v>
      </c>
    </row>
    <row r="16" spans="2:2" x14ac:dyDescent="0.3">
      <c r="B16" s="24" t="s">
        <v>184</v>
      </c>
    </row>
    <row r="18" spans="2:2" x14ac:dyDescent="0.3">
      <c r="B18" s="24" t="s">
        <v>185</v>
      </c>
    </row>
    <row r="19" spans="2:2" x14ac:dyDescent="0.3">
      <c r="B19" s="24" t="s">
        <v>172</v>
      </c>
    </row>
    <row r="20" spans="2:2" x14ac:dyDescent="0.3">
      <c r="B20" s="24" t="s">
        <v>186</v>
      </c>
    </row>
    <row r="21" spans="2:2" x14ac:dyDescent="0.3">
      <c r="B21" s="24" t="s">
        <v>187</v>
      </c>
    </row>
    <row r="22" spans="2:2" x14ac:dyDescent="0.3">
      <c r="B22" s="24" t="s">
        <v>188</v>
      </c>
    </row>
    <row r="23" spans="2:2" x14ac:dyDescent="0.3">
      <c r="B23" s="24" t="s">
        <v>189</v>
      </c>
    </row>
    <row r="24" spans="2:2" x14ac:dyDescent="0.3">
      <c r="B24" s="24" t="s">
        <v>190</v>
      </c>
    </row>
    <row r="25" spans="2:2" x14ac:dyDescent="0.3">
      <c r="B25" s="24" t="s">
        <v>191</v>
      </c>
    </row>
    <row r="26" spans="2:2" x14ac:dyDescent="0.3">
      <c r="B26" s="24" t="s">
        <v>192</v>
      </c>
    </row>
    <row r="28" spans="2:2" x14ac:dyDescent="0.3">
      <c r="B28" s="24" t="s">
        <v>193</v>
      </c>
    </row>
    <row r="30" spans="2:2" x14ac:dyDescent="0.3">
      <c r="B30" s="24" t="s">
        <v>194</v>
      </c>
    </row>
    <row r="31" spans="2:2" x14ac:dyDescent="0.3">
      <c r="B31" s="24" t="s">
        <v>195</v>
      </c>
    </row>
    <row r="33" spans="2:2" x14ac:dyDescent="0.3">
      <c r="B33" s="24" t="s">
        <v>196</v>
      </c>
    </row>
    <row r="35" spans="2:2" x14ac:dyDescent="0.3">
      <c r="B35" s="24" t="s">
        <v>197</v>
      </c>
    </row>
    <row r="37" spans="2:2" x14ac:dyDescent="0.3">
      <c r="B37" s="24" t="s">
        <v>198</v>
      </c>
    </row>
    <row r="38" spans="2:2" x14ac:dyDescent="0.3">
      <c r="B38" s="24" t="s">
        <v>199</v>
      </c>
    </row>
    <row r="39" spans="2:2" x14ac:dyDescent="0.3">
      <c r="B39" s="24" t="s">
        <v>200</v>
      </c>
    </row>
    <row r="40" spans="2:2" x14ac:dyDescent="0.3">
      <c r="B40" s="24" t="s">
        <v>201</v>
      </c>
    </row>
    <row r="42" spans="2:2" x14ac:dyDescent="0.3">
      <c r="B42" s="24" t="s">
        <v>202</v>
      </c>
    </row>
    <row r="43" spans="2:2" x14ac:dyDescent="0.3">
      <c r="B43" s="24" t="s">
        <v>172</v>
      </c>
    </row>
    <row r="44" spans="2:2" x14ac:dyDescent="0.3">
      <c r="B44" s="24" t="s">
        <v>203</v>
      </c>
    </row>
    <row r="46" spans="2:2" x14ac:dyDescent="0.3">
      <c r="B46" s="24" t="s">
        <v>204</v>
      </c>
    </row>
    <row r="47" spans="2:2" x14ac:dyDescent="0.3">
      <c r="B47" s="24" t="s">
        <v>205</v>
      </c>
    </row>
    <row r="48" spans="2:2" x14ac:dyDescent="0.3">
      <c r="B48" s="24" t="s">
        <v>206</v>
      </c>
    </row>
    <row r="49" spans="2:2" x14ac:dyDescent="0.3">
      <c r="B49" s="24" t="s">
        <v>207</v>
      </c>
    </row>
    <row r="50" spans="2:2" x14ac:dyDescent="0.3">
      <c r="B50" s="24" t="s">
        <v>208</v>
      </c>
    </row>
    <row r="51" spans="2:2" x14ac:dyDescent="0.3">
      <c r="B51" s="24" t="s">
        <v>209</v>
      </c>
    </row>
    <row r="53" spans="2:2" x14ac:dyDescent="0.3">
      <c r="B53" s="24" t="s">
        <v>210</v>
      </c>
    </row>
    <row r="55" spans="2:2" x14ac:dyDescent="0.3">
      <c r="B55" s="24" t="s">
        <v>211</v>
      </c>
    </row>
    <row r="56" spans="2:2" x14ac:dyDescent="0.3">
      <c r="B56" s="24" t="s">
        <v>212</v>
      </c>
    </row>
    <row r="57" spans="2:2" x14ac:dyDescent="0.3">
      <c r="B57" s="24" t="s">
        <v>213</v>
      </c>
    </row>
    <row r="58" spans="2:2" x14ac:dyDescent="0.3">
      <c r="B58" s="24" t="s">
        <v>214</v>
      </c>
    </row>
    <row r="59" spans="2:2" x14ac:dyDescent="0.3">
      <c r="B59" s="24" t="s">
        <v>215</v>
      </c>
    </row>
    <row r="60" spans="2:2" x14ac:dyDescent="0.3">
      <c r="B60" s="24" t="s">
        <v>216</v>
      </c>
    </row>
    <row r="62" spans="2:2" x14ac:dyDescent="0.3">
      <c r="B62" s="24" t="s">
        <v>217</v>
      </c>
    </row>
    <row r="64" spans="2:2" x14ac:dyDescent="0.3">
      <c r="B64" s="24" t="s">
        <v>218</v>
      </c>
    </row>
    <row r="65" spans="2:2" x14ac:dyDescent="0.3">
      <c r="B65" s="24" t="s">
        <v>219</v>
      </c>
    </row>
    <row r="67" spans="2:2" x14ac:dyDescent="0.3">
      <c r="B67" s="24" t="s">
        <v>220</v>
      </c>
    </row>
    <row r="69" spans="2:2" x14ac:dyDescent="0.3">
      <c r="B69" s="24" t="s">
        <v>221</v>
      </c>
    </row>
    <row r="70" spans="2:2" x14ac:dyDescent="0.3">
      <c r="B70" s="24" t="s">
        <v>222</v>
      </c>
    </row>
    <row r="71" spans="2:2" x14ac:dyDescent="0.3">
      <c r="B71" s="24" t="s">
        <v>223</v>
      </c>
    </row>
    <row r="72" spans="2:2" x14ac:dyDescent="0.3">
      <c r="B72" s="24" t="s">
        <v>224</v>
      </c>
    </row>
    <row r="73" spans="2:2" x14ac:dyDescent="0.3">
      <c r="B73" s="24" t="s">
        <v>225</v>
      </c>
    </row>
    <row r="74" spans="2:2" x14ac:dyDescent="0.3">
      <c r="B74" s="24" t="s">
        <v>226</v>
      </c>
    </row>
    <row r="75" spans="2:2" x14ac:dyDescent="0.3">
      <c r="B75" s="24" t="s">
        <v>227</v>
      </c>
    </row>
    <row r="77" spans="2:2" x14ac:dyDescent="0.3">
      <c r="B77" s="24" t="s">
        <v>228</v>
      </c>
    </row>
    <row r="79" spans="2:2" x14ac:dyDescent="0.3">
      <c r="B79" s="24" t="s">
        <v>229</v>
      </c>
    </row>
    <row r="80" spans="2:2" x14ac:dyDescent="0.3">
      <c r="B80" s="24" t="s">
        <v>230</v>
      </c>
    </row>
    <row r="81" spans="2:2" x14ac:dyDescent="0.3">
      <c r="B81" s="24" t="s">
        <v>231</v>
      </c>
    </row>
    <row r="82" spans="2:2" x14ac:dyDescent="0.3">
      <c r="B82" s="24" t="s">
        <v>232</v>
      </c>
    </row>
    <row r="83" spans="2:2" x14ac:dyDescent="0.3">
      <c r="B83" s="24" t="s">
        <v>233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5D19-1A5B-49DC-9D2C-7D4D57F0A1FC}">
  <sheetPr codeName="工作表2"/>
  <dimension ref="B3:AL132"/>
  <sheetViews>
    <sheetView workbookViewId="0">
      <selection activeCell="J31" sqref="J31"/>
    </sheetView>
  </sheetViews>
  <sheetFormatPr defaultColWidth="8.88671875" defaultRowHeight="15.6" x14ac:dyDescent="0.3"/>
  <cols>
    <col min="1" max="8" width="8.88671875" style="114"/>
    <col min="9" max="9" width="57.6640625" style="114" customWidth="1"/>
    <col min="10" max="10" width="16.21875" style="114" bestFit="1" customWidth="1"/>
    <col min="11" max="11" width="10.5546875" style="114" customWidth="1"/>
    <col min="12" max="12" width="11" style="114" bestFit="1" customWidth="1"/>
    <col min="13" max="13" width="8.88671875" style="114"/>
    <col min="14" max="14" width="37.33203125" style="114" bestFit="1" customWidth="1"/>
    <col min="15" max="27" width="8.88671875" style="114" customWidth="1"/>
    <col min="28" max="28" width="11.6640625" style="141" bestFit="1" customWidth="1"/>
    <col min="29" max="29" width="37.33203125" style="114" customWidth="1"/>
    <col min="30" max="38" width="10.6640625" style="114" customWidth="1"/>
    <col min="39" max="16384" width="8.88671875" style="114"/>
  </cols>
  <sheetData>
    <row r="3" spans="2:38" x14ac:dyDescent="0.3">
      <c r="B3" s="114" t="s">
        <v>162</v>
      </c>
      <c r="I3" s="17" t="s">
        <v>153</v>
      </c>
      <c r="J3" s="17"/>
      <c r="K3" s="17"/>
      <c r="N3" s="114" t="s">
        <v>149</v>
      </c>
      <c r="AC3" s="114" t="s">
        <v>148</v>
      </c>
    </row>
    <row r="4" spans="2:38" x14ac:dyDescent="0.3">
      <c r="B4" s="143" t="s">
        <v>157</v>
      </c>
      <c r="C4" s="143" t="s">
        <v>161</v>
      </c>
      <c r="D4" s="143" t="s">
        <v>14</v>
      </c>
      <c r="E4" s="143" t="s">
        <v>15</v>
      </c>
      <c r="F4" s="143" t="s">
        <v>16</v>
      </c>
      <c r="G4" s="143" t="s">
        <v>17</v>
      </c>
      <c r="I4" s="134" t="s">
        <v>142</v>
      </c>
      <c r="J4" s="135" t="s">
        <v>108</v>
      </c>
      <c r="K4" s="135" t="s">
        <v>158</v>
      </c>
      <c r="N4" s="143" t="s">
        <v>146</v>
      </c>
      <c r="O4" s="143">
        <v>0</v>
      </c>
      <c r="P4" s="143">
        <v>2</v>
      </c>
      <c r="Q4" s="143">
        <v>3</v>
      </c>
      <c r="R4" s="143">
        <v>5</v>
      </c>
      <c r="S4" s="143">
        <v>8</v>
      </c>
      <c r="T4" s="143">
        <v>10</v>
      </c>
      <c r="U4" s="143">
        <v>15</v>
      </c>
      <c r="V4" s="143">
        <v>20</v>
      </c>
      <c r="W4" s="143">
        <v>25</v>
      </c>
      <c r="X4" s="143">
        <v>35</v>
      </c>
      <c r="Y4" s="143">
        <v>50</v>
      </c>
      <c r="Z4" s="143">
        <v>80</v>
      </c>
      <c r="AA4" s="143">
        <v>100</v>
      </c>
      <c r="AC4" s="143" t="s">
        <v>146</v>
      </c>
      <c r="AD4" s="143">
        <v>1</v>
      </c>
      <c r="AE4" s="143">
        <v>2</v>
      </c>
      <c r="AF4" s="143">
        <v>3</v>
      </c>
      <c r="AG4" s="143">
        <v>4</v>
      </c>
      <c r="AH4" s="143">
        <v>5</v>
      </c>
      <c r="AI4" s="143">
        <v>6</v>
      </c>
      <c r="AJ4" s="143">
        <v>7</v>
      </c>
      <c r="AK4" s="143">
        <v>8</v>
      </c>
      <c r="AL4" s="143">
        <v>9</v>
      </c>
    </row>
    <row r="5" spans="2:38" x14ac:dyDescent="0.3">
      <c r="B5" s="142" cm="1">
        <f t="array" ref="B5:B24">_xlfn.SEQUENCE(20,,0)</f>
        <v>0</v>
      </c>
      <c r="C5" s="153">
        <v>1</v>
      </c>
      <c r="D5" s="153">
        <v>1</v>
      </c>
      <c r="E5" s="153">
        <v>1</v>
      </c>
      <c r="F5" s="153">
        <v>1</v>
      </c>
      <c r="G5" s="153">
        <v>1</v>
      </c>
      <c r="I5" s="124" t="s">
        <v>128</v>
      </c>
      <c r="J5" s="136">
        <f>10000-J6-J7</f>
        <v>7000</v>
      </c>
      <c r="K5" s="149"/>
      <c r="L5" s="140" cm="1">
        <f t="array" ref="L5:L7">J5:J7/J8</f>
        <v>0.7</v>
      </c>
      <c r="N5" s="142" t="s">
        <v>144</v>
      </c>
      <c r="O5" s="159">
        <f t="shared" ref="O5:O11" si="0">10000-SUM(P5:AA5)</f>
        <v>0</v>
      </c>
      <c r="P5" s="156">
        <v>0</v>
      </c>
      <c r="Q5" s="156">
        <v>0</v>
      </c>
      <c r="R5" s="156">
        <v>0</v>
      </c>
      <c r="S5" s="156">
        <v>0</v>
      </c>
      <c r="T5" s="144">
        <f>10000-SUM(U5:AA5)</f>
        <v>4140</v>
      </c>
      <c r="U5" s="144">
        <v>3000</v>
      </c>
      <c r="V5" s="144">
        <v>2000</v>
      </c>
      <c r="W5" s="144">
        <v>500</v>
      </c>
      <c r="X5" s="144">
        <v>60</v>
      </c>
      <c r="Y5" s="144">
        <v>120</v>
      </c>
      <c r="Z5" s="144">
        <v>60</v>
      </c>
      <c r="AA5" s="144">
        <v>120</v>
      </c>
      <c r="AB5" s="161" cm="1">
        <f t="array" ref="AB5">SUMPRODUCT(O5:AA5/SUM(O5:AA5),$O$4:$AA$4)</f>
        <v>16.380000000000003</v>
      </c>
      <c r="AC5" s="142" t="s">
        <v>144</v>
      </c>
      <c r="AD5" s="144">
        <v>300</v>
      </c>
      <c r="AE5" s="144">
        <v>600</v>
      </c>
      <c r="AF5" s="144">
        <v>1080</v>
      </c>
      <c r="AG5" s="144">
        <v>1440</v>
      </c>
      <c r="AH5" s="144">
        <v>2250</v>
      </c>
      <c r="AI5" s="144">
        <v>2700</v>
      </c>
      <c r="AJ5" s="144">
        <v>3150</v>
      </c>
      <c r="AK5" s="144">
        <v>3600</v>
      </c>
      <c r="AL5" s="144">
        <v>4050</v>
      </c>
    </row>
    <row r="6" spans="2:38" x14ac:dyDescent="0.3">
      <c r="B6" s="142">
        <v>1</v>
      </c>
      <c r="C6" s="153">
        <v>0</v>
      </c>
      <c r="D6" s="153">
        <v>0</v>
      </c>
      <c r="E6" s="153">
        <v>0</v>
      </c>
      <c r="F6" s="153">
        <v>0</v>
      </c>
      <c r="G6" s="153">
        <v>0</v>
      </c>
      <c r="I6" s="124" t="s">
        <v>129</v>
      </c>
      <c r="J6" s="137">
        <v>1000</v>
      </c>
      <c r="K6" s="150"/>
      <c r="L6" s="140">
        <v>0.1</v>
      </c>
      <c r="N6" s="142" t="s">
        <v>145</v>
      </c>
      <c r="O6" s="159">
        <f t="shared" si="0"/>
        <v>0</v>
      </c>
      <c r="P6" s="156">
        <v>0</v>
      </c>
      <c r="Q6" s="156">
        <v>0</v>
      </c>
      <c r="R6" s="156">
        <v>0</v>
      </c>
      <c r="S6" s="156">
        <v>0</v>
      </c>
      <c r="T6" s="144">
        <f>10000-SUM(U6:AA6)</f>
        <v>4970</v>
      </c>
      <c r="U6" s="144">
        <v>3000</v>
      </c>
      <c r="V6" s="144">
        <v>1350</v>
      </c>
      <c r="W6" s="144">
        <v>500</v>
      </c>
      <c r="X6" s="144">
        <v>30</v>
      </c>
      <c r="Y6" s="144">
        <v>60</v>
      </c>
      <c r="Z6" s="144">
        <v>30</v>
      </c>
      <c r="AA6" s="144">
        <v>60</v>
      </c>
      <c r="AB6" s="161" cm="1">
        <f t="array" ref="AB6">SUMPRODUCT(O6:AA6/SUM(O6:AA6),$O$4:$AA$4)</f>
        <v>14.664999999999999</v>
      </c>
      <c r="AC6" s="142" t="s">
        <v>145</v>
      </c>
      <c r="AD6" s="156">
        <v>0</v>
      </c>
      <c r="AE6" s="156">
        <v>0</v>
      </c>
      <c r="AF6" s="144">
        <v>1050</v>
      </c>
      <c r="AG6" s="144">
        <v>1400</v>
      </c>
      <c r="AH6" s="144">
        <v>1750</v>
      </c>
      <c r="AI6" s="144">
        <v>2100</v>
      </c>
      <c r="AJ6" s="144">
        <v>3675</v>
      </c>
      <c r="AK6" s="144">
        <v>4200</v>
      </c>
      <c r="AL6" s="144">
        <v>4725</v>
      </c>
    </row>
    <row r="7" spans="2:38" x14ac:dyDescent="0.3">
      <c r="B7" s="142">
        <v>2</v>
      </c>
      <c r="C7" s="153">
        <v>2</v>
      </c>
      <c r="D7" s="153">
        <v>2</v>
      </c>
      <c r="E7" s="153">
        <v>2</v>
      </c>
      <c r="F7" s="153">
        <v>2</v>
      </c>
      <c r="G7" s="153">
        <v>2</v>
      </c>
      <c r="I7" s="124" t="s">
        <v>156</v>
      </c>
      <c r="J7" s="137">
        <v>2000</v>
      </c>
      <c r="K7" s="150"/>
      <c r="L7" s="140">
        <v>0.2</v>
      </c>
      <c r="N7" s="142" t="s">
        <v>156</v>
      </c>
      <c r="O7" s="159">
        <f t="shared" si="0"/>
        <v>10000</v>
      </c>
      <c r="P7" s="156">
        <v>0</v>
      </c>
      <c r="Q7" s="156">
        <v>0</v>
      </c>
      <c r="R7" s="156">
        <v>0</v>
      </c>
      <c r="S7" s="156">
        <v>0</v>
      </c>
      <c r="T7" s="156">
        <v>0</v>
      </c>
      <c r="U7" s="156">
        <v>0</v>
      </c>
      <c r="V7" s="156">
        <v>0</v>
      </c>
      <c r="W7" s="156">
        <v>0</v>
      </c>
      <c r="X7" s="156">
        <v>0</v>
      </c>
      <c r="Y7" s="156">
        <v>0</v>
      </c>
      <c r="Z7" s="156">
        <v>0</v>
      </c>
      <c r="AA7" s="156">
        <v>0</v>
      </c>
      <c r="AB7" s="161" cm="1">
        <f t="array" ref="AB7">SUMPRODUCT(O7:AA7/SUM(O7:AA7),$O$4:$AA$4)</f>
        <v>0</v>
      </c>
      <c r="AC7" s="142" t="s">
        <v>156</v>
      </c>
      <c r="AD7" s="156">
        <v>0</v>
      </c>
      <c r="AE7" s="156">
        <v>0</v>
      </c>
      <c r="AF7" s="156">
        <v>0</v>
      </c>
      <c r="AG7" s="156">
        <v>0</v>
      </c>
      <c r="AH7" s="156">
        <v>0</v>
      </c>
      <c r="AI7" s="156">
        <v>0</v>
      </c>
      <c r="AJ7" s="156">
        <v>0</v>
      </c>
      <c r="AK7" s="156">
        <v>0</v>
      </c>
      <c r="AL7" s="156">
        <v>0</v>
      </c>
    </row>
    <row r="8" spans="2:38" x14ac:dyDescent="0.3">
      <c r="B8" s="142">
        <v>3</v>
      </c>
      <c r="C8" s="153">
        <v>0</v>
      </c>
      <c r="D8" s="153">
        <v>1</v>
      </c>
      <c r="E8" s="153">
        <v>2</v>
      </c>
      <c r="F8" s="153">
        <v>1</v>
      </c>
      <c r="G8" s="153">
        <v>0</v>
      </c>
      <c r="I8" s="17"/>
      <c r="J8" s="51">
        <f>SUM(J5:J7)</f>
        <v>10000</v>
      </c>
      <c r="K8" s="51">
        <f>SUMPRODUCT(K5:K7,_xlfn.ANCHORARRAY(L5))</f>
        <v>0</v>
      </c>
      <c r="L8" s="141"/>
      <c r="N8" s="142" t="s">
        <v>136</v>
      </c>
      <c r="O8" s="159">
        <f t="shared" si="0"/>
        <v>0</v>
      </c>
      <c r="P8" s="156">
        <v>0</v>
      </c>
      <c r="Q8" s="156">
        <v>0</v>
      </c>
      <c r="R8" s="156">
        <v>0</v>
      </c>
      <c r="S8" s="156">
        <v>0</v>
      </c>
      <c r="T8" s="144">
        <f>10000-SUM(U8:AA8)</f>
        <v>4370</v>
      </c>
      <c r="U8" s="144">
        <v>2700</v>
      </c>
      <c r="V8" s="144">
        <v>1400</v>
      </c>
      <c r="W8" s="144">
        <v>270</v>
      </c>
      <c r="X8" s="144">
        <v>270</v>
      </c>
      <c r="Y8" s="144">
        <v>360</v>
      </c>
      <c r="Z8" s="144">
        <v>270</v>
      </c>
      <c r="AA8" s="144">
        <v>360</v>
      </c>
      <c r="AB8" s="161" cm="1">
        <f t="array" ref="AB8">SUMPRODUCT(O8:AA8/SUM(O8:AA8),$O$4:$AA$4)</f>
        <v>20.400000000000006</v>
      </c>
      <c r="AC8" s="142" t="s">
        <v>136</v>
      </c>
      <c r="AD8" s="156">
        <v>0</v>
      </c>
      <c r="AE8" s="156">
        <v>0</v>
      </c>
      <c r="AF8" s="144">
        <v>525</v>
      </c>
      <c r="AG8" s="144">
        <v>700</v>
      </c>
      <c r="AH8" s="144">
        <v>1750</v>
      </c>
      <c r="AI8" s="144">
        <v>2100</v>
      </c>
      <c r="AJ8" s="144">
        <v>3675</v>
      </c>
      <c r="AK8" s="144">
        <v>4200</v>
      </c>
      <c r="AL8" s="144">
        <v>4725</v>
      </c>
    </row>
    <row r="9" spans="2:38" x14ac:dyDescent="0.3">
      <c r="B9" s="142">
        <v>4</v>
      </c>
      <c r="C9" s="153">
        <v>2</v>
      </c>
      <c r="D9" s="153">
        <v>1</v>
      </c>
      <c r="E9" s="153">
        <v>0</v>
      </c>
      <c r="F9" s="153">
        <v>1</v>
      </c>
      <c r="G9" s="153">
        <v>2</v>
      </c>
      <c r="L9" s="141"/>
      <c r="N9" s="142" t="s">
        <v>138</v>
      </c>
      <c r="O9" s="159">
        <f t="shared" si="0"/>
        <v>0</v>
      </c>
      <c r="P9" s="156">
        <v>0</v>
      </c>
      <c r="Q9" s="156">
        <v>0</v>
      </c>
      <c r="R9" s="156">
        <v>0</v>
      </c>
      <c r="S9" s="156">
        <v>0</v>
      </c>
      <c r="T9" s="144">
        <f t="shared" ref="T9:T10" si="1">10000-SUM(U9:AA9)</f>
        <v>4370</v>
      </c>
      <c r="U9" s="144">
        <v>2700</v>
      </c>
      <c r="V9" s="144">
        <v>1400</v>
      </c>
      <c r="W9" s="144">
        <v>270</v>
      </c>
      <c r="X9" s="144">
        <v>270</v>
      </c>
      <c r="Y9" s="144">
        <v>360</v>
      </c>
      <c r="Z9" s="144">
        <v>270</v>
      </c>
      <c r="AA9" s="144">
        <v>360</v>
      </c>
      <c r="AB9" s="161" cm="1">
        <f t="array" ref="AB9">SUMPRODUCT(O9:AA9/SUM(O9:AA9),$O$4:$AA$4)</f>
        <v>20.400000000000006</v>
      </c>
      <c r="AC9" s="142" t="s">
        <v>138</v>
      </c>
      <c r="AD9" s="156">
        <v>0</v>
      </c>
      <c r="AE9" s="156">
        <v>0</v>
      </c>
      <c r="AF9" s="144">
        <v>525</v>
      </c>
      <c r="AG9" s="144">
        <v>700</v>
      </c>
      <c r="AH9" s="144">
        <v>1750</v>
      </c>
      <c r="AI9" s="144">
        <v>2100</v>
      </c>
      <c r="AJ9" s="144">
        <v>3675</v>
      </c>
      <c r="AK9" s="144">
        <v>4200</v>
      </c>
      <c r="AL9" s="144">
        <v>4725</v>
      </c>
    </row>
    <row r="10" spans="2:38" x14ac:dyDescent="0.3">
      <c r="B10" s="142">
        <v>5</v>
      </c>
      <c r="C10" s="153">
        <v>0</v>
      </c>
      <c r="D10" s="153">
        <v>0</v>
      </c>
      <c r="E10" s="153">
        <v>1</v>
      </c>
      <c r="F10" s="153">
        <v>0</v>
      </c>
      <c r="G10" s="153">
        <v>0</v>
      </c>
      <c r="I10" s="17" t="s">
        <v>152</v>
      </c>
      <c r="J10" s="17"/>
      <c r="K10" s="17"/>
      <c r="L10" s="141"/>
      <c r="N10" s="142" t="s">
        <v>140</v>
      </c>
      <c r="O10" s="159">
        <f t="shared" si="0"/>
        <v>0</v>
      </c>
      <c r="P10" s="156">
        <v>0</v>
      </c>
      <c r="Q10" s="156">
        <v>0</v>
      </c>
      <c r="R10" s="156">
        <v>0</v>
      </c>
      <c r="S10" s="156">
        <v>0</v>
      </c>
      <c r="T10" s="144">
        <f t="shared" si="1"/>
        <v>4370</v>
      </c>
      <c r="U10" s="144">
        <v>2700</v>
      </c>
      <c r="V10" s="144">
        <v>1400</v>
      </c>
      <c r="W10" s="144">
        <v>270</v>
      </c>
      <c r="X10" s="144">
        <v>270</v>
      </c>
      <c r="Y10" s="144">
        <v>360</v>
      </c>
      <c r="Z10" s="144">
        <v>270</v>
      </c>
      <c r="AA10" s="144">
        <v>360</v>
      </c>
      <c r="AB10" s="161" cm="1">
        <f t="array" ref="AB10">SUMPRODUCT(O10:AA10/SUM(O10:AA10),$O$4:$AA$4)</f>
        <v>20.400000000000006</v>
      </c>
      <c r="AC10" s="142" t="s">
        <v>140</v>
      </c>
      <c r="AD10" s="156">
        <v>0</v>
      </c>
      <c r="AE10" s="156">
        <v>0</v>
      </c>
      <c r="AF10" s="144">
        <v>525</v>
      </c>
      <c r="AG10" s="144">
        <v>700</v>
      </c>
      <c r="AH10" s="144">
        <v>1750</v>
      </c>
      <c r="AI10" s="144">
        <v>2100</v>
      </c>
      <c r="AJ10" s="144">
        <v>3675</v>
      </c>
      <c r="AK10" s="144">
        <v>4200</v>
      </c>
      <c r="AL10" s="144">
        <v>4725</v>
      </c>
    </row>
    <row r="11" spans="2:38" ht="15.6" customHeight="1" x14ac:dyDescent="0.3">
      <c r="B11" s="142">
        <v>6</v>
      </c>
      <c r="C11" s="153">
        <v>2</v>
      </c>
      <c r="D11" s="153">
        <v>2</v>
      </c>
      <c r="E11" s="153">
        <v>1</v>
      </c>
      <c r="F11" s="153">
        <v>2</v>
      </c>
      <c r="G11" s="153">
        <v>2</v>
      </c>
      <c r="I11" s="134" t="s">
        <v>143</v>
      </c>
      <c r="J11" s="135" t="s">
        <v>108</v>
      </c>
      <c r="K11" s="135" t="s">
        <v>158</v>
      </c>
      <c r="N11" s="142" t="s">
        <v>155</v>
      </c>
      <c r="O11" s="159">
        <f t="shared" si="0"/>
        <v>10000</v>
      </c>
      <c r="P11" s="156">
        <v>0</v>
      </c>
      <c r="Q11" s="156">
        <v>0</v>
      </c>
      <c r="R11" s="156">
        <v>0</v>
      </c>
      <c r="S11" s="156">
        <v>0</v>
      </c>
      <c r="T11" s="156">
        <v>0</v>
      </c>
      <c r="U11" s="156">
        <v>0</v>
      </c>
      <c r="V11" s="156">
        <v>0</v>
      </c>
      <c r="W11" s="156">
        <v>0</v>
      </c>
      <c r="X11" s="156">
        <v>0</v>
      </c>
      <c r="Y11" s="156">
        <v>0</v>
      </c>
      <c r="Z11" s="156">
        <v>0</v>
      </c>
      <c r="AA11" s="156">
        <v>0</v>
      </c>
      <c r="AB11" s="161" cm="1">
        <f t="array" ref="AB11">SUMPRODUCT(O11:AA11/SUM(O11:AA11),$O$4:$AA$4)</f>
        <v>0</v>
      </c>
      <c r="AC11" s="142" t="s">
        <v>155</v>
      </c>
      <c r="AD11" s="156">
        <v>0</v>
      </c>
      <c r="AE11" s="156">
        <v>0</v>
      </c>
      <c r="AF11" s="156">
        <v>0</v>
      </c>
      <c r="AG11" s="156">
        <v>0</v>
      </c>
      <c r="AH11" s="156">
        <v>0</v>
      </c>
      <c r="AI11" s="156">
        <v>0</v>
      </c>
      <c r="AJ11" s="156">
        <v>0</v>
      </c>
      <c r="AK11" s="156">
        <v>0</v>
      </c>
      <c r="AL11" s="156">
        <v>0</v>
      </c>
    </row>
    <row r="12" spans="2:38" ht="15.6" customHeight="1" x14ac:dyDescent="0.3">
      <c r="B12" s="142">
        <v>7</v>
      </c>
      <c r="C12" s="153">
        <v>1</v>
      </c>
      <c r="D12" s="153">
        <v>2</v>
      </c>
      <c r="E12" s="153">
        <v>2</v>
      </c>
      <c r="F12" s="153">
        <v>2</v>
      </c>
      <c r="G12" s="153">
        <v>1</v>
      </c>
      <c r="I12" s="124" t="s">
        <v>137</v>
      </c>
      <c r="J12" s="136">
        <f>10000-SUM(J13:J14)</f>
        <v>10000</v>
      </c>
      <c r="K12" s="149"/>
      <c r="L12" s="140" cm="1">
        <f t="array" ref="L12:L14">J12:J14/SUM(J15)</f>
        <v>1</v>
      </c>
    </row>
    <row r="13" spans="2:38" ht="15.6" customHeight="1" x14ac:dyDescent="0.3">
      <c r="B13" s="142">
        <v>8</v>
      </c>
      <c r="C13" s="153">
        <v>1</v>
      </c>
      <c r="D13" s="153">
        <v>0</v>
      </c>
      <c r="E13" s="153">
        <v>0</v>
      </c>
      <c r="F13" s="153">
        <v>0</v>
      </c>
      <c r="G13" s="153">
        <v>1</v>
      </c>
      <c r="I13" s="124" t="s">
        <v>139</v>
      </c>
      <c r="J13" s="137">
        <v>0</v>
      </c>
      <c r="K13" s="150"/>
      <c r="L13" s="140">
        <v>0</v>
      </c>
    </row>
    <row r="14" spans="2:38" ht="15.6" customHeight="1" x14ac:dyDescent="0.3">
      <c r="B14" s="142">
        <v>9</v>
      </c>
      <c r="C14" s="153">
        <v>0</v>
      </c>
      <c r="D14" s="153">
        <v>1</v>
      </c>
      <c r="E14" s="153">
        <v>1</v>
      </c>
      <c r="F14" s="153">
        <v>1</v>
      </c>
      <c r="G14" s="153">
        <v>0</v>
      </c>
      <c r="I14" s="124" t="s">
        <v>141</v>
      </c>
      <c r="J14" s="137">
        <v>0</v>
      </c>
      <c r="K14" s="150"/>
      <c r="L14" s="140">
        <v>0</v>
      </c>
      <c r="N14" s="114" t="s">
        <v>165</v>
      </c>
      <c r="AD14" s="182"/>
      <c r="AE14" s="182"/>
      <c r="AF14" s="182"/>
      <c r="AG14" s="182"/>
      <c r="AH14" s="182"/>
      <c r="AI14" s="182"/>
      <c r="AJ14" s="182"/>
      <c r="AK14" s="182"/>
      <c r="AL14" s="182"/>
    </row>
    <row r="15" spans="2:38" ht="15.6" customHeight="1" x14ac:dyDescent="0.3">
      <c r="B15" s="142">
        <v>10</v>
      </c>
      <c r="C15" s="153">
        <v>2</v>
      </c>
      <c r="D15" s="153">
        <v>1</v>
      </c>
      <c r="E15" s="153">
        <v>1</v>
      </c>
      <c r="F15" s="153">
        <v>1</v>
      </c>
      <c r="G15" s="153">
        <v>2</v>
      </c>
      <c r="J15" s="51">
        <f>SUM(J12:J14)</f>
        <v>10000</v>
      </c>
      <c r="K15" s="51">
        <f>SUMPRODUCT(K12:K14,_xlfn.ANCHORARRAY(L12))</f>
        <v>0</v>
      </c>
      <c r="L15" s="141"/>
      <c r="N15" s="143" t="s">
        <v>146</v>
      </c>
      <c r="O15" s="143">
        <v>0</v>
      </c>
      <c r="P15" s="143">
        <v>2</v>
      </c>
      <c r="Q15" s="143">
        <v>3</v>
      </c>
      <c r="R15" s="143">
        <v>5</v>
      </c>
      <c r="S15" s="143">
        <v>8</v>
      </c>
      <c r="T15" s="143">
        <v>10</v>
      </c>
      <c r="U15" s="143">
        <v>15</v>
      </c>
      <c r="V15" s="143">
        <v>20</v>
      </c>
      <c r="W15" s="143">
        <v>25</v>
      </c>
      <c r="X15" s="143">
        <v>35</v>
      </c>
      <c r="Y15" s="143">
        <v>50</v>
      </c>
      <c r="Z15" s="143">
        <v>80</v>
      </c>
      <c r="AA15" s="143">
        <v>100</v>
      </c>
    </row>
    <row r="16" spans="2:38" ht="15.6" customHeight="1" x14ac:dyDescent="0.3">
      <c r="B16" s="142">
        <v>11</v>
      </c>
      <c r="C16" s="153">
        <v>1</v>
      </c>
      <c r="D16" s="153">
        <v>1</v>
      </c>
      <c r="E16" s="153">
        <v>0</v>
      </c>
      <c r="F16" s="153">
        <v>1</v>
      </c>
      <c r="G16" s="153">
        <v>1</v>
      </c>
      <c r="L16" s="141"/>
      <c r="N16" s="157" t="s">
        <v>144</v>
      </c>
      <c r="O16" s="159">
        <f t="shared" ref="O16:O22" si="2">10000-SUM(P16:AA16)</f>
        <v>10000</v>
      </c>
      <c r="P16" s="159">
        <v>0</v>
      </c>
      <c r="Q16" s="159">
        <v>0</v>
      </c>
      <c r="R16" s="159">
        <v>0</v>
      </c>
      <c r="S16" s="159">
        <v>0</v>
      </c>
      <c r="T16" s="159">
        <v>0</v>
      </c>
      <c r="U16" s="159">
        <v>0</v>
      </c>
      <c r="V16" s="159">
        <v>0</v>
      </c>
      <c r="W16" s="159">
        <v>0</v>
      </c>
      <c r="X16" s="159">
        <v>0</v>
      </c>
      <c r="Y16" s="159">
        <v>0</v>
      </c>
      <c r="Z16" s="159">
        <v>0</v>
      </c>
      <c r="AA16" s="159">
        <v>0</v>
      </c>
      <c r="AB16" s="161" cm="1">
        <f t="array" ref="AB16">SUMPRODUCT(O16:AA16/SUM(O16:AA16),$O$4:$AA$4)</f>
        <v>0</v>
      </c>
      <c r="AD16" s="160"/>
      <c r="AE16" s="160"/>
    </row>
    <row r="17" spans="2:31" ht="15.6" customHeight="1" x14ac:dyDescent="0.3">
      <c r="B17" s="142">
        <v>12</v>
      </c>
      <c r="C17" s="153">
        <v>1</v>
      </c>
      <c r="D17" s="153">
        <v>1</v>
      </c>
      <c r="E17" s="153">
        <v>2</v>
      </c>
      <c r="F17" s="153">
        <v>1</v>
      </c>
      <c r="G17" s="153">
        <v>1</v>
      </c>
      <c r="I17" s="17" t="s">
        <v>154</v>
      </c>
      <c r="J17" s="17"/>
      <c r="K17" s="17"/>
      <c r="L17" s="141"/>
      <c r="N17" s="142" t="s">
        <v>145</v>
      </c>
      <c r="O17" s="156">
        <f t="shared" si="2"/>
        <v>0</v>
      </c>
      <c r="P17" s="158">
        <f>10000-SUM(Q17:AA17)</f>
        <v>3600</v>
      </c>
      <c r="Q17" s="158">
        <v>3400</v>
      </c>
      <c r="R17" s="158">
        <v>1500</v>
      </c>
      <c r="S17" s="158">
        <v>1500</v>
      </c>
      <c r="T17" s="159">
        <v>0</v>
      </c>
      <c r="U17" s="159">
        <v>0</v>
      </c>
      <c r="V17" s="159">
        <v>0</v>
      </c>
      <c r="W17" s="159">
        <v>0</v>
      </c>
      <c r="X17" s="159">
        <v>0</v>
      </c>
      <c r="Y17" s="159">
        <v>0</v>
      </c>
      <c r="Z17" s="159">
        <v>0</v>
      </c>
      <c r="AA17" s="159">
        <v>0</v>
      </c>
      <c r="AB17" s="161" cm="1">
        <f t="array" ref="AB17">SUMPRODUCT(O17:AA17/SUM(O17:AA17),$O$4:$AA$4)</f>
        <v>3.6900000000000004</v>
      </c>
      <c r="AD17" s="160"/>
      <c r="AE17" s="160"/>
    </row>
    <row r="18" spans="2:31" ht="15.6" customHeight="1" x14ac:dyDescent="0.3">
      <c r="B18" s="142">
        <v>13</v>
      </c>
      <c r="C18" s="153">
        <v>1</v>
      </c>
      <c r="D18" s="153">
        <v>0</v>
      </c>
      <c r="E18" s="153">
        <v>1</v>
      </c>
      <c r="F18" s="153">
        <v>0</v>
      </c>
      <c r="G18" s="153">
        <v>1</v>
      </c>
      <c r="I18" s="134" t="s">
        <v>143</v>
      </c>
      <c r="J18" s="135" t="s">
        <v>108</v>
      </c>
      <c r="K18" s="135" t="s">
        <v>158</v>
      </c>
      <c r="N18" s="142" t="s">
        <v>156</v>
      </c>
      <c r="O18" s="156">
        <f t="shared" si="2"/>
        <v>10000</v>
      </c>
      <c r="P18" s="159">
        <v>0</v>
      </c>
      <c r="Q18" s="159">
        <v>0</v>
      </c>
      <c r="R18" s="159">
        <v>0</v>
      </c>
      <c r="S18" s="159">
        <v>0</v>
      </c>
      <c r="T18" s="159">
        <v>0</v>
      </c>
      <c r="U18" s="159">
        <v>0</v>
      </c>
      <c r="V18" s="159">
        <v>0</v>
      </c>
      <c r="W18" s="159">
        <v>0</v>
      </c>
      <c r="X18" s="159">
        <v>0</v>
      </c>
      <c r="Y18" s="159">
        <v>0</v>
      </c>
      <c r="Z18" s="159">
        <v>0</v>
      </c>
      <c r="AA18" s="159">
        <v>0</v>
      </c>
      <c r="AB18" s="161" cm="1">
        <f t="array" ref="AB18">SUMPRODUCT(O18:AA18/SUM(O18:AA18),$O$4:$AA$4)</f>
        <v>0</v>
      </c>
      <c r="AD18" s="160"/>
      <c r="AE18" s="160"/>
    </row>
    <row r="19" spans="2:31" ht="15.6" customHeight="1" x14ac:dyDescent="0.3">
      <c r="B19" s="142">
        <v>14</v>
      </c>
      <c r="C19" s="153">
        <v>1</v>
      </c>
      <c r="D19" s="153">
        <v>2</v>
      </c>
      <c r="E19" s="153">
        <v>1</v>
      </c>
      <c r="F19" s="153">
        <v>2</v>
      </c>
      <c r="G19" s="153">
        <v>1</v>
      </c>
      <c r="I19" s="124" t="s">
        <v>137</v>
      </c>
      <c r="J19" s="136">
        <f>10000-SUM(J20:J21)</f>
        <v>10000</v>
      </c>
      <c r="K19" s="149"/>
      <c r="L19" s="140" cm="1">
        <f t="array" ref="L19:L21">J19:J21/SUM(J22)</f>
        <v>1</v>
      </c>
      <c r="N19" s="142" t="s">
        <v>136</v>
      </c>
      <c r="O19" s="156">
        <f t="shared" si="2"/>
        <v>0</v>
      </c>
      <c r="P19" s="158">
        <f>10000-SUM(Q19:AA19)</f>
        <v>6300</v>
      </c>
      <c r="Q19" s="144">
        <v>2800</v>
      </c>
      <c r="R19" s="144">
        <v>600</v>
      </c>
      <c r="S19" s="144">
        <v>300</v>
      </c>
      <c r="T19" s="156">
        <v>0</v>
      </c>
      <c r="U19" s="156">
        <v>0</v>
      </c>
      <c r="V19" s="156">
        <v>0</v>
      </c>
      <c r="W19" s="156">
        <v>0</v>
      </c>
      <c r="X19" s="156">
        <v>0</v>
      </c>
      <c r="Y19" s="156">
        <v>0</v>
      </c>
      <c r="Z19" s="156">
        <v>0</v>
      </c>
      <c r="AA19" s="156">
        <v>0</v>
      </c>
      <c r="AB19" s="161" cm="1">
        <f t="array" ref="AB19">SUMPRODUCT(O19:AA19/SUM(O19:AA19),$O$4:$AA$4)</f>
        <v>2.6399999999999997</v>
      </c>
    </row>
    <row r="20" spans="2:31" ht="15.6" customHeight="1" x14ac:dyDescent="0.3">
      <c r="B20" s="142">
        <v>15</v>
      </c>
      <c r="C20" s="153">
        <v>0</v>
      </c>
      <c r="D20" s="153">
        <v>1</v>
      </c>
      <c r="E20" s="153">
        <v>0</v>
      </c>
      <c r="F20" s="153">
        <v>1</v>
      </c>
      <c r="G20" s="153">
        <v>0</v>
      </c>
      <c r="I20" s="124" t="s">
        <v>139</v>
      </c>
      <c r="J20" s="137">
        <v>0</v>
      </c>
      <c r="K20" s="150"/>
      <c r="L20" s="140">
        <v>0</v>
      </c>
      <c r="N20" s="142" t="s">
        <v>138</v>
      </c>
      <c r="O20" s="156">
        <f t="shared" si="2"/>
        <v>0</v>
      </c>
      <c r="P20" s="158">
        <f t="shared" ref="P20:P21" si="3">10000-SUM(Q20:AA20)</f>
        <v>6300</v>
      </c>
      <c r="Q20" s="144">
        <v>2800</v>
      </c>
      <c r="R20" s="144">
        <v>600</v>
      </c>
      <c r="S20" s="144">
        <v>300</v>
      </c>
      <c r="T20" s="156">
        <v>0</v>
      </c>
      <c r="U20" s="156">
        <v>0</v>
      </c>
      <c r="V20" s="156">
        <v>0</v>
      </c>
      <c r="W20" s="156">
        <v>0</v>
      </c>
      <c r="X20" s="156">
        <v>0</v>
      </c>
      <c r="Y20" s="156">
        <v>0</v>
      </c>
      <c r="Z20" s="156">
        <v>0</v>
      </c>
      <c r="AA20" s="156">
        <v>0</v>
      </c>
      <c r="AB20" s="161" cm="1">
        <f t="array" ref="AB20">SUMPRODUCT(O20:AA20/SUM(O20:AA20),$O$4:$AA$4)</f>
        <v>2.6399999999999997</v>
      </c>
    </row>
    <row r="21" spans="2:31" ht="15.6" customHeight="1" x14ac:dyDescent="0.3">
      <c r="B21" s="142">
        <v>16</v>
      </c>
      <c r="C21" s="153">
        <v>2</v>
      </c>
      <c r="D21" s="153">
        <v>1</v>
      </c>
      <c r="E21" s="153">
        <v>2</v>
      </c>
      <c r="F21" s="153">
        <v>1</v>
      </c>
      <c r="G21" s="153">
        <v>2</v>
      </c>
      <c r="I21" s="124" t="s">
        <v>141</v>
      </c>
      <c r="J21" s="137">
        <v>0</v>
      </c>
      <c r="K21" s="150"/>
      <c r="L21" s="140">
        <v>0</v>
      </c>
      <c r="N21" s="142" t="s">
        <v>140</v>
      </c>
      <c r="O21" s="156">
        <f t="shared" si="2"/>
        <v>0</v>
      </c>
      <c r="P21" s="158">
        <f t="shared" si="3"/>
        <v>6300</v>
      </c>
      <c r="Q21" s="144">
        <v>2800</v>
      </c>
      <c r="R21" s="144">
        <v>600</v>
      </c>
      <c r="S21" s="144">
        <v>300</v>
      </c>
      <c r="T21" s="156">
        <v>0</v>
      </c>
      <c r="U21" s="156">
        <v>0</v>
      </c>
      <c r="V21" s="156">
        <v>0</v>
      </c>
      <c r="W21" s="156">
        <v>0</v>
      </c>
      <c r="X21" s="156">
        <v>0</v>
      </c>
      <c r="Y21" s="156">
        <v>0</v>
      </c>
      <c r="Z21" s="156">
        <v>0</v>
      </c>
      <c r="AA21" s="156">
        <v>0</v>
      </c>
      <c r="AB21" s="161" cm="1">
        <f t="array" ref="AB21">SUMPRODUCT(O21:AA21/SUM(O21:AA21),$O$4:$AA$4)</f>
        <v>2.6399999999999997</v>
      </c>
    </row>
    <row r="22" spans="2:31" ht="15.6" customHeight="1" x14ac:dyDescent="0.3">
      <c r="B22" s="142">
        <v>17</v>
      </c>
      <c r="C22" s="153">
        <v>0</v>
      </c>
      <c r="D22" s="153">
        <v>0</v>
      </c>
      <c r="E22" s="153">
        <v>1</v>
      </c>
      <c r="F22" s="153">
        <v>2</v>
      </c>
      <c r="G22" s="153">
        <v>2</v>
      </c>
      <c r="J22" s="51">
        <f>SUM(J19:J21)</f>
        <v>10000</v>
      </c>
      <c r="K22" s="51">
        <f>SUMPRODUCT(K19:K21,_xlfn.ANCHORARRAY(L19))</f>
        <v>0</v>
      </c>
      <c r="N22" s="142" t="s">
        <v>155</v>
      </c>
      <c r="O22" s="156">
        <f t="shared" si="2"/>
        <v>10000</v>
      </c>
      <c r="P22" s="159">
        <v>0</v>
      </c>
      <c r="Q22" s="159">
        <v>0</v>
      </c>
      <c r="R22" s="159">
        <v>0</v>
      </c>
      <c r="S22" s="159">
        <v>0</v>
      </c>
      <c r="T22" s="159">
        <v>0</v>
      </c>
      <c r="U22" s="159">
        <v>0</v>
      </c>
      <c r="V22" s="159">
        <v>0</v>
      </c>
      <c r="W22" s="159">
        <v>0</v>
      </c>
      <c r="X22" s="159">
        <v>0</v>
      </c>
      <c r="Y22" s="159">
        <v>0</v>
      </c>
      <c r="Z22" s="159">
        <v>0</v>
      </c>
      <c r="AA22" s="159">
        <v>0</v>
      </c>
      <c r="AB22" s="161" cm="1">
        <f t="array" ref="AB22">SUMPRODUCT(O22:AA22/SUM(O22:AA22),$O$4:$AA$4)</f>
        <v>0</v>
      </c>
    </row>
    <row r="23" spans="2:31" ht="15.6" customHeight="1" x14ac:dyDescent="0.3">
      <c r="B23" s="142">
        <v>18</v>
      </c>
      <c r="C23" s="153">
        <v>2</v>
      </c>
      <c r="D23" s="153">
        <v>2</v>
      </c>
      <c r="E23" s="153">
        <v>1</v>
      </c>
      <c r="F23" s="153">
        <v>0</v>
      </c>
      <c r="G23" s="153">
        <v>0</v>
      </c>
      <c r="P23" s="182"/>
      <c r="Q23" s="182"/>
      <c r="R23" s="182"/>
      <c r="S23" s="182"/>
    </row>
    <row r="24" spans="2:31" ht="15.6" customHeight="1" x14ac:dyDescent="0.3">
      <c r="B24" s="142">
        <v>19</v>
      </c>
      <c r="C24" s="153">
        <v>0</v>
      </c>
      <c r="D24" s="153">
        <v>2</v>
      </c>
      <c r="E24" s="153">
        <v>0</v>
      </c>
      <c r="F24" s="153">
        <v>2</v>
      </c>
      <c r="G24" s="153">
        <v>0</v>
      </c>
      <c r="I24" s="114" t="s">
        <v>160</v>
      </c>
    </row>
    <row r="25" spans="2:31" ht="15.6" customHeight="1" x14ac:dyDescent="0.3">
      <c r="I25" s="143" t="s">
        <v>159</v>
      </c>
      <c r="N25" s="114" t="s">
        <v>166</v>
      </c>
    </row>
    <row r="26" spans="2:31" ht="15.6" customHeight="1" x14ac:dyDescent="0.3">
      <c r="I26" s="151">
        <v>0</v>
      </c>
      <c r="N26" s="143" t="s">
        <v>146</v>
      </c>
      <c r="O26" s="143">
        <v>0</v>
      </c>
      <c r="P26" s="143">
        <v>2</v>
      </c>
      <c r="Q26" s="143">
        <v>3</v>
      </c>
      <c r="R26" s="143">
        <v>5</v>
      </c>
      <c r="S26" s="143">
        <v>8</v>
      </c>
      <c r="T26" s="143">
        <v>10</v>
      </c>
      <c r="U26" s="143">
        <v>15</v>
      </c>
      <c r="V26" s="143">
        <v>20</v>
      </c>
      <c r="W26" s="143">
        <v>25</v>
      </c>
      <c r="X26" s="143">
        <v>35</v>
      </c>
      <c r="Y26" s="143">
        <v>50</v>
      </c>
      <c r="Z26" s="143">
        <v>80</v>
      </c>
      <c r="AA26" s="143">
        <v>100</v>
      </c>
    </row>
    <row r="27" spans="2:31" ht="15.6" customHeight="1" x14ac:dyDescent="0.3">
      <c r="I27" s="152">
        <v>2</v>
      </c>
      <c r="N27" s="157" t="s">
        <v>144</v>
      </c>
      <c r="O27" s="159">
        <f t="shared" ref="O27:O32" si="4">10000-SUM(P27:AA27)</f>
        <v>10000</v>
      </c>
      <c r="P27" s="159">
        <v>0</v>
      </c>
      <c r="Q27" s="159">
        <v>0</v>
      </c>
      <c r="R27" s="159">
        <v>0</v>
      </c>
      <c r="S27" s="159">
        <v>0</v>
      </c>
      <c r="T27" s="159">
        <v>0</v>
      </c>
      <c r="U27" s="159">
        <v>0</v>
      </c>
      <c r="V27" s="159">
        <v>0</v>
      </c>
      <c r="W27" s="159">
        <v>0</v>
      </c>
      <c r="X27" s="159">
        <v>0</v>
      </c>
      <c r="Y27" s="159">
        <v>0</v>
      </c>
      <c r="Z27" s="159">
        <v>0</v>
      </c>
      <c r="AA27" s="159">
        <v>0</v>
      </c>
      <c r="AB27" s="161" cm="1">
        <f t="array" ref="AB27">SUMPRODUCT(O27:AA27/SUM(O27:AA27),$O$4:$AA$4)</f>
        <v>0</v>
      </c>
    </row>
    <row r="28" spans="2:31" x14ac:dyDescent="0.3">
      <c r="I28" s="152">
        <v>3</v>
      </c>
      <c r="N28" s="142" t="s">
        <v>145</v>
      </c>
      <c r="O28" s="159">
        <f t="shared" si="4"/>
        <v>0</v>
      </c>
      <c r="P28" s="158">
        <f>10000-SUM(Q28:AA28)</f>
        <v>4000</v>
      </c>
      <c r="Q28" s="144">
        <v>4000</v>
      </c>
      <c r="R28" s="144">
        <v>1000</v>
      </c>
      <c r="S28" s="144">
        <v>1000</v>
      </c>
      <c r="T28" s="159">
        <v>0</v>
      </c>
      <c r="U28" s="159">
        <v>0</v>
      </c>
      <c r="V28" s="159">
        <v>0</v>
      </c>
      <c r="W28" s="159">
        <v>0</v>
      </c>
      <c r="X28" s="159">
        <v>0</v>
      </c>
      <c r="Y28" s="159">
        <v>0</v>
      </c>
      <c r="Z28" s="159">
        <v>0</v>
      </c>
      <c r="AA28" s="159">
        <v>0</v>
      </c>
      <c r="AB28" s="161" cm="1">
        <f t="array" ref="AB28">SUMPRODUCT(O28:AA28/SUM(O28:AA28),$O$4:$AA$4)</f>
        <v>3.3</v>
      </c>
    </row>
    <row r="29" spans="2:31" x14ac:dyDescent="0.3">
      <c r="I29" s="152">
        <v>5</v>
      </c>
      <c r="N29" s="142" t="s">
        <v>156</v>
      </c>
      <c r="O29" s="159">
        <f t="shared" si="4"/>
        <v>10000</v>
      </c>
      <c r="P29" s="159">
        <v>0</v>
      </c>
      <c r="Q29" s="159">
        <v>0</v>
      </c>
      <c r="R29" s="159">
        <v>0</v>
      </c>
      <c r="S29" s="159">
        <v>0</v>
      </c>
      <c r="T29" s="159">
        <v>0</v>
      </c>
      <c r="U29" s="159">
        <v>0</v>
      </c>
      <c r="V29" s="159">
        <v>0</v>
      </c>
      <c r="W29" s="159">
        <v>0</v>
      </c>
      <c r="X29" s="159">
        <v>0</v>
      </c>
      <c r="Y29" s="159">
        <v>0</v>
      </c>
      <c r="Z29" s="159">
        <v>0</v>
      </c>
      <c r="AA29" s="159">
        <v>0</v>
      </c>
      <c r="AB29" s="161" cm="1">
        <f t="array" ref="AB29">SUMPRODUCT(O29:AA29/SUM(O29:AA29),$O$4:$AA$4)</f>
        <v>0</v>
      </c>
      <c r="AD29" s="160"/>
      <c r="AE29" s="160"/>
    </row>
    <row r="30" spans="2:31" x14ac:dyDescent="0.3">
      <c r="I30" s="152">
        <v>8</v>
      </c>
      <c r="N30" s="142" t="s">
        <v>136</v>
      </c>
      <c r="O30" s="159">
        <f t="shared" si="4"/>
        <v>0</v>
      </c>
      <c r="P30" s="158">
        <f t="shared" ref="P30:P32" si="5">10000-SUM(Q30:AA30)</f>
        <v>6550</v>
      </c>
      <c r="Q30" s="144">
        <v>3000</v>
      </c>
      <c r="R30" s="144">
        <v>300</v>
      </c>
      <c r="S30" s="144">
        <v>150</v>
      </c>
      <c r="T30" s="156">
        <v>0</v>
      </c>
      <c r="U30" s="156">
        <v>0</v>
      </c>
      <c r="V30" s="156">
        <v>0</v>
      </c>
      <c r="W30" s="156">
        <v>0</v>
      </c>
      <c r="X30" s="156">
        <v>0</v>
      </c>
      <c r="Y30" s="156">
        <v>0</v>
      </c>
      <c r="Z30" s="156">
        <v>0</v>
      </c>
      <c r="AA30" s="156">
        <v>0</v>
      </c>
      <c r="AB30" s="161" cm="1">
        <f t="array" ref="AB30">SUMPRODUCT(O30:AA30/SUM(O30:AA30),$O$4:$AA$4)</f>
        <v>2.48</v>
      </c>
    </row>
    <row r="31" spans="2:31" x14ac:dyDescent="0.3">
      <c r="I31" s="152">
        <v>10</v>
      </c>
      <c r="N31" s="142" t="s">
        <v>138</v>
      </c>
      <c r="O31" s="159">
        <f t="shared" si="4"/>
        <v>0</v>
      </c>
      <c r="P31" s="158">
        <f t="shared" si="5"/>
        <v>6550</v>
      </c>
      <c r="Q31" s="144">
        <v>3000</v>
      </c>
      <c r="R31" s="144">
        <v>300</v>
      </c>
      <c r="S31" s="144">
        <v>150</v>
      </c>
      <c r="T31" s="156">
        <v>0</v>
      </c>
      <c r="U31" s="156">
        <v>0</v>
      </c>
      <c r="V31" s="156">
        <v>0</v>
      </c>
      <c r="W31" s="156">
        <v>0</v>
      </c>
      <c r="X31" s="156">
        <v>0</v>
      </c>
      <c r="Y31" s="156">
        <v>0</v>
      </c>
      <c r="Z31" s="156">
        <v>0</v>
      </c>
      <c r="AA31" s="156">
        <v>0</v>
      </c>
      <c r="AB31" s="161" cm="1">
        <f t="array" ref="AB31">SUMPRODUCT(O31:AA31/SUM(O31:AA31),$O$4:$AA$4)</f>
        <v>2.48</v>
      </c>
      <c r="AD31" s="160"/>
      <c r="AE31" s="160"/>
    </row>
    <row r="32" spans="2:31" x14ac:dyDescent="0.3">
      <c r="I32" s="152">
        <v>15</v>
      </c>
      <c r="N32" s="142" t="s">
        <v>140</v>
      </c>
      <c r="O32" s="159">
        <f t="shared" si="4"/>
        <v>0</v>
      </c>
      <c r="P32" s="158">
        <f t="shared" si="5"/>
        <v>6550</v>
      </c>
      <c r="Q32" s="144">
        <v>3000</v>
      </c>
      <c r="R32" s="144">
        <v>300</v>
      </c>
      <c r="S32" s="144">
        <v>150</v>
      </c>
      <c r="T32" s="156">
        <v>0</v>
      </c>
      <c r="U32" s="156">
        <v>0</v>
      </c>
      <c r="V32" s="156">
        <v>0</v>
      </c>
      <c r="W32" s="156">
        <v>0</v>
      </c>
      <c r="X32" s="156">
        <v>0</v>
      </c>
      <c r="Y32" s="156">
        <v>0</v>
      </c>
      <c r="Z32" s="156">
        <v>0</v>
      </c>
      <c r="AA32" s="156">
        <v>0</v>
      </c>
      <c r="AB32" s="161" cm="1">
        <f t="array" ref="AB32">SUMPRODUCT(O32:AA32/SUM(O32:AA32),$O$4:$AA$4)</f>
        <v>2.48</v>
      </c>
      <c r="AD32" s="160"/>
      <c r="AE32" s="160"/>
    </row>
    <row r="33" spans="9:31" x14ac:dyDescent="0.3">
      <c r="I33" s="152">
        <v>20</v>
      </c>
      <c r="N33" s="142" t="s">
        <v>155</v>
      </c>
      <c r="O33" s="159">
        <f t="shared" ref="O33" si="6">10000-SUM(P33:AA33)</f>
        <v>10000</v>
      </c>
      <c r="P33" s="159">
        <v>0</v>
      </c>
      <c r="Q33" s="159">
        <v>0</v>
      </c>
      <c r="R33" s="159">
        <v>0</v>
      </c>
      <c r="S33" s="159">
        <v>0</v>
      </c>
      <c r="T33" s="159">
        <v>0</v>
      </c>
      <c r="U33" s="159">
        <v>0</v>
      </c>
      <c r="V33" s="159">
        <v>0</v>
      </c>
      <c r="W33" s="159">
        <v>0</v>
      </c>
      <c r="X33" s="159">
        <v>0</v>
      </c>
      <c r="Y33" s="159">
        <v>0</v>
      </c>
      <c r="Z33" s="159">
        <v>0</v>
      </c>
      <c r="AA33" s="159">
        <v>0</v>
      </c>
      <c r="AB33" s="161" cm="1">
        <f t="array" ref="AB33">SUMPRODUCT(O33:AA33/SUM(O33:AA33),$O$4:$AA$4)</f>
        <v>0</v>
      </c>
      <c r="AD33" s="160"/>
      <c r="AE33" s="160"/>
    </row>
    <row r="34" spans="9:31" x14ac:dyDescent="0.3">
      <c r="I34" s="152">
        <v>25</v>
      </c>
    </row>
    <row r="35" spans="9:31" x14ac:dyDescent="0.3">
      <c r="I35" s="152">
        <v>35</v>
      </c>
    </row>
    <row r="36" spans="9:31" x14ac:dyDescent="0.3">
      <c r="I36" s="152">
        <v>50</v>
      </c>
      <c r="N36" s="114" t="s">
        <v>151</v>
      </c>
    </row>
    <row r="37" spans="9:31" x14ac:dyDescent="0.3">
      <c r="I37" s="152">
        <v>80</v>
      </c>
      <c r="N37" s="143" t="s">
        <v>146</v>
      </c>
      <c r="O37" s="143">
        <v>0</v>
      </c>
      <c r="P37" s="143">
        <v>2</v>
      </c>
      <c r="Q37" s="143">
        <v>3</v>
      </c>
      <c r="R37" s="143">
        <v>5</v>
      </c>
      <c r="S37" s="143">
        <v>8</v>
      </c>
      <c r="T37" s="143">
        <v>10</v>
      </c>
      <c r="U37" s="143">
        <v>15</v>
      </c>
      <c r="V37" s="143">
        <v>20</v>
      </c>
      <c r="W37" s="143">
        <v>25</v>
      </c>
      <c r="X37" s="143">
        <v>35</v>
      </c>
      <c r="Y37" s="143">
        <v>50</v>
      </c>
      <c r="Z37" s="143">
        <v>80</v>
      </c>
      <c r="AA37" s="143">
        <v>100</v>
      </c>
    </row>
    <row r="38" spans="9:31" x14ac:dyDescent="0.3">
      <c r="I38" s="152">
        <v>100</v>
      </c>
      <c r="N38" s="142" t="s">
        <v>144</v>
      </c>
      <c r="O38" s="158">
        <f t="shared" ref="O38" si="7">10000-SUM(P38:AA38)</f>
        <v>8500</v>
      </c>
      <c r="P38" s="158">
        <v>500</v>
      </c>
      <c r="Q38" s="158">
        <v>400</v>
      </c>
      <c r="R38" s="158">
        <v>300</v>
      </c>
      <c r="S38" s="158">
        <v>300</v>
      </c>
      <c r="T38" s="159">
        <v>0</v>
      </c>
      <c r="U38" s="159">
        <v>0</v>
      </c>
      <c r="V38" s="159">
        <v>0</v>
      </c>
      <c r="W38" s="159">
        <v>0</v>
      </c>
      <c r="X38" s="159">
        <v>0</v>
      </c>
      <c r="Y38" s="159">
        <v>0</v>
      </c>
      <c r="Z38" s="159">
        <v>0</v>
      </c>
      <c r="AA38" s="159">
        <v>0</v>
      </c>
      <c r="AB38" s="161" cm="1">
        <f t="array" ref="AB38">SUMPRODUCT(P38:AA38/SUM(P38:AA38),$P$4:$AA$4)</f>
        <v>4.0666666666666664</v>
      </c>
      <c r="AC38" s="161"/>
      <c r="AD38" s="160"/>
      <c r="AE38" s="160"/>
    </row>
    <row r="39" spans="9:31" x14ac:dyDescent="0.3">
      <c r="N39" s="142" t="s">
        <v>145</v>
      </c>
      <c r="O39" s="158">
        <f t="shared" ref="O39:O44" si="8">10000-SUM(P39:AA39)</f>
        <v>9100</v>
      </c>
      <c r="P39" s="158">
        <v>350</v>
      </c>
      <c r="Q39" s="158">
        <v>250</v>
      </c>
      <c r="R39" s="158">
        <v>150</v>
      </c>
      <c r="S39" s="158">
        <v>150</v>
      </c>
      <c r="T39" s="159">
        <v>0</v>
      </c>
      <c r="U39" s="159">
        <v>0</v>
      </c>
      <c r="V39" s="159">
        <v>0</v>
      </c>
      <c r="W39" s="159">
        <v>0</v>
      </c>
      <c r="X39" s="159">
        <v>0</v>
      </c>
      <c r="Y39" s="159">
        <v>0</v>
      </c>
      <c r="Z39" s="159">
        <v>0</v>
      </c>
      <c r="AA39" s="159">
        <v>0</v>
      </c>
      <c r="AB39" s="161" cm="1">
        <f t="array" ref="AB39">SUMPRODUCT(P39:AA39/SUM(P39:AA39),$P$4:$AA$4)</f>
        <v>3.7777777777777777</v>
      </c>
      <c r="AC39" s="161"/>
      <c r="AD39" s="160"/>
      <c r="AE39" s="160"/>
    </row>
    <row r="40" spans="9:31" x14ac:dyDescent="0.3">
      <c r="N40" s="142" t="s">
        <v>156</v>
      </c>
      <c r="O40" s="144">
        <f t="shared" si="8"/>
        <v>9200</v>
      </c>
      <c r="P40" s="158">
        <v>400</v>
      </c>
      <c r="Q40" s="158">
        <v>300</v>
      </c>
      <c r="R40" s="158">
        <v>50</v>
      </c>
      <c r="S40" s="158">
        <v>50</v>
      </c>
      <c r="T40" s="159">
        <v>0</v>
      </c>
      <c r="U40" s="159">
        <v>0</v>
      </c>
      <c r="V40" s="159">
        <v>0</v>
      </c>
      <c r="W40" s="159">
        <v>0</v>
      </c>
      <c r="X40" s="159">
        <v>0</v>
      </c>
      <c r="Y40" s="159">
        <v>0</v>
      </c>
      <c r="Z40" s="159">
        <v>0</v>
      </c>
      <c r="AA40" s="159">
        <v>0</v>
      </c>
      <c r="AB40" s="161" cm="1">
        <f t="array" ref="AB40">SUMPRODUCT(P40:AA40/SUM(P40:AA40),$P$4:$AA$4)</f>
        <v>2.9375</v>
      </c>
      <c r="AC40" s="161"/>
      <c r="AD40" s="160"/>
      <c r="AE40" s="160"/>
    </row>
    <row r="41" spans="9:31" x14ac:dyDescent="0.3">
      <c r="I41" s="17" t="s">
        <v>163</v>
      </c>
      <c r="J41" s="17"/>
      <c r="K41" s="17"/>
      <c r="N41" s="142" t="s">
        <v>136</v>
      </c>
      <c r="O41" s="144">
        <f t="shared" si="8"/>
        <v>6710</v>
      </c>
      <c r="P41" s="158">
        <v>2100</v>
      </c>
      <c r="Q41" s="158">
        <v>860</v>
      </c>
      <c r="R41" s="144">
        <v>220</v>
      </c>
      <c r="S41" s="144">
        <v>110</v>
      </c>
      <c r="T41" s="156">
        <v>0</v>
      </c>
      <c r="U41" s="156">
        <v>0</v>
      </c>
      <c r="V41" s="156">
        <v>0</v>
      </c>
      <c r="W41" s="156">
        <v>0</v>
      </c>
      <c r="X41" s="156">
        <v>0</v>
      </c>
      <c r="Y41" s="156">
        <v>0</v>
      </c>
      <c r="Z41" s="156">
        <v>0</v>
      </c>
      <c r="AA41" s="156">
        <v>0</v>
      </c>
      <c r="AB41" s="161" cm="1">
        <f t="array" ref="AB41">SUMPRODUCT(P41:AA41/SUM(P41:AA41),$P$4:$AA$4)</f>
        <v>2.6626139817629175</v>
      </c>
      <c r="AC41" s="161"/>
      <c r="AD41" s="160"/>
      <c r="AE41" s="160"/>
    </row>
    <row r="42" spans="9:31" x14ac:dyDescent="0.3">
      <c r="I42" s="134"/>
      <c r="J42" s="135" t="s">
        <v>164</v>
      </c>
      <c r="K42" s="135" t="s">
        <v>107</v>
      </c>
      <c r="N42" s="142" t="s">
        <v>138</v>
      </c>
      <c r="O42" s="144">
        <f t="shared" si="8"/>
        <v>6710</v>
      </c>
      <c r="P42" s="158">
        <v>2100</v>
      </c>
      <c r="Q42" s="158">
        <v>860</v>
      </c>
      <c r="R42" s="144">
        <v>220</v>
      </c>
      <c r="S42" s="144">
        <v>110</v>
      </c>
      <c r="T42" s="156">
        <v>0</v>
      </c>
      <c r="U42" s="156">
        <v>0</v>
      </c>
      <c r="V42" s="156">
        <v>0</v>
      </c>
      <c r="W42" s="156">
        <v>0</v>
      </c>
      <c r="X42" s="156">
        <v>0</v>
      </c>
      <c r="Y42" s="156">
        <v>0</v>
      </c>
      <c r="Z42" s="156">
        <v>0</v>
      </c>
      <c r="AA42" s="156">
        <v>0</v>
      </c>
      <c r="AB42" s="161" cm="1">
        <f t="array" ref="AB42">SUMPRODUCT(P42:AA42/SUM(P42:AA42),$P$4:$AA$4)</f>
        <v>2.6626139817629175</v>
      </c>
      <c r="AC42" s="161"/>
      <c r="AD42" s="160"/>
      <c r="AE42" s="160"/>
    </row>
    <row r="43" spans="9:31" x14ac:dyDescent="0.3">
      <c r="I43" s="124" t="s">
        <v>49</v>
      </c>
      <c r="J43" s="136">
        <v>10</v>
      </c>
      <c r="K43" s="136">
        <v>0</v>
      </c>
      <c r="N43" s="142" t="s">
        <v>140</v>
      </c>
      <c r="O43" s="144">
        <f t="shared" si="8"/>
        <v>6710</v>
      </c>
      <c r="P43" s="158">
        <v>2100</v>
      </c>
      <c r="Q43" s="158">
        <v>860</v>
      </c>
      <c r="R43" s="144">
        <v>220</v>
      </c>
      <c r="S43" s="144">
        <v>110</v>
      </c>
      <c r="T43" s="156">
        <v>0</v>
      </c>
      <c r="U43" s="156">
        <v>0</v>
      </c>
      <c r="V43" s="156">
        <v>0</v>
      </c>
      <c r="W43" s="156">
        <v>0</v>
      </c>
      <c r="X43" s="156">
        <v>0</v>
      </c>
      <c r="Y43" s="156">
        <v>0</v>
      </c>
      <c r="Z43" s="156">
        <v>0</v>
      </c>
      <c r="AA43" s="156">
        <v>0</v>
      </c>
      <c r="AB43" s="161" cm="1">
        <f t="array" ref="AB43">SUMPRODUCT(P43:AA43/SUM(P43:AA43),$P$4:$AA$4)</f>
        <v>2.6626139817629175</v>
      </c>
      <c r="AC43" s="161"/>
      <c r="AD43" s="160"/>
      <c r="AE43" s="160"/>
    </row>
    <row r="44" spans="9:31" x14ac:dyDescent="0.3">
      <c r="I44" s="124" t="s">
        <v>50</v>
      </c>
      <c r="J44" s="137">
        <v>10</v>
      </c>
      <c r="K44" s="137">
        <v>0</v>
      </c>
      <c r="N44" s="142" t="s">
        <v>155</v>
      </c>
      <c r="O44" s="156">
        <f t="shared" si="8"/>
        <v>10000</v>
      </c>
      <c r="P44" s="159">
        <v>0</v>
      </c>
      <c r="Q44" s="159">
        <v>0</v>
      </c>
      <c r="R44" s="159">
        <v>0</v>
      </c>
      <c r="S44" s="159">
        <v>0</v>
      </c>
      <c r="T44" s="159">
        <v>0</v>
      </c>
      <c r="U44" s="159">
        <v>0</v>
      </c>
      <c r="V44" s="159">
        <v>0</v>
      </c>
      <c r="W44" s="159">
        <v>0</v>
      </c>
      <c r="X44" s="159">
        <v>0</v>
      </c>
      <c r="Y44" s="159">
        <v>0</v>
      </c>
      <c r="Z44" s="159">
        <v>0</v>
      </c>
      <c r="AA44" s="159">
        <v>0</v>
      </c>
      <c r="AB44" s="161" t="e" cm="1">
        <f t="array" ref="AB44">SUMPRODUCT(P44:AA44/SUM(P44:AA44),$P$4:$AA$4)</f>
        <v>#DIV/0!</v>
      </c>
      <c r="AC44" s="161"/>
      <c r="AD44" s="160"/>
      <c r="AE44" s="160"/>
    </row>
    <row r="46" spans="9:31" x14ac:dyDescent="0.3">
      <c r="P46" s="182"/>
      <c r="Q46" s="182"/>
      <c r="R46" s="182"/>
      <c r="S46" s="182"/>
    </row>
    <row r="47" spans="9:31" x14ac:dyDescent="0.3">
      <c r="N47" s="114" t="s">
        <v>150</v>
      </c>
    </row>
    <row r="48" spans="9:31" x14ac:dyDescent="0.3">
      <c r="N48" s="143" t="s">
        <v>146</v>
      </c>
      <c r="O48" s="143">
        <v>0</v>
      </c>
      <c r="P48" s="143">
        <v>2</v>
      </c>
      <c r="Q48" s="143">
        <v>3</v>
      </c>
      <c r="R48" s="143">
        <v>5</v>
      </c>
      <c r="S48" s="143">
        <v>8</v>
      </c>
      <c r="T48" s="143">
        <v>10</v>
      </c>
      <c r="U48" s="143">
        <v>15</v>
      </c>
      <c r="V48" s="143">
        <v>20</v>
      </c>
      <c r="W48" s="143">
        <v>25</v>
      </c>
      <c r="X48" s="143">
        <v>35</v>
      </c>
      <c r="Y48" s="143">
        <v>50</v>
      </c>
      <c r="Z48" s="143">
        <v>80</v>
      </c>
      <c r="AA48" s="143">
        <v>100</v>
      </c>
    </row>
    <row r="49" spans="14:31" x14ac:dyDescent="0.3">
      <c r="N49" s="142" t="s">
        <v>144</v>
      </c>
      <c r="O49" s="158">
        <f t="shared" ref="O49" si="9">10000-SUM(P49:AA49)</f>
        <v>8500</v>
      </c>
      <c r="P49" s="158">
        <v>600</v>
      </c>
      <c r="Q49" s="158">
        <v>500</v>
      </c>
      <c r="R49" s="158">
        <v>200</v>
      </c>
      <c r="S49" s="158">
        <v>200</v>
      </c>
      <c r="T49" s="159">
        <v>0</v>
      </c>
      <c r="U49" s="159">
        <v>0</v>
      </c>
      <c r="V49" s="159">
        <v>0</v>
      </c>
      <c r="W49" s="159">
        <v>0</v>
      </c>
      <c r="X49" s="159">
        <v>0</v>
      </c>
      <c r="Y49" s="159">
        <v>0</v>
      </c>
      <c r="Z49" s="159">
        <v>0</v>
      </c>
      <c r="AA49" s="159">
        <v>0</v>
      </c>
      <c r="AB49" s="161" cm="1">
        <f t="array" ref="AB49">SUMPRODUCT(P49:AA49/SUM(P49:AA49),$P$4:$AA$4)</f>
        <v>3.5333333333333332</v>
      </c>
      <c r="AC49" s="161"/>
      <c r="AD49" s="160"/>
      <c r="AE49" s="160"/>
    </row>
    <row r="50" spans="14:31" x14ac:dyDescent="0.3">
      <c r="N50" s="142" t="s">
        <v>145</v>
      </c>
      <c r="O50" s="158">
        <f t="shared" ref="O50:O54" si="10">10000-SUM(P50:AA50)</f>
        <v>9100</v>
      </c>
      <c r="P50" s="158">
        <v>450</v>
      </c>
      <c r="Q50" s="158">
        <v>350</v>
      </c>
      <c r="R50" s="158">
        <v>50</v>
      </c>
      <c r="S50" s="158">
        <v>50</v>
      </c>
      <c r="T50" s="159">
        <v>0</v>
      </c>
      <c r="U50" s="159">
        <v>0</v>
      </c>
      <c r="V50" s="159">
        <v>0</v>
      </c>
      <c r="W50" s="159">
        <v>0</v>
      </c>
      <c r="X50" s="159">
        <v>0</v>
      </c>
      <c r="Y50" s="159">
        <v>0</v>
      </c>
      <c r="Z50" s="159">
        <v>0</v>
      </c>
      <c r="AA50" s="159">
        <v>0</v>
      </c>
      <c r="AB50" s="161" cm="1">
        <f t="array" ref="AB50">SUMPRODUCT(P50:AA50/SUM(P50:AA50),$P$4:$AA$4)</f>
        <v>2.8888888888888893</v>
      </c>
      <c r="AC50" s="161"/>
      <c r="AD50" s="160"/>
      <c r="AE50" s="160"/>
    </row>
    <row r="51" spans="14:31" x14ac:dyDescent="0.3">
      <c r="N51" s="142" t="s">
        <v>156</v>
      </c>
      <c r="O51" s="158">
        <f t="shared" si="10"/>
        <v>8900</v>
      </c>
      <c r="P51" s="158">
        <v>550</v>
      </c>
      <c r="Q51" s="158">
        <v>450</v>
      </c>
      <c r="R51" s="158">
        <v>50</v>
      </c>
      <c r="S51" s="158">
        <v>50</v>
      </c>
      <c r="T51" s="159">
        <v>0</v>
      </c>
      <c r="U51" s="159">
        <v>0</v>
      </c>
      <c r="V51" s="159">
        <v>0</v>
      </c>
      <c r="W51" s="159">
        <v>0</v>
      </c>
      <c r="X51" s="159">
        <v>0</v>
      </c>
      <c r="Y51" s="159">
        <v>0</v>
      </c>
      <c r="Z51" s="159">
        <v>0</v>
      </c>
      <c r="AA51" s="159">
        <v>0</v>
      </c>
      <c r="AB51" s="161" cm="1">
        <f t="array" ref="AB51">SUMPRODUCT(P51:AA51/SUM(P51:AA51),$P$4:$AA$4)</f>
        <v>2.8181818181818188</v>
      </c>
      <c r="AC51" s="161"/>
      <c r="AD51" s="160"/>
      <c r="AE51" s="160"/>
    </row>
    <row r="52" spans="14:31" x14ac:dyDescent="0.3">
      <c r="N52" s="142" t="s">
        <v>136</v>
      </c>
      <c r="O52" s="158">
        <f t="shared" si="10"/>
        <v>6710</v>
      </c>
      <c r="P52" s="158">
        <v>2150</v>
      </c>
      <c r="Q52" s="158">
        <v>970</v>
      </c>
      <c r="R52" s="144">
        <v>110</v>
      </c>
      <c r="S52" s="144">
        <v>60</v>
      </c>
      <c r="T52" s="156">
        <v>0</v>
      </c>
      <c r="U52" s="156">
        <v>0</v>
      </c>
      <c r="V52" s="156">
        <v>0</v>
      </c>
      <c r="W52" s="156">
        <v>0</v>
      </c>
      <c r="X52" s="156">
        <v>0</v>
      </c>
      <c r="Y52" s="156">
        <v>0</v>
      </c>
      <c r="Z52" s="156">
        <v>0</v>
      </c>
      <c r="AA52" s="156">
        <v>0</v>
      </c>
      <c r="AB52" s="161" cm="1">
        <f t="array" ref="AB52">SUMPRODUCT(P52:AA52/SUM(P52:AA52),$P$4:$AA$4)</f>
        <v>2.5045592705167175</v>
      </c>
      <c r="AC52" s="161"/>
      <c r="AD52" s="160"/>
      <c r="AE52" s="160"/>
    </row>
    <row r="53" spans="14:31" x14ac:dyDescent="0.3">
      <c r="N53" s="142" t="s">
        <v>138</v>
      </c>
      <c r="O53" s="158">
        <f t="shared" si="10"/>
        <v>6710</v>
      </c>
      <c r="P53" s="158">
        <v>2150</v>
      </c>
      <c r="Q53" s="158">
        <v>970</v>
      </c>
      <c r="R53" s="144">
        <v>110</v>
      </c>
      <c r="S53" s="144">
        <v>60</v>
      </c>
      <c r="T53" s="156">
        <v>0</v>
      </c>
      <c r="U53" s="156">
        <v>0</v>
      </c>
      <c r="V53" s="156">
        <v>0</v>
      </c>
      <c r="W53" s="156">
        <v>0</v>
      </c>
      <c r="X53" s="156">
        <v>0</v>
      </c>
      <c r="Y53" s="156">
        <v>0</v>
      </c>
      <c r="Z53" s="156">
        <v>0</v>
      </c>
      <c r="AA53" s="156">
        <v>0</v>
      </c>
      <c r="AB53" s="161" cm="1">
        <f t="array" ref="AB53">SUMPRODUCT(P53:AA53/SUM(P53:AA53),$P$4:$AA$4)</f>
        <v>2.5045592705167175</v>
      </c>
      <c r="AC53" s="161"/>
      <c r="AD53" s="160"/>
      <c r="AE53" s="160"/>
    </row>
    <row r="54" spans="14:31" x14ac:dyDescent="0.3">
      <c r="N54" s="142" t="s">
        <v>140</v>
      </c>
      <c r="O54" s="158">
        <f t="shared" si="10"/>
        <v>6710</v>
      </c>
      <c r="P54" s="158">
        <v>2150</v>
      </c>
      <c r="Q54" s="158">
        <v>970</v>
      </c>
      <c r="R54" s="144">
        <v>110</v>
      </c>
      <c r="S54" s="144">
        <v>60</v>
      </c>
      <c r="T54" s="156">
        <v>0</v>
      </c>
      <c r="U54" s="156">
        <v>0</v>
      </c>
      <c r="V54" s="156">
        <v>0</v>
      </c>
      <c r="W54" s="156">
        <v>0</v>
      </c>
      <c r="X54" s="156">
        <v>0</v>
      </c>
      <c r="Y54" s="156">
        <v>0</v>
      </c>
      <c r="Z54" s="156">
        <v>0</v>
      </c>
      <c r="AA54" s="156">
        <v>0</v>
      </c>
      <c r="AB54" s="161" cm="1">
        <f t="array" ref="AB54">SUMPRODUCT(P54:AA54/SUM(P54:AA54),$P$4:$AA$4)</f>
        <v>2.5045592705167175</v>
      </c>
      <c r="AC54" s="161"/>
      <c r="AD54" s="160"/>
      <c r="AE54" s="160"/>
    </row>
    <row r="55" spans="14:31" x14ac:dyDescent="0.3">
      <c r="N55" s="142" t="s">
        <v>155</v>
      </c>
      <c r="O55" s="156">
        <f t="shared" ref="O55" si="11">10000-SUM(P55:AA55)</f>
        <v>10000</v>
      </c>
      <c r="P55" s="159">
        <v>0</v>
      </c>
      <c r="Q55" s="159">
        <v>0</v>
      </c>
      <c r="R55" s="159">
        <v>0</v>
      </c>
      <c r="S55" s="159">
        <v>0</v>
      </c>
      <c r="T55" s="159">
        <v>0</v>
      </c>
      <c r="U55" s="159">
        <v>0</v>
      </c>
      <c r="V55" s="159">
        <v>0</v>
      </c>
      <c r="W55" s="159">
        <v>0</v>
      </c>
      <c r="X55" s="159">
        <v>0</v>
      </c>
      <c r="Y55" s="159">
        <v>0</v>
      </c>
      <c r="Z55" s="159">
        <v>0</v>
      </c>
      <c r="AA55" s="159">
        <v>0</v>
      </c>
      <c r="AB55" s="161" t="e" cm="1">
        <f t="array" ref="AB55">SUMPRODUCT(P55:AA55/SUM(P55:AA55),$P$4:$AA$4)</f>
        <v>#DIV/0!</v>
      </c>
      <c r="AC55" s="161"/>
      <c r="AD55" s="160"/>
      <c r="AE55" s="160"/>
    </row>
    <row r="70" spans="28:28" x14ac:dyDescent="0.3">
      <c r="AB70" s="114"/>
    </row>
    <row r="71" spans="28:28" x14ac:dyDescent="0.3">
      <c r="AB71" s="114"/>
    </row>
    <row r="72" spans="28:28" x14ac:dyDescent="0.3">
      <c r="AB72" s="114"/>
    </row>
    <row r="73" spans="28:28" x14ac:dyDescent="0.3">
      <c r="AB73" s="114"/>
    </row>
    <row r="74" spans="28:28" x14ac:dyDescent="0.3">
      <c r="AB74" s="114"/>
    </row>
    <row r="75" spans="28:28" x14ac:dyDescent="0.3">
      <c r="AB75" s="114"/>
    </row>
    <row r="76" spans="28:28" x14ac:dyDescent="0.3">
      <c r="AB76" s="114"/>
    </row>
    <row r="77" spans="28:28" x14ac:dyDescent="0.3">
      <c r="AB77" s="114"/>
    </row>
    <row r="78" spans="28:28" x14ac:dyDescent="0.3">
      <c r="AB78" s="114"/>
    </row>
    <row r="79" spans="28:28" x14ac:dyDescent="0.3">
      <c r="AB79" s="114"/>
    </row>
    <row r="80" spans="28:28" x14ac:dyDescent="0.3">
      <c r="AB80" s="114"/>
    </row>
    <row r="81" spans="28:28" x14ac:dyDescent="0.3">
      <c r="AB81" s="114"/>
    </row>
    <row r="82" spans="28:28" x14ac:dyDescent="0.3">
      <c r="AB82" s="114"/>
    </row>
    <row r="83" spans="28:28" x14ac:dyDescent="0.3">
      <c r="AB83" s="114"/>
    </row>
    <row r="84" spans="28:28" x14ac:dyDescent="0.3">
      <c r="AB84" s="114"/>
    </row>
    <row r="85" spans="28:28" x14ac:dyDescent="0.3">
      <c r="AB85" s="114"/>
    </row>
    <row r="86" spans="28:28" x14ac:dyDescent="0.3">
      <c r="AB86" s="114"/>
    </row>
    <row r="87" spans="28:28" x14ac:dyDescent="0.3">
      <c r="AB87" s="114"/>
    </row>
    <row r="88" spans="28:28" x14ac:dyDescent="0.3">
      <c r="AB88" s="114"/>
    </row>
    <row r="89" spans="28:28" x14ac:dyDescent="0.3">
      <c r="AB89" s="114"/>
    </row>
    <row r="90" spans="28:28" x14ac:dyDescent="0.3">
      <c r="AB90" s="114"/>
    </row>
    <row r="91" spans="28:28" x14ac:dyDescent="0.3">
      <c r="AB91" s="114"/>
    </row>
    <row r="92" spans="28:28" x14ac:dyDescent="0.3">
      <c r="AB92" s="114"/>
    </row>
    <row r="93" spans="28:28" x14ac:dyDescent="0.3">
      <c r="AB93" s="114"/>
    </row>
    <row r="94" spans="28:28" x14ac:dyDescent="0.3">
      <c r="AB94" s="114"/>
    </row>
    <row r="95" spans="28:28" x14ac:dyDescent="0.3">
      <c r="AB95" s="114"/>
    </row>
    <row r="96" spans="28:28" x14ac:dyDescent="0.3">
      <c r="AB96" s="114"/>
    </row>
    <row r="97" spans="28:28" x14ac:dyDescent="0.3">
      <c r="AB97" s="114"/>
    </row>
    <row r="98" spans="28:28" x14ac:dyDescent="0.3">
      <c r="AB98" s="114"/>
    </row>
    <row r="99" spans="28:28" x14ac:dyDescent="0.3">
      <c r="AB99" s="114"/>
    </row>
    <row r="100" spans="28:28" x14ac:dyDescent="0.3">
      <c r="AB100" s="114"/>
    </row>
    <row r="101" spans="28:28" x14ac:dyDescent="0.3">
      <c r="AB101" s="114"/>
    </row>
    <row r="102" spans="28:28" x14ac:dyDescent="0.3">
      <c r="AB102" s="114"/>
    </row>
    <row r="103" spans="28:28" x14ac:dyDescent="0.3">
      <c r="AB103" s="114"/>
    </row>
    <row r="104" spans="28:28" x14ac:dyDescent="0.3">
      <c r="AB104" s="114"/>
    </row>
    <row r="105" spans="28:28" x14ac:dyDescent="0.3">
      <c r="AB105" s="114"/>
    </row>
    <row r="106" spans="28:28" x14ac:dyDescent="0.3">
      <c r="AB106" s="114"/>
    </row>
    <row r="107" spans="28:28" x14ac:dyDescent="0.3">
      <c r="AB107" s="114"/>
    </row>
    <row r="108" spans="28:28" x14ac:dyDescent="0.3">
      <c r="AB108" s="114"/>
    </row>
    <row r="109" spans="28:28" x14ac:dyDescent="0.3">
      <c r="AB109" s="114"/>
    </row>
    <row r="110" spans="28:28" x14ac:dyDescent="0.3">
      <c r="AB110" s="114"/>
    </row>
    <row r="111" spans="28:28" x14ac:dyDescent="0.3">
      <c r="AB111" s="114"/>
    </row>
    <row r="112" spans="28:28" x14ac:dyDescent="0.3">
      <c r="AB112" s="114"/>
    </row>
    <row r="113" spans="28:28" x14ac:dyDescent="0.3">
      <c r="AB113" s="114"/>
    </row>
    <row r="114" spans="28:28" x14ac:dyDescent="0.3">
      <c r="AB114" s="114"/>
    </row>
    <row r="115" spans="28:28" x14ac:dyDescent="0.3">
      <c r="AB115" s="114"/>
    </row>
    <row r="116" spans="28:28" x14ac:dyDescent="0.3">
      <c r="AB116" s="114"/>
    </row>
    <row r="117" spans="28:28" x14ac:dyDescent="0.3">
      <c r="AB117" s="114"/>
    </row>
    <row r="118" spans="28:28" x14ac:dyDescent="0.3">
      <c r="AB118" s="114"/>
    </row>
    <row r="119" spans="28:28" x14ac:dyDescent="0.3">
      <c r="AB119" s="114"/>
    </row>
    <row r="120" spans="28:28" x14ac:dyDescent="0.3">
      <c r="AB120" s="114"/>
    </row>
    <row r="121" spans="28:28" x14ac:dyDescent="0.3">
      <c r="AB121" s="114"/>
    </row>
    <row r="122" spans="28:28" x14ac:dyDescent="0.3">
      <c r="AB122" s="114"/>
    </row>
    <row r="123" spans="28:28" x14ac:dyDescent="0.3">
      <c r="AB123" s="114"/>
    </row>
    <row r="124" spans="28:28" x14ac:dyDescent="0.3">
      <c r="AB124" s="114"/>
    </row>
    <row r="125" spans="28:28" x14ac:dyDescent="0.3">
      <c r="AB125" s="114"/>
    </row>
    <row r="126" spans="28:28" x14ac:dyDescent="0.3">
      <c r="AB126" s="114"/>
    </row>
    <row r="127" spans="28:28" x14ac:dyDescent="0.3">
      <c r="AB127" s="114"/>
    </row>
    <row r="128" spans="28:28" x14ac:dyDescent="0.3">
      <c r="AB128" s="114"/>
    </row>
    <row r="129" spans="28:28" x14ac:dyDescent="0.3">
      <c r="AB129" s="114"/>
    </row>
    <row r="130" spans="28:28" hidden="1" x14ac:dyDescent="0.3">
      <c r="AB130" s="114"/>
    </row>
    <row r="131" spans="28:28" x14ac:dyDescent="0.3">
      <c r="AB131" s="114"/>
    </row>
    <row r="132" spans="28:28" x14ac:dyDescent="0.3">
      <c r="AB132" s="114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2B2B-7BD3-4698-8A0E-E52188F47250}">
  <dimension ref="A2:G68"/>
  <sheetViews>
    <sheetView workbookViewId="0">
      <selection activeCell="N15" sqref="N15"/>
    </sheetView>
  </sheetViews>
  <sheetFormatPr defaultRowHeight="16.2" x14ac:dyDescent="0.3"/>
  <cols>
    <col min="1" max="1" width="8.88671875" style="24"/>
    <col min="2" max="2" width="27.109375" style="17" bestFit="1" customWidth="1"/>
    <col min="3" max="7" width="16.33203125" style="17" bestFit="1" customWidth="1"/>
  </cols>
  <sheetData>
    <row r="2" spans="2:7" x14ac:dyDescent="0.3">
      <c r="C2" s="17" t="s">
        <v>323</v>
      </c>
      <c r="D2" s="17" t="s">
        <v>323</v>
      </c>
      <c r="E2" s="17" t="s">
        <v>322</v>
      </c>
      <c r="F2" s="17" t="s">
        <v>322</v>
      </c>
      <c r="G2" s="17" t="s">
        <v>322</v>
      </c>
    </row>
    <row r="3" spans="2:7" x14ac:dyDescent="0.3">
      <c r="B3" s="135" t="s">
        <v>321</v>
      </c>
      <c r="C3" s="135" t="s">
        <v>320</v>
      </c>
      <c r="D3" s="135" t="s">
        <v>319</v>
      </c>
      <c r="E3" s="135" t="s">
        <v>320</v>
      </c>
      <c r="F3" s="135" t="s">
        <v>319</v>
      </c>
      <c r="G3" s="135" t="s">
        <v>318</v>
      </c>
    </row>
    <row r="4" spans="2:7" x14ac:dyDescent="0.3">
      <c r="B4" s="193" t="s">
        <v>317</v>
      </c>
      <c r="C4" s="137" cm="1">
        <f t="array" ref="C4:C68">IFERROR(Multiplier_Weight_Newbie!$L$15:$L$79, 0)</f>
        <v>738241884</v>
      </c>
      <c r="D4" s="137" cm="1">
        <f t="array" ref="D4:D67">IFERROR(Multiplier_Weight_Newbie!$L$87:$L$150, 0)</f>
        <v>0</v>
      </c>
      <c r="E4" s="137" cm="1">
        <f t="array" ref="E4:E68">_xlfn.ANCHORARRAY(Multiplier_Weight_Oldhand!L15)</f>
        <v>714596215</v>
      </c>
      <c r="F4" s="137" cm="1">
        <f t="array" ref="F4:F67">_xlfn.ANCHORARRAY(Multiplier_Weight_Oldhand!L87)</f>
        <v>0</v>
      </c>
      <c r="G4" s="137" cm="1">
        <f t="array" ref="G4:G67">_xlfn.ANCHORARRAY(Multiplier_Weight_Oldhand!L157)</f>
        <v>0</v>
      </c>
    </row>
    <row r="5" spans="2:7" x14ac:dyDescent="0.3">
      <c r="B5" s="193" t="s">
        <v>316</v>
      </c>
      <c r="C5" s="137">
        <v>117071871</v>
      </c>
      <c r="D5" s="137">
        <v>0</v>
      </c>
      <c r="E5" s="137">
        <v>166424189</v>
      </c>
      <c r="F5" s="137">
        <v>0</v>
      </c>
      <c r="G5" s="137">
        <v>0</v>
      </c>
    </row>
    <row r="6" spans="2:7" x14ac:dyDescent="0.3">
      <c r="B6" s="193" t="s">
        <v>315</v>
      </c>
      <c r="C6" s="137">
        <v>39540778</v>
      </c>
      <c r="D6" s="137">
        <v>0</v>
      </c>
      <c r="E6" s="137">
        <v>47260135</v>
      </c>
      <c r="F6" s="137">
        <v>0</v>
      </c>
      <c r="G6" s="137">
        <v>0</v>
      </c>
    </row>
    <row r="7" spans="2:7" x14ac:dyDescent="0.3">
      <c r="B7" s="193" t="s">
        <v>314</v>
      </c>
      <c r="C7" s="137">
        <v>19079642</v>
      </c>
      <c r="D7" s="137">
        <v>0</v>
      </c>
      <c r="E7" s="137">
        <v>22374389</v>
      </c>
      <c r="F7" s="137">
        <v>0</v>
      </c>
      <c r="G7" s="137">
        <v>0</v>
      </c>
    </row>
    <row r="8" spans="2:7" x14ac:dyDescent="0.3">
      <c r="B8" s="193" t="s">
        <v>313</v>
      </c>
      <c r="C8" s="137">
        <v>7549667</v>
      </c>
      <c r="D8" s="137">
        <v>0</v>
      </c>
      <c r="E8" s="137">
        <v>8755275</v>
      </c>
      <c r="F8" s="137">
        <v>0</v>
      </c>
      <c r="G8" s="137">
        <v>0</v>
      </c>
    </row>
    <row r="9" spans="2:7" x14ac:dyDescent="0.3">
      <c r="B9" s="193" t="s">
        <v>312</v>
      </c>
      <c r="C9" s="137">
        <v>6156107</v>
      </c>
      <c r="D9" s="137">
        <v>0</v>
      </c>
      <c r="E9" s="137">
        <v>6870299</v>
      </c>
      <c r="F9" s="137">
        <v>0</v>
      </c>
      <c r="G9" s="137">
        <v>0</v>
      </c>
    </row>
    <row r="10" spans="2:7" x14ac:dyDescent="0.3">
      <c r="B10" s="193" t="s">
        <v>311</v>
      </c>
      <c r="C10" s="137">
        <v>4856180</v>
      </c>
      <c r="D10" s="137">
        <v>0</v>
      </c>
      <c r="E10" s="137">
        <v>5617911</v>
      </c>
      <c r="F10" s="137">
        <v>0</v>
      </c>
      <c r="G10" s="137">
        <v>0</v>
      </c>
    </row>
    <row r="11" spans="2:7" x14ac:dyDescent="0.3">
      <c r="B11" s="193" t="s">
        <v>310</v>
      </c>
      <c r="C11" s="137">
        <v>3038377</v>
      </c>
      <c r="D11" s="137">
        <v>0</v>
      </c>
      <c r="E11" s="137">
        <v>3419852</v>
      </c>
      <c r="F11" s="137">
        <v>0</v>
      </c>
      <c r="G11" s="137">
        <v>0</v>
      </c>
    </row>
    <row r="12" spans="2:7" x14ac:dyDescent="0.3">
      <c r="B12" s="193" t="s">
        <v>309</v>
      </c>
      <c r="C12" s="137">
        <v>2570258</v>
      </c>
      <c r="D12" s="137">
        <v>0</v>
      </c>
      <c r="E12" s="137">
        <v>2906580</v>
      </c>
      <c r="F12" s="137">
        <v>0</v>
      </c>
      <c r="G12" s="137">
        <v>0</v>
      </c>
    </row>
    <row r="13" spans="2:7" x14ac:dyDescent="0.3">
      <c r="B13" s="193" t="s">
        <v>308</v>
      </c>
      <c r="C13" s="137">
        <v>2311271</v>
      </c>
      <c r="D13" s="137">
        <v>0</v>
      </c>
      <c r="E13" s="137">
        <v>2623502</v>
      </c>
      <c r="F13" s="137">
        <v>0</v>
      </c>
      <c r="G13" s="137">
        <v>0</v>
      </c>
    </row>
    <row r="14" spans="2:7" x14ac:dyDescent="0.3">
      <c r="B14" s="193" t="s">
        <v>307</v>
      </c>
      <c r="C14" s="137">
        <v>2141691</v>
      </c>
      <c r="D14" s="137">
        <v>0</v>
      </c>
      <c r="E14" s="137">
        <v>2328871</v>
      </c>
      <c r="F14" s="137">
        <v>0</v>
      </c>
      <c r="G14" s="137">
        <v>0</v>
      </c>
    </row>
    <row r="15" spans="2:7" x14ac:dyDescent="0.3">
      <c r="B15" s="193" t="s">
        <v>306</v>
      </c>
      <c r="C15" s="137">
        <v>2933912</v>
      </c>
      <c r="D15" s="137">
        <v>131426174</v>
      </c>
      <c r="E15" s="137">
        <v>3135395</v>
      </c>
      <c r="F15" s="137">
        <v>131313926</v>
      </c>
      <c r="G15" s="137">
        <v>117420216</v>
      </c>
    </row>
    <row r="16" spans="2:7" x14ac:dyDescent="0.3">
      <c r="B16" s="195" t="s">
        <v>305</v>
      </c>
      <c r="C16" s="137">
        <v>4065662</v>
      </c>
      <c r="D16" s="137">
        <v>131018642</v>
      </c>
      <c r="E16" s="137">
        <v>4083722</v>
      </c>
      <c r="F16" s="137">
        <v>131298560</v>
      </c>
      <c r="G16" s="137">
        <v>117425562</v>
      </c>
    </row>
    <row r="17" spans="2:7" x14ac:dyDescent="0.3">
      <c r="B17" s="193" t="s">
        <v>304</v>
      </c>
      <c r="C17" s="137">
        <v>1780605</v>
      </c>
      <c r="D17" s="137">
        <v>128690978</v>
      </c>
      <c r="E17" s="137">
        <v>1701538</v>
      </c>
      <c r="F17" s="137">
        <v>131344473</v>
      </c>
      <c r="G17" s="137">
        <v>117436124</v>
      </c>
    </row>
    <row r="18" spans="2:7" x14ac:dyDescent="0.3">
      <c r="B18" s="193" t="s">
        <v>303</v>
      </c>
      <c r="C18" s="137">
        <v>764869</v>
      </c>
      <c r="D18" s="137">
        <v>135103065</v>
      </c>
      <c r="E18" s="137">
        <v>691840</v>
      </c>
      <c r="F18" s="137">
        <v>132310148</v>
      </c>
      <c r="G18" s="137">
        <v>118321427</v>
      </c>
    </row>
    <row r="19" spans="2:7" x14ac:dyDescent="0.3">
      <c r="B19" s="193" t="s">
        <v>302</v>
      </c>
      <c r="C19" s="137">
        <v>676069</v>
      </c>
      <c r="D19" s="137">
        <v>35975333</v>
      </c>
      <c r="E19" s="137">
        <v>584180</v>
      </c>
      <c r="F19" s="137">
        <v>36573099</v>
      </c>
      <c r="G19" s="137">
        <v>32679736</v>
      </c>
    </row>
    <row r="20" spans="2:7" x14ac:dyDescent="0.3">
      <c r="B20" s="195" t="s">
        <v>301</v>
      </c>
      <c r="C20" s="137">
        <v>1209973</v>
      </c>
      <c r="D20" s="137">
        <v>29457969</v>
      </c>
      <c r="E20" s="137">
        <v>997508</v>
      </c>
      <c r="F20" s="137">
        <v>29887123</v>
      </c>
      <c r="G20" s="137">
        <v>26713285</v>
      </c>
    </row>
    <row r="21" spans="2:7" x14ac:dyDescent="0.3">
      <c r="B21" s="193" t="s">
        <v>300</v>
      </c>
      <c r="C21" s="137">
        <v>285069</v>
      </c>
      <c r="D21" s="137">
        <v>28994257</v>
      </c>
      <c r="E21" s="137">
        <v>224330</v>
      </c>
      <c r="F21" s="137">
        <v>29413918</v>
      </c>
      <c r="G21" s="137">
        <v>26288575</v>
      </c>
    </row>
    <row r="22" spans="2:7" x14ac:dyDescent="0.3">
      <c r="B22" s="193" t="s">
        <v>299</v>
      </c>
      <c r="C22" s="137">
        <v>282825</v>
      </c>
      <c r="D22" s="137">
        <v>26728667</v>
      </c>
      <c r="E22" s="137">
        <v>222564</v>
      </c>
      <c r="F22" s="137">
        <v>27001028</v>
      </c>
      <c r="G22" s="137">
        <v>24177249</v>
      </c>
    </row>
    <row r="23" spans="2:7" x14ac:dyDescent="0.3">
      <c r="B23" s="195" t="s">
        <v>298</v>
      </c>
      <c r="C23" s="137">
        <v>873570</v>
      </c>
      <c r="D23" s="137">
        <v>22506666</v>
      </c>
      <c r="E23" s="137">
        <v>648885</v>
      </c>
      <c r="F23" s="137">
        <v>22779395</v>
      </c>
      <c r="G23" s="137">
        <v>20358264</v>
      </c>
    </row>
    <row r="24" spans="2:7" x14ac:dyDescent="0.3">
      <c r="B24" s="193" t="s">
        <v>297</v>
      </c>
      <c r="C24" s="137">
        <v>216779</v>
      </c>
      <c r="D24" s="137">
        <v>67277888</v>
      </c>
      <c r="E24" s="137">
        <v>151636</v>
      </c>
      <c r="F24" s="137">
        <v>67271586</v>
      </c>
      <c r="G24" s="137">
        <v>66813837</v>
      </c>
    </row>
    <row r="25" spans="2:7" x14ac:dyDescent="0.3">
      <c r="B25" s="193" t="s">
        <v>296</v>
      </c>
      <c r="C25" s="137">
        <v>196114</v>
      </c>
      <c r="D25" s="137">
        <v>60441723</v>
      </c>
      <c r="E25" s="137">
        <v>133146</v>
      </c>
      <c r="F25" s="137">
        <v>60699920</v>
      </c>
      <c r="G25" s="137">
        <v>60235887</v>
      </c>
    </row>
    <row r="26" spans="2:7" x14ac:dyDescent="0.3">
      <c r="B26" s="193" t="s">
        <v>295</v>
      </c>
      <c r="C26" s="137">
        <v>173434</v>
      </c>
      <c r="D26" s="137">
        <v>30947961</v>
      </c>
      <c r="E26" s="137">
        <v>0</v>
      </c>
      <c r="F26" s="137">
        <v>30899059</v>
      </c>
      <c r="G26" s="137">
        <v>27586260</v>
      </c>
    </row>
    <row r="27" spans="2:7" x14ac:dyDescent="0.3">
      <c r="B27" s="193" t="s">
        <v>294</v>
      </c>
      <c r="C27" s="137">
        <v>161522</v>
      </c>
      <c r="D27" s="137">
        <v>26878638</v>
      </c>
      <c r="E27" s="137">
        <v>0</v>
      </c>
      <c r="F27" s="137">
        <v>27074801</v>
      </c>
      <c r="G27" s="137">
        <v>24183580</v>
      </c>
    </row>
    <row r="28" spans="2:7" x14ac:dyDescent="0.3">
      <c r="B28" s="193" t="s">
        <v>293</v>
      </c>
      <c r="C28" s="137">
        <v>0</v>
      </c>
      <c r="D28" s="137">
        <v>42951118</v>
      </c>
      <c r="E28" s="137">
        <v>116068</v>
      </c>
      <c r="F28" s="137">
        <v>42771974</v>
      </c>
      <c r="G28" s="137">
        <v>54049565</v>
      </c>
    </row>
    <row r="29" spans="2:7" x14ac:dyDescent="0.3">
      <c r="B29" s="193" t="s">
        <v>292</v>
      </c>
      <c r="C29" s="137">
        <v>0</v>
      </c>
      <c r="D29" s="137">
        <v>19031620</v>
      </c>
      <c r="E29" s="137">
        <v>0</v>
      </c>
      <c r="F29" s="137">
        <v>18740070</v>
      </c>
      <c r="G29" s="137">
        <v>25688825</v>
      </c>
    </row>
    <row r="30" spans="2:7" x14ac:dyDescent="0.3">
      <c r="B30" s="193" t="s">
        <v>291</v>
      </c>
      <c r="C30" s="137">
        <v>0</v>
      </c>
      <c r="D30" s="137">
        <v>29112038</v>
      </c>
      <c r="E30" s="137">
        <v>0</v>
      </c>
      <c r="F30" s="137">
        <v>28798801</v>
      </c>
      <c r="G30" s="137">
        <v>40358418</v>
      </c>
    </row>
    <row r="31" spans="2:7" x14ac:dyDescent="0.3">
      <c r="B31" s="193" t="s">
        <v>290</v>
      </c>
      <c r="C31" s="137">
        <v>0</v>
      </c>
      <c r="D31" s="137">
        <v>8645303</v>
      </c>
      <c r="E31" s="137">
        <v>0</v>
      </c>
      <c r="F31" s="137">
        <v>8603979</v>
      </c>
      <c r="G31" s="137">
        <v>19755462</v>
      </c>
    </row>
    <row r="32" spans="2:7" x14ac:dyDescent="0.3">
      <c r="B32" s="193" t="s">
        <v>289</v>
      </c>
      <c r="C32" s="137">
        <v>0</v>
      </c>
      <c r="D32" s="137">
        <v>7592214</v>
      </c>
      <c r="E32" s="137">
        <v>0</v>
      </c>
      <c r="F32" s="137">
        <v>7413359</v>
      </c>
      <c r="G32" s="137">
        <v>17363271</v>
      </c>
    </row>
    <row r="33" spans="2:7" x14ac:dyDescent="0.3">
      <c r="B33" s="193" t="s">
        <v>288</v>
      </c>
      <c r="C33" s="137">
        <v>0</v>
      </c>
      <c r="D33" s="137">
        <v>20456254</v>
      </c>
      <c r="E33" s="137">
        <v>0</v>
      </c>
      <c r="F33" s="137">
        <v>20135367</v>
      </c>
      <c r="G33" s="137">
        <v>33963907</v>
      </c>
    </row>
    <row r="34" spans="2:7" x14ac:dyDescent="0.3">
      <c r="B34" s="193" t="s">
        <v>287</v>
      </c>
      <c r="C34" s="137">
        <v>0</v>
      </c>
      <c r="D34" s="137">
        <v>5769381</v>
      </c>
      <c r="E34" s="137">
        <v>0</v>
      </c>
      <c r="F34" s="137">
        <v>5872299</v>
      </c>
      <c r="G34" s="137">
        <v>13027339</v>
      </c>
    </row>
    <row r="35" spans="2:7" x14ac:dyDescent="0.3">
      <c r="B35" s="193" t="s">
        <v>286</v>
      </c>
      <c r="C35" s="137">
        <v>0</v>
      </c>
      <c r="D35" s="137">
        <v>4978032</v>
      </c>
      <c r="E35" s="137">
        <v>0</v>
      </c>
      <c r="F35" s="137">
        <v>4804109</v>
      </c>
      <c r="G35" s="137">
        <v>11390335</v>
      </c>
    </row>
    <row r="36" spans="2:7" x14ac:dyDescent="0.3">
      <c r="B36" s="193" t="s">
        <v>285</v>
      </c>
      <c r="C36" s="137">
        <v>0</v>
      </c>
      <c r="D36" s="137">
        <v>707924</v>
      </c>
      <c r="E36" s="137">
        <v>0</v>
      </c>
      <c r="F36" s="137">
        <v>491316</v>
      </c>
      <c r="G36" s="137">
        <v>467250</v>
      </c>
    </row>
    <row r="37" spans="2:7" x14ac:dyDescent="0.3">
      <c r="B37" s="193" t="s">
        <v>284</v>
      </c>
      <c r="C37" s="137">
        <v>0</v>
      </c>
      <c r="D37" s="137">
        <v>639994</v>
      </c>
      <c r="E37" s="137">
        <v>0</v>
      </c>
      <c r="F37" s="137">
        <v>444171</v>
      </c>
      <c r="G37" s="137">
        <v>422414</v>
      </c>
    </row>
    <row r="38" spans="2:7" x14ac:dyDescent="0.3">
      <c r="B38" s="193" t="s">
        <v>283</v>
      </c>
      <c r="C38" s="137">
        <v>0</v>
      </c>
      <c r="D38" s="137">
        <v>574556</v>
      </c>
      <c r="E38" s="137">
        <v>0</v>
      </c>
      <c r="F38" s="137">
        <v>398755</v>
      </c>
      <c r="G38" s="137">
        <v>379223</v>
      </c>
    </row>
    <row r="39" spans="2:7" x14ac:dyDescent="0.3">
      <c r="B39" s="193" t="s">
        <v>282</v>
      </c>
      <c r="C39" s="137">
        <v>0</v>
      </c>
      <c r="D39" s="137">
        <v>515204</v>
      </c>
      <c r="E39" s="137">
        <v>0</v>
      </c>
      <c r="F39" s="137">
        <v>357563</v>
      </c>
      <c r="G39" s="137">
        <v>340049</v>
      </c>
    </row>
    <row r="40" spans="2:7" x14ac:dyDescent="0.3">
      <c r="B40" s="193" t="s">
        <v>281</v>
      </c>
      <c r="C40" s="137">
        <v>0</v>
      </c>
      <c r="D40" s="137">
        <v>461067</v>
      </c>
      <c r="E40" s="137">
        <v>0</v>
      </c>
      <c r="F40" s="137">
        <v>319991</v>
      </c>
      <c r="G40" s="137">
        <v>304317</v>
      </c>
    </row>
    <row r="41" spans="2:7" x14ac:dyDescent="0.3">
      <c r="B41" s="193" t="s">
        <v>280</v>
      </c>
      <c r="C41" s="137">
        <v>0</v>
      </c>
      <c r="D41" s="137">
        <v>412132</v>
      </c>
      <c r="E41" s="137">
        <v>0</v>
      </c>
      <c r="F41" s="137">
        <v>286029</v>
      </c>
      <c r="G41" s="137">
        <v>272018</v>
      </c>
    </row>
    <row r="42" spans="2:7" x14ac:dyDescent="0.3">
      <c r="B42" s="193" t="s">
        <v>279</v>
      </c>
      <c r="C42" s="137">
        <v>0</v>
      </c>
      <c r="D42" s="137">
        <v>368511</v>
      </c>
      <c r="E42" s="137">
        <v>0</v>
      </c>
      <c r="F42" s="137">
        <v>255755</v>
      </c>
      <c r="G42" s="137">
        <v>243227</v>
      </c>
    </row>
    <row r="43" spans="2:7" x14ac:dyDescent="0.3">
      <c r="B43" s="193" t="s">
        <v>278</v>
      </c>
      <c r="C43" s="137">
        <v>0</v>
      </c>
      <c r="D43" s="137">
        <v>329400</v>
      </c>
      <c r="E43" s="137">
        <v>0</v>
      </c>
      <c r="F43" s="137">
        <v>228611</v>
      </c>
      <c r="G43" s="137">
        <v>217413</v>
      </c>
    </row>
    <row r="44" spans="2:7" x14ac:dyDescent="0.3">
      <c r="B44" s="193" t="s">
        <v>277</v>
      </c>
      <c r="C44" s="137">
        <v>0</v>
      </c>
      <c r="D44" s="137">
        <v>295050</v>
      </c>
      <c r="E44" s="137">
        <v>0</v>
      </c>
      <c r="F44" s="137">
        <v>204771</v>
      </c>
      <c r="G44" s="137">
        <v>194741</v>
      </c>
    </row>
    <row r="45" spans="2:7" x14ac:dyDescent="0.3">
      <c r="B45" s="193" t="s">
        <v>276</v>
      </c>
      <c r="C45" s="137">
        <v>0</v>
      </c>
      <c r="D45" s="137">
        <v>263804</v>
      </c>
      <c r="E45" s="137">
        <v>0</v>
      </c>
      <c r="F45" s="137">
        <v>183086</v>
      </c>
      <c r="G45" s="137">
        <v>174118</v>
      </c>
    </row>
    <row r="46" spans="2:7" x14ac:dyDescent="0.3">
      <c r="B46" s="193" t="s">
        <v>275</v>
      </c>
      <c r="C46" s="137">
        <v>0</v>
      </c>
      <c r="D46" s="137">
        <v>236050</v>
      </c>
      <c r="E46" s="137">
        <v>0</v>
      </c>
      <c r="F46" s="137">
        <v>163824</v>
      </c>
      <c r="G46" s="137">
        <v>155799</v>
      </c>
    </row>
    <row r="47" spans="2:7" x14ac:dyDescent="0.3">
      <c r="B47" s="193" t="s">
        <v>274</v>
      </c>
      <c r="C47" s="137">
        <v>0</v>
      </c>
      <c r="D47" s="137">
        <v>213796</v>
      </c>
      <c r="E47" s="137">
        <v>0</v>
      </c>
      <c r="F47" s="137">
        <v>148379</v>
      </c>
      <c r="G47" s="137">
        <v>141111</v>
      </c>
    </row>
    <row r="48" spans="2:7" x14ac:dyDescent="0.3">
      <c r="B48" s="193" t="s">
        <v>273</v>
      </c>
      <c r="C48" s="137">
        <v>0</v>
      </c>
      <c r="D48" s="137">
        <v>190898</v>
      </c>
      <c r="E48" s="137">
        <v>0</v>
      </c>
      <c r="F48" s="137">
        <v>132488</v>
      </c>
      <c r="G48" s="137">
        <v>125998</v>
      </c>
    </row>
    <row r="49" spans="2:7" x14ac:dyDescent="0.3">
      <c r="B49" s="193" t="s">
        <v>272</v>
      </c>
      <c r="C49" s="137">
        <v>0</v>
      </c>
      <c r="D49" s="137">
        <v>160528</v>
      </c>
      <c r="E49" s="137">
        <v>0</v>
      </c>
      <c r="F49" s="137">
        <v>1237895</v>
      </c>
      <c r="G49" s="137">
        <v>1235787</v>
      </c>
    </row>
    <row r="50" spans="2:7" x14ac:dyDescent="0.3">
      <c r="B50" s="193" t="s">
        <v>271</v>
      </c>
      <c r="C50" s="137">
        <v>0</v>
      </c>
      <c r="D50" s="137">
        <v>526035</v>
      </c>
      <c r="E50" s="137">
        <v>0</v>
      </c>
      <c r="F50" s="137">
        <v>49169</v>
      </c>
      <c r="G50" s="137">
        <v>49085</v>
      </c>
    </row>
    <row r="51" spans="2:7" x14ac:dyDescent="0.3">
      <c r="B51" s="193" t="s">
        <v>270</v>
      </c>
      <c r="C51" s="137">
        <v>0</v>
      </c>
      <c r="D51" s="137">
        <v>69884</v>
      </c>
      <c r="E51" s="137">
        <v>0</v>
      </c>
      <c r="F51" s="137">
        <v>36655</v>
      </c>
      <c r="G51" s="137">
        <v>14637</v>
      </c>
    </row>
    <row r="52" spans="2:7" x14ac:dyDescent="0.3">
      <c r="B52" s="193" t="s">
        <v>269</v>
      </c>
      <c r="C52" s="137">
        <v>0</v>
      </c>
      <c r="D52" s="137">
        <v>35767</v>
      </c>
      <c r="E52" s="137">
        <v>0</v>
      </c>
      <c r="F52" s="137">
        <v>27581</v>
      </c>
      <c r="G52" s="137">
        <v>13767</v>
      </c>
    </row>
    <row r="53" spans="2:7" x14ac:dyDescent="0.3">
      <c r="B53" s="193" t="s">
        <v>268</v>
      </c>
      <c r="C53" s="137">
        <v>0</v>
      </c>
      <c r="D53" s="137">
        <v>15461</v>
      </c>
      <c r="E53" s="137">
        <v>0</v>
      </c>
      <c r="F53" s="137">
        <v>26946</v>
      </c>
      <c r="G53" s="137">
        <v>11902</v>
      </c>
    </row>
    <row r="54" spans="2:7" x14ac:dyDescent="0.3">
      <c r="B54" s="193" t="s">
        <v>267</v>
      </c>
      <c r="C54" s="137">
        <v>0</v>
      </c>
      <c r="D54" s="137">
        <v>0</v>
      </c>
      <c r="E54" s="137">
        <v>0</v>
      </c>
      <c r="F54" s="137">
        <v>0</v>
      </c>
      <c r="G54" s="137">
        <v>0</v>
      </c>
    </row>
    <row r="55" spans="2:7" x14ac:dyDescent="0.3">
      <c r="B55" s="193" t="s">
        <v>266</v>
      </c>
      <c r="C55" s="137">
        <v>0</v>
      </c>
      <c r="D55" s="137">
        <v>0</v>
      </c>
      <c r="E55" s="137">
        <v>0</v>
      </c>
      <c r="F55" s="137">
        <v>0</v>
      </c>
      <c r="G55" s="137">
        <v>0</v>
      </c>
    </row>
    <row r="56" spans="2:7" x14ac:dyDescent="0.3">
      <c r="B56" s="193" t="s">
        <v>265</v>
      </c>
      <c r="C56" s="137">
        <v>0</v>
      </c>
      <c r="D56" s="137">
        <v>0</v>
      </c>
      <c r="E56" s="137">
        <v>0</v>
      </c>
      <c r="F56" s="137">
        <v>0</v>
      </c>
      <c r="G56" s="137">
        <v>0</v>
      </c>
    </row>
    <row r="57" spans="2:7" x14ac:dyDescent="0.3">
      <c r="B57" s="193" t="s">
        <v>264</v>
      </c>
      <c r="C57" s="137">
        <v>0</v>
      </c>
      <c r="D57" s="137">
        <v>0</v>
      </c>
      <c r="E57" s="137">
        <v>0</v>
      </c>
      <c r="F57" s="137">
        <v>0</v>
      </c>
      <c r="G57" s="137">
        <v>0</v>
      </c>
    </row>
    <row r="58" spans="2:7" x14ac:dyDescent="0.3">
      <c r="B58" s="193" t="s">
        <v>263</v>
      </c>
      <c r="C58" s="137">
        <v>0</v>
      </c>
      <c r="D58" s="137">
        <v>0</v>
      </c>
      <c r="E58" s="137">
        <v>0</v>
      </c>
      <c r="F58" s="137">
        <v>0</v>
      </c>
      <c r="G58" s="137">
        <v>0</v>
      </c>
    </row>
    <row r="59" spans="2:7" x14ac:dyDescent="0.3">
      <c r="B59" s="193" t="s">
        <v>262</v>
      </c>
      <c r="C59" s="137">
        <v>0</v>
      </c>
      <c r="D59" s="137">
        <v>0</v>
      </c>
      <c r="E59" s="137">
        <v>0</v>
      </c>
      <c r="F59" s="137">
        <v>0</v>
      </c>
      <c r="G59" s="137">
        <v>0</v>
      </c>
    </row>
    <row r="60" spans="2:7" x14ac:dyDescent="0.3">
      <c r="B60" s="193" t="s">
        <v>261</v>
      </c>
      <c r="C60" s="137">
        <v>0</v>
      </c>
      <c r="D60" s="137">
        <v>0</v>
      </c>
      <c r="E60" s="137">
        <v>0</v>
      </c>
      <c r="F60" s="137">
        <v>0</v>
      </c>
      <c r="G60" s="137">
        <v>0</v>
      </c>
    </row>
    <row r="61" spans="2:7" x14ac:dyDescent="0.3">
      <c r="B61" s="193" t="s">
        <v>260</v>
      </c>
      <c r="C61" s="137">
        <v>0</v>
      </c>
      <c r="D61" s="137">
        <v>0</v>
      </c>
      <c r="E61" s="137">
        <v>0</v>
      </c>
      <c r="F61" s="137">
        <v>0</v>
      </c>
      <c r="G61" s="137">
        <v>0</v>
      </c>
    </row>
    <row r="62" spans="2:7" x14ac:dyDescent="0.3">
      <c r="B62" s="193" t="s">
        <v>259</v>
      </c>
      <c r="C62" s="137">
        <v>0</v>
      </c>
      <c r="D62" s="137">
        <v>0</v>
      </c>
      <c r="E62" s="137">
        <v>0</v>
      </c>
      <c r="F62" s="137">
        <v>0</v>
      </c>
      <c r="G62" s="137">
        <v>0</v>
      </c>
    </row>
    <row r="63" spans="2:7" x14ac:dyDescent="0.3">
      <c r="B63" s="193" t="s">
        <v>258</v>
      </c>
      <c r="C63" s="137">
        <v>0</v>
      </c>
      <c r="D63" s="137">
        <v>0</v>
      </c>
      <c r="E63" s="137">
        <v>0</v>
      </c>
      <c r="F63" s="137">
        <v>0</v>
      </c>
      <c r="G63" s="137">
        <v>0</v>
      </c>
    </row>
    <row r="64" spans="2:7" x14ac:dyDescent="0.3">
      <c r="B64" s="193" t="s">
        <v>257</v>
      </c>
      <c r="C64" s="137">
        <v>0</v>
      </c>
      <c r="D64" s="137">
        <v>0</v>
      </c>
      <c r="E64" s="137">
        <v>0</v>
      </c>
      <c r="F64" s="137">
        <v>0</v>
      </c>
      <c r="G64" s="137">
        <v>0</v>
      </c>
    </row>
    <row r="65" spans="2:7" x14ac:dyDescent="0.3">
      <c r="B65" s="193" t="s">
        <v>256</v>
      </c>
      <c r="C65" s="137">
        <v>0</v>
      </c>
      <c r="D65" s="137">
        <v>0</v>
      </c>
      <c r="E65" s="137">
        <v>0</v>
      </c>
      <c r="F65" s="137">
        <v>0</v>
      </c>
      <c r="G65" s="137">
        <v>0</v>
      </c>
    </row>
    <row r="66" spans="2:7" x14ac:dyDescent="0.3">
      <c r="B66" s="193" t="s">
        <v>255</v>
      </c>
      <c r="C66" s="137">
        <v>0</v>
      </c>
      <c r="D66" s="137">
        <v>0</v>
      </c>
      <c r="E66" s="137">
        <v>0</v>
      </c>
      <c r="F66" s="137">
        <v>0</v>
      </c>
      <c r="G66" s="137">
        <v>0</v>
      </c>
    </row>
    <row r="67" spans="2:7" x14ac:dyDescent="0.3">
      <c r="B67" s="193" t="s">
        <v>254</v>
      </c>
      <c r="C67" s="137">
        <v>0</v>
      </c>
      <c r="D67" s="137">
        <v>0</v>
      </c>
      <c r="E67" s="137">
        <v>0</v>
      </c>
      <c r="F67" s="137">
        <v>0</v>
      </c>
      <c r="G67" s="137">
        <v>0</v>
      </c>
    </row>
    <row r="68" spans="2:7" x14ac:dyDescent="0.3">
      <c r="B68" s="193" t="s">
        <v>253</v>
      </c>
      <c r="C68" s="137">
        <v>44862500</v>
      </c>
      <c r="D68" s="150"/>
      <c r="E68" s="137">
        <v>4195250</v>
      </c>
      <c r="F68" s="150"/>
      <c r="G68" s="150"/>
    </row>
  </sheetData>
  <phoneticPr fontId="2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4E3C5-9CD9-4E40-8469-4E70BBA8CA72}">
  <sheetPr codeName="工作表6"/>
  <dimension ref="A1:P150"/>
  <sheetViews>
    <sheetView workbookViewId="0"/>
  </sheetViews>
  <sheetFormatPr defaultRowHeight="15.6" x14ac:dyDescent="0.3"/>
  <cols>
    <col min="1" max="1" width="19.77734375" style="24" bestFit="1" customWidth="1"/>
    <col min="2" max="2" width="22.88671875" style="24" bestFit="1" customWidth="1"/>
    <col min="3" max="3" width="19.88671875" style="24" bestFit="1" customWidth="1"/>
    <col min="4" max="4" width="25.5546875" style="24" bestFit="1" customWidth="1"/>
    <col min="5" max="5" width="16.88671875" style="24" bestFit="1" customWidth="1"/>
    <col min="6" max="6" width="19.88671875" style="24" bestFit="1" customWidth="1"/>
    <col min="7" max="7" width="14" style="51" bestFit="1" customWidth="1"/>
    <col min="8" max="8" width="25.77734375" style="24" customWidth="1"/>
    <col min="9" max="9" width="14" style="24" bestFit="1" customWidth="1"/>
    <col min="10" max="10" width="12.44140625" style="24" customWidth="1"/>
    <col min="11" max="11" width="15.5546875" style="24" customWidth="1"/>
    <col min="12" max="12" width="18.77734375" style="24" customWidth="1"/>
    <col min="13" max="13" width="12.44140625" style="24" customWidth="1"/>
    <col min="14" max="14" width="19.88671875" style="24" customWidth="1"/>
    <col min="15" max="15" width="8.88671875" style="51" customWidth="1"/>
    <col min="16" max="16" width="11" style="24" bestFit="1" customWidth="1"/>
    <col min="17" max="16384" width="8.88671875" style="24"/>
  </cols>
  <sheetData>
    <row r="1" spans="1:15" x14ac:dyDescent="0.3">
      <c r="A1" s="52"/>
      <c r="B1" s="52"/>
      <c r="C1" s="1"/>
      <c r="D1" s="1"/>
      <c r="E1" s="1"/>
      <c r="F1" s="1"/>
      <c r="H1" s="13"/>
      <c r="I1" s="52"/>
      <c r="J1" s="52"/>
      <c r="K1" s="52"/>
      <c r="L1" s="52"/>
      <c r="M1" s="52"/>
      <c r="N1" s="52"/>
    </row>
    <row r="2" spans="1:15" x14ac:dyDescent="0.3">
      <c r="A2" s="52" t="s">
        <v>62</v>
      </c>
      <c r="B2" s="68">
        <v>1000000000</v>
      </c>
      <c r="C2" s="1"/>
      <c r="D2" s="107"/>
      <c r="E2" s="107"/>
      <c r="F2" s="107"/>
      <c r="G2" s="107"/>
      <c r="K2" s="52"/>
      <c r="L2" s="52"/>
      <c r="M2" s="52"/>
      <c r="N2" s="52"/>
    </row>
    <row r="3" spans="1:15" x14ac:dyDescent="0.3">
      <c r="A3" s="52" t="s">
        <v>74</v>
      </c>
      <c r="B3" s="68">
        <f>Overview!A7</f>
        <v>100</v>
      </c>
      <c r="C3" s="1"/>
      <c r="D3" s="104"/>
      <c r="E3" s="104"/>
      <c r="F3" s="107"/>
      <c r="G3" s="104"/>
    </row>
    <row r="4" spans="1:15" x14ac:dyDescent="0.3">
      <c r="D4" s="107"/>
      <c r="E4" s="107"/>
      <c r="F4" s="107"/>
      <c r="G4" s="107"/>
    </row>
    <row r="5" spans="1:15" x14ac:dyDescent="0.3">
      <c r="A5" s="52"/>
      <c r="B5" s="52"/>
      <c r="C5" s="1" t="s">
        <v>82</v>
      </c>
    </row>
    <row r="6" spans="1:15" x14ac:dyDescent="0.3">
      <c r="A6" s="91"/>
      <c r="B6" s="86" t="s">
        <v>68</v>
      </c>
      <c r="C6" s="86" t="s">
        <v>49</v>
      </c>
      <c r="D6" s="86" t="s">
        <v>50</v>
      </c>
      <c r="E6" s="86" t="s">
        <v>77</v>
      </c>
      <c r="F6" s="86" t="s">
        <v>69</v>
      </c>
      <c r="G6" s="86" t="s">
        <v>70</v>
      </c>
      <c r="H6" s="86" t="s">
        <v>83</v>
      </c>
    </row>
    <row r="7" spans="1:15" x14ac:dyDescent="0.3">
      <c r="A7" s="58" t="s">
        <v>53</v>
      </c>
      <c r="B7" s="58" cm="1">
        <f t="array" ref="B7:B8">Overview!B11:B12</f>
        <v>1</v>
      </c>
      <c r="C7" s="82">
        <f>SUM(N15:N79)</f>
        <v>0.69662748004119579</v>
      </c>
      <c r="D7" s="82">
        <f>SUM(_xlfn.ANCHORARRAY(N87))*M79</f>
        <v>2.6027986123301345</v>
      </c>
      <c r="E7" s="98">
        <f>SUM(C7:D7)</f>
        <v>3.2994260923713306</v>
      </c>
      <c r="F7" s="74">
        <f>M79</f>
        <v>4.4815863312976482E-2</v>
      </c>
      <c r="G7" s="75">
        <f>1/F7</f>
        <v>22.313527534132071</v>
      </c>
      <c r="H7" s="95">
        <f>D7*G7</f>
        <v>58.077618502029203</v>
      </c>
      <c r="I7" s="104"/>
    </row>
    <row r="8" spans="1:15" x14ac:dyDescent="0.3">
      <c r="A8" s="58"/>
      <c r="B8" s="58">
        <v>75</v>
      </c>
      <c r="C8" s="82"/>
      <c r="D8" s="82"/>
      <c r="E8" s="98"/>
      <c r="F8" s="65"/>
      <c r="G8" s="75"/>
      <c r="H8" s="95"/>
    </row>
    <row r="9" spans="1:15" x14ac:dyDescent="0.3">
      <c r="A9" s="52"/>
      <c r="B9" s="52"/>
      <c r="C9" s="1"/>
      <c r="D9" s="106"/>
      <c r="E9" s="52"/>
      <c r="F9" s="1"/>
      <c r="H9" s="13"/>
      <c r="I9" s="52"/>
      <c r="J9" s="52"/>
      <c r="K9" s="52"/>
      <c r="L9" s="52"/>
      <c r="M9" s="52"/>
      <c r="N9" s="52"/>
    </row>
    <row r="10" spans="1:15" x14ac:dyDescent="0.3">
      <c r="A10" s="52"/>
      <c r="B10" s="52"/>
      <c r="C10" s="1"/>
      <c r="D10" s="1"/>
      <c r="E10" s="106"/>
      <c r="F10" s="1"/>
      <c r="H10" s="13"/>
      <c r="I10" s="52"/>
      <c r="J10" s="52"/>
      <c r="K10" s="52"/>
      <c r="L10" s="52"/>
      <c r="M10" s="52"/>
      <c r="N10" s="52"/>
    </row>
    <row r="11" spans="1:15" s="57" customFormat="1" x14ac:dyDescent="0.3">
      <c r="A11" s="206" t="s">
        <v>49</v>
      </c>
      <c r="B11" s="206"/>
      <c r="C11" s="206"/>
      <c r="D11" s="206"/>
      <c r="E11" s="53"/>
      <c r="F11" s="53"/>
      <c r="G11" s="88"/>
      <c r="H11" s="55"/>
      <c r="I11" s="56"/>
      <c r="J11" s="54"/>
      <c r="K11" s="54"/>
      <c r="L11" s="54"/>
      <c r="M11" s="54"/>
      <c r="N11" s="54"/>
      <c r="O11" s="88"/>
    </row>
    <row r="12" spans="1:15" x14ac:dyDescent="0.3">
      <c r="A12" s="52"/>
      <c r="B12" s="52"/>
      <c r="C12" s="1"/>
      <c r="D12" s="1"/>
      <c r="E12" s="1"/>
      <c r="F12" s="1"/>
      <c r="H12" s="13"/>
      <c r="I12" s="52"/>
      <c r="J12" s="52"/>
      <c r="K12" s="52"/>
      <c r="L12" s="52"/>
      <c r="M12" s="52"/>
      <c r="N12" s="52"/>
    </row>
    <row r="13" spans="1:15" x14ac:dyDescent="0.3">
      <c r="A13" s="70" t="s">
        <v>75</v>
      </c>
      <c r="B13" s="68">
        <f>Multiplier_Weight_Oldhand!B13</f>
        <v>1000000000</v>
      </c>
      <c r="C13" s="1"/>
      <c r="D13" s="1"/>
      <c r="E13" s="1"/>
      <c r="F13" s="1"/>
      <c r="H13" s="70" t="s">
        <v>76</v>
      </c>
      <c r="I13" s="52"/>
      <c r="J13" s="52"/>
      <c r="K13" s="52"/>
      <c r="L13" s="52"/>
      <c r="M13" s="52"/>
      <c r="N13" s="52"/>
    </row>
    <row r="14" spans="1:15" x14ac:dyDescent="0.3">
      <c r="A14" s="20" t="s">
        <v>58</v>
      </c>
      <c r="B14" s="20" t="s">
        <v>59</v>
      </c>
      <c r="C14" s="20" t="s">
        <v>71</v>
      </c>
      <c r="D14" s="20" t="s">
        <v>72</v>
      </c>
      <c r="E14" s="20" t="s">
        <v>73</v>
      </c>
      <c r="F14" s="20" t="s">
        <v>85</v>
      </c>
      <c r="G14" s="90"/>
      <c r="H14" s="20" t="s">
        <v>61</v>
      </c>
      <c r="I14" s="20" t="s">
        <v>63</v>
      </c>
      <c r="J14" s="20" t="s">
        <v>64</v>
      </c>
      <c r="K14" s="20" t="s">
        <v>65</v>
      </c>
      <c r="L14" s="20" t="s">
        <v>66</v>
      </c>
      <c r="M14" s="20" t="s">
        <v>67</v>
      </c>
      <c r="N14" s="20" t="s">
        <v>60</v>
      </c>
      <c r="O14" s="51">
        <v>1.1000000000000001</v>
      </c>
    </row>
    <row r="15" spans="1:15" x14ac:dyDescent="0.3">
      <c r="A15" s="64">
        <v>-1</v>
      </c>
      <c r="B15" s="64">
        <v>0</v>
      </c>
      <c r="C15" s="71" cm="1">
        <f t="array" ref="C15:D78">Multiplier_Weight_Oldhand!C15:D78</f>
        <v>737445367</v>
      </c>
      <c r="D15" s="71">
        <v>0</v>
      </c>
      <c r="E15" s="69" cm="1">
        <f t="array" ref="E15:E78">_xlfn.LET(_xlpm.x, C15:C78, _xlpm.x/SUM(_xlpm.x))</f>
        <v>0.75577301063951841</v>
      </c>
      <c r="F15" s="92" cm="1">
        <f t="array" ref="F15:F80">_xlfn.LET(_xlpm.x, D15:D80/C15:C80/B3, IF(ISERR(_xlpm.x), 0, _xlpm.x))</f>
        <v>0</v>
      </c>
      <c r="G15" s="90"/>
      <c r="H15" s="61" t="str">
        <f>"("&amp;$A15&amp;", "&amp;$B15&amp;"]"</f>
        <v>(-1, 0]</v>
      </c>
      <c r="I15" s="62">
        <v>1</v>
      </c>
      <c r="J15" s="59" cm="1">
        <f t="array" ref="J15:J79">E15:E79*I15:I79</f>
        <v>0.75577301063951841</v>
      </c>
      <c r="K15" s="59" cm="1">
        <f t="array" ref="K15:K78">J15:J78/SUM(_xlfn.ANCHORARRAY(J15))</f>
        <v>0.73824188494476528</v>
      </c>
      <c r="L15" s="119" cm="1">
        <f t="array" ref="L15:L79">INT(K15:K79*$B$2)</f>
        <v>738241884</v>
      </c>
      <c r="M15" s="59" cm="1">
        <f t="array" ref="M15:M79">_xlfn.LET(_xlpm.x, L15:L79, _xlpm.x/SUM(_xlpm.x))</f>
        <v>0.73747444670400086</v>
      </c>
      <c r="N15" s="59" cm="1">
        <f t="array" ref="N15:N79">M15:M79*F15:F79</f>
        <v>0</v>
      </c>
      <c r="O15" s="51" cm="1">
        <f t="array" ref="O15:O78">I15:I78*O14</f>
        <v>1.1000000000000001</v>
      </c>
    </row>
    <row r="16" spans="1:15" x14ac:dyDescent="0.3">
      <c r="A16" s="58">
        <v>0</v>
      </c>
      <c r="B16" s="58">
        <v>1</v>
      </c>
      <c r="C16" s="72">
        <v>125747912</v>
      </c>
      <c r="D16" s="72">
        <v>5718281965</v>
      </c>
      <c r="E16" s="59">
        <v>0.12887311018101932</v>
      </c>
      <c r="F16" s="93">
        <v>0.45474170298748184</v>
      </c>
      <c r="G16" s="90"/>
      <c r="H16" s="61" t="str">
        <f t="shared" ref="H16:H78" si="0">"("&amp;$A16&amp;", "&amp;$B16&amp;"]"</f>
        <v>(0, 1]</v>
      </c>
      <c r="I16" s="62">
        <v>0.93</v>
      </c>
      <c r="J16" s="59">
        <v>0.11985199246834798</v>
      </c>
      <c r="K16" s="59">
        <v>0.1170718715654445</v>
      </c>
      <c r="L16" s="119">
        <v>117071871</v>
      </c>
      <c r="M16" s="59">
        <v>0.11695016926231074</v>
      </c>
      <c r="N16" s="59">
        <v>5.3182119135017435E-2</v>
      </c>
      <c r="O16" s="51">
        <v>1.0230000000000001</v>
      </c>
    </row>
    <row r="17" spans="1:15" x14ac:dyDescent="0.3">
      <c r="A17" s="58">
        <v>1</v>
      </c>
      <c r="B17" s="58">
        <v>2</v>
      </c>
      <c r="C17" s="72">
        <v>34346188</v>
      </c>
      <c r="D17" s="72">
        <v>5160882820</v>
      </c>
      <c r="E17" s="59">
        <v>3.5199789801853752E-2</v>
      </c>
      <c r="F17" s="93">
        <v>1.5026071656045206</v>
      </c>
      <c r="G17" s="90"/>
      <c r="H17" s="61" t="str">
        <f t="shared" si="0"/>
        <v>(1, 2]</v>
      </c>
      <c r="I17" s="62">
        <v>1.1499999999999999</v>
      </c>
      <c r="J17" s="59">
        <v>4.0479758272131815E-2</v>
      </c>
      <c r="K17" s="59">
        <v>3.9540778286909176E-2</v>
      </c>
      <c r="L17" s="119">
        <v>39540778</v>
      </c>
      <c r="M17" s="59">
        <v>3.9499673494271331E-2</v>
      </c>
      <c r="N17" s="59">
        <v>5.9352492431531054E-2</v>
      </c>
      <c r="O17" s="51">
        <v>1.2649999999999999</v>
      </c>
    </row>
    <row r="18" spans="1:15" x14ac:dyDescent="0.3">
      <c r="A18" s="58">
        <v>2</v>
      </c>
      <c r="B18" s="58">
        <v>3</v>
      </c>
      <c r="C18" s="72">
        <v>16016014</v>
      </c>
      <c r="D18" s="72">
        <v>4036397390</v>
      </c>
      <c r="E18" s="59">
        <v>1.641405812672856E-2</v>
      </c>
      <c r="F18" s="93">
        <v>2.5202259376146898</v>
      </c>
      <c r="G18" s="90"/>
      <c r="H18" s="61" t="str">
        <f t="shared" si="0"/>
        <v>(2, 3]</v>
      </c>
      <c r="I18" s="62">
        <v>1.19</v>
      </c>
      <c r="J18" s="59">
        <v>1.9532729170806985E-2</v>
      </c>
      <c r="K18" s="59">
        <v>1.9079642429901497E-2</v>
      </c>
      <c r="L18" s="119">
        <v>19079642</v>
      </c>
      <c r="M18" s="59">
        <v>1.9059807811257178E-2</v>
      </c>
      <c r="N18" s="59">
        <v>4.8035022011881409E-2</v>
      </c>
      <c r="O18" s="51">
        <v>1.3089999999999999</v>
      </c>
    </row>
    <row r="19" spans="1:15" x14ac:dyDescent="0.3">
      <c r="A19" s="58">
        <v>3</v>
      </c>
      <c r="B19" s="58">
        <v>4</v>
      </c>
      <c r="C19" s="72">
        <v>7938444</v>
      </c>
      <c r="D19" s="72">
        <v>2831742995</v>
      </c>
      <c r="E19" s="59">
        <v>8.1357372222439096E-3</v>
      </c>
      <c r="F19" s="93">
        <v>3.5671259947163452</v>
      </c>
      <c r="G19" s="90"/>
      <c r="H19" s="61" t="str">
        <f t="shared" si="0"/>
        <v>(3, 4]</v>
      </c>
      <c r="I19" s="62">
        <v>0.95</v>
      </c>
      <c r="J19" s="59">
        <v>7.728950361131714E-3</v>
      </c>
      <c r="K19" s="59">
        <v>7.5496674304607004E-3</v>
      </c>
      <c r="L19" s="119">
        <v>7549667</v>
      </c>
      <c r="M19" s="59">
        <v>7.5418187646807289E-3</v>
      </c>
      <c r="N19" s="59">
        <v>2.6902617762932141E-2</v>
      </c>
      <c r="O19" s="51">
        <v>1.0449999999999999</v>
      </c>
    </row>
    <row r="20" spans="1:15" x14ac:dyDescent="0.3">
      <c r="A20" s="58">
        <v>4</v>
      </c>
      <c r="B20" s="58">
        <v>5</v>
      </c>
      <c r="C20" s="72">
        <v>5590423</v>
      </c>
      <c r="D20" s="72">
        <v>2572145990</v>
      </c>
      <c r="E20" s="59">
        <v>5.7293611303661611E-3</v>
      </c>
      <c r="F20" s="93">
        <v>4.6009863475447208</v>
      </c>
      <c r="G20" s="90"/>
      <c r="H20" s="61" t="str">
        <f t="shared" si="0"/>
        <v>(4, 5]</v>
      </c>
      <c r="I20" s="62">
        <v>1.1000000000000001</v>
      </c>
      <c r="J20" s="59">
        <v>6.3022972434027781E-3</v>
      </c>
      <c r="K20" s="59">
        <v>6.1561073641871926E-3</v>
      </c>
      <c r="L20" s="119">
        <v>6156107</v>
      </c>
      <c r="M20" s="59">
        <v>6.1497074361004786E-3</v>
      </c>
      <c r="N20" s="59">
        <v>2.829471995489255E-2</v>
      </c>
      <c r="O20" s="51">
        <v>1.2100000000000002</v>
      </c>
    </row>
    <row r="21" spans="1:15" x14ac:dyDescent="0.3">
      <c r="A21" s="58">
        <v>5</v>
      </c>
      <c r="B21" s="58">
        <v>6</v>
      </c>
      <c r="C21" s="72">
        <v>4146103</v>
      </c>
      <c r="D21" s="72">
        <v>2317578720</v>
      </c>
      <c r="E21" s="59">
        <v>4.2491456139713453E-3</v>
      </c>
      <c r="F21" s="93">
        <v>5.58977603788425</v>
      </c>
      <c r="G21" s="90"/>
      <c r="H21" s="61" t="str">
        <f t="shared" si="0"/>
        <v>(5, 6]</v>
      </c>
      <c r="I21" s="62">
        <v>1.17</v>
      </c>
      <c r="J21" s="59">
        <v>4.9715003683464733E-3</v>
      </c>
      <c r="K21" s="59">
        <v>4.8561800319200056E-3</v>
      </c>
      <c r="L21" s="119">
        <v>4856180</v>
      </c>
      <c r="M21" s="59">
        <v>4.8511317715956561E-3</v>
      </c>
      <c r="N21" s="59">
        <v>2.711674013348437E-2</v>
      </c>
      <c r="O21" s="51">
        <v>1.2869999999999999</v>
      </c>
    </row>
    <row r="22" spans="1:15" x14ac:dyDescent="0.3">
      <c r="A22" s="58">
        <v>6</v>
      </c>
      <c r="B22" s="58">
        <v>7</v>
      </c>
      <c r="C22" s="72">
        <v>2759181</v>
      </c>
      <c r="D22" s="72">
        <v>1811662230</v>
      </c>
      <c r="E22" s="59">
        <v>2.8277546033716652E-3</v>
      </c>
      <c r="F22" s="93">
        <v>6.5659419588638794</v>
      </c>
      <c r="G22" s="90"/>
      <c r="H22" s="61" t="str">
        <f t="shared" si="0"/>
        <v>(6, 7]</v>
      </c>
      <c r="I22" s="62">
        <v>1.1000000000000001</v>
      </c>
      <c r="J22" s="59">
        <v>3.1105300637088319E-3</v>
      </c>
      <c r="K22" s="59">
        <v>3.0383773237240511E-3</v>
      </c>
      <c r="L22" s="119">
        <v>3038377</v>
      </c>
      <c r="M22" s="59">
        <v>3.0352184636453952E-3</v>
      </c>
      <c r="N22" s="59">
        <v>1.992906826476766E-2</v>
      </c>
      <c r="O22" s="51">
        <v>1.2100000000000002</v>
      </c>
    </row>
    <row r="23" spans="1:15" x14ac:dyDescent="0.3">
      <c r="A23" s="58">
        <v>7</v>
      </c>
      <c r="B23" s="58">
        <v>8</v>
      </c>
      <c r="C23" s="72">
        <v>2852762</v>
      </c>
      <c r="D23" s="72">
        <v>2173439930</v>
      </c>
      <c r="E23" s="59">
        <v>2.9236613610429175E-3</v>
      </c>
      <c r="F23" s="93">
        <v>7.6187215407384148</v>
      </c>
      <c r="G23" s="90"/>
      <c r="H23" s="61" t="str">
        <f t="shared" si="0"/>
        <v>(7, 8]</v>
      </c>
      <c r="I23" s="62">
        <v>0.9</v>
      </c>
      <c r="J23" s="59">
        <v>2.631295224938626E-3</v>
      </c>
      <c r="K23" s="59">
        <v>2.5702589525671516E-3</v>
      </c>
      <c r="L23" s="119">
        <v>2570258</v>
      </c>
      <c r="M23" s="59">
        <v>2.5675860954490789E-3</v>
      </c>
      <c r="N23" s="59">
        <v>1.9561723493098336E-2</v>
      </c>
      <c r="O23" s="51">
        <v>0.9900000000000001</v>
      </c>
    </row>
    <row r="24" spans="1:15" x14ac:dyDescent="0.3">
      <c r="A24" s="58">
        <v>8</v>
      </c>
      <c r="B24" s="58">
        <v>9</v>
      </c>
      <c r="C24" s="72">
        <v>2098889</v>
      </c>
      <c r="D24" s="72">
        <v>1804643600</v>
      </c>
      <c r="E24" s="59">
        <v>2.1510524433577031E-3</v>
      </c>
      <c r="F24" s="93">
        <v>8.5980897512922301</v>
      </c>
      <c r="G24" s="90"/>
      <c r="H24" s="61" t="str">
        <f t="shared" si="0"/>
        <v>(8, 9]</v>
      </c>
      <c r="I24" s="62">
        <v>1.1000000000000001</v>
      </c>
      <c r="J24" s="59">
        <v>2.3661576876934736E-3</v>
      </c>
      <c r="K24" s="59">
        <v>2.311271621040392E-3</v>
      </c>
      <c r="L24" s="119">
        <v>2311271</v>
      </c>
      <c r="M24" s="59">
        <v>2.3088683246641731E-3</v>
      </c>
      <c r="N24" s="59">
        <v>1.9851857079378289E-2</v>
      </c>
      <c r="O24" s="51">
        <v>1.2100000000000002</v>
      </c>
    </row>
    <row r="25" spans="1:15" x14ac:dyDescent="0.3">
      <c r="A25" s="58">
        <v>9</v>
      </c>
      <c r="B25" s="58">
        <v>10</v>
      </c>
      <c r="C25" s="72">
        <v>1944892</v>
      </c>
      <c r="D25" s="72">
        <v>1875878775</v>
      </c>
      <c r="E25" s="59">
        <v>1.9932281738895435E-3</v>
      </c>
      <c r="F25" s="93">
        <v>9.6451565176883847</v>
      </c>
      <c r="G25" s="90"/>
      <c r="H25" s="61" t="str">
        <f t="shared" si="0"/>
        <v>(9, 10]</v>
      </c>
      <c r="I25" s="62">
        <v>1.1000000000000001</v>
      </c>
      <c r="J25" s="59">
        <v>2.1925509912784982E-3</v>
      </c>
      <c r="K25" s="59">
        <v>2.1416919549287696E-3</v>
      </c>
      <c r="L25" s="119">
        <v>2141691</v>
      </c>
      <c r="M25" s="59">
        <v>2.1394646110812353E-3</v>
      </c>
      <c r="N25" s="59">
        <v>2.0635471037933822E-2</v>
      </c>
      <c r="O25" s="51">
        <v>1.2100000000000002</v>
      </c>
    </row>
    <row r="26" spans="1:15" x14ac:dyDescent="0.3">
      <c r="A26" s="58">
        <v>10</v>
      </c>
      <c r="B26" s="58">
        <v>15</v>
      </c>
      <c r="C26" s="72">
        <v>6784136</v>
      </c>
      <c r="D26" s="72">
        <v>8448491255</v>
      </c>
      <c r="E26" s="59">
        <v>6.9527413402380757E-3</v>
      </c>
      <c r="F26" s="93">
        <v>12.453304672842643</v>
      </c>
      <c r="G26" s="101">
        <f>SUM($L$15:L25)-1000</f>
        <v>942556726</v>
      </c>
      <c r="H26" s="61" t="str">
        <f t="shared" si="0"/>
        <v>(10, 15]</v>
      </c>
      <c r="I26" s="62">
        <v>0.432</v>
      </c>
      <c r="J26" s="59">
        <v>3.0035842589828487E-3</v>
      </c>
      <c r="K26" s="59">
        <v>2.933912264299612E-3</v>
      </c>
      <c r="L26" s="119">
        <v>2933912</v>
      </c>
      <c r="M26" s="59">
        <v>2.9308620599454212E-3</v>
      </c>
      <c r="N26" s="59">
        <v>3.6498918186575531E-2</v>
      </c>
      <c r="O26" s="51">
        <v>0.47520000000000001</v>
      </c>
    </row>
    <row r="27" spans="1:15" x14ac:dyDescent="0.3">
      <c r="A27" s="58">
        <v>15</v>
      </c>
      <c r="B27" s="58">
        <v>20</v>
      </c>
      <c r="C27" s="72">
        <v>4614038</v>
      </c>
      <c r="D27" s="72">
        <v>8068968765</v>
      </c>
      <c r="E27" s="59">
        <v>4.728710147914106E-3</v>
      </c>
      <c r="F27" s="93">
        <v>17.487868034463521</v>
      </c>
      <c r="G27" s="101">
        <f>SUM($L$15:L26)-1000</f>
        <v>945490638</v>
      </c>
      <c r="H27" s="115" t="str">
        <f t="shared" si="0"/>
        <v>(15, 20]</v>
      </c>
      <c r="I27" s="62">
        <v>0.88019999999999998</v>
      </c>
      <c r="J27" s="59">
        <v>4.1622106721939962E-3</v>
      </c>
      <c r="K27" s="59">
        <v>4.0656628497194522E-3</v>
      </c>
      <c r="L27" s="119">
        <v>4065662</v>
      </c>
      <c r="M27" s="59">
        <v>4.0614355523825594E-3</v>
      </c>
      <c r="N27" s="59">
        <v>7.1025848970544647E-2</v>
      </c>
      <c r="O27" s="51">
        <v>0.96822000000000008</v>
      </c>
    </row>
    <row r="28" spans="1:15" x14ac:dyDescent="0.3">
      <c r="A28" s="58">
        <v>20</v>
      </c>
      <c r="B28" s="58">
        <v>25</v>
      </c>
      <c r="C28" s="72">
        <v>3239863</v>
      </c>
      <c r="D28" s="72">
        <v>7300101965</v>
      </c>
      <c r="E28" s="59">
        <v>3.3203829370177357E-3</v>
      </c>
      <c r="F28" s="93">
        <v>22.532131651863054</v>
      </c>
      <c r="G28" s="101">
        <f>SUM($L$15:L27)-1000</f>
        <v>949556300</v>
      </c>
      <c r="H28" s="61" t="str">
        <f t="shared" si="0"/>
        <v>(20, 25]</v>
      </c>
      <c r="I28" s="62">
        <v>0.54900000000000004</v>
      </c>
      <c r="J28" s="59">
        <v>1.8228902324227371E-3</v>
      </c>
      <c r="K28" s="59">
        <v>1.7806059521660244E-3</v>
      </c>
      <c r="L28" s="119">
        <v>1780605</v>
      </c>
      <c r="M28" s="59">
        <v>1.7787539770276397E-3</v>
      </c>
      <c r="N28" s="59">
        <v>4.0079118786661767E-2</v>
      </c>
      <c r="O28" s="51">
        <v>0.6039000000000001</v>
      </c>
    </row>
    <row r="29" spans="1:15" x14ac:dyDescent="0.3">
      <c r="A29" s="58">
        <v>25</v>
      </c>
      <c r="B29" s="58">
        <v>30</v>
      </c>
      <c r="C29" s="72">
        <v>2634636</v>
      </c>
      <c r="D29" s="72">
        <v>7256115885</v>
      </c>
      <c r="E29" s="59">
        <v>2.7001143010221911E-3</v>
      </c>
      <c r="F29" s="93">
        <v>27.541246248058556</v>
      </c>
      <c r="G29" s="101">
        <f>SUM($L$15:L28)-1000</f>
        <v>951336905</v>
      </c>
      <c r="H29" s="61" t="str">
        <f t="shared" si="0"/>
        <v>(25, 30]</v>
      </c>
      <c r="I29" s="62">
        <v>0.28999999999999998</v>
      </c>
      <c r="J29" s="59">
        <v>7.8303314729643539E-4</v>
      </c>
      <c r="K29" s="59">
        <v>7.6486968771907358E-4</v>
      </c>
      <c r="L29" s="119">
        <v>764869</v>
      </c>
      <c r="M29" s="59">
        <v>7.6407388255966585E-4</v>
      </c>
      <c r="N29" s="59">
        <v>2.1043546951285932E-2</v>
      </c>
      <c r="O29" s="51">
        <v>0.31900000000000001</v>
      </c>
    </row>
    <row r="30" spans="1:15" x14ac:dyDescent="0.3">
      <c r="A30" s="58">
        <v>30</v>
      </c>
      <c r="B30" s="58">
        <v>35</v>
      </c>
      <c r="C30" s="72">
        <v>1986295</v>
      </c>
      <c r="D30" s="72">
        <v>6461335590</v>
      </c>
      <c r="E30" s="59">
        <v>2.0356601578164395E-3</v>
      </c>
      <c r="F30" s="93">
        <v>32.529586944537442</v>
      </c>
      <c r="G30" s="101">
        <f>SUM($L$15:L29)-1000</f>
        <v>952101774</v>
      </c>
      <c r="H30" s="61" t="str">
        <f t="shared" si="0"/>
        <v>(30, 35]</v>
      </c>
      <c r="I30" s="62">
        <v>0.34</v>
      </c>
      <c r="J30" s="59">
        <v>6.9212445365758948E-4</v>
      </c>
      <c r="K30" s="59">
        <v>6.7606973799207994E-4</v>
      </c>
      <c r="L30" s="119">
        <v>676069</v>
      </c>
      <c r="M30" s="59">
        <v>6.7536619435253715E-4</v>
      </c>
      <c r="N30" s="59">
        <v>2.1969383338592229E-2</v>
      </c>
      <c r="O30" s="51">
        <v>0.37400000000000005</v>
      </c>
    </row>
    <row r="31" spans="1:15" x14ac:dyDescent="0.3">
      <c r="A31" s="58">
        <v>35</v>
      </c>
      <c r="B31" s="58">
        <v>40</v>
      </c>
      <c r="C31" s="72">
        <v>1726668</v>
      </c>
      <c r="D31" s="72">
        <v>6481677100</v>
      </c>
      <c r="E31" s="59">
        <v>1.7695806782862546E-3</v>
      </c>
      <c r="F31" s="93">
        <v>37.538641475952524</v>
      </c>
      <c r="G31" s="101">
        <f>SUM($L$15:L30)-1000</f>
        <v>952777843</v>
      </c>
      <c r="H31" s="115" t="str">
        <f t="shared" si="0"/>
        <v>(35, 40]</v>
      </c>
      <c r="I31" s="62">
        <v>0.7</v>
      </c>
      <c r="J31" s="59">
        <v>1.2387064748003781E-3</v>
      </c>
      <c r="K31" s="59">
        <v>1.2099730871258771E-3</v>
      </c>
      <c r="L31" s="119">
        <v>1209973</v>
      </c>
      <c r="M31" s="59">
        <v>1.2087151759351818E-3</v>
      </c>
      <c r="N31" s="59">
        <v>4.5373525635973667E-2</v>
      </c>
      <c r="O31" s="51">
        <v>0.77</v>
      </c>
    </row>
    <row r="32" spans="1:15" x14ac:dyDescent="0.3">
      <c r="A32" s="58">
        <v>40</v>
      </c>
      <c r="B32" s="58">
        <v>45</v>
      </c>
      <c r="C32" s="72">
        <v>1423811</v>
      </c>
      <c r="D32" s="72">
        <v>6067164945</v>
      </c>
      <c r="E32" s="59">
        <v>1.459196808611401E-3</v>
      </c>
      <c r="F32" s="93">
        <v>42.612151086064095</v>
      </c>
      <c r="G32" s="101">
        <f>SUM($L$15:L31)-1000</f>
        <v>953987816</v>
      </c>
      <c r="H32" s="61" t="str">
        <f t="shared" si="0"/>
        <v>(40, 45]</v>
      </c>
      <c r="I32" s="62">
        <v>0.2</v>
      </c>
      <c r="J32" s="59">
        <v>2.9183936172228023E-4</v>
      </c>
      <c r="K32" s="59">
        <v>2.8506977288938378E-4</v>
      </c>
      <c r="L32" s="119">
        <v>285069</v>
      </c>
      <c r="M32" s="59">
        <v>2.8477265731439159E-4</v>
      </c>
      <c r="N32" s="59">
        <v>1.2134775498660809E-2</v>
      </c>
      <c r="O32" s="51">
        <v>0.22000000000000003</v>
      </c>
    </row>
    <row r="33" spans="1:15" x14ac:dyDescent="0.3">
      <c r="A33" s="58">
        <v>45</v>
      </c>
      <c r="B33" s="58">
        <v>50</v>
      </c>
      <c r="C33" s="72">
        <v>1177170</v>
      </c>
      <c r="D33" s="72">
        <v>5604035925</v>
      </c>
      <c r="E33" s="59">
        <v>1.2064260686236326E-3</v>
      </c>
      <c r="F33" s="93">
        <v>47.606003593363745</v>
      </c>
      <c r="G33" s="101">
        <f>SUM($L$15:L32)-1000</f>
        <v>954272885</v>
      </c>
      <c r="H33" s="61" t="str">
        <f t="shared" si="0"/>
        <v>(45, 50]</v>
      </c>
      <c r="I33" s="62">
        <v>0.24</v>
      </c>
      <c r="J33" s="59">
        <v>2.8954225646967183E-4</v>
      </c>
      <c r="K33" s="59">
        <v>2.8282595194350585E-4</v>
      </c>
      <c r="L33" s="119">
        <v>282825</v>
      </c>
      <c r="M33" s="59">
        <v>2.8253099005834658E-4</v>
      </c>
      <c r="N33" s="59">
        <v>1.3450171327954263E-2</v>
      </c>
      <c r="O33" s="51">
        <v>0.26400000000000001</v>
      </c>
    </row>
    <row r="34" spans="1:15" x14ac:dyDescent="0.3">
      <c r="A34" s="58">
        <v>50</v>
      </c>
      <c r="B34" s="58">
        <v>60</v>
      </c>
      <c r="C34" s="72">
        <v>1992789</v>
      </c>
      <c r="D34" s="72">
        <v>10931633025</v>
      </c>
      <c r="E34" s="59">
        <v>2.0423155524405311E-3</v>
      </c>
      <c r="F34" s="93">
        <v>54.855948246402406</v>
      </c>
      <c r="G34" s="101">
        <f>SUM($L$15:L33)-1000</f>
        <v>954555710</v>
      </c>
      <c r="H34" s="115" t="str">
        <f t="shared" si="0"/>
        <v>(50, 60]</v>
      </c>
      <c r="I34" s="62">
        <v>0.43789299999999998</v>
      </c>
      <c r="J34" s="59">
        <v>8.9431568420484146E-4</v>
      </c>
      <c r="K34" s="59">
        <v>8.7357088325287627E-4</v>
      </c>
      <c r="L34" s="119">
        <v>873570</v>
      </c>
      <c r="M34" s="59">
        <v>8.726618827376286E-4</v>
      </c>
      <c r="N34" s="59">
        <v>4.7870695076063438E-2</v>
      </c>
      <c r="O34" s="51">
        <v>0.48168230000000001</v>
      </c>
    </row>
    <row r="35" spans="1:15" x14ac:dyDescent="0.3">
      <c r="A35" s="58">
        <v>60</v>
      </c>
      <c r="B35" s="58">
        <v>70</v>
      </c>
      <c r="C35" s="72">
        <v>1443638</v>
      </c>
      <c r="D35" s="72">
        <v>9377454105</v>
      </c>
      <c r="E35" s="59">
        <v>1.4795165667284111E-3</v>
      </c>
      <c r="F35" s="93">
        <v>64.957102161345162</v>
      </c>
      <c r="G35" s="90"/>
      <c r="H35" s="61" t="str">
        <f t="shared" si="0"/>
        <v>(60, 70]</v>
      </c>
      <c r="I35" s="62">
        <v>0.15</v>
      </c>
      <c r="J35" s="59">
        <v>2.2192748500926167E-4</v>
      </c>
      <c r="K35" s="59">
        <v>2.1677959195136372E-4</v>
      </c>
      <c r="L35" s="119">
        <v>216779</v>
      </c>
      <c r="M35" s="59">
        <v>2.1655364799384182E-4</v>
      </c>
      <c r="N35" s="59">
        <v>1.4066697436147963E-2</v>
      </c>
      <c r="O35" s="51">
        <v>0.16500000000000001</v>
      </c>
    </row>
    <row r="36" spans="1:15" x14ac:dyDescent="0.3">
      <c r="A36" s="58">
        <v>70</v>
      </c>
      <c r="B36" s="58">
        <v>80</v>
      </c>
      <c r="C36" s="72">
        <v>1152370</v>
      </c>
      <c r="D36" s="72">
        <v>8638430205</v>
      </c>
      <c r="E36" s="59">
        <v>1.1810097171180165E-3</v>
      </c>
      <c r="F36" s="93">
        <v>74.962296875135593</v>
      </c>
      <c r="G36" s="90"/>
      <c r="H36" s="61" t="str">
        <f t="shared" si="0"/>
        <v>(70, 80]</v>
      </c>
      <c r="I36" s="62">
        <v>0.17</v>
      </c>
      <c r="J36" s="59">
        <v>2.007716519100628E-4</v>
      </c>
      <c r="K36" s="59">
        <v>1.9611449557340002E-4</v>
      </c>
      <c r="L36" s="119">
        <v>196114</v>
      </c>
      <c r="M36" s="59">
        <v>1.9591013023708152E-4</v>
      </c>
      <c r="N36" s="59">
        <v>1.4685873343678582E-2</v>
      </c>
      <c r="O36" s="51">
        <v>0.18700000000000003</v>
      </c>
    </row>
    <row r="37" spans="1:15" x14ac:dyDescent="0.3">
      <c r="A37" s="58">
        <v>80</v>
      </c>
      <c r="B37" s="58">
        <v>90</v>
      </c>
      <c r="C37" s="72">
        <v>911829</v>
      </c>
      <c r="D37" s="72">
        <v>7750791030</v>
      </c>
      <c r="E37" s="59">
        <v>9.3449057971832299E-4</v>
      </c>
      <c r="F37" s="93">
        <v>85.00268175282865</v>
      </c>
      <c r="G37" s="90"/>
      <c r="H37" s="61" t="str">
        <f t="shared" si="0"/>
        <v>(80, 90]</v>
      </c>
      <c r="I37" s="62">
        <v>0.19</v>
      </c>
      <c r="J37" s="59">
        <v>1.7755321014648138E-4</v>
      </c>
      <c r="K37" s="59">
        <v>1.7343463538823354E-4</v>
      </c>
      <c r="L37" s="119">
        <v>173434</v>
      </c>
      <c r="M37" s="59">
        <v>1.7325370716796351E-4</v>
      </c>
      <c r="N37" s="59">
        <v>1.472702973289617E-2</v>
      </c>
      <c r="O37" s="51">
        <v>0.20900000000000002</v>
      </c>
    </row>
    <row r="38" spans="1:15" x14ac:dyDescent="0.3">
      <c r="A38" s="58">
        <v>90</v>
      </c>
      <c r="B38" s="58">
        <v>100</v>
      </c>
      <c r="C38" s="72">
        <v>733401</v>
      </c>
      <c r="D38" s="72">
        <v>6968879730</v>
      </c>
      <c r="E38" s="59">
        <v>7.5162812945848154E-4</v>
      </c>
      <c r="F38" s="93">
        <v>95.021410251690412</v>
      </c>
      <c r="G38" s="90"/>
      <c r="H38" s="61" t="str">
        <f t="shared" si="0"/>
        <v>(90, 100]</v>
      </c>
      <c r="I38" s="62">
        <v>0.22</v>
      </c>
      <c r="J38" s="59">
        <v>1.6535818848086595E-4</v>
      </c>
      <c r="K38" s="59">
        <v>1.6152249291340748E-4</v>
      </c>
      <c r="L38" s="119">
        <v>161522</v>
      </c>
      <c r="M38" s="59">
        <v>1.6135409025441264E-4</v>
      </c>
      <c r="N38" s="59">
        <v>1.5332093205852826E-2</v>
      </c>
      <c r="O38" s="51">
        <v>0.24200000000000002</v>
      </c>
    </row>
    <row r="39" spans="1:15" x14ac:dyDescent="0.3">
      <c r="A39" s="58">
        <v>100</v>
      </c>
      <c r="B39" s="58">
        <v>120</v>
      </c>
      <c r="C39" s="72">
        <v>1138045</v>
      </c>
      <c r="D39" s="72">
        <v>12463552425</v>
      </c>
      <c r="E39" s="59">
        <v>1.1663286995648734E-3</v>
      </c>
      <c r="F39" s="93">
        <v>109.51721966178842</v>
      </c>
      <c r="G39" s="90"/>
      <c r="H39" s="61" t="str">
        <f t="shared" si="0"/>
        <v>(100, 120]</v>
      </c>
      <c r="I39" s="62">
        <v>0</v>
      </c>
      <c r="J39" s="59">
        <v>0</v>
      </c>
      <c r="K39" s="59">
        <v>0</v>
      </c>
      <c r="L39" s="119">
        <v>0</v>
      </c>
      <c r="M39" s="59">
        <v>0</v>
      </c>
      <c r="N39" s="59">
        <v>0</v>
      </c>
      <c r="O39" s="51">
        <v>0</v>
      </c>
    </row>
    <row r="40" spans="1:15" x14ac:dyDescent="0.3">
      <c r="A40" s="58">
        <v>120</v>
      </c>
      <c r="B40" s="58">
        <v>140</v>
      </c>
      <c r="C40" s="72">
        <v>789517</v>
      </c>
      <c r="D40" s="72">
        <v>10238081405</v>
      </c>
      <c r="E40" s="59">
        <v>8.0913877385723767E-4</v>
      </c>
      <c r="F40" s="93">
        <v>129.67524961463781</v>
      </c>
      <c r="G40" s="90"/>
      <c r="H40" s="61" t="str">
        <f t="shared" si="0"/>
        <v>(120, 140]</v>
      </c>
      <c r="I40" s="62">
        <v>0</v>
      </c>
      <c r="J40" s="59">
        <v>0</v>
      </c>
      <c r="K40" s="59">
        <v>0</v>
      </c>
      <c r="L40" s="119">
        <v>0</v>
      </c>
      <c r="M40" s="59">
        <v>0</v>
      </c>
      <c r="N40" s="59">
        <v>0</v>
      </c>
      <c r="O40" s="51">
        <v>0</v>
      </c>
    </row>
    <row r="41" spans="1:15" x14ac:dyDescent="0.3">
      <c r="A41" s="58">
        <v>140</v>
      </c>
      <c r="B41" s="58">
        <v>160</v>
      </c>
      <c r="C41" s="72">
        <v>590444</v>
      </c>
      <c r="D41" s="72">
        <v>8841692580</v>
      </c>
      <c r="E41" s="59">
        <v>6.0511823582185421E-4</v>
      </c>
      <c r="F41" s="93">
        <v>149.74650568047096</v>
      </c>
      <c r="G41" s="90"/>
      <c r="H41" s="61" t="str">
        <f t="shared" si="0"/>
        <v>(140, 160]</v>
      </c>
      <c r="I41" s="62">
        <v>0</v>
      </c>
      <c r="J41" s="59">
        <v>0</v>
      </c>
      <c r="K41" s="59">
        <v>0</v>
      </c>
      <c r="L41" s="119">
        <v>0</v>
      </c>
      <c r="M41" s="59">
        <v>0</v>
      </c>
      <c r="N41" s="59">
        <v>0</v>
      </c>
      <c r="O41" s="51">
        <v>0</v>
      </c>
    </row>
    <row r="42" spans="1:15" x14ac:dyDescent="0.3">
      <c r="A42" s="58">
        <v>160</v>
      </c>
      <c r="B42" s="58">
        <v>180</v>
      </c>
      <c r="C42" s="72">
        <v>441044</v>
      </c>
      <c r="D42" s="72">
        <v>7487965275</v>
      </c>
      <c r="E42" s="59">
        <v>4.5200521505818307E-4</v>
      </c>
      <c r="F42" s="93">
        <v>169.77819163167393</v>
      </c>
      <c r="G42" s="90"/>
      <c r="H42" s="61" t="str">
        <f t="shared" si="0"/>
        <v>(160, 180]</v>
      </c>
      <c r="I42" s="62">
        <v>0</v>
      </c>
      <c r="J42" s="59">
        <v>0</v>
      </c>
      <c r="K42" s="59">
        <v>0</v>
      </c>
      <c r="L42" s="119">
        <v>0</v>
      </c>
      <c r="M42" s="59">
        <v>0</v>
      </c>
      <c r="N42" s="59">
        <v>0</v>
      </c>
      <c r="O42" s="51">
        <v>0</v>
      </c>
    </row>
    <row r="43" spans="1:15" x14ac:dyDescent="0.3">
      <c r="A43" s="58">
        <v>180</v>
      </c>
      <c r="B43" s="58">
        <v>200</v>
      </c>
      <c r="C43" s="72">
        <v>335496</v>
      </c>
      <c r="D43" s="72">
        <v>6368038515</v>
      </c>
      <c r="E43" s="59">
        <v>3.4383404293258766E-4</v>
      </c>
      <c r="F43" s="93">
        <v>189.809670309035</v>
      </c>
      <c r="G43" s="90"/>
      <c r="H43" s="61" t="str">
        <f t="shared" si="0"/>
        <v>(180, 200]</v>
      </c>
      <c r="I43" s="62">
        <v>0</v>
      </c>
      <c r="J43" s="59">
        <v>0</v>
      </c>
      <c r="K43" s="59">
        <v>0</v>
      </c>
      <c r="L43" s="119">
        <v>0</v>
      </c>
      <c r="M43" s="59">
        <v>0</v>
      </c>
      <c r="N43" s="59">
        <v>0</v>
      </c>
      <c r="O43" s="51">
        <v>0</v>
      </c>
    </row>
    <row r="44" spans="1:15" x14ac:dyDescent="0.3">
      <c r="A44" s="58">
        <v>200</v>
      </c>
      <c r="B44" s="58">
        <v>250</v>
      </c>
      <c r="C44" s="72">
        <v>573493</v>
      </c>
      <c r="D44" s="72">
        <v>12777191060</v>
      </c>
      <c r="E44" s="59">
        <v>5.8774595459718893E-4</v>
      </c>
      <c r="F44" s="93">
        <v>222.79593752670041</v>
      </c>
      <c r="G44" s="90"/>
      <c r="H44" s="61" t="str">
        <f t="shared" si="0"/>
        <v>(200, 250]</v>
      </c>
      <c r="I44" s="62">
        <v>0</v>
      </c>
      <c r="J44" s="59">
        <v>0</v>
      </c>
      <c r="K44" s="59">
        <v>0</v>
      </c>
      <c r="L44" s="119">
        <v>0</v>
      </c>
      <c r="M44" s="59">
        <v>0</v>
      </c>
      <c r="N44" s="59">
        <v>0</v>
      </c>
      <c r="O44" s="51">
        <v>0</v>
      </c>
    </row>
    <row r="45" spans="1:15" x14ac:dyDescent="0.3">
      <c r="A45" s="58">
        <v>250</v>
      </c>
      <c r="B45" s="58">
        <v>300</v>
      </c>
      <c r="C45" s="72">
        <v>345164</v>
      </c>
      <c r="D45" s="72">
        <v>9425383575</v>
      </c>
      <c r="E45" s="59">
        <v>3.5374232060824475E-4</v>
      </c>
      <c r="F45" s="93">
        <v>273.06971685923213</v>
      </c>
      <c r="G45" s="90"/>
      <c r="H45" s="61" t="str">
        <f t="shared" si="0"/>
        <v>(250, 300]</v>
      </c>
      <c r="I45" s="62">
        <v>0</v>
      </c>
      <c r="J45" s="59">
        <v>0</v>
      </c>
      <c r="K45" s="59">
        <v>0</v>
      </c>
      <c r="L45" s="119">
        <v>0</v>
      </c>
      <c r="M45" s="59">
        <v>0</v>
      </c>
      <c r="N45" s="59">
        <v>0</v>
      </c>
      <c r="O45" s="51">
        <v>0</v>
      </c>
    </row>
    <row r="46" spans="1:15" x14ac:dyDescent="0.3">
      <c r="A46" s="58">
        <v>300</v>
      </c>
      <c r="B46" s="58">
        <v>350</v>
      </c>
      <c r="C46" s="72">
        <v>217907</v>
      </c>
      <c r="D46" s="72">
        <v>7046332605</v>
      </c>
      <c r="E46" s="59">
        <v>2.2332261723928564E-4</v>
      </c>
      <c r="F46" s="93">
        <v>323.36421523861094</v>
      </c>
      <c r="G46" s="90"/>
      <c r="H46" s="61" t="str">
        <f t="shared" si="0"/>
        <v>(300, 350]</v>
      </c>
      <c r="I46" s="62">
        <v>0</v>
      </c>
      <c r="J46" s="59">
        <v>0</v>
      </c>
      <c r="K46" s="59">
        <v>0</v>
      </c>
      <c r="L46" s="119">
        <v>0</v>
      </c>
      <c r="M46" s="59">
        <v>0</v>
      </c>
      <c r="N46" s="59">
        <v>0</v>
      </c>
      <c r="O46" s="51">
        <v>0</v>
      </c>
    </row>
    <row r="47" spans="1:15" x14ac:dyDescent="0.3">
      <c r="A47" s="58">
        <v>350</v>
      </c>
      <c r="B47" s="58">
        <v>400</v>
      </c>
      <c r="C47" s="72">
        <v>144904</v>
      </c>
      <c r="D47" s="72">
        <v>5414434500</v>
      </c>
      <c r="E47" s="59">
        <v>1.4850528220039489E-4</v>
      </c>
      <c r="F47" s="93">
        <v>373.65666234196431</v>
      </c>
      <c r="G47" s="90"/>
      <c r="H47" s="61" t="str">
        <f t="shared" si="0"/>
        <v>(350, 400]</v>
      </c>
      <c r="I47" s="62">
        <v>0</v>
      </c>
      <c r="J47" s="59">
        <v>0</v>
      </c>
      <c r="K47" s="59">
        <v>0</v>
      </c>
      <c r="L47" s="119">
        <v>0</v>
      </c>
      <c r="M47" s="59">
        <v>0</v>
      </c>
      <c r="N47" s="59">
        <v>0</v>
      </c>
      <c r="O47" s="51">
        <v>0</v>
      </c>
    </row>
    <row r="48" spans="1:15" x14ac:dyDescent="0.3">
      <c r="A48" s="58">
        <v>400</v>
      </c>
      <c r="B48" s="58">
        <v>450</v>
      </c>
      <c r="C48" s="72">
        <v>104430</v>
      </c>
      <c r="D48" s="72">
        <v>4423525660</v>
      </c>
      <c r="E48" s="59">
        <v>1.0702538660207612E-4</v>
      </c>
      <c r="F48" s="93">
        <v>423.58763382169877</v>
      </c>
      <c r="G48" s="90"/>
      <c r="H48" s="61" t="str">
        <f t="shared" si="0"/>
        <v>(400, 450]</v>
      </c>
      <c r="I48" s="62">
        <v>0</v>
      </c>
      <c r="J48" s="59">
        <v>0</v>
      </c>
      <c r="K48" s="59">
        <v>0</v>
      </c>
      <c r="L48" s="119">
        <v>0</v>
      </c>
      <c r="M48" s="59">
        <v>0</v>
      </c>
      <c r="N48" s="59">
        <v>0</v>
      </c>
      <c r="O48" s="51">
        <v>0</v>
      </c>
    </row>
    <row r="49" spans="1:15" x14ac:dyDescent="0.3">
      <c r="A49" s="58">
        <v>450</v>
      </c>
      <c r="B49" s="58">
        <v>500</v>
      </c>
      <c r="C49" s="72">
        <v>71873</v>
      </c>
      <c r="D49" s="72">
        <v>3406762295</v>
      </c>
      <c r="E49" s="59">
        <v>7.3659251280771968E-5</v>
      </c>
      <c r="F49" s="93">
        <v>473.99750880024493</v>
      </c>
      <c r="G49" s="90"/>
      <c r="H49" s="61" t="str">
        <f t="shared" si="0"/>
        <v>(450, 500]</v>
      </c>
      <c r="I49" s="62">
        <v>0</v>
      </c>
      <c r="J49" s="59">
        <v>0</v>
      </c>
      <c r="K49" s="59">
        <v>0</v>
      </c>
      <c r="L49" s="119">
        <v>0</v>
      </c>
      <c r="M49" s="59">
        <v>0</v>
      </c>
      <c r="N49" s="59">
        <v>0</v>
      </c>
      <c r="O49" s="51">
        <v>0</v>
      </c>
    </row>
    <row r="50" spans="1:15" x14ac:dyDescent="0.3">
      <c r="A50" s="58">
        <v>500</v>
      </c>
      <c r="B50" s="58">
        <v>550</v>
      </c>
      <c r="C50" s="72">
        <v>55967</v>
      </c>
      <c r="D50" s="72">
        <v>2931497230</v>
      </c>
      <c r="E50" s="59">
        <v>5.7357941319145786E-5</v>
      </c>
      <c r="F50" s="93">
        <v>523.79031036146296</v>
      </c>
      <c r="G50" s="90"/>
      <c r="H50" s="61" t="str">
        <f t="shared" si="0"/>
        <v>(500, 550]</v>
      </c>
      <c r="I50" s="62">
        <v>0</v>
      </c>
      <c r="J50" s="59">
        <v>0</v>
      </c>
      <c r="K50" s="59">
        <v>0</v>
      </c>
      <c r="L50" s="119">
        <v>0</v>
      </c>
      <c r="M50" s="59">
        <v>0</v>
      </c>
      <c r="N50" s="59">
        <v>0</v>
      </c>
      <c r="O50" s="51">
        <v>0</v>
      </c>
    </row>
    <row r="51" spans="1:15" x14ac:dyDescent="0.3">
      <c r="A51" s="58">
        <v>550</v>
      </c>
      <c r="B51" s="58">
        <v>600</v>
      </c>
      <c r="C51" s="72">
        <v>41359</v>
      </c>
      <c r="D51" s="72">
        <v>2373456065</v>
      </c>
      <c r="E51" s="59">
        <v>4.2386890400031277E-5</v>
      </c>
      <c r="F51" s="93">
        <v>573.86688870620662</v>
      </c>
      <c r="G51" s="90"/>
      <c r="H51" s="61" t="str">
        <f t="shared" si="0"/>
        <v>(550, 600]</v>
      </c>
      <c r="I51" s="62">
        <v>0</v>
      </c>
      <c r="J51" s="59">
        <v>0</v>
      </c>
      <c r="K51" s="59">
        <v>0</v>
      </c>
      <c r="L51" s="119">
        <v>0</v>
      </c>
      <c r="M51" s="59">
        <v>0</v>
      </c>
      <c r="N51" s="59">
        <v>0</v>
      </c>
      <c r="O51" s="51">
        <v>0</v>
      </c>
    </row>
    <row r="52" spans="1:15" x14ac:dyDescent="0.3">
      <c r="A52" s="58">
        <v>600</v>
      </c>
      <c r="B52" s="58">
        <v>650</v>
      </c>
      <c r="C52" s="72">
        <v>31801</v>
      </c>
      <c r="D52" s="72">
        <v>1984767520</v>
      </c>
      <c r="E52" s="59">
        <v>3.2591346541536176E-5</v>
      </c>
      <c r="F52" s="93">
        <v>624.12110310996513</v>
      </c>
      <c r="G52" s="90"/>
      <c r="H52" s="61" t="str">
        <f t="shared" si="0"/>
        <v>(600, 650]</v>
      </c>
      <c r="I52" s="62">
        <v>0</v>
      </c>
      <c r="J52" s="59">
        <v>0</v>
      </c>
      <c r="K52" s="59">
        <v>0</v>
      </c>
      <c r="L52" s="119">
        <v>0</v>
      </c>
      <c r="M52" s="59">
        <v>0</v>
      </c>
      <c r="N52" s="59">
        <v>0</v>
      </c>
      <c r="O52" s="51">
        <v>0</v>
      </c>
    </row>
    <row r="53" spans="1:15" x14ac:dyDescent="0.3">
      <c r="A53" s="58">
        <v>650</v>
      </c>
      <c r="B53" s="58">
        <v>700</v>
      </c>
      <c r="C53" s="72">
        <v>25094</v>
      </c>
      <c r="D53" s="72">
        <v>1691888680</v>
      </c>
      <c r="E53" s="59">
        <v>2.5717658253303632E-5</v>
      </c>
      <c r="F53" s="93">
        <v>674.22040328365347</v>
      </c>
      <c r="G53" s="90"/>
      <c r="H53" s="61" t="str">
        <f t="shared" si="0"/>
        <v>(650, 700]</v>
      </c>
      <c r="I53" s="62">
        <v>0</v>
      </c>
      <c r="J53" s="59">
        <v>0</v>
      </c>
      <c r="K53" s="59">
        <v>0</v>
      </c>
      <c r="L53" s="119">
        <v>0</v>
      </c>
      <c r="M53" s="59">
        <v>0</v>
      </c>
      <c r="N53" s="59">
        <v>0</v>
      </c>
      <c r="O53" s="51">
        <v>0</v>
      </c>
    </row>
    <row r="54" spans="1:15" x14ac:dyDescent="0.3">
      <c r="A54" s="58">
        <v>700</v>
      </c>
      <c r="B54" s="58">
        <v>750</v>
      </c>
      <c r="C54" s="72">
        <v>19651</v>
      </c>
      <c r="D54" s="72">
        <v>1422851975</v>
      </c>
      <c r="E54" s="59">
        <v>2.0139384009550874E-5</v>
      </c>
      <c r="F54" s="93">
        <v>724.06084932064516</v>
      </c>
      <c r="G54" s="90"/>
      <c r="H54" s="61" t="str">
        <f t="shared" si="0"/>
        <v>(700, 750]</v>
      </c>
      <c r="I54" s="62">
        <v>0</v>
      </c>
      <c r="J54" s="59">
        <v>0</v>
      </c>
      <c r="K54" s="59">
        <v>0</v>
      </c>
      <c r="L54" s="119">
        <v>0</v>
      </c>
      <c r="M54" s="59">
        <v>0</v>
      </c>
      <c r="N54" s="59">
        <v>0</v>
      </c>
      <c r="O54" s="51">
        <v>0</v>
      </c>
    </row>
    <row r="55" spans="1:15" x14ac:dyDescent="0.3">
      <c r="A55" s="58">
        <v>750</v>
      </c>
      <c r="B55" s="58">
        <v>800</v>
      </c>
      <c r="C55" s="72">
        <v>16199</v>
      </c>
      <c r="D55" s="72">
        <v>1254710175</v>
      </c>
      <c r="E55" s="59">
        <v>1.6601591856430441E-5</v>
      </c>
      <c r="F55" s="93">
        <v>774.56026606580645</v>
      </c>
      <c r="G55" s="90"/>
      <c r="H55" s="61" t="str">
        <f t="shared" si="0"/>
        <v>(750, 800]</v>
      </c>
      <c r="I55" s="62">
        <v>0</v>
      </c>
      <c r="J55" s="59">
        <v>0</v>
      </c>
      <c r="K55" s="59">
        <v>0</v>
      </c>
      <c r="L55" s="119">
        <v>0</v>
      </c>
      <c r="M55" s="59">
        <v>0</v>
      </c>
      <c r="N55" s="59">
        <v>0</v>
      </c>
      <c r="O55" s="51">
        <v>0</v>
      </c>
    </row>
    <row r="56" spans="1:15" x14ac:dyDescent="0.3">
      <c r="A56" s="58">
        <v>800</v>
      </c>
      <c r="B56" s="58">
        <v>850</v>
      </c>
      <c r="C56" s="72">
        <v>13933</v>
      </c>
      <c r="D56" s="72">
        <v>1148116395</v>
      </c>
      <c r="E56" s="59">
        <v>1.4279275222893102E-5</v>
      </c>
      <c r="F56" s="93">
        <v>824.0266956147276</v>
      </c>
      <c r="G56" s="90"/>
      <c r="H56" s="61" t="str">
        <f t="shared" si="0"/>
        <v>(800, 850]</v>
      </c>
      <c r="I56" s="62">
        <v>0</v>
      </c>
      <c r="J56" s="59">
        <v>0</v>
      </c>
      <c r="K56" s="59">
        <v>0</v>
      </c>
      <c r="L56" s="119">
        <v>0</v>
      </c>
      <c r="M56" s="59">
        <v>0</v>
      </c>
      <c r="N56" s="59">
        <v>0</v>
      </c>
      <c r="O56" s="51">
        <v>0</v>
      </c>
    </row>
    <row r="57" spans="1:15" x14ac:dyDescent="0.3">
      <c r="A57" s="58">
        <v>850</v>
      </c>
      <c r="B57" s="58">
        <v>900</v>
      </c>
      <c r="C57" s="72">
        <v>10619</v>
      </c>
      <c r="D57" s="72">
        <v>928484515</v>
      </c>
      <c r="E57" s="59">
        <v>1.0882912767666822E-5</v>
      </c>
      <c r="F57" s="93">
        <v>874.36153592617006</v>
      </c>
      <c r="G57" s="90"/>
      <c r="H57" s="61" t="str">
        <f t="shared" si="0"/>
        <v>(850, 900]</v>
      </c>
      <c r="I57" s="62">
        <v>0</v>
      </c>
      <c r="J57" s="59">
        <v>0</v>
      </c>
      <c r="K57" s="59">
        <v>0</v>
      </c>
      <c r="L57" s="84">
        <v>0</v>
      </c>
      <c r="M57" s="59">
        <v>0</v>
      </c>
      <c r="N57" s="59">
        <v>0</v>
      </c>
      <c r="O57" s="51">
        <v>0</v>
      </c>
    </row>
    <row r="58" spans="1:15" x14ac:dyDescent="0.3">
      <c r="A58" s="58">
        <v>900</v>
      </c>
      <c r="B58" s="58">
        <v>950</v>
      </c>
      <c r="C58" s="72">
        <v>9237</v>
      </c>
      <c r="D58" s="72">
        <v>853717880</v>
      </c>
      <c r="E58" s="59">
        <v>9.4665660829587004E-6</v>
      </c>
      <c r="F58" s="93">
        <v>924.23717657248028</v>
      </c>
      <c r="G58" s="90"/>
      <c r="H58" s="61" t="str">
        <f t="shared" si="0"/>
        <v>(900, 950]</v>
      </c>
      <c r="I58" s="62">
        <v>0</v>
      </c>
      <c r="J58" s="59">
        <v>0</v>
      </c>
      <c r="K58" s="59">
        <v>0</v>
      </c>
      <c r="L58" s="84">
        <v>0</v>
      </c>
      <c r="M58" s="59">
        <v>0</v>
      </c>
      <c r="N58" s="59">
        <v>0</v>
      </c>
      <c r="O58" s="51">
        <v>0</v>
      </c>
    </row>
    <row r="59" spans="1:15" x14ac:dyDescent="0.3">
      <c r="A59" s="58">
        <v>950</v>
      </c>
      <c r="B59" s="58">
        <v>1000</v>
      </c>
      <c r="C59" s="72">
        <v>7404</v>
      </c>
      <c r="D59" s="72">
        <v>721392275</v>
      </c>
      <c r="E59" s="59">
        <v>7.5880107478863507E-6</v>
      </c>
      <c r="F59" s="93">
        <v>974.32776202052946</v>
      </c>
      <c r="G59" s="90"/>
      <c r="H59" s="61" t="str">
        <f t="shared" si="0"/>
        <v>(950, 1000]</v>
      </c>
      <c r="I59" s="62">
        <v>0</v>
      </c>
      <c r="J59" s="59">
        <v>0</v>
      </c>
      <c r="K59" s="59">
        <v>0</v>
      </c>
      <c r="L59" s="84">
        <v>0</v>
      </c>
      <c r="M59" s="59">
        <v>0</v>
      </c>
      <c r="N59" s="59">
        <v>0</v>
      </c>
      <c r="O59" s="51">
        <v>0</v>
      </c>
    </row>
    <row r="60" spans="1:15" x14ac:dyDescent="0.3">
      <c r="A60" s="58">
        <v>1000</v>
      </c>
      <c r="B60" s="58">
        <v>2000</v>
      </c>
      <c r="C60" s="72">
        <v>49745</v>
      </c>
      <c r="D60" s="72">
        <v>6538772085</v>
      </c>
      <c r="E60" s="59">
        <v>5.098130667930936E-5</v>
      </c>
      <c r="F60" s="93">
        <v>1314.4581535832747</v>
      </c>
      <c r="G60" s="90"/>
      <c r="H60" s="61" t="str">
        <f t="shared" si="0"/>
        <v>(1000, 2000]</v>
      </c>
      <c r="I60" s="62">
        <v>0</v>
      </c>
      <c r="J60" s="59">
        <v>0</v>
      </c>
      <c r="K60" s="59">
        <v>0</v>
      </c>
      <c r="L60" s="84">
        <v>0</v>
      </c>
      <c r="M60" s="59">
        <v>0</v>
      </c>
      <c r="N60" s="59">
        <v>0</v>
      </c>
      <c r="O60" s="51">
        <v>0</v>
      </c>
    </row>
    <row r="61" spans="1:15" x14ac:dyDescent="0.3">
      <c r="A61" s="58">
        <v>2000</v>
      </c>
      <c r="B61" s="58">
        <v>3000</v>
      </c>
      <c r="C61" s="72">
        <v>6830</v>
      </c>
      <c r="D61" s="72">
        <v>1625394830</v>
      </c>
      <c r="E61" s="59">
        <v>6.9997451928773336E-6</v>
      </c>
      <c r="F61" s="93">
        <v>2379.7874524158124</v>
      </c>
      <c r="G61" s="90"/>
      <c r="H61" s="61" t="str">
        <f t="shared" si="0"/>
        <v>(2000, 3000]</v>
      </c>
      <c r="I61" s="62">
        <v>0</v>
      </c>
      <c r="J61" s="59">
        <v>0</v>
      </c>
      <c r="K61" s="59">
        <v>0</v>
      </c>
      <c r="L61" s="84">
        <v>0</v>
      </c>
      <c r="M61" s="59">
        <v>0</v>
      </c>
      <c r="N61" s="59">
        <v>0</v>
      </c>
      <c r="O61" s="51">
        <v>0</v>
      </c>
    </row>
    <row r="62" spans="1:15" x14ac:dyDescent="0.3">
      <c r="A62" s="58">
        <v>3000</v>
      </c>
      <c r="B62" s="58">
        <v>4000</v>
      </c>
      <c r="C62" s="72">
        <v>1792</v>
      </c>
      <c r="D62" s="72">
        <v>610680885</v>
      </c>
      <c r="E62" s="59">
        <v>1.8365363668574204E-6</v>
      </c>
      <c r="F62" s="93">
        <v>3407.8174386160717</v>
      </c>
      <c r="G62" s="90"/>
      <c r="H62" s="61" t="str">
        <f t="shared" si="0"/>
        <v>(3000, 4000]</v>
      </c>
      <c r="I62" s="62">
        <v>0</v>
      </c>
      <c r="J62" s="59">
        <v>0</v>
      </c>
      <c r="K62" s="59">
        <v>0</v>
      </c>
      <c r="L62" s="84">
        <v>0</v>
      </c>
      <c r="M62" s="59">
        <v>0</v>
      </c>
      <c r="N62" s="59">
        <v>0</v>
      </c>
      <c r="O62" s="51">
        <v>0</v>
      </c>
    </row>
    <row r="63" spans="1:15" x14ac:dyDescent="0.3">
      <c r="A63" s="58">
        <v>4000</v>
      </c>
      <c r="B63" s="58">
        <v>5000</v>
      </c>
      <c r="C63" s="72">
        <v>576</v>
      </c>
      <c r="D63" s="72">
        <v>254222105</v>
      </c>
      <c r="E63" s="59">
        <v>5.9031526077559945E-7</v>
      </c>
      <c r="F63" s="93">
        <v>4413.5782118055558</v>
      </c>
      <c r="G63" s="90"/>
      <c r="H63" s="61" t="str">
        <f t="shared" si="0"/>
        <v>(4000, 5000]</v>
      </c>
      <c r="I63" s="62">
        <v>0</v>
      </c>
      <c r="J63" s="59">
        <v>0</v>
      </c>
      <c r="K63" s="59">
        <v>0</v>
      </c>
      <c r="L63" s="84">
        <v>0</v>
      </c>
      <c r="M63" s="59">
        <v>0</v>
      </c>
      <c r="N63" s="59">
        <v>0</v>
      </c>
      <c r="O63" s="51">
        <v>0</v>
      </c>
    </row>
    <row r="64" spans="1:15" x14ac:dyDescent="0.3">
      <c r="A64" s="58">
        <v>5000</v>
      </c>
      <c r="B64" s="58">
        <v>6000</v>
      </c>
      <c r="C64" s="72">
        <v>277</v>
      </c>
      <c r="D64" s="72">
        <v>149814080</v>
      </c>
      <c r="E64" s="59">
        <v>2.8388424867159901E-7</v>
      </c>
      <c r="F64" s="93">
        <v>5408.4505415162457</v>
      </c>
      <c r="G64" s="90"/>
      <c r="H64" s="61" t="str">
        <f t="shared" si="0"/>
        <v>(5000, 6000]</v>
      </c>
      <c r="I64" s="62">
        <v>0</v>
      </c>
      <c r="J64" s="59">
        <v>0</v>
      </c>
      <c r="K64" s="59">
        <v>0</v>
      </c>
      <c r="L64" s="84">
        <v>0</v>
      </c>
      <c r="M64" s="59">
        <v>0</v>
      </c>
      <c r="N64" s="59">
        <v>0</v>
      </c>
      <c r="O64" s="51">
        <v>0</v>
      </c>
    </row>
    <row r="65" spans="1:16" x14ac:dyDescent="0.3">
      <c r="A65" s="58">
        <v>6000</v>
      </c>
      <c r="B65" s="58">
        <v>7000</v>
      </c>
      <c r="C65" s="72">
        <v>101</v>
      </c>
      <c r="D65" s="72">
        <v>64970040</v>
      </c>
      <c r="E65" s="59">
        <v>1.0351014121238809E-7</v>
      </c>
      <c r="F65" s="93">
        <v>6432.6772277227719</v>
      </c>
      <c r="G65" s="90"/>
      <c r="H65" s="61" t="str">
        <f t="shared" si="0"/>
        <v>(6000, 7000]</v>
      </c>
      <c r="I65" s="62">
        <v>0</v>
      </c>
      <c r="J65" s="59">
        <v>0</v>
      </c>
      <c r="K65" s="59">
        <v>0</v>
      </c>
      <c r="L65" s="84">
        <v>0</v>
      </c>
      <c r="M65" s="59">
        <v>0</v>
      </c>
      <c r="N65" s="59">
        <v>0</v>
      </c>
      <c r="O65" s="51">
        <v>0</v>
      </c>
    </row>
    <row r="66" spans="1:16" x14ac:dyDescent="0.3">
      <c r="A66" s="58">
        <v>7000</v>
      </c>
      <c r="B66" s="58">
        <v>8000</v>
      </c>
      <c r="C66" s="72">
        <v>40</v>
      </c>
      <c r="D66" s="72">
        <v>29663270</v>
      </c>
      <c r="E66" s="59">
        <v>4.0994115331638846E-8</v>
      </c>
      <c r="F66" s="93">
        <v>7415.8175000000001</v>
      </c>
      <c r="G66" s="90"/>
      <c r="H66" s="61" t="str">
        <f t="shared" si="0"/>
        <v>(7000, 8000]</v>
      </c>
      <c r="I66" s="62">
        <v>0</v>
      </c>
      <c r="J66" s="59">
        <v>0</v>
      </c>
      <c r="K66" s="59">
        <v>0</v>
      </c>
      <c r="L66" s="84">
        <v>0</v>
      </c>
      <c r="M66" s="59">
        <v>0</v>
      </c>
      <c r="N66" s="59">
        <v>0</v>
      </c>
      <c r="O66" s="51">
        <v>0</v>
      </c>
    </row>
    <row r="67" spans="1:16" x14ac:dyDescent="0.3">
      <c r="A67" s="58">
        <v>8000</v>
      </c>
      <c r="B67" s="58">
        <v>9000</v>
      </c>
      <c r="C67" s="72">
        <v>15</v>
      </c>
      <c r="D67" s="72">
        <v>12511930</v>
      </c>
      <c r="E67" s="59">
        <v>1.5372793249364569E-8</v>
      </c>
      <c r="F67" s="93">
        <v>8341.2866666666669</v>
      </c>
      <c r="G67" s="90"/>
      <c r="H67" s="61" t="str">
        <f t="shared" si="0"/>
        <v>(8000, 9000]</v>
      </c>
      <c r="I67" s="62">
        <v>0</v>
      </c>
      <c r="J67" s="59">
        <v>0</v>
      </c>
      <c r="K67" s="59">
        <v>0</v>
      </c>
      <c r="L67" s="84">
        <v>0</v>
      </c>
      <c r="M67" s="59">
        <v>0</v>
      </c>
      <c r="N67" s="59">
        <v>0</v>
      </c>
      <c r="O67" s="51">
        <v>0</v>
      </c>
    </row>
    <row r="68" spans="1:16" x14ac:dyDescent="0.3">
      <c r="A68" s="58">
        <v>9000</v>
      </c>
      <c r="B68" s="58">
        <v>10000</v>
      </c>
      <c r="C68" s="72">
        <v>7</v>
      </c>
      <c r="D68" s="72">
        <v>6656280</v>
      </c>
      <c r="E68" s="59">
        <v>7.1739701830367986E-9</v>
      </c>
      <c r="F68" s="93">
        <v>9508.971428571429</v>
      </c>
      <c r="G68" s="90"/>
      <c r="H68" s="61" t="str">
        <f t="shared" si="0"/>
        <v>(9000, 10000]</v>
      </c>
      <c r="I68" s="62">
        <v>0</v>
      </c>
      <c r="J68" s="59">
        <v>0</v>
      </c>
      <c r="K68" s="59">
        <v>0</v>
      </c>
      <c r="L68" s="84">
        <v>0</v>
      </c>
      <c r="M68" s="59">
        <v>0</v>
      </c>
      <c r="N68" s="59">
        <v>0</v>
      </c>
      <c r="O68" s="51">
        <v>0</v>
      </c>
    </row>
    <row r="69" spans="1:16" x14ac:dyDescent="0.3">
      <c r="A69" s="58">
        <v>10000</v>
      </c>
      <c r="B69" s="58">
        <v>20000</v>
      </c>
      <c r="C69" s="72">
        <v>21</v>
      </c>
      <c r="D69" s="72">
        <v>25579995</v>
      </c>
      <c r="E69" s="59">
        <v>2.1521910549110393E-8</v>
      </c>
      <c r="F69" s="93">
        <v>12180.95</v>
      </c>
      <c r="G69" s="90"/>
      <c r="H69" s="61" t="str">
        <f t="shared" si="0"/>
        <v>(10000, 20000]</v>
      </c>
      <c r="I69" s="62">
        <v>0</v>
      </c>
      <c r="J69" s="59">
        <v>0</v>
      </c>
      <c r="K69" s="59">
        <v>0</v>
      </c>
      <c r="L69" s="84">
        <v>0</v>
      </c>
      <c r="M69" s="59">
        <v>0</v>
      </c>
      <c r="N69" s="59">
        <v>0</v>
      </c>
      <c r="O69" s="51">
        <v>0</v>
      </c>
    </row>
    <row r="70" spans="1:16" x14ac:dyDescent="0.3">
      <c r="A70" s="58">
        <v>20000</v>
      </c>
      <c r="B70" s="58">
        <v>30000</v>
      </c>
      <c r="C70" s="72">
        <v>0</v>
      </c>
      <c r="D70" s="72">
        <v>0</v>
      </c>
      <c r="E70" s="59">
        <v>0</v>
      </c>
      <c r="F70" s="93">
        <v>0</v>
      </c>
      <c r="G70" s="90"/>
      <c r="H70" s="61" t="str">
        <f t="shared" si="0"/>
        <v>(20000, 30000]</v>
      </c>
      <c r="I70" s="62">
        <v>0</v>
      </c>
      <c r="J70" s="59">
        <v>0</v>
      </c>
      <c r="K70" s="59">
        <v>0</v>
      </c>
      <c r="L70" s="84">
        <v>0</v>
      </c>
      <c r="M70" s="59">
        <v>0</v>
      </c>
      <c r="N70" s="59">
        <v>0</v>
      </c>
      <c r="O70" s="51">
        <v>0</v>
      </c>
    </row>
    <row r="71" spans="1:16" x14ac:dyDescent="0.3">
      <c r="A71" s="58">
        <v>30000</v>
      </c>
      <c r="B71" s="58">
        <v>40000</v>
      </c>
      <c r="C71" s="72">
        <v>0</v>
      </c>
      <c r="D71" s="72">
        <v>0</v>
      </c>
      <c r="E71" s="59">
        <v>0</v>
      </c>
      <c r="F71" s="93">
        <v>0</v>
      </c>
      <c r="G71" s="90"/>
      <c r="H71" s="61" t="str">
        <f t="shared" si="0"/>
        <v>(30000, 40000]</v>
      </c>
      <c r="I71" s="62">
        <v>0</v>
      </c>
      <c r="J71" s="59">
        <v>0</v>
      </c>
      <c r="K71" s="59">
        <v>0</v>
      </c>
      <c r="L71" s="84">
        <v>0</v>
      </c>
      <c r="M71" s="59">
        <v>0</v>
      </c>
      <c r="N71" s="59">
        <v>0</v>
      </c>
      <c r="O71" s="51">
        <v>0</v>
      </c>
    </row>
    <row r="72" spans="1:16" x14ac:dyDescent="0.3">
      <c r="A72" s="58">
        <v>40000</v>
      </c>
      <c r="B72" s="58">
        <v>50000</v>
      </c>
      <c r="C72" s="72">
        <v>0</v>
      </c>
      <c r="D72" s="72">
        <v>0</v>
      </c>
      <c r="E72" s="59">
        <v>0</v>
      </c>
      <c r="F72" s="93">
        <v>0</v>
      </c>
      <c r="G72" s="90"/>
      <c r="H72" s="61" t="str">
        <f t="shared" si="0"/>
        <v>(40000, 50000]</v>
      </c>
      <c r="I72" s="62">
        <v>0</v>
      </c>
      <c r="J72" s="59">
        <v>0</v>
      </c>
      <c r="K72" s="59">
        <v>0</v>
      </c>
      <c r="L72" s="84">
        <v>0</v>
      </c>
      <c r="M72" s="59">
        <v>0</v>
      </c>
      <c r="N72" s="59">
        <v>0</v>
      </c>
      <c r="O72" s="51">
        <v>0</v>
      </c>
    </row>
    <row r="73" spans="1:16" x14ac:dyDescent="0.3">
      <c r="A73" s="58">
        <v>50000</v>
      </c>
      <c r="B73" s="58">
        <v>60000</v>
      </c>
      <c r="C73" s="72">
        <v>0</v>
      </c>
      <c r="D73" s="72">
        <v>0</v>
      </c>
      <c r="E73" s="59">
        <v>0</v>
      </c>
      <c r="F73" s="93">
        <v>0</v>
      </c>
      <c r="G73" s="90"/>
      <c r="H73" s="61" t="str">
        <f t="shared" si="0"/>
        <v>(50000, 60000]</v>
      </c>
      <c r="I73" s="62">
        <v>0</v>
      </c>
      <c r="J73" s="59">
        <v>0</v>
      </c>
      <c r="K73" s="59">
        <v>0</v>
      </c>
      <c r="L73" s="84">
        <v>0</v>
      </c>
      <c r="M73" s="59">
        <v>0</v>
      </c>
      <c r="N73" s="59">
        <v>0</v>
      </c>
      <c r="O73" s="51">
        <v>0</v>
      </c>
    </row>
    <row r="74" spans="1:16" x14ac:dyDescent="0.3">
      <c r="A74" s="58">
        <v>60000</v>
      </c>
      <c r="B74" s="58">
        <v>70000</v>
      </c>
      <c r="C74" s="72">
        <v>0</v>
      </c>
      <c r="D74" s="72">
        <v>0</v>
      </c>
      <c r="E74" s="59">
        <v>0</v>
      </c>
      <c r="F74" s="93">
        <v>0</v>
      </c>
      <c r="G74" s="90"/>
      <c r="H74" s="61" t="str">
        <f t="shared" si="0"/>
        <v>(60000, 70000]</v>
      </c>
      <c r="I74" s="62">
        <v>0</v>
      </c>
      <c r="J74" s="59">
        <v>0</v>
      </c>
      <c r="K74" s="59">
        <v>0</v>
      </c>
      <c r="L74" s="84">
        <v>0</v>
      </c>
      <c r="M74" s="59">
        <v>0</v>
      </c>
      <c r="N74" s="59">
        <v>0</v>
      </c>
      <c r="O74" s="51">
        <v>0</v>
      </c>
    </row>
    <row r="75" spans="1:16" x14ac:dyDescent="0.3">
      <c r="A75" s="58">
        <v>70000</v>
      </c>
      <c r="B75" s="58">
        <v>80000</v>
      </c>
      <c r="C75" s="72">
        <v>0</v>
      </c>
      <c r="D75" s="72">
        <v>0</v>
      </c>
      <c r="E75" s="59">
        <v>0</v>
      </c>
      <c r="F75" s="93">
        <v>0</v>
      </c>
      <c r="G75" s="90"/>
      <c r="H75" s="61" t="str">
        <f t="shared" si="0"/>
        <v>(70000, 80000]</v>
      </c>
      <c r="I75" s="62">
        <v>0</v>
      </c>
      <c r="J75" s="59">
        <v>0</v>
      </c>
      <c r="K75" s="59">
        <v>0</v>
      </c>
      <c r="L75" s="84">
        <v>0</v>
      </c>
      <c r="M75" s="59">
        <v>0</v>
      </c>
      <c r="N75" s="59">
        <v>0</v>
      </c>
      <c r="O75" s="51">
        <v>0</v>
      </c>
    </row>
    <row r="76" spans="1:16" x14ac:dyDescent="0.3">
      <c r="A76" s="58">
        <v>80000</v>
      </c>
      <c r="B76" s="58">
        <v>90000</v>
      </c>
      <c r="C76" s="72">
        <v>0</v>
      </c>
      <c r="D76" s="72">
        <v>0</v>
      </c>
      <c r="E76" s="59">
        <v>0</v>
      </c>
      <c r="F76" s="93">
        <v>0</v>
      </c>
      <c r="G76" s="90"/>
      <c r="H76" s="61" t="str">
        <f t="shared" si="0"/>
        <v>(80000, 90000]</v>
      </c>
      <c r="I76" s="62">
        <v>0</v>
      </c>
      <c r="J76" s="59">
        <v>0</v>
      </c>
      <c r="K76" s="59">
        <v>0</v>
      </c>
      <c r="L76" s="84">
        <v>0</v>
      </c>
      <c r="M76" s="59">
        <v>0</v>
      </c>
      <c r="N76" s="59">
        <v>0</v>
      </c>
      <c r="O76" s="51">
        <v>0</v>
      </c>
    </row>
    <row r="77" spans="1:16" x14ac:dyDescent="0.3">
      <c r="A77" s="58">
        <v>90000</v>
      </c>
      <c r="B77" s="58">
        <v>100000</v>
      </c>
      <c r="C77" s="72">
        <v>0</v>
      </c>
      <c r="D77" s="72">
        <v>0</v>
      </c>
      <c r="E77" s="59">
        <v>0</v>
      </c>
      <c r="F77" s="93">
        <v>0</v>
      </c>
      <c r="G77" s="90"/>
      <c r="H77" s="61" t="str">
        <f t="shared" si="0"/>
        <v>(90000, 100000]</v>
      </c>
      <c r="I77" s="62">
        <v>0</v>
      </c>
      <c r="J77" s="59">
        <v>0</v>
      </c>
      <c r="K77" s="59">
        <v>0</v>
      </c>
      <c r="L77" s="84">
        <v>0</v>
      </c>
      <c r="M77" s="59">
        <v>0</v>
      </c>
      <c r="N77" s="59">
        <v>0</v>
      </c>
      <c r="O77" s="51">
        <v>0</v>
      </c>
    </row>
    <row r="78" spans="1:16" x14ac:dyDescent="0.3">
      <c r="A78" s="58">
        <v>100000</v>
      </c>
      <c r="B78" s="58">
        <v>9999999</v>
      </c>
      <c r="C78" s="72">
        <v>0</v>
      </c>
      <c r="D78" s="72">
        <v>0</v>
      </c>
      <c r="E78" s="59">
        <v>0</v>
      </c>
      <c r="F78" s="93">
        <v>0</v>
      </c>
      <c r="G78" s="90"/>
      <c r="H78" s="61" t="str">
        <f t="shared" si="0"/>
        <v>(100000, 9999999]</v>
      </c>
      <c r="I78" s="62">
        <v>0</v>
      </c>
      <c r="J78" s="59">
        <v>0</v>
      </c>
      <c r="K78" s="59">
        <v>0</v>
      </c>
      <c r="L78" s="84">
        <v>0</v>
      </c>
      <c r="M78" s="59">
        <v>0</v>
      </c>
      <c r="N78" s="59">
        <v>0</v>
      </c>
      <c r="O78" s="51">
        <v>0</v>
      </c>
    </row>
    <row r="79" spans="1:16" x14ac:dyDescent="0.3">
      <c r="A79" s="207" t="s">
        <v>78</v>
      </c>
      <c r="B79" s="208"/>
      <c r="C79" s="73">
        <f>E79*B13</f>
        <v>24250000</v>
      </c>
      <c r="D79" s="72">
        <f>Multiplier_Weight_Oldhand!D79</f>
        <v>298038000</v>
      </c>
      <c r="E79" s="196">
        <f>Multiplier_Weight_Oldhand!E79</f>
        <v>2.4250000000000001E-2</v>
      </c>
      <c r="F79" s="93">
        <v>0.12290226804123712</v>
      </c>
      <c r="G79" s="101"/>
      <c r="H79" s="61" t="s">
        <v>78</v>
      </c>
      <c r="I79" s="62">
        <v>1.85</v>
      </c>
      <c r="J79" s="59">
        <v>4.4862500000000007E-2</v>
      </c>
      <c r="K79" s="59">
        <f>J79</f>
        <v>4.4862500000000007E-2</v>
      </c>
      <c r="L79" s="84">
        <v>44862500</v>
      </c>
      <c r="M79" s="63">
        <v>4.4815863312976482E-2</v>
      </c>
      <c r="N79" s="59">
        <v>5.5079712453908808E-3</v>
      </c>
      <c r="P79" s="51"/>
    </row>
    <row r="80" spans="1:16" s="66" customFormat="1" x14ac:dyDescent="0.3">
      <c r="D80" s="1"/>
      <c r="F80" s="66">
        <v>0</v>
      </c>
    </row>
    <row r="81" spans="1:15" x14ac:dyDescent="0.3">
      <c r="A81" s="66"/>
      <c r="B81" s="52"/>
      <c r="C81" s="1"/>
      <c r="E81" s="1"/>
      <c r="F81" s="1"/>
      <c r="H81" s="13"/>
      <c r="I81" s="52"/>
      <c r="J81" s="52"/>
      <c r="K81" s="52"/>
      <c r="L81" s="68"/>
      <c r="M81" s="52"/>
      <c r="N81" s="52"/>
    </row>
    <row r="82" spans="1:15" x14ac:dyDescent="0.3">
      <c r="A82" s="52"/>
      <c r="D82" s="116"/>
      <c r="E82" s="1"/>
      <c r="F82" s="1"/>
      <c r="H82" s="13"/>
      <c r="I82" s="52"/>
      <c r="J82" s="52"/>
      <c r="K82" s="52"/>
      <c r="L82" s="52"/>
      <c r="M82" s="52"/>
      <c r="N82" s="52"/>
    </row>
    <row r="83" spans="1:15" s="80" customFormat="1" x14ac:dyDescent="0.3">
      <c r="A83" s="206" t="s">
        <v>50</v>
      </c>
      <c r="B83" s="206"/>
      <c r="C83" s="206"/>
      <c r="D83" s="206"/>
      <c r="E83" s="76"/>
      <c r="F83" s="76"/>
      <c r="G83" s="89"/>
      <c r="H83" s="78"/>
      <c r="I83" s="79"/>
      <c r="J83" s="77"/>
      <c r="K83" s="77"/>
      <c r="L83" s="77"/>
      <c r="M83" s="77"/>
      <c r="N83" s="77"/>
      <c r="O83" s="89"/>
    </row>
    <row r="84" spans="1:15" x14ac:dyDescent="0.3">
      <c r="A84" s="52"/>
      <c r="B84" s="52"/>
      <c r="C84" s="1"/>
      <c r="D84" s="1"/>
      <c r="E84" s="1"/>
      <c r="F84" s="1"/>
      <c r="H84" s="13"/>
      <c r="I84" s="52"/>
      <c r="J84" s="52"/>
      <c r="K84" s="52"/>
      <c r="L84" s="52"/>
      <c r="M84" s="52"/>
      <c r="N84" s="52"/>
    </row>
    <row r="85" spans="1:15" x14ac:dyDescent="0.3">
      <c r="A85" s="70" t="s">
        <v>75</v>
      </c>
      <c r="B85" s="68">
        <v>10000000</v>
      </c>
      <c r="C85" s="1"/>
      <c r="D85" s="1"/>
      <c r="E85" s="1"/>
      <c r="F85" s="1"/>
      <c r="H85" s="70" t="s">
        <v>76</v>
      </c>
      <c r="I85" s="52"/>
      <c r="J85" s="52"/>
      <c r="K85" s="52"/>
      <c r="M85" s="52"/>
      <c r="N85" s="52"/>
    </row>
    <row r="86" spans="1:15" x14ac:dyDescent="0.3">
      <c r="A86" s="20" t="s">
        <v>58</v>
      </c>
      <c r="B86" s="20" t="s">
        <v>59</v>
      </c>
      <c r="C86" s="20" t="s">
        <v>71</v>
      </c>
      <c r="D86" s="20" t="s">
        <v>72</v>
      </c>
      <c r="E86" s="20" t="s">
        <v>73</v>
      </c>
      <c r="F86" s="20" t="s">
        <v>85</v>
      </c>
      <c r="H86" s="20" t="s">
        <v>61</v>
      </c>
      <c r="I86" s="20" t="s">
        <v>63</v>
      </c>
      <c r="J86" s="20" t="s">
        <v>64</v>
      </c>
      <c r="K86" s="20" t="s">
        <v>65</v>
      </c>
      <c r="L86" s="20" t="s">
        <v>66</v>
      </c>
      <c r="M86" s="20" t="s">
        <v>67</v>
      </c>
      <c r="N86" s="20" t="s">
        <v>60</v>
      </c>
      <c r="O86" s="51">
        <v>1.1000000000000001</v>
      </c>
    </row>
    <row r="87" spans="1:15" x14ac:dyDescent="0.3">
      <c r="A87" s="64">
        <v>-1</v>
      </c>
      <c r="B87" s="64">
        <v>0</v>
      </c>
      <c r="C87" s="71" cm="1">
        <f t="array" ref="C87:D150">Multiplier_Weight_Oldhand!C87:D150</f>
        <v>0</v>
      </c>
      <c r="D87" s="71">
        <v>0</v>
      </c>
      <c r="E87" s="59" cm="1">
        <f t="array" ref="E87:E150">_xlfn.LET(_xlpm.x, C87:C150, _xlpm.x/SUM(_xlpm.x))</f>
        <v>0</v>
      </c>
      <c r="F87" s="92" cm="1">
        <f t="array" ref="F87:F150">_xlfn.LET(_xlpm.x, D87:D150/C87:C150/B3, IF(ISERR(_xlpm.x), 0, _xlpm.x))</f>
        <v>0</v>
      </c>
      <c r="H87" s="61" t="str">
        <f>"("&amp;$A87&amp;", "&amp;$B87&amp;"]"</f>
        <v>(-1, 0]</v>
      </c>
      <c r="I87" s="62">
        <v>0</v>
      </c>
      <c r="J87" s="59" cm="1">
        <f t="array" ref="J87:J150">_xlfn.ANCHORARRAY(E87)*I87:I150</f>
        <v>0</v>
      </c>
      <c r="K87" s="59" cm="1">
        <f t="array" ref="K87:K150">J87:J150/SUM(_xlfn.ANCHORARRAY(J87))</f>
        <v>0</v>
      </c>
      <c r="L87" s="119" cm="1">
        <f t="array" ref="L87:L150">INT(_xlfn.ANCHORARRAY(K87)*$B$2)</f>
        <v>0</v>
      </c>
      <c r="M87" s="59" cm="1">
        <f t="array" ref="M87:M150">_xlfn.LET(_xlpm.x, L87:L150, _xlpm.x/SUM(_xlpm.x))</f>
        <v>0</v>
      </c>
      <c r="N87" s="60" cm="1">
        <f t="array" ref="N87:N150">M87:M150*_xlfn.ANCHORARRAY(F87)</f>
        <v>0</v>
      </c>
      <c r="O87" s="51" cm="1">
        <f t="array" ref="O87:O150">I87:I150*O86</f>
        <v>0</v>
      </c>
    </row>
    <row r="88" spans="1:15" x14ac:dyDescent="0.3">
      <c r="A88" s="58">
        <v>0</v>
      </c>
      <c r="B88" s="58">
        <v>1</v>
      </c>
      <c r="C88" s="72">
        <v>15302</v>
      </c>
      <c r="D88" s="72">
        <v>915955</v>
      </c>
      <c r="E88" s="59">
        <v>6.3116012196544466E-4</v>
      </c>
      <c r="F88" s="93">
        <v>0.59858515226767739</v>
      </c>
      <c r="G88" s="101"/>
      <c r="H88" s="61" t="str">
        <f t="shared" ref="H88:H150" si="1">"("&amp;$A88&amp;", "&amp;$B88&amp;"]"</f>
        <v>(0, 1]</v>
      </c>
      <c r="I88" s="62">
        <v>0</v>
      </c>
      <c r="J88" s="59">
        <v>0</v>
      </c>
      <c r="K88" s="59">
        <v>0</v>
      </c>
      <c r="L88" s="119">
        <v>0</v>
      </c>
      <c r="M88" s="59">
        <v>0</v>
      </c>
      <c r="N88" s="59">
        <v>0</v>
      </c>
      <c r="O88" s="51">
        <v>0</v>
      </c>
    </row>
    <row r="89" spans="1:15" x14ac:dyDescent="0.3">
      <c r="A89" s="58">
        <v>1</v>
      </c>
      <c r="B89" s="58">
        <v>2</v>
      </c>
      <c r="C89" s="72">
        <v>14545</v>
      </c>
      <c r="D89" s="72">
        <v>2297380</v>
      </c>
      <c r="E89" s="59">
        <v>5.9993621578796185E-4</v>
      </c>
      <c r="F89" s="93">
        <v>1.5794981093159159</v>
      </c>
      <c r="G89" s="101"/>
      <c r="H89" s="61" t="str">
        <f t="shared" si="1"/>
        <v>(1, 2]</v>
      </c>
      <c r="I89" s="62">
        <v>0</v>
      </c>
      <c r="J89" s="59">
        <v>0</v>
      </c>
      <c r="K89" s="59">
        <v>0</v>
      </c>
      <c r="L89" s="119">
        <v>0</v>
      </c>
      <c r="M89" s="59">
        <v>0</v>
      </c>
      <c r="N89" s="59">
        <v>0</v>
      </c>
      <c r="O89" s="51">
        <v>0</v>
      </c>
    </row>
    <row r="90" spans="1:15" x14ac:dyDescent="0.3">
      <c r="A90" s="58">
        <v>2</v>
      </c>
      <c r="B90" s="58">
        <v>3</v>
      </c>
      <c r="C90" s="72">
        <v>15170</v>
      </c>
      <c r="D90" s="72">
        <v>3916365</v>
      </c>
      <c r="E90" s="59">
        <v>6.2571553066369072E-4</v>
      </c>
      <c r="F90" s="93">
        <v>2.5816512854317732</v>
      </c>
      <c r="G90" s="101"/>
      <c r="H90" s="61" t="str">
        <f t="shared" si="1"/>
        <v>(2, 3]</v>
      </c>
      <c r="I90" s="62">
        <v>0</v>
      </c>
      <c r="J90" s="59">
        <v>0</v>
      </c>
      <c r="K90" s="59">
        <v>0</v>
      </c>
      <c r="L90" s="119">
        <v>0</v>
      </c>
      <c r="M90" s="59">
        <v>0</v>
      </c>
      <c r="N90" s="59">
        <v>0</v>
      </c>
      <c r="O90" s="51">
        <v>0</v>
      </c>
    </row>
    <row r="91" spans="1:15" x14ac:dyDescent="0.3">
      <c r="A91" s="58">
        <v>3</v>
      </c>
      <c r="B91" s="58">
        <v>4</v>
      </c>
      <c r="C91" s="72">
        <v>15165</v>
      </c>
      <c r="D91" s="72">
        <v>5428355</v>
      </c>
      <c r="E91" s="59">
        <v>6.2550929614468495E-4</v>
      </c>
      <c r="F91" s="93">
        <v>3.5795285196175404</v>
      </c>
      <c r="G91" s="101"/>
      <c r="H91" s="61" t="str">
        <f t="shared" si="1"/>
        <v>(3, 4]</v>
      </c>
      <c r="I91" s="62">
        <v>0</v>
      </c>
      <c r="J91" s="59">
        <v>0</v>
      </c>
      <c r="K91" s="59">
        <v>0</v>
      </c>
      <c r="L91" s="119">
        <v>0</v>
      </c>
      <c r="M91" s="59">
        <v>0</v>
      </c>
      <c r="N91" s="59">
        <v>0</v>
      </c>
      <c r="O91" s="51">
        <v>0</v>
      </c>
    </row>
    <row r="92" spans="1:15" x14ac:dyDescent="0.3">
      <c r="A92" s="58">
        <v>4</v>
      </c>
      <c r="B92" s="58">
        <v>5</v>
      </c>
      <c r="C92" s="72">
        <v>16128</v>
      </c>
      <c r="D92" s="72">
        <v>7377445</v>
      </c>
      <c r="E92" s="59">
        <v>6.6523006450520787E-4</v>
      </c>
      <c r="F92" s="93">
        <v>4.5743086557539678</v>
      </c>
      <c r="G92" s="101"/>
      <c r="H92" s="61" t="str">
        <f t="shared" si="1"/>
        <v>(4, 5]</v>
      </c>
      <c r="I92" s="62">
        <v>0</v>
      </c>
      <c r="J92" s="59">
        <v>0</v>
      </c>
      <c r="K92" s="59">
        <v>0</v>
      </c>
      <c r="L92" s="119">
        <v>0</v>
      </c>
      <c r="M92" s="59">
        <v>0</v>
      </c>
      <c r="N92" s="59">
        <v>0</v>
      </c>
      <c r="O92" s="51">
        <v>0</v>
      </c>
    </row>
    <row r="93" spans="1:15" x14ac:dyDescent="0.3">
      <c r="A93" s="58">
        <v>5</v>
      </c>
      <c r="B93" s="58">
        <v>6</v>
      </c>
      <c r="C93" s="72">
        <v>16708</v>
      </c>
      <c r="D93" s="72">
        <v>9310030</v>
      </c>
      <c r="E93" s="59">
        <v>6.8915326870988428E-4</v>
      </c>
      <c r="F93" s="93">
        <v>5.5721989466124011</v>
      </c>
      <c r="G93" s="101"/>
      <c r="H93" s="61" t="str">
        <f t="shared" si="1"/>
        <v>(5, 6]</v>
      </c>
      <c r="I93" s="62">
        <v>0</v>
      </c>
      <c r="J93" s="59">
        <v>0</v>
      </c>
      <c r="K93" s="59">
        <v>0</v>
      </c>
      <c r="L93" s="119">
        <v>0</v>
      </c>
      <c r="M93" s="59">
        <v>0</v>
      </c>
      <c r="N93" s="59">
        <v>0</v>
      </c>
      <c r="O93" s="51">
        <v>0</v>
      </c>
    </row>
    <row r="94" spans="1:15" x14ac:dyDescent="0.3">
      <c r="A94" s="58">
        <v>6</v>
      </c>
      <c r="B94" s="58">
        <v>7</v>
      </c>
      <c r="C94" s="72">
        <v>16541</v>
      </c>
      <c r="D94" s="72">
        <v>10856555</v>
      </c>
      <c r="E94" s="59">
        <v>6.8226503577508953E-4</v>
      </c>
      <c r="F94" s="93">
        <v>6.5634211958164563</v>
      </c>
      <c r="G94" s="101"/>
      <c r="H94" s="61" t="str">
        <f t="shared" si="1"/>
        <v>(6, 7]</v>
      </c>
      <c r="I94" s="62">
        <v>0</v>
      </c>
      <c r="J94" s="59">
        <v>0</v>
      </c>
      <c r="K94" s="59">
        <v>0</v>
      </c>
      <c r="L94" s="119">
        <v>0</v>
      </c>
      <c r="M94" s="59">
        <v>0</v>
      </c>
      <c r="N94" s="59">
        <v>0</v>
      </c>
      <c r="O94" s="51">
        <v>0</v>
      </c>
    </row>
    <row r="95" spans="1:15" x14ac:dyDescent="0.3">
      <c r="A95" s="58">
        <v>7</v>
      </c>
      <c r="B95" s="58">
        <v>8</v>
      </c>
      <c r="C95" s="72">
        <v>16722</v>
      </c>
      <c r="D95" s="72">
        <v>12639590</v>
      </c>
      <c r="E95" s="59">
        <v>6.8973072536310058E-4</v>
      </c>
      <c r="F95" s="93">
        <v>7.5586592512857314</v>
      </c>
      <c r="G95" s="101"/>
      <c r="H95" s="61" t="str">
        <f t="shared" si="1"/>
        <v>(7, 8]</v>
      </c>
      <c r="I95" s="62">
        <v>0</v>
      </c>
      <c r="J95" s="59">
        <v>0</v>
      </c>
      <c r="K95" s="59">
        <v>0</v>
      </c>
      <c r="L95" s="119">
        <v>0</v>
      </c>
      <c r="M95" s="59">
        <v>0</v>
      </c>
      <c r="N95" s="59">
        <v>0</v>
      </c>
      <c r="O95" s="51">
        <v>0</v>
      </c>
    </row>
    <row r="96" spans="1:15" x14ac:dyDescent="0.3">
      <c r="A96" s="58">
        <v>8</v>
      </c>
      <c r="B96" s="58">
        <v>9</v>
      </c>
      <c r="C96" s="72">
        <v>17038</v>
      </c>
      <c r="D96" s="72">
        <v>14586110</v>
      </c>
      <c r="E96" s="59">
        <v>7.0276474696426912E-4</v>
      </c>
      <c r="F96" s="93">
        <v>8.5609285127362362</v>
      </c>
      <c r="G96" s="101"/>
      <c r="H96" s="61" t="str">
        <f t="shared" si="1"/>
        <v>(8, 9]</v>
      </c>
      <c r="I96" s="62">
        <v>0</v>
      </c>
      <c r="J96" s="59">
        <v>0</v>
      </c>
      <c r="K96" s="59">
        <v>0</v>
      </c>
      <c r="L96" s="119">
        <v>0</v>
      </c>
      <c r="M96" s="59">
        <v>0</v>
      </c>
      <c r="N96" s="59">
        <v>0</v>
      </c>
      <c r="O96" s="51">
        <v>0</v>
      </c>
    </row>
    <row r="97" spans="1:15" x14ac:dyDescent="0.3">
      <c r="A97" s="58">
        <v>9</v>
      </c>
      <c r="B97" s="58">
        <v>10</v>
      </c>
      <c r="C97" s="72">
        <v>17289</v>
      </c>
      <c r="D97" s="72">
        <v>16528360</v>
      </c>
      <c r="E97" s="59">
        <v>7.131177198183618E-4</v>
      </c>
      <c r="F97" s="93">
        <v>9.5600439585863839</v>
      </c>
      <c r="G97" s="101"/>
      <c r="H97" s="61" t="str">
        <f t="shared" si="1"/>
        <v>(9, 10]</v>
      </c>
      <c r="I97" s="62">
        <v>0</v>
      </c>
      <c r="J97" s="59">
        <v>0</v>
      </c>
      <c r="K97" s="59">
        <v>0</v>
      </c>
      <c r="L97" s="119">
        <v>0</v>
      </c>
      <c r="M97" s="59">
        <v>0</v>
      </c>
      <c r="N97" s="59">
        <v>0</v>
      </c>
      <c r="O97" s="51">
        <v>0</v>
      </c>
    </row>
    <row r="98" spans="1:15" x14ac:dyDescent="0.3">
      <c r="A98" s="58">
        <v>10</v>
      </c>
      <c r="B98" s="58">
        <v>15</v>
      </c>
      <c r="C98" s="72">
        <v>91411</v>
      </c>
      <c r="D98" s="72">
        <v>114997815</v>
      </c>
      <c r="E98" s="59">
        <v>3.7704207233684004E-3</v>
      </c>
      <c r="F98" s="93">
        <v>12.580303792760171</v>
      </c>
      <c r="G98" s="102"/>
      <c r="H98" s="61" t="str">
        <f t="shared" si="1"/>
        <v>(10, 15]</v>
      </c>
      <c r="I98" s="62">
        <v>26.86623500000001</v>
      </c>
      <c r="J98" s="59">
        <v>0.10129700920288548</v>
      </c>
      <c r="K98" s="59">
        <v>0.13142617414056562</v>
      </c>
      <c r="L98" s="119">
        <v>131426174</v>
      </c>
      <c r="M98" s="59">
        <v>0.13142617636567117</v>
      </c>
      <c r="N98" s="59">
        <v>1.65338122500102</v>
      </c>
      <c r="O98" s="51">
        <v>29.552858500000013</v>
      </c>
    </row>
    <row r="99" spans="1:15" x14ac:dyDescent="0.3">
      <c r="A99" s="58">
        <v>15</v>
      </c>
      <c r="B99" s="58">
        <v>20</v>
      </c>
      <c r="C99" s="72">
        <v>97447</v>
      </c>
      <c r="D99" s="72">
        <v>171256395</v>
      </c>
      <c r="E99" s="59">
        <v>4.0193870347122393E-3</v>
      </c>
      <c r="F99" s="93">
        <v>17.574311677116793</v>
      </c>
      <c r="G99" s="102"/>
      <c r="H99" s="115" t="str">
        <f t="shared" si="1"/>
        <v>(15, 20]</v>
      </c>
      <c r="I99" s="62">
        <v>25.123956000000007</v>
      </c>
      <c r="J99" s="59">
        <v>0.10098290300708081</v>
      </c>
      <c r="K99" s="59">
        <v>0.13101864211258862</v>
      </c>
      <c r="L99" s="119">
        <v>131018642</v>
      </c>
      <c r="M99" s="59">
        <v>0.1310186443583356</v>
      </c>
      <c r="N99" s="59">
        <v>2.3025624914667095</v>
      </c>
      <c r="O99" s="51">
        <v>27.636351600000008</v>
      </c>
    </row>
    <row r="100" spans="1:15" x14ac:dyDescent="0.3">
      <c r="A100" s="58">
        <v>20</v>
      </c>
      <c r="B100" s="58">
        <v>25</v>
      </c>
      <c r="C100" s="72">
        <v>102208</v>
      </c>
      <c r="D100" s="72">
        <v>230656665</v>
      </c>
      <c r="E100" s="59">
        <v>4.2157635437095912E-3</v>
      </c>
      <c r="F100" s="93">
        <v>22.567378776612401</v>
      </c>
      <c r="G100" s="102"/>
      <c r="H100" s="61" t="str">
        <f t="shared" si="1"/>
        <v>(20, 25]</v>
      </c>
      <c r="I100" s="62">
        <v>23.52808700000001</v>
      </c>
      <c r="J100" s="59">
        <v>9.9188851427827601E-2</v>
      </c>
      <c r="K100" s="59">
        <v>0.12869097876766361</v>
      </c>
      <c r="L100" s="119">
        <v>128690978</v>
      </c>
      <c r="M100" s="59">
        <v>0.12869098031643764</v>
      </c>
      <c r="N100" s="59">
        <v>2.9042180979346188</v>
      </c>
      <c r="O100" s="51">
        <v>25.880895700000014</v>
      </c>
    </row>
    <row r="101" spans="1:15" x14ac:dyDescent="0.3">
      <c r="A101" s="58">
        <v>25</v>
      </c>
      <c r="B101" s="58">
        <v>30</v>
      </c>
      <c r="C101" s="72">
        <v>107770</v>
      </c>
      <c r="D101" s="72">
        <v>297082655</v>
      </c>
      <c r="E101" s="59">
        <v>4.4451788226516778E-3</v>
      </c>
      <c r="F101" s="93">
        <v>27.566359376449846</v>
      </c>
      <c r="G101" s="102"/>
      <c r="H101" s="61" t="str">
        <f t="shared" si="1"/>
        <v>(25, 30]</v>
      </c>
      <c r="I101" s="62">
        <v>23.42560000000001</v>
      </c>
      <c r="J101" s="59">
        <v>0.10413098102790919</v>
      </c>
      <c r="K101" s="59">
        <v>0.13510306527008589</v>
      </c>
      <c r="L101" s="119">
        <v>135103065</v>
      </c>
      <c r="M101" s="59">
        <v>0.13510306743185521</v>
      </c>
      <c r="N101" s="59">
        <v>3.7242997096872577</v>
      </c>
      <c r="O101" s="51">
        <v>25.768160000000012</v>
      </c>
    </row>
    <row r="102" spans="1:15" x14ac:dyDescent="0.3">
      <c r="A102" s="58">
        <v>30</v>
      </c>
      <c r="B102" s="58">
        <v>35</v>
      </c>
      <c r="C102" s="72">
        <v>112041</v>
      </c>
      <c r="D102" s="72">
        <v>364866645</v>
      </c>
      <c r="E102" s="59">
        <v>4.6213443487864584E-3</v>
      </c>
      <c r="F102" s="93">
        <v>32.565457734222292</v>
      </c>
      <c r="G102" s="102"/>
      <c r="H102" s="61" t="str">
        <f t="shared" si="1"/>
        <v>(30, 35]</v>
      </c>
      <c r="I102" s="62">
        <v>6</v>
      </c>
      <c r="J102" s="59">
        <v>2.7728066092718752E-2</v>
      </c>
      <c r="K102" s="59">
        <v>3.5975333048420953E-2</v>
      </c>
      <c r="L102" s="119">
        <v>35975333</v>
      </c>
      <c r="M102" s="59">
        <v>3.5975333647556007E-2</v>
      </c>
      <c r="N102" s="59">
        <v>1.1715532073740302</v>
      </c>
      <c r="O102" s="51">
        <v>6.6000000000000005</v>
      </c>
    </row>
    <row r="103" spans="1:15" x14ac:dyDescent="0.3">
      <c r="A103" s="58">
        <v>35</v>
      </c>
      <c r="B103" s="58">
        <v>40</v>
      </c>
      <c r="C103" s="72">
        <v>116623</v>
      </c>
      <c r="D103" s="72">
        <v>437917990</v>
      </c>
      <c r="E103" s="59">
        <v>4.8103376620034013E-3</v>
      </c>
      <c r="F103" s="93">
        <v>37.549882098728382</v>
      </c>
      <c r="G103" s="102"/>
      <c r="H103" s="115" t="str">
        <f t="shared" si="1"/>
        <v>(35, 40]</v>
      </c>
      <c r="I103" s="62">
        <v>4.72</v>
      </c>
      <c r="J103" s="59">
        <v>2.2704793764656055E-2</v>
      </c>
      <c r="K103" s="59">
        <v>2.9457969219631362E-2</v>
      </c>
      <c r="L103" s="119">
        <v>29457969</v>
      </c>
      <c r="M103" s="59">
        <v>2.945796953024345E-2</v>
      </c>
      <c r="N103" s="59">
        <v>1.1061432827285747</v>
      </c>
      <c r="O103" s="51">
        <v>5.1920000000000002</v>
      </c>
    </row>
    <row r="104" spans="1:15" x14ac:dyDescent="0.3">
      <c r="A104" s="58">
        <v>40</v>
      </c>
      <c r="B104" s="58">
        <v>45</v>
      </c>
      <c r="C104" s="72">
        <v>120399</v>
      </c>
      <c r="D104" s="72">
        <v>512370730</v>
      </c>
      <c r="E104" s="59">
        <v>4.9660859707566047E-3</v>
      </c>
      <c r="F104" s="93">
        <v>42.556061927424643</v>
      </c>
      <c r="G104" s="102"/>
      <c r="H104" s="61" t="str">
        <f t="shared" si="1"/>
        <v>(40, 45]</v>
      </c>
      <c r="I104" s="62">
        <v>4.5</v>
      </c>
      <c r="J104" s="59">
        <v>2.234738686840472E-2</v>
      </c>
      <c r="K104" s="59">
        <v>2.8994257394816408E-2</v>
      </c>
      <c r="L104" s="119">
        <v>28994257</v>
      </c>
      <c r="M104" s="59">
        <v>2.8994257521896636E-2</v>
      </c>
      <c r="N104" s="59">
        <v>1.233881418641531</v>
      </c>
      <c r="O104" s="51">
        <v>4.95</v>
      </c>
    </row>
    <row r="105" spans="1:15" x14ac:dyDescent="0.3">
      <c r="A105" s="58">
        <v>45</v>
      </c>
      <c r="B105" s="58">
        <v>50</v>
      </c>
      <c r="C105" s="72">
        <v>124865</v>
      </c>
      <c r="D105" s="72">
        <v>593823835</v>
      </c>
      <c r="E105" s="59">
        <v>5.1502946431326128E-3</v>
      </c>
      <c r="F105" s="93">
        <v>47.557268650142149</v>
      </c>
      <c r="G105" s="102"/>
      <c r="H105" s="61" t="str">
        <f t="shared" si="1"/>
        <v>(45, 50]</v>
      </c>
      <c r="I105" s="62">
        <v>4</v>
      </c>
      <c r="J105" s="59">
        <v>2.0601178572530451E-2</v>
      </c>
      <c r="K105" s="59">
        <v>2.672866754783863E-2</v>
      </c>
      <c r="L105" s="119">
        <v>26728667</v>
      </c>
      <c r="M105" s="59">
        <v>2.6728667481116016E-2</v>
      </c>
      <c r="N105" s="59">
        <v>1.2711424200597525</v>
      </c>
      <c r="O105" s="51">
        <v>4.4000000000000004</v>
      </c>
    </row>
    <row r="106" spans="1:15" x14ac:dyDescent="0.3">
      <c r="A106" s="58">
        <v>50</v>
      </c>
      <c r="B106" s="58">
        <v>60</v>
      </c>
      <c r="C106" s="72">
        <v>262854</v>
      </c>
      <c r="D106" s="72">
        <v>1448045425</v>
      </c>
      <c r="E106" s="59">
        <v>1.0841913651751731E-2</v>
      </c>
      <c r="F106" s="93">
        <v>55.089343323670171</v>
      </c>
      <c r="G106" s="102"/>
      <c r="H106" s="115" t="str">
        <f t="shared" si="1"/>
        <v>(50, 60]</v>
      </c>
      <c r="I106" s="62">
        <v>1.6</v>
      </c>
      <c r="J106" s="59">
        <v>1.7347061842802769E-2</v>
      </c>
      <c r="K106" s="59">
        <v>2.2506666174250831E-2</v>
      </c>
      <c r="L106" s="119">
        <v>22506666</v>
      </c>
      <c r="M106" s="59">
        <v>2.2506666405119995E-2</v>
      </c>
      <c r="N106" s="59">
        <v>1.2398774726629689</v>
      </c>
      <c r="O106" s="51">
        <v>1.7600000000000002</v>
      </c>
    </row>
    <row r="107" spans="1:15" x14ac:dyDescent="0.3">
      <c r="A107" s="58">
        <v>60</v>
      </c>
      <c r="B107" s="58">
        <v>70</v>
      </c>
      <c r="C107" s="72">
        <v>277706</v>
      </c>
      <c r="D107" s="72">
        <v>1807255650</v>
      </c>
      <c r="E107" s="59">
        <v>1.1454512667006651E-2</v>
      </c>
      <c r="F107" s="93">
        <v>65.078019560254376</v>
      </c>
      <c r="G107" s="102"/>
      <c r="H107" s="61" t="str">
        <f t="shared" si="1"/>
        <v>(60, 70]</v>
      </c>
      <c r="I107" s="62">
        <v>4.5270000000000001</v>
      </c>
      <c r="J107" s="59">
        <v>5.1854578843539112E-2</v>
      </c>
      <c r="K107" s="59">
        <v>6.7277888683040521E-2</v>
      </c>
      <c r="L107" s="119">
        <v>67277888</v>
      </c>
      <c r="M107" s="59">
        <v>6.7277889211002001E-2</v>
      </c>
      <c r="N107" s="59">
        <v>4.3783117900462152</v>
      </c>
      <c r="O107" s="51">
        <v>4.9797000000000002</v>
      </c>
    </row>
    <row r="108" spans="1:15" x14ac:dyDescent="0.3">
      <c r="A108" s="58">
        <v>70</v>
      </c>
      <c r="B108" s="58">
        <v>80</v>
      </c>
      <c r="C108" s="72">
        <v>291843</v>
      </c>
      <c r="D108" s="72">
        <v>2190668395</v>
      </c>
      <c r="E108" s="59">
        <v>1.2037620146043737E-2</v>
      </c>
      <c r="F108" s="93">
        <v>75.063249589676644</v>
      </c>
      <c r="G108" s="102"/>
      <c r="H108" s="61" t="str">
        <f t="shared" si="1"/>
        <v>(70, 80]</v>
      </c>
      <c r="I108" s="62">
        <v>3.87</v>
      </c>
      <c r="J108" s="59">
        <v>4.6585589965189265E-2</v>
      </c>
      <c r="K108" s="59">
        <v>6.0441723871069108E-2</v>
      </c>
      <c r="L108" s="119">
        <v>60441723</v>
      </c>
      <c r="M108" s="59">
        <v>6.0441724087951031E-2</v>
      </c>
      <c r="N108" s="59">
        <v>4.5369522208442392</v>
      </c>
      <c r="O108" s="51">
        <v>4.2570000000000006</v>
      </c>
    </row>
    <row r="109" spans="1:15" x14ac:dyDescent="0.3">
      <c r="A109" s="58">
        <v>80</v>
      </c>
      <c r="B109" s="58">
        <v>90</v>
      </c>
      <c r="C109" s="72">
        <v>304370</v>
      </c>
      <c r="D109" s="72">
        <v>2589124735</v>
      </c>
      <c r="E109" s="59">
        <v>1.2554320109960946E-2</v>
      </c>
      <c r="F109" s="93">
        <v>85.065043696816375</v>
      </c>
      <c r="H109" s="61" t="str">
        <f t="shared" si="1"/>
        <v>(80, 90]</v>
      </c>
      <c r="I109" s="62">
        <v>1.9</v>
      </c>
      <c r="J109" s="59">
        <v>2.3853208208925794E-2</v>
      </c>
      <c r="K109" s="59">
        <v>3.0947961055775682E-2</v>
      </c>
      <c r="L109" s="119">
        <v>30947961</v>
      </c>
      <c r="M109" s="59">
        <v>3.0947961557063308E-2</v>
      </c>
      <c r="N109" s="59">
        <v>2.6325897021789837</v>
      </c>
      <c r="O109" s="51">
        <v>2.09</v>
      </c>
    </row>
    <row r="110" spans="1:15" x14ac:dyDescent="0.3">
      <c r="A110" s="58">
        <v>90</v>
      </c>
      <c r="B110" s="58">
        <v>100</v>
      </c>
      <c r="C110" s="72">
        <v>313914</v>
      </c>
      <c r="D110" s="72">
        <v>2983913760</v>
      </c>
      <c r="E110" s="59">
        <v>1.2947980559839275E-2</v>
      </c>
      <c r="F110" s="93">
        <v>95.055134845849494</v>
      </c>
      <c r="G110" s="102"/>
      <c r="H110" s="61" t="str">
        <f t="shared" si="1"/>
        <v>(90, 100]</v>
      </c>
      <c r="I110" s="117">
        <v>1.6</v>
      </c>
      <c r="J110" s="118">
        <v>2.0716768895742841E-2</v>
      </c>
      <c r="K110" s="118">
        <v>2.6878638352179445E-2</v>
      </c>
      <c r="L110" s="119">
        <v>26878638</v>
      </c>
      <c r="M110" s="118">
        <v>2.6878638483815491E-2</v>
      </c>
      <c r="N110" s="118">
        <v>2.5549526055519212</v>
      </c>
      <c r="O110" s="51">
        <v>1.7600000000000002</v>
      </c>
    </row>
    <row r="111" spans="1:15" x14ac:dyDescent="0.3">
      <c r="A111" s="58">
        <v>100</v>
      </c>
      <c r="B111" s="58">
        <v>120</v>
      </c>
      <c r="C111" s="72">
        <v>655985</v>
      </c>
      <c r="D111" s="72">
        <v>7222235220</v>
      </c>
      <c r="E111" s="59">
        <v>2.7057350190007986E-2</v>
      </c>
      <c r="F111" s="93">
        <v>110.09756656021098</v>
      </c>
      <c r="G111" s="102"/>
      <c r="H111" s="61" t="str">
        <f t="shared" si="1"/>
        <v>(100, 120]</v>
      </c>
      <c r="I111" s="117">
        <v>1.2235</v>
      </c>
      <c r="J111" s="118">
        <v>3.310466795747477E-2</v>
      </c>
      <c r="K111" s="118">
        <v>4.295111859749505E-2</v>
      </c>
      <c r="L111" s="119">
        <v>42951118</v>
      </c>
      <c r="M111" s="118">
        <v>4.2951118773120141E-2</v>
      </c>
      <c r="N111" s="118">
        <v>4.7288136579591216</v>
      </c>
      <c r="O111" s="51">
        <v>1.3458500000000002</v>
      </c>
    </row>
    <row r="112" spans="1:15" x14ac:dyDescent="0.3">
      <c r="A112" s="58">
        <v>120</v>
      </c>
      <c r="B112" s="58">
        <v>140</v>
      </c>
      <c r="C112" s="72">
        <v>677779</v>
      </c>
      <c r="D112" s="72">
        <v>8815879535</v>
      </c>
      <c r="E112" s="59">
        <v>2.7956285211450601E-2</v>
      </c>
      <c r="F112" s="93">
        <v>130.07011924240794</v>
      </c>
      <c r="G112" s="102"/>
      <c r="H112" s="61" t="str">
        <f t="shared" si="1"/>
        <v>(120, 140]</v>
      </c>
      <c r="I112" s="117">
        <v>0.52470000000000006</v>
      </c>
      <c r="J112" s="118">
        <v>1.4668662850448131E-2</v>
      </c>
      <c r="K112" s="118">
        <v>1.9031620512418114E-2</v>
      </c>
      <c r="L112" s="119">
        <v>19031620</v>
      </c>
      <c r="M112" s="118">
        <v>1.9031620342569167E-2</v>
      </c>
      <c r="N112" s="118">
        <v>2.4754451273342082</v>
      </c>
      <c r="O112" s="51">
        <v>0.57717000000000007</v>
      </c>
    </row>
    <row r="113" spans="1:15" x14ac:dyDescent="0.3">
      <c r="A113" s="58">
        <v>140</v>
      </c>
      <c r="B113" s="58">
        <v>160</v>
      </c>
      <c r="C113" s="72">
        <v>690947</v>
      </c>
      <c r="D113" s="72">
        <v>10368127795</v>
      </c>
      <c r="E113" s="59">
        <v>2.8499424440704357E-2</v>
      </c>
      <c r="F113" s="93">
        <v>150.05677418094297</v>
      </c>
      <c r="G113" s="102"/>
      <c r="H113" s="61" t="str">
        <f t="shared" si="1"/>
        <v>(140, 160]</v>
      </c>
      <c r="I113" s="117">
        <v>0.78732000000000013</v>
      </c>
      <c r="J113" s="118">
        <v>2.2438166850655358E-2</v>
      </c>
      <c r="K113" s="118">
        <v>2.911203842161705E-2</v>
      </c>
      <c r="L113" s="119">
        <v>29112038</v>
      </c>
      <c r="M113" s="118">
        <v>2.9112038524016694E-2</v>
      </c>
      <c r="N113" s="118">
        <v>4.3684585907452851</v>
      </c>
      <c r="O113" s="51">
        <v>0.86605200000000027</v>
      </c>
    </row>
    <row r="114" spans="1:15" x14ac:dyDescent="0.3">
      <c r="A114" s="58">
        <v>160</v>
      </c>
      <c r="B114" s="58">
        <v>180</v>
      </c>
      <c r="C114" s="72">
        <v>694976</v>
      </c>
      <c r="D114" s="72">
        <v>11816955235</v>
      </c>
      <c r="E114" s="59">
        <v>2.8665608216119257E-2</v>
      </c>
      <c r="F114" s="93">
        <v>170.034004555553</v>
      </c>
      <c r="G114" s="102"/>
      <c r="H114" s="61" t="str">
        <f t="shared" si="1"/>
        <v>(160, 180]</v>
      </c>
      <c r="I114" s="117">
        <v>0.23245229340000007</v>
      </c>
      <c r="J114" s="118">
        <v>6.6633863715428055E-3</v>
      </c>
      <c r="K114" s="118">
        <v>8.6453033956634395E-3</v>
      </c>
      <c r="L114" s="119">
        <v>8645303</v>
      </c>
      <c r="M114" s="118">
        <v>8.6453031556154563E-3</v>
      </c>
      <c r="N114" s="118">
        <v>1.4699955161460552</v>
      </c>
      <c r="O114" s="51">
        <v>0.25569752274000007</v>
      </c>
    </row>
    <row r="115" spans="1:15" x14ac:dyDescent="0.3">
      <c r="A115" s="58">
        <v>180</v>
      </c>
      <c r="B115" s="58">
        <v>200</v>
      </c>
      <c r="C115" s="72">
        <v>690929</v>
      </c>
      <c r="D115" s="72">
        <v>13128961605</v>
      </c>
      <c r="E115" s="59">
        <v>2.8498681996435939E-2</v>
      </c>
      <c r="F115" s="93">
        <v>190.01896873629562</v>
      </c>
      <c r="G115" s="102"/>
      <c r="H115" s="61" t="str">
        <f t="shared" si="1"/>
        <v>(180, 200]</v>
      </c>
      <c r="I115" s="117">
        <v>0.20533285917000005</v>
      </c>
      <c r="J115" s="118">
        <v>5.8517158569047966E-3</v>
      </c>
      <c r="K115" s="118">
        <v>7.5922145508790775E-3</v>
      </c>
      <c r="L115" s="119">
        <v>7592214</v>
      </c>
      <c r="M115" s="118">
        <v>7.5922141366598543E-3</v>
      </c>
      <c r="N115" s="118">
        <v>1.4426647006732305</v>
      </c>
      <c r="O115" s="51">
        <v>0.22586614508700006</v>
      </c>
    </row>
    <row r="116" spans="1:15" x14ac:dyDescent="0.3">
      <c r="A116" s="58">
        <v>200</v>
      </c>
      <c r="B116" s="58">
        <v>250</v>
      </c>
      <c r="C116" s="72">
        <v>1682493</v>
      </c>
      <c r="D116" s="72">
        <v>37828116410</v>
      </c>
      <c r="E116" s="59">
        <v>6.9397626917135469E-2</v>
      </c>
      <c r="F116" s="93">
        <v>224.83372239884505</v>
      </c>
      <c r="G116" s="102"/>
      <c r="H116" s="61" t="str">
        <f t="shared" si="1"/>
        <v>(200, 250]</v>
      </c>
      <c r="I116" s="117">
        <v>0.22719368470500004</v>
      </c>
      <c r="J116" s="118">
        <v>1.57667025690869E-2</v>
      </c>
      <c r="K116" s="118">
        <v>2.0456254471610719E-2</v>
      </c>
      <c r="L116" s="119">
        <v>20456254</v>
      </c>
      <c r="M116" s="118">
        <v>2.0456254368212579E-2</v>
      </c>
      <c r="N116" s="118">
        <v>4.5992558159428683</v>
      </c>
      <c r="O116" s="51">
        <v>0.24991305317550006</v>
      </c>
    </row>
    <row r="117" spans="1:15" x14ac:dyDescent="0.3">
      <c r="A117" s="58">
        <v>250</v>
      </c>
      <c r="B117" s="58">
        <v>300</v>
      </c>
      <c r="C117" s="72">
        <v>1581093</v>
      </c>
      <c r="D117" s="72">
        <v>43437727910</v>
      </c>
      <c r="E117" s="59">
        <v>6.5215190871697221E-2</v>
      </c>
      <c r="F117" s="93">
        <v>274.73227640625822</v>
      </c>
      <c r="G117" s="102"/>
      <c r="H117" s="61" t="str">
        <f t="shared" si="1"/>
        <v>(250, 300]</v>
      </c>
      <c r="I117" s="117">
        <v>6.8186006064000007E-2</v>
      </c>
      <c r="J117" s="118">
        <v>4.4467634002424644E-3</v>
      </c>
      <c r="K117" s="118">
        <v>5.769381599723602E-3</v>
      </c>
      <c r="L117" s="119">
        <v>5769381</v>
      </c>
      <c r="M117" s="118">
        <v>5.7693811038488597E-3</v>
      </c>
      <c r="N117" s="118">
        <v>1.5850352041156481</v>
      </c>
      <c r="O117" s="51">
        <v>7.5004606670400015E-2</v>
      </c>
    </row>
    <row r="118" spans="1:15" x14ac:dyDescent="0.3">
      <c r="A118" s="58">
        <v>300</v>
      </c>
      <c r="B118" s="58">
        <v>350</v>
      </c>
      <c r="C118" s="72">
        <v>1455173</v>
      </c>
      <c r="D118" s="72">
        <v>47240444250</v>
      </c>
      <c r="E118" s="59">
        <v>6.0021380745054372E-2</v>
      </c>
      <c r="F118" s="93">
        <v>324.63799321455247</v>
      </c>
      <c r="G118" s="102"/>
      <c r="H118" s="61" t="str">
        <f t="shared" si="1"/>
        <v>(300, 350]</v>
      </c>
      <c r="I118" s="117">
        <v>6.3924380685000018E-2</v>
      </c>
      <c r="J118" s="118">
        <v>3.8368295919861857E-3</v>
      </c>
      <c r="K118" s="118">
        <v>4.9780327975338465E-3</v>
      </c>
      <c r="L118" s="119">
        <v>4978032</v>
      </c>
      <c r="M118" s="118">
        <v>4.9780320896045775E-3</v>
      </c>
      <c r="N118" s="118">
        <v>1.6160583477268753</v>
      </c>
      <c r="O118" s="51">
        <v>7.0316818753500029E-2</v>
      </c>
    </row>
    <row r="119" spans="1:15" x14ac:dyDescent="0.3">
      <c r="A119" s="58">
        <v>350</v>
      </c>
      <c r="B119" s="58">
        <v>400</v>
      </c>
      <c r="C119" s="72">
        <v>1322849</v>
      </c>
      <c r="D119" s="72">
        <v>49553673310</v>
      </c>
      <c r="E119" s="59">
        <v>5.4563425446468861E-2</v>
      </c>
      <c r="F119" s="93">
        <v>374.59810840088323</v>
      </c>
      <c r="G119" s="102"/>
      <c r="H119" s="61" t="str">
        <f t="shared" si="1"/>
        <v>(350, 400]</v>
      </c>
      <c r="I119" s="117">
        <v>0.01</v>
      </c>
      <c r="J119" s="118">
        <v>5.4563425446468861E-4</v>
      </c>
      <c r="K119" s="118">
        <v>7.0792438107137277E-4</v>
      </c>
      <c r="L119" s="119">
        <v>707924</v>
      </c>
      <c r="M119" s="118">
        <v>7.0792401274263222E-4</v>
      </c>
      <c r="N119" s="118">
        <v>0.26518699606495277</v>
      </c>
      <c r="O119" s="51">
        <v>1.1000000000000001E-2</v>
      </c>
    </row>
    <row r="120" spans="1:15" x14ac:dyDescent="0.3">
      <c r="A120" s="58">
        <v>400</v>
      </c>
      <c r="B120" s="58">
        <v>450</v>
      </c>
      <c r="C120" s="72">
        <v>1195914</v>
      </c>
      <c r="D120" s="72">
        <v>50776486470</v>
      </c>
      <c r="E120" s="59">
        <v>4.9327749712467832E-2</v>
      </c>
      <c r="F120" s="93">
        <v>424.58309268057741</v>
      </c>
      <c r="G120" s="102"/>
      <c r="H120" s="61" t="str">
        <f t="shared" si="1"/>
        <v>(400, 450]</v>
      </c>
      <c r="I120" s="117">
        <v>0.01</v>
      </c>
      <c r="J120" s="118">
        <v>4.9327749712467831E-4</v>
      </c>
      <c r="K120" s="118">
        <v>6.3999494898101732E-4</v>
      </c>
      <c r="L120" s="119">
        <v>639994</v>
      </c>
      <c r="M120" s="118">
        <v>6.399940115198922E-4</v>
      </c>
      <c r="N120" s="118">
        <v>0.27173063670816494</v>
      </c>
      <c r="O120" s="51">
        <v>1.1000000000000001E-2</v>
      </c>
    </row>
    <row r="121" spans="1:15" x14ac:dyDescent="0.3">
      <c r="A121" s="58">
        <v>450</v>
      </c>
      <c r="B121" s="58">
        <v>500</v>
      </c>
      <c r="C121" s="72">
        <v>1073634</v>
      </c>
      <c r="D121" s="72">
        <v>50951687405</v>
      </c>
      <c r="E121" s="59">
        <v>4.4284078315661238E-2</v>
      </c>
      <c r="F121" s="93">
        <v>474.57222298287871</v>
      </c>
      <c r="G121" s="102"/>
      <c r="H121" s="61" t="str">
        <f t="shared" si="1"/>
        <v>(450, 500]</v>
      </c>
      <c r="I121" s="117">
        <v>0.01</v>
      </c>
      <c r="J121" s="118">
        <v>4.4284078315661238E-4</v>
      </c>
      <c r="K121" s="118">
        <v>5.7455664625908351E-4</v>
      </c>
      <c r="L121" s="119">
        <v>574556</v>
      </c>
      <c r="M121" s="118">
        <v>5.7455601034200822E-4</v>
      </c>
      <c r="N121" s="118">
        <v>0.27266832305618072</v>
      </c>
      <c r="O121" s="51">
        <v>1.1000000000000001E-2</v>
      </c>
    </row>
    <row r="122" spans="1:15" x14ac:dyDescent="0.3">
      <c r="A122" s="58">
        <v>500</v>
      </c>
      <c r="B122" s="58">
        <v>550</v>
      </c>
      <c r="C122" s="72">
        <v>962726</v>
      </c>
      <c r="D122" s="72">
        <v>50501983020</v>
      </c>
      <c r="E122" s="59">
        <v>3.9709466708881501E-2</v>
      </c>
      <c r="F122" s="93">
        <v>524.57275507257521</v>
      </c>
      <c r="G122" s="102"/>
      <c r="H122" s="61" t="str">
        <f t="shared" si="1"/>
        <v>(500, 550]</v>
      </c>
      <c r="I122" s="117">
        <v>0.01</v>
      </c>
      <c r="J122" s="118">
        <v>3.9709466708881503E-4</v>
      </c>
      <c r="K122" s="118">
        <v>5.1520408428423693E-4</v>
      </c>
      <c r="L122" s="119">
        <v>515204</v>
      </c>
      <c r="M122" s="118">
        <v>5.1520400927367212E-4</v>
      </c>
      <c r="N122" s="118">
        <v>0.27026198656912676</v>
      </c>
      <c r="O122" s="51">
        <v>1.1000000000000001E-2</v>
      </c>
    </row>
    <row r="123" spans="1:15" x14ac:dyDescent="0.3">
      <c r="A123" s="58">
        <v>550</v>
      </c>
      <c r="B123" s="58">
        <v>600</v>
      </c>
      <c r="C123" s="72">
        <v>861565</v>
      </c>
      <c r="D123" s="72">
        <v>49504424990</v>
      </c>
      <c r="E123" s="59">
        <v>3.5536888673451728E-2</v>
      </c>
      <c r="F123" s="93">
        <v>574.58723358075122</v>
      </c>
      <c r="G123" s="102"/>
      <c r="H123" s="61" t="str">
        <f t="shared" si="1"/>
        <v>(550, 600]</v>
      </c>
      <c r="I123" s="62">
        <v>0.01</v>
      </c>
      <c r="J123" s="59">
        <v>3.5536888673451731E-4</v>
      </c>
      <c r="K123" s="59">
        <v>4.6106764217061612E-4</v>
      </c>
      <c r="L123" s="119">
        <v>461067</v>
      </c>
      <c r="M123" s="59">
        <v>4.6106700829920617E-4</v>
      </c>
      <c r="N123" s="59">
        <v>0.26492321679399411</v>
      </c>
      <c r="O123" s="51">
        <v>1.1000000000000001E-2</v>
      </c>
    </row>
    <row r="124" spans="1:15" x14ac:dyDescent="0.3">
      <c r="A124" s="58">
        <v>600</v>
      </c>
      <c r="B124" s="58">
        <v>650</v>
      </c>
      <c r="C124" s="72">
        <v>770123</v>
      </c>
      <c r="D124" s="72">
        <v>48097126385</v>
      </c>
      <c r="E124" s="59">
        <v>3.1765189296065491E-2</v>
      </c>
      <c r="F124" s="93">
        <v>624.5382410991491</v>
      </c>
      <c r="G124" s="102"/>
      <c r="H124" s="61" t="str">
        <f t="shared" si="1"/>
        <v>(600, 650]</v>
      </c>
      <c r="I124" s="62">
        <v>0.01</v>
      </c>
      <c r="J124" s="59">
        <v>3.1765189296065492E-4</v>
      </c>
      <c r="K124" s="59">
        <v>4.1213233568141859E-4</v>
      </c>
      <c r="L124" s="119">
        <v>412132</v>
      </c>
      <c r="M124" s="59">
        <v>4.1213200741837614E-4</v>
      </c>
      <c r="N124" s="59">
        <v>0.25739219901373411</v>
      </c>
      <c r="O124" s="51">
        <v>1.1000000000000001E-2</v>
      </c>
    </row>
    <row r="125" spans="1:15" x14ac:dyDescent="0.3">
      <c r="A125" s="58">
        <v>650</v>
      </c>
      <c r="B125" s="58">
        <v>700</v>
      </c>
      <c r="C125" s="72">
        <v>688611</v>
      </c>
      <c r="D125" s="72">
        <v>46453129085</v>
      </c>
      <c r="E125" s="59">
        <v>2.8403071673424835E-2</v>
      </c>
      <c r="F125" s="93">
        <v>674.59173735243849</v>
      </c>
      <c r="G125" s="102"/>
      <c r="H125" s="61" t="str">
        <f t="shared" si="1"/>
        <v>(650, 700]</v>
      </c>
      <c r="I125" s="62">
        <v>0.01</v>
      </c>
      <c r="J125" s="59">
        <v>2.8403071673424834E-4</v>
      </c>
      <c r="K125" s="59">
        <v>3.6851108174397766E-4</v>
      </c>
      <c r="L125" s="119">
        <v>368511</v>
      </c>
      <c r="M125" s="59">
        <v>3.6851100663319814E-4</v>
      </c>
      <c r="N125" s="59">
        <v>0.24859448019818511</v>
      </c>
      <c r="O125" s="51">
        <v>1.1000000000000001E-2</v>
      </c>
    </row>
    <row r="126" spans="1:15" x14ac:dyDescent="0.3">
      <c r="A126" s="58">
        <v>700</v>
      </c>
      <c r="B126" s="58">
        <v>750</v>
      </c>
      <c r="C126" s="72">
        <v>615528</v>
      </c>
      <c r="D126" s="72">
        <v>44600142220</v>
      </c>
      <c r="E126" s="59">
        <v>2.5388624202924207E-2</v>
      </c>
      <c r="F126" s="93">
        <v>724.58348312343219</v>
      </c>
      <c r="G126" s="101"/>
      <c r="H126" s="61" t="str">
        <f t="shared" si="1"/>
        <v>(700, 750]</v>
      </c>
      <c r="I126" s="62">
        <v>0.01</v>
      </c>
      <c r="J126" s="59">
        <v>2.5388624202924207E-4</v>
      </c>
      <c r="K126" s="59">
        <v>3.2940061823541461E-4</v>
      </c>
      <c r="L126" s="119">
        <v>329400</v>
      </c>
      <c r="M126" s="59">
        <v>3.2940000592920009E-4</v>
      </c>
      <c r="N126" s="59">
        <v>0.23867780363705901</v>
      </c>
      <c r="O126" s="51">
        <v>1.1000000000000001E-2</v>
      </c>
    </row>
    <row r="127" spans="1:15" x14ac:dyDescent="0.3">
      <c r="A127" s="58">
        <v>750</v>
      </c>
      <c r="B127" s="58">
        <v>800</v>
      </c>
      <c r="C127" s="72">
        <v>551340</v>
      </c>
      <c r="D127" s="72">
        <v>42704148030</v>
      </c>
      <c r="E127" s="59">
        <v>2.2741067941734954E-2</v>
      </c>
      <c r="F127" s="93">
        <v>774.55196484927626</v>
      </c>
      <c r="G127" s="101"/>
      <c r="H127" s="61" t="str">
        <f t="shared" si="1"/>
        <v>(750, 800]</v>
      </c>
      <c r="I127" s="62">
        <v>0.01</v>
      </c>
      <c r="J127" s="59">
        <v>2.2741067941734955E-4</v>
      </c>
      <c r="K127" s="59">
        <v>2.9505032566822876E-4</v>
      </c>
      <c r="L127" s="119">
        <v>295050</v>
      </c>
      <c r="M127" s="59">
        <v>2.9505000531090009E-4</v>
      </c>
      <c r="N127" s="59">
        <v>0.22853156134234706</v>
      </c>
      <c r="O127" s="51">
        <v>1.1000000000000001E-2</v>
      </c>
    </row>
    <row r="128" spans="1:15" x14ac:dyDescent="0.3">
      <c r="A128" s="58">
        <v>800</v>
      </c>
      <c r="B128" s="58">
        <v>850</v>
      </c>
      <c r="C128" s="72">
        <v>492954</v>
      </c>
      <c r="D128" s="72">
        <v>40648067315</v>
      </c>
      <c r="E128" s="59">
        <v>2.0332826216400066E-2</v>
      </c>
      <c r="F128" s="93">
        <v>824.58134663680585</v>
      </c>
      <c r="G128" s="101"/>
      <c r="H128" s="61" t="str">
        <f t="shared" si="1"/>
        <v>(800, 850]</v>
      </c>
      <c r="I128" s="62">
        <v>0.01</v>
      </c>
      <c r="J128" s="59">
        <v>2.0332826216400067E-4</v>
      </c>
      <c r="K128" s="59">
        <v>2.6380498102705416E-4</v>
      </c>
      <c r="L128" s="119">
        <v>263804</v>
      </c>
      <c r="M128" s="59">
        <v>2.6380400474847209E-4</v>
      </c>
      <c r="N128" s="59">
        <v>0.21752786148367745</v>
      </c>
      <c r="O128" s="51">
        <v>1.1000000000000001E-2</v>
      </c>
    </row>
    <row r="129" spans="1:15" x14ac:dyDescent="0.3">
      <c r="A129" s="58">
        <v>850</v>
      </c>
      <c r="B129" s="58">
        <v>900</v>
      </c>
      <c r="C129" s="72">
        <v>441091</v>
      </c>
      <c r="D129" s="72">
        <v>38575183265</v>
      </c>
      <c r="E129" s="59">
        <v>1.8193638044560183E-2</v>
      </c>
      <c r="F129" s="93">
        <v>874.54024827076501</v>
      </c>
      <c r="G129" s="101"/>
      <c r="H129" s="61" t="str">
        <f t="shared" si="1"/>
        <v>(850, 900]</v>
      </c>
      <c r="I129" s="62">
        <v>0.01</v>
      </c>
      <c r="J129" s="59">
        <v>1.8193638044560183E-4</v>
      </c>
      <c r="K129" s="59">
        <v>2.3605042840955611E-4</v>
      </c>
      <c r="L129" s="84">
        <v>236050</v>
      </c>
      <c r="M129" s="59">
        <v>2.3605000424890008E-4</v>
      </c>
      <c r="N129" s="59">
        <v>0.20643522932014821</v>
      </c>
      <c r="O129" s="51">
        <v>1.1000000000000001E-2</v>
      </c>
    </row>
    <row r="130" spans="1:15" x14ac:dyDescent="0.3">
      <c r="A130" s="58">
        <v>900</v>
      </c>
      <c r="B130" s="58">
        <v>950</v>
      </c>
      <c r="C130" s="72">
        <v>399506</v>
      </c>
      <c r="D130" s="72">
        <v>36936988840</v>
      </c>
      <c r="E130" s="59">
        <v>1.6478385549988692E-2</v>
      </c>
      <c r="F130" s="93">
        <v>924.56656070246754</v>
      </c>
      <c r="G130" s="101"/>
      <c r="H130" s="61" t="str">
        <f t="shared" si="1"/>
        <v>(900, 950]</v>
      </c>
      <c r="I130" s="62">
        <v>0.01</v>
      </c>
      <c r="J130" s="59">
        <v>1.6478385549988691E-4</v>
      </c>
      <c r="K130" s="59">
        <v>2.1379616100121774E-4</v>
      </c>
      <c r="L130" s="84">
        <v>213796</v>
      </c>
      <c r="M130" s="59">
        <v>2.1379600384832808E-4</v>
      </c>
      <c r="N130" s="59">
        <v>0.19766863596998022</v>
      </c>
      <c r="O130" s="51">
        <v>1.1000000000000001E-2</v>
      </c>
    </row>
    <row r="131" spans="1:15" x14ac:dyDescent="0.3">
      <c r="A131" s="58">
        <v>950</v>
      </c>
      <c r="B131" s="58">
        <v>1000</v>
      </c>
      <c r="C131" s="72">
        <v>356719</v>
      </c>
      <c r="D131" s="72">
        <v>34764671785</v>
      </c>
      <c r="E131" s="59">
        <v>1.4713554277048194E-2</v>
      </c>
      <c r="F131" s="93">
        <v>974.56742660189104</v>
      </c>
      <c r="G131" s="101"/>
      <c r="H131" s="61" t="str">
        <f t="shared" si="1"/>
        <v>(950, 1000]</v>
      </c>
      <c r="I131" s="62">
        <v>0.01</v>
      </c>
      <c r="J131" s="59">
        <v>1.4713554277048194E-4</v>
      </c>
      <c r="K131" s="59">
        <v>1.9089864171299904E-4</v>
      </c>
      <c r="L131" s="84">
        <v>190898</v>
      </c>
      <c r="M131" s="59">
        <v>1.9089800343616406E-4</v>
      </c>
      <c r="N131" s="59">
        <v>0.18604297595222136</v>
      </c>
      <c r="O131" s="51">
        <v>1.1000000000000001E-2</v>
      </c>
    </row>
    <row r="132" spans="1:15" x14ac:dyDescent="0.3">
      <c r="A132" s="58">
        <v>1000</v>
      </c>
      <c r="B132" s="58">
        <v>2000</v>
      </c>
      <c r="C132" s="72">
        <v>2999685</v>
      </c>
      <c r="D132" s="72">
        <v>406397759590</v>
      </c>
      <c r="E132" s="59">
        <v>0.12372771862880112</v>
      </c>
      <c r="F132" s="93">
        <v>1354.8014527858759</v>
      </c>
      <c r="G132" s="101"/>
      <c r="H132" s="61" t="str">
        <f t="shared" si="1"/>
        <v>(1000, 2000]</v>
      </c>
      <c r="I132" s="62">
        <v>1E-3</v>
      </c>
      <c r="J132" s="59">
        <v>1.2372771862880112E-4</v>
      </c>
      <c r="K132" s="59">
        <v>1.6052853704648685E-4</v>
      </c>
      <c r="L132" s="84">
        <v>160528</v>
      </c>
      <c r="M132" s="59">
        <v>1.6052800288950404E-4</v>
      </c>
      <c r="N132" s="59">
        <v>0.21748357152751535</v>
      </c>
      <c r="O132" s="51">
        <v>1.1000000000000001E-3</v>
      </c>
    </row>
    <row r="133" spans="1:15" x14ac:dyDescent="0.3">
      <c r="A133" s="58">
        <v>2000</v>
      </c>
      <c r="B133" s="58">
        <v>3000</v>
      </c>
      <c r="C133" s="72">
        <v>595737</v>
      </c>
      <c r="D133" s="72">
        <v>142464984050</v>
      </c>
      <c r="E133" s="59">
        <v>2.4572306729795327E-2</v>
      </c>
      <c r="F133" s="93">
        <v>2391.4073500554778</v>
      </c>
      <c r="G133" s="101"/>
      <c r="H133" s="61" t="str">
        <f t="shared" si="1"/>
        <v>(2000, 3000]</v>
      </c>
      <c r="I133" s="62">
        <v>1.6500000000000001E-2</v>
      </c>
      <c r="J133" s="59">
        <v>4.0544306104162289E-4</v>
      </c>
      <c r="K133" s="59">
        <v>5.2603557364477881E-4</v>
      </c>
      <c r="L133" s="84">
        <v>526035</v>
      </c>
      <c r="M133" s="59">
        <v>5.260350094686302E-4</v>
      </c>
      <c r="N133" s="59">
        <v>1.257963988029785</v>
      </c>
      <c r="O133" s="51">
        <v>1.8150000000000003E-2</v>
      </c>
    </row>
    <row r="134" spans="1:15" x14ac:dyDescent="0.3">
      <c r="A134" s="58">
        <v>3000</v>
      </c>
      <c r="B134" s="58">
        <v>4000</v>
      </c>
      <c r="C134" s="72">
        <v>177648</v>
      </c>
      <c r="D134" s="72">
        <v>60640513725</v>
      </c>
      <c r="E134" s="59">
        <v>7.3274299664695666E-3</v>
      </c>
      <c r="F134" s="93">
        <v>3413.5207671912999</v>
      </c>
      <c r="G134" s="101"/>
      <c r="H134" s="61" t="str">
        <f t="shared" si="1"/>
        <v>(3000, 4000]</v>
      </c>
      <c r="I134" s="62">
        <v>7.3509189062499983E-3</v>
      </c>
      <c r="J134" s="59">
        <v>5.3863343474743929E-5</v>
      </c>
      <c r="K134" s="59">
        <v>6.9884128021255987E-5</v>
      </c>
      <c r="L134" s="84">
        <v>69884</v>
      </c>
      <c r="M134" s="59">
        <v>6.9884001257912025E-5</v>
      </c>
      <c r="N134" s="59">
        <v>0.23855048958830563</v>
      </c>
      <c r="O134" s="51">
        <v>8.0860107968749994E-3</v>
      </c>
    </row>
    <row r="135" spans="1:15" x14ac:dyDescent="0.3">
      <c r="A135" s="58">
        <v>4000</v>
      </c>
      <c r="B135" s="58">
        <v>5000</v>
      </c>
      <c r="C135" s="72">
        <v>66837</v>
      </c>
      <c r="D135" s="72">
        <v>29592462645</v>
      </c>
      <c r="E135" s="59">
        <v>2.7568193093585429E-3</v>
      </c>
      <c r="F135" s="93">
        <v>4427.5569886440144</v>
      </c>
      <c r="G135" s="101"/>
      <c r="H135" s="61" t="str">
        <f t="shared" si="1"/>
        <v>(4000, 5000]</v>
      </c>
      <c r="I135" s="62">
        <v>0.01</v>
      </c>
      <c r="J135" s="59">
        <v>2.756819309358543E-5</v>
      </c>
      <c r="K135" s="59">
        <v>3.5767908398968702E-5</v>
      </c>
      <c r="L135" s="84">
        <v>35767</v>
      </c>
      <c r="M135" s="59">
        <v>3.5767000643806011E-5</v>
      </c>
      <c r="N135" s="59">
        <v>0.15836043366331826</v>
      </c>
      <c r="O135" s="51">
        <v>1.1000000000000001E-2</v>
      </c>
    </row>
    <row r="136" spans="1:15" x14ac:dyDescent="0.3">
      <c r="A136" s="58">
        <v>5000</v>
      </c>
      <c r="B136" s="58">
        <v>6000</v>
      </c>
      <c r="C136" s="72">
        <v>28892</v>
      </c>
      <c r="D136" s="72">
        <v>15701862375</v>
      </c>
      <c r="E136" s="59">
        <v>1.1917055446232928E-3</v>
      </c>
      <c r="F136" s="93">
        <v>5434.6747802159771</v>
      </c>
      <c r="G136" s="101"/>
      <c r="H136" s="61" t="str">
        <f t="shared" si="1"/>
        <v>(5000, 6000]</v>
      </c>
      <c r="I136" s="62">
        <v>0.01</v>
      </c>
      <c r="J136" s="59">
        <v>1.1917055446232928E-5</v>
      </c>
      <c r="K136" s="59">
        <v>1.5461591774960032E-5</v>
      </c>
      <c r="L136" s="84">
        <v>15461</v>
      </c>
      <c r="M136" s="59">
        <v>1.5461000278298004E-5</v>
      </c>
      <c r="N136" s="59">
        <v>8.4025508289378367E-2</v>
      </c>
      <c r="O136" s="51">
        <v>1.1000000000000001E-2</v>
      </c>
    </row>
    <row r="137" spans="1:15" x14ac:dyDescent="0.3">
      <c r="A137" s="58">
        <v>6000</v>
      </c>
      <c r="B137" s="58">
        <v>7000</v>
      </c>
      <c r="C137" s="72">
        <v>13577</v>
      </c>
      <c r="D137" s="72">
        <v>8749700330</v>
      </c>
      <c r="E137" s="59">
        <v>5.6000921290843306E-4</v>
      </c>
      <c r="F137" s="93">
        <v>6444.5019739264935</v>
      </c>
      <c r="G137" s="101"/>
      <c r="H137" s="61" t="str">
        <f t="shared" si="1"/>
        <v>(6000, 7000]</v>
      </c>
      <c r="I137" s="62">
        <v>0</v>
      </c>
      <c r="J137" s="59">
        <v>0</v>
      </c>
      <c r="K137" s="59">
        <v>0</v>
      </c>
      <c r="L137" s="84">
        <v>0</v>
      </c>
      <c r="M137" s="59">
        <v>0</v>
      </c>
      <c r="N137" s="59">
        <v>0</v>
      </c>
      <c r="O137" s="51">
        <v>0</v>
      </c>
    </row>
    <row r="138" spans="1:15" x14ac:dyDescent="0.3">
      <c r="A138" s="58">
        <v>7000</v>
      </c>
      <c r="B138" s="58">
        <v>8000</v>
      </c>
      <c r="C138" s="72">
        <v>6880</v>
      </c>
      <c r="D138" s="72">
        <v>5125139240</v>
      </c>
      <c r="E138" s="59">
        <v>2.8377869815202322E-4</v>
      </c>
      <c r="F138" s="93">
        <v>7449.3302906976742</v>
      </c>
      <c r="G138" s="101"/>
      <c r="H138" s="61" t="str">
        <f t="shared" si="1"/>
        <v>(7000, 8000]</v>
      </c>
      <c r="I138" s="62">
        <v>0</v>
      </c>
      <c r="J138" s="59">
        <v>0</v>
      </c>
      <c r="K138" s="59">
        <v>0</v>
      </c>
      <c r="L138" s="84">
        <v>0</v>
      </c>
      <c r="M138" s="59">
        <v>0</v>
      </c>
      <c r="N138" s="59">
        <v>0</v>
      </c>
      <c r="O138" s="51">
        <v>0</v>
      </c>
    </row>
    <row r="139" spans="1:15" x14ac:dyDescent="0.3">
      <c r="A139" s="58">
        <v>8000</v>
      </c>
      <c r="B139" s="58">
        <v>9000</v>
      </c>
      <c r="C139" s="72">
        <v>3778</v>
      </c>
      <c r="D139" s="72">
        <v>3193580725</v>
      </c>
      <c r="E139" s="59">
        <v>1.5583080256080577E-4</v>
      </c>
      <c r="F139" s="93">
        <v>8453.098795659078</v>
      </c>
      <c r="G139" s="101"/>
      <c r="H139" s="61" t="str">
        <f t="shared" si="1"/>
        <v>(8000, 9000]</v>
      </c>
      <c r="I139" s="62">
        <v>0</v>
      </c>
      <c r="J139" s="59">
        <v>0</v>
      </c>
      <c r="K139" s="59">
        <v>0</v>
      </c>
      <c r="L139" s="84">
        <v>0</v>
      </c>
      <c r="M139" s="59">
        <v>0</v>
      </c>
      <c r="N139" s="59">
        <v>0</v>
      </c>
      <c r="O139" s="51">
        <v>0</v>
      </c>
    </row>
    <row r="140" spans="1:15" x14ac:dyDescent="0.3">
      <c r="A140" s="58">
        <v>9000</v>
      </c>
      <c r="B140" s="58">
        <v>10000</v>
      </c>
      <c r="C140" s="72">
        <v>1978</v>
      </c>
      <c r="D140" s="72">
        <v>1870426090</v>
      </c>
      <c r="E140" s="59">
        <v>8.1586375718706677E-5</v>
      </c>
      <c r="F140" s="93">
        <v>9456.1480788675435</v>
      </c>
      <c r="G140" s="101"/>
      <c r="H140" s="61" t="str">
        <f t="shared" si="1"/>
        <v>(9000, 10000]</v>
      </c>
      <c r="I140" s="62">
        <v>0</v>
      </c>
      <c r="J140" s="59">
        <v>0</v>
      </c>
      <c r="K140" s="59">
        <v>0</v>
      </c>
      <c r="L140" s="84">
        <v>0</v>
      </c>
      <c r="M140" s="59">
        <v>0</v>
      </c>
      <c r="N140" s="59">
        <v>0</v>
      </c>
      <c r="O140" s="51">
        <v>0</v>
      </c>
    </row>
    <row r="141" spans="1:15" x14ac:dyDescent="0.3">
      <c r="A141" s="58">
        <v>10000</v>
      </c>
      <c r="B141" s="58">
        <v>20000</v>
      </c>
      <c r="C141" s="72">
        <v>3173</v>
      </c>
      <c r="D141" s="72">
        <v>3851525625</v>
      </c>
      <c r="E141" s="59">
        <v>1.3087642576110024E-4</v>
      </c>
      <c r="F141" s="93">
        <v>12138.435628742514</v>
      </c>
      <c r="G141" s="101"/>
      <c r="H141" s="61" t="str">
        <f t="shared" si="1"/>
        <v>(10000, 20000]</v>
      </c>
      <c r="I141" s="62">
        <v>0</v>
      </c>
      <c r="J141" s="59">
        <v>0</v>
      </c>
      <c r="K141" s="59">
        <v>0</v>
      </c>
      <c r="L141" s="84">
        <v>0</v>
      </c>
      <c r="M141" s="59">
        <v>0</v>
      </c>
      <c r="N141" s="59">
        <v>0</v>
      </c>
      <c r="O141" s="51">
        <v>0</v>
      </c>
    </row>
    <row r="142" spans="1:15" x14ac:dyDescent="0.3">
      <c r="A142" s="58">
        <v>20000</v>
      </c>
      <c r="B142" s="58">
        <v>30000</v>
      </c>
      <c r="C142" s="72">
        <v>61</v>
      </c>
      <c r="D142" s="72">
        <v>138833730</v>
      </c>
      <c r="E142" s="59">
        <v>2.5160611318711362E-6</v>
      </c>
      <c r="F142" s="93">
        <v>22759.627868852458</v>
      </c>
      <c r="G142" s="101"/>
      <c r="H142" s="61" t="str">
        <f t="shared" si="1"/>
        <v>(20000, 30000]</v>
      </c>
      <c r="I142" s="62">
        <v>0</v>
      </c>
      <c r="J142" s="59">
        <v>0</v>
      </c>
      <c r="K142" s="59">
        <v>0</v>
      </c>
      <c r="L142" s="84">
        <v>0</v>
      </c>
      <c r="M142" s="59">
        <v>0</v>
      </c>
      <c r="N142" s="59">
        <v>0</v>
      </c>
      <c r="O142" s="51">
        <v>0</v>
      </c>
    </row>
    <row r="143" spans="1:15" x14ac:dyDescent="0.3">
      <c r="A143" s="58">
        <v>30000</v>
      </c>
      <c r="B143" s="58">
        <v>40000</v>
      </c>
      <c r="C143" s="72">
        <v>4</v>
      </c>
      <c r="D143" s="72">
        <v>13229525</v>
      </c>
      <c r="E143" s="59">
        <v>1.6498761520466465E-7</v>
      </c>
      <c r="F143" s="93">
        <v>33073.8125</v>
      </c>
      <c r="G143" s="101"/>
      <c r="H143" s="61" t="str">
        <f t="shared" si="1"/>
        <v>(30000, 40000]</v>
      </c>
      <c r="I143" s="62">
        <v>0</v>
      </c>
      <c r="J143" s="59">
        <v>0</v>
      </c>
      <c r="K143" s="59">
        <v>0</v>
      </c>
      <c r="L143" s="84">
        <v>0</v>
      </c>
      <c r="M143" s="59">
        <v>0</v>
      </c>
      <c r="N143" s="59">
        <v>0</v>
      </c>
      <c r="O143" s="51">
        <v>0</v>
      </c>
    </row>
    <row r="144" spans="1:15" x14ac:dyDescent="0.3">
      <c r="A144" s="58">
        <v>40000</v>
      </c>
      <c r="B144" s="58">
        <v>50000</v>
      </c>
      <c r="C144" s="72">
        <v>0</v>
      </c>
      <c r="D144" s="72">
        <v>0</v>
      </c>
      <c r="E144" s="59">
        <v>0</v>
      </c>
      <c r="F144" s="93">
        <v>0</v>
      </c>
      <c r="G144" s="101"/>
      <c r="H144" s="61" t="str">
        <f t="shared" si="1"/>
        <v>(40000, 50000]</v>
      </c>
      <c r="I144" s="62">
        <v>0</v>
      </c>
      <c r="J144" s="59">
        <v>0</v>
      </c>
      <c r="K144" s="59">
        <v>0</v>
      </c>
      <c r="L144" s="84">
        <v>0</v>
      </c>
      <c r="M144" s="59">
        <v>0</v>
      </c>
      <c r="N144" s="59">
        <v>0</v>
      </c>
      <c r="O144" s="51">
        <v>0</v>
      </c>
    </row>
    <row r="145" spans="1:15" x14ac:dyDescent="0.3">
      <c r="A145" s="58">
        <v>50000</v>
      </c>
      <c r="B145" s="58">
        <v>60000</v>
      </c>
      <c r="C145" s="72">
        <v>0</v>
      </c>
      <c r="D145" s="72">
        <v>0</v>
      </c>
      <c r="E145" s="59">
        <v>0</v>
      </c>
      <c r="F145" s="93">
        <v>0</v>
      </c>
      <c r="G145" s="101"/>
      <c r="H145" s="61" t="str">
        <f t="shared" si="1"/>
        <v>(50000, 60000]</v>
      </c>
      <c r="I145" s="62">
        <v>0</v>
      </c>
      <c r="J145" s="59">
        <v>0</v>
      </c>
      <c r="K145" s="59">
        <v>0</v>
      </c>
      <c r="L145" s="84">
        <v>0</v>
      </c>
      <c r="M145" s="59">
        <v>0</v>
      </c>
      <c r="N145" s="59">
        <v>0</v>
      </c>
      <c r="O145" s="51">
        <v>0</v>
      </c>
    </row>
    <row r="146" spans="1:15" x14ac:dyDescent="0.3">
      <c r="A146" s="58">
        <v>60000</v>
      </c>
      <c r="B146" s="58">
        <v>70000</v>
      </c>
      <c r="C146" s="72">
        <v>0</v>
      </c>
      <c r="D146" s="72">
        <v>0</v>
      </c>
      <c r="E146" s="59">
        <v>0</v>
      </c>
      <c r="F146" s="93">
        <v>0</v>
      </c>
      <c r="G146" s="101"/>
      <c r="H146" s="61" t="str">
        <f t="shared" si="1"/>
        <v>(60000, 70000]</v>
      </c>
      <c r="I146" s="62">
        <v>0</v>
      </c>
      <c r="J146" s="59">
        <v>0</v>
      </c>
      <c r="K146" s="59">
        <v>0</v>
      </c>
      <c r="L146" s="84">
        <v>0</v>
      </c>
      <c r="M146" s="59">
        <v>0</v>
      </c>
      <c r="N146" s="59">
        <v>0</v>
      </c>
      <c r="O146" s="51">
        <v>0</v>
      </c>
    </row>
    <row r="147" spans="1:15" x14ac:dyDescent="0.3">
      <c r="A147" s="58">
        <v>70000</v>
      </c>
      <c r="B147" s="58">
        <v>80000</v>
      </c>
      <c r="C147" s="72">
        <v>0</v>
      </c>
      <c r="D147" s="72">
        <v>0</v>
      </c>
      <c r="E147" s="59">
        <v>0</v>
      </c>
      <c r="F147" s="93">
        <v>0</v>
      </c>
      <c r="G147" s="101"/>
      <c r="H147" s="61" t="str">
        <f t="shared" si="1"/>
        <v>(70000, 80000]</v>
      </c>
      <c r="I147" s="62">
        <v>0</v>
      </c>
      <c r="J147" s="59">
        <v>0</v>
      </c>
      <c r="K147" s="59">
        <v>0</v>
      </c>
      <c r="L147" s="84">
        <v>0</v>
      </c>
      <c r="M147" s="59">
        <v>0</v>
      </c>
      <c r="N147" s="59">
        <v>0</v>
      </c>
      <c r="O147" s="51">
        <v>0</v>
      </c>
    </row>
    <row r="148" spans="1:15" x14ac:dyDescent="0.3">
      <c r="A148" s="58">
        <v>80000</v>
      </c>
      <c r="B148" s="58">
        <v>90000</v>
      </c>
      <c r="C148" s="72">
        <v>0</v>
      </c>
      <c r="D148" s="72">
        <v>0</v>
      </c>
      <c r="E148" s="59">
        <v>0</v>
      </c>
      <c r="F148" s="93">
        <v>0</v>
      </c>
      <c r="G148" s="101"/>
      <c r="H148" s="61" t="str">
        <f t="shared" si="1"/>
        <v>(80000, 90000]</v>
      </c>
      <c r="I148" s="62">
        <v>0</v>
      </c>
      <c r="J148" s="59">
        <v>0</v>
      </c>
      <c r="K148" s="59">
        <v>0</v>
      </c>
      <c r="L148" s="84">
        <v>0</v>
      </c>
      <c r="M148" s="59">
        <v>0</v>
      </c>
      <c r="N148" s="59">
        <v>0</v>
      </c>
      <c r="O148" s="51">
        <v>0</v>
      </c>
    </row>
    <row r="149" spans="1:15" x14ac:dyDescent="0.3">
      <c r="A149" s="58">
        <v>90000</v>
      </c>
      <c r="B149" s="58">
        <v>100000</v>
      </c>
      <c r="C149" s="72">
        <v>0</v>
      </c>
      <c r="D149" s="72">
        <v>0</v>
      </c>
      <c r="E149" s="59">
        <v>0</v>
      </c>
      <c r="F149" s="93">
        <v>0</v>
      </c>
      <c r="G149" s="101"/>
      <c r="H149" s="61" t="str">
        <f t="shared" si="1"/>
        <v>(90000, 100000]</v>
      </c>
      <c r="I149" s="62">
        <v>0</v>
      </c>
      <c r="J149" s="59">
        <v>0</v>
      </c>
      <c r="K149" s="59">
        <v>0</v>
      </c>
      <c r="L149" s="84">
        <v>0</v>
      </c>
      <c r="M149" s="59">
        <v>0</v>
      </c>
      <c r="N149" s="59">
        <v>0</v>
      </c>
      <c r="O149" s="51">
        <v>0</v>
      </c>
    </row>
    <row r="150" spans="1:15" x14ac:dyDescent="0.3">
      <c r="A150" s="58">
        <v>100000</v>
      </c>
      <c r="B150" s="58">
        <v>9999999</v>
      </c>
      <c r="C150" s="72">
        <v>0</v>
      </c>
      <c r="D150" s="72">
        <v>0</v>
      </c>
      <c r="E150" s="59">
        <v>0</v>
      </c>
      <c r="F150" s="93">
        <v>0</v>
      </c>
      <c r="G150" s="101"/>
      <c r="H150" s="61" t="str">
        <f t="shared" si="1"/>
        <v>(100000, 9999999]</v>
      </c>
      <c r="I150" s="62">
        <v>0</v>
      </c>
      <c r="J150" s="59">
        <v>0</v>
      </c>
      <c r="K150" s="59">
        <v>0</v>
      </c>
      <c r="L150" s="84">
        <v>0</v>
      </c>
      <c r="M150" s="59">
        <v>0</v>
      </c>
      <c r="N150" s="59">
        <v>0</v>
      </c>
      <c r="O150" s="51">
        <v>0</v>
      </c>
    </row>
  </sheetData>
  <mergeCells count="3">
    <mergeCell ref="A11:D11"/>
    <mergeCell ref="A79:B79"/>
    <mergeCell ref="A83:D83"/>
  </mergeCells>
  <phoneticPr fontId="20" type="noConversion"/>
  <conditionalFormatting sqref="N15:N79">
    <cfRule type="dataBar" priority="2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{C537C520-4BD7-4E2B-AB18-25A916962D15}</x14:id>
        </ext>
      </extLst>
    </cfRule>
  </conditionalFormatting>
  <conditionalFormatting sqref="M17:M78"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{64FFF1C0-5E26-430D-9128-427EB0437F12}</x14:id>
        </ext>
      </extLst>
    </cfRule>
  </conditionalFormatting>
  <conditionalFormatting sqref="M87:M150"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{3EE935DF-9626-487F-9D33-2EEE388DFF9C}</x14:id>
        </ext>
      </extLst>
    </cfRule>
  </conditionalFormatting>
  <conditionalFormatting sqref="N87:N150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{F4486DC4-71E6-48D9-BC4F-F29269CBC43F}</x14:id>
        </ext>
      </extLst>
    </cfRule>
  </conditionalFormatting>
  <conditionalFormatting sqref="E15:E78">
    <cfRule type="cellIs" dxfId="158" priority="20" operator="lessThan">
      <formula>0.001</formula>
    </cfRule>
  </conditionalFormatting>
  <conditionalFormatting sqref="E87:E150">
    <cfRule type="cellIs" dxfId="157" priority="19" operator="lessThan">
      <formula>0.001</formula>
    </cfRule>
  </conditionalFormatting>
  <conditionalFormatting sqref="P98:P12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{0C6A81AD-70ED-4611-BE8B-08F4E5307CAE}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37C520-4BD7-4E2B-AB18-25A916962D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N15:N79</xm:sqref>
        </x14:conditionalFormatting>
        <x14:conditionalFormatting xmlns:xm="http://schemas.microsoft.com/office/excel/2006/main">
          <x14:cfRule type="dataBar" id="{64FFF1C0-5E26-430D-9128-427EB0437F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M17:M78</xm:sqref>
        </x14:conditionalFormatting>
        <x14:conditionalFormatting xmlns:xm="http://schemas.microsoft.com/office/excel/2006/main">
          <x14:cfRule type="dataBar" id="{3EE935DF-9626-487F-9D33-2EEE388DFF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M87:M150</xm:sqref>
        </x14:conditionalFormatting>
        <x14:conditionalFormatting xmlns:xm="http://schemas.microsoft.com/office/excel/2006/main">
          <x14:cfRule type="dataBar" id="{F4486DC4-71E6-48D9-BC4F-F29269CBC4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N87:N150</xm:sqref>
        </x14:conditionalFormatting>
        <x14:conditionalFormatting xmlns:xm="http://schemas.microsoft.com/office/excel/2006/main">
          <x14:cfRule type="dataBar" id="{0C6A81AD-70ED-4611-BE8B-08F4E5307C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P98:P126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57DA-9274-4BCC-BFEA-8FA71C59B39B}">
  <sheetPr codeName="工作表17"/>
  <dimension ref="A1:V220"/>
  <sheetViews>
    <sheetView workbookViewId="0">
      <selection activeCell="F20" sqref="F20"/>
    </sheetView>
  </sheetViews>
  <sheetFormatPr defaultRowHeight="15.6" x14ac:dyDescent="0.3"/>
  <cols>
    <col min="1" max="1" width="19.77734375" style="24" bestFit="1" customWidth="1"/>
    <col min="2" max="2" width="22.88671875" style="24" bestFit="1" customWidth="1"/>
    <col min="3" max="3" width="21" style="24" bestFit="1" customWidth="1"/>
    <col min="4" max="4" width="25.5546875" style="24" bestFit="1" customWidth="1"/>
    <col min="5" max="5" width="13.88671875" style="24" bestFit="1" customWidth="1"/>
    <col min="6" max="6" width="16.77734375" style="24" bestFit="1" customWidth="1"/>
    <col min="7" max="7" width="15.5546875" style="51" bestFit="1" customWidth="1"/>
    <col min="8" max="8" width="25.5546875" style="24" bestFit="1" customWidth="1"/>
    <col min="9" max="9" width="14" style="24" customWidth="1"/>
    <col min="10" max="10" width="12.44140625" style="24" customWidth="1"/>
    <col min="11" max="11" width="15.5546875" style="24" customWidth="1"/>
    <col min="12" max="12" width="15.33203125" style="24" bestFit="1" customWidth="1"/>
    <col min="13" max="13" width="12.44140625" style="24" bestFit="1" customWidth="1"/>
    <col min="14" max="14" width="19.77734375" style="24" bestFit="1" customWidth="1"/>
    <col min="15" max="15" width="12.21875" style="51" customWidth="1"/>
    <col min="16" max="19" width="15.21875" style="24" hidden="1" customWidth="1"/>
    <col min="20" max="20" width="8.88671875" style="24" hidden="1" customWidth="1"/>
    <col min="21" max="22" width="14" style="24" customWidth="1"/>
    <col min="23" max="16384" width="8.88671875" style="24"/>
  </cols>
  <sheetData>
    <row r="1" spans="1:22" x14ac:dyDescent="0.3">
      <c r="A1" s="52"/>
      <c r="B1" s="52"/>
      <c r="C1" s="1"/>
      <c r="F1" s="1"/>
      <c r="H1" s="13"/>
      <c r="I1" s="52"/>
      <c r="J1" s="52"/>
      <c r="K1" s="52"/>
      <c r="L1" s="52"/>
      <c r="M1" s="52"/>
      <c r="N1" s="52"/>
      <c r="U1" s="52"/>
      <c r="V1" s="52"/>
    </row>
    <row r="2" spans="1:22" x14ac:dyDescent="0.3">
      <c r="A2" s="52" t="s">
        <v>62</v>
      </c>
      <c r="B2" s="68">
        <v>1000000000</v>
      </c>
      <c r="C2" s="1"/>
      <c r="F2" s="107"/>
      <c r="G2" s="107"/>
      <c r="K2" s="52"/>
      <c r="L2" s="52"/>
      <c r="M2" s="52"/>
      <c r="N2" s="52"/>
    </row>
    <row r="3" spans="1:22" x14ac:dyDescent="0.3">
      <c r="A3" s="52" t="s">
        <v>74</v>
      </c>
      <c r="B3" s="68">
        <f>Overview!A7</f>
        <v>100</v>
      </c>
      <c r="C3" s="1"/>
      <c r="F3" s="107"/>
      <c r="G3" s="104"/>
    </row>
    <row r="4" spans="1:22" x14ac:dyDescent="0.3">
      <c r="F4" s="107"/>
      <c r="G4" s="107"/>
      <c r="I4" s="1"/>
      <c r="L4" s="129"/>
      <c r="M4" s="130"/>
      <c r="N4" s="127"/>
      <c r="O4" s="128"/>
      <c r="U4" s="1"/>
      <c r="V4" s="1"/>
    </row>
    <row r="5" spans="1:22" x14ac:dyDescent="0.3">
      <c r="A5" s="52"/>
      <c r="B5" s="52"/>
      <c r="C5" s="1" t="s">
        <v>82</v>
      </c>
      <c r="I5" s="107"/>
      <c r="L5" s="131"/>
      <c r="M5" s="130"/>
      <c r="N5" s="127"/>
      <c r="O5" s="128"/>
      <c r="U5" s="107"/>
      <c r="V5" s="107"/>
    </row>
    <row r="6" spans="1:22" x14ac:dyDescent="0.3">
      <c r="A6" s="91"/>
      <c r="B6" s="86" t="s">
        <v>68</v>
      </c>
      <c r="C6" s="86" t="s">
        <v>49</v>
      </c>
      <c r="D6" s="86" t="s">
        <v>50</v>
      </c>
      <c r="E6" s="86" t="s">
        <v>77</v>
      </c>
      <c r="F6" s="86" t="s">
        <v>69</v>
      </c>
      <c r="G6" s="86" t="s">
        <v>70</v>
      </c>
      <c r="H6" s="86" t="s">
        <v>83</v>
      </c>
      <c r="I6" s="107"/>
      <c r="L6" s="104"/>
      <c r="M6" s="104"/>
      <c r="N6" s="120"/>
      <c r="U6" s="107"/>
      <c r="V6" s="107"/>
    </row>
    <row r="7" spans="1:22" x14ac:dyDescent="0.3">
      <c r="A7" s="58" t="s">
        <v>53</v>
      </c>
      <c r="B7" s="58" cm="1">
        <f t="array" ref="B7:B8">Overview!B11:B12</f>
        <v>1</v>
      </c>
      <c r="C7" s="82">
        <f>SUM(N15:N79)</f>
        <v>0.70001109288565933</v>
      </c>
      <c r="D7" s="82">
        <f>SUM(_xlfn.ANCHORARRAY(N87))*M79</f>
        <v>0.23998879915107044</v>
      </c>
      <c r="E7" s="98">
        <f>SUM(C7:D7)</f>
        <v>0.93999989203672973</v>
      </c>
      <c r="F7" s="74">
        <f>M79</f>
        <v>4.1949845413782215E-3</v>
      </c>
      <c r="G7" s="75">
        <f>1/F7</f>
        <v>238.3799010786008</v>
      </c>
      <c r="H7" s="95">
        <f>D7*G7</f>
        <v>57.208506201604365</v>
      </c>
      <c r="I7" s="107"/>
      <c r="L7" s="107"/>
      <c r="M7" s="104"/>
      <c r="N7" s="120"/>
      <c r="U7" s="107"/>
      <c r="V7" s="107"/>
    </row>
    <row r="8" spans="1:22" x14ac:dyDescent="0.3">
      <c r="A8" s="58" t="s">
        <v>55</v>
      </c>
      <c r="B8" s="58">
        <v>75</v>
      </c>
      <c r="C8" s="82">
        <f>N80</f>
        <v>0</v>
      </c>
      <c r="D8" s="82">
        <f>SUM(_xlfn.ANCHORARRAY(N157))/B8</f>
        <v>0.92499972277007414</v>
      </c>
      <c r="E8" s="98">
        <f>SUM(C8:D8)</f>
        <v>0.92499972277007414</v>
      </c>
      <c r="F8" s="65">
        <f>E80</f>
        <v>1</v>
      </c>
      <c r="G8" s="75">
        <f>1/F8</f>
        <v>1</v>
      </c>
      <c r="H8" s="95">
        <f>D8*G8*B8</f>
        <v>69.374979207755558</v>
      </c>
      <c r="I8" s="107"/>
      <c r="L8" s="111"/>
      <c r="M8" s="104"/>
      <c r="N8" s="120"/>
      <c r="U8" s="107"/>
      <c r="V8" s="107"/>
    </row>
    <row r="9" spans="1:22" x14ac:dyDescent="0.3">
      <c r="A9" s="52"/>
      <c r="B9" s="52"/>
      <c r="C9" s="1"/>
      <c r="D9" s="106"/>
      <c r="E9" s="52"/>
      <c r="F9" s="1"/>
      <c r="H9" s="13"/>
      <c r="I9" s="52"/>
      <c r="J9" s="52"/>
      <c r="K9" s="52"/>
      <c r="L9" s="122"/>
      <c r="M9" s="107"/>
      <c r="N9" s="107"/>
      <c r="U9" s="52"/>
      <c r="V9" s="52"/>
    </row>
    <row r="10" spans="1:22" x14ac:dyDescent="0.3">
      <c r="A10" s="52"/>
      <c r="B10" s="52"/>
      <c r="C10" s="1"/>
      <c r="D10" s="1"/>
      <c r="E10" s="106"/>
      <c r="F10" s="1"/>
      <c r="H10" s="13"/>
      <c r="I10" s="52"/>
      <c r="J10" s="52"/>
      <c r="K10" s="52"/>
      <c r="L10" s="122"/>
      <c r="M10" s="107"/>
      <c r="N10" s="107"/>
      <c r="U10" s="52"/>
      <c r="V10" s="52"/>
    </row>
    <row r="11" spans="1:22" s="57" customFormat="1" x14ac:dyDescent="0.3">
      <c r="A11" s="206" t="s">
        <v>49</v>
      </c>
      <c r="B11" s="206"/>
      <c r="C11" s="206"/>
      <c r="D11" s="206"/>
      <c r="E11" s="53"/>
      <c r="F11" s="53"/>
      <c r="G11" s="88"/>
      <c r="H11" s="55"/>
      <c r="I11" s="56"/>
      <c r="J11" s="54"/>
      <c r="K11" s="54"/>
      <c r="L11" s="54"/>
      <c r="M11" s="54"/>
      <c r="N11" s="54"/>
      <c r="O11" s="88"/>
      <c r="U11" s="56"/>
      <c r="V11" s="56"/>
    </row>
    <row r="12" spans="1:22" x14ac:dyDescent="0.3">
      <c r="A12" s="52"/>
      <c r="B12" s="52"/>
      <c r="C12" s="1"/>
      <c r="D12" s="1"/>
      <c r="E12" s="1"/>
      <c r="F12" s="1"/>
      <c r="H12" s="13"/>
      <c r="I12" s="52"/>
      <c r="J12" s="52"/>
      <c r="K12" s="52"/>
      <c r="L12" s="52"/>
      <c r="M12" s="52"/>
      <c r="N12" s="52"/>
      <c r="U12" s="52"/>
      <c r="V12" s="52"/>
    </row>
    <row r="13" spans="1:22" x14ac:dyDescent="0.3">
      <c r="A13" s="70" t="s">
        <v>75</v>
      </c>
      <c r="B13" s="197">
        <v>1000000000</v>
      </c>
      <c r="C13" s="1"/>
      <c r="D13" s="1"/>
      <c r="E13" s="1"/>
      <c r="F13" s="1"/>
      <c r="H13" s="70" t="s">
        <v>76</v>
      </c>
      <c r="I13" s="52"/>
      <c r="J13" s="52"/>
      <c r="K13" s="52"/>
      <c r="L13" s="52"/>
      <c r="M13" s="52"/>
      <c r="N13" s="52"/>
      <c r="P13" s="24" t="s">
        <v>81</v>
      </c>
      <c r="U13" s="52"/>
      <c r="V13" s="52"/>
    </row>
    <row r="14" spans="1:22" ht="16.2" x14ac:dyDescent="0.3">
      <c r="A14" s="20" t="s">
        <v>58</v>
      </c>
      <c r="B14" s="20" t="s">
        <v>59</v>
      </c>
      <c r="C14" s="20" t="s">
        <v>71</v>
      </c>
      <c r="D14" s="20" t="s">
        <v>72</v>
      </c>
      <c r="E14" s="20" t="s">
        <v>73</v>
      </c>
      <c r="F14" s="20" t="s">
        <v>85</v>
      </c>
      <c r="G14" s="90"/>
      <c r="H14" s="20" t="s">
        <v>61</v>
      </c>
      <c r="I14" s="20" t="s">
        <v>63</v>
      </c>
      <c r="J14" s="20" t="s">
        <v>64</v>
      </c>
      <c r="K14" s="20" t="s">
        <v>65</v>
      </c>
      <c r="L14" s="20" t="s">
        <v>66</v>
      </c>
      <c r="M14" s="20" t="s">
        <v>67</v>
      </c>
      <c r="N14" s="20" t="s">
        <v>60</v>
      </c>
      <c r="O14" s="51">
        <v>0.9</v>
      </c>
      <c r="P14" s="86" t="s">
        <v>84</v>
      </c>
      <c r="Q14" s="198" t="s">
        <v>330</v>
      </c>
      <c r="R14" s="86" t="s">
        <v>252</v>
      </c>
      <c r="S14" s="86" t="s">
        <v>80</v>
      </c>
      <c r="U14" s="20" t="s">
        <v>324</v>
      </c>
      <c r="V14" s="20" t="s">
        <v>325</v>
      </c>
    </row>
    <row r="15" spans="1:22" x14ac:dyDescent="0.3">
      <c r="A15" s="64">
        <v>-1</v>
      </c>
      <c r="B15" s="64">
        <v>0</v>
      </c>
      <c r="C15" s="71">
        <v>737445367</v>
      </c>
      <c r="D15" s="71">
        <v>0</v>
      </c>
      <c r="E15" s="69" cm="1">
        <f t="array" ref="E15:E78">_xlfn.LET(_xlpm.x, C15:C78, _xlpm.x/SUM(_xlpm.x))</f>
        <v>0.75577301063951841</v>
      </c>
      <c r="F15" s="92" cm="1">
        <f t="array" ref="F15:F80">_xlfn.LET(_xlpm.x, D15:D80/C15:C80/B3, IF(ISERR(_xlpm.x), 0, _xlpm.x))</f>
        <v>0</v>
      </c>
      <c r="G15" s="90"/>
      <c r="H15" s="61" t="str">
        <f>"("&amp;$A15&amp;", "&amp;$B15&amp;"]"</f>
        <v>(-1, 0]</v>
      </c>
      <c r="I15" s="62">
        <v>0.96</v>
      </c>
      <c r="J15" s="59" cm="1">
        <f t="array" ref="J15:J79">E15:E79*I15:I79</f>
        <v>0.72554209021393767</v>
      </c>
      <c r="K15" s="59" cm="1">
        <f t="array" ref="K15:K78">J15:J78/SUM(_xlfn.ANCHORARRAY(J15))</f>
        <v>0.71459621548653107</v>
      </c>
      <c r="L15" s="119" cm="1">
        <f t="array" ref="L15:L79">INT(K15:K79*$B$2)</f>
        <v>714596215</v>
      </c>
      <c r="M15" s="59" cm="1">
        <f t="array" ref="M15:M79">_xlfn.LET(_xlpm.x, L15:L79, _xlpm.x/SUM(_xlpm.x))</f>
        <v>0.71455099821283308</v>
      </c>
      <c r="N15" s="59" cm="1">
        <f t="array" ref="N15:N79">M15:M79*F15:F79</f>
        <v>0</v>
      </c>
      <c r="O15" s="121" cm="1">
        <f t="array" ref="O15:O78">I15:I78*O14</f>
        <v>0.86399999999999999</v>
      </c>
      <c r="P15" s="59" cm="1">
        <f t="array" ref="P15:P78">M15:M78</f>
        <v>0.71455099821283308</v>
      </c>
      <c r="Q15" s="59">
        <v>0.72294875282443027</v>
      </c>
      <c r="R15" s="59">
        <v>0.72554635178004934</v>
      </c>
      <c r="S15" s="83" cm="1">
        <f t="array" ref="S15:S78">_xlfn.LET(_xlpm.x, Q15:Q78/M15:M78, IF(ISERR(_xlpm.x), 0, ROUND(_xlpm.x,2)))</f>
        <v>1.01</v>
      </c>
      <c r="U15" s="62"/>
      <c r="V15" s="62"/>
    </row>
    <row r="16" spans="1:22" x14ac:dyDescent="0.3">
      <c r="A16" s="58">
        <v>0</v>
      </c>
      <c r="B16" s="58">
        <v>1</v>
      </c>
      <c r="C16" s="72">
        <v>125747912</v>
      </c>
      <c r="D16" s="72">
        <v>5718281965</v>
      </c>
      <c r="E16" s="59">
        <v>0.12887311018101932</v>
      </c>
      <c r="F16" s="93">
        <v>0.45474170298748184</v>
      </c>
      <c r="G16" s="90"/>
      <c r="H16" s="61" t="str">
        <f t="shared" ref="H16:H78" si="0">"("&amp;$A16&amp;", "&amp;$B16&amp;"]"</f>
        <v>(0, 1]</v>
      </c>
      <c r="I16" s="62">
        <v>1.3111610525999999</v>
      </c>
      <c r="J16" s="59">
        <v>0.16897340279678105</v>
      </c>
      <c r="K16" s="59">
        <v>0.16642418928563682</v>
      </c>
      <c r="L16" s="119">
        <v>166424189</v>
      </c>
      <c r="M16" s="59">
        <v>0.1664136583437</v>
      </c>
      <c r="N16" s="59">
        <v>7.5675230395591112E-2</v>
      </c>
      <c r="O16" s="121">
        <v>1.1800449473399999</v>
      </c>
      <c r="P16" s="59">
        <v>0.1664136583437</v>
      </c>
      <c r="Q16" s="59">
        <v>0.16136085442046003</v>
      </c>
      <c r="R16" s="59">
        <v>0.15905886499823757</v>
      </c>
      <c r="S16" s="83">
        <v>0.97</v>
      </c>
      <c r="U16" s="62"/>
      <c r="V16" s="62"/>
    </row>
    <row r="17" spans="1:22" x14ac:dyDescent="0.3">
      <c r="A17" s="58">
        <v>1</v>
      </c>
      <c r="B17" s="58">
        <v>2</v>
      </c>
      <c r="C17" s="72">
        <v>34346188</v>
      </c>
      <c r="D17" s="72">
        <v>5160882820</v>
      </c>
      <c r="E17" s="59">
        <v>3.5199789801853752E-2</v>
      </c>
      <c r="F17" s="93">
        <v>1.5026071656045206</v>
      </c>
      <c r="G17" s="90"/>
      <c r="H17" s="61" t="str">
        <f t="shared" si="0"/>
        <v>(1, 2]</v>
      </c>
      <c r="I17" s="62">
        <v>1.3631912531000001</v>
      </c>
      <c r="J17" s="59">
        <v>4.7984045568845619E-2</v>
      </c>
      <c r="K17" s="59">
        <v>4.7260135324636514E-2</v>
      </c>
      <c r="L17" s="119">
        <v>47260135</v>
      </c>
      <c r="M17" s="59">
        <v>4.7257144567891742E-2</v>
      </c>
      <c r="N17" s="59">
        <v>7.1008924053722874E-2</v>
      </c>
      <c r="O17" s="121">
        <v>1.2268721277900001</v>
      </c>
      <c r="P17" s="59">
        <v>4.7257144567891742E-2</v>
      </c>
      <c r="Q17" s="59">
        <v>4.5756934610305687E-2</v>
      </c>
      <c r="R17" s="59">
        <v>4.9788508988367994E-2</v>
      </c>
      <c r="S17" s="83">
        <v>0.97</v>
      </c>
      <c r="U17" s="62"/>
      <c r="V17" s="62"/>
    </row>
    <row r="18" spans="1:22" x14ac:dyDescent="0.3">
      <c r="A18" s="58">
        <v>2</v>
      </c>
      <c r="B18" s="58">
        <v>3</v>
      </c>
      <c r="C18" s="72">
        <v>16016014</v>
      </c>
      <c r="D18" s="72">
        <v>4036397390</v>
      </c>
      <c r="E18" s="59">
        <v>1.641405812672856E-2</v>
      </c>
      <c r="F18" s="93">
        <v>2.5202259376146898</v>
      </c>
      <c r="G18" s="90"/>
      <c r="H18" s="61" t="str">
        <f t="shared" si="0"/>
        <v>(2, 3]</v>
      </c>
      <c r="I18" s="62">
        <v>1.3840033333000004</v>
      </c>
      <c r="J18" s="59">
        <v>2.2717111160372287E-2</v>
      </c>
      <c r="K18" s="59">
        <v>2.2374389964339835E-2</v>
      </c>
      <c r="L18" s="119">
        <v>22374389</v>
      </c>
      <c r="M18" s="59">
        <v>2.2372973238253484E-2</v>
      </c>
      <c r="N18" s="59">
        <v>5.6384947456605751E-2</v>
      </c>
      <c r="O18" s="121">
        <v>1.2456029999700005</v>
      </c>
      <c r="P18" s="59">
        <v>2.2372973238253484E-2</v>
      </c>
      <c r="Q18" s="59">
        <v>2.1758000231243222E-2</v>
      </c>
      <c r="R18" s="59">
        <v>2.1457525555163906E-2</v>
      </c>
      <c r="S18" s="83">
        <v>0.97</v>
      </c>
      <c r="U18" s="62"/>
      <c r="V18" s="62"/>
    </row>
    <row r="19" spans="1:22" x14ac:dyDescent="0.3">
      <c r="A19" s="58">
        <v>3</v>
      </c>
      <c r="B19" s="58">
        <v>4</v>
      </c>
      <c r="C19" s="72">
        <v>7938444</v>
      </c>
      <c r="D19" s="72">
        <v>2831742995</v>
      </c>
      <c r="E19" s="59">
        <v>8.1357372222439096E-3</v>
      </c>
      <c r="F19" s="93">
        <v>3.5671259947163452</v>
      </c>
      <c r="G19" s="90"/>
      <c r="H19" s="61" t="str">
        <f t="shared" si="0"/>
        <v>(3, 4]</v>
      </c>
      <c r="I19" s="62">
        <v>1.0926342105</v>
      </c>
      <c r="J19" s="59">
        <v>8.8893848166619362E-3</v>
      </c>
      <c r="K19" s="59">
        <v>8.7552753088617746E-3</v>
      </c>
      <c r="L19" s="119">
        <v>8755275</v>
      </c>
      <c r="M19" s="59">
        <v>8.7547210012550412E-3</v>
      </c>
      <c r="N19" s="59">
        <v>3.1229192860065966E-2</v>
      </c>
      <c r="O19" s="121">
        <v>0.98337078945</v>
      </c>
      <c r="P19" s="59">
        <v>8.7547210012550412E-3</v>
      </c>
      <c r="Q19" s="59">
        <v>8.5068854662453865E-3</v>
      </c>
      <c r="R19" s="59">
        <v>9.4289742685935846E-3</v>
      </c>
      <c r="S19" s="83">
        <v>0.97</v>
      </c>
      <c r="U19" s="62"/>
      <c r="V19" s="62"/>
    </row>
    <row r="20" spans="1:22" x14ac:dyDescent="0.3">
      <c r="A20" s="58">
        <v>4</v>
      </c>
      <c r="B20" s="58">
        <v>5</v>
      </c>
      <c r="C20" s="72">
        <v>5590423</v>
      </c>
      <c r="D20" s="72">
        <v>2572145990</v>
      </c>
      <c r="E20" s="59">
        <v>5.7293611303661611E-3</v>
      </c>
      <c r="F20" s="93">
        <v>4.6009863475447208</v>
      </c>
      <c r="G20" s="90"/>
      <c r="H20" s="61" t="str">
        <f t="shared" si="0"/>
        <v>(4, 5]</v>
      </c>
      <c r="I20" s="62">
        <v>1.2175066917000001</v>
      </c>
      <c r="J20" s="59">
        <v>6.9755355153866784E-3</v>
      </c>
      <c r="K20" s="59">
        <v>6.8702992528212846E-3</v>
      </c>
      <c r="L20" s="119">
        <v>6870299</v>
      </c>
      <c r="M20" s="59">
        <v>6.8698642749886784E-3</v>
      </c>
      <c r="N20" s="59">
        <v>3.1608151738708123E-2</v>
      </c>
      <c r="O20" s="121">
        <v>1.0957560225300003</v>
      </c>
      <c r="P20" s="59">
        <v>6.8698642749886784E-3</v>
      </c>
      <c r="Q20" s="59">
        <v>6.6698354145381805E-3</v>
      </c>
      <c r="R20" s="59">
        <v>6.2566090941134998E-3</v>
      </c>
      <c r="S20" s="83">
        <v>0.97</v>
      </c>
      <c r="U20" s="62"/>
      <c r="V20" s="62"/>
    </row>
    <row r="21" spans="1:22" x14ac:dyDescent="0.3">
      <c r="A21" s="58">
        <v>5</v>
      </c>
      <c r="B21" s="58">
        <v>6</v>
      </c>
      <c r="C21" s="72">
        <v>4146103</v>
      </c>
      <c r="D21" s="72">
        <v>2317578720</v>
      </c>
      <c r="E21" s="59">
        <v>4.2491456139713453E-3</v>
      </c>
      <c r="F21" s="93">
        <v>5.58977603788425</v>
      </c>
      <c r="G21" s="90"/>
      <c r="H21" s="61" t="str">
        <f t="shared" si="0"/>
        <v>(5, 6]</v>
      </c>
      <c r="I21" s="62">
        <v>1.3423791728999999</v>
      </c>
      <c r="J21" s="59">
        <v>5.7039645748145169E-3</v>
      </c>
      <c r="K21" s="59">
        <v>5.617911839173673E-3</v>
      </c>
      <c r="L21" s="119">
        <v>5617911</v>
      </c>
      <c r="M21" s="59">
        <v>5.6175555210866259E-3</v>
      </c>
      <c r="N21" s="59">
        <v>3.1400877243254396E-2</v>
      </c>
      <c r="O21" s="121">
        <v>1.20814125561</v>
      </c>
      <c r="P21" s="59">
        <v>5.6175555210866259E-3</v>
      </c>
      <c r="Q21" s="59">
        <v>5.4541948981352501E-3</v>
      </c>
      <c r="R21" s="59">
        <v>5.37539654564681E-3</v>
      </c>
      <c r="S21" s="83">
        <v>0.97</v>
      </c>
      <c r="U21" s="62"/>
      <c r="V21" s="62"/>
    </row>
    <row r="22" spans="1:22" x14ac:dyDescent="0.3">
      <c r="A22" s="58">
        <v>6</v>
      </c>
      <c r="B22" s="58">
        <v>7</v>
      </c>
      <c r="C22" s="72">
        <v>2759181</v>
      </c>
      <c r="D22" s="72">
        <v>1811662230</v>
      </c>
      <c r="E22" s="59">
        <v>2.8277546033716652E-3</v>
      </c>
      <c r="F22" s="93">
        <v>6.5659419588638794</v>
      </c>
      <c r="G22" s="90"/>
      <c r="H22" s="61" t="str">
        <f t="shared" si="0"/>
        <v>(6, 7]</v>
      </c>
      <c r="I22" s="62">
        <v>1.2279127318000003</v>
      </c>
      <c r="J22" s="59">
        <v>3.4722358798861277E-3</v>
      </c>
      <c r="K22" s="59">
        <v>3.4198520699350973E-3</v>
      </c>
      <c r="L22" s="119">
        <v>3419852</v>
      </c>
      <c r="M22" s="59">
        <v>3.4196356054588864E-3</v>
      </c>
      <c r="N22" s="59">
        <v>2.245312890590739E-2</v>
      </c>
      <c r="O22" s="121">
        <v>1.1051214586200002</v>
      </c>
      <c r="P22" s="59">
        <v>3.4196356054588864E-3</v>
      </c>
      <c r="Q22" s="59">
        <v>3.3318405313007824E-3</v>
      </c>
      <c r="R22" s="59">
        <v>2.5114557631300671E-3</v>
      </c>
      <c r="S22" s="83">
        <v>0.97</v>
      </c>
      <c r="U22" s="62"/>
      <c r="V22" s="62"/>
    </row>
    <row r="23" spans="1:22" x14ac:dyDescent="0.3">
      <c r="A23" s="58">
        <v>7</v>
      </c>
      <c r="B23" s="58">
        <v>8</v>
      </c>
      <c r="C23" s="72">
        <v>2852762</v>
      </c>
      <c r="D23" s="72">
        <v>2173439930</v>
      </c>
      <c r="E23" s="59">
        <v>2.9236613610429175E-3</v>
      </c>
      <c r="F23" s="93">
        <v>7.6187215407384148</v>
      </c>
      <c r="G23" s="90"/>
      <c r="H23" s="61" t="str">
        <f t="shared" si="0"/>
        <v>(7, 8]</v>
      </c>
      <c r="I23" s="62">
        <v>1.0093858897000001</v>
      </c>
      <c r="J23" s="59">
        <v>2.9511025240978187E-3</v>
      </c>
      <c r="K23" s="59">
        <v>2.9065807810146802E-3</v>
      </c>
      <c r="L23" s="119">
        <v>2906580</v>
      </c>
      <c r="M23" s="59">
        <v>2.9063960832558518E-3</v>
      </c>
      <c r="N23" s="59">
        <v>2.2143022445419117E-2</v>
      </c>
      <c r="O23" s="121">
        <v>0.90844730073000013</v>
      </c>
      <c r="P23" s="59">
        <v>2.9063960832558518E-3</v>
      </c>
      <c r="Q23" s="59">
        <v>2.8156200112303422E-3</v>
      </c>
      <c r="R23" s="59">
        <v>3.0842439196334154E-3</v>
      </c>
      <c r="S23" s="83">
        <v>0.97</v>
      </c>
      <c r="U23" s="62"/>
      <c r="V23" s="62"/>
    </row>
    <row r="24" spans="1:22" x14ac:dyDescent="0.3">
      <c r="A24" s="58">
        <v>8</v>
      </c>
      <c r="B24" s="58">
        <v>9</v>
      </c>
      <c r="C24" s="72">
        <v>2098889</v>
      </c>
      <c r="D24" s="72">
        <v>1804643600</v>
      </c>
      <c r="E24" s="59">
        <v>2.1510524433577031E-3</v>
      </c>
      <c r="F24" s="93">
        <v>8.5980897512922301</v>
      </c>
      <c r="G24" s="90"/>
      <c r="H24" s="61" t="str">
        <f t="shared" si="0"/>
        <v>(8, 9]</v>
      </c>
      <c r="I24" s="62">
        <v>1.2383187718999999</v>
      </c>
      <c r="J24" s="59">
        <v>2.6636886199512049E-3</v>
      </c>
      <c r="K24" s="59">
        <v>2.6235029403882076E-3</v>
      </c>
      <c r="L24" s="119">
        <v>2623502</v>
      </c>
      <c r="M24" s="59">
        <v>2.6233359952982176E-3</v>
      </c>
      <c r="N24" s="59">
        <v>2.2555678335369606E-2</v>
      </c>
      <c r="O24" s="121">
        <v>1.11448689471</v>
      </c>
      <c r="P24" s="59">
        <v>2.6233359952982176E-3</v>
      </c>
      <c r="Q24" s="59">
        <v>2.5445965127515817E-3</v>
      </c>
      <c r="R24" s="59">
        <v>2.687698272823405E-3</v>
      </c>
      <c r="S24" s="83">
        <v>0.97</v>
      </c>
      <c r="U24" s="62"/>
      <c r="V24" s="62"/>
    </row>
    <row r="25" spans="1:22" x14ac:dyDescent="0.3">
      <c r="A25" s="58">
        <v>9</v>
      </c>
      <c r="B25" s="58">
        <v>10</v>
      </c>
      <c r="C25" s="72">
        <v>1944892</v>
      </c>
      <c r="D25" s="72">
        <v>1875878775</v>
      </c>
      <c r="E25" s="59">
        <v>1.9932281738895435E-3</v>
      </c>
      <c r="F25" s="93">
        <v>9.6451565176883847</v>
      </c>
      <c r="G25" s="90"/>
      <c r="H25" s="61" t="str">
        <f t="shared" si="0"/>
        <v>(9, 10]</v>
      </c>
      <c r="I25" s="62">
        <v>1.1862885714</v>
      </c>
      <c r="J25" s="59">
        <v>2.3645438028776574E-3</v>
      </c>
      <c r="K25" s="59">
        <v>2.3288711649937094E-3</v>
      </c>
      <c r="L25" s="119">
        <v>2328871</v>
      </c>
      <c r="M25" s="59">
        <v>2.3287236383681639E-3</v>
      </c>
      <c r="N25" s="59">
        <v>2.2460903978501704E-2</v>
      </c>
      <c r="O25" s="121">
        <v>1.0676597142599999</v>
      </c>
      <c r="P25" s="59">
        <v>2.3287236383681639E-3</v>
      </c>
      <c r="Q25" s="59">
        <v>2.2718729170527617E-3</v>
      </c>
      <c r="R25" s="59">
        <v>2.2470919985900597E-3</v>
      </c>
      <c r="S25" s="83">
        <v>0.98</v>
      </c>
      <c r="U25" s="62"/>
      <c r="V25" s="62"/>
    </row>
    <row r="26" spans="1:22" x14ac:dyDescent="0.3">
      <c r="A26" s="58">
        <v>10</v>
      </c>
      <c r="B26" s="58">
        <v>15</v>
      </c>
      <c r="C26" s="72">
        <v>6784136</v>
      </c>
      <c r="D26" s="72">
        <v>8448491255</v>
      </c>
      <c r="E26" s="59">
        <v>6.9527413402380757E-3</v>
      </c>
      <c r="F26" s="93">
        <v>12.453304672842643</v>
      </c>
      <c r="G26" s="101"/>
      <c r="H26" s="61" t="str">
        <f t="shared" si="0"/>
        <v>(10, 15]</v>
      </c>
      <c r="I26" s="62">
        <v>0.45786576439999999</v>
      </c>
      <c r="J26" s="59">
        <v>3.1834222284235869E-3</v>
      </c>
      <c r="K26" s="59">
        <v>3.1353955992496798E-3</v>
      </c>
      <c r="L26" s="119">
        <v>3135395</v>
      </c>
      <c r="M26" s="59">
        <v>3.1351966047588509E-3</v>
      </c>
      <c r="N26" s="59">
        <v>3.9043558528323787E-2</v>
      </c>
      <c r="O26" s="121">
        <v>0.41207918795999998</v>
      </c>
      <c r="P26" s="59">
        <v>3.1351966047588509E-3</v>
      </c>
      <c r="Q26" s="59">
        <v>3.0238589193723043E-3</v>
      </c>
      <c r="R26" s="59">
        <v>4.9788508988367992E-3</v>
      </c>
      <c r="S26" s="83">
        <v>0.96</v>
      </c>
      <c r="U26" s="62"/>
      <c r="V26" s="62"/>
    </row>
    <row r="27" spans="1:22" x14ac:dyDescent="0.3">
      <c r="A27" s="58">
        <v>15</v>
      </c>
      <c r="B27" s="58">
        <v>20</v>
      </c>
      <c r="C27" s="72">
        <v>4614038</v>
      </c>
      <c r="D27" s="72">
        <v>8068968765</v>
      </c>
      <c r="E27" s="59">
        <v>4.728710147914106E-3</v>
      </c>
      <c r="F27" s="93">
        <v>17.487868034463521</v>
      </c>
      <c r="G27" s="101"/>
      <c r="H27" s="115" t="str">
        <f t="shared" si="0"/>
        <v>(15, 20]</v>
      </c>
      <c r="I27" s="62">
        <v>0.87683</v>
      </c>
      <c r="J27" s="59">
        <v>4.1462749189955257E-3</v>
      </c>
      <c r="K27" s="59">
        <v>4.0837222339606292E-3</v>
      </c>
      <c r="L27" s="119">
        <v>4083722</v>
      </c>
      <c r="M27" s="59">
        <v>4.083463598423492E-3</v>
      </c>
      <c r="N27" s="59">
        <v>7.1411072532765574E-2</v>
      </c>
      <c r="O27" s="121">
        <v>0.78914700000000004</v>
      </c>
      <c r="P27" s="59">
        <v>4.083463598423492E-3</v>
      </c>
      <c r="Q27" s="59">
        <v>3.9646257171216332E-3</v>
      </c>
      <c r="R27" s="59">
        <v>2.3352132534367291E-3</v>
      </c>
      <c r="S27" s="83">
        <v>0.97</v>
      </c>
      <c r="U27" s="62"/>
      <c r="V27" s="62"/>
    </row>
    <row r="28" spans="1:22" x14ac:dyDescent="0.3">
      <c r="A28" s="58">
        <v>20</v>
      </c>
      <c r="B28" s="58">
        <v>25</v>
      </c>
      <c r="C28" s="72">
        <v>3239863</v>
      </c>
      <c r="D28" s="72">
        <v>7300101965</v>
      </c>
      <c r="E28" s="59">
        <v>3.3203829370177357E-3</v>
      </c>
      <c r="F28" s="93">
        <v>22.532131651863054</v>
      </c>
      <c r="G28" s="101"/>
      <c r="H28" s="61" t="str">
        <f t="shared" si="0"/>
        <v>(20, 25]</v>
      </c>
      <c r="I28" s="62">
        <v>0.52030200500000001</v>
      </c>
      <c r="J28" s="59">
        <v>1.7276018994981167E-3</v>
      </c>
      <c r="K28" s="59">
        <v>1.7015384715787796E-3</v>
      </c>
      <c r="L28" s="119">
        <v>1701538</v>
      </c>
      <c r="M28" s="59">
        <v>1.7014303334884969E-3</v>
      </c>
      <c r="N28" s="59">
        <v>3.8336852270636074E-2</v>
      </c>
      <c r="O28" s="121">
        <v>0.4682718045</v>
      </c>
      <c r="P28" s="59">
        <v>1.7014303334884969E-3</v>
      </c>
      <c r="Q28" s="59">
        <v>1.6558466895929445E-3</v>
      </c>
      <c r="R28" s="59">
        <v>1.8064857243567148E-3</v>
      </c>
      <c r="S28" s="83">
        <v>0.97</v>
      </c>
      <c r="U28" s="62"/>
      <c r="V28" s="62"/>
    </row>
    <row r="29" spans="1:22" x14ac:dyDescent="0.3">
      <c r="A29" s="58">
        <v>25</v>
      </c>
      <c r="B29" s="58">
        <v>30</v>
      </c>
      <c r="C29" s="72">
        <v>2634636</v>
      </c>
      <c r="D29" s="72">
        <v>7256115885</v>
      </c>
      <c r="E29" s="59">
        <v>2.7001143010221911E-3</v>
      </c>
      <c r="F29" s="93">
        <v>27.541246248058556</v>
      </c>
      <c r="G29" s="101"/>
      <c r="H29" s="61" t="str">
        <f t="shared" si="0"/>
        <v>(25, 30]</v>
      </c>
      <c r="I29" s="62">
        <v>0.26015100250000001</v>
      </c>
      <c r="J29" s="59">
        <v>7.0243744227550982E-4</v>
      </c>
      <c r="K29" s="59">
        <v>6.9184013530918279E-4</v>
      </c>
      <c r="L29" s="119">
        <v>691840</v>
      </c>
      <c r="M29" s="59">
        <v>6.9179622313500001E-4</v>
      </c>
      <c r="N29" s="59">
        <v>1.9052930134837897E-2</v>
      </c>
      <c r="O29" s="121">
        <v>0.23413590225</v>
      </c>
      <c r="P29" s="59">
        <v>6.9179622313500001E-4</v>
      </c>
      <c r="Q29" s="59">
        <v>6.70909365952092E-4</v>
      </c>
      <c r="R29" s="59">
        <v>8.8121254846669017E-4</v>
      </c>
      <c r="S29" s="83">
        <v>0.97</v>
      </c>
      <c r="U29" s="62"/>
      <c r="V29" s="62"/>
    </row>
    <row r="30" spans="1:22" x14ac:dyDescent="0.3">
      <c r="A30" s="58">
        <v>30</v>
      </c>
      <c r="B30" s="58">
        <v>35</v>
      </c>
      <c r="C30" s="72">
        <v>1986295</v>
      </c>
      <c r="D30" s="72">
        <v>6461335590</v>
      </c>
      <c r="E30" s="59">
        <v>2.0356601578164395E-3</v>
      </c>
      <c r="F30" s="93">
        <v>32.529586944537442</v>
      </c>
      <c r="G30" s="101"/>
      <c r="H30" s="61" t="str">
        <f t="shared" si="0"/>
        <v>(30, 35]</v>
      </c>
      <c r="I30" s="62">
        <v>0.29136912280000005</v>
      </c>
      <c r="J30" s="59">
        <v>5.931285145018856E-4</v>
      </c>
      <c r="K30" s="59">
        <v>5.8418029426138089E-4</v>
      </c>
      <c r="L30" s="119">
        <v>584180</v>
      </c>
      <c r="M30" s="59">
        <v>5.8414303542871809E-4</v>
      </c>
      <c r="N30" s="59">
        <v>1.9001931659024501E-2</v>
      </c>
      <c r="O30" s="121">
        <v>0.26223221052000006</v>
      </c>
      <c r="P30" s="59">
        <v>5.8414303542871809E-4</v>
      </c>
      <c r="Q30" s="59">
        <v>5.6786647344428387E-4</v>
      </c>
      <c r="R30" s="59">
        <v>4.8466690165667957E-4</v>
      </c>
      <c r="S30" s="83">
        <v>0.97</v>
      </c>
      <c r="U30" s="62"/>
      <c r="V30" s="62"/>
    </row>
    <row r="31" spans="1:22" x14ac:dyDescent="0.3">
      <c r="A31" s="58">
        <v>35</v>
      </c>
      <c r="B31" s="58">
        <v>40</v>
      </c>
      <c r="C31" s="72">
        <v>1726668</v>
      </c>
      <c r="D31" s="72">
        <v>6481677100</v>
      </c>
      <c r="E31" s="59">
        <v>1.7695806782862546E-3</v>
      </c>
      <c r="F31" s="93">
        <v>37.538641475952524</v>
      </c>
      <c r="G31" s="101"/>
      <c r="H31" s="115" t="str">
        <f t="shared" si="0"/>
        <v>(35, 40]</v>
      </c>
      <c r="I31" s="62">
        <v>0.57233220550000008</v>
      </c>
      <c r="J31" s="59">
        <v>1.0127880124137581E-3</v>
      </c>
      <c r="K31" s="59">
        <v>9.9750860842214213E-4</v>
      </c>
      <c r="L31" s="119">
        <v>997508</v>
      </c>
      <c r="M31" s="59">
        <v>9.9744488168788687E-4</v>
      </c>
      <c r="N31" s="59">
        <v>3.7442725805705471E-2</v>
      </c>
      <c r="O31" s="121">
        <v>0.51509898495000006</v>
      </c>
      <c r="P31" s="59">
        <v>9.9744488168788687E-4</v>
      </c>
      <c r="Q31" s="59">
        <v>9.7218159420446463E-4</v>
      </c>
      <c r="R31" s="59">
        <v>7.0497003877335212E-4</v>
      </c>
      <c r="S31" s="83">
        <v>0.97</v>
      </c>
      <c r="U31" s="62"/>
      <c r="V31" s="62"/>
    </row>
    <row r="32" spans="1:22" x14ac:dyDescent="0.3">
      <c r="A32" s="58">
        <v>40</v>
      </c>
      <c r="B32" s="58">
        <v>45</v>
      </c>
      <c r="C32" s="72">
        <v>1423811</v>
      </c>
      <c r="D32" s="72">
        <v>6067164945</v>
      </c>
      <c r="E32" s="59">
        <v>1.459196808611401E-3</v>
      </c>
      <c r="F32" s="93">
        <v>42.612151086064095</v>
      </c>
      <c r="G32" s="101"/>
      <c r="H32" s="61" t="str">
        <f t="shared" si="0"/>
        <v>(40, 45]</v>
      </c>
      <c r="I32" s="62">
        <v>0.15609060149999998</v>
      </c>
      <c r="J32" s="59">
        <v>2.2776690756303394E-4</v>
      </c>
      <c r="K32" s="59">
        <v>2.2433070714012167E-4</v>
      </c>
      <c r="L32" s="119">
        <v>224330</v>
      </c>
      <c r="M32" s="59">
        <v>2.2431580529584089E-4</v>
      </c>
      <c r="N32" s="59">
        <v>9.5585789862585088E-3</v>
      </c>
      <c r="O32" s="121">
        <v>0.14048154134999999</v>
      </c>
      <c r="P32" s="59">
        <v>2.2431580529584089E-4</v>
      </c>
      <c r="Q32" s="59">
        <v>2.2260372959427685E-4</v>
      </c>
      <c r="R32" s="59">
        <v>3.5248501938667606E-4</v>
      </c>
      <c r="S32" s="83">
        <v>0.99</v>
      </c>
      <c r="U32" s="62"/>
      <c r="V32" s="62"/>
    </row>
    <row r="33" spans="1:22" x14ac:dyDescent="0.3">
      <c r="A33" s="58">
        <v>45</v>
      </c>
      <c r="B33" s="58">
        <v>50</v>
      </c>
      <c r="C33" s="72">
        <v>1177170</v>
      </c>
      <c r="D33" s="72">
        <v>5604035925</v>
      </c>
      <c r="E33" s="59">
        <v>1.2064260686236326E-3</v>
      </c>
      <c r="F33" s="93">
        <v>47.606003593363745</v>
      </c>
      <c r="G33" s="101"/>
      <c r="H33" s="61" t="str">
        <f t="shared" si="0"/>
        <v>(45, 50]</v>
      </c>
      <c r="I33" s="62">
        <v>0.18730872179999999</v>
      </c>
      <c r="J33" s="59">
        <v>2.2597412486009171E-4</v>
      </c>
      <c r="K33" s="59">
        <v>2.2256497121385106E-4</v>
      </c>
      <c r="L33" s="119">
        <v>222564</v>
      </c>
      <c r="M33" s="59">
        <v>2.2254991704124963E-4</v>
      </c>
      <c r="N33" s="59">
        <v>1.0594712150368533E-2</v>
      </c>
      <c r="O33" s="121">
        <v>0.16857784962</v>
      </c>
      <c r="P33" s="59">
        <v>2.2254991704124963E-4</v>
      </c>
      <c r="Q33" s="59">
        <v>2.1215213191966382E-4</v>
      </c>
      <c r="R33" s="59">
        <v>1.3218188227000352E-4</v>
      </c>
      <c r="S33" s="83">
        <v>0.95</v>
      </c>
      <c r="U33" s="62"/>
      <c r="V33" s="62"/>
    </row>
    <row r="34" spans="1:22" x14ac:dyDescent="0.3">
      <c r="A34" s="58">
        <v>50</v>
      </c>
      <c r="B34" s="58">
        <v>60</v>
      </c>
      <c r="C34" s="72">
        <v>1992789</v>
      </c>
      <c r="D34" s="72">
        <v>10931633025</v>
      </c>
      <c r="E34" s="59">
        <v>2.0423155524405311E-3</v>
      </c>
      <c r="F34" s="93">
        <v>54.855948246402406</v>
      </c>
      <c r="G34" s="101"/>
      <c r="H34" s="115" t="str">
        <f t="shared" si="0"/>
        <v>(50, 60]</v>
      </c>
      <c r="I34" s="62">
        <v>0.32258724309999998</v>
      </c>
      <c r="J34" s="59">
        <v>6.5882494360204439E-4</v>
      </c>
      <c r="K34" s="59">
        <v>6.4888559563419277E-4</v>
      </c>
      <c r="L34" s="119">
        <v>648885</v>
      </c>
      <c r="M34" s="59">
        <v>6.4884394115540369E-4</v>
      </c>
      <c r="N34" s="59">
        <v>3.559294965601259E-2</v>
      </c>
      <c r="O34" s="121">
        <v>0.29032851878999999</v>
      </c>
      <c r="P34" s="59">
        <v>6.4884394115540369E-4</v>
      </c>
      <c r="Q34" s="59">
        <v>6.2280361502472517E-4</v>
      </c>
      <c r="R34" s="59">
        <v>3.0842439196334157E-4</v>
      </c>
      <c r="S34" s="83">
        <v>0.96</v>
      </c>
      <c r="U34" s="62"/>
      <c r="V34" s="62"/>
    </row>
    <row r="35" spans="1:22" x14ac:dyDescent="0.3">
      <c r="A35" s="58">
        <v>60</v>
      </c>
      <c r="B35" s="58">
        <v>70</v>
      </c>
      <c r="C35" s="72">
        <v>1443638</v>
      </c>
      <c r="D35" s="72">
        <v>9377454105</v>
      </c>
      <c r="E35" s="59">
        <v>1.4795165667284111E-3</v>
      </c>
      <c r="F35" s="93">
        <v>64.957102161345162</v>
      </c>
      <c r="G35" s="90"/>
      <c r="H35" s="61" t="str">
        <f t="shared" si="0"/>
        <v>(60, 70]</v>
      </c>
      <c r="I35" s="62">
        <v>0.104060401</v>
      </c>
      <c r="J35" s="59">
        <v>1.5395908721990172E-4</v>
      </c>
      <c r="K35" s="59">
        <v>1.5163638684926161E-4</v>
      </c>
      <c r="L35" s="119">
        <v>151636</v>
      </c>
      <c r="M35" s="59">
        <v>1.5162640508108646E-4</v>
      </c>
      <c r="N35" s="59">
        <v>9.8492118852096383E-3</v>
      </c>
      <c r="O35" s="121">
        <v>9.3654360899999997E-2</v>
      </c>
      <c r="P35" s="59">
        <v>1.5162640508108646E-4</v>
      </c>
      <c r="Q35" s="59">
        <v>1.5079862341928023E-4</v>
      </c>
      <c r="R35" s="59">
        <v>1.7624250969333803E-4</v>
      </c>
      <c r="S35" s="83">
        <v>0.99</v>
      </c>
      <c r="U35" s="62"/>
      <c r="V35" s="62"/>
    </row>
    <row r="36" spans="1:22" x14ac:dyDescent="0.3">
      <c r="A36" s="58">
        <v>70</v>
      </c>
      <c r="B36" s="58">
        <v>80</v>
      </c>
      <c r="C36" s="72">
        <v>1152370</v>
      </c>
      <c r="D36" s="72">
        <v>8638430205</v>
      </c>
      <c r="E36" s="59">
        <v>1.1810097171180165E-3</v>
      </c>
      <c r="F36" s="93">
        <v>74.962296875135593</v>
      </c>
      <c r="G36" s="90"/>
      <c r="H36" s="61" t="str">
        <f t="shared" si="0"/>
        <v>(70, 80]</v>
      </c>
      <c r="I36" s="62">
        <v>0.1144664411</v>
      </c>
      <c r="J36" s="59">
        <v>1.3518597922301709E-4</v>
      </c>
      <c r="K36" s="59">
        <v>1.3314649893174878E-4</v>
      </c>
      <c r="L36" s="119">
        <v>133146</v>
      </c>
      <c r="M36" s="59">
        <v>1.3313757505425058E-4</v>
      </c>
      <c r="N36" s="59">
        <v>9.9802984264523789E-3</v>
      </c>
      <c r="O36" s="121">
        <v>0.10301979699</v>
      </c>
      <c r="P36" s="59">
        <v>1.3313757505425058E-4</v>
      </c>
      <c r="Q36" s="59">
        <v>1.2982942429562834E-4</v>
      </c>
      <c r="R36" s="59">
        <v>1.3218188227000352E-4</v>
      </c>
      <c r="S36" s="83">
        <v>0.98</v>
      </c>
      <c r="U36" s="62"/>
      <c r="V36" s="62"/>
    </row>
    <row r="37" spans="1:22" x14ac:dyDescent="0.3">
      <c r="A37" s="58">
        <v>80</v>
      </c>
      <c r="B37" s="58">
        <v>90</v>
      </c>
      <c r="C37" s="72">
        <v>911829</v>
      </c>
      <c r="D37" s="72">
        <v>7750791030</v>
      </c>
      <c r="E37" s="59">
        <v>9.3449057971832299E-4</v>
      </c>
      <c r="F37" s="93">
        <v>85.00268175282865</v>
      </c>
      <c r="G37" s="90"/>
      <c r="H37" s="61" t="str">
        <f t="shared" si="0"/>
        <v>(80, 90]</v>
      </c>
      <c r="I37" s="62">
        <v>0</v>
      </c>
      <c r="J37" s="59">
        <v>0</v>
      </c>
      <c r="K37" s="59">
        <v>0</v>
      </c>
      <c r="L37" s="119">
        <v>0</v>
      </c>
      <c r="M37" s="59">
        <v>0</v>
      </c>
      <c r="N37" s="59">
        <v>0</v>
      </c>
      <c r="O37" s="121">
        <v>0</v>
      </c>
      <c r="P37" s="59">
        <v>0</v>
      </c>
      <c r="Q37" s="59">
        <v>1.1201240542940448E-4</v>
      </c>
      <c r="R37" s="59">
        <v>0</v>
      </c>
      <c r="S37" s="83">
        <v>0</v>
      </c>
      <c r="U37" s="62"/>
      <c r="V37" s="62"/>
    </row>
    <row r="38" spans="1:22" x14ac:dyDescent="0.3">
      <c r="A38" s="58">
        <v>90</v>
      </c>
      <c r="B38" s="58">
        <v>100</v>
      </c>
      <c r="C38" s="72">
        <v>733401</v>
      </c>
      <c r="D38" s="72">
        <v>6968879730</v>
      </c>
      <c r="E38" s="59">
        <v>7.5162812945848154E-4</v>
      </c>
      <c r="F38" s="93">
        <v>95.021410251690412</v>
      </c>
      <c r="G38" s="90"/>
      <c r="H38" s="61" t="str">
        <f t="shared" si="0"/>
        <v>(90, 100]</v>
      </c>
      <c r="I38" s="62">
        <v>0</v>
      </c>
      <c r="J38" s="59">
        <v>0</v>
      </c>
      <c r="K38" s="59">
        <v>0</v>
      </c>
      <c r="L38" s="119">
        <v>0</v>
      </c>
      <c r="M38" s="59">
        <v>0</v>
      </c>
      <c r="N38" s="59">
        <v>0</v>
      </c>
      <c r="O38" s="121">
        <v>0</v>
      </c>
      <c r="P38" s="59">
        <v>0</v>
      </c>
      <c r="Q38" s="59">
        <v>1.0128479197082886E-4</v>
      </c>
      <c r="R38" s="59">
        <v>8.8121254846669015E-5</v>
      </c>
      <c r="S38" s="83">
        <v>0</v>
      </c>
      <c r="U38" s="62"/>
      <c r="V38" s="62"/>
    </row>
    <row r="39" spans="1:22" x14ac:dyDescent="0.3">
      <c r="A39" s="58">
        <v>100</v>
      </c>
      <c r="B39" s="58">
        <v>120</v>
      </c>
      <c r="C39" s="72">
        <v>1138045</v>
      </c>
      <c r="D39" s="72">
        <v>12463552425</v>
      </c>
      <c r="E39" s="59">
        <v>1.1663286995648734E-3</v>
      </c>
      <c r="F39" s="93">
        <v>109.51721966178842</v>
      </c>
      <c r="G39" s="90"/>
      <c r="H39" s="61" t="str">
        <f t="shared" si="0"/>
        <v>(100, 120]</v>
      </c>
      <c r="I39" s="62">
        <v>0.10104056816298</v>
      </c>
      <c r="J39" s="59">
        <v>1.1784651446882442E-4</v>
      </c>
      <c r="K39" s="59">
        <v>1.1606862562979523E-4</v>
      </c>
      <c r="L39" s="119">
        <v>116068</v>
      </c>
      <c r="M39" s="59">
        <v>1.1606065568170846E-4</v>
      </c>
      <c r="N39" s="59">
        <v>1.2710640322384857E-2</v>
      </c>
      <c r="O39" s="121">
        <v>9.0936511346682E-2</v>
      </c>
      <c r="P39" s="59">
        <v>1.1606065568170846E-4</v>
      </c>
      <c r="Q39" s="59">
        <v>0</v>
      </c>
      <c r="R39" s="59">
        <v>0</v>
      </c>
      <c r="S39" s="83">
        <v>0</v>
      </c>
      <c r="U39" s="62"/>
      <c r="V39" s="62"/>
    </row>
    <row r="40" spans="1:22" x14ac:dyDescent="0.3">
      <c r="A40" s="58">
        <v>120</v>
      </c>
      <c r="B40" s="58">
        <v>140</v>
      </c>
      <c r="C40" s="72">
        <v>789517</v>
      </c>
      <c r="D40" s="72">
        <v>10238081405</v>
      </c>
      <c r="E40" s="59">
        <v>8.0913877385723767E-4</v>
      </c>
      <c r="F40" s="93">
        <v>129.67524961463781</v>
      </c>
      <c r="G40" s="90"/>
      <c r="H40" s="61" t="str">
        <f t="shared" si="0"/>
        <v>(120, 140]</v>
      </c>
      <c r="I40" s="62">
        <v>0</v>
      </c>
      <c r="J40" s="59">
        <v>0</v>
      </c>
      <c r="K40" s="59">
        <v>0</v>
      </c>
      <c r="L40" s="119">
        <v>0</v>
      </c>
      <c r="M40" s="59">
        <v>0</v>
      </c>
      <c r="N40" s="59">
        <v>0</v>
      </c>
      <c r="O40" s="121">
        <v>0</v>
      </c>
      <c r="P40" s="59">
        <v>0</v>
      </c>
      <c r="Q40" s="59">
        <v>0</v>
      </c>
      <c r="R40" s="59">
        <v>4.4060627423334507E-5</v>
      </c>
      <c r="S40" s="83">
        <v>0</v>
      </c>
      <c r="U40" s="62"/>
      <c r="V40" s="62"/>
    </row>
    <row r="41" spans="1:22" x14ac:dyDescent="0.3">
      <c r="A41" s="58">
        <v>140</v>
      </c>
      <c r="B41" s="58">
        <v>160</v>
      </c>
      <c r="C41" s="72">
        <v>590444</v>
      </c>
      <c r="D41" s="72">
        <v>8841692580</v>
      </c>
      <c r="E41" s="59">
        <v>6.0511823582185421E-4</v>
      </c>
      <c r="F41" s="93">
        <v>149.74650568047096</v>
      </c>
      <c r="G41" s="90"/>
      <c r="H41" s="61" t="str">
        <f t="shared" si="0"/>
        <v>(140, 160]</v>
      </c>
      <c r="I41" s="62">
        <v>0</v>
      </c>
      <c r="J41" s="59">
        <v>0</v>
      </c>
      <c r="K41" s="59">
        <v>0</v>
      </c>
      <c r="L41" s="119">
        <v>0</v>
      </c>
      <c r="M41" s="59">
        <v>0</v>
      </c>
      <c r="N41" s="59">
        <v>0</v>
      </c>
      <c r="O41" s="121">
        <v>0</v>
      </c>
      <c r="P41" s="59">
        <v>0</v>
      </c>
      <c r="Q41" s="59">
        <v>0</v>
      </c>
      <c r="R41" s="59">
        <v>8.8121254846669015E-5</v>
      </c>
      <c r="S41" s="83">
        <v>0</v>
      </c>
      <c r="U41" s="62"/>
      <c r="V41" s="62"/>
    </row>
    <row r="42" spans="1:22" x14ac:dyDescent="0.3">
      <c r="A42" s="58">
        <v>160</v>
      </c>
      <c r="B42" s="58">
        <v>180</v>
      </c>
      <c r="C42" s="72">
        <v>441044</v>
      </c>
      <c r="D42" s="72">
        <v>7487965275</v>
      </c>
      <c r="E42" s="59">
        <v>4.5200521505818307E-4</v>
      </c>
      <c r="F42" s="93">
        <v>169.77819163167393</v>
      </c>
      <c r="G42" s="90"/>
      <c r="H42" s="61" t="str">
        <f t="shared" si="0"/>
        <v>(160, 180]</v>
      </c>
      <c r="I42" s="62">
        <v>0</v>
      </c>
      <c r="J42" s="59">
        <v>0</v>
      </c>
      <c r="K42" s="59">
        <v>0</v>
      </c>
      <c r="L42" s="119">
        <v>0</v>
      </c>
      <c r="M42" s="59">
        <v>0</v>
      </c>
      <c r="N42" s="59">
        <v>0</v>
      </c>
      <c r="O42" s="121">
        <v>0</v>
      </c>
      <c r="P42" s="59">
        <v>0</v>
      </c>
      <c r="Q42" s="59">
        <v>0</v>
      </c>
      <c r="R42" s="59">
        <v>0</v>
      </c>
      <c r="S42" s="83">
        <v>0</v>
      </c>
      <c r="U42" s="62"/>
      <c r="V42" s="62"/>
    </row>
    <row r="43" spans="1:22" x14ac:dyDescent="0.3">
      <c r="A43" s="58">
        <v>180</v>
      </c>
      <c r="B43" s="58">
        <v>200</v>
      </c>
      <c r="C43" s="72">
        <v>335496</v>
      </c>
      <c r="D43" s="72">
        <v>6368038515</v>
      </c>
      <c r="E43" s="59">
        <v>3.4383404293258766E-4</v>
      </c>
      <c r="F43" s="93">
        <v>189.809670309035</v>
      </c>
      <c r="G43" s="90"/>
      <c r="H43" s="61" t="str">
        <f t="shared" si="0"/>
        <v>(180, 200]</v>
      </c>
      <c r="I43" s="62">
        <v>0</v>
      </c>
      <c r="J43" s="59">
        <v>0</v>
      </c>
      <c r="K43" s="59">
        <v>0</v>
      </c>
      <c r="L43" s="119">
        <v>0</v>
      </c>
      <c r="M43" s="59">
        <v>0</v>
      </c>
      <c r="N43" s="59">
        <v>0</v>
      </c>
      <c r="O43" s="121">
        <v>0</v>
      </c>
      <c r="P43" s="59">
        <v>0</v>
      </c>
      <c r="Q43" s="59">
        <v>0</v>
      </c>
      <c r="R43" s="59">
        <v>0</v>
      </c>
      <c r="S43" s="83">
        <v>0</v>
      </c>
      <c r="U43" s="62"/>
      <c r="V43" s="62"/>
    </row>
    <row r="44" spans="1:22" x14ac:dyDescent="0.3">
      <c r="A44" s="58">
        <v>200</v>
      </c>
      <c r="B44" s="58">
        <v>250</v>
      </c>
      <c r="C44" s="72">
        <v>573493</v>
      </c>
      <c r="D44" s="72">
        <v>12777191060</v>
      </c>
      <c r="E44" s="59">
        <v>5.8774595459718893E-4</v>
      </c>
      <c r="F44" s="93">
        <v>222.79593752670041</v>
      </c>
      <c r="G44" s="90"/>
      <c r="H44" s="61" t="str">
        <f t="shared" si="0"/>
        <v>(200, 250]</v>
      </c>
      <c r="I44" s="62">
        <v>0</v>
      </c>
      <c r="J44" s="59">
        <v>0</v>
      </c>
      <c r="K44" s="59">
        <v>0</v>
      </c>
      <c r="L44" s="119">
        <v>0</v>
      </c>
      <c r="M44" s="59">
        <v>0</v>
      </c>
      <c r="N44" s="59">
        <v>0</v>
      </c>
      <c r="O44" s="121">
        <v>0</v>
      </c>
      <c r="P44" s="59">
        <v>0</v>
      </c>
      <c r="Q44" s="59">
        <v>0</v>
      </c>
      <c r="R44" s="59">
        <v>4.4060627423334507E-5</v>
      </c>
      <c r="S44" s="83">
        <v>0</v>
      </c>
      <c r="U44" s="62"/>
      <c r="V44" s="62"/>
    </row>
    <row r="45" spans="1:22" x14ac:dyDescent="0.3">
      <c r="A45" s="58">
        <v>250</v>
      </c>
      <c r="B45" s="58">
        <v>300</v>
      </c>
      <c r="C45" s="72">
        <v>345164</v>
      </c>
      <c r="D45" s="72">
        <v>9425383575</v>
      </c>
      <c r="E45" s="59">
        <v>3.5374232060824475E-4</v>
      </c>
      <c r="F45" s="93">
        <v>273.06971685923213</v>
      </c>
      <c r="G45" s="90"/>
      <c r="H45" s="61" t="str">
        <f t="shared" si="0"/>
        <v>(250, 300]</v>
      </c>
      <c r="I45" s="62">
        <v>0</v>
      </c>
      <c r="J45" s="59">
        <v>0</v>
      </c>
      <c r="K45" s="59">
        <v>0</v>
      </c>
      <c r="L45" s="119">
        <v>0</v>
      </c>
      <c r="M45" s="59">
        <v>0</v>
      </c>
      <c r="N45" s="59">
        <v>0</v>
      </c>
      <c r="O45" s="121">
        <v>0</v>
      </c>
      <c r="P45" s="59">
        <v>0</v>
      </c>
      <c r="Q45" s="59">
        <v>0</v>
      </c>
      <c r="R45" s="59">
        <v>0</v>
      </c>
      <c r="S45" s="83">
        <v>0</v>
      </c>
      <c r="U45" s="62"/>
      <c r="V45" s="62"/>
    </row>
    <row r="46" spans="1:22" x14ac:dyDescent="0.3">
      <c r="A46" s="58">
        <v>300</v>
      </c>
      <c r="B46" s="58">
        <v>350</v>
      </c>
      <c r="C46" s="72">
        <v>217907</v>
      </c>
      <c r="D46" s="72">
        <v>7046332605</v>
      </c>
      <c r="E46" s="59">
        <v>2.2332261723928564E-4</v>
      </c>
      <c r="F46" s="93">
        <v>323.36421523861094</v>
      </c>
      <c r="G46" s="90"/>
      <c r="H46" s="61" t="str">
        <f t="shared" si="0"/>
        <v>(300, 350]</v>
      </c>
      <c r="I46" s="62">
        <v>0</v>
      </c>
      <c r="J46" s="59">
        <v>0</v>
      </c>
      <c r="K46" s="59">
        <v>0</v>
      </c>
      <c r="L46" s="119">
        <v>0</v>
      </c>
      <c r="M46" s="59">
        <v>0</v>
      </c>
      <c r="N46" s="59">
        <v>0</v>
      </c>
      <c r="O46" s="121">
        <v>0</v>
      </c>
      <c r="P46" s="59">
        <v>0</v>
      </c>
      <c r="Q46" s="59">
        <v>0</v>
      </c>
      <c r="R46" s="59">
        <v>0</v>
      </c>
      <c r="S46" s="83">
        <v>0</v>
      </c>
      <c r="U46" s="62"/>
      <c r="V46" s="62"/>
    </row>
    <row r="47" spans="1:22" x14ac:dyDescent="0.3">
      <c r="A47" s="58">
        <v>350</v>
      </c>
      <c r="B47" s="58">
        <v>400</v>
      </c>
      <c r="C47" s="72">
        <v>144904</v>
      </c>
      <c r="D47" s="72">
        <v>5414434500</v>
      </c>
      <c r="E47" s="59">
        <v>1.4850528220039489E-4</v>
      </c>
      <c r="F47" s="93">
        <v>373.65666234196431</v>
      </c>
      <c r="G47" s="90"/>
      <c r="H47" s="61" t="str">
        <f t="shared" si="0"/>
        <v>(350, 400]</v>
      </c>
      <c r="I47" s="62">
        <v>0</v>
      </c>
      <c r="J47" s="59">
        <v>0</v>
      </c>
      <c r="K47" s="59">
        <v>0</v>
      </c>
      <c r="L47" s="119">
        <v>0</v>
      </c>
      <c r="M47" s="59">
        <v>0</v>
      </c>
      <c r="N47" s="59">
        <v>0</v>
      </c>
      <c r="O47" s="121">
        <v>0</v>
      </c>
      <c r="P47" s="59">
        <v>0</v>
      </c>
      <c r="Q47" s="59">
        <v>0</v>
      </c>
      <c r="R47" s="59">
        <v>0</v>
      </c>
      <c r="S47" s="83">
        <v>0</v>
      </c>
      <c r="U47" s="62"/>
      <c r="V47" s="62"/>
    </row>
    <row r="48" spans="1:22" x14ac:dyDescent="0.3">
      <c r="A48" s="58">
        <v>400</v>
      </c>
      <c r="B48" s="58">
        <v>450</v>
      </c>
      <c r="C48" s="72">
        <v>104430</v>
      </c>
      <c r="D48" s="72">
        <v>4423525660</v>
      </c>
      <c r="E48" s="59">
        <v>1.0702538660207612E-4</v>
      </c>
      <c r="F48" s="93">
        <v>423.58763382169877</v>
      </c>
      <c r="G48" s="90"/>
      <c r="H48" s="61" t="str">
        <f t="shared" si="0"/>
        <v>(400, 450]</v>
      </c>
      <c r="I48" s="62">
        <v>0</v>
      </c>
      <c r="J48" s="59">
        <v>0</v>
      </c>
      <c r="K48" s="59">
        <v>0</v>
      </c>
      <c r="L48" s="119">
        <v>0</v>
      </c>
      <c r="M48" s="59">
        <v>0</v>
      </c>
      <c r="N48" s="59">
        <v>0</v>
      </c>
      <c r="O48" s="121">
        <v>0</v>
      </c>
      <c r="P48" s="59">
        <v>0</v>
      </c>
      <c r="Q48" s="59">
        <v>0</v>
      </c>
      <c r="R48" s="59">
        <v>0</v>
      </c>
      <c r="S48" s="83">
        <v>0</v>
      </c>
      <c r="U48" s="62"/>
      <c r="V48" s="62"/>
    </row>
    <row r="49" spans="1:22" x14ac:dyDescent="0.3">
      <c r="A49" s="58">
        <v>450</v>
      </c>
      <c r="B49" s="58">
        <v>500</v>
      </c>
      <c r="C49" s="72">
        <v>71873</v>
      </c>
      <c r="D49" s="72">
        <v>3406762295</v>
      </c>
      <c r="E49" s="59">
        <v>7.3659251280771968E-5</v>
      </c>
      <c r="F49" s="93">
        <v>473.99750880024493</v>
      </c>
      <c r="G49" s="90"/>
      <c r="H49" s="61" t="str">
        <f t="shared" si="0"/>
        <v>(450, 500]</v>
      </c>
      <c r="I49" s="62">
        <v>0</v>
      </c>
      <c r="J49" s="59">
        <v>0</v>
      </c>
      <c r="K49" s="59">
        <v>0</v>
      </c>
      <c r="L49" s="119">
        <v>0</v>
      </c>
      <c r="M49" s="59">
        <v>0</v>
      </c>
      <c r="N49" s="59">
        <v>0</v>
      </c>
      <c r="O49" s="121">
        <v>0</v>
      </c>
      <c r="P49" s="59">
        <v>0</v>
      </c>
      <c r="Q49" s="59">
        <v>0</v>
      </c>
      <c r="R49" s="59">
        <v>0</v>
      </c>
      <c r="S49" s="83">
        <v>0</v>
      </c>
      <c r="U49" s="62"/>
      <c r="V49" s="62"/>
    </row>
    <row r="50" spans="1:22" x14ac:dyDescent="0.3">
      <c r="A50" s="58">
        <v>500</v>
      </c>
      <c r="B50" s="58">
        <v>550</v>
      </c>
      <c r="C50" s="72">
        <v>55967</v>
      </c>
      <c r="D50" s="72">
        <v>2931497230</v>
      </c>
      <c r="E50" s="59">
        <v>5.7357941319145786E-5</v>
      </c>
      <c r="F50" s="93">
        <v>523.79031036146296</v>
      </c>
      <c r="G50" s="90"/>
      <c r="H50" s="61" t="str">
        <f t="shared" si="0"/>
        <v>(500, 550]</v>
      </c>
      <c r="I50" s="62">
        <v>0</v>
      </c>
      <c r="J50" s="59">
        <v>0</v>
      </c>
      <c r="K50" s="59">
        <v>0</v>
      </c>
      <c r="L50" s="119">
        <v>0</v>
      </c>
      <c r="M50" s="59">
        <v>0</v>
      </c>
      <c r="N50" s="59">
        <v>0</v>
      </c>
      <c r="O50" s="121">
        <v>0</v>
      </c>
      <c r="P50" s="59">
        <v>0</v>
      </c>
      <c r="Q50" s="59">
        <v>0</v>
      </c>
      <c r="R50" s="59">
        <v>0</v>
      </c>
      <c r="S50" s="83">
        <v>0</v>
      </c>
      <c r="U50" s="62"/>
      <c r="V50" s="62"/>
    </row>
    <row r="51" spans="1:22" x14ac:dyDescent="0.3">
      <c r="A51" s="58">
        <v>550</v>
      </c>
      <c r="B51" s="58">
        <v>600</v>
      </c>
      <c r="C51" s="72">
        <v>41359</v>
      </c>
      <c r="D51" s="72">
        <v>2373456065</v>
      </c>
      <c r="E51" s="59">
        <v>4.2386890400031277E-5</v>
      </c>
      <c r="F51" s="93">
        <v>573.86688870620662</v>
      </c>
      <c r="G51" s="90"/>
      <c r="H51" s="61" t="str">
        <f t="shared" si="0"/>
        <v>(550, 600]</v>
      </c>
      <c r="I51" s="62">
        <v>0</v>
      </c>
      <c r="J51" s="59">
        <v>0</v>
      </c>
      <c r="K51" s="59">
        <v>0</v>
      </c>
      <c r="L51" s="119">
        <v>0</v>
      </c>
      <c r="M51" s="59">
        <v>0</v>
      </c>
      <c r="N51" s="59">
        <v>0</v>
      </c>
      <c r="O51" s="121">
        <v>0</v>
      </c>
      <c r="P51" s="59">
        <v>0</v>
      </c>
      <c r="Q51" s="59">
        <v>0</v>
      </c>
      <c r="R51" s="59">
        <v>0</v>
      </c>
      <c r="S51" s="83">
        <v>0</v>
      </c>
      <c r="U51" s="62"/>
      <c r="V51" s="62"/>
    </row>
    <row r="52" spans="1:22" x14ac:dyDescent="0.3">
      <c r="A52" s="58">
        <v>600</v>
      </c>
      <c r="B52" s="58">
        <v>650</v>
      </c>
      <c r="C52" s="72">
        <v>31801</v>
      </c>
      <c r="D52" s="72">
        <v>1984767520</v>
      </c>
      <c r="E52" s="59">
        <v>3.2591346541536176E-5</v>
      </c>
      <c r="F52" s="93">
        <v>624.12110310996513</v>
      </c>
      <c r="G52" s="90"/>
      <c r="H52" s="61" t="str">
        <f t="shared" si="0"/>
        <v>(600, 650]</v>
      </c>
      <c r="I52" s="62">
        <v>0</v>
      </c>
      <c r="J52" s="59">
        <v>0</v>
      </c>
      <c r="K52" s="59">
        <v>0</v>
      </c>
      <c r="L52" s="119">
        <v>0</v>
      </c>
      <c r="M52" s="59">
        <v>0</v>
      </c>
      <c r="N52" s="59">
        <v>0</v>
      </c>
      <c r="O52" s="121">
        <v>0</v>
      </c>
      <c r="P52" s="59">
        <v>0</v>
      </c>
      <c r="Q52" s="59">
        <v>0</v>
      </c>
      <c r="R52" s="59">
        <v>0</v>
      </c>
      <c r="S52" s="83">
        <v>0</v>
      </c>
      <c r="U52" s="62"/>
      <c r="V52" s="62"/>
    </row>
    <row r="53" spans="1:22" x14ac:dyDescent="0.3">
      <c r="A53" s="58">
        <v>650</v>
      </c>
      <c r="B53" s="58">
        <v>700</v>
      </c>
      <c r="C53" s="72">
        <v>25094</v>
      </c>
      <c r="D53" s="72">
        <v>1691888680</v>
      </c>
      <c r="E53" s="59">
        <v>2.5717658253303632E-5</v>
      </c>
      <c r="F53" s="93">
        <v>674.22040328365347</v>
      </c>
      <c r="G53" s="90"/>
      <c r="H53" s="61" t="str">
        <f t="shared" si="0"/>
        <v>(650, 700]</v>
      </c>
      <c r="I53" s="62">
        <v>0</v>
      </c>
      <c r="J53" s="59">
        <v>0</v>
      </c>
      <c r="K53" s="59">
        <v>0</v>
      </c>
      <c r="L53" s="119">
        <v>0</v>
      </c>
      <c r="M53" s="59">
        <v>0</v>
      </c>
      <c r="N53" s="59">
        <v>0</v>
      </c>
      <c r="O53" s="121">
        <v>0</v>
      </c>
      <c r="P53" s="59">
        <v>0</v>
      </c>
      <c r="Q53" s="59">
        <v>0</v>
      </c>
      <c r="R53" s="59">
        <v>0</v>
      </c>
      <c r="S53" s="83">
        <v>0</v>
      </c>
      <c r="U53" s="62"/>
      <c r="V53" s="62"/>
    </row>
    <row r="54" spans="1:22" x14ac:dyDescent="0.3">
      <c r="A54" s="58">
        <v>700</v>
      </c>
      <c r="B54" s="58">
        <v>750</v>
      </c>
      <c r="C54" s="72">
        <v>19651</v>
      </c>
      <c r="D54" s="72">
        <v>1422851975</v>
      </c>
      <c r="E54" s="59">
        <v>2.0139384009550874E-5</v>
      </c>
      <c r="F54" s="93">
        <v>724.06084932064516</v>
      </c>
      <c r="G54" s="90"/>
      <c r="H54" s="61" t="str">
        <f t="shared" si="0"/>
        <v>(700, 750]</v>
      </c>
      <c r="I54" s="62">
        <v>0</v>
      </c>
      <c r="J54" s="59">
        <v>0</v>
      </c>
      <c r="K54" s="59">
        <v>0</v>
      </c>
      <c r="L54" s="119">
        <v>0</v>
      </c>
      <c r="M54" s="59">
        <v>0</v>
      </c>
      <c r="N54" s="59">
        <v>0</v>
      </c>
      <c r="O54" s="121">
        <v>0</v>
      </c>
      <c r="P54" s="59">
        <v>0</v>
      </c>
      <c r="Q54" s="59">
        <v>0</v>
      </c>
      <c r="R54" s="59">
        <v>0</v>
      </c>
      <c r="S54" s="83">
        <v>0</v>
      </c>
      <c r="U54" s="62"/>
      <c r="V54" s="62"/>
    </row>
    <row r="55" spans="1:22" x14ac:dyDescent="0.3">
      <c r="A55" s="58">
        <v>750</v>
      </c>
      <c r="B55" s="58">
        <v>800</v>
      </c>
      <c r="C55" s="72">
        <v>16199</v>
      </c>
      <c r="D55" s="72">
        <v>1254710175</v>
      </c>
      <c r="E55" s="59">
        <v>1.6601591856430441E-5</v>
      </c>
      <c r="F55" s="93">
        <v>774.56026606580645</v>
      </c>
      <c r="G55" s="90"/>
      <c r="H55" s="61" t="str">
        <f t="shared" si="0"/>
        <v>(750, 800]</v>
      </c>
      <c r="I55" s="62">
        <v>0</v>
      </c>
      <c r="J55" s="59">
        <v>0</v>
      </c>
      <c r="K55" s="59">
        <v>0</v>
      </c>
      <c r="L55" s="119">
        <v>0</v>
      </c>
      <c r="M55" s="59">
        <v>0</v>
      </c>
      <c r="N55" s="59">
        <v>0</v>
      </c>
      <c r="O55" s="121">
        <v>0</v>
      </c>
      <c r="P55" s="59">
        <v>0</v>
      </c>
      <c r="Q55" s="59">
        <v>0</v>
      </c>
      <c r="R55" s="59">
        <v>0</v>
      </c>
      <c r="S55" s="83">
        <v>0</v>
      </c>
      <c r="U55" s="62"/>
      <c r="V55" s="62"/>
    </row>
    <row r="56" spans="1:22" x14ac:dyDescent="0.3">
      <c r="A56" s="58">
        <v>800</v>
      </c>
      <c r="B56" s="58">
        <v>850</v>
      </c>
      <c r="C56" s="72">
        <v>13933</v>
      </c>
      <c r="D56" s="72">
        <v>1148116395</v>
      </c>
      <c r="E56" s="59">
        <v>1.4279275222893102E-5</v>
      </c>
      <c r="F56" s="93">
        <v>824.0266956147276</v>
      </c>
      <c r="G56" s="90"/>
      <c r="H56" s="61" t="str">
        <f t="shared" si="0"/>
        <v>(800, 850]</v>
      </c>
      <c r="I56" s="62">
        <v>0</v>
      </c>
      <c r="J56" s="59">
        <v>0</v>
      </c>
      <c r="K56" s="59">
        <v>0</v>
      </c>
      <c r="L56" s="119">
        <v>0</v>
      </c>
      <c r="M56" s="59">
        <v>0</v>
      </c>
      <c r="N56" s="59">
        <v>0</v>
      </c>
      <c r="O56" s="121">
        <v>0</v>
      </c>
      <c r="P56" s="59">
        <v>0</v>
      </c>
      <c r="Q56" s="59">
        <v>0</v>
      </c>
      <c r="R56" s="59">
        <v>0</v>
      </c>
      <c r="S56" s="83">
        <v>0</v>
      </c>
      <c r="U56" s="62"/>
      <c r="V56" s="62"/>
    </row>
    <row r="57" spans="1:22" x14ac:dyDescent="0.3">
      <c r="A57" s="58">
        <v>850</v>
      </c>
      <c r="B57" s="58">
        <v>900</v>
      </c>
      <c r="C57" s="72">
        <v>10619</v>
      </c>
      <c r="D57" s="72">
        <v>928484515</v>
      </c>
      <c r="E57" s="59">
        <v>1.0882912767666822E-5</v>
      </c>
      <c r="F57" s="93">
        <v>874.36153592617006</v>
      </c>
      <c r="G57" s="90"/>
      <c r="H57" s="61" t="str">
        <f t="shared" si="0"/>
        <v>(850, 900]</v>
      </c>
      <c r="I57" s="62">
        <v>0</v>
      </c>
      <c r="J57" s="59">
        <v>0</v>
      </c>
      <c r="K57" s="59">
        <v>0</v>
      </c>
      <c r="L57" s="84">
        <v>0</v>
      </c>
      <c r="M57" s="59">
        <v>0</v>
      </c>
      <c r="N57" s="59">
        <v>0</v>
      </c>
      <c r="O57" s="121">
        <v>0</v>
      </c>
      <c r="P57" s="59">
        <v>0</v>
      </c>
      <c r="Q57" s="59">
        <v>0</v>
      </c>
      <c r="R57" s="59">
        <v>0</v>
      </c>
      <c r="S57" s="83">
        <v>0</v>
      </c>
      <c r="U57" s="62"/>
      <c r="V57" s="62"/>
    </row>
    <row r="58" spans="1:22" x14ac:dyDescent="0.3">
      <c r="A58" s="58">
        <v>900</v>
      </c>
      <c r="B58" s="58">
        <v>950</v>
      </c>
      <c r="C58" s="72">
        <v>9237</v>
      </c>
      <c r="D58" s="72">
        <v>853717880</v>
      </c>
      <c r="E58" s="59">
        <v>9.4665660829587004E-6</v>
      </c>
      <c r="F58" s="93">
        <v>924.23717657248028</v>
      </c>
      <c r="G58" s="90"/>
      <c r="H58" s="61" t="str">
        <f t="shared" si="0"/>
        <v>(900, 950]</v>
      </c>
      <c r="I58" s="62">
        <v>0</v>
      </c>
      <c r="J58" s="59">
        <v>0</v>
      </c>
      <c r="K58" s="59">
        <v>0</v>
      </c>
      <c r="L58" s="84">
        <v>0</v>
      </c>
      <c r="M58" s="59">
        <v>0</v>
      </c>
      <c r="N58" s="59">
        <v>0</v>
      </c>
      <c r="O58" s="121">
        <v>0</v>
      </c>
      <c r="P58" s="59">
        <v>0</v>
      </c>
      <c r="Q58" s="59">
        <v>0</v>
      </c>
      <c r="R58" s="59">
        <v>0</v>
      </c>
      <c r="S58" s="83">
        <v>0</v>
      </c>
      <c r="U58" s="62"/>
      <c r="V58" s="62"/>
    </row>
    <row r="59" spans="1:22" x14ac:dyDescent="0.3">
      <c r="A59" s="58">
        <v>950</v>
      </c>
      <c r="B59" s="58">
        <v>1000</v>
      </c>
      <c r="C59" s="72">
        <v>7404</v>
      </c>
      <c r="D59" s="72">
        <v>721392275</v>
      </c>
      <c r="E59" s="59">
        <v>7.5880107478863507E-6</v>
      </c>
      <c r="F59" s="93">
        <v>974.32776202052946</v>
      </c>
      <c r="G59" s="90"/>
      <c r="H59" s="61" t="str">
        <f t="shared" si="0"/>
        <v>(950, 1000]</v>
      </c>
      <c r="I59" s="62">
        <v>0</v>
      </c>
      <c r="J59" s="59">
        <v>0</v>
      </c>
      <c r="K59" s="59">
        <v>0</v>
      </c>
      <c r="L59" s="84">
        <v>0</v>
      </c>
      <c r="M59" s="59">
        <v>0</v>
      </c>
      <c r="N59" s="59">
        <v>0</v>
      </c>
      <c r="O59" s="121">
        <v>0</v>
      </c>
      <c r="P59" s="59">
        <v>0</v>
      </c>
      <c r="Q59" s="59">
        <v>0</v>
      </c>
      <c r="R59" s="59">
        <v>0</v>
      </c>
      <c r="S59" s="83">
        <v>0</v>
      </c>
      <c r="U59" s="62"/>
      <c r="V59" s="62"/>
    </row>
    <row r="60" spans="1:22" x14ac:dyDescent="0.3">
      <c r="A60" s="58">
        <v>1000</v>
      </c>
      <c r="B60" s="58">
        <v>2000</v>
      </c>
      <c r="C60" s="72">
        <v>49745</v>
      </c>
      <c r="D60" s="72">
        <v>6538772085</v>
      </c>
      <c r="E60" s="59">
        <v>5.098130667930936E-5</v>
      </c>
      <c r="F60" s="93">
        <v>1314.4581535832747</v>
      </c>
      <c r="G60" s="90"/>
      <c r="H60" s="61" t="str">
        <f t="shared" si="0"/>
        <v>(1000, 2000]</v>
      </c>
      <c r="I60" s="62">
        <v>0</v>
      </c>
      <c r="J60" s="59">
        <v>0</v>
      </c>
      <c r="K60" s="59">
        <v>0</v>
      </c>
      <c r="L60" s="84">
        <v>0</v>
      </c>
      <c r="M60" s="59">
        <v>0</v>
      </c>
      <c r="N60" s="59">
        <v>0</v>
      </c>
      <c r="O60" s="121">
        <v>0</v>
      </c>
      <c r="P60" s="59">
        <v>0</v>
      </c>
      <c r="Q60" s="59">
        <v>0</v>
      </c>
      <c r="R60" s="59">
        <v>0</v>
      </c>
      <c r="S60" s="83">
        <v>0</v>
      </c>
      <c r="U60" s="62"/>
      <c r="V60" s="62"/>
    </row>
    <row r="61" spans="1:22" x14ac:dyDescent="0.3">
      <c r="A61" s="58">
        <v>2000</v>
      </c>
      <c r="B61" s="58">
        <v>3000</v>
      </c>
      <c r="C61" s="72">
        <v>6830</v>
      </c>
      <c r="D61" s="72">
        <v>1625394830</v>
      </c>
      <c r="E61" s="59">
        <v>6.9997451928773336E-6</v>
      </c>
      <c r="F61" s="93">
        <v>2379.7874524158124</v>
      </c>
      <c r="G61" s="90"/>
      <c r="H61" s="61" t="str">
        <f t="shared" si="0"/>
        <v>(2000, 3000]</v>
      </c>
      <c r="I61" s="62">
        <v>0</v>
      </c>
      <c r="J61" s="59">
        <v>0</v>
      </c>
      <c r="K61" s="59">
        <v>0</v>
      </c>
      <c r="L61" s="84">
        <v>0</v>
      </c>
      <c r="M61" s="59">
        <v>0</v>
      </c>
      <c r="N61" s="59">
        <v>0</v>
      </c>
      <c r="O61" s="121">
        <v>0</v>
      </c>
      <c r="P61" s="59">
        <v>0</v>
      </c>
      <c r="Q61" s="59">
        <v>0</v>
      </c>
      <c r="R61" s="59">
        <v>0</v>
      </c>
      <c r="S61" s="83">
        <v>0</v>
      </c>
      <c r="U61" s="62"/>
      <c r="V61" s="62"/>
    </row>
    <row r="62" spans="1:22" x14ac:dyDescent="0.3">
      <c r="A62" s="58">
        <v>3000</v>
      </c>
      <c r="B62" s="58">
        <v>4000</v>
      </c>
      <c r="C62" s="72">
        <v>1792</v>
      </c>
      <c r="D62" s="72">
        <v>610680885</v>
      </c>
      <c r="E62" s="59">
        <v>1.8365363668574204E-6</v>
      </c>
      <c r="F62" s="93">
        <v>3407.8174386160717</v>
      </c>
      <c r="G62" s="90"/>
      <c r="H62" s="61" t="str">
        <f t="shared" si="0"/>
        <v>(3000, 4000]</v>
      </c>
      <c r="I62" s="62">
        <v>0</v>
      </c>
      <c r="J62" s="59">
        <v>0</v>
      </c>
      <c r="K62" s="59">
        <v>0</v>
      </c>
      <c r="L62" s="84">
        <v>0</v>
      </c>
      <c r="M62" s="59">
        <v>0</v>
      </c>
      <c r="N62" s="59">
        <v>0</v>
      </c>
      <c r="O62" s="121">
        <v>0</v>
      </c>
      <c r="P62" s="59">
        <v>0</v>
      </c>
      <c r="Q62" s="59">
        <v>0</v>
      </c>
      <c r="R62" s="59">
        <v>0</v>
      </c>
      <c r="S62" s="83">
        <v>0</v>
      </c>
      <c r="U62" s="62"/>
      <c r="V62" s="62"/>
    </row>
    <row r="63" spans="1:22" x14ac:dyDescent="0.3">
      <c r="A63" s="58">
        <v>4000</v>
      </c>
      <c r="B63" s="58">
        <v>5000</v>
      </c>
      <c r="C63" s="72">
        <v>576</v>
      </c>
      <c r="D63" s="72">
        <v>254222105</v>
      </c>
      <c r="E63" s="59">
        <v>5.9031526077559945E-7</v>
      </c>
      <c r="F63" s="93">
        <v>4413.5782118055558</v>
      </c>
      <c r="G63" s="90"/>
      <c r="H63" s="61" t="str">
        <f t="shared" si="0"/>
        <v>(4000, 5000]</v>
      </c>
      <c r="I63" s="62">
        <v>0</v>
      </c>
      <c r="J63" s="59">
        <v>0</v>
      </c>
      <c r="K63" s="59">
        <v>0</v>
      </c>
      <c r="L63" s="84">
        <v>0</v>
      </c>
      <c r="M63" s="59">
        <v>0</v>
      </c>
      <c r="N63" s="59">
        <v>0</v>
      </c>
      <c r="O63" s="121">
        <v>0</v>
      </c>
      <c r="P63" s="59">
        <v>0</v>
      </c>
      <c r="Q63" s="59">
        <v>0</v>
      </c>
      <c r="R63" s="59">
        <v>0</v>
      </c>
      <c r="S63" s="83">
        <v>0</v>
      </c>
      <c r="U63" s="62"/>
      <c r="V63" s="62"/>
    </row>
    <row r="64" spans="1:22" x14ac:dyDescent="0.3">
      <c r="A64" s="58">
        <v>5000</v>
      </c>
      <c r="B64" s="58">
        <v>6000</v>
      </c>
      <c r="C64" s="72">
        <v>277</v>
      </c>
      <c r="D64" s="72">
        <v>149814080</v>
      </c>
      <c r="E64" s="59">
        <v>2.8388424867159901E-7</v>
      </c>
      <c r="F64" s="93">
        <v>5408.4505415162457</v>
      </c>
      <c r="G64" s="90"/>
      <c r="H64" s="61" t="str">
        <f t="shared" si="0"/>
        <v>(5000, 6000]</v>
      </c>
      <c r="I64" s="62">
        <v>0</v>
      </c>
      <c r="J64" s="59">
        <v>0</v>
      </c>
      <c r="K64" s="59">
        <v>0</v>
      </c>
      <c r="L64" s="84">
        <v>0</v>
      </c>
      <c r="M64" s="59">
        <v>0</v>
      </c>
      <c r="N64" s="59">
        <v>0</v>
      </c>
      <c r="O64" s="121">
        <v>0</v>
      </c>
      <c r="P64" s="59">
        <v>0</v>
      </c>
      <c r="Q64" s="59">
        <v>0</v>
      </c>
      <c r="R64" s="59">
        <v>0</v>
      </c>
      <c r="S64" s="83">
        <v>0</v>
      </c>
      <c r="U64" s="62"/>
      <c r="V64" s="62"/>
    </row>
    <row r="65" spans="1:22" x14ac:dyDescent="0.3">
      <c r="A65" s="58">
        <v>6000</v>
      </c>
      <c r="B65" s="58">
        <v>7000</v>
      </c>
      <c r="C65" s="72">
        <v>101</v>
      </c>
      <c r="D65" s="72">
        <v>64970040</v>
      </c>
      <c r="E65" s="59">
        <v>1.0351014121238809E-7</v>
      </c>
      <c r="F65" s="93">
        <v>6432.6772277227719</v>
      </c>
      <c r="G65" s="90"/>
      <c r="H65" s="61" t="str">
        <f t="shared" si="0"/>
        <v>(6000, 7000]</v>
      </c>
      <c r="I65" s="62">
        <v>0</v>
      </c>
      <c r="J65" s="59">
        <v>0</v>
      </c>
      <c r="K65" s="59">
        <v>0</v>
      </c>
      <c r="L65" s="84">
        <v>0</v>
      </c>
      <c r="M65" s="59">
        <v>0</v>
      </c>
      <c r="N65" s="59">
        <v>0</v>
      </c>
      <c r="O65" s="121">
        <v>0</v>
      </c>
      <c r="P65" s="59">
        <v>0</v>
      </c>
      <c r="Q65" s="59">
        <v>0</v>
      </c>
      <c r="R65" s="59">
        <v>0</v>
      </c>
      <c r="S65" s="83">
        <v>0</v>
      </c>
      <c r="U65" s="62"/>
      <c r="V65" s="62"/>
    </row>
    <row r="66" spans="1:22" x14ac:dyDescent="0.3">
      <c r="A66" s="58">
        <v>7000</v>
      </c>
      <c r="B66" s="58">
        <v>8000</v>
      </c>
      <c r="C66" s="72">
        <v>40</v>
      </c>
      <c r="D66" s="72">
        <v>29663270</v>
      </c>
      <c r="E66" s="59">
        <v>4.0994115331638846E-8</v>
      </c>
      <c r="F66" s="93">
        <v>7415.8175000000001</v>
      </c>
      <c r="G66" s="121"/>
      <c r="H66" s="61" t="str">
        <f t="shared" si="0"/>
        <v>(7000, 8000]</v>
      </c>
      <c r="I66" s="62">
        <v>0</v>
      </c>
      <c r="J66" s="59">
        <v>0</v>
      </c>
      <c r="K66" s="59">
        <v>0</v>
      </c>
      <c r="L66" s="84">
        <v>0</v>
      </c>
      <c r="M66" s="59">
        <v>0</v>
      </c>
      <c r="N66" s="59">
        <v>0</v>
      </c>
      <c r="O66" s="121">
        <v>0</v>
      </c>
      <c r="P66" s="59">
        <v>0</v>
      </c>
      <c r="Q66" s="59">
        <v>0</v>
      </c>
      <c r="R66" s="59">
        <v>0</v>
      </c>
      <c r="S66" s="83">
        <v>0</v>
      </c>
      <c r="U66" s="62"/>
      <c r="V66" s="62"/>
    </row>
    <row r="67" spans="1:22" x14ac:dyDescent="0.3">
      <c r="A67" s="58">
        <v>8000</v>
      </c>
      <c r="B67" s="58">
        <v>9000</v>
      </c>
      <c r="C67" s="72">
        <v>15</v>
      </c>
      <c r="D67" s="72">
        <v>12511930</v>
      </c>
      <c r="E67" s="59">
        <v>1.5372793249364569E-8</v>
      </c>
      <c r="F67" s="93">
        <v>8341.2866666666669</v>
      </c>
      <c r="G67" s="90"/>
      <c r="H67" s="61" t="str">
        <f t="shared" si="0"/>
        <v>(8000, 9000]</v>
      </c>
      <c r="I67" s="62">
        <v>0</v>
      </c>
      <c r="J67" s="59">
        <v>0</v>
      </c>
      <c r="K67" s="59">
        <v>0</v>
      </c>
      <c r="L67" s="84">
        <v>0</v>
      </c>
      <c r="M67" s="59">
        <v>0</v>
      </c>
      <c r="N67" s="59">
        <v>0</v>
      </c>
      <c r="O67" s="121">
        <v>0</v>
      </c>
      <c r="P67" s="59">
        <v>0</v>
      </c>
      <c r="Q67" s="59">
        <v>0</v>
      </c>
      <c r="R67" s="59">
        <v>0</v>
      </c>
      <c r="S67" s="83">
        <v>0</v>
      </c>
      <c r="U67" s="62"/>
      <c r="V67" s="62"/>
    </row>
    <row r="68" spans="1:22" x14ac:dyDescent="0.3">
      <c r="A68" s="58">
        <v>9000</v>
      </c>
      <c r="B68" s="58">
        <v>10000</v>
      </c>
      <c r="C68" s="72">
        <v>7</v>
      </c>
      <c r="D68" s="72">
        <v>6656280</v>
      </c>
      <c r="E68" s="59">
        <v>7.1739701830367986E-9</v>
      </c>
      <c r="F68" s="93">
        <v>9508.971428571429</v>
      </c>
      <c r="G68" s="90"/>
      <c r="H68" s="61" t="str">
        <f t="shared" si="0"/>
        <v>(9000, 10000]</v>
      </c>
      <c r="I68" s="62">
        <v>0</v>
      </c>
      <c r="J68" s="59">
        <v>0</v>
      </c>
      <c r="K68" s="59">
        <v>0</v>
      </c>
      <c r="L68" s="84">
        <v>0</v>
      </c>
      <c r="M68" s="59">
        <v>0</v>
      </c>
      <c r="N68" s="59">
        <v>0</v>
      </c>
      <c r="O68" s="121">
        <v>0</v>
      </c>
      <c r="P68" s="59">
        <v>0</v>
      </c>
      <c r="Q68" s="59">
        <v>0</v>
      </c>
      <c r="R68" s="59">
        <v>0</v>
      </c>
      <c r="S68" s="83">
        <v>0</v>
      </c>
      <c r="U68" s="62"/>
      <c r="V68" s="62"/>
    </row>
    <row r="69" spans="1:22" x14ac:dyDescent="0.3">
      <c r="A69" s="58">
        <v>10000</v>
      </c>
      <c r="B69" s="58">
        <v>20000</v>
      </c>
      <c r="C69" s="72">
        <v>21</v>
      </c>
      <c r="D69" s="72">
        <v>25579995</v>
      </c>
      <c r="E69" s="59">
        <v>2.1521910549110393E-8</v>
      </c>
      <c r="F69" s="93">
        <v>12180.95</v>
      </c>
      <c r="G69" s="90"/>
      <c r="H69" s="61" t="str">
        <f t="shared" si="0"/>
        <v>(10000, 20000]</v>
      </c>
      <c r="I69" s="62">
        <v>0</v>
      </c>
      <c r="J69" s="59">
        <v>0</v>
      </c>
      <c r="K69" s="59">
        <v>0</v>
      </c>
      <c r="L69" s="84">
        <v>0</v>
      </c>
      <c r="M69" s="59">
        <v>0</v>
      </c>
      <c r="N69" s="59">
        <v>0</v>
      </c>
      <c r="O69" s="121">
        <v>0</v>
      </c>
      <c r="P69" s="59">
        <v>0</v>
      </c>
      <c r="Q69" s="59">
        <v>0</v>
      </c>
      <c r="R69" s="59">
        <v>0</v>
      </c>
      <c r="S69" s="83">
        <v>0</v>
      </c>
      <c r="U69" s="62"/>
      <c r="V69" s="62"/>
    </row>
    <row r="70" spans="1:22" x14ac:dyDescent="0.3">
      <c r="A70" s="58">
        <v>20000</v>
      </c>
      <c r="B70" s="58">
        <v>30000</v>
      </c>
      <c r="C70" s="72">
        <v>0</v>
      </c>
      <c r="D70" s="72">
        <v>0</v>
      </c>
      <c r="E70" s="59">
        <v>0</v>
      </c>
      <c r="F70" s="93">
        <v>0</v>
      </c>
      <c r="G70" s="90"/>
      <c r="H70" s="61" t="str">
        <f t="shared" si="0"/>
        <v>(20000, 30000]</v>
      </c>
      <c r="I70" s="62">
        <v>0</v>
      </c>
      <c r="J70" s="59">
        <v>0</v>
      </c>
      <c r="K70" s="59">
        <v>0</v>
      </c>
      <c r="L70" s="84">
        <v>0</v>
      </c>
      <c r="M70" s="59">
        <v>0</v>
      </c>
      <c r="N70" s="59">
        <v>0</v>
      </c>
      <c r="O70" s="121">
        <v>0</v>
      </c>
      <c r="P70" s="59">
        <v>0</v>
      </c>
      <c r="Q70" s="59">
        <v>0</v>
      </c>
      <c r="R70" s="59">
        <v>0</v>
      </c>
      <c r="S70" s="83">
        <v>0</v>
      </c>
      <c r="U70" s="62"/>
      <c r="V70" s="62"/>
    </row>
    <row r="71" spans="1:22" x14ac:dyDescent="0.3">
      <c r="A71" s="58">
        <v>30000</v>
      </c>
      <c r="B71" s="58">
        <v>40000</v>
      </c>
      <c r="C71" s="72">
        <v>0</v>
      </c>
      <c r="D71" s="72">
        <v>0</v>
      </c>
      <c r="E71" s="59">
        <v>0</v>
      </c>
      <c r="F71" s="93">
        <v>0</v>
      </c>
      <c r="G71" s="90"/>
      <c r="H71" s="61" t="str">
        <f t="shared" si="0"/>
        <v>(30000, 40000]</v>
      </c>
      <c r="I71" s="62">
        <v>0</v>
      </c>
      <c r="J71" s="59">
        <v>0</v>
      </c>
      <c r="K71" s="59">
        <v>0</v>
      </c>
      <c r="L71" s="84">
        <v>0</v>
      </c>
      <c r="M71" s="59">
        <v>0</v>
      </c>
      <c r="N71" s="59">
        <v>0</v>
      </c>
      <c r="O71" s="121">
        <v>0</v>
      </c>
      <c r="P71" s="59">
        <v>0</v>
      </c>
      <c r="Q71" s="59">
        <v>0</v>
      </c>
      <c r="R71" s="59">
        <v>0</v>
      </c>
      <c r="S71" s="83">
        <v>0</v>
      </c>
      <c r="U71" s="62"/>
      <c r="V71" s="62"/>
    </row>
    <row r="72" spans="1:22" x14ac:dyDescent="0.3">
      <c r="A72" s="58">
        <v>40000</v>
      </c>
      <c r="B72" s="58">
        <v>50000</v>
      </c>
      <c r="C72" s="72">
        <v>0</v>
      </c>
      <c r="D72" s="72">
        <v>0</v>
      </c>
      <c r="E72" s="59">
        <v>0</v>
      </c>
      <c r="F72" s="93">
        <v>0</v>
      </c>
      <c r="G72" s="90"/>
      <c r="H72" s="61" t="str">
        <f t="shared" si="0"/>
        <v>(40000, 50000]</v>
      </c>
      <c r="I72" s="62">
        <v>0</v>
      </c>
      <c r="J72" s="59">
        <v>0</v>
      </c>
      <c r="K72" s="59">
        <v>0</v>
      </c>
      <c r="L72" s="84">
        <v>0</v>
      </c>
      <c r="M72" s="59">
        <v>0</v>
      </c>
      <c r="N72" s="59">
        <v>0</v>
      </c>
      <c r="O72" s="121">
        <v>0</v>
      </c>
      <c r="P72" s="59">
        <v>0</v>
      </c>
      <c r="Q72" s="59">
        <v>0</v>
      </c>
      <c r="R72" s="59">
        <v>0</v>
      </c>
      <c r="S72" s="83">
        <v>0</v>
      </c>
      <c r="U72" s="62"/>
      <c r="V72" s="62"/>
    </row>
    <row r="73" spans="1:22" x14ac:dyDescent="0.3">
      <c r="A73" s="58">
        <v>50000</v>
      </c>
      <c r="B73" s="58">
        <v>60000</v>
      </c>
      <c r="C73" s="72">
        <v>0</v>
      </c>
      <c r="D73" s="72">
        <v>0</v>
      </c>
      <c r="E73" s="59">
        <v>0</v>
      </c>
      <c r="F73" s="93">
        <v>0</v>
      </c>
      <c r="G73" s="90"/>
      <c r="H73" s="61" t="str">
        <f t="shared" si="0"/>
        <v>(50000, 60000]</v>
      </c>
      <c r="I73" s="62">
        <v>0</v>
      </c>
      <c r="J73" s="59">
        <v>0</v>
      </c>
      <c r="K73" s="59">
        <v>0</v>
      </c>
      <c r="L73" s="84">
        <v>0</v>
      </c>
      <c r="M73" s="59">
        <v>0</v>
      </c>
      <c r="N73" s="59">
        <v>0</v>
      </c>
      <c r="O73" s="121">
        <v>0</v>
      </c>
      <c r="P73" s="59">
        <v>0</v>
      </c>
      <c r="Q73" s="59">
        <v>0</v>
      </c>
      <c r="R73" s="59">
        <v>0</v>
      </c>
      <c r="S73" s="83">
        <v>0</v>
      </c>
      <c r="U73" s="62"/>
      <c r="V73" s="62"/>
    </row>
    <row r="74" spans="1:22" x14ac:dyDescent="0.3">
      <c r="A74" s="58">
        <v>60000</v>
      </c>
      <c r="B74" s="58">
        <v>70000</v>
      </c>
      <c r="C74" s="72">
        <v>0</v>
      </c>
      <c r="D74" s="72">
        <v>0</v>
      </c>
      <c r="E74" s="59">
        <v>0</v>
      </c>
      <c r="F74" s="93">
        <v>0</v>
      </c>
      <c r="G74" s="90"/>
      <c r="H74" s="61" t="str">
        <f t="shared" si="0"/>
        <v>(60000, 70000]</v>
      </c>
      <c r="I74" s="62">
        <v>0</v>
      </c>
      <c r="J74" s="59">
        <v>0</v>
      </c>
      <c r="K74" s="59">
        <v>0</v>
      </c>
      <c r="L74" s="84">
        <v>0</v>
      </c>
      <c r="M74" s="59">
        <v>0</v>
      </c>
      <c r="N74" s="59">
        <v>0</v>
      </c>
      <c r="O74" s="121">
        <v>0</v>
      </c>
      <c r="P74" s="59">
        <v>0</v>
      </c>
      <c r="Q74" s="59">
        <v>0</v>
      </c>
      <c r="R74" s="59">
        <v>0</v>
      </c>
      <c r="S74" s="83">
        <v>0</v>
      </c>
      <c r="U74" s="62"/>
      <c r="V74" s="62"/>
    </row>
    <row r="75" spans="1:22" x14ac:dyDescent="0.3">
      <c r="A75" s="58">
        <v>70000</v>
      </c>
      <c r="B75" s="58">
        <v>80000</v>
      </c>
      <c r="C75" s="72">
        <v>0</v>
      </c>
      <c r="D75" s="72">
        <v>0</v>
      </c>
      <c r="E75" s="59">
        <v>0</v>
      </c>
      <c r="F75" s="93">
        <v>0</v>
      </c>
      <c r="G75" s="90"/>
      <c r="H75" s="61" t="str">
        <f t="shared" si="0"/>
        <v>(70000, 80000]</v>
      </c>
      <c r="I75" s="62">
        <v>0</v>
      </c>
      <c r="J75" s="59">
        <v>0</v>
      </c>
      <c r="K75" s="59">
        <v>0</v>
      </c>
      <c r="L75" s="84">
        <v>0</v>
      </c>
      <c r="M75" s="59">
        <v>0</v>
      </c>
      <c r="N75" s="59">
        <v>0</v>
      </c>
      <c r="O75" s="121">
        <v>0</v>
      </c>
      <c r="P75" s="59">
        <v>0</v>
      </c>
      <c r="Q75" s="59">
        <v>0</v>
      </c>
      <c r="R75" s="59">
        <v>0</v>
      </c>
      <c r="S75" s="83">
        <v>0</v>
      </c>
      <c r="U75" s="62"/>
      <c r="V75" s="62"/>
    </row>
    <row r="76" spans="1:22" x14ac:dyDescent="0.3">
      <c r="A76" s="58">
        <v>80000</v>
      </c>
      <c r="B76" s="58">
        <v>90000</v>
      </c>
      <c r="C76" s="72">
        <v>0</v>
      </c>
      <c r="D76" s="72">
        <v>0</v>
      </c>
      <c r="E76" s="59">
        <v>0</v>
      </c>
      <c r="F76" s="93">
        <v>0</v>
      </c>
      <c r="G76" s="90"/>
      <c r="H76" s="61" t="str">
        <f t="shared" si="0"/>
        <v>(80000, 90000]</v>
      </c>
      <c r="I76" s="62">
        <v>0</v>
      </c>
      <c r="J76" s="59">
        <v>0</v>
      </c>
      <c r="K76" s="59">
        <v>0</v>
      </c>
      <c r="L76" s="84">
        <v>0</v>
      </c>
      <c r="M76" s="59">
        <v>0</v>
      </c>
      <c r="N76" s="59">
        <v>0</v>
      </c>
      <c r="O76" s="121">
        <v>0</v>
      </c>
      <c r="P76" s="59">
        <v>0</v>
      </c>
      <c r="Q76" s="59">
        <v>0</v>
      </c>
      <c r="R76" s="59">
        <v>0</v>
      </c>
      <c r="S76" s="83">
        <v>0</v>
      </c>
      <c r="U76" s="62"/>
      <c r="V76" s="62"/>
    </row>
    <row r="77" spans="1:22" x14ac:dyDescent="0.3">
      <c r="A77" s="58">
        <v>90000</v>
      </c>
      <c r="B77" s="58">
        <v>100000</v>
      </c>
      <c r="C77" s="72">
        <v>0</v>
      </c>
      <c r="D77" s="72">
        <v>0</v>
      </c>
      <c r="E77" s="59">
        <v>0</v>
      </c>
      <c r="F77" s="93">
        <v>0</v>
      </c>
      <c r="G77" s="90"/>
      <c r="H77" s="61" t="str">
        <f t="shared" si="0"/>
        <v>(90000, 100000]</v>
      </c>
      <c r="I77" s="62">
        <v>0</v>
      </c>
      <c r="J77" s="59">
        <v>0</v>
      </c>
      <c r="K77" s="59">
        <v>0</v>
      </c>
      <c r="L77" s="84">
        <v>0</v>
      </c>
      <c r="M77" s="59">
        <v>0</v>
      </c>
      <c r="N77" s="59">
        <v>0</v>
      </c>
      <c r="O77" s="121">
        <v>0</v>
      </c>
      <c r="P77" s="59">
        <v>0</v>
      </c>
      <c r="Q77" s="59">
        <v>0</v>
      </c>
      <c r="R77" s="59">
        <v>0</v>
      </c>
      <c r="S77" s="83">
        <v>0</v>
      </c>
      <c r="U77" s="62"/>
      <c r="V77" s="62"/>
    </row>
    <row r="78" spans="1:22" x14ac:dyDescent="0.3">
      <c r="A78" s="58">
        <v>100000</v>
      </c>
      <c r="B78" s="58">
        <v>9999999</v>
      </c>
      <c r="C78" s="72">
        <v>0</v>
      </c>
      <c r="D78" s="72">
        <v>0</v>
      </c>
      <c r="E78" s="59">
        <v>0</v>
      </c>
      <c r="F78" s="93">
        <v>0</v>
      </c>
      <c r="G78" s="90"/>
      <c r="H78" s="61" t="str">
        <f t="shared" si="0"/>
        <v>(100000, 9999999]</v>
      </c>
      <c r="I78" s="62">
        <v>0</v>
      </c>
      <c r="J78" s="59">
        <v>0</v>
      </c>
      <c r="K78" s="59">
        <v>0</v>
      </c>
      <c r="L78" s="84">
        <v>0</v>
      </c>
      <c r="M78" s="59">
        <v>0</v>
      </c>
      <c r="N78" s="59">
        <v>0</v>
      </c>
      <c r="O78" s="121">
        <v>0</v>
      </c>
      <c r="P78" s="59">
        <v>0</v>
      </c>
      <c r="Q78" s="59">
        <v>0</v>
      </c>
      <c r="R78" s="59">
        <v>0</v>
      </c>
      <c r="S78" s="83">
        <v>0</v>
      </c>
      <c r="U78" s="62"/>
      <c r="V78" s="62"/>
    </row>
    <row r="79" spans="1:22" x14ac:dyDescent="0.3">
      <c r="A79" s="207" t="s">
        <v>78</v>
      </c>
      <c r="B79" s="208"/>
      <c r="C79" s="73">
        <f>E79*B13</f>
        <v>24250000</v>
      </c>
      <c r="D79" s="72">
        <v>298038000</v>
      </c>
      <c r="E79" s="67">
        <v>2.4250000000000001E-2</v>
      </c>
      <c r="F79" s="93">
        <v>0.12290226804123712</v>
      </c>
      <c r="G79" s="101"/>
      <c r="H79" s="61" t="s">
        <v>78</v>
      </c>
      <c r="I79" s="62">
        <v>0.17299999999999999</v>
      </c>
      <c r="J79" s="59">
        <v>4.1952500000000002E-3</v>
      </c>
      <c r="K79" s="59">
        <f>J79</f>
        <v>4.1952500000000002E-3</v>
      </c>
      <c r="L79" s="84">
        <v>4195250</v>
      </c>
      <c r="M79" s="63">
        <v>4.1949845413782215E-3</v>
      </c>
      <c r="N79" s="59">
        <v>5.1557311453331238E-4</v>
      </c>
      <c r="P79" s="51"/>
      <c r="Q79" s="51"/>
      <c r="R79" s="51"/>
      <c r="S79" s="51"/>
      <c r="T79" s="51"/>
      <c r="U79" s="62"/>
      <c r="V79" s="62"/>
    </row>
    <row r="80" spans="1:22" x14ac:dyDescent="0.3">
      <c r="A80" s="207" t="s">
        <v>79</v>
      </c>
      <c r="B80" s="208"/>
      <c r="C80" s="73">
        <v>10000000</v>
      </c>
      <c r="D80" s="72">
        <v>0</v>
      </c>
      <c r="E80" s="59">
        <v>1</v>
      </c>
      <c r="F80" s="93">
        <v>0</v>
      </c>
      <c r="G80" s="90"/>
      <c r="H80" s="61" t="s">
        <v>79</v>
      </c>
      <c r="I80" s="81"/>
      <c r="J80" s="59"/>
      <c r="K80" s="59"/>
      <c r="L80" s="85"/>
      <c r="M80" s="63">
        <f>E80</f>
        <v>1</v>
      </c>
      <c r="N80" s="59">
        <f>F80/B8</f>
        <v>0</v>
      </c>
      <c r="P80" s="51"/>
      <c r="Q80" s="51"/>
      <c r="R80" s="51"/>
      <c r="S80" s="51"/>
      <c r="T80" s="51"/>
      <c r="U80" s="52"/>
      <c r="V80" s="52"/>
    </row>
    <row r="81" spans="1:22" x14ac:dyDescent="0.3">
      <c r="A81" s="66"/>
      <c r="B81" s="52"/>
      <c r="C81" s="1"/>
      <c r="D81" s="1"/>
      <c r="E81" s="1"/>
      <c r="F81" s="1"/>
      <c r="H81" s="13"/>
      <c r="I81" s="52"/>
      <c r="J81" s="52"/>
      <c r="K81" s="52"/>
      <c r="L81" s="68"/>
      <c r="M81" s="52"/>
      <c r="N81" s="52"/>
      <c r="U81" s="52"/>
      <c r="V81" s="52"/>
    </row>
    <row r="82" spans="1:22" x14ac:dyDescent="0.3">
      <c r="A82" s="52"/>
      <c r="D82" s="116"/>
      <c r="E82" s="1"/>
      <c r="F82" s="1"/>
      <c r="H82" s="13"/>
      <c r="I82" s="52"/>
      <c r="J82" s="52"/>
      <c r="K82" s="52"/>
      <c r="L82" s="52"/>
      <c r="M82" s="52"/>
      <c r="N82" s="52"/>
      <c r="U82" s="52"/>
      <c r="V82" s="52"/>
    </row>
    <row r="83" spans="1:22" s="80" customFormat="1" x14ac:dyDescent="0.3">
      <c r="A83" s="206" t="s">
        <v>50</v>
      </c>
      <c r="B83" s="206"/>
      <c r="C83" s="206"/>
      <c r="D83" s="206"/>
      <c r="E83" s="76"/>
      <c r="F83" s="76"/>
      <c r="G83" s="89"/>
      <c r="H83" s="78"/>
      <c r="I83" s="79"/>
      <c r="J83" s="77"/>
      <c r="K83" s="77"/>
      <c r="L83" s="77"/>
      <c r="M83" s="77"/>
      <c r="N83" s="77"/>
      <c r="O83" s="89"/>
      <c r="U83" s="79"/>
      <c r="V83" s="79"/>
    </row>
    <row r="84" spans="1:22" x14ac:dyDescent="0.3">
      <c r="A84" s="52"/>
      <c r="B84" s="52"/>
      <c r="C84" s="1"/>
      <c r="D84" s="1"/>
      <c r="E84" s="1"/>
      <c r="F84" s="1"/>
      <c r="H84" s="13"/>
      <c r="I84" s="52"/>
      <c r="J84" s="52"/>
      <c r="K84" s="52"/>
      <c r="L84" s="52"/>
      <c r="M84" s="52"/>
      <c r="N84" s="52"/>
      <c r="U84" s="52"/>
      <c r="V84" s="52"/>
    </row>
    <row r="85" spans="1:22" x14ac:dyDescent="0.3">
      <c r="A85" s="70" t="s">
        <v>75</v>
      </c>
      <c r="B85" s="68">
        <f>B13</f>
        <v>1000000000</v>
      </c>
      <c r="C85" s="1"/>
      <c r="D85" s="1"/>
      <c r="E85" s="1"/>
      <c r="F85" s="1"/>
      <c r="H85" s="70" t="s">
        <v>76</v>
      </c>
      <c r="I85" s="52"/>
      <c r="J85" s="52"/>
      <c r="K85" s="52"/>
      <c r="M85" s="52"/>
      <c r="N85" s="52"/>
      <c r="P85" s="24" t="s">
        <v>81</v>
      </c>
      <c r="U85" s="52"/>
      <c r="V85" s="52"/>
    </row>
    <row r="86" spans="1:22" ht="16.2" x14ac:dyDescent="0.3">
      <c r="A86" s="20" t="s">
        <v>58</v>
      </c>
      <c r="B86" s="20" t="s">
        <v>59</v>
      </c>
      <c r="C86" s="20" t="s">
        <v>71</v>
      </c>
      <c r="D86" s="20" t="s">
        <v>72</v>
      </c>
      <c r="E86" s="20" t="s">
        <v>73</v>
      </c>
      <c r="F86" s="20" t="s">
        <v>85</v>
      </c>
      <c r="H86" s="20" t="s">
        <v>61</v>
      </c>
      <c r="I86" s="20" t="s">
        <v>63</v>
      </c>
      <c r="J86" s="20" t="s">
        <v>64</v>
      </c>
      <c r="K86" s="20" t="s">
        <v>65</v>
      </c>
      <c r="L86" s="20" t="s">
        <v>66</v>
      </c>
      <c r="M86" s="20" t="s">
        <v>67</v>
      </c>
      <c r="N86" s="20" t="s">
        <v>60</v>
      </c>
      <c r="O86" s="51">
        <v>0.9</v>
      </c>
      <c r="P86" s="86" t="s">
        <v>84</v>
      </c>
      <c r="Q86" s="198" t="s">
        <v>330</v>
      </c>
      <c r="R86" s="86" t="s">
        <v>252</v>
      </c>
      <c r="S86" s="86" t="s">
        <v>80</v>
      </c>
      <c r="U86" s="20" t="s">
        <v>324</v>
      </c>
      <c r="V86" s="20" t="s">
        <v>325</v>
      </c>
    </row>
    <row r="87" spans="1:22" x14ac:dyDescent="0.3">
      <c r="A87" s="64">
        <v>-1</v>
      </c>
      <c r="B87" s="64">
        <v>0</v>
      </c>
      <c r="C87" s="71">
        <v>0</v>
      </c>
      <c r="D87" s="71">
        <v>0</v>
      </c>
      <c r="E87" s="59" cm="1">
        <f t="array" ref="E87:E150">_xlfn.LET(_xlpm.x, C87:C150, _xlpm.x/SUM(_xlpm.x))</f>
        <v>0</v>
      </c>
      <c r="F87" s="92" cm="1">
        <f t="array" ref="F87:F150">_xlfn.LET(_xlpm.x, D87:D150/C87:C150/B3, IF(ISERR(_xlpm.x), 0, _xlpm.x))</f>
        <v>0</v>
      </c>
      <c r="H87" s="61" t="str">
        <f>"("&amp;$A87&amp;", "&amp;$B87&amp;"]"</f>
        <v>(-1, 0]</v>
      </c>
      <c r="I87" s="62">
        <v>0</v>
      </c>
      <c r="J87" s="59" cm="1">
        <f t="array" ref="J87:J150">_xlfn.ANCHORARRAY(E87)*I87:I150</f>
        <v>0</v>
      </c>
      <c r="K87" s="59" cm="1">
        <f t="array" ref="K87:K150">J87:J150/SUM(_xlfn.ANCHORARRAY(J87))</f>
        <v>0</v>
      </c>
      <c r="L87" s="119" cm="1">
        <f t="array" ref="L87:L150">INT(_xlfn.ANCHORARRAY(K87)*$B$2)</f>
        <v>0</v>
      </c>
      <c r="M87" s="59" cm="1">
        <f t="array" ref="M87:M150">_xlfn.LET(_xlpm.x, L87:L150, _xlpm.x/SUM(_xlpm.x))</f>
        <v>0</v>
      </c>
      <c r="N87" s="60" cm="1">
        <f t="array" ref="N87:N150">M87:M150*_xlfn.ANCHORARRAY(F87)</f>
        <v>0</v>
      </c>
      <c r="O87" s="121" cm="1">
        <f t="array" ref="O87:O150">I87:I150*O86</f>
        <v>0</v>
      </c>
      <c r="P87" s="59" cm="1">
        <f t="array" ref="P87:P150">_xlfn.ANCHORARRAY(M87)</f>
        <v>0</v>
      </c>
      <c r="Q87" s="59">
        <v>0</v>
      </c>
      <c r="R87" s="59">
        <v>0</v>
      </c>
      <c r="S87" s="83" cm="1">
        <f t="array" ref="S87:S150">_xlfn.LET(_xlpm.x, Q87:Q150/M87:M150, IF(ISERR(_xlpm.x), 0, ROUND(_xlpm.x,2)))</f>
        <v>0</v>
      </c>
      <c r="U87" s="62"/>
      <c r="V87" s="62"/>
    </row>
    <row r="88" spans="1:22" x14ac:dyDescent="0.3">
      <c r="A88" s="58">
        <v>0</v>
      </c>
      <c r="B88" s="58">
        <v>1</v>
      </c>
      <c r="C88" s="72">
        <v>15302</v>
      </c>
      <c r="D88" s="72">
        <v>915955</v>
      </c>
      <c r="E88" s="59">
        <v>6.3116012196544466E-4</v>
      </c>
      <c r="F88" s="93">
        <v>0.59858515226767739</v>
      </c>
      <c r="G88" s="101"/>
      <c r="H88" s="61" t="str">
        <f t="shared" ref="H88:H150" si="1">"("&amp;$A88&amp;", "&amp;$B88&amp;"]"</f>
        <v>(0, 1]</v>
      </c>
      <c r="I88" s="62">
        <v>0</v>
      </c>
      <c r="J88" s="59">
        <v>0</v>
      </c>
      <c r="K88" s="59">
        <v>0</v>
      </c>
      <c r="L88" s="119">
        <v>0</v>
      </c>
      <c r="M88" s="59">
        <v>0</v>
      </c>
      <c r="N88" s="59">
        <v>0</v>
      </c>
      <c r="O88" s="121">
        <v>0</v>
      </c>
      <c r="P88" s="59">
        <v>0</v>
      </c>
      <c r="Q88" s="59">
        <v>0</v>
      </c>
      <c r="R88" s="59">
        <v>0</v>
      </c>
      <c r="S88" s="83">
        <v>0</v>
      </c>
      <c r="U88" s="62"/>
      <c r="V88" s="62"/>
    </row>
    <row r="89" spans="1:22" x14ac:dyDescent="0.3">
      <c r="A89" s="58">
        <v>1</v>
      </c>
      <c r="B89" s="58">
        <v>2</v>
      </c>
      <c r="C89" s="72">
        <v>14545</v>
      </c>
      <c r="D89" s="72">
        <v>2297380</v>
      </c>
      <c r="E89" s="59">
        <v>5.9993621578796185E-4</v>
      </c>
      <c r="F89" s="93">
        <v>1.5794981093159159</v>
      </c>
      <c r="G89" s="101"/>
      <c r="H89" s="61" t="str">
        <f t="shared" si="1"/>
        <v>(1, 2]</v>
      </c>
      <c r="I89" s="62">
        <v>0</v>
      </c>
      <c r="J89" s="59">
        <v>0</v>
      </c>
      <c r="K89" s="59">
        <v>0</v>
      </c>
      <c r="L89" s="119">
        <v>0</v>
      </c>
      <c r="M89" s="59">
        <v>0</v>
      </c>
      <c r="N89" s="59">
        <v>0</v>
      </c>
      <c r="O89" s="121">
        <v>0</v>
      </c>
      <c r="P89" s="59">
        <v>0</v>
      </c>
      <c r="Q89" s="59">
        <v>0</v>
      </c>
      <c r="R89" s="59">
        <v>0</v>
      </c>
      <c r="S89" s="83">
        <v>0</v>
      </c>
      <c r="U89" s="62"/>
      <c r="V89" s="62"/>
    </row>
    <row r="90" spans="1:22" x14ac:dyDescent="0.3">
      <c r="A90" s="58">
        <v>2</v>
      </c>
      <c r="B90" s="58">
        <v>3</v>
      </c>
      <c r="C90" s="72">
        <v>15170</v>
      </c>
      <c r="D90" s="72">
        <v>3916365</v>
      </c>
      <c r="E90" s="59">
        <v>6.2571553066369072E-4</v>
      </c>
      <c r="F90" s="93">
        <v>2.5816512854317732</v>
      </c>
      <c r="G90" s="101"/>
      <c r="H90" s="61" t="str">
        <f t="shared" si="1"/>
        <v>(2, 3]</v>
      </c>
      <c r="I90" s="62">
        <v>0</v>
      </c>
      <c r="J90" s="59">
        <v>0</v>
      </c>
      <c r="K90" s="59">
        <v>0</v>
      </c>
      <c r="L90" s="119">
        <v>0</v>
      </c>
      <c r="M90" s="59">
        <v>0</v>
      </c>
      <c r="N90" s="59">
        <v>0</v>
      </c>
      <c r="O90" s="121">
        <v>0</v>
      </c>
      <c r="P90" s="59">
        <v>0</v>
      </c>
      <c r="Q90" s="59">
        <v>0</v>
      </c>
      <c r="R90" s="59">
        <v>0</v>
      </c>
      <c r="S90" s="83">
        <v>0</v>
      </c>
      <c r="U90" s="62"/>
      <c r="V90" s="62"/>
    </row>
    <row r="91" spans="1:22" x14ac:dyDescent="0.3">
      <c r="A91" s="58">
        <v>3</v>
      </c>
      <c r="B91" s="58">
        <v>4</v>
      </c>
      <c r="C91" s="72">
        <v>15165</v>
      </c>
      <c r="D91" s="72">
        <v>5428355</v>
      </c>
      <c r="E91" s="59">
        <v>6.2550929614468495E-4</v>
      </c>
      <c r="F91" s="93">
        <v>3.5795285196175404</v>
      </c>
      <c r="G91" s="101"/>
      <c r="H91" s="61" t="str">
        <f t="shared" si="1"/>
        <v>(3, 4]</v>
      </c>
      <c r="I91" s="62">
        <v>0</v>
      </c>
      <c r="J91" s="59">
        <v>0</v>
      </c>
      <c r="K91" s="59">
        <v>0</v>
      </c>
      <c r="L91" s="119">
        <v>0</v>
      </c>
      <c r="M91" s="59">
        <v>0</v>
      </c>
      <c r="N91" s="59">
        <v>0</v>
      </c>
      <c r="O91" s="121">
        <v>0</v>
      </c>
      <c r="P91" s="59">
        <v>0</v>
      </c>
      <c r="Q91" s="59">
        <v>0</v>
      </c>
      <c r="R91" s="59">
        <v>3.614457831325301E-2</v>
      </c>
      <c r="S91" s="83">
        <v>0</v>
      </c>
      <c r="U91" s="62"/>
      <c r="V91" s="62"/>
    </row>
    <row r="92" spans="1:22" x14ac:dyDescent="0.3">
      <c r="A92" s="58">
        <v>4</v>
      </c>
      <c r="B92" s="58">
        <v>5</v>
      </c>
      <c r="C92" s="72">
        <v>16128</v>
      </c>
      <c r="D92" s="72">
        <v>7377445</v>
      </c>
      <c r="E92" s="59">
        <v>6.6523006450520787E-4</v>
      </c>
      <c r="F92" s="93">
        <v>4.5743086557539678</v>
      </c>
      <c r="G92" s="101"/>
      <c r="H92" s="61" t="str">
        <f t="shared" si="1"/>
        <v>(4, 5]</v>
      </c>
      <c r="I92" s="62">
        <v>0</v>
      </c>
      <c r="J92" s="59">
        <v>0</v>
      </c>
      <c r="K92" s="59">
        <v>0</v>
      </c>
      <c r="L92" s="119">
        <v>0</v>
      </c>
      <c r="M92" s="59">
        <v>0</v>
      </c>
      <c r="N92" s="59">
        <v>0</v>
      </c>
      <c r="O92" s="121">
        <v>0</v>
      </c>
      <c r="P92" s="59">
        <v>0</v>
      </c>
      <c r="Q92" s="59">
        <v>0</v>
      </c>
      <c r="R92" s="59">
        <v>0</v>
      </c>
      <c r="S92" s="83">
        <v>0</v>
      </c>
      <c r="U92" s="62"/>
      <c r="V92" s="62"/>
    </row>
    <row r="93" spans="1:22" x14ac:dyDescent="0.3">
      <c r="A93" s="58">
        <v>5</v>
      </c>
      <c r="B93" s="58">
        <v>6</v>
      </c>
      <c r="C93" s="72">
        <v>16708</v>
      </c>
      <c r="D93" s="72">
        <v>9310030</v>
      </c>
      <c r="E93" s="59">
        <v>6.8915326870988428E-4</v>
      </c>
      <c r="F93" s="93">
        <v>5.5721989466124011</v>
      </c>
      <c r="G93" s="101"/>
      <c r="H93" s="61" t="str">
        <f t="shared" si="1"/>
        <v>(5, 6]</v>
      </c>
      <c r="I93" s="62">
        <v>0</v>
      </c>
      <c r="J93" s="59">
        <v>0</v>
      </c>
      <c r="K93" s="59">
        <v>0</v>
      </c>
      <c r="L93" s="119">
        <v>0</v>
      </c>
      <c r="M93" s="59">
        <v>0</v>
      </c>
      <c r="N93" s="59">
        <v>0</v>
      </c>
      <c r="O93" s="121">
        <v>0</v>
      </c>
      <c r="P93" s="59">
        <v>0</v>
      </c>
      <c r="Q93" s="59">
        <v>0</v>
      </c>
      <c r="R93" s="59">
        <v>0</v>
      </c>
      <c r="S93" s="83">
        <v>0</v>
      </c>
      <c r="U93" s="62"/>
      <c r="V93" s="62"/>
    </row>
    <row r="94" spans="1:22" x14ac:dyDescent="0.3">
      <c r="A94" s="58">
        <v>6</v>
      </c>
      <c r="B94" s="58">
        <v>7</v>
      </c>
      <c r="C94" s="72">
        <v>16541</v>
      </c>
      <c r="D94" s="72">
        <v>10856555</v>
      </c>
      <c r="E94" s="59">
        <v>6.8226503577508953E-4</v>
      </c>
      <c r="F94" s="93">
        <v>6.5634211958164563</v>
      </c>
      <c r="G94" s="101"/>
      <c r="H94" s="61" t="str">
        <f t="shared" si="1"/>
        <v>(6, 7]</v>
      </c>
      <c r="I94" s="62">
        <v>0</v>
      </c>
      <c r="J94" s="59">
        <v>0</v>
      </c>
      <c r="K94" s="59">
        <v>0</v>
      </c>
      <c r="L94" s="119">
        <v>0</v>
      </c>
      <c r="M94" s="59">
        <v>0</v>
      </c>
      <c r="N94" s="59">
        <v>0</v>
      </c>
      <c r="O94" s="121">
        <v>0</v>
      </c>
      <c r="P94" s="59">
        <v>0</v>
      </c>
      <c r="Q94" s="59">
        <v>0</v>
      </c>
      <c r="R94" s="59">
        <v>1.2048192771084338E-2</v>
      </c>
      <c r="S94" s="83">
        <v>0</v>
      </c>
      <c r="U94" s="62"/>
      <c r="V94" s="62"/>
    </row>
    <row r="95" spans="1:22" x14ac:dyDescent="0.3">
      <c r="A95" s="58">
        <v>7</v>
      </c>
      <c r="B95" s="58">
        <v>8</v>
      </c>
      <c r="C95" s="72">
        <v>16722</v>
      </c>
      <c r="D95" s="72">
        <v>12639590</v>
      </c>
      <c r="E95" s="59">
        <v>6.8973072536310058E-4</v>
      </c>
      <c r="F95" s="93">
        <v>7.5586592512857314</v>
      </c>
      <c r="G95" s="101"/>
      <c r="H95" s="61" t="str">
        <f t="shared" si="1"/>
        <v>(7, 8]</v>
      </c>
      <c r="I95" s="62">
        <v>0</v>
      </c>
      <c r="J95" s="59">
        <v>0</v>
      </c>
      <c r="K95" s="59">
        <v>0</v>
      </c>
      <c r="L95" s="119">
        <v>0</v>
      </c>
      <c r="M95" s="59">
        <v>0</v>
      </c>
      <c r="N95" s="59">
        <v>0</v>
      </c>
      <c r="O95" s="121">
        <v>0</v>
      </c>
      <c r="P95" s="59">
        <v>0</v>
      </c>
      <c r="Q95" s="59">
        <v>0</v>
      </c>
      <c r="R95" s="59">
        <v>3.614457831325301E-2</v>
      </c>
      <c r="S95" s="83">
        <v>0</v>
      </c>
      <c r="U95" s="62"/>
      <c r="V95" s="62"/>
    </row>
    <row r="96" spans="1:22" x14ac:dyDescent="0.3">
      <c r="A96" s="58">
        <v>8</v>
      </c>
      <c r="B96" s="58">
        <v>9</v>
      </c>
      <c r="C96" s="72">
        <v>17038</v>
      </c>
      <c r="D96" s="72">
        <v>14586110</v>
      </c>
      <c r="E96" s="59">
        <v>7.0276474696426912E-4</v>
      </c>
      <c r="F96" s="93">
        <v>8.5609285127362362</v>
      </c>
      <c r="G96" s="101"/>
      <c r="H96" s="61" t="str">
        <f t="shared" si="1"/>
        <v>(8, 9]</v>
      </c>
      <c r="I96" s="62">
        <v>0</v>
      </c>
      <c r="J96" s="59">
        <v>0</v>
      </c>
      <c r="K96" s="59">
        <v>0</v>
      </c>
      <c r="L96" s="119">
        <v>0</v>
      </c>
      <c r="M96" s="59">
        <v>0</v>
      </c>
      <c r="N96" s="59">
        <v>0</v>
      </c>
      <c r="O96" s="121">
        <v>0</v>
      </c>
      <c r="P96" s="59">
        <v>0</v>
      </c>
      <c r="Q96" s="59">
        <v>0</v>
      </c>
      <c r="R96" s="59">
        <v>2.4096385542168676E-2</v>
      </c>
      <c r="S96" s="83">
        <v>0</v>
      </c>
      <c r="U96" s="62"/>
      <c r="V96" s="62"/>
    </row>
    <row r="97" spans="1:22" x14ac:dyDescent="0.3">
      <c r="A97" s="58">
        <v>9</v>
      </c>
      <c r="B97" s="58">
        <v>10</v>
      </c>
      <c r="C97" s="72">
        <v>17289</v>
      </c>
      <c r="D97" s="72">
        <v>16528360</v>
      </c>
      <c r="E97" s="59">
        <v>7.131177198183618E-4</v>
      </c>
      <c r="F97" s="93">
        <v>9.5600439585863839</v>
      </c>
      <c r="G97" s="101"/>
      <c r="H97" s="61" t="str">
        <f t="shared" si="1"/>
        <v>(9, 10]</v>
      </c>
      <c r="I97" s="62">
        <v>0</v>
      </c>
      <c r="J97" s="59">
        <v>0</v>
      </c>
      <c r="K97" s="59">
        <v>0</v>
      </c>
      <c r="L97" s="119">
        <v>0</v>
      </c>
      <c r="M97" s="59">
        <v>0</v>
      </c>
      <c r="N97" s="59">
        <v>0</v>
      </c>
      <c r="O97" s="121">
        <v>0</v>
      </c>
      <c r="P97" s="59">
        <v>0</v>
      </c>
      <c r="Q97" s="59">
        <v>0</v>
      </c>
      <c r="R97" s="59">
        <v>1.2048192771084338E-2</v>
      </c>
      <c r="S97" s="83">
        <v>0</v>
      </c>
      <c r="U97" s="62"/>
      <c r="V97" s="62"/>
    </row>
    <row r="98" spans="1:22" x14ac:dyDescent="0.3">
      <c r="A98" s="58">
        <v>10</v>
      </c>
      <c r="B98" s="58">
        <v>15</v>
      </c>
      <c r="C98" s="72">
        <v>91411</v>
      </c>
      <c r="D98" s="72">
        <v>114997815</v>
      </c>
      <c r="E98" s="59">
        <v>3.7704207233684004E-3</v>
      </c>
      <c r="F98" s="93">
        <v>12.580303792760171</v>
      </c>
      <c r="G98" s="102"/>
      <c r="H98" s="61" t="str">
        <f t="shared" si="1"/>
        <v>(10, 15]</v>
      </c>
      <c r="I98" s="62">
        <v>34.81</v>
      </c>
      <c r="J98" s="59">
        <v>0.13124834538045402</v>
      </c>
      <c r="K98" s="59">
        <v>0.13131392665000249</v>
      </c>
      <c r="L98" s="119">
        <v>131313926</v>
      </c>
      <c r="M98" s="59">
        <v>0.13131392875759251</v>
      </c>
      <c r="N98" s="59">
        <v>1.6519691159913801</v>
      </c>
      <c r="O98" s="121">
        <v>31.329000000000004</v>
      </c>
      <c r="P98" s="59">
        <v>0.13131392875759251</v>
      </c>
      <c r="Q98" s="59">
        <v>0.13126626188785775</v>
      </c>
      <c r="R98" s="59">
        <v>7.2289156626506021E-2</v>
      </c>
      <c r="S98" s="83">
        <v>1</v>
      </c>
      <c r="T98" s="103"/>
      <c r="U98" s="62"/>
      <c r="V98" s="62"/>
    </row>
    <row r="99" spans="1:22" x14ac:dyDescent="0.3">
      <c r="A99" s="58">
        <v>15</v>
      </c>
      <c r="B99" s="58">
        <v>20</v>
      </c>
      <c r="C99" s="72">
        <v>97447</v>
      </c>
      <c r="D99" s="72">
        <v>171256395</v>
      </c>
      <c r="E99" s="59">
        <v>4.0193870347122393E-3</v>
      </c>
      <c r="F99" s="93">
        <v>17.574311677116793</v>
      </c>
      <c r="G99" s="102"/>
      <c r="H99" s="115" t="str">
        <f t="shared" si="1"/>
        <v>(15, 20]</v>
      </c>
      <c r="I99" s="62">
        <v>32.65</v>
      </c>
      <c r="J99" s="59">
        <v>0.13123298668335462</v>
      </c>
      <c r="K99" s="59">
        <v>0.13129856027857506</v>
      </c>
      <c r="L99" s="119">
        <v>131298560</v>
      </c>
      <c r="M99" s="59">
        <v>0.13129856275726981</v>
      </c>
      <c r="N99" s="59">
        <v>2.3074818646537389</v>
      </c>
      <c r="O99" s="121">
        <v>29.384999999999998</v>
      </c>
      <c r="P99" s="59">
        <v>0.13129856275726981</v>
      </c>
      <c r="Q99" s="59">
        <v>0.13125249088755481</v>
      </c>
      <c r="R99" s="59">
        <v>7.2289156626506021E-2</v>
      </c>
      <c r="S99" s="83">
        <v>1</v>
      </c>
      <c r="T99" s="103"/>
      <c r="U99" s="62"/>
      <c r="V99" s="62"/>
    </row>
    <row r="100" spans="1:22" x14ac:dyDescent="0.3">
      <c r="A100" s="58">
        <v>20</v>
      </c>
      <c r="B100" s="58">
        <v>25</v>
      </c>
      <c r="C100" s="72">
        <v>102208</v>
      </c>
      <c r="D100" s="72">
        <v>230656665</v>
      </c>
      <c r="E100" s="59">
        <v>4.2157635437095912E-3</v>
      </c>
      <c r="F100" s="93">
        <v>22.567378776612401</v>
      </c>
      <c r="G100" s="102"/>
      <c r="H100" s="61" t="str">
        <f t="shared" si="1"/>
        <v>(20, 25]</v>
      </c>
      <c r="I100" s="62">
        <v>31.14</v>
      </c>
      <c r="J100" s="59">
        <v>0.13127887675111669</v>
      </c>
      <c r="K100" s="59">
        <v>0.13134447327637025</v>
      </c>
      <c r="L100" s="119">
        <v>131344473</v>
      </c>
      <c r="M100" s="59">
        <v>0.13134447575823399</v>
      </c>
      <c r="N100" s="59">
        <v>2.9641005346516516</v>
      </c>
      <c r="O100" s="121">
        <v>28.026</v>
      </c>
      <c r="P100" s="59">
        <v>0.13134447575823399</v>
      </c>
      <c r="Q100" s="59">
        <v>0.1312781858881201</v>
      </c>
      <c r="R100" s="59">
        <v>7.2289156626506021E-2</v>
      </c>
      <c r="S100" s="83">
        <v>1</v>
      </c>
      <c r="T100" s="103"/>
      <c r="U100" s="62"/>
      <c r="V100" s="62"/>
    </row>
    <row r="101" spans="1:22" x14ac:dyDescent="0.3">
      <c r="A101" s="58">
        <v>25</v>
      </c>
      <c r="B101" s="58">
        <v>30</v>
      </c>
      <c r="C101" s="72">
        <v>107770</v>
      </c>
      <c r="D101" s="72">
        <v>297082655</v>
      </c>
      <c r="E101" s="59">
        <v>4.4451788226516778E-3</v>
      </c>
      <c r="F101" s="93">
        <v>27.566359376449846</v>
      </c>
      <c r="G101" s="102"/>
      <c r="H101" s="61" t="str">
        <f t="shared" si="1"/>
        <v>(25, 30]</v>
      </c>
      <c r="I101" s="62">
        <v>29.75</v>
      </c>
      <c r="J101" s="59">
        <v>0.13224406997388741</v>
      </c>
      <c r="K101" s="59">
        <v>0.13231014878024497</v>
      </c>
      <c r="L101" s="119">
        <v>132310148</v>
      </c>
      <c r="M101" s="59">
        <v>0.13231015077851316</v>
      </c>
      <c r="N101" s="59">
        <v>3.647309165512759</v>
      </c>
      <c r="O101" s="121">
        <v>26.775000000000002</v>
      </c>
      <c r="P101" s="59">
        <v>0.13231015077851316</v>
      </c>
      <c r="Q101" s="59">
        <v>0.13224971290949369</v>
      </c>
      <c r="R101" s="59">
        <v>8.4337349397590355E-2</v>
      </c>
      <c r="S101" s="83">
        <v>1</v>
      </c>
      <c r="T101" s="103"/>
      <c r="U101" s="62"/>
      <c r="V101" s="62"/>
    </row>
    <row r="102" spans="1:22" x14ac:dyDescent="0.3">
      <c r="A102" s="58">
        <v>30</v>
      </c>
      <c r="B102" s="58">
        <v>35</v>
      </c>
      <c r="C102" s="72">
        <v>112041</v>
      </c>
      <c r="D102" s="72">
        <v>364866645</v>
      </c>
      <c r="E102" s="59">
        <v>4.6213443487864584E-3</v>
      </c>
      <c r="F102" s="93">
        <v>32.565457734222292</v>
      </c>
      <c r="G102" s="102"/>
      <c r="H102" s="61" t="str">
        <f t="shared" si="1"/>
        <v>(30, 35]</v>
      </c>
      <c r="I102" s="62">
        <v>7.91</v>
      </c>
      <c r="J102" s="59">
        <v>3.6554833798900885E-2</v>
      </c>
      <c r="K102" s="59">
        <v>3.6573099266566142E-2</v>
      </c>
      <c r="L102" s="119">
        <v>36573099</v>
      </c>
      <c r="M102" s="59">
        <v>3.6573099768035092E-2</v>
      </c>
      <c r="N102" s="59">
        <v>1.1910197347054419</v>
      </c>
      <c r="O102" s="121">
        <v>7.1190000000000007</v>
      </c>
      <c r="P102" s="59">
        <v>3.6573099768035092E-2</v>
      </c>
      <c r="Q102" s="59">
        <v>3.6550552804112159E-2</v>
      </c>
      <c r="R102" s="59">
        <v>3.614457831325301E-2</v>
      </c>
      <c r="S102" s="83">
        <v>1</v>
      </c>
      <c r="T102" s="103"/>
      <c r="U102" s="62"/>
      <c r="V102" s="62"/>
    </row>
    <row r="103" spans="1:22" x14ac:dyDescent="0.3">
      <c r="A103" s="58">
        <v>35</v>
      </c>
      <c r="B103" s="58">
        <v>40</v>
      </c>
      <c r="C103" s="72">
        <v>116623</v>
      </c>
      <c r="D103" s="72">
        <v>437917990</v>
      </c>
      <c r="E103" s="59">
        <v>4.8103376620034013E-3</v>
      </c>
      <c r="F103" s="93">
        <v>37.549882098728382</v>
      </c>
      <c r="G103" s="102"/>
      <c r="H103" s="115" t="str">
        <f t="shared" si="1"/>
        <v>(35, 40]</v>
      </c>
      <c r="I103" s="62">
        <v>6.21</v>
      </c>
      <c r="J103" s="59">
        <v>2.9872196881041122E-2</v>
      </c>
      <c r="K103" s="59">
        <v>2.9887123214702563E-2</v>
      </c>
      <c r="L103" s="119">
        <v>29887123</v>
      </c>
      <c r="M103" s="59">
        <v>2.9887123627629596E-2</v>
      </c>
      <c r="N103" s="59">
        <v>1.1222579684876106</v>
      </c>
      <c r="O103" s="121">
        <v>5.5890000000000004</v>
      </c>
      <c r="P103" s="59">
        <v>2.9887123627629596E-2</v>
      </c>
      <c r="Q103" s="59">
        <v>2.9855874656829241E-2</v>
      </c>
      <c r="R103" s="59">
        <v>2.4096385542168676E-2</v>
      </c>
      <c r="S103" s="83">
        <v>1</v>
      </c>
      <c r="T103" s="103"/>
      <c r="U103" s="62"/>
      <c r="V103" s="62"/>
    </row>
    <row r="104" spans="1:22" x14ac:dyDescent="0.3">
      <c r="A104" s="58">
        <v>40</v>
      </c>
      <c r="B104" s="58">
        <v>45</v>
      </c>
      <c r="C104" s="72">
        <v>120399</v>
      </c>
      <c r="D104" s="72">
        <v>512370730</v>
      </c>
      <c r="E104" s="59">
        <v>4.9660859707566047E-3</v>
      </c>
      <c r="F104" s="93">
        <v>42.556061927424643</v>
      </c>
      <c r="G104" s="194"/>
      <c r="H104" s="61" t="str">
        <f t="shared" si="1"/>
        <v>(40, 45]</v>
      </c>
      <c r="I104" s="62">
        <v>5.92</v>
      </c>
      <c r="J104" s="59">
        <v>2.9399228946879099E-2</v>
      </c>
      <c r="K104" s="59">
        <v>2.9413918951179677E-2</v>
      </c>
      <c r="L104" s="119">
        <v>29413918</v>
      </c>
      <c r="M104" s="59">
        <v>2.941391861769229E-2</v>
      </c>
      <c r="N104" s="59">
        <v>1.2517405422227417</v>
      </c>
      <c r="O104" s="121">
        <v>5.3280000000000003</v>
      </c>
      <c r="P104" s="59">
        <v>2.941391861769229E-2</v>
      </c>
      <c r="Q104" s="59">
        <v>2.9391089646603974E-2</v>
      </c>
      <c r="R104" s="59">
        <v>3.614457831325301E-2</v>
      </c>
      <c r="S104" s="83">
        <v>1</v>
      </c>
      <c r="T104" s="103"/>
      <c r="U104" s="62"/>
      <c r="V104" s="62"/>
    </row>
    <row r="105" spans="1:22" x14ac:dyDescent="0.3">
      <c r="A105" s="58">
        <v>45</v>
      </c>
      <c r="B105" s="58">
        <v>50</v>
      </c>
      <c r="C105" s="72">
        <v>124865</v>
      </c>
      <c r="D105" s="72">
        <v>593823835</v>
      </c>
      <c r="E105" s="59">
        <v>5.1502946431326128E-3</v>
      </c>
      <c r="F105" s="93">
        <v>47.557268650142149</v>
      </c>
      <c r="G105" s="102"/>
      <c r="H105" s="61" t="str">
        <f t="shared" si="1"/>
        <v>(45, 50]</v>
      </c>
      <c r="I105" s="62">
        <v>5.24</v>
      </c>
      <c r="J105" s="59">
        <v>2.6987543930014891E-2</v>
      </c>
      <c r="K105" s="59">
        <v>2.7001028880151177E-2</v>
      </c>
      <c r="L105" s="119">
        <v>27001028</v>
      </c>
      <c r="M105" s="59">
        <v>2.70010285670216E-2</v>
      </c>
      <c r="N105" s="59">
        <v>1.2840951693920089</v>
      </c>
      <c r="O105" s="121">
        <v>4.7160000000000002</v>
      </c>
      <c r="P105" s="59">
        <v>2.70010285670216E-2</v>
      </c>
      <c r="Q105" s="59">
        <v>2.7000172594003797E-2</v>
      </c>
      <c r="R105" s="59">
        <v>2.4096385542168676E-2</v>
      </c>
      <c r="S105" s="83">
        <v>1</v>
      </c>
      <c r="T105" s="103"/>
      <c r="U105" s="62"/>
      <c r="V105" s="62"/>
    </row>
    <row r="106" spans="1:22" x14ac:dyDescent="0.3">
      <c r="A106" s="58">
        <v>50</v>
      </c>
      <c r="B106" s="58">
        <v>60</v>
      </c>
      <c r="C106" s="72">
        <v>262854</v>
      </c>
      <c r="D106" s="72">
        <v>1448045425</v>
      </c>
      <c r="E106" s="59">
        <v>1.0841913651751731E-2</v>
      </c>
      <c r="F106" s="93">
        <v>55.089343323670171</v>
      </c>
      <c r="G106" s="102"/>
      <c r="H106" s="115" t="str">
        <f t="shared" si="1"/>
        <v>(50, 60]</v>
      </c>
      <c r="I106" s="62">
        <v>2.1</v>
      </c>
      <c r="J106" s="59">
        <v>2.2768018668678634E-2</v>
      </c>
      <c r="K106" s="59">
        <v>2.2779395235484615E-2</v>
      </c>
      <c r="L106" s="119">
        <v>22779395</v>
      </c>
      <c r="M106" s="59">
        <v>2.2779395478367305E-2</v>
      </c>
      <c r="N106" s="59">
        <v>1.2549019382134363</v>
      </c>
      <c r="O106" s="121">
        <v>1.8900000000000001</v>
      </c>
      <c r="P106" s="59">
        <v>2.2779395478367305E-2</v>
      </c>
      <c r="Q106" s="59">
        <v>2.2800440501609689E-2</v>
      </c>
      <c r="R106" s="59">
        <v>2.4096385542168676E-2</v>
      </c>
      <c r="S106" s="83">
        <v>1</v>
      </c>
      <c r="T106" s="103"/>
      <c r="U106" s="62"/>
      <c r="V106" s="62"/>
    </row>
    <row r="107" spans="1:22" x14ac:dyDescent="0.3">
      <c r="A107" s="58">
        <v>60</v>
      </c>
      <c r="B107" s="58">
        <v>70</v>
      </c>
      <c r="C107" s="72">
        <v>277706</v>
      </c>
      <c r="D107" s="72">
        <v>1807255650</v>
      </c>
      <c r="E107" s="59">
        <v>1.1454512667006651E-2</v>
      </c>
      <c r="F107" s="93">
        <v>65.078019560254376</v>
      </c>
      <c r="G107" s="102"/>
      <c r="H107" s="61" t="str">
        <f t="shared" si="1"/>
        <v>(60, 70]</v>
      </c>
      <c r="I107" s="62">
        <v>5.87</v>
      </c>
      <c r="J107" s="59">
        <v>6.7237989355329042E-2</v>
      </c>
      <c r="K107" s="59">
        <v>6.7271586370903039E-2</v>
      </c>
      <c r="L107" s="119">
        <v>67271586</v>
      </c>
      <c r="M107" s="59">
        <v>6.7271587412703338E-2</v>
      </c>
      <c r="N107" s="59">
        <v>4.3779016814932694</v>
      </c>
      <c r="O107" s="121">
        <v>5.2830000000000004</v>
      </c>
      <c r="P107" s="59">
        <v>6.7271587412703338E-2</v>
      </c>
      <c r="Q107" s="59">
        <v>6.7250440479509691E-2</v>
      </c>
      <c r="R107" s="59">
        <v>6.0240963855421686E-2</v>
      </c>
      <c r="S107" s="83">
        <v>1</v>
      </c>
      <c r="T107" s="103"/>
      <c r="U107" s="62"/>
      <c r="V107" s="62"/>
    </row>
    <row r="108" spans="1:22" x14ac:dyDescent="0.3">
      <c r="A108" s="58">
        <v>70</v>
      </c>
      <c r="B108" s="58">
        <v>80</v>
      </c>
      <c r="C108" s="72">
        <v>291843</v>
      </c>
      <c r="D108" s="72">
        <v>2190668395</v>
      </c>
      <c r="E108" s="59">
        <v>1.2037620146043737E-2</v>
      </c>
      <c r="F108" s="93">
        <v>75.063249589676644</v>
      </c>
      <c r="G108" s="102"/>
      <c r="H108" s="61" t="str">
        <f t="shared" si="1"/>
        <v>(70, 80]</v>
      </c>
      <c r="I108" s="62">
        <v>5.04</v>
      </c>
      <c r="J108" s="59">
        <v>6.0669605536060434E-2</v>
      </c>
      <c r="K108" s="59">
        <v>6.0699920506832268E-2</v>
      </c>
      <c r="L108" s="119">
        <v>60699920</v>
      </c>
      <c r="M108" s="59">
        <v>6.0699921274698344E-2</v>
      </c>
      <c r="N108" s="59">
        <v>4.5563333407164048</v>
      </c>
      <c r="O108" s="121">
        <v>4.5360000000000005</v>
      </c>
      <c r="P108" s="59">
        <v>6.0699921274698344E-2</v>
      </c>
      <c r="Q108" s="59">
        <v>6.064221133412865E-2</v>
      </c>
      <c r="R108" s="59">
        <v>4.8192771084337352E-2</v>
      </c>
      <c r="S108" s="83">
        <v>1</v>
      </c>
      <c r="T108" s="103"/>
      <c r="U108" s="62"/>
      <c r="V108" s="62"/>
    </row>
    <row r="109" spans="1:22" x14ac:dyDescent="0.3">
      <c r="A109" s="58">
        <v>80</v>
      </c>
      <c r="B109" s="58">
        <v>90</v>
      </c>
      <c r="C109" s="72">
        <v>304370</v>
      </c>
      <c r="D109" s="72">
        <v>2589124735</v>
      </c>
      <c r="E109" s="59">
        <v>1.2554320109960946E-2</v>
      </c>
      <c r="F109" s="93">
        <v>85.065043696816375</v>
      </c>
      <c r="H109" s="61" t="str">
        <f t="shared" si="1"/>
        <v>(80, 90]</v>
      </c>
      <c r="I109" s="62">
        <v>2.46</v>
      </c>
      <c r="J109" s="59">
        <v>3.0883627470503924E-2</v>
      </c>
      <c r="K109" s="59">
        <v>3.0899059188838403E-2</v>
      </c>
      <c r="L109" s="119">
        <v>30899059</v>
      </c>
      <c r="M109" s="59">
        <v>3.0899059648880251E-2</v>
      </c>
      <c r="N109" s="59">
        <v>2.6284298592225341</v>
      </c>
      <c r="O109" s="121">
        <v>2.214</v>
      </c>
      <c r="P109" s="59">
        <v>3.0899059648880251E-2</v>
      </c>
      <c r="Q109" s="59">
        <v>3.0830899678279792E-2</v>
      </c>
      <c r="R109" s="59">
        <v>2.4096385542168676E-2</v>
      </c>
      <c r="S109" s="83">
        <v>1</v>
      </c>
      <c r="T109" s="103"/>
      <c r="U109" s="62"/>
      <c r="V109" s="62"/>
    </row>
    <row r="110" spans="1:22" x14ac:dyDescent="0.3">
      <c r="A110" s="58">
        <v>90</v>
      </c>
      <c r="B110" s="58">
        <v>100</v>
      </c>
      <c r="C110" s="72">
        <v>313914</v>
      </c>
      <c r="D110" s="72">
        <v>2983913760</v>
      </c>
      <c r="E110" s="59">
        <v>1.2947980559839275E-2</v>
      </c>
      <c r="F110" s="93">
        <v>95.055134845849494</v>
      </c>
      <c r="G110" s="102"/>
      <c r="H110" s="61" t="str">
        <f t="shared" si="1"/>
        <v>(90, 100]</v>
      </c>
      <c r="I110" s="117">
        <v>2.09</v>
      </c>
      <c r="J110" s="118">
        <v>2.7061279370064084E-2</v>
      </c>
      <c r="K110" s="118">
        <v>2.7074801163817372E-2</v>
      </c>
      <c r="L110" s="119">
        <v>27074801</v>
      </c>
      <c r="M110" s="118">
        <v>2.7074801568570832E-2</v>
      </c>
      <c r="N110" s="118">
        <v>2.5735989140251179</v>
      </c>
      <c r="O110" s="121">
        <v>1.881</v>
      </c>
      <c r="P110" s="59">
        <v>2.7074801568570832E-2</v>
      </c>
      <c r="Q110" s="59">
        <v>2.7035605594783324E-2</v>
      </c>
      <c r="R110" s="59">
        <v>1.2048192771084338E-2</v>
      </c>
      <c r="S110" s="83">
        <v>1</v>
      </c>
      <c r="T110" s="103"/>
      <c r="U110" s="62"/>
      <c r="V110" s="62"/>
    </row>
    <row r="111" spans="1:22" x14ac:dyDescent="0.3">
      <c r="A111" s="58">
        <v>100</v>
      </c>
      <c r="B111" s="58">
        <v>120</v>
      </c>
      <c r="C111" s="72">
        <v>655985</v>
      </c>
      <c r="D111" s="72">
        <v>7222235220</v>
      </c>
      <c r="E111" s="59">
        <v>2.7057350190007986E-2</v>
      </c>
      <c r="F111" s="93">
        <v>110.09756656021098</v>
      </c>
      <c r="G111" s="102"/>
      <c r="H111" s="61" t="str">
        <f t="shared" si="1"/>
        <v>(100, 120]</v>
      </c>
      <c r="I111" s="117">
        <v>1.58</v>
      </c>
      <c r="J111" s="118">
        <v>4.2750613300212618E-2</v>
      </c>
      <c r="K111" s="118">
        <v>4.2771974632319902E-2</v>
      </c>
      <c r="L111" s="119">
        <v>42771974</v>
      </c>
      <c r="M111" s="118">
        <v>4.2771974898211475E-2</v>
      </c>
      <c r="N111" s="118">
        <v>4.709090353267511</v>
      </c>
      <c r="O111" s="121">
        <v>1.4220000000000002</v>
      </c>
      <c r="P111" s="59">
        <v>4.2771974898211475E-2</v>
      </c>
      <c r="Q111" s="59">
        <v>4.2740282940286221E-2</v>
      </c>
      <c r="R111" s="59">
        <v>6.0240963855421686E-2</v>
      </c>
      <c r="S111" s="83">
        <v>1</v>
      </c>
      <c r="T111" s="103"/>
      <c r="U111" s="62"/>
      <c r="V111" s="62"/>
    </row>
    <row r="112" spans="1:22" x14ac:dyDescent="0.3">
      <c r="A112" s="58">
        <v>120</v>
      </c>
      <c r="B112" s="58">
        <v>140</v>
      </c>
      <c r="C112" s="72">
        <v>677779</v>
      </c>
      <c r="D112" s="72">
        <v>8815879535</v>
      </c>
      <c r="E112" s="59">
        <v>2.7956285211450601E-2</v>
      </c>
      <c r="F112" s="93">
        <v>130.07011924240794</v>
      </c>
      <c r="G112" s="102"/>
      <c r="H112" s="61" t="str">
        <f t="shared" si="1"/>
        <v>(120, 140]</v>
      </c>
      <c r="I112" s="117">
        <v>0.67</v>
      </c>
      <c r="J112" s="118">
        <v>1.8730711091671903E-2</v>
      </c>
      <c r="K112" s="118">
        <v>1.8740070324425481E-2</v>
      </c>
      <c r="L112" s="119">
        <v>18740070</v>
      </c>
      <c r="M112" s="118">
        <v>1.8740070393541478E-2</v>
      </c>
      <c r="N112" s="118">
        <v>2.4375231906990589</v>
      </c>
      <c r="O112" s="121">
        <v>0.60300000000000009</v>
      </c>
      <c r="P112" s="59">
        <v>1.8740070393541478E-2</v>
      </c>
      <c r="Q112" s="59">
        <v>1.8780093413162054E-2</v>
      </c>
      <c r="R112" s="59">
        <v>7.2289156626506021E-2</v>
      </c>
      <c r="S112" s="83">
        <v>1</v>
      </c>
      <c r="T112" s="103"/>
      <c r="U112" s="62"/>
      <c r="V112" s="62"/>
    </row>
    <row r="113" spans="1:22" x14ac:dyDescent="0.3">
      <c r="A113" s="58">
        <v>140</v>
      </c>
      <c r="B113" s="58">
        <v>160</v>
      </c>
      <c r="C113" s="72">
        <v>690947</v>
      </c>
      <c r="D113" s="72">
        <v>10368127795</v>
      </c>
      <c r="E113" s="59">
        <v>2.8499424440704357E-2</v>
      </c>
      <c r="F113" s="93">
        <v>150.05677418094297</v>
      </c>
      <c r="G113" s="102"/>
      <c r="H113" s="61" t="str">
        <f t="shared" si="1"/>
        <v>(140, 160]</v>
      </c>
      <c r="I113" s="117">
        <v>1.01</v>
      </c>
      <c r="J113" s="118">
        <v>2.8784418685111401E-2</v>
      </c>
      <c r="K113" s="118">
        <v>2.8798801485253472E-2</v>
      </c>
      <c r="L113" s="119">
        <v>28798801</v>
      </c>
      <c r="M113" s="118">
        <v>2.8798801604774833E-2</v>
      </c>
      <c r="N113" s="118">
        <v>4.3214552690894754</v>
      </c>
      <c r="O113" s="121">
        <v>0.90900000000000003</v>
      </c>
      <c r="P113" s="59">
        <v>2.8798801604774833E-2</v>
      </c>
      <c r="Q113" s="59">
        <v>2.8816647633966248E-2</v>
      </c>
      <c r="R113" s="59">
        <v>2.4096385542168676E-2</v>
      </c>
      <c r="S113" s="83">
        <v>1</v>
      </c>
      <c r="T113" s="103"/>
      <c r="U113" s="62"/>
      <c r="V113" s="62"/>
    </row>
    <row r="114" spans="1:22" x14ac:dyDescent="0.3">
      <c r="A114" s="58">
        <v>160</v>
      </c>
      <c r="B114" s="58">
        <v>180</v>
      </c>
      <c r="C114" s="72">
        <v>694976</v>
      </c>
      <c r="D114" s="72">
        <v>11816955235</v>
      </c>
      <c r="E114" s="59">
        <v>2.8665608216119257E-2</v>
      </c>
      <c r="F114" s="93">
        <v>170.034004555553</v>
      </c>
      <c r="G114" s="102"/>
      <c r="H114" s="61" t="str">
        <f t="shared" si="1"/>
        <v>(160, 180]</v>
      </c>
      <c r="I114" s="117">
        <v>0.3</v>
      </c>
      <c r="J114" s="118">
        <v>8.5996824648357766E-3</v>
      </c>
      <c r="K114" s="118">
        <v>8.603979494959264E-3</v>
      </c>
      <c r="L114" s="119">
        <v>8603979</v>
      </c>
      <c r="M114" s="118">
        <v>8.603979180683563E-3</v>
      </c>
      <c r="N114" s="118">
        <v>1.4629690352042322</v>
      </c>
      <c r="O114" s="121">
        <v>0.27</v>
      </c>
      <c r="P114" s="59">
        <v>8.603979180683563E-3</v>
      </c>
      <c r="Q114" s="59">
        <v>8.5080991871781825E-3</v>
      </c>
      <c r="R114" s="59">
        <v>3.614457831325301E-2</v>
      </c>
      <c r="S114" s="83">
        <v>0.99</v>
      </c>
      <c r="T114" s="103"/>
      <c r="U114" s="62"/>
      <c r="V114" s="62"/>
    </row>
    <row r="115" spans="1:22" x14ac:dyDescent="0.3">
      <c r="A115" s="58">
        <v>180</v>
      </c>
      <c r="B115" s="58">
        <v>200</v>
      </c>
      <c r="C115" s="72">
        <v>690929</v>
      </c>
      <c r="D115" s="72">
        <v>13128961605</v>
      </c>
      <c r="E115" s="59">
        <v>2.8498681996435939E-2</v>
      </c>
      <c r="F115" s="93">
        <v>190.01896873629562</v>
      </c>
      <c r="G115" s="102"/>
      <c r="H115" s="61" t="str">
        <f t="shared" si="1"/>
        <v>(180, 200]</v>
      </c>
      <c r="I115" s="117">
        <v>0.26</v>
      </c>
      <c r="J115" s="118">
        <v>7.4096573190733442E-3</v>
      </c>
      <c r="K115" s="118">
        <v>7.4133597256255592E-3</v>
      </c>
      <c r="L115" s="119">
        <v>7413359</v>
      </c>
      <c r="M115" s="118">
        <v>7.4133591556805427E-3</v>
      </c>
      <c r="N115" s="118">
        <v>1.4086788616341919</v>
      </c>
      <c r="O115" s="121">
        <v>0.23400000000000001</v>
      </c>
      <c r="P115" s="59">
        <v>7.4133591556805427E-3</v>
      </c>
      <c r="Q115" s="59">
        <v>7.4870671647154774E-3</v>
      </c>
      <c r="R115" s="59">
        <v>0</v>
      </c>
      <c r="S115" s="83">
        <v>1.01</v>
      </c>
      <c r="T115" s="103"/>
      <c r="U115" s="62"/>
      <c r="V115" s="62"/>
    </row>
    <row r="116" spans="1:22" x14ac:dyDescent="0.3">
      <c r="A116" s="58">
        <v>200</v>
      </c>
      <c r="B116" s="58">
        <v>250</v>
      </c>
      <c r="C116" s="72">
        <v>1682493</v>
      </c>
      <c r="D116" s="72">
        <v>37828116410</v>
      </c>
      <c r="E116" s="59">
        <v>6.9397626917135469E-2</v>
      </c>
      <c r="F116" s="93">
        <v>224.83372239884505</v>
      </c>
      <c r="G116" s="102"/>
      <c r="H116" s="61" t="str">
        <f t="shared" si="1"/>
        <v>(200, 250]</v>
      </c>
      <c r="I116" s="117">
        <v>0.28999999999999998</v>
      </c>
      <c r="J116" s="118">
        <v>2.0125311805969284E-2</v>
      </c>
      <c r="K116" s="118">
        <v>2.0135367883205676E-2</v>
      </c>
      <c r="L116" s="119">
        <v>20135367</v>
      </c>
      <c r="M116" s="118">
        <v>2.0135367422842717E-2</v>
      </c>
      <c r="N116" s="118">
        <v>4.5271096095461676</v>
      </c>
      <c r="O116" s="121">
        <v>0.26100000000000001</v>
      </c>
      <c r="P116" s="59">
        <v>2.0135367422842717E-2</v>
      </c>
      <c r="Q116" s="59">
        <v>2.0060522441331493E-2</v>
      </c>
      <c r="R116" s="59">
        <v>6.0240963855421686E-2</v>
      </c>
      <c r="S116" s="83">
        <v>1</v>
      </c>
      <c r="T116" s="103"/>
      <c r="U116" s="62"/>
      <c r="V116" s="62"/>
    </row>
    <row r="117" spans="1:22" x14ac:dyDescent="0.3">
      <c r="A117" s="58">
        <v>250</v>
      </c>
      <c r="B117" s="58">
        <v>300</v>
      </c>
      <c r="C117" s="72">
        <v>1581093</v>
      </c>
      <c r="D117" s="72">
        <v>43437727910</v>
      </c>
      <c r="E117" s="59">
        <v>6.5215190871697221E-2</v>
      </c>
      <c r="F117" s="93">
        <v>274.73227640625822</v>
      </c>
      <c r="G117" s="102"/>
      <c r="H117" s="61" t="str">
        <f t="shared" si="1"/>
        <v>(250, 300]</v>
      </c>
      <c r="I117" s="117">
        <v>0.09</v>
      </c>
      <c r="J117" s="118">
        <v>5.8693671784527494E-3</v>
      </c>
      <c r="K117" s="118">
        <v>5.8722999434327062E-3</v>
      </c>
      <c r="L117" s="119">
        <v>5872299</v>
      </c>
      <c r="M117" s="118">
        <v>5.8722991233182819E-3</v>
      </c>
      <c r="N117" s="118">
        <v>1.613310105887706</v>
      </c>
      <c r="O117" s="121">
        <v>8.1000000000000003E-2</v>
      </c>
      <c r="P117" s="59">
        <v>5.8722991233182819E-3</v>
      </c>
      <c r="Q117" s="59">
        <v>5.6530021243660468E-3</v>
      </c>
      <c r="R117" s="59">
        <v>2.4096385542168676E-2</v>
      </c>
      <c r="S117" s="83">
        <v>0.96</v>
      </c>
      <c r="T117" s="103"/>
      <c r="U117" s="62"/>
      <c r="V117" s="62"/>
    </row>
    <row r="118" spans="1:22" x14ac:dyDescent="0.3">
      <c r="A118" s="58">
        <v>300</v>
      </c>
      <c r="B118" s="58">
        <v>350</v>
      </c>
      <c r="C118" s="72">
        <v>1455173</v>
      </c>
      <c r="D118" s="72">
        <v>47240444250</v>
      </c>
      <c r="E118" s="59">
        <v>6.0021380745054372E-2</v>
      </c>
      <c r="F118" s="93">
        <v>324.63799321455247</v>
      </c>
      <c r="G118" s="102"/>
      <c r="H118" s="61" t="str">
        <f t="shared" si="1"/>
        <v>(300, 350]</v>
      </c>
      <c r="I118" s="117">
        <v>0.08</v>
      </c>
      <c r="J118" s="118">
        <v>4.8017104596043501E-3</v>
      </c>
      <c r="K118" s="118">
        <v>4.804109745226064E-3</v>
      </c>
      <c r="L118" s="119">
        <v>4804109</v>
      </c>
      <c r="M118" s="118">
        <v>4.8041091008862915E-3</v>
      </c>
      <c r="N118" s="118">
        <v>1.5595963376954936</v>
      </c>
      <c r="O118" s="121">
        <v>7.2000000000000008E-2</v>
      </c>
      <c r="P118" s="59">
        <v>4.8041091008862915E-3</v>
      </c>
      <c r="Q118" s="59">
        <v>4.8534741067764306E-3</v>
      </c>
      <c r="R118" s="59">
        <v>1.2048192771084338E-2</v>
      </c>
      <c r="S118" s="83">
        <v>1.01</v>
      </c>
      <c r="T118" s="103"/>
      <c r="U118" s="62"/>
      <c r="V118" s="62"/>
    </row>
    <row r="119" spans="1:22" x14ac:dyDescent="0.3">
      <c r="A119" s="58">
        <v>350</v>
      </c>
      <c r="B119" s="58">
        <v>400</v>
      </c>
      <c r="C119" s="72">
        <v>1322849</v>
      </c>
      <c r="D119" s="72">
        <v>49553673310</v>
      </c>
      <c r="E119" s="59">
        <v>5.4563425446468861E-2</v>
      </c>
      <c r="F119" s="93">
        <v>374.59810840088323</v>
      </c>
      <c r="G119" s="102"/>
      <c r="H119" s="61" t="str">
        <f t="shared" si="1"/>
        <v>(350, 400]</v>
      </c>
      <c r="I119" s="117">
        <v>9.0000000000000011E-3</v>
      </c>
      <c r="J119" s="118">
        <v>4.9107082901821977E-4</v>
      </c>
      <c r="K119" s="118">
        <v>4.9131620390894225E-4</v>
      </c>
      <c r="L119" s="119">
        <v>491316</v>
      </c>
      <c r="M119" s="118">
        <v>4.9131601031763617E-4</v>
      </c>
      <c r="N119" s="118">
        <v>0.18404604809205535</v>
      </c>
      <c r="O119" s="121">
        <v>8.1000000000000013E-3</v>
      </c>
      <c r="P119" s="59">
        <v>4.9131601031763617E-4</v>
      </c>
      <c r="Q119" s="59">
        <v>6.8415601505143232E-4</v>
      </c>
      <c r="R119" s="59">
        <v>0</v>
      </c>
      <c r="S119" s="83">
        <v>1.39</v>
      </c>
      <c r="T119" s="103"/>
      <c r="U119" s="62"/>
      <c r="V119" s="62"/>
    </row>
    <row r="120" spans="1:22" x14ac:dyDescent="0.3">
      <c r="A120" s="58">
        <v>400</v>
      </c>
      <c r="B120" s="58">
        <v>450</v>
      </c>
      <c r="C120" s="72">
        <v>1195914</v>
      </c>
      <c r="D120" s="72">
        <v>50776486470</v>
      </c>
      <c r="E120" s="59">
        <v>4.9327749712467832E-2</v>
      </c>
      <c r="F120" s="93">
        <v>424.58309268057741</v>
      </c>
      <c r="G120" s="102"/>
      <c r="H120" s="61" t="str">
        <f t="shared" si="1"/>
        <v>(400, 450]</v>
      </c>
      <c r="I120" s="117">
        <v>9.0000000000000011E-3</v>
      </c>
      <c r="J120" s="118">
        <v>4.4394974741221053E-4</v>
      </c>
      <c r="K120" s="118">
        <v>4.4417157716531423E-4</v>
      </c>
      <c r="L120" s="119">
        <v>444171</v>
      </c>
      <c r="M120" s="118">
        <v>4.441710093275912E-4</v>
      </c>
      <c r="N120" s="118">
        <v>0.18858750081936226</v>
      </c>
      <c r="O120" s="121">
        <v>8.1000000000000013E-3</v>
      </c>
      <c r="P120" s="59">
        <v>4.441710093275912E-4</v>
      </c>
      <c r="Q120" s="59">
        <v>6.1849301360684635E-4</v>
      </c>
      <c r="R120" s="59">
        <v>0</v>
      </c>
      <c r="S120" s="83">
        <v>1.39</v>
      </c>
      <c r="T120" s="103"/>
      <c r="U120" s="62"/>
      <c r="V120" s="62"/>
    </row>
    <row r="121" spans="1:22" x14ac:dyDescent="0.3">
      <c r="A121" s="58">
        <v>450</v>
      </c>
      <c r="B121" s="58">
        <v>500</v>
      </c>
      <c r="C121" s="72">
        <v>1073634</v>
      </c>
      <c r="D121" s="72">
        <v>50951687405</v>
      </c>
      <c r="E121" s="59">
        <v>4.4284078315661238E-2</v>
      </c>
      <c r="F121" s="93">
        <v>474.57222298287871</v>
      </c>
      <c r="G121" s="102"/>
      <c r="H121" s="61" t="str">
        <f t="shared" si="1"/>
        <v>(450, 500]</v>
      </c>
      <c r="I121" s="117">
        <v>9.0000000000000011E-3</v>
      </c>
      <c r="J121" s="118">
        <v>3.9855670484095117E-4</v>
      </c>
      <c r="K121" s="118">
        <v>3.9875585291108311E-4</v>
      </c>
      <c r="L121" s="119">
        <v>398755</v>
      </c>
      <c r="M121" s="118">
        <v>3.987550083738552E-4</v>
      </c>
      <c r="N121" s="118">
        <v>0.18923805074953687</v>
      </c>
      <c r="O121" s="121">
        <v>8.1000000000000013E-3</v>
      </c>
      <c r="P121" s="59">
        <v>3.987550083738552E-4</v>
      </c>
      <c r="Q121" s="59">
        <v>5.5034501210759026E-4</v>
      </c>
      <c r="R121" s="59">
        <v>0</v>
      </c>
      <c r="S121" s="83">
        <v>1.38</v>
      </c>
      <c r="T121" s="103"/>
      <c r="U121" s="62"/>
      <c r="V121" s="62"/>
    </row>
    <row r="122" spans="1:22" x14ac:dyDescent="0.3">
      <c r="A122" s="58">
        <v>500</v>
      </c>
      <c r="B122" s="58">
        <v>550</v>
      </c>
      <c r="C122" s="72">
        <v>962726</v>
      </c>
      <c r="D122" s="72">
        <v>50501983020</v>
      </c>
      <c r="E122" s="59">
        <v>3.9709466708881501E-2</v>
      </c>
      <c r="F122" s="93">
        <v>524.57275507257521</v>
      </c>
      <c r="G122" s="102"/>
      <c r="H122" s="61" t="str">
        <f t="shared" si="1"/>
        <v>(500, 550]</v>
      </c>
      <c r="I122" s="117">
        <v>9.0000000000000011E-3</v>
      </c>
      <c r="J122" s="118">
        <v>3.5738520037993356E-4</v>
      </c>
      <c r="K122" s="118">
        <v>3.5756377615619046E-4</v>
      </c>
      <c r="L122" s="119">
        <v>357563</v>
      </c>
      <c r="M122" s="118">
        <v>3.5756300750882313E-4</v>
      </c>
      <c r="N122" s="118">
        <v>0.18756781196093925</v>
      </c>
      <c r="O122" s="121">
        <v>8.1000000000000013E-3</v>
      </c>
      <c r="P122" s="59">
        <v>3.5756300750882313E-4</v>
      </c>
      <c r="Q122" s="59">
        <v>4.9546201090016424E-4</v>
      </c>
      <c r="R122" s="59">
        <v>0</v>
      </c>
      <c r="S122" s="83">
        <v>1.39</v>
      </c>
      <c r="T122" s="103"/>
      <c r="U122" s="62"/>
      <c r="V122" s="62"/>
    </row>
    <row r="123" spans="1:22" x14ac:dyDescent="0.3">
      <c r="A123" s="58">
        <v>550</v>
      </c>
      <c r="B123" s="58">
        <v>600</v>
      </c>
      <c r="C123" s="72">
        <v>861565</v>
      </c>
      <c r="D123" s="72">
        <v>49504424990</v>
      </c>
      <c r="E123" s="59">
        <v>3.5536888673451728E-2</v>
      </c>
      <c r="F123" s="93">
        <v>574.58723358075122</v>
      </c>
      <c r="G123" s="102"/>
      <c r="H123" s="61" t="str">
        <f t="shared" si="1"/>
        <v>(550, 600]</v>
      </c>
      <c r="I123" s="62">
        <v>9.0000000000000011E-3</v>
      </c>
      <c r="J123" s="59">
        <v>3.1983199806106556E-4</v>
      </c>
      <c r="K123" s="59">
        <v>3.1999180951174913E-4</v>
      </c>
      <c r="L123" s="119">
        <v>319991</v>
      </c>
      <c r="M123" s="59">
        <v>3.1999100671981112E-4</v>
      </c>
      <c r="N123" s="59">
        <v>0.18386274732185584</v>
      </c>
      <c r="O123" s="121">
        <v>8.1000000000000013E-3</v>
      </c>
      <c r="P123" s="59">
        <v>3.1999100671981112E-4</v>
      </c>
      <c r="Q123" s="59">
        <v>4.4155900971429822E-4</v>
      </c>
      <c r="R123" s="59">
        <v>0</v>
      </c>
      <c r="S123" s="83">
        <v>1.38</v>
      </c>
      <c r="T123" s="103"/>
      <c r="U123" s="62"/>
      <c r="V123" s="62"/>
    </row>
    <row r="124" spans="1:22" x14ac:dyDescent="0.3">
      <c r="A124" s="58">
        <v>600</v>
      </c>
      <c r="B124" s="58">
        <v>650</v>
      </c>
      <c r="C124" s="72">
        <v>770123</v>
      </c>
      <c r="D124" s="72">
        <v>48097126385</v>
      </c>
      <c r="E124" s="59">
        <v>3.1765189296065491E-2</v>
      </c>
      <c r="F124" s="93">
        <v>624.5382410991491</v>
      </c>
      <c r="G124" s="102"/>
      <c r="H124" s="61" t="str">
        <f t="shared" si="1"/>
        <v>(600, 650]</v>
      </c>
      <c r="I124" s="62">
        <v>9.0000000000000011E-3</v>
      </c>
      <c r="J124" s="59">
        <v>2.8588670366458944E-4</v>
      </c>
      <c r="K124" s="59">
        <v>2.8602955356428917E-4</v>
      </c>
      <c r="L124" s="119">
        <v>286029</v>
      </c>
      <c r="M124" s="59">
        <v>2.8602900600660915E-4</v>
      </c>
      <c r="N124" s="59">
        <v>0.17863605231470564</v>
      </c>
      <c r="O124" s="121">
        <v>8.1000000000000013E-3</v>
      </c>
      <c r="P124" s="59">
        <v>2.8602900600660915E-4</v>
      </c>
      <c r="Q124" s="59">
        <v>3.923070086307542E-4</v>
      </c>
      <c r="R124" s="59">
        <v>0</v>
      </c>
      <c r="S124" s="83">
        <v>1.37</v>
      </c>
      <c r="T124" s="103"/>
      <c r="U124" s="62"/>
      <c r="V124" s="62"/>
    </row>
    <row r="125" spans="1:22" x14ac:dyDescent="0.3">
      <c r="A125" s="58">
        <v>650</v>
      </c>
      <c r="B125" s="58">
        <v>700</v>
      </c>
      <c r="C125" s="72">
        <v>688611</v>
      </c>
      <c r="D125" s="72">
        <v>46453129085</v>
      </c>
      <c r="E125" s="59">
        <v>2.8403071673424835E-2</v>
      </c>
      <c r="F125" s="93">
        <v>674.59173735243849</v>
      </c>
      <c r="G125" s="102"/>
      <c r="H125" s="61" t="str">
        <f t="shared" si="1"/>
        <v>(650, 700]</v>
      </c>
      <c r="I125" s="62">
        <v>9.0000000000000011E-3</v>
      </c>
      <c r="J125" s="59">
        <v>2.5562764506082352E-4</v>
      </c>
      <c r="K125" s="59">
        <v>2.5575537532245983E-4</v>
      </c>
      <c r="L125" s="119">
        <v>255755</v>
      </c>
      <c r="M125" s="59">
        <v>2.5575500537085511E-4</v>
      </c>
      <c r="N125" s="59">
        <v>0.17253021340970739</v>
      </c>
      <c r="O125" s="121">
        <v>8.1000000000000013E-3</v>
      </c>
      <c r="P125" s="59">
        <v>2.5575500537085511E-4</v>
      </c>
      <c r="Q125" s="59">
        <v>3.4953800768983617E-4</v>
      </c>
      <c r="R125" s="59">
        <v>0</v>
      </c>
      <c r="S125" s="83">
        <v>1.37</v>
      </c>
      <c r="T125" s="103"/>
      <c r="U125" s="62"/>
      <c r="V125" s="62"/>
    </row>
    <row r="126" spans="1:22" x14ac:dyDescent="0.3">
      <c r="A126" s="58">
        <v>700</v>
      </c>
      <c r="B126" s="58">
        <v>750</v>
      </c>
      <c r="C126" s="72">
        <v>615528</v>
      </c>
      <c r="D126" s="72">
        <v>44600142220</v>
      </c>
      <c r="E126" s="59">
        <v>2.5388624202924207E-2</v>
      </c>
      <c r="F126" s="93">
        <v>724.58348312343219</v>
      </c>
      <c r="G126" s="101"/>
      <c r="H126" s="61" t="str">
        <f t="shared" si="1"/>
        <v>(700, 750]</v>
      </c>
      <c r="I126" s="62">
        <v>9.0000000000000011E-3</v>
      </c>
      <c r="J126" s="59">
        <v>2.2849761782631789E-4</v>
      </c>
      <c r="K126" s="59">
        <v>2.2861179194274132E-4</v>
      </c>
      <c r="L126" s="119">
        <v>228611</v>
      </c>
      <c r="M126" s="59">
        <v>2.286110048008311E-4</v>
      </c>
      <c r="N126" s="59">
        <v>0.16564775813893387</v>
      </c>
      <c r="O126" s="121">
        <v>8.1000000000000013E-3</v>
      </c>
      <c r="P126" s="59">
        <v>2.286110048008311E-4</v>
      </c>
      <c r="Q126" s="59">
        <v>3.0851800678739614E-4</v>
      </c>
      <c r="R126" s="59">
        <v>0</v>
      </c>
      <c r="S126" s="83">
        <v>1.35</v>
      </c>
      <c r="T126" s="103"/>
      <c r="U126" s="62"/>
      <c r="V126" s="62"/>
    </row>
    <row r="127" spans="1:22" x14ac:dyDescent="0.3">
      <c r="A127" s="58">
        <v>750</v>
      </c>
      <c r="B127" s="58">
        <v>800</v>
      </c>
      <c r="C127" s="72">
        <v>551340</v>
      </c>
      <c r="D127" s="72">
        <v>42704148030</v>
      </c>
      <c r="E127" s="59">
        <v>2.2741067941734954E-2</v>
      </c>
      <c r="F127" s="93">
        <v>774.55196484927626</v>
      </c>
      <c r="G127" s="101"/>
      <c r="H127" s="61" t="str">
        <f t="shared" si="1"/>
        <v>(750, 800]</v>
      </c>
      <c r="I127" s="62">
        <v>9.0000000000000011E-3</v>
      </c>
      <c r="J127" s="59">
        <v>2.0466961147561462E-4</v>
      </c>
      <c r="K127" s="59">
        <v>2.0477187937788536E-4</v>
      </c>
      <c r="L127" s="119">
        <v>204771</v>
      </c>
      <c r="M127" s="59">
        <v>2.0477100430019108E-4</v>
      </c>
      <c r="N127" s="59">
        <v>0.15860578372487261</v>
      </c>
      <c r="O127" s="121">
        <v>8.1000000000000013E-3</v>
      </c>
      <c r="P127" s="59">
        <v>2.0477100430019108E-4</v>
      </c>
      <c r="Q127" s="59">
        <v>2.7821700612077412E-4</v>
      </c>
      <c r="R127" s="59">
        <v>0</v>
      </c>
      <c r="S127" s="83">
        <v>1.36</v>
      </c>
      <c r="T127" s="103"/>
      <c r="U127" s="62"/>
      <c r="V127" s="62"/>
    </row>
    <row r="128" spans="1:22" x14ac:dyDescent="0.3">
      <c r="A128" s="58">
        <v>800</v>
      </c>
      <c r="B128" s="58">
        <v>850</v>
      </c>
      <c r="C128" s="72">
        <v>492954</v>
      </c>
      <c r="D128" s="72">
        <v>40648067315</v>
      </c>
      <c r="E128" s="59">
        <v>2.0332826216400066E-2</v>
      </c>
      <c r="F128" s="93">
        <v>824.58134663680585</v>
      </c>
      <c r="G128" s="101"/>
      <c r="H128" s="61" t="str">
        <f t="shared" si="1"/>
        <v>(800, 850]</v>
      </c>
      <c r="I128" s="62">
        <v>9.0000000000000011E-3</v>
      </c>
      <c r="J128" s="59">
        <v>1.8299543594760062E-4</v>
      </c>
      <c r="K128" s="59">
        <v>1.8308687384707456E-4</v>
      </c>
      <c r="L128" s="119">
        <v>183086</v>
      </c>
      <c r="M128" s="59">
        <v>1.8308600384480609E-4</v>
      </c>
      <c r="N128" s="59">
        <v>0.15096930360070163</v>
      </c>
      <c r="O128" s="121">
        <v>8.1000000000000013E-3</v>
      </c>
      <c r="P128" s="59">
        <v>1.8308600384480609E-4</v>
      </c>
      <c r="Q128" s="59">
        <v>2.487020054714441E-4</v>
      </c>
      <c r="R128" s="59">
        <v>0</v>
      </c>
      <c r="S128" s="83">
        <v>1.36</v>
      </c>
      <c r="T128" s="103"/>
      <c r="U128" s="62"/>
      <c r="V128" s="62"/>
    </row>
    <row r="129" spans="1:22" x14ac:dyDescent="0.3">
      <c r="A129" s="58">
        <v>850</v>
      </c>
      <c r="B129" s="58">
        <v>900</v>
      </c>
      <c r="C129" s="72">
        <v>441091</v>
      </c>
      <c r="D129" s="72">
        <v>38575183265</v>
      </c>
      <c r="E129" s="59">
        <v>1.8193638044560183E-2</v>
      </c>
      <c r="F129" s="93">
        <v>874.54024827076501</v>
      </c>
      <c r="G129" s="101"/>
      <c r="H129" s="61" t="str">
        <f t="shared" si="1"/>
        <v>(850, 900]</v>
      </c>
      <c r="I129" s="62">
        <v>9.0000000000000011E-3</v>
      </c>
      <c r="J129" s="59">
        <v>1.6374274240104166E-4</v>
      </c>
      <c r="K129" s="59">
        <v>1.6382456024716292E-4</v>
      </c>
      <c r="L129" s="84">
        <v>163824</v>
      </c>
      <c r="M129" s="59">
        <v>1.6382400344030408E-4</v>
      </c>
      <c r="N129" s="59">
        <v>0.1432706846413942</v>
      </c>
      <c r="O129" s="121">
        <v>8.1000000000000013E-3</v>
      </c>
      <c r="P129" s="59">
        <v>1.6382400344030408E-4</v>
      </c>
      <c r="Q129" s="59">
        <v>2.218730048812061E-4</v>
      </c>
      <c r="R129" s="59">
        <v>0</v>
      </c>
      <c r="S129" s="83">
        <v>1.35</v>
      </c>
      <c r="T129" s="103"/>
      <c r="U129" s="62"/>
      <c r="V129" s="62"/>
    </row>
    <row r="130" spans="1:22" x14ac:dyDescent="0.3">
      <c r="A130" s="58">
        <v>900</v>
      </c>
      <c r="B130" s="58">
        <v>950</v>
      </c>
      <c r="C130" s="72">
        <v>399506</v>
      </c>
      <c r="D130" s="72">
        <v>36936988840</v>
      </c>
      <c r="E130" s="59">
        <v>1.6478385549988692E-2</v>
      </c>
      <c r="F130" s="93">
        <v>924.56656070246754</v>
      </c>
      <c r="G130" s="101"/>
      <c r="H130" s="61" t="str">
        <f t="shared" si="1"/>
        <v>(900, 950]</v>
      </c>
      <c r="I130" s="62">
        <v>9.0000000000000011E-3</v>
      </c>
      <c r="J130" s="59">
        <v>1.4830546994989825E-4</v>
      </c>
      <c r="K130" s="59">
        <v>1.4837957420600986E-4</v>
      </c>
      <c r="L130" s="84">
        <v>148379</v>
      </c>
      <c r="M130" s="59">
        <v>1.4837900311595907E-4</v>
      </c>
      <c r="N130" s="59">
        <v>0.137186264591383</v>
      </c>
      <c r="O130" s="121">
        <v>8.1000000000000013E-3</v>
      </c>
      <c r="P130" s="59">
        <v>1.4837900311595907E-4</v>
      </c>
      <c r="Q130" s="59">
        <v>1.9943400438754809E-4</v>
      </c>
      <c r="R130" s="59">
        <v>0</v>
      </c>
      <c r="S130" s="83">
        <v>1.34</v>
      </c>
      <c r="T130" s="103"/>
      <c r="U130" s="62"/>
      <c r="V130" s="62"/>
    </row>
    <row r="131" spans="1:22" x14ac:dyDescent="0.3">
      <c r="A131" s="58">
        <v>950</v>
      </c>
      <c r="B131" s="58">
        <v>1000</v>
      </c>
      <c r="C131" s="72">
        <v>356719</v>
      </c>
      <c r="D131" s="72">
        <v>34764671785</v>
      </c>
      <c r="E131" s="59">
        <v>1.4713554277048194E-2</v>
      </c>
      <c r="F131" s="93">
        <v>974.56742660189104</v>
      </c>
      <c r="G131" s="101"/>
      <c r="H131" s="61" t="str">
        <f t="shared" si="1"/>
        <v>(950, 1000]</v>
      </c>
      <c r="I131" s="62">
        <v>9.0000000000000011E-3</v>
      </c>
      <c r="J131" s="59">
        <v>1.3242198849343375E-4</v>
      </c>
      <c r="K131" s="59">
        <v>1.3248815620089214E-4</v>
      </c>
      <c r="L131" s="84">
        <v>132488</v>
      </c>
      <c r="M131" s="59">
        <v>1.3248800278224806E-4</v>
      </c>
      <c r="N131" s="59">
        <v>0.12911849192711966</v>
      </c>
      <c r="O131" s="121">
        <v>8.1000000000000013E-3</v>
      </c>
      <c r="P131" s="59">
        <v>1.3248800278224806E-4</v>
      </c>
      <c r="Q131" s="59">
        <v>1.7992900395843807E-4</v>
      </c>
      <c r="R131" s="59">
        <v>0</v>
      </c>
      <c r="S131" s="83">
        <v>1.36</v>
      </c>
      <c r="T131" s="103"/>
      <c r="U131" s="62"/>
      <c r="V131" s="62"/>
    </row>
    <row r="132" spans="1:22" x14ac:dyDescent="0.3">
      <c r="A132" s="58">
        <v>1000</v>
      </c>
      <c r="B132" s="58">
        <v>2000</v>
      </c>
      <c r="C132" s="72">
        <v>2999685</v>
      </c>
      <c r="D132" s="72">
        <v>406397759590</v>
      </c>
      <c r="E132" s="59">
        <v>0.12372771862880112</v>
      </c>
      <c r="F132" s="93">
        <v>1354.8014527858759</v>
      </c>
      <c r="G132" s="101"/>
      <c r="H132" s="61" t="str">
        <f t="shared" si="1"/>
        <v>(1000, 2000]</v>
      </c>
      <c r="I132" s="62">
        <v>0.01</v>
      </c>
      <c r="J132" s="59">
        <v>1.2372771862880112E-3</v>
      </c>
      <c r="K132" s="59">
        <v>1.2378954204335536E-3</v>
      </c>
      <c r="L132" s="84">
        <v>1237895</v>
      </c>
      <c r="M132" s="59">
        <v>1.2378950259957955E-3</v>
      </c>
      <c r="N132" s="59">
        <v>1.6771019796155133</v>
      </c>
      <c r="O132" s="121">
        <v>9.0000000000000011E-3</v>
      </c>
      <c r="P132" s="59">
        <v>1.2378950259957955E-3</v>
      </c>
      <c r="Q132" s="59">
        <v>1.4766200324856408E-4</v>
      </c>
      <c r="R132" s="59">
        <v>0</v>
      </c>
      <c r="S132" s="83">
        <v>0.12</v>
      </c>
      <c r="T132" s="103"/>
      <c r="U132" s="62"/>
      <c r="V132" s="62"/>
    </row>
    <row r="133" spans="1:22" x14ac:dyDescent="0.3">
      <c r="A133" s="58">
        <v>2000</v>
      </c>
      <c r="B133" s="58">
        <v>3000</v>
      </c>
      <c r="C133" s="72">
        <v>595737</v>
      </c>
      <c r="D133" s="72">
        <v>142464984050</v>
      </c>
      <c r="E133" s="59">
        <v>2.4572306729795327E-2</v>
      </c>
      <c r="F133" s="93">
        <v>2391.4073500554778</v>
      </c>
      <c r="G133" s="101"/>
      <c r="H133" s="61" t="str">
        <f t="shared" si="1"/>
        <v>(2000, 3000]</v>
      </c>
      <c r="I133" s="62">
        <v>2E-3</v>
      </c>
      <c r="J133" s="59">
        <v>4.9144613459590657E-5</v>
      </c>
      <c r="K133" s="59">
        <v>4.9169169701673608E-5</v>
      </c>
      <c r="L133" s="84">
        <v>49169</v>
      </c>
      <c r="M133" s="59">
        <v>4.9169001032549022E-5</v>
      </c>
      <c r="N133" s="59">
        <v>0.11758311046412311</v>
      </c>
      <c r="O133" s="121">
        <v>1.8000000000000002E-3</v>
      </c>
      <c r="P133" s="59">
        <v>4.9169001032549022E-5</v>
      </c>
      <c r="Q133" s="59">
        <v>4.7172001037784021E-4</v>
      </c>
      <c r="R133" s="59">
        <v>0</v>
      </c>
      <c r="S133" s="83">
        <v>9.59</v>
      </c>
      <c r="T133" s="103"/>
      <c r="U133" s="62"/>
      <c r="V133" s="62"/>
    </row>
    <row r="134" spans="1:22" x14ac:dyDescent="0.3">
      <c r="A134" s="58">
        <v>3000</v>
      </c>
      <c r="B134" s="58">
        <v>4000</v>
      </c>
      <c r="C134" s="72">
        <v>177648</v>
      </c>
      <c r="D134" s="72">
        <v>60640513725</v>
      </c>
      <c r="E134" s="59">
        <v>7.3274299664695666E-3</v>
      </c>
      <c r="F134" s="93">
        <v>3413.5207671912999</v>
      </c>
      <c r="G134" s="101"/>
      <c r="H134" s="61" t="str">
        <f t="shared" si="1"/>
        <v>(3000, 4000]</v>
      </c>
      <c r="I134" s="62">
        <v>5.0000000000000001E-3</v>
      </c>
      <c r="J134" s="59">
        <v>3.6637149832347831E-5</v>
      </c>
      <c r="K134" s="59">
        <v>3.6655456431121923E-5</v>
      </c>
      <c r="L134" s="84">
        <v>36655</v>
      </c>
      <c r="M134" s="59">
        <v>3.6655000769755015E-5</v>
      </c>
      <c r="N134" s="59">
        <v>0.12512260634897182</v>
      </c>
      <c r="O134" s="121">
        <v>4.5000000000000005E-3</v>
      </c>
      <c r="P134" s="59">
        <v>3.6655000769755015E-5</v>
      </c>
      <c r="Q134" s="59">
        <v>6.3183001390026028E-5</v>
      </c>
      <c r="R134" s="59">
        <v>0</v>
      </c>
      <c r="S134" s="83">
        <v>1.72</v>
      </c>
      <c r="U134" s="62"/>
      <c r="V134" s="62"/>
    </row>
    <row r="135" spans="1:22" x14ac:dyDescent="0.3">
      <c r="A135" s="58">
        <v>4000</v>
      </c>
      <c r="B135" s="58">
        <v>5000</v>
      </c>
      <c r="C135" s="72">
        <v>66837</v>
      </c>
      <c r="D135" s="72">
        <v>29592462645</v>
      </c>
      <c r="E135" s="59">
        <v>2.7568193093585429E-3</v>
      </c>
      <c r="F135" s="93">
        <v>4427.5569886440144</v>
      </c>
      <c r="G135" s="101"/>
      <c r="H135" s="61" t="str">
        <f t="shared" si="1"/>
        <v>(4000, 5000]</v>
      </c>
      <c r="I135" s="62">
        <v>0.01</v>
      </c>
      <c r="J135" s="59">
        <v>2.756819309358543E-5</v>
      </c>
      <c r="K135" s="59">
        <v>2.7581968178497882E-5</v>
      </c>
      <c r="L135" s="84">
        <v>27581</v>
      </c>
      <c r="M135" s="59">
        <v>2.7581000579201013E-5</v>
      </c>
      <c r="N135" s="59">
        <v>0.12211645186823605</v>
      </c>
      <c r="O135" s="121">
        <v>9.0000000000000011E-3</v>
      </c>
      <c r="P135" s="59">
        <v>2.7581000579201013E-5</v>
      </c>
      <c r="Q135" s="59">
        <v>3.2266000709852017E-5</v>
      </c>
      <c r="R135" s="59">
        <v>0</v>
      </c>
      <c r="S135" s="83">
        <v>1.17</v>
      </c>
      <c r="U135" s="62"/>
      <c r="V135" s="62"/>
    </row>
    <row r="136" spans="1:22" x14ac:dyDescent="0.3">
      <c r="A136" s="58">
        <v>5000</v>
      </c>
      <c r="B136" s="58">
        <v>6000</v>
      </c>
      <c r="C136" s="72">
        <v>28892</v>
      </c>
      <c r="D136" s="72">
        <v>15701862375</v>
      </c>
      <c r="E136" s="59">
        <v>1.1917055446232928E-3</v>
      </c>
      <c r="F136" s="93">
        <v>5434.6747802159771</v>
      </c>
      <c r="G136" s="101"/>
      <c r="H136" s="61" t="str">
        <f t="shared" si="1"/>
        <v>(5000, 6000]</v>
      </c>
      <c r="I136" s="62">
        <v>2.2599999999999999E-2</v>
      </c>
      <c r="J136" s="59">
        <v>2.6932545308486414E-5</v>
      </c>
      <c r="K136" s="59">
        <v>2.6946002777290173E-5</v>
      </c>
      <c r="L136" s="84">
        <v>26946</v>
      </c>
      <c r="M136" s="59">
        <v>2.6946000565866011E-5</v>
      </c>
      <c r="N136" s="59">
        <v>0.14644274970299745</v>
      </c>
      <c r="O136" s="121">
        <v>2.034E-2</v>
      </c>
      <c r="P136" s="59">
        <v>2.6946000565866011E-5</v>
      </c>
      <c r="Q136" s="59">
        <v>1.3508000297176007E-5</v>
      </c>
      <c r="R136" s="59">
        <v>0</v>
      </c>
      <c r="S136" s="83">
        <v>0.5</v>
      </c>
      <c r="U136" s="62"/>
      <c r="V136" s="62"/>
    </row>
    <row r="137" spans="1:22" x14ac:dyDescent="0.3">
      <c r="A137" s="58">
        <v>6000</v>
      </c>
      <c r="B137" s="58">
        <v>7000</v>
      </c>
      <c r="C137" s="72">
        <v>13577</v>
      </c>
      <c r="D137" s="72">
        <v>8749700330</v>
      </c>
      <c r="E137" s="59">
        <v>5.6000921290843306E-4</v>
      </c>
      <c r="F137" s="93">
        <v>6444.5019739264935</v>
      </c>
      <c r="G137" s="101"/>
      <c r="H137" s="61" t="str">
        <f t="shared" si="1"/>
        <v>(6000, 7000]</v>
      </c>
      <c r="I137" s="62">
        <v>0</v>
      </c>
      <c r="J137" s="59">
        <v>0</v>
      </c>
      <c r="K137" s="59">
        <v>0</v>
      </c>
      <c r="L137" s="84">
        <v>0</v>
      </c>
      <c r="M137" s="59">
        <v>0</v>
      </c>
      <c r="N137" s="59">
        <v>0</v>
      </c>
      <c r="O137" s="121">
        <v>0</v>
      </c>
      <c r="P137" s="59">
        <v>0</v>
      </c>
      <c r="Q137" s="59">
        <v>0</v>
      </c>
      <c r="R137" s="59">
        <v>0</v>
      </c>
      <c r="S137" s="83">
        <v>0</v>
      </c>
      <c r="U137" s="62"/>
      <c r="V137" s="62"/>
    </row>
    <row r="138" spans="1:22" x14ac:dyDescent="0.3">
      <c r="A138" s="58">
        <v>7000</v>
      </c>
      <c r="B138" s="58">
        <v>8000</v>
      </c>
      <c r="C138" s="72">
        <v>6880</v>
      </c>
      <c r="D138" s="72">
        <v>5125139240</v>
      </c>
      <c r="E138" s="59">
        <v>2.8377869815202322E-4</v>
      </c>
      <c r="F138" s="93">
        <v>7449.3302906976742</v>
      </c>
      <c r="G138" s="101"/>
      <c r="H138" s="61" t="str">
        <f t="shared" si="1"/>
        <v>(7000, 8000]</v>
      </c>
      <c r="I138" s="62">
        <v>0</v>
      </c>
      <c r="J138" s="59">
        <v>0</v>
      </c>
      <c r="K138" s="59">
        <v>0</v>
      </c>
      <c r="L138" s="84">
        <v>0</v>
      </c>
      <c r="M138" s="59">
        <v>0</v>
      </c>
      <c r="N138" s="59">
        <v>0</v>
      </c>
      <c r="O138" s="121">
        <v>0</v>
      </c>
      <c r="P138" s="59">
        <v>0</v>
      </c>
      <c r="Q138" s="59">
        <v>0</v>
      </c>
      <c r="R138" s="59">
        <v>0</v>
      </c>
      <c r="S138" s="83">
        <v>0</v>
      </c>
      <c r="U138" s="62"/>
      <c r="V138" s="62"/>
    </row>
    <row r="139" spans="1:22" x14ac:dyDescent="0.3">
      <c r="A139" s="58">
        <v>8000</v>
      </c>
      <c r="B139" s="58">
        <v>9000</v>
      </c>
      <c r="C139" s="72">
        <v>3778</v>
      </c>
      <c r="D139" s="72">
        <v>3193580725</v>
      </c>
      <c r="E139" s="59">
        <v>1.5583080256080577E-4</v>
      </c>
      <c r="F139" s="93">
        <v>8453.098795659078</v>
      </c>
      <c r="G139" s="101"/>
      <c r="H139" s="61" t="str">
        <f t="shared" si="1"/>
        <v>(8000, 9000]</v>
      </c>
      <c r="I139" s="62">
        <v>0</v>
      </c>
      <c r="J139" s="59">
        <v>0</v>
      </c>
      <c r="K139" s="59">
        <v>0</v>
      </c>
      <c r="L139" s="84">
        <v>0</v>
      </c>
      <c r="M139" s="59">
        <v>0</v>
      </c>
      <c r="N139" s="59">
        <v>0</v>
      </c>
      <c r="O139" s="121">
        <v>0</v>
      </c>
      <c r="P139" s="59">
        <v>0</v>
      </c>
      <c r="Q139" s="59">
        <v>0</v>
      </c>
      <c r="R139" s="59">
        <v>0</v>
      </c>
      <c r="S139" s="83">
        <v>0</v>
      </c>
      <c r="U139" s="62"/>
      <c r="V139" s="62"/>
    </row>
    <row r="140" spans="1:22" x14ac:dyDescent="0.3">
      <c r="A140" s="58">
        <v>9000</v>
      </c>
      <c r="B140" s="58">
        <v>10000</v>
      </c>
      <c r="C140" s="72">
        <v>1978</v>
      </c>
      <c r="D140" s="72">
        <v>1870426090</v>
      </c>
      <c r="E140" s="59">
        <v>8.1586375718706677E-5</v>
      </c>
      <c r="F140" s="93">
        <v>9456.1480788675435</v>
      </c>
      <c r="G140" s="101"/>
      <c r="H140" s="61" t="str">
        <f t="shared" si="1"/>
        <v>(9000, 10000]</v>
      </c>
      <c r="I140" s="62">
        <v>0</v>
      </c>
      <c r="J140" s="59">
        <v>0</v>
      </c>
      <c r="K140" s="59">
        <v>0</v>
      </c>
      <c r="L140" s="84">
        <v>0</v>
      </c>
      <c r="M140" s="59">
        <v>0</v>
      </c>
      <c r="N140" s="59">
        <v>0</v>
      </c>
      <c r="O140" s="121">
        <v>0</v>
      </c>
      <c r="P140" s="59">
        <v>0</v>
      </c>
      <c r="Q140" s="59">
        <v>0</v>
      </c>
      <c r="R140" s="59">
        <v>0</v>
      </c>
      <c r="S140" s="83">
        <v>0</v>
      </c>
      <c r="U140" s="62"/>
      <c r="V140" s="62"/>
    </row>
    <row r="141" spans="1:22" x14ac:dyDescent="0.3">
      <c r="A141" s="58">
        <v>10000</v>
      </c>
      <c r="B141" s="58">
        <v>20000</v>
      </c>
      <c r="C141" s="72">
        <v>3173</v>
      </c>
      <c r="D141" s="72">
        <v>3851525625</v>
      </c>
      <c r="E141" s="59">
        <v>1.3087642576110024E-4</v>
      </c>
      <c r="F141" s="93">
        <v>12138.435628742514</v>
      </c>
      <c r="G141" s="101"/>
      <c r="H141" s="61" t="str">
        <f t="shared" si="1"/>
        <v>(10000, 20000]</v>
      </c>
      <c r="I141" s="62">
        <v>0</v>
      </c>
      <c r="J141" s="59">
        <v>0</v>
      </c>
      <c r="K141" s="59">
        <v>0</v>
      </c>
      <c r="L141" s="84">
        <v>0</v>
      </c>
      <c r="M141" s="59">
        <v>0</v>
      </c>
      <c r="N141" s="59">
        <v>0</v>
      </c>
      <c r="O141" s="121">
        <v>0</v>
      </c>
      <c r="P141" s="59">
        <v>0</v>
      </c>
      <c r="Q141" s="59">
        <v>0</v>
      </c>
      <c r="R141" s="59">
        <v>0</v>
      </c>
      <c r="S141" s="83">
        <v>0</v>
      </c>
      <c r="U141" s="62"/>
      <c r="V141" s="62"/>
    </row>
    <row r="142" spans="1:22" x14ac:dyDescent="0.3">
      <c r="A142" s="58">
        <v>20000</v>
      </c>
      <c r="B142" s="58">
        <v>30000</v>
      </c>
      <c r="C142" s="72">
        <v>61</v>
      </c>
      <c r="D142" s="72">
        <v>138833730</v>
      </c>
      <c r="E142" s="59">
        <v>2.5160611318711362E-6</v>
      </c>
      <c r="F142" s="93">
        <v>22759.627868852458</v>
      </c>
      <c r="G142" s="101"/>
      <c r="H142" s="61" t="str">
        <f t="shared" si="1"/>
        <v>(20000, 30000]</v>
      </c>
      <c r="I142" s="62">
        <v>0</v>
      </c>
      <c r="J142" s="59">
        <v>0</v>
      </c>
      <c r="K142" s="59">
        <v>0</v>
      </c>
      <c r="L142" s="84">
        <v>0</v>
      </c>
      <c r="M142" s="59">
        <v>0</v>
      </c>
      <c r="N142" s="59">
        <v>0</v>
      </c>
      <c r="O142" s="121">
        <v>0</v>
      </c>
      <c r="P142" s="59">
        <v>0</v>
      </c>
      <c r="Q142" s="59">
        <v>0</v>
      </c>
      <c r="R142" s="59">
        <v>0</v>
      </c>
      <c r="S142" s="83">
        <v>0</v>
      </c>
      <c r="U142" s="62"/>
      <c r="V142" s="62"/>
    </row>
    <row r="143" spans="1:22" x14ac:dyDescent="0.3">
      <c r="A143" s="58">
        <v>30000</v>
      </c>
      <c r="B143" s="58">
        <v>40000</v>
      </c>
      <c r="C143" s="72">
        <v>4</v>
      </c>
      <c r="D143" s="72">
        <v>13229525</v>
      </c>
      <c r="E143" s="59">
        <v>1.6498761520466465E-7</v>
      </c>
      <c r="F143" s="93">
        <v>33073.8125</v>
      </c>
      <c r="G143" s="101"/>
      <c r="H143" s="61" t="str">
        <f t="shared" si="1"/>
        <v>(30000, 40000]</v>
      </c>
      <c r="I143" s="62">
        <v>0</v>
      </c>
      <c r="J143" s="59">
        <v>0</v>
      </c>
      <c r="K143" s="59">
        <v>0</v>
      </c>
      <c r="L143" s="84">
        <v>0</v>
      </c>
      <c r="M143" s="59">
        <v>0</v>
      </c>
      <c r="N143" s="59">
        <v>0</v>
      </c>
      <c r="O143" s="121">
        <v>0</v>
      </c>
      <c r="P143" s="59">
        <v>0</v>
      </c>
      <c r="Q143" s="59">
        <v>0</v>
      </c>
      <c r="R143" s="59">
        <v>0</v>
      </c>
      <c r="S143" s="83">
        <v>0</v>
      </c>
      <c r="U143" s="62"/>
      <c r="V143" s="62"/>
    </row>
    <row r="144" spans="1:22" x14ac:dyDescent="0.3">
      <c r="A144" s="58">
        <v>40000</v>
      </c>
      <c r="B144" s="58">
        <v>50000</v>
      </c>
      <c r="C144" s="72">
        <v>0</v>
      </c>
      <c r="D144" s="72">
        <v>0</v>
      </c>
      <c r="E144" s="59">
        <v>0</v>
      </c>
      <c r="F144" s="93">
        <v>0</v>
      </c>
      <c r="G144" s="121"/>
      <c r="H144" s="61" t="str">
        <f t="shared" si="1"/>
        <v>(40000, 50000]</v>
      </c>
      <c r="I144" s="62">
        <v>0</v>
      </c>
      <c r="J144" s="59">
        <v>0</v>
      </c>
      <c r="K144" s="59">
        <v>0</v>
      </c>
      <c r="L144" s="84">
        <v>0</v>
      </c>
      <c r="M144" s="59">
        <v>0</v>
      </c>
      <c r="N144" s="59">
        <v>0</v>
      </c>
      <c r="O144" s="121">
        <v>0</v>
      </c>
      <c r="P144" s="59">
        <v>0</v>
      </c>
      <c r="Q144" s="59">
        <v>0</v>
      </c>
      <c r="R144" s="59">
        <v>0</v>
      </c>
      <c r="S144" s="83">
        <v>0</v>
      </c>
      <c r="U144" s="62"/>
      <c r="V144" s="62"/>
    </row>
    <row r="145" spans="1:22" x14ac:dyDescent="0.3">
      <c r="A145" s="58">
        <v>50000</v>
      </c>
      <c r="B145" s="58">
        <v>60000</v>
      </c>
      <c r="C145" s="72">
        <v>0</v>
      </c>
      <c r="D145" s="72">
        <v>0</v>
      </c>
      <c r="E145" s="59">
        <v>0</v>
      </c>
      <c r="F145" s="93">
        <v>0</v>
      </c>
      <c r="G145" s="101"/>
      <c r="H145" s="61" t="str">
        <f t="shared" si="1"/>
        <v>(50000, 60000]</v>
      </c>
      <c r="I145" s="62">
        <v>0</v>
      </c>
      <c r="J145" s="59">
        <v>0</v>
      </c>
      <c r="K145" s="59">
        <v>0</v>
      </c>
      <c r="L145" s="84">
        <v>0</v>
      </c>
      <c r="M145" s="59">
        <v>0</v>
      </c>
      <c r="N145" s="59">
        <v>0</v>
      </c>
      <c r="O145" s="121">
        <v>0</v>
      </c>
      <c r="P145" s="59">
        <v>0</v>
      </c>
      <c r="Q145" s="59">
        <v>0</v>
      </c>
      <c r="R145" s="59">
        <v>0</v>
      </c>
      <c r="S145" s="83">
        <v>0</v>
      </c>
      <c r="U145" s="62"/>
      <c r="V145" s="62"/>
    </row>
    <row r="146" spans="1:22" x14ac:dyDescent="0.3">
      <c r="A146" s="58">
        <v>60000</v>
      </c>
      <c r="B146" s="58">
        <v>70000</v>
      </c>
      <c r="C146" s="72">
        <v>0</v>
      </c>
      <c r="D146" s="72">
        <v>0</v>
      </c>
      <c r="E146" s="59">
        <v>0</v>
      </c>
      <c r="F146" s="93">
        <v>0</v>
      </c>
      <c r="G146" s="101"/>
      <c r="H146" s="61" t="str">
        <f t="shared" si="1"/>
        <v>(60000, 70000]</v>
      </c>
      <c r="I146" s="62">
        <v>0</v>
      </c>
      <c r="J146" s="59">
        <v>0</v>
      </c>
      <c r="K146" s="59">
        <v>0</v>
      </c>
      <c r="L146" s="84">
        <v>0</v>
      </c>
      <c r="M146" s="59">
        <v>0</v>
      </c>
      <c r="N146" s="59">
        <v>0</v>
      </c>
      <c r="O146" s="121">
        <v>0</v>
      </c>
      <c r="P146" s="59">
        <v>0</v>
      </c>
      <c r="Q146" s="59">
        <v>0</v>
      </c>
      <c r="R146" s="59">
        <v>0</v>
      </c>
      <c r="S146" s="83">
        <v>0</v>
      </c>
      <c r="U146" s="62"/>
      <c r="V146" s="62"/>
    </row>
    <row r="147" spans="1:22" x14ac:dyDescent="0.3">
      <c r="A147" s="58">
        <v>70000</v>
      </c>
      <c r="B147" s="58">
        <v>80000</v>
      </c>
      <c r="C147" s="72">
        <v>0</v>
      </c>
      <c r="D147" s="72">
        <v>0</v>
      </c>
      <c r="E147" s="59">
        <v>0</v>
      </c>
      <c r="F147" s="93">
        <v>0</v>
      </c>
      <c r="G147" s="101"/>
      <c r="H147" s="61" t="str">
        <f t="shared" si="1"/>
        <v>(70000, 80000]</v>
      </c>
      <c r="I147" s="62">
        <v>0</v>
      </c>
      <c r="J147" s="59">
        <v>0</v>
      </c>
      <c r="K147" s="59">
        <v>0</v>
      </c>
      <c r="L147" s="84">
        <v>0</v>
      </c>
      <c r="M147" s="59">
        <v>0</v>
      </c>
      <c r="N147" s="59">
        <v>0</v>
      </c>
      <c r="O147" s="121">
        <v>0</v>
      </c>
      <c r="P147" s="59">
        <v>0</v>
      </c>
      <c r="Q147" s="59">
        <v>0</v>
      </c>
      <c r="R147" s="59">
        <v>0</v>
      </c>
      <c r="S147" s="83">
        <v>0</v>
      </c>
      <c r="U147" s="62"/>
      <c r="V147" s="62"/>
    </row>
    <row r="148" spans="1:22" x14ac:dyDescent="0.3">
      <c r="A148" s="58">
        <v>80000</v>
      </c>
      <c r="B148" s="58">
        <v>90000</v>
      </c>
      <c r="C148" s="72">
        <v>0</v>
      </c>
      <c r="D148" s="72">
        <v>0</v>
      </c>
      <c r="E148" s="59">
        <v>0</v>
      </c>
      <c r="F148" s="93">
        <v>0</v>
      </c>
      <c r="G148" s="101"/>
      <c r="H148" s="61" t="str">
        <f t="shared" si="1"/>
        <v>(80000, 90000]</v>
      </c>
      <c r="I148" s="62">
        <v>0</v>
      </c>
      <c r="J148" s="59">
        <v>0</v>
      </c>
      <c r="K148" s="59">
        <v>0</v>
      </c>
      <c r="L148" s="84">
        <v>0</v>
      </c>
      <c r="M148" s="59">
        <v>0</v>
      </c>
      <c r="N148" s="59">
        <v>0</v>
      </c>
      <c r="O148" s="121">
        <v>0</v>
      </c>
      <c r="P148" s="59">
        <v>0</v>
      </c>
      <c r="Q148" s="59">
        <v>0</v>
      </c>
      <c r="R148" s="59">
        <v>0</v>
      </c>
      <c r="S148" s="83">
        <v>0</v>
      </c>
      <c r="U148" s="62"/>
      <c r="V148" s="62"/>
    </row>
    <row r="149" spans="1:22" x14ac:dyDescent="0.3">
      <c r="A149" s="58">
        <v>90000</v>
      </c>
      <c r="B149" s="58">
        <v>100000</v>
      </c>
      <c r="C149" s="72">
        <v>0</v>
      </c>
      <c r="D149" s="72">
        <v>0</v>
      </c>
      <c r="E149" s="59">
        <v>0</v>
      </c>
      <c r="F149" s="93">
        <v>0</v>
      </c>
      <c r="G149" s="101"/>
      <c r="H149" s="61" t="str">
        <f t="shared" si="1"/>
        <v>(90000, 100000]</v>
      </c>
      <c r="I149" s="62">
        <v>0</v>
      </c>
      <c r="J149" s="59">
        <v>0</v>
      </c>
      <c r="K149" s="59">
        <v>0</v>
      </c>
      <c r="L149" s="84">
        <v>0</v>
      </c>
      <c r="M149" s="59">
        <v>0</v>
      </c>
      <c r="N149" s="59">
        <v>0</v>
      </c>
      <c r="O149" s="121">
        <v>0</v>
      </c>
      <c r="P149" s="59">
        <v>0</v>
      </c>
      <c r="Q149" s="59">
        <v>0</v>
      </c>
      <c r="R149" s="59">
        <v>0</v>
      </c>
      <c r="S149" s="83">
        <v>0</v>
      </c>
      <c r="U149" s="62"/>
      <c r="V149" s="62"/>
    </row>
    <row r="150" spans="1:22" x14ac:dyDescent="0.3">
      <c r="A150" s="58">
        <v>100000</v>
      </c>
      <c r="B150" s="58">
        <v>9999999</v>
      </c>
      <c r="C150" s="72">
        <v>0</v>
      </c>
      <c r="D150" s="72">
        <v>0</v>
      </c>
      <c r="E150" s="59">
        <v>0</v>
      </c>
      <c r="F150" s="93">
        <v>0</v>
      </c>
      <c r="G150" s="101"/>
      <c r="H150" s="61" t="str">
        <f t="shared" si="1"/>
        <v>(100000, 9999999]</v>
      </c>
      <c r="I150" s="62">
        <v>0</v>
      </c>
      <c r="J150" s="59">
        <v>0</v>
      </c>
      <c r="K150" s="59">
        <v>0</v>
      </c>
      <c r="L150" s="84">
        <v>0</v>
      </c>
      <c r="M150" s="59">
        <v>0</v>
      </c>
      <c r="N150" s="59">
        <v>0</v>
      </c>
      <c r="O150" s="121">
        <v>0</v>
      </c>
      <c r="P150" s="59">
        <v>0</v>
      </c>
      <c r="Q150" s="59">
        <v>0</v>
      </c>
      <c r="R150" s="59">
        <v>0</v>
      </c>
      <c r="S150" s="83">
        <v>0</v>
      </c>
      <c r="U150" s="62"/>
      <c r="V150" s="62"/>
    </row>
    <row r="153" spans="1:22" s="191" customFormat="1" x14ac:dyDescent="0.3">
      <c r="A153" s="209" t="s">
        <v>55</v>
      </c>
      <c r="B153" s="209"/>
      <c r="C153" s="209"/>
      <c r="D153" s="209"/>
      <c r="E153" s="186"/>
      <c r="F153" s="186"/>
      <c r="G153" s="187"/>
      <c r="H153" s="188"/>
      <c r="I153" s="189"/>
      <c r="J153" s="190"/>
      <c r="K153" s="190"/>
      <c r="L153" s="190"/>
      <c r="M153" s="190"/>
      <c r="N153" s="190"/>
      <c r="O153" s="187"/>
      <c r="U153" s="189"/>
      <c r="V153" s="189"/>
    </row>
    <row r="154" spans="1:22" x14ac:dyDescent="0.3">
      <c r="A154" s="52"/>
      <c r="B154" s="52"/>
      <c r="C154" s="1"/>
      <c r="D154" s="1"/>
      <c r="E154" s="1"/>
      <c r="F154" s="1"/>
      <c r="H154" s="13"/>
      <c r="I154" s="52"/>
      <c r="J154" s="52"/>
      <c r="K154" s="52"/>
      <c r="L154" s="52"/>
      <c r="M154" s="52"/>
      <c r="N154" s="52"/>
      <c r="U154" s="52"/>
      <c r="V154" s="52"/>
    </row>
    <row r="155" spans="1:22" x14ac:dyDescent="0.3">
      <c r="A155" s="70" t="s">
        <v>75</v>
      </c>
      <c r="B155" s="68">
        <v>10000000</v>
      </c>
      <c r="C155" s="1"/>
      <c r="D155" s="1"/>
      <c r="E155" s="1"/>
      <c r="F155" s="1"/>
      <c r="H155" s="70" t="s">
        <v>76</v>
      </c>
      <c r="I155" s="52"/>
      <c r="J155" s="52"/>
      <c r="K155" s="52"/>
      <c r="M155" s="52"/>
      <c r="N155" s="52"/>
      <c r="P155" s="24" t="s">
        <v>81</v>
      </c>
      <c r="U155" s="52"/>
      <c r="V155" s="52"/>
    </row>
    <row r="156" spans="1:22" ht="16.2" x14ac:dyDescent="0.3">
      <c r="A156" s="20" t="s">
        <v>58</v>
      </c>
      <c r="B156" s="20" t="s">
        <v>59</v>
      </c>
      <c r="C156" s="20" t="s">
        <v>71</v>
      </c>
      <c r="D156" s="20" t="s">
        <v>72</v>
      </c>
      <c r="E156" s="20" t="s">
        <v>73</v>
      </c>
      <c r="F156" s="20" t="s">
        <v>85</v>
      </c>
      <c r="H156" s="20" t="s">
        <v>61</v>
      </c>
      <c r="I156" s="20" t="s">
        <v>63</v>
      </c>
      <c r="J156" s="20" t="s">
        <v>64</v>
      </c>
      <c r="K156" s="20" t="s">
        <v>65</v>
      </c>
      <c r="L156" s="20" t="s">
        <v>66</v>
      </c>
      <c r="M156" s="20" t="s">
        <v>67</v>
      </c>
      <c r="N156" s="20" t="s">
        <v>60</v>
      </c>
      <c r="O156" s="51">
        <v>0.95</v>
      </c>
      <c r="P156" s="86" t="s">
        <v>84</v>
      </c>
      <c r="Q156" s="198" t="s">
        <v>330</v>
      </c>
      <c r="R156" s="86" t="s">
        <v>252</v>
      </c>
      <c r="S156" s="86" t="s">
        <v>80</v>
      </c>
      <c r="U156" s="20" t="s">
        <v>324</v>
      </c>
      <c r="V156" s="20" t="s">
        <v>325</v>
      </c>
    </row>
    <row r="157" spans="1:22" x14ac:dyDescent="0.3">
      <c r="A157" s="64">
        <v>-1</v>
      </c>
      <c r="B157" s="64">
        <v>0</v>
      </c>
      <c r="C157" s="96" cm="1">
        <f t="array" ref="C157:D220">C87:D150</f>
        <v>0</v>
      </c>
      <c r="D157" s="96">
        <v>0</v>
      </c>
      <c r="E157" s="59" cm="1">
        <f t="array" ref="E157:E220">_xlfn.LET(_xlpm.x, C157:C220, _xlpm.x/SUM(_xlpm.x))</f>
        <v>0</v>
      </c>
      <c r="F157" s="92" cm="1">
        <f t="array" ref="F157:F220">_xlfn.LET(_xlpm.x, D157:D220/C157:C220/B3, IF(ISERR(_xlpm.x), 0, _xlpm.x))</f>
        <v>0</v>
      </c>
      <c r="H157" s="61" t="str">
        <f>"("&amp;$A157&amp;", "&amp;$B157&amp;"]"</f>
        <v>(-1, 0]</v>
      </c>
      <c r="I157" s="62">
        <v>0</v>
      </c>
      <c r="J157" s="59" cm="1">
        <f t="array" ref="J157:J220">_xlfn.ANCHORARRAY(E157)*I157:I220</f>
        <v>0</v>
      </c>
      <c r="K157" s="59" cm="1">
        <f t="array" ref="K157:K220">J157:J220/SUM(_xlfn.ANCHORARRAY(J157))</f>
        <v>0</v>
      </c>
      <c r="L157" s="119" cm="1">
        <f t="array" ref="L157:L220">INT(_xlfn.ANCHORARRAY(K157)*$B$2)</f>
        <v>0</v>
      </c>
      <c r="M157" s="59" cm="1">
        <f t="array" ref="M157:M220">_xlfn.LET(_xlpm.x, L157:L220, _xlpm.x/SUM(_xlpm.x))</f>
        <v>0</v>
      </c>
      <c r="N157" s="60" cm="1">
        <f t="array" ref="N157:N220">M157:M220*_xlfn.ANCHORARRAY(F157)</f>
        <v>0</v>
      </c>
      <c r="O157" s="121" cm="1">
        <f t="array" ref="O157:O220">I157:I220*O156</f>
        <v>0</v>
      </c>
      <c r="P157" s="59" cm="1">
        <f t="array" ref="P157:P220">_xlfn.ANCHORARRAY(M157)</f>
        <v>0</v>
      </c>
      <c r="Q157" s="59">
        <v>0</v>
      </c>
      <c r="R157" s="59">
        <v>0</v>
      </c>
      <c r="S157" s="83" cm="1">
        <f t="array" ref="S157:S220">_xlfn.LET(_xlpm.x, Q157:Q220/M157:M220, IF(ISERR(_xlpm.x), 0, ROUND(_xlpm.x,2)))</f>
        <v>0</v>
      </c>
      <c r="U157" s="62"/>
      <c r="V157" s="62"/>
    </row>
    <row r="158" spans="1:22" x14ac:dyDescent="0.3">
      <c r="A158" s="58">
        <v>0</v>
      </c>
      <c r="B158" s="58">
        <v>1</v>
      </c>
      <c r="C158" s="94">
        <v>15302</v>
      </c>
      <c r="D158" s="94">
        <v>915955</v>
      </c>
      <c r="E158" s="59">
        <v>6.3116012196544466E-4</v>
      </c>
      <c r="F158" s="93">
        <v>0.59858515226767739</v>
      </c>
      <c r="H158" s="61" t="str">
        <f t="shared" ref="H158:H220" si="2">"("&amp;$A158&amp;", "&amp;$B158&amp;"]"</f>
        <v>(0, 1]</v>
      </c>
      <c r="I158" s="62">
        <v>0</v>
      </c>
      <c r="J158" s="59">
        <v>0</v>
      </c>
      <c r="K158" s="59">
        <v>0</v>
      </c>
      <c r="L158" s="119">
        <v>0</v>
      </c>
      <c r="M158" s="59">
        <v>0</v>
      </c>
      <c r="N158" s="59">
        <v>0</v>
      </c>
      <c r="O158" s="121">
        <v>0</v>
      </c>
      <c r="P158" s="59">
        <v>0</v>
      </c>
      <c r="Q158" s="59">
        <v>0</v>
      </c>
      <c r="R158" s="59">
        <v>0</v>
      </c>
      <c r="S158" s="83">
        <v>0</v>
      </c>
      <c r="U158" s="62"/>
      <c r="V158" s="62"/>
    </row>
    <row r="159" spans="1:22" x14ac:dyDescent="0.3">
      <c r="A159" s="58">
        <v>1</v>
      </c>
      <c r="B159" s="58">
        <v>2</v>
      </c>
      <c r="C159" s="94">
        <v>14545</v>
      </c>
      <c r="D159" s="94">
        <v>2297380</v>
      </c>
      <c r="E159" s="59">
        <v>5.9993621578796185E-4</v>
      </c>
      <c r="F159" s="93">
        <v>1.5794981093159159</v>
      </c>
      <c r="H159" s="61" t="str">
        <f t="shared" si="2"/>
        <v>(1, 2]</v>
      </c>
      <c r="I159" s="62">
        <v>0</v>
      </c>
      <c r="J159" s="59">
        <v>0</v>
      </c>
      <c r="K159" s="59">
        <v>0</v>
      </c>
      <c r="L159" s="119">
        <v>0</v>
      </c>
      <c r="M159" s="59">
        <v>0</v>
      </c>
      <c r="N159" s="59">
        <v>0</v>
      </c>
      <c r="O159" s="121">
        <v>0</v>
      </c>
      <c r="P159" s="59">
        <v>0</v>
      </c>
      <c r="Q159" s="59">
        <v>0</v>
      </c>
      <c r="R159" s="59">
        <v>0</v>
      </c>
      <c r="S159" s="83">
        <v>0</v>
      </c>
      <c r="U159" s="62"/>
      <c r="V159" s="62"/>
    </row>
    <row r="160" spans="1:22" ht="16.2" customHeight="1" x14ac:dyDescent="0.3">
      <c r="A160" s="58">
        <v>2</v>
      </c>
      <c r="B160" s="58">
        <v>3</v>
      </c>
      <c r="C160" s="94">
        <v>15170</v>
      </c>
      <c r="D160" s="94">
        <v>3916365</v>
      </c>
      <c r="E160" s="59">
        <v>6.2571553066369072E-4</v>
      </c>
      <c r="F160" s="93">
        <v>2.5816512854317732</v>
      </c>
      <c r="H160" s="61" t="str">
        <f t="shared" si="2"/>
        <v>(2, 3]</v>
      </c>
      <c r="I160" s="62">
        <v>0</v>
      </c>
      <c r="J160" s="59">
        <v>0</v>
      </c>
      <c r="K160" s="59">
        <v>0</v>
      </c>
      <c r="L160" s="119">
        <v>0</v>
      </c>
      <c r="M160" s="59">
        <v>0</v>
      </c>
      <c r="N160" s="59">
        <v>0</v>
      </c>
      <c r="O160" s="121">
        <v>0</v>
      </c>
      <c r="P160" s="59">
        <v>0</v>
      </c>
      <c r="Q160" s="59">
        <v>0</v>
      </c>
      <c r="R160" s="59">
        <v>0</v>
      </c>
      <c r="S160" s="83">
        <v>0</v>
      </c>
      <c r="U160" s="62"/>
      <c r="V160" s="62"/>
    </row>
    <row r="161" spans="1:22" x14ac:dyDescent="0.3">
      <c r="A161" s="58">
        <v>3</v>
      </c>
      <c r="B161" s="58">
        <v>4</v>
      </c>
      <c r="C161" s="94">
        <v>15165</v>
      </c>
      <c r="D161" s="94">
        <v>5428355</v>
      </c>
      <c r="E161" s="59">
        <v>6.2550929614468495E-4</v>
      </c>
      <c r="F161" s="93">
        <v>3.5795285196175404</v>
      </c>
      <c r="H161" s="61" t="str">
        <f t="shared" si="2"/>
        <v>(3, 4]</v>
      </c>
      <c r="I161" s="62">
        <v>0</v>
      </c>
      <c r="J161" s="59">
        <v>0</v>
      </c>
      <c r="K161" s="59">
        <v>0</v>
      </c>
      <c r="L161" s="119">
        <v>0</v>
      </c>
      <c r="M161" s="59">
        <v>0</v>
      </c>
      <c r="N161" s="59">
        <v>0</v>
      </c>
      <c r="O161" s="121">
        <v>0</v>
      </c>
      <c r="P161" s="59">
        <v>0</v>
      </c>
      <c r="Q161" s="59">
        <v>0</v>
      </c>
      <c r="R161" s="59">
        <v>3.614457831325301E-2</v>
      </c>
      <c r="S161" s="83">
        <v>0</v>
      </c>
      <c r="U161" s="62"/>
      <c r="V161" s="62"/>
    </row>
    <row r="162" spans="1:22" x14ac:dyDescent="0.3">
      <c r="A162" s="58">
        <v>4</v>
      </c>
      <c r="B162" s="58">
        <v>5</v>
      </c>
      <c r="C162" s="94">
        <v>16128</v>
      </c>
      <c r="D162" s="94">
        <v>7377445</v>
      </c>
      <c r="E162" s="59">
        <v>6.6523006450520787E-4</v>
      </c>
      <c r="F162" s="93">
        <v>4.5743086557539678</v>
      </c>
      <c r="H162" s="61" t="str">
        <f t="shared" si="2"/>
        <v>(4, 5]</v>
      </c>
      <c r="I162" s="62">
        <v>0</v>
      </c>
      <c r="J162" s="59">
        <v>0</v>
      </c>
      <c r="K162" s="59">
        <v>0</v>
      </c>
      <c r="L162" s="119">
        <v>0</v>
      </c>
      <c r="M162" s="59">
        <v>0</v>
      </c>
      <c r="N162" s="59">
        <v>0</v>
      </c>
      <c r="O162" s="121">
        <v>0</v>
      </c>
      <c r="P162" s="59">
        <v>0</v>
      </c>
      <c r="Q162" s="59">
        <v>0</v>
      </c>
      <c r="R162" s="59">
        <v>0</v>
      </c>
      <c r="S162" s="83">
        <v>0</v>
      </c>
      <c r="U162" s="62"/>
      <c r="V162" s="62"/>
    </row>
    <row r="163" spans="1:22" x14ac:dyDescent="0.3">
      <c r="A163" s="58">
        <v>5</v>
      </c>
      <c r="B163" s="58">
        <v>6</v>
      </c>
      <c r="C163" s="94">
        <v>16708</v>
      </c>
      <c r="D163" s="94">
        <v>9310030</v>
      </c>
      <c r="E163" s="59">
        <v>6.8915326870988428E-4</v>
      </c>
      <c r="F163" s="93">
        <v>5.5721989466124011</v>
      </c>
      <c r="H163" s="61" t="str">
        <f t="shared" si="2"/>
        <v>(5, 6]</v>
      </c>
      <c r="I163" s="62">
        <v>0</v>
      </c>
      <c r="J163" s="59">
        <v>0</v>
      </c>
      <c r="K163" s="59">
        <v>0</v>
      </c>
      <c r="L163" s="119">
        <v>0</v>
      </c>
      <c r="M163" s="59">
        <v>0</v>
      </c>
      <c r="N163" s="59">
        <v>0</v>
      </c>
      <c r="O163" s="121">
        <v>0</v>
      </c>
      <c r="P163" s="59">
        <v>0</v>
      </c>
      <c r="Q163" s="59">
        <v>0</v>
      </c>
      <c r="R163" s="59">
        <v>0</v>
      </c>
      <c r="S163" s="83">
        <v>0</v>
      </c>
      <c r="U163" s="62"/>
      <c r="V163" s="62"/>
    </row>
    <row r="164" spans="1:22" x14ac:dyDescent="0.3">
      <c r="A164" s="58">
        <v>6</v>
      </c>
      <c r="B164" s="58">
        <v>7</v>
      </c>
      <c r="C164" s="94">
        <v>16541</v>
      </c>
      <c r="D164" s="94">
        <v>10856555</v>
      </c>
      <c r="E164" s="59">
        <v>6.8226503577508953E-4</v>
      </c>
      <c r="F164" s="93">
        <v>6.5634211958164563</v>
      </c>
      <c r="H164" s="61" t="str">
        <f t="shared" si="2"/>
        <v>(6, 7]</v>
      </c>
      <c r="I164" s="62">
        <v>0</v>
      </c>
      <c r="J164" s="59">
        <v>0</v>
      </c>
      <c r="K164" s="59">
        <v>0</v>
      </c>
      <c r="L164" s="119">
        <v>0</v>
      </c>
      <c r="M164" s="59">
        <v>0</v>
      </c>
      <c r="N164" s="59">
        <v>0</v>
      </c>
      <c r="O164" s="121">
        <v>0</v>
      </c>
      <c r="P164" s="59">
        <v>0</v>
      </c>
      <c r="Q164" s="59">
        <v>0</v>
      </c>
      <c r="R164" s="59">
        <v>1.2048192771084338E-2</v>
      </c>
      <c r="S164" s="83">
        <v>0</v>
      </c>
      <c r="U164" s="62"/>
      <c r="V164" s="62"/>
    </row>
    <row r="165" spans="1:22" x14ac:dyDescent="0.3">
      <c r="A165" s="58">
        <v>7</v>
      </c>
      <c r="B165" s="58">
        <v>8</v>
      </c>
      <c r="C165" s="94">
        <v>16722</v>
      </c>
      <c r="D165" s="94">
        <v>12639590</v>
      </c>
      <c r="E165" s="59">
        <v>6.8973072536310058E-4</v>
      </c>
      <c r="F165" s="93">
        <v>7.5586592512857314</v>
      </c>
      <c r="H165" s="61" t="str">
        <f t="shared" si="2"/>
        <v>(7, 8]</v>
      </c>
      <c r="I165" s="62">
        <v>0</v>
      </c>
      <c r="J165" s="59">
        <v>0</v>
      </c>
      <c r="K165" s="59">
        <v>0</v>
      </c>
      <c r="L165" s="119">
        <v>0</v>
      </c>
      <c r="M165" s="59">
        <v>0</v>
      </c>
      <c r="N165" s="59">
        <v>0</v>
      </c>
      <c r="O165" s="121">
        <v>0</v>
      </c>
      <c r="P165" s="59">
        <v>0</v>
      </c>
      <c r="Q165" s="59">
        <v>0</v>
      </c>
      <c r="R165" s="59">
        <v>3.614457831325301E-2</v>
      </c>
      <c r="S165" s="83">
        <v>0</v>
      </c>
      <c r="U165" s="62"/>
      <c r="V165" s="62"/>
    </row>
    <row r="166" spans="1:22" x14ac:dyDescent="0.3">
      <c r="A166" s="58">
        <v>8</v>
      </c>
      <c r="B166" s="58">
        <v>9</v>
      </c>
      <c r="C166" s="94">
        <v>17038</v>
      </c>
      <c r="D166" s="94">
        <v>14586110</v>
      </c>
      <c r="E166" s="59">
        <v>7.0276474696426912E-4</v>
      </c>
      <c r="F166" s="93">
        <v>8.5609285127362362</v>
      </c>
      <c r="H166" s="61" t="str">
        <f t="shared" si="2"/>
        <v>(8, 9]</v>
      </c>
      <c r="I166" s="62">
        <v>0</v>
      </c>
      <c r="J166" s="59">
        <v>0</v>
      </c>
      <c r="K166" s="59">
        <v>0</v>
      </c>
      <c r="L166" s="119">
        <v>0</v>
      </c>
      <c r="M166" s="59">
        <v>0</v>
      </c>
      <c r="N166" s="59">
        <v>0</v>
      </c>
      <c r="O166" s="121">
        <v>0</v>
      </c>
      <c r="P166" s="59">
        <v>0</v>
      </c>
      <c r="Q166" s="59">
        <v>0</v>
      </c>
      <c r="R166" s="59">
        <v>2.4096385542168676E-2</v>
      </c>
      <c r="S166" s="83">
        <v>0</v>
      </c>
      <c r="U166" s="62"/>
      <c r="V166" s="62"/>
    </row>
    <row r="167" spans="1:22" x14ac:dyDescent="0.3">
      <c r="A167" s="58">
        <v>9</v>
      </c>
      <c r="B167" s="58">
        <v>10</v>
      </c>
      <c r="C167" s="94">
        <v>17289</v>
      </c>
      <c r="D167" s="94">
        <v>16528360</v>
      </c>
      <c r="E167" s="59">
        <v>7.131177198183618E-4</v>
      </c>
      <c r="F167" s="93">
        <v>9.5600439585863839</v>
      </c>
      <c r="H167" s="61" t="str">
        <f t="shared" si="2"/>
        <v>(9, 10]</v>
      </c>
      <c r="I167" s="62">
        <v>0</v>
      </c>
      <c r="J167" s="59">
        <v>0</v>
      </c>
      <c r="K167" s="59">
        <v>0</v>
      </c>
      <c r="L167" s="119">
        <v>0</v>
      </c>
      <c r="M167" s="59">
        <v>0</v>
      </c>
      <c r="N167" s="59">
        <v>0</v>
      </c>
      <c r="O167" s="121">
        <v>0</v>
      </c>
      <c r="P167" s="59">
        <v>0</v>
      </c>
      <c r="Q167" s="59">
        <v>0</v>
      </c>
      <c r="R167" s="59">
        <v>1.2048192771084338E-2</v>
      </c>
      <c r="S167" s="83">
        <v>0</v>
      </c>
      <c r="U167" s="62"/>
      <c r="V167" s="62"/>
    </row>
    <row r="168" spans="1:22" x14ac:dyDescent="0.3">
      <c r="A168" s="58">
        <v>10</v>
      </c>
      <c r="B168" s="58">
        <v>15</v>
      </c>
      <c r="C168" s="94">
        <v>91411</v>
      </c>
      <c r="D168" s="94">
        <v>114997815</v>
      </c>
      <c r="E168" s="59">
        <v>3.7704207233684004E-3</v>
      </c>
      <c r="F168" s="93">
        <v>12.580303792760171</v>
      </c>
      <c r="H168" s="61" t="str">
        <f t="shared" si="2"/>
        <v>(10, 15]</v>
      </c>
      <c r="I168" s="62">
        <v>31.18</v>
      </c>
      <c r="J168" s="59">
        <v>0.11756171815462672</v>
      </c>
      <c r="K168" s="59">
        <v>0.11742021636732242</v>
      </c>
      <c r="L168" s="119">
        <v>117420216</v>
      </c>
      <c r="M168" s="59">
        <v>0.11742021834840437</v>
      </c>
      <c r="N168" s="59">
        <v>1.4771820182351589</v>
      </c>
      <c r="O168" s="121">
        <v>29.620999999999999</v>
      </c>
      <c r="P168" s="59">
        <v>0.11742021834840437</v>
      </c>
      <c r="Q168" s="59">
        <v>0.11756192923367666</v>
      </c>
      <c r="R168" s="59">
        <v>7.2289156626506021E-2</v>
      </c>
      <c r="S168" s="83">
        <v>1</v>
      </c>
      <c r="T168" s="104"/>
      <c r="U168" s="62"/>
      <c r="V168" s="62"/>
    </row>
    <row r="169" spans="1:22" x14ac:dyDescent="0.3">
      <c r="A169" s="58">
        <v>15</v>
      </c>
      <c r="B169" s="58">
        <v>20</v>
      </c>
      <c r="C169" s="94">
        <v>97447</v>
      </c>
      <c r="D169" s="94">
        <v>171256395</v>
      </c>
      <c r="E169" s="59">
        <v>4.0193870347122393E-3</v>
      </c>
      <c r="F169" s="93">
        <v>17.574311677116793</v>
      </c>
      <c r="H169" s="115" t="str">
        <f t="shared" si="2"/>
        <v>(15, 20]</v>
      </c>
      <c r="I169" s="62">
        <v>29.25</v>
      </c>
      <c r="J169" s="59">
        <v>0.117567070765333</v>
      </c>
      <c r="K169" s="59">
        <v>0.11742556253542141</v>
      </c>
      <c r="L169" s="119">
        <v>117425562</v>
      </c>
      <c r="M169" s="59">
        <v>0.11742556434851129</v>
      </c>
      <c r="N169" s="59">
        <v>2.0636734667220713</v>
      </c>
      <c r="O169" s="121">
        <v>27.787499999999998</v>
      </c>
      <c r="P169" s="59">
        <v>0.11742556434851129</v>
      </c>
      <c r="Q169" s="59">
        <v>0.11754959523344231</v>
      </c>
      <c r="R169" s="59">
        <v>7.2289156626506021E-2</v>
      </c>
      <c r="S169" s="83">
        <v>1</v>
      </c>
      <c r="T169" s="104"/>
      <c r="U169" s="62"/>
      <c r="V169" s="62"/>
    </row>
    <row r="170" spans="1:22" x14ac:dyDescent="0.3">
      <c r="A170" s="58">
        <v>20</v>
      </c>
      <c r="B170" s="58">
        <v>25</v>
      </c>
      <c r="C170" s="94">
        <v>102208</v>
      </c>
      <c r="D170" s="94">
        <v>230656665</v>
      </c>
      <c r="E170" s="59">
        <v>4.2157635437095912E-3</v>
      </c>
      <c r="F170" s="93">
        <v>22.567378776612401</v>
      </c>
      <c r="H170" s="61" t="str">
        <f t="shared" si="2"/>
        <v>(20, 25]</v>
      </c>
      <c r="I170" s="62">
        <v>27.89</v>
      </c>
      <c r="J170" s="59">
        <v>0.1175776452340605</v>
      </c>
      <c r="K170" s="59">
        <v>0.11743612427631328</v>
      </c>
      <c r="L170" s="119">
        <v>117436124</v>
      </c>
      <c r="M170" s="59">
        <v>0.11743612634872252</v>
      </c>
      <c r="N170" s="59">
        <v>2.6502255453697332</v>
      </c>
      <c r="O170" s="121">
        <v>26.4955</v>
      </c>
      <c r="P170" s="59">
        <v>0.11743612634872252</v>
      </c>
      <c r="Q170" s="59">
        <v>0.11757260823387955</v>
      </c>
      <c r="R170" s="59">
        <v>7.2289156626506021E-2</v>
      </c>
      <c r="S170" s="83">
        <v>1</v>
      </c>
      <c r="T170" s="104"/>
      <c r="U170" s="62"/>
      <c r="V170" s="62"/>
    </row>
    <row r="171" spans="1:22" x14ac:dyDescent="0.3">
      <c r="A171" s="58">
        <v>25</v>
      </c>
      <c r="B171" s="58">
        <v>30</v>
      </c>
      <c r="C171" s="94">
        <v>107770</v>
      </c>
      <c r="D171" s="94">
        <v>297082655</v>
      </c>
      <c r="E171" s="59">
        <v>4.4451788226516778E-3</v>
      </c>
      <c r="F171" s="93">
        <v>27.566359376449846</v>
      </c>
      <c r="H171" s="61" t="str">
        <f t="shared" si="2"/>
        <v>(25, 30]</v>
      </c>
      <c r="I171" s="62">
        <v>26.65</v>
      </c>
      <c r="J171" s="59">
        <v>0.11846401562366721</v>
      </c>
      <c r="K171" s="59">
        <v>0.11832142779656564</v>
      </c>
      <c r="L171" s="119">
        <v>118321427</v>
      </c>
      <c r="M171" s="59">
        <v>0.11832142936642859</v>
      </c>
      <c r="N171" s="59">
        <v>3.2616910438501967</v>
      </c>
      <c r="O171" s="121">
        <v>25.317499999999999</v>
      </c>
      <c r="P171" s="59">
        <v>0.11832142936642859</v>
      </c>
      <c r="Q171" s="59">
        <v>0.11844270625041142</v>
      </c>
      <c r="R171" s="59">
        <v>8.4337349397590355E-2</v>
      </c>
      <c r="S171" s="83">
        <v>1</v>
      </c>
      <c r="T171" s="104"/>
      <c r="U171" s="62"/>
      <c r="V171" s="62"/>
    </row>
    <row r="172" spans="1:22" x14ac:dyDescent="0.3">
      <c r="A172" s="58">
        <v>30</v>
      </c>
      <c r="B172" s="58">
        <v>35</v>
      </c>
      <c r="C172" s="94">
        <v>112041</v>
      </c>
      <c r="D172" s="94">
        <v>364866645</v>
      </c>
      <c r="E172" s="59">
        <v>4.6213443487864584E-3</v>
      </c>
      <c r="F172" s="93">
        <v>32.565457734222292</v>
      </c>
      <c r="H172" s="61" t="str">
        <f t="shared" si="2"/>
        <v>(30, 35]</v>
      </c>
      <c r="I172" s="62">
        <v>7.08</v>
      </c>
      <c r="J172" s="59">
        <v>3.2719117989408124E-2</v>
      </c>
      <c r="K172" s="59">
        <v>3.2679736005653583E-2</v>
      </c>
      <c r="L172" s="119">
        <v>32679736</v>
      </c>
      <c r="M172" s="59">
        <v>3.2679736653594735E-2</v>
      </c>
      <c r="N172" s="59">
        <v>1.0642305827581544</v>
      </c>
      <c r="O172" s="121">
        <v>6.726</v>
      </c>
      <c r="P172" s="59">
        <v>3.2679736653594735E-2</v>
      </c>
      <c r="Q172" s="59">
        <v>3.2734637621958114E-2</v>
      </c>
      <c r="R172" s="59">
        <v>3.614457831325301E-2</v>
      </c>
      <c r="S172" s="83">
        <v>1</v>
      </c>
      <c r="T172" s="104"/>
      <c r="U172" s="62"/>
      <c r="V172" s="62"/>
    </row>
    <row r="173" spans="1:22" x14ac:dyDescent="0.3">
      <c r="A173" s="58">
        <v>35</v>
      </c>
      <c r="B173" s="58">
        <v>40</v>
      </c>
      <c r="C173" s="94">
        <v>116623</v>
      </c>
      <c r="D173" s="94">
        <v>437917990</v>
      </c>
      <c r="E173" s="59">
        <v>4.8103376620034013E-3</v>
      </c>
      <c r="F173" s="93">
        <v>37.549882098728382</v>
      </c>
      <c r="H173" s="115" t="str">
        <f t="shared" si="2"/>
        <v>(35, 40]</v>
      </c>
      <c r="I173" s="62">
        <v>5.56</v>
      </c>
      <c r="J173" s="59">
        <v>2.6745477400738911E-2</v>
      </c>
      <c r="K173" s="59">
        <v>2.6713285519623889E-2</v>
      </c>
      <c r="L173" s="119">
        <v>26713285</v>
      </c>
      <c r="M173" s="59">
        <v>2.6713285534265711E-2</v>
      </c>
      <c r="N173" s="59">
        <v>1.0030807222813438</v>
      </c>
      <c r="O173" s="121">
        <v>5.2819999999999991</v>
      </c>
      <c r="P173" s="59">
        <v>2.6713285534265711E-2</v>
      </c>
      <c r="Q173" s="59">
        <v>2.6738890508038921E-2</v>
      </c>
      <c r="R173" s="59">
        <v>2.4096385542168676E-2</v>
      </c>
      <c r="S173" s="83">
        <v>1</v>
      </c>
      <c r="T173" s="104"/>
      <c r="U173" s="62"/>
      <c r="V173" s="62"/>
    </row>
    <row r="174" spans="1:22" x14ac:dyDescent="0.3">
      <c r="A174" s="58">
        <v>40</v>
      </c>
      <c r="B174" s="58">
        <v>45</v>
      </c>
      <c r="C174" s="94">
        <v>120399</v>
      </c>
      <c r="D174" s="94">
        <v>512370730</v>
      </c>
      <c r="E174" s="59">
        <v>4.9660859707566047E-3</v>
      </c>
      <c r="F174" s="93">
        <v>42.556061927424643</v>
      </c>
      <c r="H174" s="61" t="str">
        <f t="shared" si="2"/>
        <v>(40, 45]</v>
      </c>
      <c r="I174" s="62">
        <v>5.3</v>
      </c>
      <c r="J174" s="59">
        <v>2.6320255645010004E-2</v>
      </c>
      <c r="K174" s="59">
        <v>2.6288575577088774E-2</v>
      </c>
      <c r="L174" s="119">
        <v>26288575</v>
      </c>
      <c r="M174" s="59">
        <v>2.6288575525771511E-2</v>
      </c>
      <c r="N174" s="59">
        <v>1.1187382480585122</v>
      </c>
      <c r="O174" s="121">
        <v>5.0349999999999993</v>
      </c>
      <c r="P174" s="59">
        <v>2.6288575525771511E-2</v>
      </c>
      <c r="Q174" s="59">
        <v>2.6322629500129962E-2</v>
      </c>
      <c r="R174" s="59">
        <v>3.614457831325301E-2</v>
      </c>
      <c r="S174" s="83">
        <v>1</v>
      </c>
      <c r="T174" s="104"/>
      <c r="U174" s="62"/>
      <c r="V174" s="62"/>
    </row>
    <row r="175" spans="1:22" x14ac:dyDescent="0.3">
      <c r="A175" s="58">
        <v>45</v>
      </c>
      <c r="B175" s="58">
        <v>50</v>
      </c>
      <c r="C175" s="94">
        <v>124865</v>
      </c>
      <c r="D175" s="94">
        <v>593823835</v>
      </c>
      <c r="E175" s="59">
        <v>5.1502946431326128E-3</v>
      </c>
      <c r="F175" s="93">
        <v>47.557268650142149</v>
      </c>
      <c r="H175" s="61" t="str">
        <f t="shared" si="2"/>
        <v>(45, 50]</v>
      </c>
      <c r="I175" s="62">
        <v>4.7</v>
      </c>
      <c r="J175" s="59">
        <v>2.4206384822723283E-2</v>
      </c>
      <c r="K175" s="59">
        <v>2.4177249090697947E-2</v>
      </c>
      <c r="L175" s="119">
        <v>24177249</v>
      </c>
      <c r="M175" s="59">
        <v>2.417724948354499E-2</v>
      </c>
      <c r="N175" s="59">
        <v>1.1498039489104597</v>
      </c>
      <c r="O175" s="121">
        <v>4.4649999999999999</v>
      </c>
      <c r="P175" s="59">
        <v>2.417724948354499E-2</v>
      </c>
      <c r="Q175" s="59">
        <v>2.4181326459445204E-2</v>
      </c>
      <c r="R175" s="59">
        <v>2.4096385542168676E-2</v>
      </c>
      <c r="S175" s="83">
        <v>1</v>
      </c>
      <c r="T175" s="104"/>
      <c r="U175" s="62"/>
      <c r="V175" s="62"/>
    </row>
    <row r="176" spans="1:22" x14ac:dyDescent="0.3">
      <c r="A176" s="58">
        <v>50</v>
      </c>
      <c r="B176" s="58">
        <v>60</v>
      </c>
      <c r="C176" s="94">
        <v>262854</v>
      </c>
      <c r="D176" s="94">
        <v>1448045425</v>
      </c>
      <c r="E176" s="59">
        <v>1.0841913651751731E-2</v>
      </c>
      <c r="F176" s="93">
        <v>55.089343323670171</v>
      </c>
      <c r="H176" s="115" t="str">
        <f t="shared" si="2"/>
        <v>(50, 60]</v>
      </c>
      <c r="I176" s="62">
        <v>1.88</v>
      </c>
      <c r="J176" s="59">
        <v>2.0382797665293252E-2</v>
      </c>
      <c r="K176" s="59">
        <v>2.0358264149237391E-2</v>
      </c>
      <c r="L176" s="119">
        <v>20358264</v>
      </c>
      <c r="M176" s="59">
        <v>2.0358264407165289E-2</v>
      </c>
      <c r="N176" s="59">
        <v>1.1215234174003832</v>
      </c>
      <c r="O176" s="121">
        <v>1.7859999999999998</v>
      </c>
      <c r="P176" s="59">
        <v>2.0358264407165289E-2</v>
      </c>
      <c r="Q176" s="59">
        <v>2.0420051387980975E-2</v>
      </c>
      <c r="R176" s="59">
        <v>2.4096385542168676E-2</v>
      </c>
      <c r="S176" s="83">
        <v>1</v>
      </c>
      <c r="T176" s="104"/>
      <c r="U176" s="62"/>
      <c r="V176" s="62"/>
    </row>
    <row r="177" spans="1:22" x14ac:dyDescent="0.3">
      <c r="A177" s="58">
        <v>60</v>
      </c>
      <c r="B177" s="58">
        <v>70</v>
      </c>
      <c r="C177" s="94">
        <v>277706</v>
      </c>
      <c r="D177" s="94">
        <v>1807255650</v>
      </c>
      <c r="E177" s="59">
        <v>1.1454512667006651E-2</v>
      </c>
      <c r="F177" s="93">
        <v>65.078019560254376</v>
      </c>
      <c r="H177" s="61" t="str">
        <f t="shared" si="2"/>
        <v>(60, 70]</v>
      </c>
      <c r="I177" s="62">
        <v>5.84</v>
      </c>
      <c r="J177" s="59">
        <v>6.6894353975318843E-2</v>
      </c>
      <c r="K177" s="59">
        <v>6.6813837368410928E-2</v>
      </c>
      <c r="L177" s="119">
        <v>66813837</v>
      </c>
      <c r="M177" s="59">
        <v>6.6813838336276771E-2</v>
      </c>
      <c r="N177" s="59">
        <v>4.3481122781438932</v>
      </c>
      <c r="O177" s="121">
        <v>5.548</v>
      </c>
      <c r="P177" s="59">
        <v>6.6813838336276771E-2</v>
      </c>
      <c r="Q177" s="59">
        <v>6.6921583271510085E-2</v>
      </c>
      <c r="R177" s="59">
        <v>6.0240963855421686E-2</v>
      </c>
      <c r="S177" s="83">
        <v>1</v>
      </c>
      <c r="T177" s="104"/>
      <c r="U177" s="62"/>
      <c r="V177" s="62"/>
    </row>
    <row r="178" spans="1:22" x14ac:dyDescent="0.3">
      <c r="A178" s="58">
        <v>70</v>
      </c>
      <c r="B178" s="58">
        <v>80</v>
      </c>
      <c r="C178" s="94">
        <v>291843</v>
      </c>
      <c r="D178" s="94">
        <v>2190668395</v>
      </c>
      <c r="E178" s="59">
        <v>1.2037620146043737E-2</v>
      </c>
      <c r="F178" s="93">
        <v>75.063249589676644</v>
      </c>
      <c r="H178" s="61" t="str">
        <f t="shared" si="2"/>
        <v>(70, 80]</v>
      </c>
      <c r="I178" s="62">
        <v>5.01</v>
      </c>
      <c r="J178" s="59">
        <v>6.0308476931679116E-2</v>
      </c>
      <c r="K178" s="59">
        <v>6.0235887338660331E-2</v>
      </c>
      <c r="L178" s="119">
        <v>60235887</v>
      </c>
      <c r="M178" s="59">
        <v>6.0235888204717765E-2</v>
      </c>
      <c r="N178" s="59">
        <v>4.5215015105665888</v>
      </c>
      <c r="O178" s="121">
        <v>4.7594999999999992</v>
      </c>
      <c r="P178" s="59">
        <v>6.0235888204717765E-2</v>
      </c>
      <c r="Q178" s="59">
        <v>6.0345669146567714E-2</v>
      </c>
      <c r="R178" s="59">
        <v>4.8192771084337352E-2</v>
      </c>
      <c r="S178" s="83">
        <v>1</v>
      </c>
      <c r="T178" s="104"/>
      <c r="U178" s="62"/>
      <c r="V178" s="62"/>
    </row>
    <row r="179" spans="1:22" x14ac:dyDescent="0.3">
      <c r="A179" s="58">
        <v>80</v>
      </c>
      <c r="B179" s="58">
        <v>90</v>
      </c>
      <c r="C179" s="94">
        <v>304370</v>
      </c>
      <c r="D179" s="94">
        <v>2589124735</v>
      </c>
      <c r="E179" s="59">
        <v>1.2554320109960946E-2</v>
      </c>
      <c r="F179" s="93">
        <v>85.065043696816375</v>
      </c>
      <c r="H179" s="61" t="str">
        <f t="shared" si="2"/>
        <v>(80, 90]</v>
      </c>
      <c r="I179" s="62">
        <v>2.2000000000000002</v>
      </c>
      <c r="J179" s="59">
        <v>2.7619504241914082E-2</v>
      </c>
      <c r="K179" s="59">
        <v>2.7586260348612442E-2</v>
      </c>
      <c r="L179" s="119">
        <v>27586260</v>
      </c>
      <c r="M179" s="59">
        <v>2.7586260551725212E-2</v>
      </c>
      <c r="N179" s="59">
        <v>2.3466264592642672</v>
      </c>
      <c r="O179" s="121">
        <v>2.09</v>
      </c>
      <c r="P179" s="59">
        <v>2.7586260551725212E-2</v>
      </c>
      <c r="Q179" s="59">
        <v>2.7612121524630308E-2</v>
      </c>
      <c r="R179" s="59">
        <v>2.4096385542168676E-2</v>
      </c>
      <c r="S179" s="83">
        <v>1</v>
      </c>
      <c r="T179" s="104"/>
      <c r="U179" s="62"/>
      <c r="V179" s="62"/>
    </row>
    <row r="180" spans="1:22" x14ac:dyDescent="0.3">
      <c r="A180" s="58">
        <v>90</v>
      </c>
      <c r="B180" s="58">
        <v>100</v>
      </c>
      <c r="C180" s="94">
        <v>313914</v>
      </c>
      <c r="D180" s="94">
        <v>2983913760</v>
      </c>
      <c r="E180" s="59">
        <v>1.2947980559839275E-2</v>
      </c>
      <c r="F180" s="93">
        <v>95.055134845849494</v>
      </c>
      <c r="H180" s="61" t="str">
        <f t="shared" si="2"/>
        <v>(90, 100]</v>
      </c>
      <c r="I180" s="62">
        <v>1.87</v>
      </c>
      <c r="J180" s="59">
        <v>2.4212723646899446E-2</v>
      </c>
      <c r="K180" s="59">
        <v>2.4183580285222515E-2</v>
      </c>
      <c r="L180" s="119">
        <v>24183580</v>
      </c>
      <c r="M180" s="59">
        <v>2.4183580483671609E-2</v>
      </c>
      <c r="N180" s="59">
        <v>2.298773503930859</v>
      </c>
      <c r="O180" s="121">
        <v>1.7765</v>
      </c>
      <c r="P180" s="59">
        <v>2.4183580483671609E-2</v>
      </c>
      <c r="Q180" s="59">
        <v>2.421306046004815E-2</v>
      </c>
      <c r="R180" s="59">
        <v>1.2048192771084338E-2</v>
      </c>
      <c r="S180" s="83">
        <v>1</v>
      </c>
      <c r="T180" s="104"/>
      <c r="U180" s="62"/>
      <c r="V180" s="62"/>
    </row>
    <row r="181" spans="1:22" x14ac:dyDescent="0.3">
      <c r="A181" s="58">
        <v>100</v>
      </c>
      <c r="B181" s="58">
        <v>120</v>
      </c>
      <c r="C181" s="94">
        <v>655985</v>
      </c>
      <c r="D181" s="94">
        <v>7222235220</v>
      </c>
      <c r="E181" s="59">
        <v>2.7057350190007986E-2</v>
      </c>
      <c r="F181" s="93">
        <v>110.09756656021098</v>
      </c>
      <c r="H181" s="192" t="str">
        <f t="shared" si="2"/>
        <v>(100, 120]</v>
      </c>
      <c r="I181" s="62">
        <v>2</v>
      </c>
      <c r="J181" s="59">
        <v>5.4114700380015972E-2</v>
      </c>
      <c r="K181" s="59">
        <v>5.4049565853714322E-2</v>
      </c>
      <c r="L181" s="119">
        <v>54049565</v>
      </c>
      <c r="M181" s="59">
        <v>5.4049566080991325E-2</v>
      </c>
      <c r="N181" s="59">
        <v>5.9507256991524642</v>
      </c>
      <c r="O181" s="121">
        <v>1.9</v>
      </c>
      <c r="P181" s="59">
        <v>5.4049566080991325E-2</v>
      </c>
      <c r="Q181" s="59">
        <v>5.4230773030384691E-2</v>
      </c>
      <c r="R181" s="59">
        <v>6.0240963855421686E-2</v>
      </c>
      <c r="S181" s="83">
        <v>1</v>
      </c>
      <c r="T181" s="104"/>
      <c r="U181" s="62"/>
      <c r="V181" s="62"/>
    </row>
    <row r="182" spans="1:22" x14ac:dyDescent="0.3">
      <c r="A182" s="58">
        <v>120</v>
      </c>
      <c r="B182" s="58">
        <v>140</v>
      </c>
      <c r="C182" s="94">
        <v>677779</v>
      </c>
      <c r="D182" s="94">
        <v>8815879535</v>
      </c>
      <c r="E182" s="59">
        <v>2.7956285211450601E-2</v>
      </c>
      <c r="F182" s="93">
        <v>130.07011924240794</v>
      </c>
      <c r="G182" s="90"/>
      <c r="H182" s="193" t="str">
        <f t="shared" si="2"/>
        <v>(120, 140]</v>
      </c>
      <c r="I182" s="62">
        <v>0.92</v>
      </c>
      <c r="J182" s="59">
        <v>2.5719782394534554E-2</v>
      </c>
      <c r="K182" s="59">
        <v>2.5688825079219397E-2</v>
      </c>
      <c r="L182" s="119">
        <v>25688825</v>
      </c>
      <c r="M182" s="59">
        <v>2.5688825513776509E-2</v>
      </c>
      <c r="N182" s="59">
        <v>3.341348597774322</v>
      </c>
      <c r="O182" s="121">
        <v>0.874</v>
      </c>
      <c r="P182" s="59">
        <v>2.5688825513776509E-2</v>
      </c>
      <c r="Q182" s="59">
        <v>2.5644264487241025E-2</v>
      </c>
      <c r="R182" s="59">
        <v>7.2289156626506021E-2</v>
      </c>
      <c r="S182" s="83">
        <v>1</v>
      </c>
      <c r="T182" s="104"/>
      <c r="U182" s="62"/>
      <c r="V182" s="62"/>
    </row>
    <row r="183" spans="1:22" x14ac:dyDescent="0.3">
      <c r="A183" s="58">
        <v>140</v>
      </c>
      <c r="B183" s="58">
        <v>160</v>
      </c>
      <c r="C183" s="94">
        <v>690947</v>
      </c>
      <c r="D183" s="94">
        <v>10368127795</v>
      </c>
      <c r="E183" s="59">
        <v>2.8499424440704357E-2</v>
      </c>
      <c r="F183" s="93">
        <v>150.05677418094297</v>
      </c>
      <c r="G183" s="90"/>
      <c r="H183" s="192" t="str">
        <f t="shared" si="2"/>
        <v>(140, 160]</v>
      </c>
      <c r="I183" s="62">
        <v>1.4178200000000001</v>
      </c>
      <c r="J183" s="59">
        <v>4.0407053960519454E-2</v>
      </c>
      <c r="K183" s="59">
        <v>4.0358418482535074E-2</v>
      </c>
      <c r="L183" s="119">
        <v>40358418</v>
      </c>
      <c r="M183" s="59">
        <v>4.0358418807168374E-2</v>
      </c>
      <c r="N183" s="59">
        <v>6.0560541372471866</v>
      </c>
      <c r="O183" s="121">
        <v>1.346929</v>
      </c>
      <c r="P183" s="59">
        <v>4.0358418807168374E-2</v>
      </c>
      <c r="Q183" s="59">
        <v>3.9335711747378523E-2</v>
      </c>
      <c r="R183" s="59">
        <v>2.4096385542168676E-2</v>
      </c>
      <c r="S183" s="83">
        <v>0.97</v>
      </c>
      <c r="T183" s="104"/>
      <c r="U183" s="62"/>
      <c r="V183" s="62"/>
    </row>
    <row r="184" spans="1:22" x14ac:dyDescent="0.3">
      <c r="A184" s="58">
        <v>160</v>
      </c>
      <c r="B184" s="58">
        <v>180</v>
      </c>
      <c r="C184" s="94">
        <v>694976</v>
      </c>
      <c r="D184" s="94">
        <v>11816955235</v>
      </c>
      <c r="E184" s="59">
        <v>2.8665608216119257E-2</v>
      </c>
      <c r="F184" s="93">
        <v>170.034004555553</v>
      </c>
      <c r="G184" s="90"/>
      <c r="H184" s="193" t="str">
        <f t="shared" si="2"/>
        <v>(160, 180]</v>
      </c>
      <c r="I184" s="62">
        <v>0.69</v>
      </c>
      <c r="J184" s="59">
        <v>1.9779269669122284E-2</v>
      </c>
      <c r="K184" s="59">
        <v>1.9755462582481433E-2</v>
      </c>
      <c r="L184" s="119">
        <v>19755462</v>
      </c>
      <c r="M184" s="59">
        <v>1.9755462395109249E-2</v>
      </c>
      <c r="N184" s="59">
        <v>3.3591003828870618</v>
      </c>
      <c r="O184" s="121">
        <v>0.65549999999999997</v>
      </c>
      <c r="P184" s="59">
        <v>1.9755462395109249E-2</v>
      </c>
      <c r="Q184" s="59">
        <v>1.9668153373694913E-2</v>
      </c>
      <c r="R184" s="59">
        <v>3.614457831325301E-2</v>
      </c>
      <c r="S184" s="83">
        <v>1</v>
      </c>
      <c r="T184" s="104"/>
      <c r="U184" s="62"/>
      <c r="V184" s="62"/>
    </row>
    <row r="185" spans="1:22" x14ac:dyDescent="0.3">
      <c r="A185" s="58">
        <v>180</v>
      </c>
      <c r="B185" s="58">
        <v>200</v>
      </c>
      <c r="C185" s="94">
        <v>690929</v>
      </c>
      <c r="D185" s="94">
        <v>13128961605</v>
      </c>
      <c r="E185" s="59">
        <v>2.8498681996435939E-2</v>
      </c>
      <c r="F185" s="93">
        <v>190.01896873629562</v>
      </c>
      <c r="G185" s="100"/>
      <c r="H185" s="193" t="str">
        <f t="shared" si="2"/>
        <v>(180, 200]</v>
      </c>
      <c r="I185" s="62">
        <v>0.61</v>
      </c>
      <c r="J185" s="59">
        <v>1.7384196017825922E-2</v>
      </c>
      <c r="K185" s="59">
        <v>1.736327173357775E-2</v>
      </c>
      <c r="L185" s="119">
        <v>17363271</v>
      </c>
      <c r="M185" s="59">
        <v>1.7363271347265428E-2</v>
      </c>
      <c r="N185" s="59">
        <v>3.2993509152958467</v>
      </c>
      <c r="O185" s="121">
        <v>0.57950000000000002</v>
      </c>
      <c r="P185" s="59">
        <v>1.7363271347265428E-2</v>
      </c>
      <c r="Q185" s="59">
        <v>1.7307835328848872E-2</v>
      </c>
      <c r="R185" s="59">
        <v>0</v>
      </c>
      <c r="S185" s="83">
        <v>1</v>
      </c>
      <c r="T185" s="104"/>
      <c r="U185" s="62"/>
      <c r="V185" s="62"/>
    </row>
    <row r="186" spans="1:22" x14ac:dyDescent="0.3">
      <c r="A186" s="58">
        <v>200</v>
      </c>
      <c r="B186" s="58">
        <v>250</v>
      </c>
      <c r="C186" s="94">
        <v>1682493</v>
      </c>
      <c r="D186" s="94">
        <v>37828116410</v>
      </c>
      <c r="E186" s="59">
        <v>6.9397626917135469E-2</v>
      </c>
      <c r="F186" s="93">
        <v>224.83372239884505</v>
      </c>
      <c r="G186" s="100"/>
      <c r="H186" s="193" t="str">
        <f t="shared" si="2"/>
        <v>(200, 250]</v>
      </c>
      <c r="I186" s="62">
        <v>0.49</v>
      </c>
      <c r="J186" s="59">
        <v>3.4004837189396377E-2</v>
      </c>
      <c r="K186" s="59">
        <v>3.396390766476181E-2</v>
      </c>
      <c r="L186" s="119">
        <v>33963907</v>
      </c>
      <c r="M186" s="59">
        <v>3.3963907679278156E-2</v>
      </c>
      <c r="N186" s="59">
        <v>7.6362317907428263</v>
      </c>
      <c r="O186" s="121">
        <v>0.46549999999999997</v>
      </c>
      <c r="P186" s="59">
        <v>3.3963907679278156E-2</v>
      </c>
      <c r="Q186" s="59">
        <v>3.3806543642324327E-2</v>
      </c>
      <c r="R186" s="59">
        <v>6.0240963855421686E-2</v>
      </c>
      <c r="S186" s="83">
        <v>1</v>
      </c>
      <c r="T186" s="104"/>
      <c r="U186" s="62"/>
      <c r="V186" s="62"/>
    </row>
    <row r="187" spans="1:22" x14ac:dyDescent="0.3">
      <c r="A187" s="58">
        <v>250</v>
      </c>
      <c r="B187" s="58">
        <v>300</v>
      </c>
      <c r="C187" s="94">
        <v>1581093</v>
      </c>
      <c r="D187" s="94">
        <v>43437727910</v>
      </c>
      <c r="E187" s="59">
        <v>6.5215190871697221E-2</v>
      </c>
      <c r="F187" s="93">
        <v>274.73227640625822</v>
      </c>
      <c r="G187" s="100"/>
      <c r="H187" s="193" t="str">
        <f t="shared" si="2"/>
        <v>(250, 300]</v>
      </c>
      <c r="I187" s="62">
        <v>0.2</v>
      </c>
      <c r="J187" s="59">
        <v>1.3043038174339446E-2</v>
      </c>
      <c r="K187" s="59">
        <v>1.3027339073964613E-2</v>
      </c>
      <c r="L187" s="119">
        <v>13027339</v>
      </c>
      <c r="M187" s="59">
        <v>1.3027339260546784E-2</v>
      </c>
      <c r="N187" s="59">
        <v>3.5790305705666388</v>
      </c>
      <c r="O187" s="121">
        <v>0.19</v>
      </c>
      <c r="P187" s="59">
        <v>1.3027339260546784E-2</v>
      </c>
      <c r="Q187" s="59">
        <v>1.3068031248292594E-2</v>
      </c>
      <c r="R187" s="59">
        <v>2.4096385542168676E-2</v>
      </c>
      <c r="S187" s="83">
        <v>1</v>
      </c>
      <c r="T187" s="104"/>
      <c r="U187" s="62"/>
      <c r="V187" s="62"/>
    </row>
    <row r="188" spans="1:22" x14ac:dyDescent="0.3">
      <c r="A188" s="58">
        <v>300</v>
      </c>
      <c r="B188" s="58">
        <v>350</v>
      </c>
      <c r="C188" s="94">
        <v>1455173</v>
      </c>
      <c r="D188" s="94">
        <v>47240444250</v>
      </c>
      <c r="E188" s="59">
        <v>6.0021380745054372E-2</v>
      </c>
      <c r="F188" s="93">
        <v>324.63799321455247</v>
      </c>
      <c r="G188" s="100"/>
      <c r="H188" s="193" t="str">
        <f t="shared" si="2"/>
        <v>(300, 350]</v>
      </c>
      <c r="I188" s="62">
        <v>0.19</v>
      </c>
      <c r="J188" s="59">
        <v>1.140406234156033E-2</v>
      </c>
      <c r="K188" s="59">
        <v>1.1390335975280635E-2</v>
      </c>
      <c r="L188" s="119">
        <v>11390335</v>
      </c>
      <c r="M188" s="59">
        <v>1.1390335227806704E-2</v>
      </c>
      <c r="N188" s="59">
        <v>3.6977355703961905</v>
      </c>
      <c r="O188" s="121">
        <v>0.18049999999999999</v>
      </c>
      <c r="P188" s="59">
        <v>1.1390335227806704E-2</v>
      </c>
      <c r="Q188" s="59">
        <v>1.1219765213175539E-2</v>
      </c>
      <c r="R188" s="59">
        <v>1.2048192771084338E-2</v>
      </c>
      <c r="S188" s="83">
        <v>0.99</v>
      </c>
      <c r="T188" s="104"/>
      <c r="U188" s="62"/>
      <c r="V188" s="62"/>
    </row>
    <row r="189" spans="1:22" x14ac:dyDescent="0.3">
      <c r="A189" s="58">
        <v>350</v>
      </c>
      <c r="B189" s="58">
        <v>400</v>
      </c>
      <c r="C189" s="94">
        <v>1322849</v>
      </c>
      <c r="D189" s="94">
        <v>49553673310</v>
      </c>
      <c r="E189" s="59">
        <v>5.4563425446468861E-2</v>
      </c>
      <c r="F189" s="93">
        <v>374.59810840088323</v>
      </c>
      <c r="G189" s="100"/>
      <c r="H189" s="193" t="str">
        <f t="shared" si="2"/>
        <v>(350, 400]</v>
      </c>
      <c r="I189" s="62">
        <v>8.5737499999999998E-3</v>
      </c>
      <c r="J189" s="59">
        <v>4.6781316892166239E-4</v>
      </c>
      <c r="K189" s="59">
        <v>4.6725009107144043E-4</v>
      </c>
      <c r="L189" s="119">
        <v>467250</v>
      </c>
      <c r="M189" s="59">
        <v>4.672500093450002E-4</v>
      </c>
      <c r="N189" s="59">
        <v>0.17503096965093209</v>
      </c>
      <c r="O189" s="121">
        <v>8.1450624999999995E-3</v>
      </c>
      <c r="P189" s="59">
        <v>4.672500093450002E-4</v>
      </c>
      <c r="Q189" s="59">
        <v>6.1272901164185123E-4</v>
      </c>
      <c r="R189" s="59">
        <v>0</v>
      </c>
      <c r="S189" s="83">
        <v>1.31</v>
      </c>
      <c r="T189" s="104"/>
      <c r="U189" s="62"/>
      <c r="V189" s="62"/>
    </row>
    <row r="190" spans="1:22" x14ac:dyDescent="0.3">
      <c r="A190" s="58">
        <v>400</v>
      </c>
      <c r="B190" s="58">
        <v>450</v>
      </c>
      <c r="C190" s="94">
        <v>1195914</v>
      </c>
      <c r="D190" s="94">
        <v>50776486470</v>
      </c>
      <c r="E190" s="59">
        <v>4.9327749712467832E-2</v>
      </c>
      <c r="F190" s="93">
        <v>424.58309268057741</v>
      </c>
      <c r="G190" s="100"/>
      <c r="H190" s="193" t="str">
        <f t="shared" si="2"/>
        <v>(400, 450]</v>
      </c>
      <c r="I190" s="62">
        <v>8.5737499999999998E-3</v>
      </c>
      <c r="J190" s="59">
        <v>4.2292379409727108E-4</v>
      </c>
      <c r="K190" s="59">
        <v>4.224147468181256E-4</v>
      </c>
      <c r="L190" s="119">
        <v>422414</v>
      </c>
      <c r="M190" s="59">
        <v>4.2241400844828019E-4</v>
      </c>
      <c r="N190" s="59">
        <v>0.17934984609857035</v>
      </c>
      <c r="O190" s="121">
        <v>8.1450624999999995E-3</v>
      </c>
      <c r="P190" s="59">
        <v>4.2241400844828019E-4</v>
      </c>
      <c r="Q190" s="59">
        <v>5.539220105245182E-4</v>
      </c>
      <c r="R190" s="59">
        <v>0</v>
      </c>
      <c r="S190" s="83">
        <v>1.31</v>
      </c>
      <c r="T190" s="104"/>
      <c r="U190" s="62"/>
      <c r="V190" s="62"/>
    </row>
    <row r="191" spans="1:22" x14ac:dyDescent="0.3">
      <c r="A191" s="58">
        <v>450</v>
      </c>
      <c r="B191" s="58">
        <v>500</v>
      </c>
      <c r="C191" s="94">
        <v>1073634</v>
      </c>
      <c r="D191" s="94">
        <v>50951687405</v>
      </c>
      <c r="E191" s="59">
        <v>4.4284078315661238E-2</v>
      </c>
      <c r="F191" s="93">
        <v>474.57222298287871</v>
      </c>
      <c r="G191" s="100"/>
      <c r="H191" s="193" t="str">
        <f t="shared" si="2"/>
        <v>(450, 500]</v>
      </c>
      <c r="I191" s="62">
        <v>8.5737499999999998E-3</v>
      </c>
      <c r="J191" s="59">
        <v>3.7968061645890055E-4</v>
      </c>
      <c r="K191" s="59">
        <v>3.7922361832483901E-4</v>
      </c>
      <c r="L191" s="119">
        <v>379223</v>
      </c>
      <c r="M191" s="59">
        <v>3.7922300758446017E-4</v>
      </c>
      <c r="N191" s="59">
        <v>0.17996870571561033</v>
      </c>
      <c r="O191" s="121">
        <v>8.1450624999999995E-3</v>
      </c>
      <c r="P191" s="59">
        <v>3.7922300758446017E-4</v>
      </c>
      <c r="Q191" s="59">
        <v>4.9288800936487219E-4</v>
      </c>
      <c r="R191" s="59">
        <v>0</v>
      </c>
      <c r="S191" s="83">
        <v>1.3</v>
      </c>
      <c r="T191" s="104"/>
      <c r="U191" s="62"/>
      <c r="V191" s="62"/>
    </row>
    <row r="192" spans="1:22" x14ac:dyDescent="0.3">
      <c r="A192" s="58">
        <v>500</v>
      </c>
      <c r="B192" s="58">
        <v>550</v>
      </c>
      <c r="C192" s="94">
        <v>962726</v>
      </c>
      <c r="D192" s="94">
        <v>50501983020</v>
      </c>
      <c r="E192" s="59">
        <v>3.9709466708881501E-2</v>
      </c>
      <c r="F192" s="93">
        <v>524.57275507257521</v>
      </c>
      <c r="G192" s="100"/>
      <c r="H192" s="193" t="str">
        <f t="shared" si="2"/>
        <v>(500, 550]</v>
      </c>
      <c r="I192" s="62">
        <v>8.5737499999999998E-3</v>
      </c>
      <c r="J192" s="59">
        <v>3.4045904019527277E-4</v>
      </c>
      <c r="K192" s="59">
        <v>3.4004925065282855E-4</v>
      </c>
      <c r="L192" s="119">
        <v>340049</v>
      </c>
      <c r="M192" s="59">
        <v>3.4004900680098012E-4</v>
      </c>
      <c r="N192" s="59">
        <v>0.17838044435728301</v>
      </c>
      <c r="O192" s="121">
        <v>8.1450624999999995E-3</v>
      </c>
      <c r="P192" s="59">
        <v>3.4004900680098012E-4</v>
      </c>
      <c r="Q192" s="59">
        <v>4.4373500843096513E-4</v>
      </c>
      <c r="R192" s="59">
        <v>0</v>
      </c>
      <c r="S192" s="83">
        <v>1.3</v>
      </c>
      <c r="T192" s="104"/>
      <c r="U192" s="62"/>
      <c r="V192" s="62"/>
    </row>
    <row r="193" spans="1:22" x14ac:dyDescent="0.3">
      <c r="A193" s="58">
        <v>550</v>
      </c>
      <c r="B193" s="58">
        <v>600</v>
      </c>
      <c r="C193" s="94">
        <v>861565</v>
      </c>
      <c r="D193" s="94">
        <v>49504424990</v>
      </c>
      <c r="E193" s="59">
        <v>3.5536888673451728E-2</v>
      </c>
      <c r="F193" s="93">
        <v>574.58723358075122</v>
      </c>
      <c r="G193" s="100"/>
      <c r="H193" s="193" t="str">
        <f t="shared" si="2"/>
        <v>(550, 600]</v>
      </c>
      <c r="I193" s="62">
        <v>8.5737499999999998E-3</v>
      </c>
      <c r="J193" s="59">
        <v>3.0468439926400673E-4</v>
      </c>
      <c r="K193" s="59">
        <v>3.043176694497751E-4</v>
      </c>
      <c r="L193" s="119">
        <v>304317</v>
      </c>
      <c r="M193" s="59">
        <v>3.0431700608634011E-4</v>
      </c>
      <c r="N193" s="59">
        <v>0.17485666665872679</v>
      </c>
      <c r="O193" s="121">
        <v>8.1450624999999995E-3</v>
      </c>
      <c r="P193" s="59">
        <v>3.0431700608634011E-4</v>
      </c>
      <c r="Q193" s="59">
        <v>3.9546000751374016E-4</v>
      </c>
      <c r="R193" s="59">
        <v>0</v>
      </c>
      <c r="S193" s="83">
        <v>1.3</v>
      </c>
      <c r="T193" s="104"/>
      <c r="U193" s="62"/>
      <c r="V193" s="62"/>
    </row>
    <row r="194" spans="1:22" x14ac:dyDescent="0.3">
      <c r="A194" s="58">
        <v>600</v>
      </c>
      <c r="B194" s="58">
        <v>650</v>
      </c>
      <c r="C194" s="94">
        <v>770123</v>
      </c>
      <c r="D194" s="94">
        <v>48097126385</v>
      </c>
      <c r="E194" s="59">
        <v>3.1765189296065491E-2</v>
      </c>
      <c r="F194" s="93">
        <v>624.5382410991491</v>
      </c>
      <c r="G194" s="100"/>
      <c r="H194" s="193" t="str">
        <f t="shared" si="2"/>
        <v>(600, 650]</v>
      </c>
      <c r="I194" s="62">
        <v>8.5737499999999998E-3</v>
      </c>
      <c r="J194" s="59">
        <v>2.723467917271415E-4</v>
      </c>
      <c r="K194" s="59">
        <v>2.7201898469606954E-4</v>
      </c>
      <c r="L194" s="119">
        <v>272018</v>
      </c>
      <c r="M194" s="59">
        <v>2.7201800544036009E-4</v>
      </c>
      <c r="N194" s="59">
        <v>0.16988564666502126</v>
      </c>
      <c r="O194" s="121">
        <v>8.1450624999999995E-3</v>
      </c>
      <c r="P194" s="59">
        <v>2.7201800544036009E-4</v>
      </c>
      <c r="Q194" s="59">
        <v>3.5135000667565011E-4</v>
      </c>
      <c r="R194" s="59">
        <v>0</v>
      </c>
      <c r="S194" s="83">
        <v>1.29</v>
      </c>
      <c r="T194" s="104"/>
      <c r="U194" s="62"/>
      <c r="V194" s="62"/>
    </row>
    <row r="195" spans="1:22" x14ac:dyDescent="0.3">
      <c r="A195" s="58">
        <v>650</v>
      </c>
      <c r="B195" s="58">
        <v>700</v>
      </c>
      <c r="C195" s="94">
        <v>688611</v>
      </c>
      <c r="D195" s="94">
        <v>46453129085</v>
      </c>
      <c r="E195" s="59">
        <v>2.8403071673424835E-2</v>
      </c>
      <c r="F195" s="93">
        <v>674.59173735243849</v>
      </c>
      <c r="G195" s="100"/>
      <c r="H195" s="193" t="str">
        <f t="shared" si="2"/>
        <v>(650, 700]</v>
      </c>
      <c r="I195" s="62">
        <v>8.5737499999999998E-3</v>
      </c>
      <c r="J195" s="59">
        <v>2.4352083576002618E-4</v>
      </c>
      <c r="K195" s="59">
        <v>2.4322772475376681E-4</v>
      </c>
      <c r="L195" s="119">
        <v>243227</v>
      </c>
      <c r="M195" s="59">
        <v>2.4322700486454011E-4</v>
      </c>
      <c r="N195" s="59">
        <v>0.16407892778260011</v>
      </c>
      <c r="O195" s="121">
        <v>8.1450624999999995E-3</v>
      </c>
      <c r="P195" s="59">
        <v>2.4322700486454011E-4</v>
      </c>
      <c r="Q195" s="59">
        <v>3.1304600594787412E-4</v>
      </c>
      <c r="R195" s="59">
        <v>0</v>
      </c>
      <c r="S195" s="83">
        <v>1.29</v>
      </c>
      <c r="T195" s="104"/>
      <c r="U195" s="62"/>
      <c r="V195" s="62"/>
    </row>
    <row r="196" spans="1:22" x14ac:dyDescent="0.3">
      <c r="A196" s="58">
        <v>700</v>
      </c>
      <c r="B196" s="58">
        <v>750</v>
      </c>
      <c r="C196" s="94">
        <v>615528</v>
      </c>
      <c r="D196" s="94">
        <v>44600142220</v>
      </c>
      <c r="E196" s="59">
        <v>2.5388624202924207E-2</v>
      </c>
      <c r="F196" s="93">
        <v>724.58348312343219</v>
      </c>
      <c r="G196" s="100"/>
      <c r="H196" s="193" t="str">
        <f t="shared" si="2"/>
        <v>(700, 750]</v>
      </c>
      <c r="I196" s="62">
        <v>8.5737499999999998E-3</v>
      </c>
      <c r="J196" s="59">
        <v>2.1767571675982141E-4</v>
      </c>
      <c r="K196" s="59">
        <v>2.1741371392881696E-4</v>
      </c>
      <c r="L196" s="119">
        <v>217413</v>
      </c>
      <c r="M196" s="59">
        <v>2.1741300434826007E-4</v>
      </c>
      <c r="N196" s="59">
        <v>0.1575338719669922</v>
      </c>
      <c r="O196" s="121">
        <v>8.1450624999999995E-3</v>
      </c>
      <c r="P196" s="59">
        <v>2.1741300434826007E-4</v>
      </c>
      <c r="Q196" s="59">
        <v>2.7630900524987109E-4</v>
      </c>
      <c r="R196" s="59">
        <v>0</v>
      </c>
      <c r="S196" s="83">
        <v>1.27</v>
      </c>
      <c r="T196" s="104"/>
      <c r="U196" s="62"/>
      <c r="V196" s="62"/>
    </row>
    <row r="197" spans="1:22" x14ac:dyDescent="0.3">
      <c r="A197" s="58">
        <v>750</v>
      </c>
      <c r="B197" s="58">
        <v>800</v>
      </c>
      <c r="C197" s="94">
        <v>551340</v>
      </c>
      <c r="D197" s="94">
        <v>42704148030</v>
      </c>
      <c r="E197" s="59">
        <v>2.2741067941734954E-2</v>
      </c>
      <c r="F197" s="93">
        <v>774.55196484927626</v>
      </c>
      <c r="G197" s="100"/>
      <c r="H197" s="193" t="str">
        <f t="shared" si="2"/>
        <v>(750, 800]</v>
      </c>
      <c r="I197" s="62">
        <v>8.5737499999999998E-3</v>
      </c>
      <c r="J197" s="59">
        <v>1.9497623126545007E-4</v>
      </c>
      <c r="K197" s="59">
        <v>1.9474155040471587E-4</v>
      </c>
      <c r="L197" s="119">
        <v>194741</v>
      </c>
      <c r="M197" s="59">
        <v>1.9474100389482008E-4</v>
      </c>
      <c r="N197" s="59">
        <v>0.15083702720345346</v>
      </c>
      <c r="O197" s="121">
        <v>8.1450624999999995E-3</v>
      </c>
      <c r="P197" s="59">
        <v>1.9474100389482008E-4</v>
      </c>
      <c r="Q197" s="59">
        <v>2.4917100473424909E-4</v>
      </c>
      <c r="R197" s="59">
        <v>0</v>
      </c>
      <c r="S197" s="83">
        <v>1.28</v>
      </c>
      <c r="T197" s="104"/>
      <c r="U197" s="62"/>
      <c r="V197" s="62"/>
    </row>
    <row r="198" spans="1:22" x14ac:dyDescent="0.3">
      <c r="A198" s="58">
        <v>800</v>
      </c>
      <c r="B198" s="58">
        <v>850</v>
      </c>
      <c r="C198" s="94">
        <v>492954</v>
      </c>
      <c r="D198" s="94">
        <v>40648067315</v>
      </c>
      <c r="E198" s="59">
        <v>2.0332826216400066E-2</v>
      </c>
      <c r="F198" s="93">
        <v>824.58134663680585</v>
      </c>
      <c r="G198" s="100"/>
      <c r="H198" s="61" t="str">
        <f t="shared" si="2"/>
        <v>(800, 850]</v>
      </c>
      <c r="I198" s="62">
        <v>8.5737499999999998E-3</v>
      </c>
      <c r="J198" s="59">
        <v>1.7432856877286007E-4</v>
      </c>
      <c r="K198" s="59">
        <v>1.7411874022963382E-4</v>
      </c>
      <c r="L198" s="119">
        <v>174118</v>
      </c>
      <c r="M198" s="59">
        <v>1.7411800348236006E-4</v>
      </c>
      <c r="N198" s="59">
        <v>0.14357445778519651</v>
      </c>
      <c r="O198" s="121">
        <v>8.1450624999999995E-3</v>
      </c>
      <c r="P198" s="59">
        <v>1.7411800348236006E-4</v>
      </c>
      <c r="Q198" s="59">
        <v>2.2273800423202209E-4</v>
      </c>
      <c r="R198" s="59">
        <v>0</v>
      </c>
      <c r="S198" s="83">
        <v>1.28</v>
      </c>
      <c r="T198" s="104"/>
      <c r="U198" s="62"/>
      <c r="V198" s="62"/>
    </row>
    <row r="199" spans="1:22" x14ac:dyDescent="0.3">
      <c r="A199" s="58">
        <v>850</v>
      </c>
      <c r="B199" s="58">
        <v>900</v>
      </c>
      <c r="C199" s="94">
        <v>441091</v>
      </c>
      <c r="D199" s="94">
        <v>38575183265</v>
      </c>
      <c r="E199" s="59">
        <v>1.8193638044560183E-2</v>
      </c>
      <c r="F199" s="93">
        <v>874.54024827076501</v>
      </c>
      <c r="G199" s="100"/>
      <c r="H199" s="61" t="str">
        <f t="shared" si="2"/>
        <v>(850, 900]</v>
      </c>
      <c r="I199" s="62">
        <v>8.5737499999999998E-3</v>
      </c>
      <c r="J199" s="59">
        <v>1.5598770418454787E-4</v>
      </c>
      <c r="K199" s="59">
        <v>1.5579995140850748E-4</v>
      </c>
      <c r="L199" s="84">
        <v>155799</v>
      </c>
      <c r="M199" s="59">
        <v>1.5579900311598005E-4</v>
      </c>
      <c r="N199" s="59">
        <v>0.13625249886538687</v>
      </c>
      <c r="O199" s="121">
        <v>8.1450624999999995E-3</v>
      </c>
      <c r="P199" s="59">
        <v>1.5579900311598005E-4</v>
      </c>
      <c r="Q199" s="59">
        <v>1.9870900377547108E-4</v>
      </c>
      <c r="R199" s="59">
        <v>0</v>
      </c>
      <c r="S199" s="83">
        <v>1.28</v>
      </c>
      <c r="T199" s="104"/>
      <c r="U199" s="62"/>
      <c r="V199" s="62"/>
    </row>
    <row r="200" spans="1:22" x14ac:dyDescent="0.3">
      <c r="A200" s="58">
        <v>900</v>
      </c>
      <c r="B200" s="58">
        <v>950</v>
      </c>
      <c r="C200" s="94">
        <v>399506</v>
      </c>
      <c r="D200" s="94">
        <v>36936988840</v>
      </c>
      <c r="E200" s="59">
        <v>1.6478385549988692E-2</v>
      </c>
      <c r="F200" s="93">
        <v>924.56656070246754</v>
      </c>
      <c r="G200" s="100"/>
      <c r="H200" s="61" t="str">
        <f t="shared" si="2"/>
        <v>(900, 950]</v>
      </c>
      <c r="I200" s="62">
        <v>8.5737499999999998E-3</v>
      </c>
      <c r="J200" s="59">
        <v>1.4128155810921555E-4</v>
      </c>
      <c r="K200" s="59">
        <v>1.4111150621392684E-4</v>
      </c>
      <c r="L200" s="84">
        <v>141111</v>
      </c>
      <c r="M200" s="59">
        <v>1.4111100282222005E-4</v>
      </c>
      <c r="N200" s="59">
        <v>0.13046651455661618</v>
      </c>
      <c r="O200" s="121">
        <v>8.1450624999999995E-3</v>
      </c>
      <c r="P200" s="59">
        <v>1.4111100282222005E-4</v>
      </c>
      <c r="Q200" s="59">
        <v>1.7861200339362807E-4</v>
      </c>
      <c r="R200" s="59">
        <v>0</v>
      </c>
      <c r="S200" s="83">
        <v>1.27</v>
      </c>
      <c r="T200" s="104"/>
      <c r="U200" s="62"/>
      <c r="V200" s="62"/>
    </row>
    <row r="201" spans="1:22" x14ac:dyDescent="0.3">
      <c r="A201" s="58">
        <v>950</v>
      </c>
      <c r="B201" s="58">
        <v>1000</v>
      </c>
      <c r="C201" s="94">
        <v>356719</v>
      </c>
      <c r="D201" s="94">
        <v>34764671785</v>
      </c>
      <c r="E201" s="59">
        <v>1.4713554277048194E-2</v>
      </c>
      <c r="F201" s="93">
        <v>974.56742660189104</v>
      </c>
      <c r="G201" s="100"/>
      <c r="H201" s="61" t="str">
        <f t="shared" si="2"/>
        <v>(950, 1000]</v>
      </c>
      <c r="I201" s="62">
        <v>8.5737499999999998E-3</v>
      </c>
      <c r="J201" s="59">
        <v>1.2615033598284195E-4</v>
      </c>
      <c r="K201" s="59">
        <v>1.2599849660612297E-4</v>
      </c>
      <c r="L201" s="84">
        <v>125998</v>
      </c>
      <c r="M201" s="59">
        <v>1.2599800251996004E-4</v>
      </c>
      <c r="N201" s="59">
        <v>0.12279354907285604</v>
      </c>
      <c r="O201" s="121">
        <v>8.1450624999999995E-3</v>
      </c>
      <c r="P201" s="59">
        <v>1.2599800251996004E-4</v>
      </c>
      <c r="Q201" s="59">
        <v>1.6114400306173606E-4</v>
      </c>
      <c r="R201" s="59">
        <v>0</v>
      </c>
      <c r="S201" s="83">
        <v>1.28</v>
      </c>
      <c r="T201" s="104"/>
      <c r="U201" s="62"/>
      <c r="V201" s="62"/>
    </row>
    <row r="202" spans="1:22" x14ac:dyDescent="0.3">
      <c r="A202" s="58">
        <v>1000</v>
      </c>
      <c r="B202" s="58">
        <v>2000</v>
      </c>
      <c r="C202" s="94">
        <v>2999685</v>
      </c>
      <c r="D202" s="94">
        <v>406397759590</v>
      </c>
      <c r="E202" s="59">
        <v>0.12372771862880112</v>
      </c>
      <c r="F202" s="93">
        <v>1354.8014527858759</v>
      </c>
      <c r="G202" s="100"/>
      <c r="H202" s="61" t="str">
        <f t="shared" si="2"/>
        <v>(1000, 2000]</v>
      </c>
      <c r="I202" s="62">
        <v>0.01</v>
      </c>
      <c r="J202" s="59">
        <v>1.2372771862880112E-3</v>
      </c>
      <c r="K202" s="59">
        <v>1.2357879520713054E-3</v>
      </c>
      <c r="L202" s="84">
        <v>1235787</v>
      </c>
      <c r="M202" s="59">
        <v>1.2357870247157404E-3</v>
      </c>
      <c r="N202" s="59">
        <v>1.6742460564188202</v>
      </c>
      <c r="O202" s="121">
        <v>9.4999999999999998E-3</v>
      </c>
      <c r="P202" s="59">
        <v>1.2357870247157404E-3</v>
      </c>
      <c r="Q202" s="59">
        <v>1.3224600251267405E-4</v>
      </c>
      <c r="R202" s="59">
        <v>0</v>
      </c>
      <c r="S202" s="83">
        <v>0.11</v>
      </c>
      <c r="T202" s="104"/>
      <c r="U202" s="62"/>
      <c r="V202" s="62"/>
    </row>
    <row r="203" spans="1:22" x14ac:dyDescent="0.3">
      <c r="A203" s="58">
        <v>2000</v>
      </c>
      <c r="B203" s="58">
        <v>3000</v>
      </c>
      <c r="C203" s="94">
        <v>595737</v>
      </c>
      <c r="D203" s="94">
        <v>142464984050</v>
      </c>
      <c r="E203" s="59">
        <v>2.4572306729795327E-2</v>
      </c>
      <c r="F203" s="93">
        <v>2391.4073500554778</v>
      </c>
      <c r="H203" s="61" t="str">
        <f t="shared" si="2"/>
        <v>(2000, 3000]</v>
      </c>
      <c r="I203" s="62">
        <v>2E-3</v>
      </c>
      <c r="J203" s="59">
        <v>4.9144613459590657E-5</v>
      </c>
      <c r="K203" s="59">
        <v>4.9085461120291184E-5</v>
      </c>
      <c r="L203" s="84">
        <v>49085</v>
      </c>
      <c r="M203" s="59">
        <v>4.908500098170002E-5</v>
      </c>
      <c r="N203" s="59">
        <v>0.11738223212511777</v>
      </c>
      <c r="O203" s="121">
        <v>1.9E-3</v>
      </c>
      <c r="P203" s="59">
        <v>4.908500098170002E-5</v>
      </c>
      <c r="Q203" s="59">
        <v>4.2247200802696816E-4</v>
      </c>
      <c r="R203" s="59">
        <v>0</v>
      </c>
      <c r="S203" s="83">
        <v>8.61</v>
      </c>
      <c r="U203" s="62"/>
      <c r="V203" s="62"/>
    </row>
    <row r="204" spans="1:22" x14ac:dyDescent="0.3">
      <c r="A204" s="58">
        <v>3000</v>
      </c>
      <c r="B204" s="58">
        <v>4000</v>
      </c>
      <c r="C204" s="94">
        <v>177648</v>
      </c>
      <c r="D204" s="94">
        <v>60640513725</v>
      </c>
      <c r="E204" s="59">
        <v>7.3274299664695666E-3</v>
      </c>
      <c r="F204" s="93">
        <v>3413.5207671912999</v>
      </c>
      <c r="H204" s="61" t="str">
        <f t="shared" si="2"/>
        <v>(3000, 4000]</v>
      </c>
      <c r="I204" s="62">
        <v>2E-3</v>
      </c>
      <c r="J204" s="59">
        <v>1.4654859932939134E-5</v>
      </c>
      <c r="K204" s="59">
        <v>1.4637220782153011E-5</v>
      </c>
      <c r="L204" s="84">
        <v>14637</v>
      </c>
      <c r="M204" s="59">
        <v>1.4637000292740007E-5</v>
      </c>
      <c r="N204" s="59">
        <v>4.9963704468653149E-2</v>
      </c>
      <c r="O204" s="121">
        <v>1.9E-3</v>
      </c>
      <c r="P204" s="59">
        <v>1.4637000292740007E-5</v>
      </c>
      <c r="Q204" s="59">
        <v>5.658700107515302E-5</v>
      </c>
      <c r="R204" s="59">
        <v>0</v>
      </c>
      <c r="S204" s="83">
        <v>3.87</v>
      </c>
      <c r="U204" s="62"/>
      <c r="V204" s="62"/>
    </row>
    <row r="205" spans="1:22" x14ac:dyDescent="0.3">
      <c r="A205" s="58">
        <v>4000</v>
      </c>
      <c r="B205" s="58">
        <v>5000</v>
      </c>
      <c r="C205" s="94">
        <v>66837</v>
      </c>
      <c r="D205" s="94">
        <v>29592462645</v>
      </c>
      <c r="E205" s="59">
        <v>2.7568193093585429E-3</v>
      </c>
      <c r="F205" s="93">
        <v>4427.5569886440144</v>
      </c>
      <c r="H205" s="61" t="str">
        <f t="shared" si="2"/>
        <v>(4000, 5000]</v>
      </c>
      <c r="I205" s="62">
        <v>5.0000000000000001E-3</v>
      </c>
      <c r="J205" s="59">
        <v>1.3784096546792715E-5</v>
      </c>
      <c r="K205" s="59">
        <v>1.3767505480173725E-5</v>
      </c>
      <c r="L205" s="84">
        <v>13767</v>
      </c>
      <c r="M205" s="59">
        <v>1.3767000275340005E-5</v>
      </c>
      <c r="N205" s="59">
        <v>6.0954178281745708E-2</v>
      </c>
      <c r="O205" s="121">
        <v>4.7499999999999999E-3</v>
      </c>
      <c r="P205" s="59">
        <v>1.3767000275340005E-5</v>
      </c>
      <c r="Q205" s="59">
        <v>2.889700054904301E-5</v>
      </c>
      <c r="R205" s="59">
        <v>0</v>
      </c>
      <c r="S205" s="83">
        <v>2.1</v>
      </c>
      <c r="U205" s="62"/>
      <c r="V205" s="62"/>
    </row>
    <row r="206" spans="1:22" x14ac:dyDescent="0.3">
      <c r="A206" s="58">
        <v>5000</v>
      </c>
      <c r="B206" s="58">
        <v>6000</v>
      </c>
      <c r="C206" s="94">
        <v>28892</v>
      </c>
      <c r="D206" s="94">
        <v>15701862375</v>
      </c>
      <c r="E206" s="59">
        <v>1.1917055446232928E-3</v>
      </c>
      <c r="F206" s="93">
        <v>5434.6747802159771</v>
      </c>
      <c r="H206" s="61" t="str">
        <f t="shared" si="2"/>
        <v>(5000, 6000]</v>
      </c>
      <c r="I206" s="62">
        <v>0.01</v>
      </c>
      <c r="J206" s="59">
        <v>1.1917055446232928E-5</v>
      </c>
      <c r="K206" s="59">
        <v>1.1902711621801674E-5</v>
      </c>
      <c r="L206" s="84">
        <v>11902</v>
      </c>
      <c r="M206" s="59">
        <v>1.1902000238040004E-5</v>
      </c>
      <c r="N206" s="59">
        <v>6.4683500527800572E-2</v>
      </c>
      <c r="O206" s="121">
        <v>9.4999999999999998E-3</v>
      </c>
      <c r="P206" s="59">
        <v>1.1902000238040004E-5</v>
      </c>
      <c r="Q206" s="59">
        <v>1.2098000229862004E-5</v>
      </c>
      <c r="R206" s="59">
        <v>0</v>
      </c>
      <c r="S206" s="83">
        <v>1.02</v>
      </c>
      <c r="U206" s="62"/>
      <c r="V206" s="62"/>
    </row>
    <row r="207" spans="1:22" x14ac:dyDescent="0.3">
      <c r="A207" s="58">
        <v>6000</v>
      </c>
      <c r="B207" s="58">
        <v>7000</v>
      </c>
      <c r="C207" s="94">
        <v>13577</v>
      </c>
      <c r="D207" s="94">
        <v>8749700330</v>
      </c>
      <c r="E207" s="59">
        <v>5.6000921290843306E-4</v>
      </c>
      <c r="F207" s="93">
        <v>6444.5019739264935</v>
      </c>
      <c r="H207" s="61" t="str">
        <f t="shared" si="2"/>
        <v>(6000, 7000]</v>
      </c>
      <c r="I207" s="62">
        <v>0</v>
      </c>
      <c r="J207" s="59">
        <v>0</v>
      </c>
      <c r="K207" s="59">
        <v>0</v>
      </c>
      <c r="L207" s="84">
        <v>0</v>
      </c>
      <c r="M207" s="59">
        <v>0</v>
      </c>
      <c r="N207" s="59">
        <v>0</v>
      </c>
      <c r="O207" s="121">
        <v>0</v>
      </c>
      <c r="P207" s="59">
        <v>0</v>
      </c>
      <c r="Q207" s="59">
        <v>0</v>
      </c>
      <c r="R207" s="59">
        <v>0</v>
      </c>
      <c r="S207" s="83">
        <v>0</v>
      </c>
      <c r="U207" s="62"/>
      <c r="V207" s="62"/>
    </row>
    <row r="208" spans="1:22" x14ac:dyDescent="0.3">
      <c r="A208" s="58">
        <v>7000</v>
      </c>
      <c r="B208" s="58">
        <v>8000</v>
      </c>
      <c r="C208" s="94">
        <v>6880</v>
      </c>
      <c r="D208" s="94">
        <v>5125139240</v>
      </c>
      <c r="E208" s="59">
        <v>2.8377869815202322E-4</v>
      </c>
      <c r="F208" s="93">
        <v>7449.3302906976742</v>
      </c>
      <c r="H208" s="61" t="str">
        <f t="shared" si="2"/>
        <v>(7000, 8000]</v>
      </c>
      <c r="I208" s="62">
        <v>0</v>
      </c>
      <c r="J208" s="59">
        <v>0</v>
      </c>
      <c r="K208" s="59">
        <v>0</v>
      </c>
      <c r="L208" s="84">
        <v>0</v>
      </c>
      <c r="M208" s="59">
        <v>0</v>
      </c>
      <c r="N208" s="59">
        <v>0</v>
      </c>
      <c r="O208" s="121">
        <v>0</v>
      </c>
      <c r="P208" s="59">
        <v>0</v>
      </c>
      <c r="Q208" s="59">
        <v>0</v>
      </c>
      <c r="R208" s="59">
        <v>0</v>
      </c>
      <c r="S208" s="83">
        <v>0</v>
      </c>
      <c r="U208" s="62"/>
      <c r="V208" s="62"/>
    </row>
    <row r="209" spans="1:22" x14ac:dyDescent="0.3">
      <c r="A209" s="58">
        <v>8000</v>
      </c>
      <c r="B209" s="58">
        <v>9000</v>
      </c>
      <c r="C209" s="94">
        <v>3778</v>
      </c>
      <c r="D209" s="94">
        <v>3193580725</v>
      </c>
      <c r="E209" s="59">
        <v>1.5583080256080577E-4</v>
      </c>
      <c r="F209" s="93">
        <v>8453.098795659078</v>
      </c>
      <c r="H209" s="61" t="str">
        <f t="shared" si="2"/>
        <v>(8000, 9000]</v>
      </c>
      <c r="I209" s="62">
        <v>0</v>
      </c>
      <c r="J209" s="59">
        <v>0</v>
      </c>
      <c r="K209" s="59">
        <v>0</v>
      </c>
      <c r="L209" s="84">
        <v>0</v>
      </c>
      <c r="M209" s="59">
        <v>0</v>
      </c>
      <c r="N209" s="59">
        <v>0</v>
      </c>
      <c r="O209" s="121">
        <v>0</v>
      </c>
      <c r="P209" s="59">
        <v>0</v>
      </c>
      <c r="Q209" s="59">
        <v>0</v>
      </c>
      <c r="R209" s="59">
        <v>0</v>
      </c>
      <c r="S209" s="83">
        <v>0</v>
      </c>
      <c r="U209" s="62"/>
      <c r="V209" s="62"/>
    </row>
    <row r="210" spans="1:22" x14ac:dyDescent="0.3">
      <c r="A210" s="58">
        <v>9000</v>
      </c>
      <c r="B210" s="58">
        <v>10000</v>
      </c>
      <c r="C210" s="94">
        <v>1978</v>
      </c>
      <c r="D210" s="94">
        <v>1870426090</v>
      </c>
      <c r="E210" s="59">
        <v>8.1586375718706677E-5</v>
      </c>
      <c r="F210" s="93">
        <v>9456.1480788675435</v>
      </c>
      <c r="H210" s="61" t="str">
        <f t="shared" si="2"/>
        <v>(9000, 10000]</v>
      </c>
      <c r="I210" s="62">
        <v>0</v>
      </c>
      <c r="J210" s="59">
        <v>0</v>
      </c>
      <c r="K210" s="59">
        <v>0</v>
      </c>
      <c r="L210" s="84">
        <v>0</v>
      </c>
      <c r="M210" s="59">
        <v>0</v>
      </c>
      <c r="N210" s="59">
        <v>0</v>
      </c>
      <c r="O210" s="121">
        <v>0</v>
      </c>
      <c r="P210" s="59">
        <v>0</v>
      </c>
      <c r="Q210" s="59">
        <v>0</v>
      </c>
      <c r="R210" s="59">
        <v>0</v>
      </c>
      <c r="S210" s="83">
        <v>0</v>
      </c>
      <c r="U210" s="62"/>
      <c r="V210" s="62"/>
    </row>
    <row r="211" spans="1:22" x14ac:dyDescent="0.3">
      <c r="A211" s="58">
        <v>10000</v>
      </c>
      <c r="B211" s="58">
        <v>20000</v>
      </c>
      <c r="C211" s="94">
        <v>3173</v>
      </c>
      <c r="D211" s="94">
        <v>3851525625</v>
      </c>
      <c r="E211" s="59">
        <v>1.3087642576110024E-4</v>
      </c>
      <c r="F211" s="93">
        <v>12138.435628742514</v>
      </c>
      <c r="H211" s="61" t="str">
        <f t="shared" si="2"/>
        <v>(10000, 20000]</v>
      </c>
      <c r="I211" s="62">
        <v>0</v>
      </c>
      <c r="J211" s="59">
        <v>0</v>
      </c>
      <c r="K211" s="59">
        <v>0</v>
      </c>
      <c r="L211" s="84">
        <v>0</v>
      </c>
      <c r="M211" s="59">
        <v>0</v>
      </c>
      <c r="N211" s="59">
        <v>0</v>
      </c>
      <c r="O211" s="121">
        <v>0</v>
      </c>
      <c r="P211" s="59">
        <v>0</v>
      </c>
      <c r="Q211" s="59">
        <v>0</v>
      </c>
      <c r="R211" s="59">
        <v>0</v>
      </c>
      <c r="S211" s="83">
        <v>0</v>
      </c>
      <c r="U211" s="62"/>
      <c r="V211" s="62"/>
    </row>
    <row r="212" spans="1:22" x14ac:dyDescent="0.3">
      <c r="A212" s="58">
        <v>20000</v>
      </c>
      <c r="B212" s="58">
        <v>30000</v>
      </c>
      <c r="C212" s="94">
        <v>61</v>
      </c>
      <c r="D212" s="94">
        <v>138833730</v>
      </c>
      <c r="E212" s="59">
        <v>2.5160611318711362E-6</v>
      </c>
      <c r="F212" s="93">
        <v>22759.627868852458</v>
      </c>
      <c r="H212" s="61" t="str">
        <f t="shared" si="2"/>
        <v>(20000, 30000]</v>
      </c>
      <c r="I212" s="62">
        <v>0</v>
      </c>
      <c r="J212" s="59">
        <v>0</v>
      </c>
      <c r="K212" s="59">
        <v>0</v>
      </c>
      <c r="L212" s="84">
        <v>0</v>
      </c>
      <c r="M212" s="59">
        <v>0</v>
      </c>
      <c r="N212" s="59">
        <v>0</v>
      </c>
      <c r="O212" s="121">
        <v>0</v>
      </c>
      <c r="P212" s="59">
        <v>0</v>
      </c>
      <c r="Q212" s="59">
        <v>0</v>
      </c>
      <c r="R212" s="59">
        <v>0</v>
      </c>
      <c r="S212" s="83">
        <v>0</v>
      </c>
      <c r="U212" s="62"/>
      <c r="V212" s="62"/>
    </row>
    <row r="213" spans="1:22" x14ac:dyDescent="0.3">
      <c r="A213" s="58">
        <v>30000</v>
      </c>
      <c r="B213" s="58">
        <v>40000</v>
      </c>
      <c r="C213" s="94">
        <v>4</v>
      </c>
      <c r="D213" s="94">
        <v>13229525</v>
      </c>
      <c r="E213" s="59">
        <v>1.6498761520466465E-7</v>
      </c>
      <c r="F213" s="93">
        <v>33073.8125</v>
      </c>
      <c r="H213" s="61" t="str">
        <f t="shared" si="2"/>
        <v>(30000, 40000]</v>
      </c>
      <c r="I213" s="62">
        <v>0</v>
      </c>
      <c r="J213" s="59">
        <v>0</v>
      </c>
      <c r="K213" s="59">
        <v>0</v>
      </c>
      <c r="L213" s="84">
        <v>0</v>
      </c>
      <c r="M213" s="59">
        <v>0</v>
      </c>
      <c r="N213" s="59">
        <v>0</v>
      </c>
      <c r="O213" s="121">
        <v>0</v>
      </c>
      <c r="P213" s="59">
        <v>0</v>
      </c>
      <c r="Q213" s="59">
        <v>0</v>
      </c>
      <c r="R213" s="59">
        <v>0</v>
      </c>
      <c r="S213" s="83">
        <v>0</v>
      </c>
      <c r="U213" s="62"/>
      <c r="V213" s="62"/>
    </row>
    <row r="214" spans="1:22" x14ac:dyDescent="0.3">
      <c r="A214" s="58">
        <v>40000</v>
      </c>
      <c r="B214" s="58">
        <v>50000</v>
      </c>
      <c r="C214" s="94">
        <v>0</v>
      </c>
      <c r="D214" s="94">
        <v>0</v>
      </c>
      <c r="E214" s="59">
        <v>0</v>
      </c>
      <c r="F214" s="93">
        <v>0</v>
      </c>
      <c r="H214" s="61" t="str">
        <f t="shared" si="2"/>
        <v>(40000, 50000]</v>
      </c>
      <c r="I214" s="62">
        <v>0</v>
      </c>
      <c r="J214" s="59">
        <v>0</v>
      </c>
      <c r="K214" s="59">
        <v>0</v>
      </c>
      <c r="L214" s="84">
        <v>0</v>
      </c>
      <c r="M214" s="59">
        <v>0</v>
      </c>
      <c r="N214" s="59">
        <v>0</v>
      </c>
      <c r="O214" s="121">
        <v>0</v>
      </c>
      <c r="P214" s="59">
        <v>0</v>
      </c>
      <c r="Q214" s="59">
        <v>0</v>
      </c>
      <c r="R214" s="59">
        <v>0</v>
      </c>
      <c r="S214" s="83">
        <v>0</v>
      </c>
      <c r="U214" s="62"/>
      <c r="V214" s="62"/>
    </row>
    <row r="215" spans="1:22" x14ac:dyDescent="0.3">
      <c r="A215" s="58">
        <v>50000</v>
      </c>
      <c r="B215" s="58">
        <v>60000</v>
      </c>
      <c r="C215" s="94">
        <v>0</v>
      </c>
      <c r="D215" s="94">
        <v>0</v>
      </c>
      <c r="E215" s="59">
        <v>0</v>
      </c>
      <c r="F215" s="93">
        <v>0</v>
      </c>
      <c r="H215" s="61" t="str">
        <f t="shared" si="2"/>
        <v>(50000, 60000]</v>
      </c>
      <c r="I215" s="62">
        <v>0</v>
      </c>
      <c r="J215" s="59">
        <v>0</v>
      </c>
      <c r="K215" s="59">
        <v>0</v>
      </c>
      <c r="L215" s="84">
        <v>0</v>
      </c>
      <c r="M215" s="59">
        <v>0</v>
      </c>
      <c r="N215" s="59">
        <v>0</v>
      </c>
      <c r="O215" s="121">
        <v>0</v>
      </c>
      <c r="P215" s="59">
        <v>0</v>
      </c>
      <c r="Q215" s="59">
        <v>0</v>
      </c>
      <c r="R215" s="59">
        <v>0</v>
      </c>
      <c r="S215" s="83">
        <v>0</v>
      </c>
      <c r="U215" s="62"/>
      <c r="V215" s="62"/>
    </row>
    <row r="216" spans="1:22" x14ac:dyDescent="0.3">
      <c r="A216" s="58">
        <v>60000</v>
      </c>
      <c r="B216" s="58">
        <v>70000</v>
      </c>
      <c r="C216" s="94">
        <v>0</v>
      </c>
      <c r="D216" s="94">
        <v>0</v>
      </c>
      <c r="E216" s="59">
        <v>0</v>
      </c>
      <c r="F216" s="93">
        <v>0</v>
      </c>
      <c r="H216" s="61" t="str">
        <f t="shared" si="2"/>
        <v>(60000, 70000]</v>
      </c>
      <c r="I216" s="62">
        <v>0</v>
      </c>
      <c r="J216" s="59">
        <v>0</v>
      </c>
      <c r="K216" s="59">
        <v>0</v>
      </c>
      <c r="L216" s="84">
        <v>0</v>
      </c>
      <c r="M216" s="59">
        <v>0</v>
      </c>
      <c r="N216" s="59">
        <v>0</v>
      </c>
      <c r="O216" s="121">
        <v>0</v>
      </c>
      <c r="P216" s="59">
        <v>0</v>
      </c>
      <c r="Q216" s="59">
        <v>0</v>
      </c>
      <c r="R216" s="59">
        <v>0</v>
      </c>
      <c r="S216" s="83">
        <v>0</v>
      </c>
      <c r="U216" s="62"/>
      <c r="V216" s="62"/>
    </row>
    <row r="217" spans="1:22" x14ac:dyDescent="0.3">
      <c r="A217" s="58">
        <v>70000</v>
      </c>
      <c r="B217" s="58">
        <v>80000</v>
      </c>
      <c r="C217" s="94">
        <v>0</v>
      </c>
      <c r="D217" s="94">
        <v>0</v>
      </c>
      <c r="E217" s="59">
        <v>0</v>
      </c>
      <c r="F217" s="93">
        <v>0</v>
      </c>
      <c r="H217" s="61" t="str">
        <f t="shared" si="2"/>
        <v>(70000, 80000]</v>
      </c>
      <c r="I217" s="62">
        <v>0</v>
      </c>
      <c r="J217" s="59">
        <v>0</v>
      </c>
      <c r="K217" s="59">
        <v>0</v>
      </c>
      <c r="L217" s="84">
        <v>0</v>
      </c>
      <c r="M217" s="59">
        <v>0</v>
      </c>
      <c r="N217" s="59">
        <v>0</v>
      </c>
      <c r="O217" s="121">
        <v>0</v>
      </c>
      <c r="P217" s="59">
        <v>0</v>
      </c>
      <c r="Q217" s="59">
        <v>0</v>
      </c>
      <c r="R217" s="59">
        <v>0</v>
      </c>
      <c r="S217" s="83">
        <v>0</v>
      </c>
      <c r="U217" s="62"/>
      <c r="V217" s="62"/>
    </row>
    <row r="218" spans="1:22" x14ac:dyDescent="0.3">
      <c r="A218" s="58">
        <v>80000</v>
      </c>
      <c r="B218" s="58">
        <v>90000</v>
      </c>
      <c r="C218" s="94">
        <v>0</v>
      </c>
      <c r="D218" s="94">
        <v>0</v>
      </c>
      <c r="E218" s="59">
        <v>0</v>
      </c>
      <c r="F218" s="93">
        <v>0</v>
      </c>
      <c r="H218" s="61" t="str">
        <f t="shared" si="2"/>
        <v>(80000, 90000]</v>
      </c>
      <c r="I218" s="62">
        <v>0</v>
      </c>
      <c r="J218" s="59">
        <v>0</v>
      </c>
      <c r="K218" s="59">
        <v>0</v>
      </c>
      <c r="L218" s="84">
        <v>0</v>
      </c>
      <c r="M218" s="59">
        <v>0</v>
      </c>
      <c r="N218" s="59">
        <v>0</v>
      </c>
      <c r="O218" s="121">
        <v>0</v>
      </c>
      <c r="P218" s="59">
        <v>0</v>
      </c>
      <c r="Q218" s="59">
        <v>0</v>
      </c>
      <c r="R218" s="59">
        <v>0</v>
      </c>
      <c r="S218" s="83">
        <v>0</v>
      </c>
      <c r="U218" s="62"/>
      <c r="V218" s="62"/>
    </row>
    <row r="219" spans="1:22" x14ac:dyDescent="0.3">
      <c r="A219" s="58">
        <v>90000</v>
      </c>
      <c r="B219" s="58">
        <v>100000</v>
      </c>
      <c r="C219" s="94">
        <v>0</v>
      </c>
      <c r="D219" s="94">
        <v>0</v>
      </c>
      <c r="E219" s="59">
        <v>0</v>
      </c>
      <c r="F219" s="93">
        <v>0</v>
      </c>
      <c r="H219" s="61" t="str">
        <f t="shared" si="2"/>
        <v>(90000, 100000]</v>
      </c>
      <c r="I219" s="62">
        <v>0</v>
      </c>
      <c r="J219" s="59">
        <v>0</v>
      </c>
      <c r="K219" s="59">
        <v>0</v>
      </c>
      <c r="L219" s="84">
        <v>0</v>
      </c>
      <c r="M219" s="59">
        <v>0</v>
      </c>
      <c r="N219" s="59">
        <v>0</v>
      </c>
      <c r="O219" s="121">
        <v>0</v>
      </c>
      <c r="P219" s="59">
        <v>0</v>
      </c>
      <c r="Q219" s="59">
        <v>0</v>
      </c>
      <c r="R219" s="59">
        <v>0</v>
      </c>
      <c r="S219" s="83">
        <v>0</v>
      </c>
      <c r="U219" s="62"/>
      <c r="V219" s="62"/>
    </row>
    <row r="220" spans="1:22" x14ac:dyDescent="0.3">
      <c r="A220" s="58">
        <v>100000</v>
      </c>
      <c r="B220" s="58">
        <v>9999999</v>
      </c>
      <c r="C220" s="94">
        <v>0</v>
      </c>
      <c r="D220" s="94">
        <v>0</v>
      </c>
      <c r="E220" s="59">
        <v>0</v>
      </c>
      <c r="F220" s="93">
        <v>0</v>
      </c>
      <c r="H220" s="61" t="str">
        <f t="shared" si="2"/>
        <v>(100000, 9999999]</v>
      </c>
      <c r="I220" s="62">
        <v>0</v>
      </c>
      <c r="J220" s="59">
        <v>0</v>
      </c>
      <c r="K220" s="59">
        <v>0</v>
      </c>
      <c r="L220" s="84">
        <v>0</v>
      </c>
      <c r="M220" s="59">
        <v>0</v>
      </c>
      <c r="N220" s="59">
        <v>0</v>
      </c>
      <c r="O220" s="121">
        <v>0</v>
      </c>
      <c r="P220" s="59">
        <v>0</v>
      </c>
      <c r="Q220" s="59">
        <v>0</v>
      </c>
      <c r="R220" s="59">
        <v>0</v>
      </c>
      <c r="S220" s="83">
        <v>0</v>
      </c>
      <c r="U220" s="62"/>
      <c r="V220" s="62"/>
    </row>
  </sheetData>
  <mergeCells count="5">
    <mergeCell ref="A11:D11"/>
    <mergeCell ref="A80:B80"/>
    <mergeCell ref="A83:D83"/>
    <mergeCell ref="A79:B79"/>
    <mergeCell ref="A153:D153"/>
  </mergeCells>
  <phoneticPr fontId="20" type="noConversion"/>
  <conditionalFormatting sqref="M17:M78">
    <cfRule type="dataBar" priority="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{C3348251-F879-4FA2-855C-01FC17F26BC8}</x14:id>
        </ext>
      </extLst>
    </cfRule>
  </conditionalFormatting>
  <conditionalFormatting sqref="M87:M150">
    <cfRule type="dataBar" priority="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{B9D4AAFA-E67C-46F1-9FD3-F83CD5F16145}</x14:id>
        </ext>
      </extLst>
    </cfRule>
  </conditionalFormatting>
  <conditionalFormatting sqref="P19:P78">
    <cfRule type="dataBar" priority="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{97CA0ECF-77D9-49DF-A5FB-B15A3E3500EC}</x14:id>
        </ext>
      </extLst>
    </cfRule>
  </conditionalFormatting>
  <conditionalFormatting sqref="P89:P150">
    <cfRule type="dataBar" priority="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{A53702D9-5261-4673-80D8-2B1594BF805F}</x14:id>
        </ext>
      </extLst>
    </cfRule>
  </conditionalFormatting>
  <conditionalFormatting sqref="Q89:Q150">
    <cfRule type="dataBar" priority="1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{33A53229-D91F-4FEF-BEAB-262D4A068092}</x14:id>
        </ext>
      </extLst>
    </cfRule>
  </conditionalFormatting>
  <conditionalFormatting sqref="E15:E78">
    <cfRule type="cellIs" dxfId="156" priority="88" operator="lessThan">
      <formula>0.001</formula>
    </cfRule>
  </conditionalFormatting>
  <conditionalFormatting sqref="E87:E150">
    <cfRule type="cellIs" dxfId="155" priority="86" operator="lessThan">
      <formula>0.001</formula>
    </cfRule>
  </conditionalFormatting>
  <conditionalFormatting sqref="Q19:Q78">
    <cfRule type="dataBar" priority="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{26540530-354F-4C90-8F97-659C1BB30D5F}</x14:id>
        </ext>
      </extLst>
    </cfRule>
  </conditionalFormatting>
  <conditionalFormatting sqref="M157:M220">
    <cfRule type="dataBar" priority="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{1DD29FBC-AB46-40D3-B19B-17676D27AAD4}</x14:id>
        </ext>
      </extLst>
    </cfRule>
  </conditionalFormatting>
  <conditionalFormatting sqref="N157:N220">
    <cfRule type="dataBar" priority="6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{B3B3081D-A1DE-4432-A25A-4E80CA073958}</x14:id>
        </ext>
      </extLst>
    </cfRule>
  </conditionalFormatting>
  <conditionalFormatting sqref="P159:P220">
    <cfRule type="dataBar" priority="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{41D4FBBA-6340-4047-89B0-17AE0D66A99D}</x14:id>
        </ext>
      </extLst>
    </cfRule>
  </conditionalFormatting>
  <conditionalFormatting sqref="E157:E220">
    <cfRule type="cellIs" dxfId="154" priority="60" operator="lessThan">
      <formula>0.001</formula>
    </cfRule>
  </conditionalFormatting>
  <conditionalFormatting sqref="N15:N79">
    <cfRule type="dataBar" priority="12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{AAB533B8-3805-4237-9CEF-5CFBF42C6FDB}</x14:id>
        </ext>
      </extLst>
    </cfRule>
  </conditionalFormatting>
  <conditionalFormatting sqref="N87:N150">
    <cfRule type="dataBar" priority="13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{E2E159E4-A7FF-4391-86CD-FE1C37AD416F}</x14:id>
        </ext>
      </extLst>
    </cfRule>
  </conditionalFormatting>
  <conditionalFormatting sqref="Q159:Q220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{0EF251BC-1772-4581-A537-6A26532FCD98}</x14:id>
        </ext>
      </extLst>
    </cfRule>
  </conditionalFormatting>
  <conditionalFormatting sqref="R89:R150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{6988C533-F11A-4622-B2B0-FAB54984D6C1}</x14:id>
        </ext>
      </extLst>
    </cfRule>
  </conditionalFormatting>
  <conditionalFormatting sqref="R19:R78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{E2132AF4-DF74-4AEB-AE9A-8006FE23E115}</x14:id>
        </ext>
      </extLst>
    </cfRule>
  </conditionalFormatting>
  <conditionalFormatting sqref="R159:R220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{4C99EBAD-8894-4CAB-802F-5A48D33B3CC3}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348251-F879-4FA2-855C-01FC17F26B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M17:M78</xm:sqref>
        </x14:conditionalFormatting>
        <x14:conditionalFormatting xmlns:xm="http://schemas.microsoft.com/office/excel/2006/main">
          <x14:cfRule type="dataBar" id="{B9D4AAFA-E67C-46F1-9FD3-F83CD5F161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M87:M150</xm:sqref>
        </x14:conditionalFormatting>
        <x14:conditionalFormatting xmlns:xm="http://schemas.microsoft.com/office/excel/2006/main">
          <x14:cfRule type="dataBar" id="{97CA0ECF-77D9-49DF-A5FB-B15A3E3500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P19:P78</xm:sqref>
        </x14:conditionalFormatting>
        <x14:conditionalFormatting xmlns:xm="http://schemas.microsoft.com/office/excel/2006/main">
          <x14:cfRule type="dataBar" id="{A53702D9-5261-4673-80D8-2B1594BF80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P89:P150</xm:sqref>
        </x14:conditionalFormatting>
        <x14:conditionalFormatting xmlns:xm="http://schemas.microsoft.com/office/excel/2006/main">
          <x14:cfRule type="dataBar" id="{33A53229-D91F-4FEF-BEAB-262D4A0680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Q89:Q150</xm:sqref>
        </x14:conditionalFormatting>
        <x14:conditionalFormatting xmlns:xm="http://schemas.microsoft.com/office/excel/2006/main">
          <x14:cfRule type="dataBar" id="{26540530-354F-4C90-8F97-659C1BB30D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1DD29FBC-AB46-40D3-B19B-17676D27AA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M157:M220</xm:sqref>
        </x14:conditionalFormatting>
        <x14:conditionalFormatting xmlns:xm="http://schemas.microsoft.com/office/excel/2006/main">
          <x14:cfRule type="dataBar" id="{B3B3081D-A1DE-4432-A25A-4E80CA0739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N157:N220</xm:sqref>
        </x14:conditionalFormatting>
        <x14:conditionalFormatting xmlns:xm="http://schemas.microsoft.com/office/excel/2006/main">
          <x14:cfRule type="dataBar" id="{41D4FBBA-6340-4047-89B0-17AE0D66A9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P159:P220</xm:sqref>
        </x14:conditionalFormatting>
        <x14:conditionalFormatting xmlns:xm="http://schemas.microsoft.com/office/excel/2006/main">
          <x14:cfRule type="dataBar" id="{AAB533B8-3805-4237-9CEF-5CFBF42C6F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N15:N79</xm:sqref>
        </x14:conditionalFormatting>
        <x14:conditionalFormatting xmlns:xm="http://schemas.microsoft.com/office/excel/2006/main">
          <x14:cfRule type="dataBar" id="{E2E159E4-A7FF-4391-86CD-FE1C37AD41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N87:N150</xm:sqref>
        </x14:conditionalFormatting>
        <x14:conditionalFormatting xmlns:xm="http://schemas.microsoft.com/office/excel/2006/main">
          <x14:cfRule type="dataBar" id="{0EF251BC-1772-4581-A537-6A26532FCD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Q159:Q220</xm:sqref>
        </x14:conditionalFormatting>
        <x14:conditionalFormatting xmlns:xm="http://schemas.microsoft.com/office/excel/2006/main">
          <x14:cfRule type="dataBar" id="{6988C533-F11A-4622-B2B0-FAB54984D6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R89:R150</xm:sqref>
        </x14:conditionalFormatting>
        <x14:conditionalFormatting xmlns:xm="http://schemas.microsoft.com/office/excel/2006/main">
          <x14:cfRule type="dataBar" id="{E2132AF4-DF74-4AEB-AE9A-8006FE23E1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4C99EBAD-8894-4CAB-802F-5A48D33B3C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R159:R220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F901-4ED7-43DA-8315-41747EC0A692}">
  <sheetPr codeName="工作表11"/>
  <dimension ref="B3:E55"/>
  <sheetViews>
    <sheetView workbookViewId="0">
      <selection activeCell="H16" sqref="H16"/>
    </sheetView>
  </sheetViews>
  <sheetFormatPr defaultRowHeight="15.6" x14ac:dyDescent="0.3"/>
  <cols>
    <col min="1" max="1" width="8.88671875" style="24"/>
    <col min="2" max="2" width="20.33203125" style="17" customWidth="1"/>
    <col min="3" max="3" width="24.109375" style="24" bestFit="1" customWidth="1"/>
    <col min="4" max="5" width="20.5546875" style="24" customWidth="1"/>
    <col min="6" max="9" width="16.5546875" style="24" customWidth="1"/>
    <col min="10" max="10" width="8.88671875" style="24"/>
    <col min="11" max="11" width="12.44140625" style="24" bestFit="1" customWidth="1"/>
    <col min="12" max="12" width="11" style="24" bestFit="1" customWidth="1"/>
    <col min="13" max="16384" width="8.88671875" style="24"/>
  </cols>
  <sheetData>
    <row r="3" spans="2:5" x14ac:dyDescent="0.3">
      <c r="B3" s="17" t="s">
        <v>114</v>
      </c>
    </row>
    <row r="4" spans="2:5" x14ac:dyDescent="0.3">
      <c r="B4" s="97" t="s">
        <v>87</v>
      </c>
      <c r="C4" s="109"/>
      <c r="D4" s="109"/>
      <c r="E4" s="24" t="e">
        <f>SUM(D4:D5)/C4</f>
        <v>#DIV/0!</v>
      </c>
    </row>
    <row r="5" spans="2:5" x14ac:dyDescent="0.3">
      <c r="B5" s="97" t="s">
        <v>86</v>
      </c>
      <c r="C5" s="49"/>
      <c r="D5" s="109"/>
    </row>
    <row r="7" spans="2:5" x14ac:dyDescent="0.3">
      <c r="B7" s="17" t="s">
        <v>116</v>
      </c>
    </row>
    <row r="8" spans="2:5" x14ac:dyDescent="0.3">
      <c r="B8" s="97" t="s">
        <v>87</v>
      </c>
      <c r="C8" s="125"/>
      <c r="D8" s="125"/>
      <c r="E8" s="24" t="e">
        <f>SUM(D8:D9)/C8</f>
        <v>#DIV/0!</v>
      </c>
    </row>
    <row r="9" spans="2:5" x14ac:dyDescent="0.3">
      <c r="B9" s="97" t="s">
        <v>86</v>
      </c>
      <c r="C9" s="126"/>
      <c r="D9" s="125"/>
    </row>
    <row r="11" spans="2:5" x14ac:dyDescent="0.3">
      <c r="B11" s="17" t="s">
        <v>120</v>
      </c>
    </row>
    <row r="12" spans="2:5" x14ac:dyDescent="0.3">
      <c r="B12" s="97" t="s">
        <v>87</v>
      </c>
      <c r="C12" s="109">
        <v>100000000</v>
      </c>
      <c r="D12" s="109">
        <v>34373244</v>
      </c>
      <c r="E12" s="24">
        <f>SUM(D12:D13)/C12</f>
        <v>0.35639257000000002</v>
      </c>
    </row>
    <row r="13" spans="2:5" x14ac:dyDescent="0.3">
      <c r="B13" s="97" t="s">
        <v>86</v>
      </c>
      <c r="C13" s="49"/>
      <c r="D13" s="109">
        <v>1266013</v>
      </c>
    </row>
    <row r="15" spans="2:5" x14ac:dyDescent="0.3">
      <c r="B15" s="17" t="s">
        <v>118</v>
      </c>
    </row>
    <row r="16" spans="2:5" x14ac:dyDescent="0.3">
      <c r="B16" s="97" t="s">
        <v>87</v>
      </c>
      <c r="C16" s="109"/>
      <c r="D16" s="109"/>
      <c r="E16" s="24" t="e">
        <f>SUM(D16:D17)/C16</f>
        <v>#DIV/0!</v>
      </c>
    </row>
    <row r="17" spans="2:5" x14ac:dyDescent="0.3">
      <c r="B17" s="97" t="s">
        <v>86</v>
      </c>
      <c r="C17" s="49"/>
      <c r="D17" s="109"/>
    </row>
    <row r="19" spans="2:5" x14ac:dyDescent="0.3">
      <c r="B19" s="17" t="s">
        <v>122</v>
      </c>
    </row>
    <row r="20" spans="2:5" x14ac:dyDescent="0.3">
      <c r="B20" s="97" t="s">
        <v>87</v>
      </c>
      <c r="C20" s="109">
        <v>1000000000</v>
      </c>
      <c r="D20" s="109">
        <v>1000000000</v>
      </c>
      <c r="E20" s="24">
        <f>SUM(D20:D21)/C20</f>
        <v>5.4156458589999996</v>
      </c>
    </row>
    <row r="21" spans="2:5" x14ac:dyDescent="0.3">
      <c r="B21" s="97" t="s">
        <v>86</v>
      </c>
      <c r="C21" s="49"/>
      <c r="D21" s="109">
        <v>4415645859</v>
      </c>
    </row>
    <row r="23" spans="2:5" x14ac:dyDescent="0.3">
      <c r="B23" s="17" t="s">
        <v>124</v>
      </c>
    </row>
    <row r="24" spans="2:5" x14ac:dyDescent="0.3">
      <c r="B24" s="97" t="s">
        <v>87</v>
      </c>
      <c r="C24" s="109"/>
      <c r="D24" s="109"/>
      <c r="E24" s="24" t="e">
        <f>SUM(D24:D25)/C24</f>
        <v>#DIV/0!</v>
      </c>
    </row>
    <row r="25" spans="2:5" x14ac:dyDescent="0.3">
      <c r="B25" s="97" t="s">
        <v>86</v>
      </c>
      <c r="C25" s="49"/>
      <c r="D25" s="109"/>
    </row>
    <row r="28" spans="2:5" x14ac:dyDescent="0.3">
      <c r="B28" s="97" t="s">
        <v>62</v>
      </c>
      <c r="C28" s="123">
        <v>10000000000</v>
      </c>
    </row>
    <row r="30" spans="2:5" x14ac:dyDescent="0.3">
      <c r="B30" s="124" t="s">
        <v>113</v>
      </c>
      <c r="C30" s="110" t="e">
        <f>ROUND(E4*$C$28, 0)</f>
        <v>#DIV/0!</v>
      </c>
    </row>
    <row r="31" spans="2:5" x14ac:dyDescent="0.3">
      <c r="B31" s="124" t="s">
        <v>115</v>
      </c>
      <c r="C31" s="110" t="e">
        <f>ROUND(E8*$C$28, 0)</f>
        <v>#DIV/0!</v>
      </c>
    </row>
    <row r="32" spans="2:5" x14ac:dyDescent="0.3">
      <c r="B32" s="124" t="s">
        <v>119</v>
      </c>
      <c r="C32" s="110">
        <f>ROUND(E12*$C$28, 0)</f>
        <v>3563925700</v>
      </c>
    </row>
    <row r="33" spans="2:3" x14ac:dyDescent="0.3">
      <c r="B33" s="124" t="s">
        <v>117</v>
      </c>
      <c r="C33" s="110" t="e">
        <f>ROUND(E16*$C$28, 0)</f>
        <v>#DIV/0!</v>
      </c>
    </row>
    <row r="34" spans="2:3" x14ac:dyDescent="0.3">
      <c r="B34" s="124" t="s">
        <v>121</v>
      </c>
      <c r="C34" s="110">
        <f>ROUND(E20*$C$28, 0)</f>
        <v>54156458590</v>
      </c>
    </row>
    <row r="35" spans="2:3" x14ac:dyDescent="0.3">
      <c r="B35" s="124" t="s">
        <v>123</v>
      </c>
      <c r="C35" s="110" t="e">
        <f>ROUND(E24*$C$28, 0)</f>
        <v>#DIV/0!</v>
      </c>
    </row>
    <row r="38" spans="2:3" x14ac:dyDescent="0.3">
      <c r="B38" s="24"/>
    </row>
    <row r="39" spans="2:3" x14ac:dyDescent="0.3">
      <c r="B39" s="24"/>
    </row>
    <row r="40" spans="2:3" x14ac:dyDescent="0.3">
      <c r="B40" s="24"/>
    </row>
    <row r="41" spans="2:3" x14ac:dyDescent="0.3">
      <c r="B41" s="24"/>
    </row>
    <row r="42" spans="2:3" x14ac:dyDescent="0.3">
      <c r="B42" s="24"/>
    </row>
    <row r="43" spans="2:3" x14ac:dyDescent="0.3">
      <c r="B43" s="24"/>
    </row>
    <row r="44" spans="2:3" x14ac:dyDescent="0.3">
      <c r="B44" s="24"/>
    </row>
    <row r="45" spans="2:3" x14ac:dyDescent="0.3">
      <c r="B45" s="24"/>
    </row>
    <row r="46" spans="2:3" x14ac:dyDescent="0.3">
      <c r="B46" s="24"/>
    </row>
    <row r="47" spans="2:3" x14ac:dyDescent="0.3">
      <c r="B47" s="24"/>
    </row>
    <row r="48" spans="2:3" x14ac:dyDescent="0.3">
      <c r="B48" s="24"/>
    </row>
    <row r="49" spans="2:2" x14ac:dyDescent="0.3">
      <c r="B49" s="24"/>
    </row>
    <row r="50" spans="2:2" x14ac:dyDescent="0.3">
      <c r="B50" s="24"/>
    </row>
    <row r="51" spans="2:2" x14ac:dyDescent="0.3">
      <c r="B51" s="24"/>
    </row>
    <row r="52" spans="2:2" x14ac:dyDescent="0.3">
      <c r="B52" s="24"/>
    </row>
    <row r="53" spans="2:2" x14ac:dyDescent="0.3">
      <c r="B53" s="24"/>
    </row>
    <row r="54" spans="2:2" x14ac:dyDescent="0.3">
      <c r="B54" s="24"/>
    </row>
    <row r="55" spans="2:2" x14ac:dyDescent="0.3">
      <c r="B55" s="24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3A2-5961-4ECC-954E-7F0A4B3E3082}">
  <sheetPr codeName="工作表5">
    <tabColor theme="3" tint="0.59999389629810485"/>
  </sheetPr>
  <dimension ref="A1:AO305"/>
  <sheetViews>
    <sheetView workbookViewId="0">
      <selection activeCell="J36" sqref="J36"/>
    </sheetView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I1" s="5"/>
    </row>
    <row r="2" spans="1:41" ht="15.9" customHeight="1" x14ac:dyDescent="0.3">
      <c r="I2" s="15"/>
      <c r="J2" s="27" t="s">
        <v>133</v>
      </c>
      <c r="Q2" s="27" t="s">
        <v>134</v>
      </c>
      <c r="W2" s="27" t="s">
        <v>135</v>
      </c>
      <c r="AC2" s="27" t="s">
        <v>147</v>
      </c>
      <c r="AH2" s="5"/>
      <c r="AI2" s="5"/>
      <c r="AJ2" s="27" t="s">
        <v>111</v>
      </c>
      <c r="AO2" s="5"/>
    </row>
    <row r="3" spans="1:41" ht="15.9" customHeight="1" x14ac:dyDescent="0.3">
      <c r="A3" s="20" t="s">
        <v>5</v>
      </c>
      <c r="B3" s="20" t="s">
        <v>12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20" t="s">
        <v>11</v>
      </c>
      <c r="I3" s="15"/>
      <c r="J3" s="20"/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Q3" s="20" t="s">
        <v>13</v>
      </c>
      <c r="R3" s="20" t="s">
        <v>14</v>
      </c>
      <c r="S3" s="20" t="s">
        <v>15</v>
      </c>
      <c r="T3" s="20" t="s">
        <v>16</v>
      </c>
      <c r="U3" s="20" t="s">
        <v>17</v>
      </c>
      <c r="W3" s="20" t="s">
        <v>6</v>
      </c>
      <c r="X3" s="20" t="s">
        <v>14</v>
      </c>
      <c r="Y3" s="20" t="s">
        <v>15</v>
      </c>
      <c r="Z3" s="20" t="s">
        <v>16</v>
      </c>
      <c r="AA3" s="20" t="s">
        <v>17</v>
      </c>
      <c r="AO3" s="5"/>
    </row>
    <row r="4" spans="1:41" ht="15.9" customHeight="1" x14ac:dyDescent="0.3">
      <c r="A4" s="29" t="str" cm="1">
        <f t="array" ref="A4:B23">Overview!A38:B57</f>
        <v>WW</v>
      </c>
      <c r="B4" s="8" t="str">
        <v>Wild</v>
      </c>
      <c r="C4" s="99">
        <f t="shared" ref="C4:C23" si="0">COUNTIF(K:K, $A4)</f>
        <v>0</v>
      </c>
      <c r="D4" s="99">
        <f t="shared" ref="D4:D23" si="1">COUNTIF(L:L, $A4)</f>
        <v>0</v>
      </c>
      <c r="E4" s="99">
        <f t="shared" ref="E4:E23" si="2">COUNTIF(M:M, $A4)</f>
        <v>0</v>
      </c>
      <c r="F4" s="99">
        <f t="shared" ref="F4:F23" si="3">COUNTIF(N:N, $A4)</f>
        <v>0</v>
      </c>
      <c r="G4" s="99">
        <f t="shared" ref="G4:G23" si="4">COUNTIF(O:O, $A4)</f>
        <v>0</v>
      </c>
      <c r="H4" s="8" cm="1">
        <f t="array" ref="H4:H23">Overview!F38:F57</f>
        <v>0</v>
      </c>
      <c r="I4" s="87"/>
      <c r="J4" s="25" cm="1">
        <f t="array" ref="J4:J203">_xlfn.SEQUENCE(MAX(COUNTA(K:K), COUNTA(L:L), COUNTA(M:M), COUNTA(N:N), COUNTA(O:O))-1,,0)</f>
        <v>0</v>
      </c>
      <c r="K4" s="26" t="s">
        <v>19</v>
      </c>
      <c r="L4" s="26" t="s">
        <v>126</v>
      </c>
      <c r="M4" s="26" t="s">
        <v>125</v>
      </c>
      <c r="N4" s="26" t="s">
        <v>36</v>
      </c>
      <c r="O4" s="26" t="s">
        <v>37</v>
      </c>
      <c r="Q4" s="25" cm="1">
        <f t="array" ref="Q4:U304">_xlfn.LET(_xlpm.x, K4:O304, IF(_xlpm.x="", "", _xlfn.XLOOKUP(_xlpm.x, $A$4:$A$23,_xlfn.ANCHORARRAY( H4))))</f>
        <v>5</v>
      </c>
      <c r="R4" s="25">
        <v>15</v>
      </c>
      <c r="S4" s="25">
        <v>6</v>
      </c>
      <c r="T4" s="25">
        <v>10</v>
      </c>
      <c r="U4" s="25">
        <v>7</v>
      </c>
      <c r="W4" s="25">
        <v>2</v>
      </c>
      <c r="X4" s="25">
        <v>1</v>
      </c>
      <c r="Y4" s="25">
        <v>1</v>
      </c>
      <c r="Z4" s="25">
        <v>2</v>
      </c>
      <c r="AA4" s="25">
        <v>1</v>
      </c>
      <c r="AB4" s="43"/>
      <c r="AC4" s="27" t="s">
        <v>131</v>
      </c>
      <c r="AH4" s="5"/>
      <c r="AI4" s="5"/>
      <c r="AJ4" s="27" t="s">
        <v>131</v>
      </c>
      <c r="AO4" s="5"/>
    </row>
    <row r="5" spans="1:41" ht="15.9" customHeight="1" x14ac:dyDescent="0.3">
      <c r="A5" s="29" t="str">
        <v>C1</v>
      </c>
      <c r="B5" s="8" t="str">
        <v>Scatter</v>
      </c>
      <c r="C5" s="99">
        <f t="shared" si="0"/>
        <v>0</v>
      </c>
      <c r="D5" s="99">
        <f t="shared" si="1"/>
        <v>6</v>
      </c>
      <c r="E5" s="99">
        <f t="shared" si="2"/>
        <v>0</v>
      </c>
      <c r="F5" s="99">
        <f t="shared" si="3"/>
        <v>9</v>
      </c>
      <c r="G5" s="99">
        <f t="shared" si="4"/>
        <v>0</v>
      </c>
      <c r="H5" s="8">
        <v>1</v>
      </c>
      <c r="I5" s="87"/>
      <c r="J5" s="9">
        <v>1</v>
      </c>
      <c r="K5" s="16" t="s">
        <v>125</v>
      </c>
      <c r="L5" s="16" t="s">
        <v>112</v>
      </c>
      <c r="M5" s="16" t="s">
        <v>19</v>
      </c>
      <c r="N5" s="16" t="s">
        <v>36</v>
      </c>
      <c r="O5" s="16" t="s">
        <v>18</v>
      </c>
      <c r="Q5" s="9">
        <v>6</v>
      </c>
      <c r="R5" s="9">
        <v>17</v>
      </c>
      <c r="S5" s="9">
        <v>5</v>
      </c>
      <c r="T5" s="9">
        <v>10</v>
      </c>
      <c r="U5" s="9">
        <v>4</v>
      </c>
      <c r="W5" s="25">
        <v>1</v>
      </c>
      <c r="X5" s="25">
        <v>1</v>
      </c>
      <c r="Y5" s="25">
        <v>1</v>
      </c>
      <c r="Z5" s="25">
        <v>2</v>
      </c>
      <c r="AA5" s="25">
        <v>2</v>
      </c>
      <c r="AC5" s="135" t="s">
        <v>42</v>
      </c>
      <c r="AD5" s="135" t="s">
        <v>13</v>
      </c>
      <c r="AE5" s="135" t="s">
        <v>14</v>
      </c>
      <c r="AF5" s="135" t="s">
        <v>15</v>
      </c>
      <c r="AG5" s="135" t="s">
        <v>16</v>
      </c>
      <c r="AH5" s="135" t="s">
        <v>17</v>
      </c>
      <c r="AI5" s="5"/>
      <c r="AJ5" s="135" t="s">
        <v>42</v>
      </c>
      <c r="AK5" s="135" t="s">
        <v>13</v>
      </c>
      <c r="AL5" s="135" t="s">
        <v>14</v>
      </c>
      <c r="AM5" s="135" t="s">
        <v>15</v>
      </c>
      <c r="AN5" s="135" t="s">
        <v>16</v>
      </c>
      <c r="AO5" s="135" t="s">
        <v>17</v>
      </c>
    </row>
    <row r="6" spans="1:41" ht="15.9" customHeight="1" x14ac:dyDescent="0.3">
      <c r="A6" s="133" t="str">
        <v>M1</v>
      </c>
      <c r="B6" s="112" t="str">
        <v>M1</v>
      </c>
      <c r="C6" s="133">
        <f t="shared" si="0"/>
        <v>4</v>
      </c>
      <c r="D6" s="133">
        <f t="shared" si="1"/>
        <v>22</v>
      </c>
      <c r="E6" s="133">
        <f t="shared" si="2"/>
        <v>5</v>
      </c>
      <c r="F6" s="133">
        <f t="shared" si="3"/>
        <v>21</v>
      </c>
      <c r="G6" s="133">
        <f t="shared" si="4"/>
        <v>23</v>
      </c>
      <c r="H6" s="112">
        <v>2</v>
      </c>
      <c r="I6" s="87"/>
      <c r="J6" s="25">
        <v>2</v>
      </c>
      <c r="K6" s="16" t="s">
        <v>36</v>
      </c>
      <c r="L6" s="16" t="s">
        <v>20</v>
      </c>
      <c r="M6" s="16" t="s">
        <v>35</v>
      </c>
      <c r="N6" s="16" t="s">
        <v>97</v>
      </c>
      <c r="O6" s="16" t="s">
        <v>21</v>
      </c>
      <c r="Q6" s="9">
        <v>10</v>
      </c>
      <c r="R6" s="9">
        <v>1</v>
      </c>
      <c r="S6" s="9">
        <v>8</v>
      </c>
      <c r="T6" s="9">
        <v>19</v>
      </c>
      <c r="U6" s="9">
        <v>2</v>
      </c>
      <c r="W6" s="25">
        <v>1</v>
      </c>
      <c r="X6" s="25">
        <v>2</v>
      </c>
      <c r="Y6" s="25">
        <v>1</v>
      </c>
      <c r="Z6" s="25">
        <v>2</v>
      </c>
      <c r="AA6" s="25">
        <v>1</v>
      </c>
      <c r="AC6" s="138" t="str" cm="1">
        <f t="array" ref="AC6:AC25">$A$4:$A$23</f>
        <v>WW</v>
      </c>
      <c r="AD6" s="139">
        <v>0</v>
      </c>
      <c r="AE6" s="139">
        <v>0</v>
      </c>
      <c r="AF6" s="139">
        <v>0</v>
      </c>
      <c r="AG6" s="139">
        <v>0</v>
      </c>
      <c r="AH6" s="139">
        <v>0</v>
      </c>
      <c r="AI6" s="5"/>
      <c r="AJ6" s="138" t="str" cm="1">
        <f t="array" ref="AJ6:AJ25">$A$4:$A$23</f>
        <v>WW</v>
      </c>
      <c r="AK6" s="139">
        <v>0</v>
      </c>
      <c r="AL6" s="139">
        <v>0</v>
      </c>
      <c r="AM6" s="139">
        <v>0</v>
      </c>
      <c r="AN6" s="139">
        <v>0</v>
      </c>
      <c r="AO6" s="139">
        <v>0</v>
      </c>
    </row>
    <row r="7" spans="1:41" ht="15.9" customHeight="1" x14ac:dyDescent="0.3">
      <c r="A7" s="133" t="str">
        <v>M2</v>
      </c>
      <c r="B7" s="112" t="str">
        <v>M2</v>
      </c>
      <c r="C7" s="133">
        <f t="shared" si="0"/>
        <v>4</v>
      </c>
      <c r="D7" s="133">
        <f t="shared" si="1"/>
        <v>10</v>
      </c>
      <c r="E7" s="133">
        <f t="shared" si="2"/>
        <v>5</v>
      </c>
      <c r="F7" s="133">
        <f t="shared" si="3"/>
        <v>21</v>
      </c>
      <c r="G7" s="133">
        <f t="shared" si="4"/>
        <v>23</v>
      </c>
      <c r="H7" s="112">
        <v>3</v>
      </c>
      <c r="I7" s="87"/>
      <c r="J7" s="9">
        <v>3</v>
      </c>
      <c r="K7" s="16" t="s">
        <v>37</v>
      </c>
      <c r="L7" s="26" t="s">
        <v>36</v>
      </c>
      <c r="M7" s="16" t="s">
        <v>19</v>
      </c>
      <c r="N7" s="16" t="s">
        <v>21</v>
      </c>
      <c r="O7" s="16" t="s">
        <v>19</v>
      </c>
      <c r="Q7" s="9">
        <v>7</v>
      </c>
      <c r="R7" s="9">
        <v>10</v>
      </c>
      <c r="S7" s="9">
        <v>5</v>
      </c>
      <c r="T7" s="9">
        <v>2</v>
      </c>
      <c r="U7" s="9">
        <v>5</v>
      </c>
      <c r="W7" s="25">
        <v>1</v>
      </c>
      <c r="X7" s="25">
        <v>1</v>
      </c>
      <c r="Y7" s="25">
        <v>2</v>
      </c>
      <c r="Z7" s="25">
        <v>2</v>
      </c>
      <c r="AA7" s="25">
        <v>1</v>
      </c>
      <c r="AC7" s="138" t="str">
        <v>C1</v>
      </c>
      <c r="AD7" s="138">
        <v>0</v>
      </c>
      <c r="AE7" s="138">
        <v>6</v>
      </c>
      <c r="AF7" s="138">
        <v>0</v>
      </c>
      <c r="AG7" s="138">
        <v>9</v>
      </c>
      <c r="AH7" s="138">
        <v>0</v>
      </c>
      <c r="AI7" s="5"/>
      <c r="AJ7" s="138" t="str">
        <v>C1</v>
      </c>
      <c r="AK7" s="138">
        <v>0</v>
      </c>
      <c r="AL7" s="138">
        <v>6</v>
      </c>
      <c r="AM7" s="138">
        <v>0</v>
      </c>
      <c r="AN7" s="138">
        <v>9</v>
      </c>
      <c r="AO7" s="138">
        <v>0</v>
      </c>
    </row>
    <row r="8" spans="1:41" ht="15.9" customHeight="1" x14ac:dyDescent="0.3">
      <c r="A8" s="133" t="str">
        <v>M3</v>
      </c>
      <c r="B8" s="112" t="str">
        <v>M3</v>
      </c>
      <c r="C8" s="133">
        <f t="shared" si="0"/>
        <v>4</v>
      </c>
      <c r="D8" s="133">
        <f t="shared" si="1"/>
        <v>9</v>
      </c>
      <c r="E8" s="133">
        <f t="shared" si="2"/>
        <v>5</v>
      </c>
      <c r="F8" s="133">
        <f t="shared" si="3"/>
        <v>21</v>
      </c>
      <c r="G8" s="133">
        <f t="shared" si="4"/>
        <v>22</v>
      </c>
      <c r="H8" s="112">
        <v>4</v>
      </c>
      <c r="I8" s="87"/>
      <c r="J8" s="25">
        <v>4</v>
      </c>
      <c r="K8" s="16" t="s">
        <v>125</v>
      </c>
      <c r="L8" s="16" t="s">
        <v>88</v>
      </c>
      <c r="M8" s="16" t="s">
        <v>18</v>
      </c>
      <c r="N8" s="16" t="s">
        <v>89</v>
      </c>
      <c r="O8" s="16" t="s">
        <v>37</v>
      </c>
      <c r="Q8" s="9">
        <v>6</v>
      </c>
      <c r="R8" s="9">
        <v>11</v>
      </c>
      <c r="S8" s="9">
        <v>4</v>
      </c>
      <c r="T8" s="9">
        <v>12</v>
      </c>
      <c r="U8" s="9">
        <v>7</v>
      </c>
      <c r="W8" s="25">
        <v>1</v>
      </c>
      <c r="X8" s="25">
        <v>1</v>
      </c>
      <c r="Y8" s="25">
        <v>1</v>
      </c>
      <c r="Z8" s="25">
        <v>2</v>
      </c>
      <c r="AA8" s="25">
        <v>1</v>
      </c>
      <c r="AC8" s="154" t="str">
        <v>M1</v>
      </c>
      <c r="AD8" s="133">
        <v>4</v>
      </c>
      <c r="AE8" s="133">
        <v>11</v>
      </c>
      <c r="AF8" s="133">
        <v>5</v>
      </c>
      <c r="AG8" s="133">
        <v>21</v>
      </c>
      <c r="AH8" s="133">
        <v>23</v>
      </c>
      <c r="AI8" s="5"/>
      <c r="AJ8" s="154" t="str">
        <v>M1</v>
      </c>
      <c r="AK8" s="133">
        <v>4</v>
      </c>
      <c r="AL8" s="133">
        <v>11</v>
      </c>
      <c r="AM8" s="133">
        <v>5</v>
      </c>
      <c r="AN8" s="133">
        <v>21</v>
      </c>
      <c r="AO8" s="133">
        <v>23</v>
      </c>
    </row>
    <row r="9" spans="1:41" ht="15.9" customHeight="1" x14ac:dyDescent="0.3">
      <c r="A9" s="133" t="str">
        <v>M4</v>
      </c>
      <c r="B9" s="112" t="str">
        <v>M4</v>
      </c>
      <c r="C9" s="133">
        <f t="shared" si="0"/>
        <v>43</v>
      </c>
      <c r="D9" s="133">
        <f t="shared" si="1"/>
        <v>13</v>
      </c>
      <c r="E9" s="133">
        <f t="shared" si="2"/>
        <v>41</v>
      </c>
      <c r="F9" s="133">
        <f t="shared" si="3"/>
        <v>14</v>
      </c>
      <c r="G9" s="133">
        <f t="shared" si="4"/>
        <v>22</v>
      </c>
      <c r="H9" s="112">
        <v>5</v>
      </c>
      <c r="I9" s="87"/>
      <c r="J9" s="9">
        <v>5</v>
      </c>
      <c r="K9" s="16" t="s">
        <v>35</v>
      </c>
      <c r="L9" s="16" t="s">
        <v>35</v>
      </c>
      <c r="M9" s="16" t="s">
        <v>19</v>
      </c>
      <c r="N9" s="16" t="s">
        <v>21</v>
      </c>
      <c r="O9" s="16" t="s">
        <v>35</v>
      </c>
      <c r="Q9" s="9">
        <v>8</v>
      </c>
      <c r="R9" s="9">
        <v>8</v>
      </c>
      <c r="S9" s="9">
        <v>5</v>
      </c>
      <c r="T9" s="9">
        <v>2</v>
      </c>
      <c r="U9" s="9">
        <v>8</v>
      </c>
      <c r="W9" s="25">
        <v>1</v>
      </c>
      <c r="X9" s="25">
        <v>1</v>
      </c>
      <c r="Y9" s="25">
        <v>1</v>
      </c>
      <c r="Z9" s="25">
        <v>2</v>
      </c>
      <c r="AA9" s="25">
        <v>1</v>
      </c>
      <c r="AC9" s="154" t="str">
        <v>M2</v>
      </c>
      <c r="AD9" s="133">
        <v>4</v>
      </c>
      <c r="AE9" s="133">
        <v>11</v>
      </c>
      <c r="AF9" s="133">
        <v>5</v>
      </c>
      <c r="AG9" s="133">
        <v>21</v>
      </c>
      <c r="AH9" s="133">
        <v>23</v>
      </c>
      <c r="AI9" s="5"/>
      <c r="AJ9" s="154" t="str">
        <v>M2</v>
      </c>
      <c r="AK9" s="133">
        <v>4</v>
      </c>
      <c r="AL9" s="133">
        <v>11</v>
      </c>
      <c r="AM9" s="133">
        <v>5</v>
      </c>
      <c r="AN9" s="133">
        <v>21</v>
      </c>
      <c r="AO9" s="133">
        <v>23</v>
      </c>
    </row>
    <row r="10" spans="1:41" ht="15.9" customHeight="1" x14ac:dyDescent="0.3">
      <c r="A10" s="133" t="str">
        <v>M5</v>
      </c>
      <c r="B10" s="112" t="str">
        <v>M5</v>
      </c>
      <c r="C10" s="133">
        <f t="shared" si="0"/>
        <v>43</v>
      </c>
      <c r="D10" s="133">
        <f t="shared" si="1"/>
        <v>14</v>
      </c>
      <c r="E10" s="133">
        <f t="shared" si="2"/>
        <v>41</v>
      </c>
      <c r="F10" s="133">
        <f t="shared" si="3"/>
        <v>14</v>
      </c>
      <c r="G10" s="133">
        <f t="shared" si="4"/>
        <v>22</v>
      </c>
      <c r="H10" s="112">
        <v>6</v>
      </c>
      <c r="I10" s="87"/>
      <c r="J10" s="25">
        <v>6</v>
      </c>
      <c r="K10" s="16" t="s">
        <v>125</v>
      </c>
      <c r="L10" s="16" t="s">
        <v>88</v>
      </c>
      <c r="M10" s="16" t="s">
        <v>37</v>
      </c>
      <c r="N10" s="16" t="s">
        <v>19</v>
      </c>
      <c r="O10" s="16" t="s">
        <v>37</v>
      </c>
      <c r="Q10" s="9">
        <v>6</v>
      </c>
      <c r="R10" s="9">
        <v>11</v>
      </c>
      <c r="S10" s="9">
        <v>7</v>
      </c>
      <c r="T10" s="9">
        <v>5</v>
      </c>
      <c r="U10" s="9">
        <v>7</v>
      </c>
      <c r="W10" s="25">
        <v>1</v>
      </c>
      <c r="X10" s="25">
        <v>2</v>
      </c>
      <c r="Y10" s="25">
        <v>1</v>
      </c>
      <c r="Z10" s="25">
        <v>2</v>
      </c>
      <c r="AA10" s="25">
        <v>1</v>
      </c>
      <c r="AC10" s="154" t="str">
        <v>M3</v>
      </c>
      <c r="AD10" s="133">
        <v>4</v>
      </c>
      <c r="AE10" s="133">
        <v>11</v>
      </c>
      <c r="AF10" s="133">
        <v>5</v>
      </c>
      <c r="AG10" s="133">
        <v>21</v>
      </c>
      <c r="AH10" s="133">
        <v>22</v>
      </c>
      <c r="AI10" s="5"/>
      <c r="AJ10" s="154" t="str">
        <v>M3</v>
      </c>
      <c r="AK10" s="133">
        <v>4</v>
      </c>
      <c r="AL10" s="133">
        <v>11</v>
      </c>
      <c r="AM10" s="133">
        <v>5</v>
      </c>
      <c r="AN10" s="133">
        <v>21</v>
      </c>
      <c r="AO10" s="133">
        <v>22</v>
      </c>
    </row>
    <row r="11" spans="1:41" ht="15.9" customHeight="1" x14ac:dyDescent="0.3">
      <c r="A11" s="133" t="str">
        <v>A</v>
      </c>
      <c r="B11" s="112" t="str">
        <v>A</v>
      </c>
      <c r="C11" s="133">
        <f t="shared" si="0"/>
        <v>47</v>
      </c>
      <c r="D11" s="133">
        <f t="shared" si="1"/>
        <v>14</v>
      </c>
      <c r="E11" s="133">
        <f t="shared" si="2"/>
        <v>41</v>
      </c>
      <c r="F11" s="133">
        <f t="shared" si="3"/>
        <v>14</v>
      </c>
      <c r="G11" s="133">
        <f t="shared" si="4"/>
        <v>22</v>
      </c>
      <c r="H11" s="112">
        <v>7</v>
      </c>
      <c r="I11" s="87"/>
      <c r="J11" s="9">
        <v>7</v>
      </c>
      <c r="K11" s="16" t="s">
        <v>35</v>
      </c>
      <c r="L11" s="16" t="s">
        <v>88</v>
      </c>
      <c r="M11" s="16" t="s">
        <v>19</v>
      </c>
      <c r="N11" s="16" t="s">
        <v>20</v>
      </c>
      <c r="O11" s="16" t="s">
        <v>37</v>
      </c>
      <c r="Q11" s="9">
        <v>8</v>
      </c>
      <c r="R11" s="9">
        <v>11</v>
      </c>
      <c r="S11" s="9">
        <v>5</v>
      </c>
      <c r="T11" s="9">
        <v>1</v>
      </c>
      <c r="U11" s="9">
        <v>7</v>
      </c>
      <c r="W11" s="25">
        <v>1</v>
      </c>
      <c r="X11" s="25">
        <v>2</v>
      </c>
      <c r="Y11" s="25">
        <v>2</v>
      </c>
      <c r="Z11" s="25">
        <v>2</v>
      </c>
      <c r="AA11" s="25">
        <v>1</v>
      </c>
      <c r="AC11" s="154" t="str">
        <v>M4</v>
      </c>
      <c r="AD11" s="133">
        <v>43</v>
      </c>
      <c r="AE11" s="133">
        <v>20</v>
      </c>
      <c r="AF11" s="133">
        <v>41</v>
      </c>
      <c r="AG11" s="133">
        <v>14</v>
      </c>
      <c r="AH11" s="133">
        <v>22</v>
      </c>
      <c r="AI11" s="5"/>
      <c r="AJ11" s="154" t="str">
        <v>M4</v>
      </c>
      <c r="AK11" s="133">
        <v>43</v>
      </c>
      <c r="AL11" s="133">
        <v>20</v>
      </c>
      <c r="AM11" s="133">
        <v>41</v>
      </c>
      <c r="AN11" s="133">
        <v>14</v>
      </c>
      <c r="AO11" s="133">
        <v>22</v>
      </c>
    </row>
    <row r="12" spans="1:41" ht="15.9" customHeight="1" x14ac:dyDescent="0.3">
      <c r="A12" s="133" t="str">
        <v>K</v>
      </c>
      <c r="B12" s="112" t="str">
        <v>K</v>
      </c>
      <c r="C12" s="133">
        <f t="shared" si="0"/>
        <v>47</v>
      </c>
      <c r="D12" s="133">
        <f t="shared" si="1"/>
        <v>18</v>
      </c>
      <c r="E12" s="133">
        <f t="shared" si="2"/>
        <v>41</v>
      </c>
      <c r="F12" s="133">
        <f t="shared" si="3"/>
        <v>14</v>
      </c>
      <c r="G12" s="133">
        <f t="shared" si="4"/>
        <v>22</v>
      </c>
      <c r="H12" s="112">
        <v>8</v>
      </c>
      <c r="I12" s="87"/>
      <c r="J12" s="25">
        <v>8</v>
      </c>
      <c r="K12" s="16" t="s">
        <v>125</v>
      </c>
      <c r="L12" s="16" t="s">
        <v>36</v>
      </c>
      <c r="M12" s="16" t="s">
        <v>125</v>
      </c>
      <c r="N12" s="16" t="s">
        <v>34</v>
      </c>
      <c r="O12" s="16" t="s">
        <v>18</v>
      </c>
      <c r="Q12" s="9">
        <v>6</v>
      </c>
      <c r="R12" s="9">
        <v>10</v>
      </c>
      <c r="S12" s="9">
        <v>6</v>
      </c>
      <c r="T12" s="9">
        <v>9</v>
      </c>
      <c r="U12" s="9">
        <v>4</v>
      </c>
      <c r="W12" s="25">
        <v>1</v>
      </c>
      <c r="X12" s="25">
        <v>2</v>
      </c>
      <c r="Y12" s="25">
        <v>2</v>
      </c>
      <c r="Z12" s="25">
        <v>2</v>
      </c>
      <c r="AA12" s="25">
        <v>2</v>
      </c>
      <c r="AC12" s="154" t="str">
        <v>M5</v>
      </c>
      <c r="AD12" s="133">
        <v>43</v>
      </c>
      <c r="AE12" s="133">
        <v>21</v>
      </c>
      <c r="AF12" s="133">
        <v>41</v>
      </c>
      <c r="AG12" s="133">
        <v>14</v>
      </c>
      <c r="AH12" s="133">
        <v>22</v>
      </c>
      <c r="AI12" s="5"/>
      <c r="AJ12" s="154" t="str">
        <v>M5</v>
      </c>
      <c r="AK12" s="133">
        <v>43</v>
      </c>
      <c r="AL12" s="133">
        <v>21</v>
      </c>
      <c r="AM12" s="133">
        <v>41</v>
      </c>
      <c r="AN12" s="133">
        <v>14</v>
      </c>
      <c r="AO12" s="133">
        <v>22</v>
      </c>
    </row>
    <row r="13" spans="1:41" ht="15.9" customHeight="1" x14ac:dyDescent="0.3">
      <c r="A13" s="133" t="str">
        <v>Q</v>
      </c>
      <c r="B13" s="112" t="str">
        <v>Q</v>
      </c>
      <c r="C13" s="133">
        <f t="shared" si="0"/>
        <v>4</v>
      </c>
      <c r="D13" s="133">
        <f t="shared" si="1"/>
        <v>5</v>
      </c>
      <c r="E13" s="133">
        <f t="shared" si="2"/>
        <v>5</v>
      </c>
      <c r="F13" s="133">
        <f t="shared" si="3"/>
        <v>20</v>
      </c>
      <c r="G13" s="133">
        <f t="shared" si="4"/>
        <v>22</v>
      </c>
      <c r="H13" s="112">
        <v>9</v>
      </c>
      <c r="I13" s="87"/>
      <c r="J13" s="9">
        <v>9</v>
      </c>
      <c r="K13" s="16" t="s">
        <v>35</v>
      </c>
      <c r="L13" s="16" t="s">
        <v>18</v>
      </c>
      <c r="M13" s="16" t="s">
        <v>34</v>
      </c>
      <c r="N13" s="16" t="s">
        <v>34</v>
      </c>
      <c r="O13" s="16" t="s">
        <v>125</v>
      </c>
      <c r="Q13" s="9">
        <v>8</v>
      </c>
      <c r="R13" s="9">
        <v>4</v>
      </c>
      <c r="S13" s="9">
        <v>9</v>
      </c>
      <c r="T13" s="9">
        <v>9</v>
      </c>
      <c r="U13" s="9">
        <v>6</v>
      </c>
      <c r="W13" s="25">
        <v>1</v>
      </c>
      <c r="X13" s="25">
        <v>2</v>
      </c>
      <c r="Y13" s="25">
        <v>1</v>
      </c>
      <c r="Z13" s="25">
        <v>2</v>
      </c>
      <c r="AA13" s="25">
        <v>1</v>
      </c>
      <c r="AC13" s="154" t="str">
        <v>A</v>
      </c>
      <c r="AD13" s="133">
        <v>47</v>
      </c>
      <c r="AE13" s="133">
        <v>21</v>
      </c>
      <c r="AF13" s="133">
        <v>41</v>
      </c>
      <c r="AG13" s="133">
        <v>14</v>
      </c>
      <c r="AH13" s="133">
        <v>22</v>
      </c>
      <c r="AI13" s="5"/>
      <c r="AJ13" s="154" t="str">
        <v>A</v>
      </c>
      <c r="AK13" s="133">
        <v>47</v>
      </c>
      <c r="AL13" s="133">
        <v>21</v>
      </c>
      <c r="AM13" s="133">
        <v>41</v>
      </c>
      <c r="AN13" s="133">
        <v>14</v>
      </c>
      <c r="AO13" s="133">
        <v>22</v>
      </c>
    </row>
    <row r="14" spans="1:41" ht="15.9" customHeight="1" x14ac:dyDescent="0.3">
      <c r="A14" s="133" t="str">
        <v>J</v>
      </c>
      <c r="B14" s="112" t="str">
        <v>J</v>
      </c>
      <c r="C14" s="133">
        <f t="shared" si="0"/>
        <v>4</v>
      </c>
      <c r="D14" s="133">
        <f t="shared" si="1"/>
        <v>9</v>
      </c>
      <c r="E14" s="133">
        <f t="shared" si="2"/>
        <v>4</v>
      </c>
      <c r="F14" s="133">
        <f t="shared" si="3"/>
        <v>20</v>
      </c>
      <c r="G14" s="133">
        <f t="shared" si="4"/>
        <v>22</v>
      </c>
      <c r="H14" s="112">
        <v>10</v>
      </c>
      <c r="I14" s="87"/>
      <c r="J14" s="25">
        <v>10</v>
      </c>
      <c r="K14" s="16" t="s">
        <v>125</v>
      </c>
      <c r="L14" s="16" t="s">
        <v>21</v>
      </c>
      <c r="M14" s="16" t="s">
        <v>125</v>
      </c>
      <c r="N14" s="16" t="s">
        <v>36</v>
      </c>
      <c r="O14" s="16" t="s">
        <v>34</v>
      </c>
      <c r="Q14" s="9">
        <v>6</v>
      </c>
      <c r="R14" s="9">
        <v>2</v>
      </c>
      <c r="S14" s="9">
        <v>6</v>
      </c>
      <c r="T14" s="9">
        <v>10</v>
      </c>
      <c r="U14" s="9">
        <v>9</v>
      </c>
      <c r="W14" s="25">
        <v>2</v>
      </c>
      <c r="X14" s="25">
        <v>2</v>
      </c>
      <c r="Y14" s="25">
        <v>1</v>
      </c>
      <c r="Z14" s="25">
        <v>1</v>
      </c>
      <c r="AA14" s="25">
        <v>1</v>
      </c>
      <c r="AC14" s="154" t="str">
        <v>K</v>
      </c>
      <c r="AD14" s="133">
        <v>47</v>
      </c>
      <c r="AE14" s="133">
        <v>21</v>
      </c>
      <c r="AF14" s="133">
        <v>41</v>
      </c>
      <c r="AG14" s="133">
        <v>14</v>
      </c>
      <c r="AH14" s="133">
        <v>22</v>
      </c>
      <c r="AI14" s="5"/>
      <c r="AJ14" s="154" t="str">
        <v>K</v>
      </c>
      <c r="AK14" s="133">
        <v>47</v>
      </c>
      <c r="AL14" s="133">
        <v>21</v>
      </c>
      <c r="AM14" s="133">
        <v>41</v>
      </c>
      <c r="AN14" s="133">
        <v>14</v>
      </c>
      <c r="AO14" s="133">
        <v>22</v>
      </c>
    </row>
    <row r="15" spans="1:41" ht="15.9" customHeight="1" x14ac:dyDescent="0.3">
      <c r="A15" s="29" t="str">
        <v>G1</v>
      </c>
      <c r="B15" s="8" t="str">
        <v>Gold M1</v>
      </c>
      <c r="C15" s="99">
        <f t="shared" si="0"/>
        <v>0</v>
      </c>
      <c r="D15" s="99">
        <f t="shared" si="1"/>
        <v>16</v>
      </c>
      <c r="E15" s="99">
        <f t="shared" si="2"/>
        <v>0</v>
      </c>
      <c r="F15" s="99">
        <f t="shared" si="3"/>
        <v>4</v>
      </c>
      <c r="G15" s="99">
        <f t="shared" si="4"/>
        <v>0</v>
      </c>
      <c r="H15" s="8">
        <v>11</v>
      </c>
      <c r="I15" s="87"/>
      <c r="J15" s="9">
        <v>11</v>
      </c>
      <c r="K15" s="16" t="s">
        <v>125</v>
      </c>
      <c r="L15" s="16" t="s">
        <v>95</v>
      </c>
      <c r="M15" s="16" t="s">
        <v>35</v>
      </c>
      <c r="N15" s="16" t="s">
        <v>22</v>
      </c>
      <c r="O15" s="16" t="s">
        <v>35</v>
      </c>
      <c r="Q15" s="9">
        <v>6</v>
      </c>
      <c r="R15" s="9">
        <v>18</v>
      </c>
      <c r="S15" s="9">
        <v>8</v>
      </c>
      <c r="T15" s="9">
        <v>3</v>
      </c>
      <c r="U15" s="9">
        <v>8</v>
      </c>
      <c r="W15" s="25">
        <v>1</v>
      </c>
      <c r="X15" s="25">
        <v>1</v>
      </c>
      <c r="Y15" s="25">
        <v>1</v>
      </c>
      <c r="Z15" s="25">
        <v>1</v>
      </c>
      <c r="AA15" s="25">
        <v>1</v>
      </c>
      <c r="AC15" s="154" t="str">
        <v>Q</v>
      </c>
      <c r="AD15" s="133">
        <v>4</v>
      </c>
      <c r="AE15" s="133">
        <v>11</v>
      </c>
      <c r="AF15" s="133">
        <v>5</v>
      </c>
      <c r="AG15" s="133">
        <v>20</v>
      </c>
      <c r="AH15" s="133">
        <v>22</v>
      </c>
      <c r="AI15" s="5"/>
      <c r="AJ15" s="154" t="str">
        <v>Q</v>
      </c>
      <c r="AK15" s="133">
        <v>4</v>
      </c>
      <c r="AL15" s="133">
        <v>11</v>
      </c>
      <c r="AM15" s="133">
        <v>5</v>
      </c>
      <c r="AN15" s="133">
        <v>20</v>
      </c>
      <c r="AO15" s="133">
        <v>22</v>
      </c>
    </row>
    <row r="16" spans="1:41" ht="15.9" customHeight="1" x14ac:dyDescent="0.3">
      <c r="A16" s="29" t="str">
        <v>G2</v>
      </c>
      <c r="B16" s="8" t="str">
        <v>Gold M2</v>
      </c>
      <c r="C16" s="99">
        <f t="shared" si="0"/>
        <v>0</v>
      </c>
      <c r="D16" s="99">
        <f t="shared" si="1"/>
        <v>5</v>
      </c>
      <c r="E16" s="99">
        <f t="shared" si="2"/>
        <v>0</v>
      </c>
      <c r="F16" s="99">
        <f t="shared" si="3"/>
        <v>4</v>
      </c>
      <c r="G16" s="99">
        <f t="shared" si="4"/>
        <v>0</v>
      </c>
      <c r="H16" s="8">
        <v>12</v>
      </c>
      <c r="I16" s="87"/>
      <c r="J16" s="25">
        <v>12</v>
      </c>
      <c r="K16" s="16" t="s">
        <v>125</v>
      </c>
      <c r="L16" s="16" t="s">
        <v>19</v>
      </c>
      <c r="M16" s="16" t="s">
        <v>125</v>
      </c>
      <c r="N16" s="16" t="s">
        <v>37</v>
      </c>
      <c r="O16" s="16" t="s">
        <v>35</v>
      </c>
      <c r="Q16" s="9">
        <v>6</v>
      </c>
      <c r="R16" s="9">
        <v>5</v>
      </c>
      <c r="S16" s="9">
        <v>6</v>
      </c>
      <c r="T16" s="9">
        <v>7</v>
      </c>
      <c r="U16" s="9">
        <v>8</v>
      </c>
      <c r="W16" s="25">
        <v>1</v>
      </c>
      <c r="X16" s="25">
        <v>1</v>
      </c>
      <c r="Y16" s="25">
        <v>1</v>
      </c>
      <c r="Z16" s="25">
        <v>1</v>
      </c>
      <c r="AA16" s="25">
        <v>1</v>
      </c>
      <c r="AC16" s="154" t="str">
        <v>J</v>
      </c>
      <c r="AD16" s="133">
        <v>4</v>
      </c>
      <c r="AE16" s="133">
        <v>11</v>
      </c>
      <c r="AF16" s="133">
        <v>4</v>
      </c>
      <c r="AG16" s="133">
        <v>20</v>
      </c>
      <c r="AH16" s="133">
        <v>22</v>
      </c>
      <c r="AI16" s="5"/>
      <c r="AJ16" s="154" t="str">
        <v>J</v>
      </c>
      <c r="AK16" s="133">
        <v>4</v>
      </c>
      <c r="AL16" s="133">
        <v>11</v>
      </c>
      <c r="AM16" s="133">
        <v>4</v>
      </c>
      <c r="AN16" s="133">
        <v>20</v>
      </c>
      <c r="AO16" s="133">
        <v>22</v>
      </c>
    </row>
    <row r="17" spans="1:41" ht="15.9" customHeight="1" x14ac:dyDescent="0.3">
      <c r="A17" s="29" t="str">
        <v>G3</v>
      </c>
      <c r="B17" s="8" t="str">
        <v>Gold M3</v>
      </c>
      <c r="C17" s="99">
        <f t="shared" si="0"/>
        <v>0</v>
      </c>
      <c r="D17" s="99">
        <f t="shared" si="1"/>
        <v>7</v>
      </c>
      <c r="E17" s="99">
        <f t="shared" si="2"/>
        <v>0</v>
      </c>
      <c r="F17" s="99">
        <f t="shared" si="3"/>
        <v>4</v>
      </c>
      <c r="G17" s="99">
        <f t="shared" si="4"/>
        <v>0</v>
      </c>
      <c r="H17" s="8">
        <v>13</v>
      </c>
      <c r="I17" s="87"/>
      <c r="J17" s="9">
        <v>13</v>
      </c>
      <c r="K17" s="16" t="s">
        <v>35</v>
      </c>
      <c r="L17" s="16" t="s">
        <v>92</v>
      </c>
      <c r="M17" s="16" t="s">
        <v>35</v>
      </c>
      <c r="N17" s="16" t="s">
        <v>19</v>
      </c>
      <c r="O17" s="16" t="s">
        <v>18</v>
      </c>
      <c r="Q17" s="9">
        <v>8</v>
      </c>
      <c r="R17" s="9">
        <v>16</v>
      </c>
      <c r="S17" s="9">
        <v>8</v>
      </c>
      <c r="T17" s="9">
        <v>5</v>
      </c>
      <c r="U17" s="9">
        <v>4</v>
      </c>
      <c r="W17" s="25">
        <v>1</v>
      </c>
      <c r="X17" s="25">
        <v>1</v>
      </c>
      <c r="Y17" s="25">
        <v>1</v>
      </c>
      <c r="Z17" s="25">
        <v>2</v>
      </c>
      <c r="AA17" s="25">
        <v>1</v>
      </c>
      <c r="AC17" s="138" t="str">
        <v>G1</v>
      </c>
      <c r="AD17" s="99">
        <v>0</v>
      </c>
      <c r="AE17" s="99">
        <v>5</v>
      </c>
      <c r="AF17" s="99">
        <v>1</v>
      </c>
      <c r="AG17" s="99">
        <v>5</v>
      </c>
      <c r="AH17" s="99">
        <v>0</v>
      </c>
      <c r="AI17" s="5"/>
      <c r="AJ17" s="138" t="str">
        <v>G1</v>
      </c>
      <c r="AK17" s="99">
        <v>0</v>
      </c>
      <c r="AL17" s="99">
        <v>5</v>
      </c>
      <c r="AM17" s="99">
        <v>1</v>
      </c>
      <c r="AN17" s="99">
        <v>5</v>
      </c>
      <c r="AO17" s="99">
        <v>0</v>
      </c>
    </row>
    <row r="18" spans="1:41" ht="15.9" customHeight="1" x14ac:dyDescent="0.3">
      <c r="A18" s="29" t="str">
        <v>G4</v>
      </c>
      <c r="B18" s="8" t="str">
        <v>Gold M4</v>
      </c>
      <c r="C18" s="99">
        <f t="shared" si="0"/>
        <v>0</v>
      </c>
      <c r="D18" s="99">
        <f t="shared" si="1"/>
        <v>10</v>
      </c>
      <c r="E18" s="99">
        <f t="shared" si="2"/>
        <v>3</v>
      </c>
      <c r="F18" s="99">
        <f t="shared" si="3"/>
        <v>3</v>
      </c>
      <c r="G18" s="99">
        <f t="shared" si="4"/>
        <v>0</v>
      </c>
      <c r="H18" s="8">
        <v>14</v>
      </c>
      <c r="I18" s="87"/>
      <c r="J18" s="25">
        <v>14</v>
      </c>
      <c r="K18" s="16" t="s">
        <v>37</v>
      </c>
      <c r="L18" s="16" t="s">
        <v>18</v>
      </c>
      <c r="M18" s="16" t="s">
        <v>18</v>
      </c>
      <c r="N18" s="16" t="s">
        <v>20</v>
      </c>
      <c r="O18" s="16" t="s">
        <v>36</v>
      </c>
      <c r="Q18" s="9">
        <v>7</v>
      </c>
      <c r="R18" s="9">
        <v>4</v>
      </c>
      <c r="S18" s="9">
        <v>4</v>
      </c>
      <c r="T18" s="9">
        <v>1</v>
      </c>
      <c r="U18" s="9">
        <v>10</v>
      </c>
      <c r="W18" s="25">
        <v>1</v>
      </c>
      <c r="X18" s="25">
        <v>2</v>
      </c>
      <c r="Y18" s="25">
        <v>1</v>
      </c>
      <c r="Z18" s="25">
        <v>2</v>
      </c>
      <c r="AA18" s="25">
        <v>1</v>
      </c>
      <c r="AC18" s="138" t="str">
        <v>G2</v>
      </c>
      <c r="AD18" s="99">
        <v>0</v>
      </c>
      <c r="AE18" s="99">
        <v>6</v>
      </c>
      <c r="AF18" s="99">
        <v>1</v>
      </c>
      <c r="AG18" s="99">
        <v>5</v>
      </c>
      <c r="AH18" s="99">
        <v>0</v>
      </c>
      <c r="AI18" s="5"/>
      <c r="AJ18" s="138" t="str">
        <v>G2</v>
      </c>
      <c r="AK18" s="99">
        <v>0</v>
      </c>
      <c r="AL18" s="99">
        <v>6</v>
      </c>
      <c r="AM18" s="99">
        <v>1</v>
      </c>
      <c r="AN18" s="99">
        <v>5</v>
      </c>
      <c r="AO18" s="99">
        <v>0</v>
      </c>
    </row>
    <row r="19" spans="1:41" ht="15.9" customHeight="1" x14ac:dyDescent="0.3">
      <c r="A19" s="29" t="str">
        <v>G5</v>
      </c>
      <c r="B19" s="8" t="str">
        <v>Gold M5</v>
      </c>
      <c r="C19" s="99">
        <f t="shared" si="0"/>
        <v>0</v>
      </c>
      <c r="D19" s="99">
        <f t="shared" si="1"/>
        <v>11</v>
      </c>
      <c r="E19" s="99">
        <f t="shared" si="2"/>
        <v>3</v>
      </c>
      <c r="F19" s="99">
        <f t="shared" si="3"/>
        <v>3</v>
      </c>
      <c r="G19" s="99">
        <f t="shared" si="4"/>
        <v>0</v>
      </c>
      <c r="H19" s="8">
        <v>15</v>
      </c>
      <c r="I19" s="87"/>
      <c r="J19" s="9">
        <v>15</v>
      </c>
      <c r="K19" s="16" t="s">
        <v>21</v>
      </c>
      <c r="L19" s="16" t="s">
        <v>88</v>
      </c>
      <c r="M19" s="16" t="s">
        <v>35</v>
      </c>
      <c r="N19" s="16" t="s">
        <v>36</v>
      </c>
      <c r="O19" s="16" t="s">
        <v>37</v>
      </c>
      <c r="Q19" s="9">
        <v>2</v>
      </c>
      <c r="R19" s="9">
        <v>11</v>
      </c>
      <c r="S19" s="9">
        <v>8</v>
      </c>
      <c r="T19" s="9">
        <v>10</v>
      </c>
      <c r="U19" s="9">
        <v>7</v>
      </c>
      <c r="W19" s="25">
        <v>2</v>
      </c>
      <c r="X19" s="25">
        <v>2</v>
      </c>
      <c r="Y19" s="25">
        <v>1</v>
      </c>
      <c r="Z19" s="25">
        <v>2</v>
      </c>
      <c r="AA19" s="25">
        <v>1</v>
      </c>
      <c r="AC19" s="138" t="str">
        <v>G3</v>
      </c>
      <c r="AD19" s="99">
        <v>0</v>
      </c>
      <c r="AE19" s="99">
        <v>6</v>
      </c>
      <c r="AF19" s="99">
        <v>1</v>
      </c>
      <c r="AG19" s="99">
        <v>5</v>
      </c>
      <c r="AH19" s="99">
        <v>0</v>
      </c>
      <c r="AI19" s="5"/>
      <c r="AJ19" s="138" t="str">
        <v>G3</v>
      </c>
      <c r="AK19" s="99">
        <v>0</v>
      </c>
      <c r="AL19" s="99">
        <v>6</v>
      </c>
      <c r="AM19" s="99">
        <v>1</v>
      </c>
      <c r="AN19" s="99">
        <v>5</v>
      </c>
      <c r="AO19" s="99">
        <v>0</v>
      </c>
    </row>
    <row r="20" spans="1:41" ht="15.9" customHeight="1" x14ac:dyDescent="0.3">
      <c r="A20" s="29" t="str">
        <v>GA</v>
      </c>
      <c r="B20" s="8" t="str">
        <v>Gold A</v>
      </c>
      <c r="C20" s="99">
        <f t="shared" si="0"/>
        <v>0</v>
      </c>
      <c r="D20" s="99">
        <f t="shared" si="1"/>
        <v>11</v>
      </c>
      <c r="E20" s="99">
        <f t="shared" si="2"/>
        <v>3</v>
      </c>
      <c r="F20" s="99">
        <f t="shared" si="3"/>
        <v>3</v>
      </c>
      <c r="G20" s="99">
        <f t="shared" si="4"/>
        <v>0</v>
      </c>
      <c r="H20" s="8">
        <v>16</v>
      </c>
      <c r="I20" s="87"/>
      <c r="J20" s="25">
        <v>16</v>
      </c>
      <c r="K20" s="16" t="s">
        <v>18</v>
      </c>
      <c r="L20" s="16" t="s">
        <v>88</v>
      </c>
      <c r="M20" s="16" t="s">
        <v>19</v>
      </c>
      <c r="N20" s="16" t="s">
        <v>21</v>
      </c>
      <c r="O20" s="16" t="s">
        <v>21</v>
      </c>
      <c r="Q20" s="9">
        <v>4</v>
      </c>
      <c r="R20" s="9">
        <v>11</v>
      </c>
      <c r="S20" s="9">
        <v>5</v>
      </c>
      <c r="T20" s="9">
        <v>2</v>
      </c>
      <c r="U20" s="9">
        <v>2</v>
      </c>
      <c r="W20" s="25">
        <v>2</v>
      </c>
      <c r="X20" s="25">
        <v>2</v>
      </c>
      <c r="Y20" s="25">
        <v>1</v>
      </c>
      <c r="Z20" s="25">
        <v>2</v>
      </c>
      <c r="AA20" s="25">
        <v>2</v>
      </c>
      <c r="AC20" s="138" t="str">
        <v>G4</v>
      </c>
      <c r="AD20" s="99">
        <v>0</v>
      </c>
      <c r="AE20" s="99">
        <v>9</v>
      </c>
      <c r="AF20" s="99">
        <v>4</v>
      </c>
      <c r="AG20" s="99">
        <v>4</v>
      </c>
      <c r="AH20" s="99">
        <v>0</v>
      </c>
      <c r="AI20" s="5"/>
      <c r="AJ20" s="138" t="str">
        <v>G4</v>
      </c>
      <c r="AK20" s="99">
        <v>0</v>
      </c>
      <c r="AL20" s="99">
        <v>9</v>
      </c>
      <c r="AM20" s="99">
        <v>4</v>
      </c>
      <c r="AN20" s="99">
        <v>4</v>
      </c>
      <c r="AO20" s="99">
        <v>0</v>
      </c>
    </row>
    <row r="21" spans="1:41" ht="15.9" customHeight="1" x14ac:dyDescent="0.3">
      <c r="A21" s="29" t="str">
        <v>GK</v>
      </c>
      <c r="B21" s="8" t="str">
        <v>Gold K</v>
      </c>
      <c r="C21" s="99">
        <f t="shared" si="0"/>
        <v>0</v>
      </c>
      <c r="D21" s="99">
        <f t="shared" si="1"/>
        <v>8</v>
      </c>
      <c r="E21" s="99">
        <f t="shared" si="2"/>
        <v>3</v>
      </c>
      <c r="F21" s="99">
        <f t="shared" si="3"/>
        <v>3</v>
      </c>
      <c r="G21" s="99">
        <f t="shared" si="4"/>
        <v>0</v>
      </c>
      <c r="H21" s="8">
        <v>17</v>
      </c>
      <c r="I21" s="87"/>
      <c r="J21" s="9">
        <v>17</v>
      </c>
      <c r="K21" s="16" t="s">
        <v>19</v>
      </c>
      <c r="L21" s="16" t="s">
        <v>125</v>
      </c>
      <c r="M21" s="16" t="s">
        <v>37</v>
      </c>
      <c r="N21" s="16" t="s">
        <v>18</v>
      </c>
      <c r="O21" s="16" t="s">
        <v>18</v>
      </c>
      <c r="Q21" s="9">
        <v>5</v>
      </c>
      <c r="R21" s="9">
        <v>6</v>
      </c>
      <c r="S21" s="9">
        <v>7</v>
      </c>
      <c r="T21" s="9">
        <v>4</v>
      </c>
      <c r="U21" s="9">
        <v>4</v>
      </c>
      <c r="W21" s="25">
        <v>1</v>
      </c>
      <c r="X21" s="25">
        <v>1</v>
      </c>
      <c r="Y21" s="25">
        <v>1</v>
      </c>
      <c r="Z21" s="25">
        <v>2</v>
      </c>
      <c r="AA21" s="25">
        <v>2</v>
      </c>
      <c r="AC21" s="138" t="str">
        <v>G5</v>
      </c>
      <c r="AD21" s="99">
        <v>0</v>
      </c>
      <c r="AE21" s="99">
        <v>9</v>
      </c>
      <c r="AF21" s="99">
        <v>4</v>
      </c>
      <c r="AG21" s="99">
        <v>4</v>
      </c>
      <c r="AH21" s="99">
        <v>0</v>
      </c>
      <c r="AI21" s="5"/>
      <c r="AJ21" s="138" t="str">
        <v>G5</v>
      </c>
      <c r="AK21" s="99">
        <v>0</v>
      </c>
      <c r="AL21" s="99">
        <v>9</v>
      </c>
      <c r="AM21" s="99">
        <v>4</v>
      </c>
      <c r="AN21" s="99">
        <v>4</v>
      </c>
      <c r="AO21" s="99">
        <v>0</v>
      </c>
    </row>
    <row r="22" spans="1:41" ht="15.9" customHeight="1" x14ac:dyDescent="0.3">
      <c r="A22" s="29" t="str">
        <v>GQ</v>
      </c>
      <c r="B22" s="8" t="str">
        <v>Gold Q</v>
      </c>
      <c r="C22" s="99">
        <f t="shared" si="0"/>
        <v>0</v>
      </c>
      <c r="D22" s="99">
        <f t="shared" si="1"/>
        <v>6</v>
      </c>
      <c r="E22" s="99">
        <f t="shared" si="2"/>
        <v>0</v>
      </c>
      <c r="F22" s="99">
        <f t="shared" si="3"/>
        <v>4</v>
      </c>
      <c r="G22" s="99">
        <f t="shared" si="4"/>
        <v>0</v>
      </c>
      <c r="H22" s="8">
        <v>18</v>
      </c>
      <c r="I22" s="87"/>
      <c r="J22" s="25">
        <v>18</v>
      </c>
      <c r="K22" s="16" t="s">
        <v>19</v>
      </c>
      <c r="L22" s="16" t="s">
        <v>18</v>
      </c>
      <c r="M22" s="16" t="s">
        <v>19</v>
      </c>
      <c r="N22" s="16" t="s">
        <v>36</v>
      </c>
      <c r="O22" s="16" t="s">
        <v>18</v>
      </c>
      <c r="Q22" s="9">
        <v>5</v>
      </c>
      <c r="R22" s="9">
        <v>4</v>
      </c>
      <c r="S22" s="9">
        <v>5</v>
      </c>
      <c r="T22" s="9">
        <v>10</v>
      </c>
      <c r="U22" s="9">
        <v>4</v>
      </c>
      <c r="W22" s="25">
        <v>1</v>
      </c>
      <c r="X22" s="25">
        <v>1</v>
      </c>
      <c r="Y22" s="25">
        <v>1</v>
      </c>
      <c r="Z22" s="25">
        <v>1</v>
      </c>
      <c r="AA22" s="25">
        <v>1</v>
      </c>
      <c r="AC22" s="138" t="str">
        <v>GA</v>
      </c>
      <c r="AD22" s="99">
        <v>0</v>
      </c>
      <c r="AE22" s="99">
        <v>9</v>
      </c>
      <c r="AF22" s="99">
        <v>4</v>
      </c>
      <c r="AG22" s="99">
        <v>4</v>
      </c>
      <c r="AH22" s="99">
        <v>0</v>
      </c>
      <c r="AI22" s="5"/>
      <c r="AJ22" s="138" t="str">
        <v>GA</v>
      </c>
      <c r="AK22" s="99">
        <v>0</v>
      </c>
      <c r="AL22" s="99">
        <v>9</v>
      </c>
      <c r="AM22" s="99">
        <v>4</v>
      </c>
      <c r="AN22" s="99">
        <v>4</v>
      </c>
      <c r="AO22" s="99">
        <v>0</v>
      </c>
    </row>
    <row r="23" spans="1:41" ht="15.9" customHeight="1" x14ac:dyDescent="0.3">
      <c r="A23" s="29" t="str">
        <v>GJ</v>
      </c>
      <c r="B23" s="8" t="str">
        <v>Gold J</v>
      </c>
      <c r="C23" s="99">
        <f t="shared" si="0"/>
        <v>0</v>
      </c>
      <c r="D23" s="99">
        <f t="shared" si="1"/>
        <v>6</v>
      </c>
      <c r="E23" s="99">
        <f t="shared" si="2"/>
        <v>0</v>
      </c>
      <c r="F23" s="99">
        <f t="shared" si="3"/>
        <v>4</v>
      </c>
      <c r="G23" s="99">
        <f t="shared" si="4"/>
        <v>0</v>
      </c>
      <c r="H23" s="8">
        <v>19</v>
      </c>
      <c r="I23" s="87"/>
      <c r="J23" s="9">
        <v>19</v>
      </c>
      <c r="K23" s="16" t="s">
        <v>35</v>
      </c>
      <c r="L23" s="16" t="s">
        <v>92</v>
      </c>
      <c r="M23" s="16" t="s">
        <v>37</v>
      </c>
      <c r="N23" s="16" t="s">
        <v>34</v>
      </c>
      <c r="O23" s="16" t="s">
        <v>22</v>
      </c>
      <c r="Q23" s="9">
        <v>8</v>
      </c>
      <c r="R23" s="9">
        <v>16</v>
      </c>
      <c r="S23" s="9">
        <v>7</v>
      </c>
      <c r="T23" s="9">
        <v>9</v>
      </c>
      <c r="U23" s="9">
        <v>3</v>
      </c>
      <c r="W23" s="25">
        <v>1</v>
      </c>
      <c r="X23" s="25">
        <v>1</v>
      </c>
      <c r="Y23" s="25">
        <v>1</v>
      </c>
      <c r="Z23" s="25">
        <v>1</v>
      </c>
      <c r="AA23" s="25">
        <v>1</v>
      </c>
      <c r="AC23" s="138" t="str">
        <v>GK</v>
      </c>
      <c r="AD23" s="99">
        <v>0</v>
      </c>
      <c r="AE23" s="99">
        <v>9</v>
      </c>
      <c r="AF23" s="99">
        <v>4</v>
      </c>
      <c r="AG23" s="99">
        <v>4</v>
      </c>
      <c r="AH23" s="99">
        <v>0</v>
      </c>
      <c r="AI23" s="5"/>
      <c r="AJ23" s="138" t="str">
        <v>GK</v>
      </c>
      <c r="AK23" s="99">
        <v>0</v>
      </c>
      <c r="AL23" s="99">
        <v>9</v>
      </c>
      <c r="AM23" s="99">
        <v>4</v>
      </c>
      <c r="AN23" s="99">
        <v>4</v>
      </c>
      <c r="AO23" s="99">
        <v>0</v>
      </c>
    </row>
    <row r="24" spans="1:41" ht="15.9" customHeight="1" x14ac:dyDescent="0.3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87"/>
      <c r="J24" s="25">
        <v>20</v>
      </c>
      <c r="K24" s="16" t="s">
        <v>37</v>
      </c>
      <c r="L24" s="16" t="s">
        <v>37</v>
      </c>
      <c r="M24" s="16" t="s">
        <v>19</v>
      </c>
      <c r="N24" s="16" t="s">
        <v>112</v>
      </c>
      <c r="O24" s="16" t="s">
        <v>37</v>
      </c>
      <c r="Q24" s="9">
        <v>7</v>
      </c>
      <c r="R24" s="9">
        <v>7</v>
      </c>
      <c r="S24" s="9">
        <v>5</v>
      </c>
      <c r="T24" s="9">
        <v>17</v>
      </c>
      <c r="U24" s="9">
        <v>7</v>
      </c>
      <c r="W24" s="25">
        <v>1</v>
      </c>
      <c r="X24" s="25">
        <v>1</v>
      </c>
      <c r="Y24" s="25">
        <v>2</v>
      </c>
      <c r="Z24" s="25">
        <v>1</v>
      </c>
      <c r="AA24" s="25">
        <v>1</v>
      </c>
      <c r="AC24" s="138" t="str">
        <v>GQ</v>
      </c>
      <c r="AD24" s="99">
        <v>0</v>
      </c>
      <c r="AE24" s="99">
        <v>6</v>
      </c>
      <c r="AF24" s="99">
        <v>1</v>
      </c>
      <c r="AG24" s="99">
        <v>5</v>
      </c>
      <c r="AH24" s="99">
        <v>0</v>
      </c>
      <c r="AI24" s="5"/>
      <c r="AJ24" s="138" t="str">
        <v>GQ</v>
      </c>
      <c r="AK24" s="99">
        <v>0</v>
      </c>
      <c r="AL24" s="99">
        <v>6</v>
      </c>
      <c r="AM24" s="99">
        <v>1</v>
      </c>
      <c r="AN24" s="99">
        <v>5</v>
      </c>
      <c r="AO24" s="99">
        <v>0</v>
      </c>
    </row>
    <row r="25" spans="1:41" ht="16.5" customHeight="1" x14ac:dyDescent="0.3">
      <c r="I25" s="87"/>
      <c r="J25" s="9">
        <v>21</v>
      </c>
      <c r="K25" s="16" t="s">
        <v>19</v>
      </c>
      <c r="L25" s="16" t="s">
        <v>35</v>
      </c>
      <c r="M25" s="16" t="s">
        <v>19</v>
      </c>
      <c r="N25" s="16" t="s">
        <v>21</v>
      </c>
      <c r="O25" s="16" t="s">
        <v>22</v>
      </c>
      <c r="Q25" s="9">
        <v>5</v>
      </c>
      <c r="R25" s="9">
        <v>8</v>
      </c>
      <c r="S25" s="9">
        <v>5</v>
      </c>
      <c r="T25" s="9">
        <v>2</v>
      </c>
      <c r="U25" s="9">
        <v>3</v>
      </c>
      <c r="W25" s="25">
        <v>1</v>
      </c>
      <c r="X25" s="25">
        <v>1</v>
      </c>
      <c r="Y25" s="25">
        <v>2</v>
      </c>
      <c r="Z25" s="25">
        <v>1</v>
      </c>
      <c r="AA25" s="25">
        <v>2</v>
      </c>
      <c r="AC25" s="138" t="str">
        <v>GJ</v>
      </c>
      <c r="AD25" s="99">
        <v>0</v>
      </c>
      <c r="AE25" s="99">
        <v>6</v>
      </c>
      <c r="AF25" s="99">
        <v>1</v>
      </c>
      <c r="AG25" s="99">
        <v>5</v>
      </c>
      <c r="AH25" s="99">
        <v>0</v>
      </c>
      <c r="AI25" s="5"/>
      <c r="AJ25" s="138" t="str">
        <v>GJ</v>
      </c>
      <c r="AK25" s="99">
        <v>0</v>
      </c>
      <c r="AL25" s="99">
        <v>6</v>
      </c>
      <c r="AM25" s="99">
        <v>1</v>
      </c>
      <c r="AN25" s="99">
        <v>5</v>
      </c>
      <c r="AO25" s="99">
        <v>0</v>
      </c>
    </row>
    <row r="26" spans="1:41" ht="16.5" customHeight="1" x14ac:dyDescent="0.3">
      <c r="B26" s="5" t="s">
        <v>244</v>
      </c>
      <c r="C26" s="5">
        <f>SUM(C4:C14)/C24</f>
        <v>1</v>
      </c>
      <c r="D26" s="181">
        <f t="shared" ref="D26:G26" si="5">SUM(D4:D14)/D24</f>
        <v>0.6</v>
      </c>
      <c r="E26" s="181">
        <f t="shared" si="5"/>
        <v>0.94</v>
      </c>
      <c r="F26" s="181">
        <f t="shared" si="5"/>
        <v>0.84</v>
      </c>
      <c r="G26" s="5">
        <f t="shared" si="5"/>
        <v>1</v>
      </c>
      <c r="I26" s="87"/>
      <c r="J26" s="25">
        <v>22</v>
      </c>
      <c r="K26" s="16" t="s">
        <v>34</v>
      </c>
      <c r="L26" s="16" t="s">
        <v>91</v>
      </c>
      <c r="M26" s="16" t="s">
        <v>19</v>
      </c>
      <c r="N26" s="16" t="s">
        <v>21</v>
      </c>
      <c r="O26" s="16" t="s">
        <v>21</v>
      </c>
      <c r="Q26" s="9">
        <v>9</v>
      </c>
      <c r="R26" s="9">
        <v>14</v>
      </c>
      <c r="S26" s="9">
        <v>5</v>
      </c>
      <c r="T26" s="9">
        <v>2</v>
      </c>
      <c r="U26" s="9">
        <v>2</v>
      </c>
      <c r="W26" s="25">
        <v>1</v>
      </c>
      <c r="X26" s="25">
        <v>2</v>
      </c>
      <c r="Y26" s="25">
        <v>1</v>
      </c>
      <c r="Z26" s="25">
        <v>1</v>
      </c>
      <c r="AA26" s="25">
        <v>2</v>
      </c>
      <c r="AD26" s="113">
        <f>SUM(AD6:AD25)</f>
        <v>200</v>
      </c>
      <c r="AE26" s="113">
        <f>SUM(AE6:AE25)</f>
        <v>209</v>
      </c>
      <c r="AF26" s="113">
        <f>SUM(AF6:AF25)</f>
        <v>209</v>
      </c>
      <c r="AG26" s="113">
        <f>SUM(AG6:AG25)</f>
        <v>209</v>
      </c>
      <c r="AH26" s="113">
        <f>SUM(AH6:AH25)</f>
        <v>200</v>
      </c>
      <c r="AI26" s="5"/>
      <c r="AK26" s="113">
        <f>SUM(AK6:AK25)</f>
        <v>200</v>
      </c>
      <c r="AL26" s="113">
        <f>SUM(AL6:AL25)</f>
        <v>209</v>
      </c>
      <c r="AM26" s="113">
        <f>SUM(AM6:AM25)</f>
        <v>209</v>
      </c>
      <c r="AN26" s="113">
        <f>SUM(AN6:AN25)</f>
        <v>209</v>
      </c>
      <c r="AO26" s="113">
        <f>SUM(AO6:AO25)</f>
        <v>200</v>
      </c>
    </row>
    <row r="27" spans="1:41" ht="16.5" customHeight="1" x14ac:dyDescent="0.3">
      <c r="B27" s="5" t="s">
        <v>245</v>
      </c>
      <c r="C27" s="5">
        <f>SUM(C15:C23)/C24</f>
        <v>0</v>
      </c>
      <c r="D27" s="181">
        <f t="shared" ref="D27:G27" si="6">SUM(D15:D23)/D24</f>
        <v>0.4</v>
      </c>
      <c r="E27" s="181">
        <f t="shared" si="6"/>
        <v>0.06</v>
      </c>
      <c r="F27" s="181">
        <f t="shared" si="6"/>
        <v>0.16</v>
      </c>
      <c r="G27" s="5">
        <f t="shared" si="6"/>
        <v>0</v>
      </c>
      <c r="I27" s="87"/>
      <c r="J27" s="9">
        <v>23</v>
      </c>
      <c r="K27" s="16" t="s">
        <v>37</v>
      </c>
      <c r="L27" s="16" t="s">
        <v>125</v>
      </c>
      <c r="M27" s="16" t="s">
        <v>125</v>
      </c>
      <c r="N27" s="16" t="s">
        <v>37</v>
      </c>
      <c r="O27" s="16" t="s">
        <v>21</v>
      </c>
      <c r="Q27" s="9">
        <v>7</v>
      </c>
      <c r="R27" s="9">
        <v>6</v>
      </c>
      <c r="S27" s="9">
        <v>6</v>
      </c>
      <c r="T27" s="9">
        <v>7</v>
      </c>
      <c r="U27" s="9">
        <v>2</v>
      </c>
      <c r="W27" s="25">
        <v>1</v>
      </c>
      <c r="X27" s="25">
        <v>2</v>
      </c>
      <c r="Y27" s="25">
        <v>1</v>
      </c>
      <c r="Z27" s="25">
        <v>1</v>
      </c>
      <c r="AA27" s="25">
        <v>1</v>
      </c>
      <c r="AH27" s="5"/>
      <c r="AI27" s="5"/>
      <c r="AO27" s="5"/>
    </row>
    <row r="28" spans="1:41" ht="16.5" customHeight="1" x14ac:dyDescent="0.3">
      <c r="I28" s="87"/>
      <c r="J28" s="25">
        <v>24</v>
      </c>
      <c r="K28" s="16" t="s">
        <v>35</v>
      </c>
      <c r="L28" s="16" t="s">
        <v>19</v>
      </c>
      <c r="M28" s="16" t="s">
        <v>37</v>
      </c>
      <c r="N28" s="16" t="s">
        <v>19</v>
      </c>
      <c r="O28" s="16" t="s">
        <v>36</v>
      </c>
      <c r="Q28" s="9">
        <v>8</v>
      </c>
      <c r="R28" s="9">
        <v>5</v>
      </c>
      <c r="S28" s="9">
        <v>7</v>
      </c>
      <c r="T28" s="9">
        <v>5</v>
      </c>
      <c r="U28" s="9">
        <v>10</v>
      </c>
      <c r="W28" s="25">
        <v>1</v>
      </c>
      <c r="X28" s="25">
        <v>2</v>
      </c>
      <c r="Y28" s="25">
        <v>1</v>
      </c>
      <c r="Z28" s="25">
        <v>2</v>
      </c>
      <c r="AA28" s="25">
        <v>1</v>
      </c>
      <c r="AC28" s="27" t="s">
        <v>132</v>
      </c>
      <c r="AH28" s="5"/>
      <c r="AI28" s="5"/>
      <c r="AJ28" s="27" t="s">
        <v>132</v>
      </c>
      <c r="AO28" s="5"/>
    </row>
    <row r="29" spans="1:41" ht="16.5" customHeight="1" x14ac:dyDescent="0.3">
      <c r="I29" s="87"/>
      <c r="J29" s="9">
        <v>25</v>
      </c>
      <c r="K29" s="16" t="s">
        <v>19</v>
      </c>
      <c r="L29" s="16" t="s">
        <v>95</v>
      </c>
      <c r="M29" s="16" t="s">
        <v>35</v>
      </c>
      <c r="N29" s="16" t="s">
        <v>34</v>
      </c>
      <c r="O29" s="16" t="s">
        <v>35</v>
      </c>
      <c r="Q29" s="9">
        <v>5</v>
      </c>
      <c r="R29" s="9">
        <v>18</v>
      </c>
      <c r="S29" s="9">
        <v>8</v>
      </c>
      <c r="T29" s="9">
        <v>9</v>
      </c>
      <c r="U29" s="9">
        <v>8</v>
      </c>
      <c r="W29" s="25">
        <v>1</v>
      </c>
      <c r="X29" s="25">
        <v>1</v>
      </c>
      <c r="Y29" s="25">
        <v>1</v>
      </c>
      <c r="Z29" s="25">
        <v>1</v>
      </c>
      <c r="AA29" s="25">
        <v>1</v>
      </c>
      <c r="AC29" s="135" t="s">
        <v>42</v>
      </c>
      <c r="AD29" s="135" t="s">
        <v>13</v>
      </c>
      <c r="AE29" s="135" t="s">
        <v>14</v>
      </c>
      <c r="AF29" s="135" t="s">
        <v>15</v>
      </c>
      <c r="AG29" s="135" t="s">
        <v>16</v>
      </c>
      <c r="AH29" s="135" t="s">
        <v>17</v>
      </c>
      <c r="AI29" s="5"/>
      <c r="AJ29" s="135" t="s">
        <v>42</v>
      </c>
      <c r="AK29" s="135" t="s">
        <v>13</v>
      </c>
      <c r="AL29" s="135" t="s">
        <v>14</v>
      </c>
      <c r="AM29" s="135" t="s">
        <v>15</v>
      </c>
      <c r="AN29" s="135" t="s">
        <v>16</v>
      </c>
      <c r="AO29" s="135" t="s">
        <v>17</v>
      </c>
    </row>
    <row r="30" spans="1:41" ht="16.5" customHeight="1" x14ac:dyDescent="0.3">
      <c r="I30" s="87"/>
      <c r="J30" s="25">
        <v>26</v>
      </c>
      <c r="K30" s="16" t="s">
        <v>37</v>
      </c>
      <c r="L30" s="16" t="s">
        <v>91</v>
      </c>
      <c r="M30" s="16" t="s">
        <v>37</v>
      </c>
      <c r="N30" s="16" t="s">
        <v>22</v>
      </c>
      <c r="O30" s="16" t="s">
        <v>22</v>
      </c>
      <c r="Q30" s="9">
        <v>7</v>
      </c>
      <c r="R30" s="9">
        <v>14</v>
      </c>
      <c r="S30" s="9">
        <v>7</v>
      </c>
      <c r="T30" s="9">
        <v>3</v>
      </c>
      <c r="U30" s="9">
        <v>3</v>
      </c>
      <c r="W30" s="25">
        <v>1</v>
      </c>
      <c r="X30" s="25">
        <v>1</v>
      </c>
      <c r="Y30" s="25">
        <v>1</v>
      </c>
      <c r="Z30" s="25">
        <v>1</v>
      </c>
      <c r="AA30" s="25">
        <v>2</v>
      </c>
      <c r="AC30" s="138" t="str" cm="1">
        <f t="array" ref="AC30:AC49">$A$4:$A$23</f>
        <v>WW</v>
      </c>
      <c r="AD30" s="139">
        <v>0</v>
      </c>
      <c r="AE30" s="139">
        <v>0</v>
      </c>
      <c r="AF30" s="139">
        <v>0</v>
      </c>
      <c r="AG30" s="139">
        <v>0</v>
      </c>
      <c r="AH30" s="139">
        <v>0</v>
      </c>
      <c r="AI30" s="5"/>
      <c r="AJ30" s="138" t="str" cm="1">
        <f t="array" ref="AJ30:AJ49">$A$4:$A$23</f>
        <v>WW</v>
      </c>
      <c r="AK30" s="139">
        <v>0</v>
      </c>
      <c r="AL30" s="139">
        <v>0</v>
      </c>
      <c r="AM30" s="139">
        <v>0</v>
      </c>
      <c r="AN30" s="139">
        <v>0</v>
      </c>
      <c r="AO30" s="139">
        <v>0</v>
      </c>
    </row>
    <row r="31" spans="1:41" ht="16.5" customHeight="1" x14ac:dyDescent="0.3">
      <c r="I31" s="87"/>
      <c r="J31" s="9">
        <v>27</v>
      </c>
      <c r="K31" s="16" t="s">
        <v>35</v>
      </c>
      <c r="L31" s="16" t="s">
        <v>35</v>
      </c>
      <c r="M31" s="16" t="s">
        <v>37</v>
      </c>
      <c r="N31" s="16" t="s">
        <v>37</v>
      </c>
      <c r="O31" s="16" t="s">
        <v>18</v>
      </c>
      <c r="Q31" s="9">
        <v>8</v>
      </c>
      <c r="R31" s="9">
        <v>8</v>
      </c>
      <c r="S31" s="9">
        <v>7</v>
      </c>
      <c r="T31" s="9">
        <v>7</v>
      </c>
      <c r="U31" s="9">
        <v>4</v>
      </c>
      <c r="W31" s="25">
        <v>1</v>
      </c>
      <c r="X31" s="25">
        <v>1</v>
      </c>
      <c r="Y31" s="25">
        <v>1</v>
      </c>
      <c r="Z31" s="25">
        <v>1</v>
      </c>
      <c r="AA31" s="25">
        <v>2</v>
      </c>
      <c r="AC31" s="138" t="str">
        <v>C1</v>
      </c>
      <c r="AD31" s="138">
        <v>0</v>
      </c>
      <c r="AE31" s="138">
        <v>6</v>
      </c>
      <c r="AF31" s="138">
        <v>0</v>
      </c>
      <c r="AG31" s="138">
        <v>9</v>
      </c>
      <c r="AH31" s="138">
        <v>0</v>
      </c>
      <c r="AI31" s="5"/>
      <c r="AJ31" s="138" t="str">
        <v>C1</v>
      </c>
      <c r="AK31" s="138">
        <v>0</v>
      </c>
      <c r="AL31" s="138">
        <v>6</v>
      </c>
      <c r="AM31" s="138">
        <v>0</v>
      </c>
      <c r="AN31" s="138">
        <v>9</v>
      </c>
      <c r="AO31" s="138">
        <v>0</v>
      </c>
    </row>
    <row r="32" spans="1:41" ht="16.5" customHeight="1" x14ac:dyDescent="0.3">
      <c r="J32" s="25">
        <v>28</v>
      </c>
      <c r="K32" s="16" t="s">
        <v>19</v>
      </c>
      <c r="L32" s="16" t="s">
        <v>22</v>
      </c>
      <c r="M32" s="16" t="s">
        <v>125</v>
      </c>
      <c r="N32" s="16" t="s">
        <v>22</v>
      </c>
      <c r="O32" s="16" t="s">
        <v>125</v>
      </c>
      <c r="Q32" s="9">
        <v>5</v>
      </c>
      <c r="R32" s="9">
        <v>3</v>
      </c>
      <c r="S32" s="9">
        <v>6</v>
      </c>
      <c r="T32" s="9">
        <v>3</v>
      </c>
      <c r="U32" s="9">
        <v>6</v>
      </c>
      <c r="W32" s="25">
        <v>2</v>
      </c>
      <c r="X32" s="25">
        <v>2</v>
      </c>
      <c r="Y32" s="25">
        <v>1</v>
      </c>
      <c r="Z32" s="25">
        <v>2</v>
      </c>
      <c r="AA32" s="25">
        <v>2</v>
      </c>
      <c r="AC32" s="154" t="str">
        <v>M1</v>
      </c>
      <c r="AD32" s="133">
        <v>4</v>
      </c>
      <c r="AE32" s="133">
        <v>11</v>
      </c>
      <c r="AF32" s="133">
        <v>5</v>
      </c>
      <c r="AG32" s="133">
        <v>21</v>
      </c>
      <c r="AH32" s="133">
        <v>23</v>
      </c>
      <c r="AI32" s="5"/>
      <c r="AJ32" s="154" t="str">
        <v>M1</v>
      </c>
      <c r="AK32" s="133">
        <v>4</v>
      </c>
      <c r="AL32" s="133">
        <v>11</v>
      </c>
      <c r="AM32" s="133">
        <v>5</v>
      </c>
      <c r="AN32" s="133">
        <v>21</v>
      </c>
      <c r="AO32" s="133">
        <v>23</v>
      </c>
    </row>
    <row r="33" spans="10:41" ht="16.5" customHeight="1" x14ac:dyDescent="0.3">
      <c r="J33" s="9">
        <v>29</v>
      </c>
      <c r="K33" s="16" t="s">
        <v>34</v>
      </c>
      <c r="L33" s="16" t="s">
        <v>21</v>
      </c>
      <c r="M33" s="16" t="s">
        <v>112</v>
      </c>
      <c r="N33" s="16" t="s">
        <v>22</v>
      </c>
      <c r="O33" s="16" t="s">
        <v>34</v>
      </c>
      <c r="Q33" s="9">
        <v>9</v>
      </c>
      <c r="R33" s="9">
        <v>2</v>
      </c>
      <c r="S33" s="9">
        <v>17</v>
      </c>
      <c r="T33" s="9">
        <v>3</v>
      </c>
      <c r="U33" s="9">
        <v>9</v>
      </c>
      <c r="W33" s="25">
        <v>2</v>
      </c>
      <c r="X33" s="25">
        <v>2</v>
      </c>
      <c r="Y33" s="25">
        <v>1</v>
      </c>
      <c r="Z33" s="25">
        <v>2</v>
      </c>
      <c r="AA33" s="25">
        <v>2</v>
      </c>
      <c r="AC33" s="154" t="str">
        <v>M2</v>
      </c>
      <c r="AD33" s="133">
        <v>4</v>
      </c>
      <c r="AE33" s="133">
        <v>11</v>
      </c>
      <c r="AF33" s="133">
        <v>5</v>
      </c>
      <c r="AG33" s="133">
        <v>21</v>
      </c>
      <c r="AH33" s="133">
        <v>23</v>
      </c>
      <c r="AI33" s="5"/>
      <c r="AJ33" s="154" t="str">
        <v>M2</v>
      </c>
      <c r="AK33" s="133">
        <v>4</v>
      </c>
      <c r="AL33" s="133">
        <v>11</v>
      </c>
      <c r="AM33" s="133">
        <v>5</v>
      </c>
      <c r="AN33" s="133">
        <v>21</v>
      </c>
      <c r="AO33" s="133">
        <v>23</v>
      </c>
    </row>
    <row r="34" spans="10:41" ht="16.5" customHeight="1" x14ac:dyDescent="0.3">
      <c r="J34" s="25">
        <v>30</v>
      </c>
      <c r="K34" s="16" t="s">
        <v>19</v>
      </c>
      <c r="L34" s="16" t="s">
        <v>126</v>
      </c>
      <c r="M34" s="16" t="s">
        <v>19</v>
      </c>
      <c r="N34" s="16" t="s">
        <v>18</v>
      </c>
      <c r="O34" s="16" t="s">
        <v>21</v>
      </c>
      <c r="Q34" s="9">
        <v>5</v>
      </c>
      <c r="R34" s="9">
        <v>15</v>
      </c>
      <c r="S34" s="9">
        <v>5</v>
      </c>
      <c r="T34" s="9">
        <v>4</v>
      </c>
      <c r="U34" s="9">
        <v>2</v>
      </c>
      <c r="W34" s="25">
        <v>2</v>
      </c>
      <c r="X34" s="25">
        <v>2</v>
      </c>
      <c r="Y34" s="25">
        <v>1</v>
      </c>
      <c r="Z34" s="25">
        <v>2</v>
      </c>
      <c r="AA34" s="25">
        <v>2</v>
      </c>
      <c r="AC34" s="154" t="str">
        <v>M3</v>
      </c>
      <c r="AD34" s="133">
        <v>4</v>
      </c>
      <c r="AE34" s="133">
        <v>11</v>
      </c>
      <c r="AF34" s="133">
        <v>5</v>
      </c>
      <c r="AG34" s="133">
        <v>21</v>
      </c>
      <c r="AH34" s="133">
        <v>22</v>
      </c>
      <c r="AI34" s="5"/>
      <c r="AJ34" s="154" t="str">
        <v>M3</v>
      </c>
      <c r="AK34" s="133">
        <v>4</v>
      </c>
      <c r="AL34" s="133">
        <v>11</v>
      </c>
      <c r="AM34" s="133">
        <v>5</v>
      </c>
      <c r="AN34" s="133">
        <v>21</v>
      </c>
      <c r="AO34" s="133">
        <v>22</v>
      </c>
    </row>
    <row r="35" spans="10:41" ht="16.5" customHeight="1" x14ac:dyDescent="0.3">
      <c r="J35" s="9">
        <v>31</v>
      </c>
      <c r="K35" s="16" t="s">
        <v>19</v>
      </c>
      <c r="L35" s="16" t="s">
        <v>90</v>
      </c>
      <c r="M35" s="16" t="s">
        <v>36</v>
      </c>
      <c r="N35" s="16" t="s">
        <v>36</v>
      </c>
      <c r="O35" s="16" t="s">
        <v>21</v>
      </c>
      <c r="Q35" s="9">
        <v>5</v>
      </c>
      <c r="R35" s="9">
        <v>13</v>
      </c>
      <c r="S35" s="9">
        <v>10</v>
      </c>
      <c r="T35" s="9">
        <v>10</v>
      </c>
      <c r="U35" s="9">
        <v>2</v>
      </c>
      <c r="W35" s="25">
        <v>2</v>
      </c>
      <c r="X35" s="25">
        <v>2</v>
      </c>
      <c r="Y35" s="25">
        <v>1</v>
      </c>
      <c r="Z35" s="25">
        <v>1</v>
      </c>
      <c r="AA35" s="25">
        <v>2</v>
      </c>
      <c r="AC35" s="154" t="str">
        <v>M4</v>
      </c>
      <c r="AD35" s="133">
        <v>43</v>
      </c>
      <c r="AE35" s="133">
        <v>20</v>
      </c>
      <c r="AF35" s="133">
        <v>41</v>
      </c>
      <c r="AG35" s="133">
        <v>14</v>
      </c>
      <c r="AH35" s="133">
        <v>22</v>
      </c>
      <c r="AI35" s="5"/>
      <c r="AJ35" s="154" t="str">
        <v>M4</v>
      </c>
      <c r="AK35" s="133">
        <v>43</v>
      </c>
      <c r="AL35" s="133">
        <v>20</v>
      </c>
      <c r="AM35" s="133">
        <v>41</v>
      </c>
      <c r="AN35" s="133">
        <v>14</v>
      </c>
      <c r="AO35" s="133">
        <v>22</v>
      </c>
    </row>
    <row r="36" spans="10:41" ht="16.5" customHeight="1" x14ac:dyDescent="0.3">
      <c r="J36" s="25">
        <v>32</v>
      </c>
      <c r="K36" s="16" t="s">
        <v>19</v>
      </c>
      <c r="L36" s="16" t="s">
        <v>18</v>
      </c>
      <c r="M36" s="16" t="s">
        <v>35</v>
      </c>
      <c r="N36" s="16" t="s">
        <v>36</v>
      </c>
      <c r="O36" s="16" t="s">
        <v>18</v>
      </c>
      <c r="Q36" s="9">
        <v>5</v>
      </c>
      <c r="R36" s="9">
        <v>4</v>
      </c>
      <c r="S36" s="9">
        <v>8</v>
      </c>
      <c r="T36" s="9">
        <v>10</v>
      </c>
      <c r="U36" s="9">
        <v>4</v>
      </c>
      <c r="W36" s="25">
        <v>1</v>
      </c>
      <c r="X36" s="25">
        <v>2</v>
      </c>
      <c r="Y36" s="25">
        <v>1</v>
      </c>
      <c r="Z36" s="25">
        <v>1</v>
      </c>
      <c r="AA36" s="25">
        <v>2</v>
      </c>
      <c r="AC36" s="154" t="str">
        <v>M5</v>
      </c>
      <c r="AD36" s="133">
        <v>43</v>
      </c>
      <c r="AE36" s="133">
        <v>21</v>
      </c>
      <c r="AF36" s="133">
        <v>41</v>
      </c>
      <c r="AG36" s="133">
        <v>14</v>
      </c>
      <c r="AH36" s="133">
        <v>22</v>
      </c>
      <c r="AI36" s="5"/>
      <c r="AJ36" s="154" t="str">
        <v>M5</v>
      </c>
      <c r="AK36" s="133">
        <v>43</v>
      </c>
      <c r="AL36" s="133">
        <v>21</v>
      </c>
      <c r="AM36" s="133">
        <v>41</v>
      </c>
      <c r="AN36" s="133">
        <v>14</v>
      </c>
      <c r="AO36" s="133">
        <v>22</v>
      </c>
    </row>
    <row r="37" spans="10:41" ht="16.5" customHeight="1" x14ac:dyDescent="0.3">
      <c r="J37" s="9">
        <v>33</v>
      </c>
      <c r="K37" s="16" t="s">
        <v>125</v>
      </c>
      <c r="L37" s="16" t="s">
        <v>21</v>
      </c>
      <c r="M37" s="16" t="s">
        <v>126</v>
      </c>
      <c r="N37" s="16" t="s">
        <v>37</v>
      </c>
      <c r="O37" s="16" t="s">
        <v>18</v>
      </c>
      <c r="Q37" s="9">
        <v>6</v>
      </c>
      <c r="R37" s="9">
        <v>2</v>
      </c>
      <c r="S37" s="9">
        <v>15</v>
      </c>
      <c r="T37" s="9">
        <v>7</v>
      </c>
      <c r="U37" s="9">
        <v>4</v>
      </c>
      <c r="W37" s="25">
        <v>1</v>
      </c>
      <c r="X37" s="25">
        <v>2</v>
      </c>
      <c r="Y37" s="25">
        <v>2</v>
      </c>
      <c r="Z37" s="25">
        <v>1</v>
      </c>
      <c r="AA37" s="25">
        <v>2</v>
      </c>
      <c r="AC37" s="154" t="str">
        <v>A</v>
      </c>
      <c r="AD37" s="133">
        <v>47</v>
      </c>
      <c r="AE37" s="133">
        <v>21</v>
      </c>
      <c r="AF37" s="133">
        <v>41</v>
      </c>
      <c r="AG37" s="133">
        <v>14</v>
      </c>
      <c r="AH37" s="133">
        <v>22</v>
      </c>
      <c r="AI37" s="5"/>
      <c r="AJ37" s="154" t="str">
        <v>A</v>
      </c>
      <c r="AK37" s="133">
        <v>47</v>
      </c>
      <c r="AL37" s="133">
        <v>21</v>
      </c>
      <c r="AM37" s="133">
        <v>41</v>
      </c>
      <c r="AN37" s="133">
        <v>14</v>
      </c>
      <c r="AO37" s="133">
        <v>22</v>
      </c>
    </row>
    <row r="38" spans="10:41" ht="16.5" customHeight="1" x14ac:dyDescent="0.3">
      <c r="J38" s="25">
        <v>34</v>
      </c>
      <c r="K38" s="16" t="s">
        <v>35</v>
      </c>
      <c r="L38" s="16" t="s">
        <v>34</v>
      </c>
      <c r="M38" s="16" t="s">
        <v>19</v>
      </c>
      <c r="N38" s="16" t="s">
        <v>37</v>
      </c>
      <c r="O38" s="16" t="s">
        <v>22</v>
      </c>
      <c r="Q38" s="9">
        <v>8</v>
      </c>
      <c r="R38" s="9">
        <v>9</v>
      </c>
      <c r="S38" s="9">
        <v>5</v>
      </c>
      <c r="T38" s="9">
        <v>7</v>
      </c>
      <c r="U38" s="9">
        <v>3</v>
      </c>
      <c r="W38" s="25">
        <v>1</v>
      </c>
      <c r="X38" s="25">
        <v>2</v>
      </c>
      <c r="Y38" s="25">
        <v>2</v>
      </c>
      <c r="Z38" s="25">
        <v>1</v>
      </c>
      <c r="AA38" s="25">
        <v>1</v>
      </c>
      <c r="AC38" s="154" t="str">
        <v>K</v>
      </c>
      <c r="AD38" s="133">
        <v>47</v>
      </c>
      <c r="AE38" s="133">
        <v>21</v>
      </c>
      <c r="AF38" s="133">
        <v>41</v>
      </c>
      <c r="AG38" s="133">
        <v>14</v>
      </c>
      <c r="AH38" s="133">
        <v>22</v>
      </c>
      <c r="AI38" s="5"/>
      <c r="AJ38" s="154" t="str">
        <v>K</v>
      </c>
      <c r="AK38" s="133">
        <v>47</v>
      </c>
      <c r="AL38" s="133">
        <v>21</v>
      </c>
      <c r="AM38" s="133">
        <v>41</v>
      </c>
      <c r="AN38" s="133">
        <v>14</v>
      </c>
      <c r="AO38" s="133">
        <v>22</v>
      </c>
    </row>
    <row r="39" spans="10:41" ht="16.5" customHeight="1" x14ac:dyDescent="0.3">
      <c r="J39" s="9">
        <v>35</v>
      </c>
      <c r="K39" s="16" t="s">
        <v>37</v>
      </c>
      <c r="L39" s="16" t="s">
        <v>126</v>
      </c>
      <c r="M39" s="16" t="s">
        <v>19</v>
      </c>
      <c r="N39" s="16" t="s">
        <v>125</v>
      </c>
      <c r="O39" s="16" t="s">
        <v>34</v>
      </c>
      <c r="Q39" s="9">
        <v>7</v>
      </c>
      <c r="R39" s="9">
        <v>15</v>
      </c>
      <c r="S39" s="9">
        <v>5</v>
      </c>
      <c r="T39" s="9">
        <v>6</v>
      </c>
      <c r="U39" s="9">
        <v>9</v>
      </c>
      <c r="W39" s="25">
        <v>1</v>
      </c>
      <c r="X39" s="25">
        <v>2</v>
      </c>
      <c r="Y39" s="25">
        <v>2</v>
      </c>
      <c r="Z39" s="25">
        <v>2</v>
      </c>
      <c r="AA39" s="25">
        <v>1</v>
      </c>
      <c r="AC39" s="154" t="str">
        <v>Q</v>
      </c>
      <c r="AD39" s="133">
        <v>4</v>
      </c>
      <c r="AE39" s="133">
        <v>11</v>
      </c>
      <c r="AF39" s="133">
        <v>5</v>
      </c>
      <c r="AG39" s="133">
        <v>20</v>
      </c>
      <c r="AH39" s="133">
        <v>22</v>
      </c>
      <c r="AI39" s="5"/>
      <c r="AJ39" s="154" t="str">
        <v>Q</v>
      </c>
      <c r="AK39" s="133">
        <v>4</v>
      </c>
      <c r="AL39" s="133">
        <v>11</v>
      </c>
      <c r="AM39" s="133">
        <v>5</v>
      </c>
      <c r="AN39" s="133">
        <v>20</v>
      </c>
      <c r="AO39" s="133">
        <v>22</v>
      </c>
    </row>
    <row r="40" spans="10:41" ht="16.5" customHeight="1" x14ac:dyDescent="0.3">
      <c r="J40" s="25">
        <v>36</v>
      </c>
      <c r="K40" s="16" t="s">
        <v>125</v>
      </c>
      <c r="L40" s="16" t="s">
        <v>125</v>
      </c>
      <c r="M40" s="16" t="s">
        <v>36</v>
      </c>
      <c r="N40" s="16" t="s">
        <v>90</v>
      </c>
      <c r="O40" s="16" t="s">
        <v>35</v>
      </c>
      <c r="Q40" s="9">
        <v>6</v>
      </c>
      <c r="R40" s="9">
        <v>6</v>
      </c>
      <c r="S40" s="9">
        <v>10</v>
      </c>
      <c r="T40" s="9">
        <v>13</v>
      </c>
      <c r="U40" s="9">
        <v>8</v>
      </c>
      <c r="W40" s="25">
        <v>1</v>
      </c>
      <c r="X40" s="25">
        <v>2</v>
      </c>
      <c r="Y40" s="25">
        <v>2</v>
      </c>
      <c r="Z40" s="25">
        <v>2</v>
      </c>
      <c r="AA40" s="25">
        <v>1</v>
      </c>
      <c r="AC40" s="154" t="str">
        <v>J</v>
      </c>
      <c r="AD40" s="133">
        <v>4</v>
      </c>
      <c r="AE40" s="133">
        <v>11</v>
      </c>
      <c r="AF40" s="133">
        <v>4</v>
      </c>
      <c r="AG40" s="133">
        <v>20</v>
      </c>
      <c r="AH40" s="133">
        <v>22</v>
      </c>
      <c r="AI40" s="5"/>
      <c r="AJ40" s="154" t="str">
        <v>J</v>
      </c>
      <c r="AK40" s="133">
        <v>4</v>
      </c>
      <c r="AL40" s="133">
        <v>11</v>
      </c>
      <c r="AM40" s="133">
        <v>4</v>
      </c>
      <c r="AN40" s="133">
        <v>20</v>
      </c>
      <c r="AO40" s="133">
        <v>22</v>
      </c>
    </row>
    <row r="41" spans="10:41" ht="16.5" customHeight="1" x14ac:dyDescent="0.3">
      <c r="J41" s="9">
        <v>37</v>
      </c>
      <c r="K41" s="16" t="s">
        <v>37</v>
      </c>
      <c r="L41" s="16" t="s">
        <v>19</v>
      </c>
      <c r="M41" s="16" t="s">
        <v>125</v>
      </c>
      <c r="N41" s="16" t="s">
        <v>18</v>
      </c>
      <c r="O41" s="16" t="s">
        <v>35</v>
      </c>
      <c r="Q41" s="9">
        <v>7</v>
      </c>
      <c r="R41" s="9">
        <v>5</v>
      </c>
      <c r="S41" s="9">
        <v>6</v>
      </c>
      <c r="T41" s="9">
        <v>4</v>
      </c>
      <c r="U41" s="9">
        <v>8</v>
      </c>
      <c r="W41" s="25">
        <v>1</v>
      </c>
      <c r="X41" s="25">
        <v>2</v>
      </c>
      <c r="Y41" s="25">
        <v>2</v>
      </c>
      <c r="Z41" s="25">
        <v>2</v>
      </c>
      <c r="AA41" s="25">
        <v>1</v>
      </c>
      <c r="AC41" s="138" t="str">
        <v>G1</v>
      </c>
      <c r="AD41" s="99">
        <v>0</v>
      </c>
      <c r="AE41" s="99">
        <v>5</v>
      </c>
      <c r="AF41" s="99">
        <v>1</v>
      </c>
      <c r="AG41" s="99">
        <v>5</v>
      </c>
      <c r="AH41" s="99">
        <v>0</v>
      </c>
      <c r="AI41" s="5"/>
      <c r="AJ41" s="138" t="str">
        <v>G1</v>
      </c>
      <c r="AK41" s="99">
        <v>0</v>
      </c>
      <c r="AL41" s="99">
        <v>5</v>
      </c>
      <c r="AM41" s="99">
        <v>1</v>
      </c>
      <c r="AN41" s="99">
        <v>5</v>
      </c>
      <c r="AO41" s="99">
        <v>0</v>
      </c>
    </row>
    <row r="42" spans="10:41" ht="16.5" customHeight="1" x14ac:dyDescent="0.3">
      <c r="J42" s="25">
        <v>38</v>
      </c>
      <c r="K42" s="16" t="s">
        <v>125</v>
      </c>
      <c r="L42" s="16" t="s">
        <v>18</v>
      </c>
      <c r="M42" s="16" t="s">
        <v>18</v>
      </c>
      <c r="N42" s="16" t="s">
        <v>125</v>
      </c>
      <c r="O42" s="16" t="s">
        <v>19</v>
      </c>
      <c r="Q42" s="9">
        <v>6</v>
      </c>
      <c r="R42" s="9">
        <v>4</v>
      </c>
      <c r="S42" s="9">
        <v>4</v>
      </c>
      <c r="T42" s="9">
        <v>6</v>
      </c>
      <c r="U42" s="9">
        <v>5</v>
      </c>
      <c r="W42" s="25">
        <v>1</v>
      </c>
      <c r="X42" s="25">
        <v>1</v>
      </c>
      <c r="Y42" s="25">
        <v>1</v>
      </c>
      <c r="Z42" s="25">
        <v>2</v>
      </c>
      <c r="AA42" s="25">
        <v>2</v>
      </c>
      <c r="AC42" s="138" t="str">
        <v>G2</v>
      </c>
      <c r="AD42" s="99">
        <v>0</v>
      </c>
      <c r="AE42" s="99">
        <v>6</v>
      </c>
      <c r="AF42" s="99">
        <v>1</v>
      </c>
      <c r="AG42" s="99">
        <v>5</v>
      </c>
      <c r="AH42" s="99">
        <v>0</v>
      </c>
      <c r="AI42" s="5"/>
      <c r="AJ42" s="138" t="str">
        <v>G2</v>
      </c>
      <c r="AK42" s="99">
        <v>0</v>
      </c>
      <c r="AL42" s="99">
        <v>6</v>
      </c>
      <c r="AM42" s="99">
        <v>1</v>
      </c>
      <c r="AN42" s="99">
        <v>5</v>
      </c>
      <c r="AO42" s="99">
        <v>0</v>
      </c>
    </row>
    <row r="43" spans="10:41" ht="16.5" customHeight="1" x14ac:dyDescent="0.3">
      <c r="J43" s="9">
        <v>39</v>
      </c>
      <c r="K43" s="16" t="s">
        <v>19</v>
      </c>
      <c r="L43" s="16" t="s">
        <v>90</v>
      </c>
      <c r="M43" s="16" t="s">
        <v>125</v>
      </c>
      <c r="N43" s="16" t="s">
        <v>125</v>
      </c>
      <c r="O43" s="16" t="s">
        <v>19</v>
      </c>
      <c r="Q43" s="9">
        <v>5</v>
      </c>
      <c r="R43" s="9">
        <v>13</v>
      </c>
      <c r="S43" s="9">
        <v>6</v>
      </c>
      <c r="T43" s="9">
        <v>6</v>
      </c>
      <c r="U43" s="9">
        <v>5</v>
      </c>
      <c r="W43" s="25">
        <v>1</v>
      </c>
      <c r="X43" s="25">
        <v>1</v>
      </c>
      <c r="Y43" s="25">
        <v>1</v>
      </c>
      <c r="Z43" s="25">
        <v>2</v>
      </c>
      <c r="AA43" s="25">
        <v>2</v>
      </c>
      <c r="AC43" s="138" t="str">
        <v>G3</v>
      </c>
      <c r="AD43" s="99">
        <v>0</v>
      </c>
      <c r="AE43" s="99">
        <v>6</v>
      </c>
      <c r="AF43" s="99">
        <v>1</v>
      </c>
      <c r="AG43" s="99">
        <v>5</v>
      </c>
      <c r="AH43" s="99">
        <v>0</v>
      </c>
      <c r="AI43" s="5"/>
      <c r="AJ43" s="138" t="str">
        <v>G3</v>
      </c>
      <c r="AK43" s="99">
        <v>0</v>
      </c>
      <c r="AL43" s="99">
        <v>6</v>
      </c>
      <c r="AM43" s="99">
        <v>1</v>
      </c>
      <c r="AN43" s="99">
        <v>5</v>
      </c>
      <c r="AO43" s="99">
        <v>0</v>
      </c>
    </row>
    <row r="44" spans="10:41" ht="16.5" customHeight="1" x14ac:dyDescent="0.3">
      <c r="J44" s="25">
        <v>40</v>
      </c>
      <c r="K44" s="16" t="s">
        <v>37</v>
      </c>
      <c r="L44" s="16" t="s">
        <v>35</v>
      </c>
      <c r="M44" s="16" t="s">
        <v>35</v>
      </c>
      <c r="N44" s="16" t="s">
        <v>22</v>
      </c>
      <c r="O44" s="16" t="s">
        <v>125</v>
      </c>
      <c r="Q44" s="9">
        <v>7</v>
      </c>
      <c r="R44" s="9">
        <v>8</v>
      </c>
      <c r="S44" s="9">
        <v>8</v>
      </c>
      <c r="T44" s="9">
        <v>3</v>
      </c>
      <c r="U44" s="9">
        <v>6</v>
      </c>
      <c r="W44" s="25">
        <v>1</v>
      </c>
      <c r="X44" s="25">
        <v>1</v>
      </c>
      <c r="Y44" s="25">
        <v>1</v>
      </c>
      <c r="Z44" s="25">
        <v>2</v>
      </c>
      <c r="AA44" s="25">
        <v>2</v>
      </c>
      <c r="AC44" s="138" t="str">
        <v>G4</v>
      </c>
      <c r="AD44" s="99">
        <v>0</v>
      </c>
      <c r="AE44" s="99">
        <v>9</v>
      </c>
      <c r="AF44" s="99">
        <v>4</v>
      </c>
      <c r="AG44" s="99">
        <v>4</v>
      </c>
      <c r="AH44" s="99">
        <v>0</v>
      </c>
      <c r="AI44" s="5"/>
      <c r="AJ44" s="138" t="str">
        <v>G4</v>
      </c>
      <c r="AK44" s="99">
        <v>0</v>
      </c>
      <c r="AL44" s="99">
        <v>9</v>
      </c>
      <c r="AM44" s="99">
        <v>4</v>
      </c>
      <c r="AN44" s="99">
        <v>4</v>
      </c>
      <c r="AO44" s="99">
        <v>0</v>
      </c>
    </row>
    <row r="45" spans="10:41" ht="16.5" customHeight="1" x14ac:dyDescent="0.3">
      <c r="J45" s="9">
        <v>41</v>
      </c>
      <c r="K45" s="16" t="s">
        <v>125</v>
      </c>
      <c r="L45" s="16" t="s">
        <v>21</v>
      </c>
      <c r="M45" s="16" t="s">
        <v>35</v>
      </c>
      <c r="N45" s="16" t="s">
        <v>18</v>
      </c>
      <c r="O45" s="16" t="s">
        <v>125</v>
      </c>
      <c r="Q45" s="9">
        <v>6</v>
      </c>
      <c r="R45" s="9">
        <v>2</v>
      </c>
      <c r="S45" s="9">
        <v>8</v>
      </c>
      <c r="T45" s="9">
        <v>4</v>
      </c>
      <c r="U45" s="9">
        <v>6</v>
      </c>
      <c r="W45" s="25">
        <v>1</v>
      </c>
      <c r="X45" s="25">
        <v>2</v>
      </c>
      <c r="Y45" s="25">
        <v>1</v>
      </c>
      <c r="Z45" s="25">
        <v>2</v>
      </c>
      <c r="AA45" s="25">
        <v>1</v>
      </c>
      <c r="AC45" s="138" t="str">
        <v>G5</v>
      </c>
      <c r="AD45" s="99">
        <v>0</v>
      </c>
      <c r="AE45" s="99">
        <v>9</v>
      </c>
      <c r="AF45" s="99">
        <v>4</v>
      </c>
      <c r="AG45" s="99">
        <v>4</v>
      </c>
      <c r="AH45" s="99">
        <v>0</v>
      </c>
      <c r="AI45" s="5"/>
      <c r="AJ45" s="138" t="str">
        <v>G5</v>
      </c>
      <c r="AK45" s="99">
        <v>0</v>
      </c>
      <c r="AL45" s="99">
        <v>9</v>
      </c>
      <c r="AM45" s="99">
        <v>4</v>
      </c>
      <c r="AN45" s="99">
        <v>4</v>
      </c>
      <c r="AO45" s="99">
        <v>0</v>
      </c>
    </row>
    <row r="46" spans="10:41" ht="16.5" customHeight="1" x14ac:dyDescent="0.3">
      <c r="J46" s="25">
        <v>42</v>
      </c>
      <c r="K46" s="16" t="s">
        <v>125</v>
      </c>
      <c r="L46" s="16" t="s">
        <v>126</v>
      </c>
      <c r="M46" s="16" t="s">
        <v>37</v>
      </c>
      <c r="N46" s="16" t="s">
        <v>20</v>
      </c>
      <c r="O46" s="16" t="s">
        <v>18</v>
      </c>
      <c r="Q46" s="9">
        <v>6</v>
      </c>
      <c r="R46" s="9">
        <v>15</v>
      </c>
      <c r="S46" s="9">
        <v>7</v>
      </c>
      <c r="T46" s="9">
        <v>1</v>
      </c>
      <c r="U46" s="9">
        <v>4</v>
      </c>
      <c r="W46" s="25">
        <v>1</v>
      </c>
      <c r="X46" s="25">
        <v>1</v>
      </c>
      <c r="Y46" s="25">
        <v>1</v>
      </c>
      <c r="Z46" s="25">
        <v>1</v>
      </c>
      <c r="AA46" s="25">
        <v>1</v>
      </c>
      <c r="AC46" s="138" t="str">
        <v>GA</v>
      </c>
      <c r="AD46" s="99">
        <v>0</v>
      </c>
      <c r="AE46" s="99">
        <v>9</v>
      </c>
      <c r="AF46" s="99">
        <v>4</v>
      </c>
      <c r="AG46" s="99">
        <v>4</v>
      </c>
      <c r="AH46" s="99">
        <v>0</v>
      </c>
      <c r="AI46" s="5"/>
      <c r="AJ46" s="138" t="str">
        <v>GA</v>
      </c>
      <c r="AK46" s="99">
        <v>0</v>
      </c>
      <c r="AL46" s="99">
        <v>9</v>
      </c>
      <c r="AM46" s="99">
        <v>4</v>
      </c>
      <c r="AN46" s="99">
        <v>4</v>
      </c>
      <c r="AO46" s="99">
        <v>0</v>
      </c>
    </row>
    <row r="47" spans="10:41" ht="16.5" customHeight="1" x14ac:dyDescent="0.3">
      <c r="J47" s="9">
        <v>43</v>
      </c>
      <c r="K47" s="16" t="s">
        <v>37</v>
      </c>
      <c r="L47" s="16" t="s">
        <v>22</v>
      </c>
      <c r="M47" s="16" t="s">
        <v>125</v>
      </c>
      <c r="N47" s="16" t="s">
        <v>19</v>
      </c>
      <c r="O47" s="16" t="s">
        <v>35</v>
      </c>
      <c r="Q47" s="9">
        <v>7</v>
      </c>
      <c r="R47" s="9">
        <v>3</v>
      </c>
      <c r="S47" s="9">
        <v>6</v>
      </c>
      <c r="T47" s="9">
        <v>5</v>
      </c>
      <c r="U47" s="9">
        <v>8</v>
      </c>
      <c r="W47" s="25">
        <v>1</v>
      </c>
      <c r="X47" s="25">
        <v>1</v>
      </c>
      <c r="Y47" s="25">
        <v>1</v>
      </c>
      <c r="Z47" s="25">
        <v>1</v>
      </c>
      <c r="AA47" s="25">
        <v>1</v>
      </c>
      <c r="AC47" s="138" t="str">
        <v>GK</v>
      </c>
      <c r="AD47" s="99">
        <v>0</v>
      </c>
      <c r="AE47" s="99">
        <v>9</v>
      </c>
      <c r="AF47" s="99">
        <v>4</v>
      </c>
      <c r="AG47" s="99">
        <v>4</v>
      </c>
      <c r="AH47" s="99">
        <v>0</v>
      </c>
      <c r="AI47" s="5"/>
      <c r="AJ47" s="138" t="str">
        <v>GK</v>
      </c>
      <c r="AK47" s="99">
        <v>0</v>
      </c>
      <c r="AL47" s="99">
        <v>9</v>
      </c>
      <c r="AM47" s="99">
        <v>4</v>
      </c>
      <c r="AN47" s="99">
        <v>4</v>
      </c>
      <c r="AO47" s="99">
        <v>0</v>
      </c>
    </row>
    <row r="48" spans="10:41" ht="16.5" customHeight="1" x14ac:dyDescent="0.3">
      <c r="J48" s="25">
        <v>44</v>
      </c>
      <c r="K48" s="16" t="s">
        <v>19</v>
      </c>
      <c r="L48" s="16" t="s">
        <v>37</v>
      </c>
      <c r="M48" s="16" t="s">
        <v>37</v>
      </c>
      <c r="N48" s="16" t="s">
        <v>35</v>
      </c>
      <c r="O48" s="16" t="s">
        <v>35</v>
      </c>
      <c r="Q48" s="9">
        <v>5</v>
      </c>
      <c r="R48" s="9">
        <v>7</v>
      </c>
      <c r="S48" s="9">
        <v>7</v>
      </c>
      <c r="T48" s="9">
        <v>8</v>
      </c>
      <c r="U48" s="9">
        <v>8</v>
      </c>
      <c r="W48" s="25">
        <v>2</v>
      </c>
      <c r="X48" s="25">
        <v>1</v>
      </c>
      <c r="Y48" s="25">
        <v>1</v>
      </c>
      <c r="Z48" s="25">
        <v>1</v>
      </c>
      <c r="AA48" s="25">
        <v>1</v>
      </c>
      <c r="AC48" s="138" t="str">
        <v>GQ</v>
      </c>
      <c r="AD48" s="99">
        <v>0</v>
      </c>
      <c r="AE48" s="99">
        <v>6</v>
      </c>
      <c r="AF48" s="99">
        <v>1</v>
      </c>
      <c r="AG48" s="99">
        <v>5</v>
      </c>
      <c r="AH48" s="99">
        <v>0</v>
      </c>
      <c r="AI48" s="5"/>
      <c r="AJ48" s="138" t="str">
        <v>GQ</v>
      </c>
      <c r="AK48" s="99">
        <v>0</v>
      </c>
      <c r="AL48" s="99">
        <v>6</v>
      </c>
      <c r="AM48" s="99">
        <v>1</v>
      </c>
      <c r="AN48" s="99">
        <v>5</v>
      </c>
      <c r="AO48" s="99">
        <v>0</v>
      </c>
    </row>
    <row r="49" spans="10:41" ht="16.5" customHeight="1" x14ac:dyDescent="0.3">
      <c r="J49" s="9">
        <v>45</v>
      </c>
      <c r="K49" s="16" t="s">
        <v>19</v>
      </c>
      <c r="L49" s="16" t="s">
        <v>112</v>
      </c>
      <c r="M49" s="16" t="s">
        <v>125</v>
      </c>
      <c r="N49" s="16" t="s">
        <v>18</v>
      </c>
      <c r="O49" s="16" t="s">
        <v>125</v>
      </c>
      <c r="Q49" s="9">
        <v>5</v>
      </c>
      <c r="R49" s="9">
        <v>17</v>
      </c>
      <c r="S49" s="9">
        <v>6</v>
      </c>
      <c r="T49" s="9">
        <v>4</v>
      </c>
      <c r="U49" s="9">
        <v>6</v>
      </c>
      <c r="W49" s="25">
        <v>2</v>
      </c>
      <c r="X49" s="25">
        <v>1</v>
      </c>
      <c r="Y49" s="25">
        <v>1</v>
      </c>
      <c r="Z49" s="25">
        <v>2</v>
      </c>
      <c r="AA49" s="25">
        <v>2</v>
      </c>
      <c r="AC49" s="138" t="str">
        <v>GJ</v>
      </c>
      <c r="AD49" s="99">
        <v>0</v>
      </c>
      <c r="AE49" s="99">
        <v>6</v>
      </c>
      <c r="AF49" s="99">
        <v>1</v>
      </c>
      <c r="AG49" s="99">
        <v>5</v>
      </c>
      <c r="AH49" s="99">
        <v>0</v>
      </c>
      <c r="AI49" s="5"/>
      <c r="AJ49" s="138" t="str">
        <v>GJ</v>
      </c>
      <c r="AK49" s="99">
        <v>0</v>
      </c>
      <c r="AL49" s="99">
        <v>6</v>
      </c>
      <c r="AM49" s="99">
        <v>1</v>
      </c>
      <c r="AN49" s="99">
        <v>5</v>
      </c>
      <c r="AO49" s="99">
        <v>0</v>
      </c>
    </row>
    <row r="50" spans="10:41" ht="16.5" customHeight="1" x14ac:dyDescent="0.3">
      <c r="J50" s="25">
        <v>46</v>
      </c>
      <c r="K50" s="16" t="s">
        <v>18</v>
      </c>
      <c r="L50" s="16" t="s">
        <v>112</v>
      </c>
      <c r="M50" s="16" t="s">
        <v>35</v>
      </c>
      <c r="N50" s="16" t="s">
        <v>34</v>
      </c>
      <c r="O50" s="16" t="s">
        <v>21</v>
      </c>
      <c r="Q50" s="9">
        <v>4</v>
      </c>
      <c r="R50" s="9">
        <v>17</v>
      </c>
      <c r="S50" s="9">
        <v>8</v>
      </c>
      <c r="T50" s="9">
        <v>9</v>
      </c>
      <c r="U50" s="9">
        <v>2</v>
      </c>
      <c r="W50" s="25">
        <v>1</v>
      </c>
      <c r="X50" s="25">
        <v>1</v>
      </c>
      <c r="Y50" s="25">
        <v>1</v>
      </c>
      <c r="Z50" s="25">
        <v>2</v>
      </c>
      <c r="AA50" s="25">
        <v>2</v>
      </c>
      <c r="AD50" s="113">
        <f>SUM(AD30:AD49)</f>
        <v>200</v>
      </c>
      <c r="AE50" s="113">
        <f>SUM(AE30:AE49)</f>
        <v>209</v>
      </c>
      <c r="AF50" s="113">
        <f>SUM(AF30:AF49)</f>
        <v>209</v>
      </c>
      <c r="AG50" s="113">
        <f>SUM(AG30:AG49)</f>
        <v>209</v>
      </c>
      <c r="AH50" s="113">
        <f>SUM(AH30:AH49)</f>
        <v>200</v>
      </c>
      <c r="AI50" s="5"/>
      <c r="AK50" s="113">
        <f>SUM(AK30:AK49)</f>
        <v>200</v>
      </c>
      <c r="AL50" s="113">
        <f>SUM(AL30:AL49)</f>
        <v>209</v>
      </c>
      <c r="AM50" s="113">
        <f>SUM(AM30:AM49)</f>
        <v>209</v>
      </c>
      <c r="AN50" s="113">
        <f>SUM(AN30:AN49)</f>
        <v>209</v>
      </c>
      <c r="AO50" s="113">
        <f>SUM(AO30:AO49)</f>
        <v>200</v>
      </c>
    </row>
    <row r="51" spans="10:41" ht="16.5" customHeight="1" x14ac:dyDescent="0.3">
      <c r="J51" s="9">
        <v>47</v>
      </c>
      <c r="K51" s="16" t="s">
        <v>21</v>
      </c>
      <c r="L51" s="16" t="s">
        <v>35</v>
      </c>
      <c r="M51" s="16" t="s">
        <v>19</v>
      </c>
      <c r="N51" s="16" t="s">
        <v>88</v>
      </c>
      <c r="O51" s="16" t="s">
        <v>125</v>
      </c>
      <c r="Q51" s="9">
        <v>2</v>
      </c>
      <c r="R51" s="9">
        <v>8</v>
      </c>
      <c r="S51" s="9">
        <v>5</v>
      </c>
      <c r="T51" s="9">
        <v>11</v>
      </c>
      <c r="U51" s="9">
        <v>6</v>
      </c>
      <c r="W51" s="25">
        <v>1</v>
      </c>
      <c r="X51" s="25">
        <v>1</v>
      </c>
      <c r="Y51" s="25">
        <v>1</v>
      </c>
      <c r="Z51" s="25">
        <v>1</v>
      </c>
      <c r="AA51" s="25">
        <v>2</v>
      </c>
      <c r="AH51" s="5"/>
      <c r="AI51" s="5"/>
      <c r="AO51" s="5"/>
    </row>
    <row r="52" spans="10:41" ht="16.5" customHeight="1" x14ac:dyDescent="0.3">
      <c r="J52" s="25">
        <v>48</v>
      </c>
      <c r="K52" s="16" t="s">
        <v>37</v>
      </c>
      <c r="L52" s="16" t="s">
        <v>19</v>
      </c>
      <c r="M52" s="16" t="s">
        <v>37</v>
      </c>
      <c r="N52" s="16" t="s">
        <v>34</v>
      </c>
      <c r="O52" s="16" t="s">
        <v>125</v>
      </c>
      <c r="Q52" s="9">
        <v>7</v>
      </c>
      <c r="R52" s="9">
        <v>5</v>
      </c>
      <c r="S52" s="9">
        <v>7</v>
      </c>
      <c r="T52" s="9">
        <v>9</v>
      </c>
      <c r="U52" s="9">
        <v>6</v>
      </c>
      <c r="W52" s="25">
        <v>1</v>
      </c>
      <c r="X52" s="25">
        <v>1</v>
      </c>
      <c r="Y52" s="25">
        <v>1</v>
      </c>
      <c r="Z52" s="25">
        <v>1</v>
      </c>
      <c r="AA52" s="25">
        <v>2</v>
      </c>
      <c r="AC52" s="27" t="s">
        <v>130</v>
      </c>
      <c r="AH52" s="5"/>
      <c r="AI52" s="5"/>
      <c r="AJ52" s="27" t="s">
        <v>130</v>
      </c>
      <c r="AO52" s="5"/>
    </row>
    <row r="53" spans="10:41" ht="16.5" customHeight="1" x14ac:dyDescent="0.3">
      <c r="J53" s="9">
        <v>49</v>
      </c>
      <c r="K53" s="16" t="s">
        <v>19</v>
      </c>
      <c r="L53" s="16" t="s">
        <v>95</v>
      </c>
      <c r="M53" s="16" t="s">
        <v>19</v>
      </c>
      <c r="N53" s="16" t="s">
        <v>35</v>
      </c>
      <c r="O53" s="16" t="s">
        <v>19</v>
      </c>
      <c r="Q53" s="9">
        <v>5</v>
      </c>
      <c r="R53" s="9">
        <v>18</v>
      </c>
      <c r="S53" s="9">
        <v>5</v>
      </c>
      <c r="T53" s="9">
        <v>8</v>
      </c>
      <c r="U53" s="9">
        <v>5</v>
      </c>
      <c r="W53" s="25">
        <v>1</v>
      </c>
      <c r="X53" s="25">
        <v>1</v>
      </c>
      <c r="Y53" s="25">
        <v>1</v>
      </c>
      <c r="Z53" s="25">
        <v>1</v>
      </c>
      <c r="AA53" s="25">
        <v>2</v>
      </c>
      <c r="AC53" s="135" t="s">
        <v>42</v>
      </c>
      <c r="AD53" s="135" t="s">
        <v>13</v>
      </c>
      <c r="AE53" s="135" t="s">
        <v>14</v>
      </c>
      <c r="AF53" s="135" t="s">
        <v>15</v>
      </c>
      <c r="AG53" s="135" t="s">
        <v>16</v>
      </c>
      <c r="AH53" s="135" t="s">
        <v>17</v>
      </c>
      <c r="AI53" s="5"/>
      <c r="AJ53" s="135" t="s">
        <v>42</v>
      </c>
      <c r="AK53" s="135" t="s">
        <v>13</v>
      </c>
      <c r="AL53" s="135" t="s">
        <v>14</v>
      </c>
      <c r="AM53" s="135" t="s">
        <v>15</v>
      </c>
      <c r="AN53" s="135" t="s">
        <v>16</v>
      </c>
      <c r="AO53" s="135" t="s">
        <v>17</v>
      </c>
    </row>
    <row r="54" spans="10:41" ht="16.5" customHeight="1" x14ac:dyDescent="0.3">
      <c r="J54" s="25">
        <v>50</v>
      </c>
      <c r="K54" s="16" t="s">
        <v>37</v>
      </c>
      <c r="L54" s="16" t="s">
        <v>92</v>
      </c>
      <c r="M54" s="16" t="s">
        <v>125</v>
      </c>
      <c r="N54" s="16" t="s">
        <v>19</v>
      </c>
      <c r="O54" s="16" t="s">
        <v>19</v>
      </c>
      <c r="Q54" s="9">
        <v>7</v>
      </c>
      <c r="R54" s="9">
        <v>16</v>
      </c>
      <c r="S54" s="9">
        <v>6</v>
      </c>
      <c r="T54" s="9">
        <v>5</v>
      </c>
      <c r="U54" s="9">
        <v>5</v>
      </c>
      <c r="W54" s="25">
        <v>1</v>
      </c>
      <c r="X54" s="25">
        <v>1</v>
      </c>
      <c r="Y54" s="25">
        <v>1</v>
      </c>
      <c r="Z54" s="25">
        <v>2</v>
      </c>
      <c r="AA54" s="25">
        <v>2</v>
      </c>
      <c r="AC54" s="138" t="str" cm="1">
        <f t="array" ref="AC54:AC73">$A$4:$A$23</f>
        <v>WW</v>
      </c>
      <c r="AD54" s="139">
        <v>0</v>
      </c>
      <c r="AE54" s="139">
        <v>0</v>
      </c>
      <c r="AF54" s="139">
        <v>0</v>
      </c>
      <c r="AG54" s="139">
        <v>0</v>
      </c>
      <c r="AH54" s="139">
        <v>0</v>
      </c>
      <c r="AI54" s="5"/>
      <c r="AJ54" s="138" t="str" cm="1">
        <f t="array" ref="AJ54:AJ73">$A$4:$A$23</f>
        <v>WW</v>
      </c>
      <c r="AK54" s="139">
        <v>0</v>
      </c>
      <c r="AL54" s="139">
        <v>0</v>
      </c>
      <c r="AM54" s="139">
        <v>0</v>
      </c>
      <c r="AN54" s="139">
        <v>0</v>
      </c>
      <c r="AO54" s="139">
        <v>0</v>
      </c>
    </row>
    <row r="55" spans="10:41" ht="16.5" customHeight="1" x14ac:dyDescent="0.3">
      <c r="J55" s="9">
        <v>51</v>
      </c>
      <c r="K55" s="16" t="s">
        <v>125</v>
      </c>
      <c r="L55" s="16" t="s">
        <v>92</v>
      </c>
      <c r="M55" s="16" t="s">
        <v>35</v>
      </c>
      <c r="N55" s="16" t="s">
        <v>22</v>
      </c>
      <c r="O55" s="16" t="s">
        <v>36</v>
      </c>
      <c r="Q55" s="9">
        <v>6</v>
      </c>
      <c r="R55" s="9">
        <v>16</v>
      </c>
      <c r="S55" s="9">
        <v>8</v>
      </c>
      <c r="T55" s="9">
        <v>3</v>
      </c>
      <c r="U55" s="9">
        <v>10</v>
      </c>
      <c r="W55" s="25">
        <v>1</v>
      </c>
      <c r="X55" s="25">
        <v>1</v>
      </c>
      <c r="Y55" s="25">
        <v>1</v>
      </c>
      <c r="Z55" s="25">
        <v>2</v>
      </c>
      <c r="AA55" s="25">
        <v>1</v>
      </c>
      <c r="AC55" s="138" t="str">
        <v>C1</v>
      </c>
      <c r="AD55" s="138">
        <v>0</v>
      </c>
      <c r="AE55" s="138">
        <v>6</v>
      </c>
      <c r="AF55" s="138">
        <v>0</v>
      </c>
      <c r="AG55" s="138">
        <v>9</v>
      </c>
      <c r="AH55" s="138">
        <v>0</v>
      </c>
      <c r="AI55" s="5"/>
      <c r="AJ55" s="138" t="str">
        <v>C1</v>
      </c>
      <c r="AK55" s="138">
        <v>0</v>
      </c>
      <c r="AL55" s="138">
        <v>6</v>
      </c>
      <c r="AM55" s="138">
        <v>0</v>
      </c>
      <c r="AN55" s="138">
        <v>9</v>
      </c>
      <c r="AO55" s="138">
        <v>0</v>
      </c>
    </row>
    <row r="56" spans="10:41" ht="16.5" customHeight="1" x14ac:dyDescent="0.3">
      <c r="J56" s="25">
        <v>52</v>
      </c>
      <c r="K56" s="16" t="s">
        <v>35</v>
      </c>
      <c r="L56" s="16" t="s">
        <v>19</v>
      </c>
      <c r="M56" s="16" t="s">
        <v>18</v>
      </c>
      <c r="N56" s="16" t="s">
        <v>19</v>
      </c>
      <c r="O56" s="16" t="s">
        <v>36</v>
      </c>
      <c r="Q56" s="9">
        <v>8</v>
      </c>
      <c r="R56" s="9">
        <v>5</v>
      </c>
      <c r="S56" s="9">
        <v>4</v>
      </c>
      <c r="T56" s="9">
        <v>5</v>
      </c>
      <c r="U56" s="9">
        <v>10</v>
      </c>
      <c r="W56" s="25">
        <v>1</v>
      </c>
      <c r="X56" s="25">
        <v>2</v>
      </c>
      <c r="Y56" s="25">
        <v>1</v>
      </c>
      <c r="Z56" s="25">
        <v>2</v>
      </c>
      <c r="AA56" s="25">
        <v>1</v>
      </c>
      <c r="AC56" s="154" t="str">
        <v>M1</v>
      </c>
      <c r="AD56" s="133">
        <v>4</v>
      </c>
      <c r="AE56" s="133">
        <v>11</v>
      </c>
      <c r="AF56" s="133">
        <v>5</v>
      </c>
      <c r="AG56" s="133">
        <v>21</v>
      </c>
      <c r="AH56" s="133">
        <v>23</v>
      </c>
      <c r="AI56" s="5"/>
      <c r="AJ56" s="154" t="str">
        <v>M1</v>
      </c>
      <c r="AK56" s="133">
        <v>4</v>
      </c>
      <c r="AL56" s="133">
        <v>11</v>
      </c>
      <c r="AM56" s="133">
        <v>5</v>
      </c>
      <c r="AN56" s="133">
        <v>21</v>
      </c>
      <c r="AO56" s="133">
        <v>23</v>
      </c>
    </row>
    <row r="57" spans="10:41" ht="16.5" customHeight="1" x14ac:dyDescent="0.3">
      <c r="J57" s="9">
        <v>53</v>
      </c>
      <c r="K57" s="16" t="s">
        <v>125</v>
      </c>
      <c r="L57" s="16" t="s">
        <v>90</v>
      </c>
      <c r="M57" s="16" t="s">
        <v>37</v>
      </c>
      <c r="N57" s="16" t="s">
        <v>34</v>
      </c>
      <c r="O57" s="16" t="s">
        <v>37</v>
      </c>
      <c r="Q57" s="9">
        <v>6</v>
      </c>
      <c r="R57" s="9">
        <v>13</v>
      </c>
      <c r="S57" s="9">
        <v>7</v>
      </c>
      <c r="T57" s="9">
        <v>9</v>
      </c>
      <c r="U57" s="9">
        <v>7</v>
      </c>
      <c r="W57" s="25">
        <v>1</v>
      </c>
      <c r="X57" s="25">
        <v>1</v>
      </c>
      <c r="Y57" s="25">
        <v>1</v>
      </c>
      <c r="Z57" s="25">
        <v>2</v>
      </c>
      <c r="AA57" s="25">
        <v>1</v>
      </c>
      <c r="AC57" s="154" t="str">
        <v>M2</v>
      </c>
      <c r="AD57" s="133">
        <v>4</v>
      </c>
      <c r="AE57" s="133">
        <v>11</v>
      </c>
      <c r="AF57" s="133">
        <v>5</v>
      </c>
      <c r="AG57" s="133">
        <v>21</v>
      </c>
      <c r="AH57" s="133">
        <v>23</v>
      </c>
      <c r="AI57" s="5"/>
      <c r="AJ57" s="154" t="str">
        <v>M2</v>
      </c>
      <c r="AK57" s="133">
        <v>4</v>
      </c>
      <c r="AL57" s="133">
        <v>11</v>
      </c>
      <c r="AM57" s="133">
        <v>5</v>
      </c>
      <c r="AN57" s="133">
        <v>21</v>
      </c>
      <c r="AO57" s="133">
        <v>23</v>
      </c>
    </row>
    <row r="58" spans="10:41" ht="16.5" customHeight="1" x14ac:dyDescent="0.3">
      <c r="J58" s="25">
        <v>54</v>
      </c>
      <c r="K58" s="16" t="s">
        <v>35</v>
      </c>
      <c r="L58" s="16" t="s">
        <v>21</v>
      </c>
      <c r="M58" s="16" t="s">
        <v>19</v>
      </c>
      <c r="N58" s="16" t="s">
        <v>21</v>
      </c>
      <c r="O58" s="16" t="s">
        <v>19</v>
      </c>
      <c r="Q58" s="9">
        <v>8</v>
      </c>
      <c r="R58" s="9">
        <v>2</v>
      </c>
      <c r="S58" s="9">
        <v>5</v>
      </c>
      <c r="T58" s="9">
        <v>2</v>
      </c>
      <c r="U58" s="9">
        <v>5</v>
      </c>
      <c r="W58" s="25">
        <v>1</v>
      </c>
      <c r="X58" s="25">
        <v>1</v>
      </c>
      <c r="Y58" s="25">
        <v>1</v>
      </c>
      <c r="Z58" s="25">
        <v>2</v>
      </c>
      <c r="AA58" s="25">
        <v>2</v>
      </c>
      <c r="AC58" s="154" t="str">
        <v>M3</v>
      </c>
      <c r="AD58" s="133">
        <v>4</v>
      </c>
      <c r="AE58" s="133">
        <v>11</v>
      </c>
      <c r="AF58" s="133">
        <v>5</v>
      </c>
      <c r="AG58" s="133">
        <v>21</v>
      </c>
      <c r="AH58" s="133">
        <v>22</v>
      </c>
      <c r="AI58" s="5"/>
      <c r="AJ58" s="154" t="str">
        <v>M3</v>
      </c>
      <c r="AK58" s="133">
        <v>4</v>
      </c>
      <c r="AL58" s="133">
        <v>11</v>
      </c>
      <c r="AM58" s="133">
        <v>5</v>
      </c>
      <c r="AN58" s="133">
        <v>21</v>
      </c>
      <c r="AO58" s="133">
        <v>22</v>
      </c>
    </row>
    <row r="59" spans="10:41" ht="16.5" customHeight="1" x14ac:dyDescent="0.3">
      <c r="J59" s="9">
        <v>55</v>
      </c>
      <c r="K59" s="16" t="s">
        <v>35</v>
      </c>
      <c r="L59" s="16" t="s">
        <v>35</v>
      </c>
      <c r="M59" s="16" t="s">
        <v>35</v>
      </c>
      <c r="N59" s="16" t="s">
        <v>95</v>
      </c>
      <c r="O59" s="16" t="s">
        <v>18</v>
      </c>
      <c r="Q59" s="9">
        <v>8</v>
      </c>
      <c r="R59" s="9">
        <v>8</v>
      </c>
      <c r="S59" s="9">
        <v>8</v>
      </c>
      <c r="T59" s="9">
        <v>18</v>
      </c>
      <c r="U59" s="9">
        <v>4</v>
      </c>
      <c r="W59" s="25">
        <v>1</v>
      </c>
      <c r="X59" s="25">
        <v>1</v>
      </c>
      <c r="Y59" s="25">
        <v>1</v>
      </c>
      <c r="Z59" s="25">
        <v>2</v>
      </c>
      <c r="AA59" s="25">
        <v>2</v>
      </c>
      <c r="AC59" s="154" t="str">
        <v>M4</v>
      </c>
      <c r="AD59" s="133">
        <v>43</v>
      </c>
      <c r="AE59" s="133">
        <v>20</v>
      </c>
      <c r="AF59" s="133">
        <v>41</v>
      </c>
      <c r="AG59" s="133">
        <v>14</v>
      </c>
      <c r="AH59" s="133">
        <v>22</v>
      </c>
      <c r="AI59" s="5"/>
      <c r="AJ59" s="154" t="str">
        <v>M4</v>
      </c>
      <c r="AK59" s="133">
        <v>43</v>
      </c>
      <c r="AL59" s="133">
        <v>20</v>
      </c>
      <c r="AM59" s="133">
        <v>41</v>
      </c>
      <c r="AN59" s="133">
        <v>14</v>
      </c>
      <c r="AO59" s="133">
        <v>22</v>
      </c>
    </row>
    <row r="60" spans="10:41" ht="16.5" customHeight="1" x14ac:dyDescent="0.3">
      <c r="J60" s="25">
        <v>56</v>
      </c>
      <c r="K60" s="16" t="s">
        <v>19</v>
      </c>
      <c r="L60" s="16" t="s">
        <v>92</v>
      </c>
      <c r="M60" s="16" t="s">
        <v>37</v>
      </c>
      <c r="N60" s="16" t="s">
        <v>36</v>
      </c>
      <c r="O60" s="16" t="s">
        <v>34</v>
      </c>
      <c r="Q60" s="9">
        <v>5</v>
      </c>
      <c r="R60" s="9">
        <v>16</v>
      </c>
      <c r="S60" s="9">
        <v>7</v>
      </c>
      <c r="T60" s="9">
        <v>10</v>
      </c>
      <c r="U60" s="9">
        <v>9</v>
      </c>
      <c r="W60" s="25">
        <v>1</v>
      </c>
      <c r="X60" s="25">
        <v>1</v>
      </c>
      <c r="Y60" s="25">
        <v>1</v>
      </c>
      <c r="Z60" s="25">
        <v>1</v>
      </c>
      <c r="AA60" s="25">
        <v>2</v>
      </c>
      <c r="AC60" s="154" t="str">
        <v>M5</v>
      </c>
      <c r="AD60" s="133">
        <v>43</v>
      </c>
      <c r="AE60" s="133">
        <v>21</v>
      </c>
      <c r="AF60" s="133">
        <v>41</v>
      </c>
      <c r="AG60" s="133">
        <v>14</v>
      </c>
      <c r="AH60" s="133">
        <v>22</v>
      </c>
      <c r="AI60" s="5"/>
      <c r="AJ60" s="154" t="str">
        <v>M5</v>
      </c>
      <c r="AK60" s="133">
        <v>43</v>
      </c>
      <c r="AL60" s="133">
        <v>21</v>
      </c>
      <c r="AM60" s="133">
        <v>41</v>
      </c>
      <c r="AN60" s="133">
        <v>14</v>
      </c>
      <c r="AO60" s="133">
        <v>22</v>
      </c>
    </row>
    <row r="61" spans="10:41" x14ac:dyDescent="0.3">
      <c r="J61" s="9">
        <v>57</v>
      </c>
      <c r="K61" s="16" t="s">
        <v>35</v>
      </c>
      <c r="L61" s="16" t="s">
        <v>20</v>
      </c>
      <c r="M61" s="16" t="s">
        <v>35</v>
      </c>
      <c r="N61" s="16" t="s">
        <v>19</v>
      </c>
      <c r="O61" s="16" t="s">
        <v>22</v>
      </c>
      <c r="Q61" s="9">
        <v>8</v>
      </c>
      <c r="R61" s="9">
        <v>1</v>
      </c>
      <c r="S61" s="9">
        <v>8</v>
      </c>
      <c r="T61" s="9">
        <v>5</v>
      </c>
      <c r="U61" s="9">
        <v>3</v>
      </c>
      <c r="W61" s="25">
        <v>1</v>
      </c>
      <c r="X61" s="25">
        <v>1</v>
      </c>
      <c r="Y61" s="25">
        <v>1</v>
      </c>
      <c r="Z61" s="25">
        <v>1</v>
      </c>
      <c r="AA61" s="25">
        <v>1</v>
      </c>
      <c r="AC61" s="154" t="str">
        <v>A</v>
      </c>
      <c r="AD61" s="133">
        <v>47</v>
      </c>
      <c r="AE61" s="133">
        <v>21</v>
      </c>
      <c r="AF61" s="133">
        <v>41</v>
      </c>
      <c r="AG61" s="133">
        <v>14</v>
      </c>
      <c r="AH61" s="133">
        <v>22</v>
      </c>
      <c r="AI61" s="5"/>
      <c r="AJ61" s="154" t="str">
        <v>A</v>
      </c>
      <c r="AK61" s="133">
        <v>47</v>
      </c>
      <c r="AL61" s="133">
        <v>21</v>
      </c>
      <c r="AM61" s="133">
        <v>41</v>
      </c>
      <c r="AN61" s="133">
        <v>14</v>
      </c>
      <c r="AO61" s="133">
        <v>22</v>
      </c>
    </row>
    <row r="62" spans="10:41" x14ac:dyDescent="0.3">
      <c r="J62" s="25">
        <v>58</v>
      </c>
      <c r="K62" s="16" t="s">
        <v>125</v>
      </c>
      <c r="L62" s="16" t="s">
        <v>35</v>
      </c>
      <c r="M62" s="16" t="s">
        <v>37</v>
      </c>
      <c r="N62" s="16" t="s">
        <v>92</v>
      </c>
      <c r="O62" s="16" t="s">
        <v>18</v>
      </c>
      <c r="Q62" s="9">
        <v>6</v>
      </c>
      <c r="R62" s="9">
        <v>8</v>
      </c>
      <c r="S62" s="9">
        <v>7</v>
      </c>
      <c r="T62" s="9">
        <v>16</v>
      </c>
      <c r="U62" s="9">
        <v>4</v>
      </c>
      <c r="W62" s="25">
        <v>1</v>
      </c>
      <c r="X62" s="25">
        <v>1</v>
      </c>
      <c r="Y62" s="25">
        <v>1</v>
      </c>
      <c r="Z62" s="25">
        <v>1</v>
      </c>
      <c r="AA62" s="25">
        <v>1</v>
      </c>
      <c r="AC62" s="154" t="str">
        <v>K</v>
      </c>
      <c r="AD62" s="133">
        <v>47</v>
      </c>
      <c r="AE62" s="133">
        <v>21</v>
      </c>
      <c r="AF62" s="133">
        <v>41</v>
      </c>
      <c r="AG62" s="133">
        <v>14</v>
      </c>
      <c r="AH62" s="133">
        <v>22</v>
      </c>
      <c r="AI62" s="5"/>
      <c r="AJ62" s="154" t="str">
        <v>K</v>
      </c>
      <c r="AK62" s="133">
        <v>47</v>
      </c>
      <c r="AL62" s="133">
        <v>21</v>
      </c>
      <c r="AM62" s="133">
        <v>41</v>
      </c>
      <c r="AN62" s="133">
        <v>14</v>
      </c>
      <c r="AO62" s="133">
        <v>22</v>
      </c>
    </row>
    <row r="63" spans="10:41" ht="16.5" customHeight="1" x14ac:dyDescent="0.3">
      <c r="J63" s="9">
        <v>59</v>
      </c>
      <c r="K63" s="16" t="s">
        <v>37</v>
      </c>
      <c r="L63" s="16" t="s">
        <v>125</v>
      </c>
      <c r="M63" s="16" t="s">
        <v>22</v>
      </c>
      <c r="N63" s="16" t="s">
        <v>95</v>
      </c>
      <c r="O63" s="16" t="s">
        <v>37</v>
      </c>
      <c r="Q63" s="9">
        <v>7</v>
      </c>
      <c r="R63" s="9">
        <v>6</v>
      </c>
      <c r="S63" s="9">
        <v>3</v>
      </c>
      <c r="T63" s="9">
        <v>18</v>
      </c>
      <c r="U63" s="9">
        <v>7</v>
      </c>
      <c r="W63" s="25">
        <v>1</v>
      </c>
      <c r="X63" s="25">
        <v>2</v>
      </c>
      <c r="Y63" s="25">
        <v>1</v>
      </c>
      <c r="Z63" s="25">
        <v>1</v>
      </c>
      <c r="AA63" s="25">
        <v>1</v>
      </c>
      <c r="AC63" s="154" t="str">
        <v>Q</v>
      </c>
      <c r="AD63" s="133">
        <v>4</v>
      </c>
      <c r="AE63" s="133">
        <v>11</v>
      </c>
      <c r="AF63" s="133">
        <v>5</v>
      </c>
      <c r="AG63" s="133">
        <v>20</v>
      </c>
      <c r="AH63" s="133">
        <v>22</v>
      </c>
      <c r="AI63" s="5"/>
      <c r="AJ63" s="154" t="str">
        <v>Q</v>
      </c>
      <c r="AK63" s="133">
        <v>4</v>
      </c>
      <c r="AL63" s="133">
        <v>11</v>
      </c>
      <c r="AM63" s="133">
        <v>5</v>
      </c>
      <c r="AN63" s="133">
        <v>20</v>
      </c>
      <c r="AO63" s="133">
        <v>22</v>
      </c>
    </row>
    <row r="64" spans="10:41" ht="16.5" customHeight="1" x14ac:dyDescent="0.3">
      <c r="J64" s="25">
        <v>60</v>
      </c>
      <c r="K64" s="16" t="s">
        <v>19</v>
      </c>
      <c r="L64" s="16" t="s">
        <v>90</v>
      </c>
      <c r="M64" s="16" t="s">
        <v>35</v>
      </c>
      <c r="N64" s="16" t="s">
        <v>35</v>
      </c>
      <c r="O64" s="16" t="s">
        <v>18</v>
      </c>
      <c r="Q64" s="9">
        <v>5</v>
      </c>
      <c r="R64" s="9">
        <v>13</v>
      </c>
      <c r="S64" s="9">
        <v>8</v>
      </c>
      <c r="T64" s="9">
        <v>8</v>
      </c>
      <c r="U64" s="9">
        <v>4</v>
      </c>
      <c r="W64" s="25">
        <v>1</v>
      </c>
      <c r="X64" s="25">
        <v>2</v>
      </c>
      <c r="Y64" s="25">
        <v>1</v>
      </c>
      <c r="Z64" s="25">
        <v>1</v>
      </c>
      <c r="AA64" s="25">
        <v>2</v>
      </c>
      <c r="AC64" s="154" t="str">
        <v>J</v>
      </c>
      <c r="AD64" s="133">
        <v>4</v>
      </c>
      <c r="AE64" s="133">
        <v>11</v>
      </c>
      <c r="AF64" s="133">
        <v>4</v>
      </c>
      <c r="AG64" s="133">
        <v>20</v>
      </c>
      <c r="AH64" s="133">
        <v>22</v>
      </c>
      <c r="AI64" s="5"/>
      <c r="AJ64" s="154" t="str">
        <v>J</v>
      </c>
      <c r="AK64" s="133">
        <v>4</v>
      </c>
      <c r="AL64" s="133">
        <v>11</v>
      </c>
      <c r="AM64" s="133">
        <v>4</v>
      </c>
      <c r="AN64" s="133">
        <v>20</v>
      </c>
      <c r="AO64" s="133">
        <v>22</v>
      </c>
    </row>
    <row r="65" spans="10:41" ht="16.5" customHeight="1" x14ac:dyDescent="0.3">
      <c r="J65" s="9">
        <v>61</v>
      </c>
      <c r="K65" s="16" t="s">
        <v>35</v>
      </c>
      <c r="L65" s="16" t="s">
        <v>125</v>
      </c>
      <c r="M65" s="16" t="s">
        <v>19</v>
      </c>
      <c r="N65" s="16" t="s">
        <v>22</v>
      </c>
      <c r="O65" s="16" t="s">
        <v>125</v>
      </c>
      <c r="Q65" s="9">
        <v>8</v>
      </c>
      <c r="R65" s="9">
        <v>6</v>
      </c>
      <c r="S65" s="9">
        <v>5</v>
      </c>
      <c r="T65" s="9">
        <v>3</v>
      </c>
      <c r="U65" s="9">
        <v>6</v>
      </c>
      <c r="W65" s="25">
        <v>1</v>
      </c>
      <c r="X65" s="25">
        <v>2</v>
      </c>
      <c r="Y65" s="25">
        <v>1</v>
      </c>
      <c r="Z65" s="25">
        <v>2</v>
      </c>
      <c r="AA65" s="25">
        <v>1</v>
      </c>
      <c r="AC65" s="138" t="str">
        <v>G1</v>
      </c>
      <c r="AD65" s="99">
        <v>0</v>
      </c>
      <c r="AE65" s="99">
        <v>5</v>
      </c>
      <c r="AF65" s="99">
        <v>1</v>
      </c>
      <c r="AG65" s="99">
        <v>5</v>
      </c>
      <c r="AH65" s="99">
        <v>0</v>
      </c>
      <c r="AI65" s="5"/>
      <c r="AJ65" s="138" t="str">
        <v>G1</v>
      </c>
      <c r="AK65" s="99">
        <v>0</v>
      </c>
      <c r="AL65" s="99">
        <v>5</v>
      </c>
      <c r="AM65" s="99">
        <v>1</v>
      </c>
      <c r="AN65" s="99">
        <v>5</v>
      </c>
      <c r="AO65" s="99">
        <v>0</v>
      </c>
    </row>
    <row r="66" spans="10:41" ht="16.5" customHeight="1" x14ac:dyDescent="0.3">
      <c r="J66" s="25">
        <v>62</v>
      </c>
      <c r="K66" s="16" t="s">
        <v>37</v>
      </c>
      <c r="L66" s="16" t="s">
        <v>34</v>
      </c>
      <c r="M66" s="16" t="s">
        <v>19</v>
      </c>
      <c r="N66" s="16" t="s">
        <v>36</v>
      </c>
      <c r="O66" s="16" t="s">
        <v>36</v>
      </c>
      <c r="Q66" s="9">
        <v>7</v>
      </c>
      <c r="R66" s="9">
        <v>9</v>
      </c>
      <c r="S66" s="9">
        <v>5</v>
      </c>
      <c r="T66" s="9">
        <v>10</v>
      </c>
      <c r="U66" s="9">
        <v>10</v>
      </c>
      <c r="W66" s="25">
        <v>1</v>
      </c>
      <c r="X66" s="25">
        <v>2</v>
      </c>
      <c r="Y66" s="25">
        <v>1</v>
      </c>
      <c r="Z66" s="25">
        <v>2</v>
      </c>
      <c r="AA66" s="25">
        <v>1</v>
      </c>
      <c r="AC66" s="138" t="str">
        <v>G2</v>
      </c>
      <c r="AD66" s="99">
        <v>0</v>
      </c>
      <c r="AE66" s="99">
        <v>6</v>
      </c>
      <c r="AF66" s="99">
        <v>1</v>
      </c>
      <c r="AG66" s="99">
        <v>5</v>
      </c>
      <c r="AH66" s="99">
        <v>0</v>
      </c>
      <c r="AI66" s="5"/>
      <c r="AJ66" s="138" t="str">
        <v>G2</v>
      </c>
      <c r="AK66" s="99">
        <v>0</v>
      </c>
      <c r="AL66" s="99">
        <v>6</v>
      </c>
      <c r="AM66" s="99">
        <v>1</v>
      </c>
      <c r="AN66" s="99">
        <v>5</v>
      </c>
      <c r="AO66" s="99">
        <v>0</v>
      </c>
    </row>
    <row r="67" spans="10:41" ht="16.5" customHeight="1" x14ac:dyDescent="0.3">
      <c r="J67" s="9">
        <v>63</v>
      </c>
      <c r="K67" s="16" t="s">
        <v>125</v>
      </c>
      <c r="L67" s="16" t="s">
        <v>126</v>
      </c>
      <c r="M67" s="16" t="s">
        <v>35</v>
      </c>
      <c r="N67" s="16" t="s">
        <v>20</v>
      </c>
      <c r="O67" s="16" t="s">
        <v>37</v>
      </c>
      <c r="Q67" s="9">
        <v>6</v>
      </c>
      <c r="R67" s="9">
        <v>15</v>
      </c>
      <c r="S67" s="9">
        <v>8</v>
      </c>
      <c r="T67" s="9">
        <v>1</v>
      </c>
      <c r="U67" s="9">
        <v>7</v>
      </c>
      <c r="W67" s="25">
        <v>1</v>
      </c>
      <c r="X67" s="25">
        <v>2</v>
      </c>
      <c r="Y67" s="25">
        <v>1</v>
      </c>
      <c r="Z67" s="25">
        <v>1</v>
      </c>
      <c r="AA67" s="25">
        <v>1</v>
      </c>
      <c r="AC67" s="138" t="str">
        <v>G3</v>
      </c>
      <c r="AD67" s="99">
        <v>0</v>
      </c>
      <c r="AE67" s="99">
        <v>6</v>
      </c>
      <c r="AF67" s="99">
        <v>1</v>
      </c>
      <c r="AG67" s="99">
        <v>5</v>
      </c>
      <c r="AH67" s="99">
        <v>0</v>
      </c>
      <c r="AI67" s="5"/>
      <c r="AJ67" s="138" t="str">
        <v>G3</v>
      </c>
      <c r="AK67" s="99">
        <v>0</v>
      </c>
      <c r="AL67" s="99">
        <v>6</v>
      </c>
      <c r="AM67" s="99">
        <v>1</v>
      </c>
      <c r="AN67" s="99">
        <v>5</v>
      </c>
      <c r="AO67" s="99">
        <v>0</v>
      </c>
    </row>
    <row r="68" spans="10:41" ht="16.5" customHeight="1" x14ac:dyDescent="0.3">
      <c r="J68" s="25">
        <v>64</v>
      </c>
      <c r="K68" s="16" t="s">
        <v>19</v>
      </c>
      <c r="L68" s="16" t="s">
        <v>89</v>
      </c>
      <c r="M68" s="16" t="s">
        <v>112</v>
      </c>
      <c r="N68" s="16" t="s">
        <v>21</v>
      </c>
      <c r="O68" s="16" t="s">
        <v>125</v>
      </c>
      <c r="Q68" s="9">
        <v>5</v>
      </c>
      <c r="R68" s="9">
        <v>12</v>
      </c>
      <c r="S68" s="9">
        <v>17</v>
      </c>
      <c r="T68" s="9">
        <v>2</v>
      </c>
      <c r="U68" s="9">
        <v>6</v>
      </c>
      <c r="W68" s="25">
        <v>1</v>
      </c>
      <c r="X68" s="25">
        <v>2</v>
      </c>
      <c r="Y68" s="25">
        <v>1</v>
      </c>
      <c r="Z68" s="25">
        <v>1</v>
      </c>
      <c r="AA68" s="25">
        <v>2</v>
      </c>
      <c r="AC68" s="138" t="str">
        <v>G4</v>
      </c>
      <c r="AD68" s="99">
        <v>0</v>
      </c>
      <c r="AE68" s="99">
        <v>9</v>
      </c>
      <c r="AF68" s="99">
        <v>4</v>
      </c>
      <c r="AG68" s="99">
        <v>4</v>
      </c>
      <c r="AH68" s="99">
        <v>0</v>
      </c>
      <c r="AI68" s="5"/>
      <c r="AJ68" s="138" t="str">
        <v>G4</v>
      </c>
      <c r="AK68" s="99">
        <v>0</v>
      </c>
      <c r="AL68" s="99">
        <v>9</v>
      </c>
      <c r="AM68" s="99">
        <v>4</v>
      </c>
      <c r="AN68" s="99">
        <v>4</v>
      </c>
      <c r="AO68" s="99">
        <v>0</v>
      </c>
    </row>
    <row r="69" spans="10:41" ht="16.5" customHeight="1" x14ac:dyDescent="0.3">
      <c r="J69" s="9">
        <v>65</v>
      </c>
      <c r="K69" s="16" t="s">
        <v>35</v>
      </c>
      <c r="L69" s="16" t="s">
        <v>20</v>
      </c>
      <c r="M69" s="16" t="s">
        <v>125</v>
      </c>
      <c r="N69" s="16" t="s">
        <v>37</v>
      </c>
      <c r="O69" s="16" t="s">
        <v>18</v>
      </c>
      <c r="Q69" s="9">
        <v>8</v>
      </c>
      <c r="R69" s="9">
        <v>1</v>
      </c>
      <c r="S69" s="9">
        <v>6</v>
      </c>
      <c r="T69" s="9">
        <v>7</v>
      </c>
      <c r="U69" s="9">
        <v>4</v>
      </c>
      <c r="W69" s="25">
        <v>1</v>
      </c>
      <c r="X69" s="25">
        <v>2</v>
      </c>
      <c r="Y69" s="25">
        <v>2</v>
      </c>
      <c r="Z69" s="25">
        <v>1</v>
      </c>
      <c r="AA69" s="25">
        <v>2</v>
      </c>
      <c r="AC69" s="138" t="str">
        <v>G5</v>
      </c>
      <c r="AD69" s="99">
        <v>0</v>
      </c>
      <c r="AE69" s="99">
        <v>9</v>
      </c>
      <c r="AF69" s="99">
        <v>4</v>
      </c>
      <c r="AG69" s="99">
        <v>4</v>
      </c>
      <c r="AH69" s="99">
        <v>0</v>
      </c>
      <c r="AI69" s="5"/>
      <c r="AJ69" s="138" t="str">
        <v>G5</v>
      </c>
      <c r="AK69" s="99">
        <v>0</v>
      </c>
      <c r="AL69" s="99">
        <v>9</v>
      </c>
      <c r="AM69" s="99">
        <v>4</v>
      </c>
      <c r="AN69" s="99">
        <v>4</v>
      </c>
      <c r="AO69" s="99">
        <v>0</v>
      </c>
    </row>
    <row r="70" spans="10:41" ht="16.5" customHeight="1" x14ac:dyDescent="0.3">
      <c r="J70" s="25">
        <v>66</v>
      </c>
      <c r="K70" s="16" t="s">
        <v>35</v>
      </c>
      <c r="L70" s="16" t="s">
        <v>125</v>
      </c>
      <c r="M70" s="16" t="s">
        <v>19</v>
      </c>
      <c r="N70" s="16" t="s">
        <v>37</v>
      </c>
      <c r="O70" s="16" t="s">
        <v>125</v>
      </c>
      <c r="Q70" s="9">
        <v>8</v>
      </c>
      <c r="R70" s="9">
        <v>6</v>
      </c>
      <c r="S70" s="9">
        <v>5</v>
      </c>
      <c r="T70" s="9">
        <v>7</v>
      </c>
      <c r="U70" s="9">
        <v>6</v>
      </c>
      <c r="W70" s="25">
        <v>1</v>
      </c>
      <c r="X70" s="25">
        <v>2</v>
      </c>
      <c r="Y70" s="25">
        <v>2</v>
      </c>
      <c r="Z70" s="25">
        <v>1</v>
      </c>
      <c r="AA70" s="25">
        <v>2</v>
      </c>
      <c r="AC70" s="138" t="str">
        <v>GA</v>
      </c>
      <c r="AD70" s="99">
        <v>0</v>
      </c>
      <c r="AE70" s="99">
        <v>9</v>
      </c>
      <c r="AF70" s="99">
        <v>4</v>
      </c>
      <c r="AG70" s="99">
        <v>4</v>
      </c>
      <c r="AH70" s="99">
        <v>0</v>
      </c>
      <c r="AI70" s="5"/>
      <c r="AJ70" s="138" t="str">
        <v>GA</v>
      </c>
      <c r="AK70" s="99">
        <v>0</v>
      </c>
      <c r="AL70" s="99">
        <v>9</v>
      </c>
      <c r="AM70" s="99">
        <v>4</v>
      </c>
      <c r="AN70" s="99">
        <v>4</v>
      </c>
      <c r="AO70" s="99">
        <v>0</v>
      </c>
    </row>
    <row r="71" spans="10:41" ht="16.5" customHeight="1" x14ac:dyDescent="0.3">
      <c r="J71" s="9">
        <v>67</v>
      </c>
      <c r="K71" s="16" t="s">
        <v>19</v>
      </c>
      <c r="L71" s="16" t="s">
        <v>125</v>
      </c>
      <c r="M71" s="16" t="s">
        <v>34</v>
      </c>
      <c r="N71" s="16" t="s">
        <v>92</v>
      </c>
      <c r="O71" s="16" t="s">
        <v>36</v>
      </c>
      <c r="Q71" s="9">
        <v>5</v>
      </c>
      <c r="R71" s="9">
        <v>6</v>
      </c>
      <c r="S71" s="9">
        <v>9</v>
      </c>
      <c r="T71" s="9">
        <v>16</v>
      </c>
      <c r="U71" s="9">
        <v>10</v>
      </c>
      <c r="W71" s="25">
        <v>2</v>
      </c>
      <c r="X71" s="25">
        <v>2</v>
      </c>
      <c r="Y71" s="25">
        <v>2</v>
      </c>
      <c r="Z71" s="25">
        <v>1</v>
      </c>
      <c r="AA71" s="25">
        <v>2</v>
      </c>
      <c r="AC71" s="138" t="str">
        <v>GK</v>
      </c>
      <c r="AD71" s="99">
        <v>0</v>
      </c>
      <c r="AE71" s="99">
        <v>9</v>
      </c>
      <c r="AF71" s="99">
        <v>4</v>
      </c>
      <c r="AG71" s="99">
        <v>4</v>
      </c>
      <c r="AH71" s="99">
        <v>0</v>
      </c>
      <c r="AI71" s="5"/>
      <c r="AJ71" s="138" t="str">
        <v>GK</v>
      </c>
      <c r="AK71" s="99">
        <v>0</v>
      </c>
      <c r="AL71" s="99">
        <v>9</v>
      </c>
      <c r="AM71" s="99">
        <v>4</v>
      </c>
      <c r="AN71" s="99">
        <v>4</v>
      </c>
      <c r="AO71" s="99">
        <v>0</v>
      </c>
    </row>
    <row r="72" spans="10:41" ht="16.5" customHeight="1" x14ac:dyDescent="0.3">
      <c r="J72" s="25">
        <v>68</v>
      </c>
      <c r="K72" s="16" t="s">
        <v>36</v>
      </c>
      <c r="L72" s="16" t="s">
        <v>88</v>
      </c>
      <c r="M72" s="16" t="s">
        <v>125</v>
      </c>
      <c r="N72" s="16" t="s">
        <v>22</v>
      </c>
      <c r="O72" s="16" t="s">
        <v>34</v>
      </c>
      <c r="Q72" s="9">
        <v>10</v>
      </c>
      <c r="R72" s="9">
        <v>11</v>
      </c>
      <c r="S72" s="9">
        <v>6</v>
      </c>
      <c r="T72" s="9">
        <v>3</v>
      </c>
      <c r="U72" s="9">
        <v>9</v>
      </c>
      <c r="W72" s="25">
        <v>1</v>
      </c>
      <c r="X72" s="25">
        <v>1</v>
      </c>
      <c r="Y72" s="25">
        <v>1</v>
      </c>
      <c r="Z72" s="25">
        <v>2</v>
      </c>
      <c r="AA72" s="25">
        <v>2</v>
      </c>
      <c r="AC72" s="138" t="str">
        <v>GQ</v>
      </c>
      <c r="AD72" s="99">
        <v>0</v>
      </c>
      <c r="AE72" s="99">
        <v>6</v>
      </c>
      <c r="AF72" s="99">
        <v>1</v>
      </c>
      <c r="AG72" s="99">
        <v>5</v>
      </c>
      <c r="AH72" s="99">
        <v>0</v>
      </c>
      <c r="AI72" s="5"/>
      <c r="AJ72" s="138" t="str">
        <v>GQ</v>
      </c>
      <c r="AK72" s="99">
        <v>0</v>
      </c>
      <c r="AL72" s="99">
        <v>6</v>
      </c>
      <c r="AM72" s="99">
        <v>1</v>
      </c>
      <c r="AN72" s="99">
        <v>5</v>
      </c>
      <c r="AO72" s="99">
        <v>0</v>
      </c>
    </row>
    <row r="73" spans="10:41" ht="16.5" customHeight="1" x14ac:dyDescent="0.3">
      <c r="J73" s="9">
        <v>69</v>
      </c>
      <c r="K73" s="16" t="s">
        <v>19</v>
      </c>
      <c r="L73" s="16" t="s">
        <v>18</v>
      </c>
      <c r="M73" s="16" t="s">
        <v>125</v>
      </c>
      <c r="N73" s="16" t="s">
        <v>18</v>
      </c>
      <c r="O73" s="16" t="s">
        <v>18</v>
      </c>
      <c r="Q73" s="9">
        <v>5</v>
      </c>
      <c r="R73" s="9">
        <v>4</v>
      </c>
      <c r="S73" s="9">
        <v>6</v>
      </c>
      <c r="T73" s="9">
        <v>4</v>
      </c>
      <c r="U73" s="9">
        <v>4</v>
      </c>
      <c r="W73" s="25">
        <v>1</v>
      </c>
      <c r="X73" s="25">
        <v>1</v>
      </c>
      <c r="Y73" s="25">
        <v>1</v>
      </c>
      <c r="Z73" s="25">
        <v>2</v>
      </c>
      <c r="AA73" s="25">
        <v>2</v>
      </c>
      <c r="AC73" s="138" t="str">
        <v>GJ</v>
      </c>
      <c r="AD73" s="99">
        <v>0</v>
      </c>
      <c r="AE73" s="99">
        <v>6</v>
      </c>
      <c r="AF73" s="99">
        <v>1</v>
      </c>
      <c r="AG73" s="99">
        <v>5</v>
      </c>
      <c r="AH73" s="99">
        <v>0</v>
      </c>
      <c r="AI73" s="5"/>
      <c r="AJ73" s="138" t="str">
        <v>GJ</v>
      </c>
      <c r="AK73" s="99">
        <v>0</v>
      </c>
      <c r="AL73" s="99">
        <v>6</v>
      </c>
      <c r="AM73" s="99">
        <v>1</v>
      </c>
      <c r="AN73" s="99">
        <v>5</v>
      </c>
      <c r="AO73" s="99">
        <v>0</v>
      </c>
    </row>
    <row r="74" spans="10:41" ht="16.5" customHeight="1" x14ac:dyDescent="0.3">
      <c r="J74" s="25">
        <v>70</v>
      </c>
      <c r="K74" s="16" t="s">
        <v>35</v>
      </c>
      <c r="L74" s="16" t="s">
        <v>35</v>
      </c>
      <c r="M74" s="16" t="s">
        <v>35</v>
      </c>
      <c r="N74" s="16" t="s">
        <v>34</v>
      </c>
      <c r="O74" s="16" t="s">
        <v>125</v>
      </c>
      <c r="Q74" s="9">
        <v>8</v>
      </c>
      <c r="R74" s="9">
        <v>8</v>
      </c>
      <c r="S74" s="9">
        <v>8</v>
      </c>
      <c r="T74" s="9">
        <v>9</v>
      </c>
      <c r="U74" s="9">
        <v>6</v>
      </c>
      <c r="W74" s="25">
        <v>1</v>
      </c>
      <c r="X74" s="25">
        <v>1</v>
      </c>
      <c r="Y74" s="25">
        <v>1</v>
      </c>
      <c r="Z74" s="25">
        <v>2</v>
      </c>
      <c r="AA74" s="25">
        <v>1</v>
      </c>
      <c r="AD74" s="113">
        <f>SUM(AD54:AD73)</f>
        <v>200</v>
      </c>
      <c r="AE74" s="113">
        <f>SUM(AE54:AE73)</f>
        <v>209</v>
      </c>
      <c r="AF74" s="113">
        <f>SUM(AF54:AF73)</f>
        <v>209</v>
      </c>
      <c r="AG74" s="113">
        <f>SUM(AG54:AG73)</f>
        <v>209</v>
      </c>
      <c r="AH74" s="113">
        <f>SUM(AH54:AH73)</f>
        <v>200</v>
      </c>
      <c r="AI74" s="5"/>
      <c r="AK74" s="113">
        <f>SUM(AK54:AK73)</f>
        <v>200</v>
      </c>
      <c r="AL74" s="113">
        <f>SUM(AL54:AL73)</f>
        <v>209</v>
      </c>
      <c r="AM74" s="113">
        <f>SUM(AM54:AM73)</f>
        <v>209</v>
      </c>
      <c r="AN74" s="113">
        <f>SUM(AN54:AN73)</f>
        <v>209</v>
      </c>
      <c r="AO74" s="113">
        <f>SUM(AO54:AO73)</f>
        <v>200</v>
      </c>
    </row>
    <row r="75" spans="10:41" ht="16.5" customHeight="1" x14ac:dyDescent="0.3">
      <c r="J75" s="9">
        <v>71</v>
      </c>
      <c r="K75" s="16" t="s">
        <v>18</v>
      </c>
      <c r="L75" s="16" t="s">
        <v>88</v>
      </c>
      <c r="M75" s="16" t="s">
        <v>125</v>
      </c>
      <c r="N75" s="16" t="s">
        <v>125</v>
      </c>
      <c r="O75" s="16" t="s">
        <v>21</v>
      </c>
      <c r="Q75" s="9">
        <v>4</v>
      </c>
      <c r="R75" s="9">
        <v>11</v>
      </c>
      <c r="S75" s="9">
        <v>6</v>
      </c>
      <c r="T75" s="9">
        <v>6</v>
      </c>
      <c r="U75" s="9">
        <v>2</v>
      </c>
      <c r="W75" s="25">
        <v>2</v>
      </c>
      <c r="X75" s="25">
        <v>2</v>
      </c>
      <c r="Y75" s="25">
        <v>1</v>
      </c>
      <c r="Z75" s="25">
        <v>2</v>
      </c>
      <c r="AA75" s="25">
        <v>1</v>
      </c>
      <c r="AH75" s="5"/>
      <c r="AI75" s="5"/>
      <c r="AO75" s="5"/>
    </row>
    <row r="76" spans="10:41" ht="16.5" customHeight="1" x14ac:dyDescent="0.3">
      <c r="J76" s="25">
        <v>72</v>
      </c>
      <c r="K76" s="16" t="s">
        <v>22</v>
      </c>
      <c r="L76" s="16" t="s">
        <v>36</v>
      </c>
      <c r="M76" s="16" t="s">
        <v>19</v>
      </c>
      <c r="N76" s="16" t="s">
        <v>20</v>
      </c>
      <c r="O76" s="16" t="s">
        <v>37</v>
      </c>
      <c r="Q76" s="9">
        <v>3</v>
      </c>
      <c r="R76" s="9">
        <v>10</v>
      </c>
      <c r="S76" s="9">
        <v>5</v>
      </c>
      <c r="T76" s="9">
        <v>1</v>
      </c>
      <c r="U76" s="9">
        <v>7</v>
      </c>
      <c r="W76" s="25">
        <v>1</v>
      </c>
      <c r="X76" s="25">
        <v>2</v>
      </c>
      <c r="Y76" s="25">
        <v>1</v>
      </c>
      <c r="Z76" s="25">
        <v>2</v>
      </c>
      <c r="AA76" s="25">
        <v>1</v>
      </c>
      <c r="AH76" s="5"/>
      <c r="AI76" s="5"/>
      <c r="AO76" s="5"/>
    </row>
    <row r="77" spans="10:41" ht="16.5" customHeight="1" x14ac:dyDescent="0.3">
      <c r="J77" s="9">
        <v>73</v>
      </c>
      <c r="K77" s="16" t="s">
        <v>19</v>
      </c>
      <c r="L77" s="16" t="s">
        <v>97</v>
      </c>
      <c r="M77" s="16" t="s">
        <v>35</v>
      </c>
      <c r="N77" s="16" t="s">
        <v>34</v>
      </c>
      <c r="O77" s="16" t="s">
        <v>125</v>
      </c>
      <c r="Q77" s="9">
        <v>5</v>
      </c>
      <c r="R77" s="9">
        <v>19</v>
      </c>
      <c r="S77" s="9">
        <v>8</v>
      </c>
      <c r="T77" s="9">
        <v>9</v>
      </c>
      <c r="U77" s="9">
        <v>6</v>
      </c>
      <c r="W77" s="25">
        <v>1</v>
      </c>
      <c r="X77" s="25">
        <v>2</v>
      </c>
      <c r="Y77" s="25">
        <v>1</v>
      </c>
      <c r="Z77" s="25">
        <v>2</v>
      </c>
      <c r="AA77" s="25">
        <v>2</v>
      </c>
      <c r="AH77" s="5"/>
      <c r="AI77" s="5"/>
      <c r="AO77" s="5"/>
    </row>
    <row r="78" spans="10:41" ht="16.5" customHeight="1" x14ac:dyDescent="0.3">
      <c r="J78" s="25">
        <v>74</v>
      </c>
      <c r="K78" s="16" t="s">
        <v>35</v>
      </c>
      <c r="L78" s="16" t="s">
        <v>21</v>
      </c>
      <c r="M78" s="16" t="s">
        <v>125</v>
      </c>
      <c r="N78" s="16" t="s">
        <v>22</v>
      </c>
      <c r="O78" s="16" t="s">
        <v>22</v>
      </c>
      <c r="Q78" s="9">
        <v>8</v>
      </c>
      <c r="R78" s="9">
        <v>2</v>
      </c>
      <c r="S78" s="9">
        <v>6</v>
      </c>
      <c r="T78" s="9">
        <v>3</v>
      </c>
      <c r="U78" s="9">
        <v>3</v>
      </c>
      <c r="W78" s="25">
        <v>1</v>
      </c>
      <c r="X78" s="25">
        <v>2</v>
      </c>
      <c r="Y78" s="25">
        <v>2</v>
      </c>
      <c r="Z78" s="25">
        <v>2</v>
      </c>
      <c r="AA78" s="25">
        <v>2</v>
      </c>
      <c r="AH78" s="5"/>
      <c r="AI78" s="5"/>
      <c r="AO78" s="5"/>
    </row>
    <row r="79" spans="10:41" ht="16.5" customHeight="1" x14ac:dyDescent="0.3">
      <c r="J79" s="9">
        <v>75</v>
      </c>
      <c r="K79" s="16" t="s">
        <v>125</v>
      </c>
      <c r="L79" s="16" t="s">
        <v>21</v>
      </c>
      <c r="M79" s="16" t="s">
        <v>125</v>
      </c>
      <c r="N79" s="16" t="s">
        <v>125</v>
      </c>
      <c r="O79" s="16" t="s">
        <v>22</v>
      </c>
      <c r="Q79" s="9">
        <v>6</v>
      </c>
      <c r="R79" s="9">
        <v>2</v>
      </c>
      <c r="S79" s="9">
        <v>6</v>
      </c>
      <c r="T79" s="9">
        <v>6</v>
      </c>
      <c r="U79" s="9">
        <v>3</v>
      </c>
      <c r="W79" s="25">
        <v>1</v>
      </c>
      <c r="X79" s="25">
        <v>2</v>
      </c>
      <c r="Y79" s="25">
        <v>1</v>
      </c>
      <c r="Z79" s="25">
        <v>2</v>
      </c>
      <c r="AA79" s="25">
        <v>1</v>
      </c>
      <c r="AH79" s="5"/>
      <c r="AI79" s="5"/>
      <c r="AO79" s="5"/>
    </row>
    <row r="80" spans="10:41" x14ac:dyDescent="0.3">
      <c r="J80" s="25">
        <v>76</v>
      </c>
      <c r="K80" s="16" t="s">
        <v>37</v>
      </c>
      <c r="L80" s="16" t="s">
        <v>88</v>
      </c>
      <c r="M80" s="16" t="s">
        <v>126</v>
      </c>
      <c r="N80" s="16" t="s">
        <v>19</v>
      </c>
      <c r="O80" s="16" t="s">
        <v>19</v>
      </c>
      <c r="Q80" s="9">
        <v>7</v>
      </c>
      <c r="R80" s="9">
        <v>11</v>
      </c>
      <c r="S80" s="9">
        <v>15</v>
      </c>
      <c r="T80" s="9">
        <v>5</v>
      </c>
      <c r="U80" s="9">
        <v>5</v>
      </c>
      <c r="W80" s="25">
        <v>1</v>
      </c>
      <c r="X80" s="25">
        <v>2</v>
      </c>
      <c r="Y80" s="25">
        <v>1</v>
      </c>
      <c r="Z80" s="25">
        <v>2</v>
      </c>
      <c r="AA80" s="25">
        <v>1</v>
      </c>
      <c r="AH80" s="5"/>
      <c r="AI80" s="5"/>
      <c r="AO80" s="5"/>
    </row>
    <row r="81" spans="10:41" x14ac:dyDescent="0.3">
      <c r="J81" s="9">
        <v>77</v>
      </c>
      <c r="K81" s="16" t="s">
        <v>37</v>
      </c>
      <c r="L81" s="16" t="s">
        <v>34</v>
      </c>
      <c r="M81" s="16" t="s">
        <v>35</v>
      </c>
      <c r="N81" s="16" t="s">
        <v>21</v>
      </c>
      <c r="O81" s="16" t="s">
        <v>37</v>
      </c>
      <c r="Q81" s="9">
        <v>7</v>
      </c>
      <c r="R81" s="9">
        <v>9</v>
      </c>
      <c r="S81" s="9">
        <v>8</v>
      </c>
      <c r="T81" s="9">
        <v>2</v>
      </c>
      <c r="U81" s="9">
        <v>7</v>
      </c>
      <c r="W81" s="25">
        <v>1</v>
      </c>
      <c r="X81" s="25">
        <v>1</v>
      </c>
      <c r="Y81" s="25">
        <v>1</v>
      </c>
      <c r="Z81" s="25">
        <v>2</v>
      </c>
      <c r="AA81" s="25">
        <v>1</v>
      </c>
      <c r="AH81" s="5"/>
      <c r="AI81" s="5"/>
      <c r="AO81" s="5"/>
    </row>
    <row r="82" spans="10:41" x14ac:dyDescent="0.3">
      <c r="J82" s="25">
        <v>78</v>
      </c>
      <c r="K82" s="16" t="s">
        <v>125</v>
      </c>
      <c r="L82" s="16" t="s">
        <v>21</v>
      </c>
      <c r="M82" s="16" t="s">
        <v>125</v>
      </c>
      <c r="N82" s="16" t="s">
        <v>18</v>
      </c>
      <c r="O82" s="16" t="s">
        <v>21</v>
      </c>
      <c r="Q82" s="9">
        <v>6</v>
      </c>
      <c r="R82" s="9">
        <v>2</v>
      </c>
      <c r="S82" s="9">
        <v>6</v>
      </c>
      <c r="T82" s="9">
        <v>4</v>
      </c>
      <c r="U82" s="9">
        <v>2</v>
      </c>
      <c r="W82" s="25">
        <v>1</v>
      </c>
      <c r="X82" s="25">
        <v>1</v>
      </c>
      <c r="Y82" s="25">
        <v>1</v>
      </c>
      <c r="Z82" s="25">
        <v>2</v>
      </c>
      <c r="AA82" s="25">
        <v>1</v>
      </c>
      <c r="AH82" s="5"/>
      <c r="AI82" s="5"/>
      <c r="AO82" s="5"/>
    </row>
    <row r="83" spans="10:41" x14ac:dyDescent="0.3">
      <c r="J83" s="9">
        <v>79</v>
      </c>
      <c r="K83" s="16" t="s">
        <v>37</v>
      </c>
      <c r="L83" s="16" t="s">
        <v>112</v>
      </c>
      <c r="M83" s="16" t="s">
        <v>35</v>
      </c>
      <c r="N83" s="16" t="s">
        <v>18</v>
      </c>
      <c r="O83" s="16" t="s">
        <v>37</v>
      </c>
      <c r="Q83" s="9">
        <v>7</v>
      </c>
      <c r="R83" s="9">
        <v>17</v>
      </c>
      <c r="S83" s="9">
        <v>8</v>
      </c>
      <c r="T83" s="9">
        <v>4</v>
      </c>
      <c r="U83" s="9">
        <v>7</v>
      </c>
      <c r="W83" s="25">
        <v>1</v>
      </c>
      <c r="X83" s="25">
        <v>1</v>
      </c>
      <c r="Y83" s="25">
        <v>1</v>
      </c>
      <c r="Z83" s="25">
        <v>1</v>
      </c>
      <c r="AA83" s="25">
        <v>1</v>
      </c>
      <c r="AH83" s="5"/>
      <c r="AI83" s="5"/>
      <c r="AO83" s="5"/>
    </row>
    <row r="84" spans="10:41" x14ac:dyDescent="0.3">
      <c r="J84" s="25">
        <v>80</v>
      </c>
      <c r="K84" s="16" t="s">
        <v>19</v>
      </c>
      <c r="L84" s="16" t="s">
        <v>19</v>
      </c>
      <c r="M84" s="16" t="s">
        <v>37</v>
      </c>
      <c r="N84" s="16" t="s">
        <v>18</v>
      </c>
      <c r="O84" s="16" t="s">
        <v>21</v>
      </c>
      <c r="Q84" s="9">
        <v>5</v>
      </c>
      <c r="R84" s="9">
        <v>5</v>
      </c>
      <c r="S84" s="9">
        <v>7</v>
      </c>
      <c r="T84" s="9">
        <v>4</v>
      </c>
      <c r="U84" s="9">
        <v>2</v>
      </c>
      <c r="W84" s="25">
        <v>1</v>
      </c>
      <c r="X84" s="25">
        <v>2</v>
      </c>
      <c r="Y84" s="25">
        <v>1</v>
      </c>
      <c r="Z84" s="25">
        <v>1</v>
      </c>
      <c r="AA84" s="25">
        <v>2</v>
      </c>
      <c r="AH84" s="5"/>
      <c r="AI84" s="5"/>
      <c r="AO84" s="5"/>
    </row>
    <row r="85" spans="10:41" x14ac:dyDescent="0.3">
      <c r="J85" s="9">
        <v>81</v>
      </c>
      <c r="K85" s="16" t="s">
        <v>19</v>
      </c>
      <c r="L85" s="16" t="s">
        <v>90</v>
      </c>
      <c r="M85" s="16" t="s">
        <v>37</v>
      </c>
      <c r="N85" s="16" t="s">
        <v>37</v>
      </c>
      <c r="O85" s="16" t="s">
        <v>36</v>
      </c>
      <c r="Q85" s="9">
        <v>5</v>
      </c>
      <c r="R85" s="9">
        <v>13</v>
      </c>
      <c r="S85" s="9">
        <v>7</v>
      </c>
      <c r="T85" s="9">
        <v>7</v>
      </c>
      <c r="U85" s="9">
        <v>10</v>
      </c>
      <c r="W85" s="25">
        <v>1</v>
      </c>
      <c r="X85" s="25">
        <v>2</v>
      </c>
      <c r="Y85" s="25">
        <v>1</v>
      </c>
      <c r="Z85" s="25">
        <v>1</v>
      </c>
      <c r="AA85" s="25">
        <v>1</v>
      </c>
      <c r="AH85" s="5"/>
      <c r="AI85" s="5"/>
      <c r="AO85" s="5"/>
    </row>
    <row r="86" spans="10:41" x14ac:dyDescent="0.3">
      <c r="J86" s="25">
        <v>82</v>
      </c>
      <c r="K86" s="16" t="s">
        <v>35</v>
      </c>
      <c r="L86" s="16" t="s">
        <v>126</v>
      </c>
      <c r="M86" s="16" t="s">
        <v>35</v>
      </c>
      <c r="N86" s="16" t="s">
        <v>35</v>
      </c>
      <c r="O86" s="16" t="s">
        <v>22</v>
      </c>
      <c r="Q86" s="9">
        <v>8</v>
      </c>
      <c r="R86" s="9">
        <v>15</v>
      </c>
      <c r="S86" s="9">
        <v>8</v>
      </c>
      <c r="T86" s="9">
        <v>8</v>
      </c>
      <c r="U86" s="9">
        <v>3</v>
      </c>
      <c r="W86" s="25">
        <v>1</v>
      </c>
      <c r="X86" s="25">
        <v>2</v>
      </c>
      <c r="Y86" s="25">
        <v>1</v>
      </c>
      <c r="Z86" s="25">
        <v>1</v>
      </c>
      <c r="AA86" s="25">
        <v>1</v>
      </c>
      <c r="AH86" s="5"/>
      <c r="AI86" s="5"/>
      <c r="AO86" s="5"/>
    </row>
    <row r="87" spans="10:41" x14ac:dyDescent="0.3">
      <c r="J87" s="9">
        <v>83</v>
      </c>
      <c r="K87" s="16" t="s">
        <v>19</v>
      </c>
      <c r="L87" s="16" t="s">
        <v>126</v>
      </c>
      <c r="M87" s="16" t="s">
        <v>19</v>
      </c>
      <c r="N87" s="16" t="s">
        <v>36</v>
      </c>
      <c r="O87" s="16" t="s">
        <v>35</v>
      </c>
      <c r="Q87" s="9">
        <v>5</v>
      </c>
      <c r="R87" s="9">
        <v>15</v>
      </c>
      <c r="S87" s="9">
        <v>5</v>
      </c>
      <c r="T87" s="9">
        <v>10</v>
      </c>
      <c r="U87" s="9">
        <v>8</v>
      </c>
      <c r="W87" s="25">
        <v>1</v>
      </c>
      <c r="X87" s="25">
        <v>2</v>
      </c>
      <c r="Y87" s="25">
        <v>1</v>
      </c>
      <c r="Z87" s="25">
        <v>1</v>
      </c>
      <c r="AA87" s="25">
        <v>1</v>
      </c>
      <c r="AH87" s="5"/>
      <c r="AI87" s="5"/>
      <c r="AO87" s="5"/>
    </row>
    <row r="88" spans="10:41" x14ac:dyDescent="0.3">
      <c r="J88" s="25">
        <v>84</v>
      </c>
      <c r="K88" s="16" t="s">
        <v>35</v>
      </c>
      <c r="L88" s="16" t="s">
        <v>36</v>
      </c>
      <c r="M88" s="16" t="s">
        <v>22</v>
      </c>
      <c r="N88" s="16" t="s">
        <v>36</v>
      </c>
      <c r="O88" s="16" t="s">
        <v>21</v>
      </c>
      <c r="Q88" s="9">
        <v>8</v>
      </c>
      <c r="R88" s="9">
        <v>10</v>
      </c>
      <c r="S88" s="9">
        <v>3</v>
      </c>
      <c r="T88" s="9">
        <v>10</v>
      </c>
      <c r="U88" s="9">
        <v>2</v>
      </c>
      <c r="W88" s="25">
        <v>1</v>
      </c>
      <c r="X88" s="25">
        <v>2</v>
      </c>
      <c r="Y88" s="25">
        <v>1</v>
      </c>
      <c r="Z88" s="25">
        <v>1</v>
      </c>
      <c r="AA88" s="25">
        <v>2</v>
      </c>
      <c r="AH88" s="5"/>
      <c r="AI88" s="5"/>
      <c r="AO88" s="5"/>
    </row>
    <row r="89" spans="10:41" x14ac:dyDescent="0.3">
      <c r="J89" s="9">
        <v>85</v>
      </c>
      <c r="K89" s="16" t="s">
        <v>125</v>
      </c>
      <c r="L89" s="16" t="s">
        <v>18</v>
      </c>
      <c r="M89" s="16" t="s">
        <v>92</v>
      </c>
      <c r="N89" s="16" t="s">
        <v>35</v>
      </c>
      <c r="O89" s="16" t="s">
        <v>19</v>
      </c>
      <c r="Q89" s="9">
        <v>6</v>
      </c>
      <c r="R89" s="9">
        <v>4</v>
      </c>
      <c r="S89" s="9">
        <v>16</v>
      </c>
      <c r="T89" s="9">
        <v>8</v>
      </c>
      <c r="U89" s="9">
        <v>5</v>
      </c>
      <c r="W89" s="25">
        <v>1</v>
      </c>
      <c r="X89" s="25">
        <v>2</v>
      </c>
      <c r="Y89" s="25">
        <v>1</v>
      </c>
      <c r="Z89" s="25">
        <v>1</v>
      </c>
      <c r="AA89" s="25">
        <v>2</v>
      </c>
      <c r="AH89" s="5"/>
      <c r="AI89" s="5"/>
      <c r="AO89" s="5"/>
    </row>
    <row r="90" spans="10:41" x14ac:dyDescent="0.3">
      <c r="J90" s="25">
        <v>86</v>
      </c>
      <c r="K90" s="16" t="s">
        <v>125</v>
      </c>
      <c r="L90" s="16" t="s">
        <v>18</v>
      </c>
      <c r="M90" s="16" t="s">
        <v>19</v>
      </c>
      <c r="N90" s="16" t="s">
        <v>95</v>
      </c>
      <c r="O90" s="16" t="s">
        <v>21</v>
      </c>
      <c r="Q90" s="9">
        <v>6</v>
      </c>
      <c r="R90" s="9">
        <v>4</v>
      </c>
      <c r="S90" s="9">
        <v>5</v>
      </c>
      <c r="T90" s="9">
        <v>18</v>
      </c>
      <c r="U90" s="9">
        <v>2</v>
      </c>
      <c r="W90" s="25">
        <v>1</v>
      </c>
      <c r="X90" s="25">
        <v>2</v>
      </c>
      <c r="Y90" s="25">
        <v>1</v>
      </c>
      <c r="Z90" s="25">
        <v>2</v>
      </c>
      <c r="AA90" s="25">
        <v>2</v>
      </c>
      <c r="AH90" s="5"/>
      <c r="AI90" s="5"/>
      <c r="AO90" s="5"/>
    </row>
    <row r="91" spans="10:41" x14ac:dyDescent="0.3">
      <c r="J91" s="9">
        <v>87</v>
      </c>
      <c r="K91" s="16" t="s">
        <v>35</v>
      </c>
      <c r="L91" s="16" t="s">
        <v>97</v>
      </c>
      <c r="M91" s="16" t="s">
        <v>37</v>
      </c>
      <c r="N91" s="16" t="s">
        <v>125</v>
      </c>
      <c r="O91" s="16" t="s">
        <v>21</v>
      </c>
      <c r="Q91" s="9">
        <v>8</v>
      </c>
      <c r="R91" s="9">
        <v>19</v>
      </c>
      <c r="S91" s="9">
        <v>7</v>
      </c>
      <c r="T91" s="9">
        <v>6</v>
      </c>
      <c r="U91" s="9">
        <v>2</v>
      </c>
      <c r="W91" s="25">
        <v>1</v>
      </c>
      <c r="X91" s="25">
        <v>2</v>
      </c>
      <c r="Y91" s="25">
        <v>1</v>
      </c>
      <c r="Z91" s="25">
        <v>2</v>
      </c>
      <c r="AA91" s="25">
        <v>2</v>
      </c>
      <c r="AH91" s="5"/>
      <c r="AI91" s="5"/>
      <c r="AO91" s="5"/>
    </row>
    <row r="92" spans="10:41" x14ac:dyDescent="0.3">
      <c r="J92" s="25">
        <v>88</v>
      </c>
      <c r="K92" s="16" t="s">
        <v>125</v>
      </c>
      <c r="L92" s="16" t="s">
        <v>91</v>
      </c>
      <c r="M92" s="16" t="s">
        <v>125</v>
      </c>
      <c r="N92" s="16" t="s">
        <v>125</v>
      </c>
      <c r="O92" s="16" t="s">
        <v>22</v>
      </c>
      <c r="Q92" s="9">
        <v>6</v>
      </c>
      <c r="R92" s="9">
        <v>14</v>
      </c>
      <c r="S92" s="9">
        <v>6</v>
      </c>
      <c r="T92" s="9">
        <v>6</v>
      </c>
      <c r="U92" s="9">
        <v>3</v>
      </c>
      <c r="W92" s="25">
        <v>1</v>
      </c>
      <c r="X92" s="25">
        <v>2</v>
      </c>
      <c r="Y92" s="25">
        <v>1</v>
      </c>
      <c r="Z92" s="25">
        <v>2</v>
      </c>
      <c r="AA92" s="25">
        <v>1</v>
      </c>
      <c r="AH92" s="5"/>
      <c r="AI92" s="5"/>
      <c r="AO92" s="5"/>
    </row>
    <row r="93" spans="10:41" x14ac:dyDescent="0.3">
      <c r="J93" s="9">
        <v>89</v>
      </c>
      <c r="K93" s="16" t="s">
        <v>37</v>
      </c>
      <c r="L93" s="16" t="s">
        <v>22</v>
      </c>
      <c r="M93" s="16" t="s">
        <v>91</v>
      </c>
      <c r="N93" s="16" t="s">
        <v>88</v>
      </c>
      <c r="O93" s="16" t="s">
        <v>19</v>
      </c>
      <c r="Q93" s="9">
        <v>7</v>
      </c>
      <c r="R93" s="9">
        <v>3</v>
      </c>
      <c r="S93" s="9">
        <v>14</v>
      </c>
      <c r="T93" s="9">
        <v>11</v>
      </c>
      <c r="U93" s="9">
        <v>5</v>
      </c>
      <c r="W93" s="25">
        <v>1</v>
      </c>
      <c r="X93" s="25">
        <v>1</v>
      </c>
      <c r="Y93" s="25">
        <v>1</v>
      </c>
      <c r="Z93" s="25">
        <v>2</v>
      </c>
      <c r="AA93" s="25">
        <v>1</v>
      </c>
      <c r="AH93" s="5"/>
      <c r="AI93" s="5"/>
      <c r="AO93" s="5"/>
    </row>
    <row r="94" spans="10:41" x14ac:dyDescent="0.3">
      <c r="J94" s="25">
        <v>90</v>
      </c>
      <c r="K94" s="16" t="s">
        <v>35</v>
      </c>
      <c r="L94" s="16" t="s">
        <v>22</v>
      </c>
      <c r="M94" s="16" t="s">
        <v>35</v>
      </c>
      <c r="N94" s="16" t="s">
        <v>125</v>
      </c>
      <c r="O94" s="16" t="s">
        <v>37</v>
      </c>
      <c r="Q94" s="9">
        <v>8</v>
      </c>
      <c r="R94" s="9">
        <v>3</v>
      </c>
      <c r="S94" s="9">
        <v>8</v>
      </c>
      <c r="T94" s="9">
        <v>6</v>
      </c>
      <c r="U94" s="9">
        <v>7</v>
      </c>
      <c r="W94" s="25">
        <v>1</v>
      </c>
      <c r="X94" s="25">
        <v>1</v>
      </c>
      <c r="Y94" s="25">
        <v>1</v>
      </c>
      <c r="Z94" s="25">
        <v>2</v>
      </c>
      <c r="AA94" s="25">
        <v>1</v>
      </c>
      <c r="AH94" s="5"/>
      <c r="AI94" s="5"/>
      <c r="AO94" s="5"/>
    </row>
    <row r="95" spans="10:41" x14ac:dyDescent="0.3">
      <c r="J95" s="9">
        <v>91</v>
      </c>
      <c r="K95" s="16" t="s">
        <v>35</v>
      </c>
      <c r="L95" s="16" t="s">
        <v>37</v>
      </c>
      <c r="M95" s="16" t="s">
        <v>35</v>
      </c>
      <c r="N95" s="16" t="s">
        <v>91</v>
      </c>
      <c r="O95" s="16" t="s">
        <v>36</v>
      </c>
      <c r="Q95" s="9">
        <v>8</v>
      </c>
      <c r="R95" s="9">
        <v>7</v>
      </c>
      <c r="S95" s="9">
        <v>8</v>
      </c>
      <c r="T95" s="9">
        <v>14</v>
      </c>
      <c r="U95" s="9">
        <v>10</v>
      </c>
      <c r="W95" s="25">
        <v>1</v>
      </c>
      <c r="X95" s="25">
        <v>1</v>
      </c>
      <c r="Y95" s="25">
        <v>1</v>
      </c>
      <c r="Z95" s="25">
        <v>2</v>
      </c>
      <c r="AA95" s="25">
        <v>2</v>
      </c>
      <c r="AH95" s="5"/>
      <c r="AI95" s="5"/>
      <c r="AO95" s="5"/>
    </row>
    <row r="96" spans="10:41" x14ac:dyDescent="0.3">
      <c r="J96" s="25">
        <v>92</v>
      </c>
      <c r="K96" s="16" t="s">
        <v>35</v>
      </c>
      <c r="L96" s="16" t="s">
        <v>92</v>
      </c>
      <c r="M96" s="16" t="s">
        <v>35</v>
      </c>
      <c r="N96" s="16" t="s">
        <v>22</v>
      </c>
      <c r="O96" s="16" t="s">
        <v>125</v>
      </c>
      <c r="Q96" s="9">
        <v>8</v>
      </c>
      <c r="R96" s="9">
        <v>16</v>
      </c>
      <c r="S96" s="9">
        <v>8</v>
      </c>
      <c r="T96" s="9">
        <v>3</v>
      </c>
      <c r="U96" s="9">
        <v>6</v>
      </c>
      <c r="W96" s="25">
        <v>1</v>
      </c>
      <c r="X96" s="25">
        <v>1</v>
      </c>
      <c r="Y96" s="25">
        <v>1</v>
      </c>
      <c r="Z96" s="25">
        <v>2</v>
      </c>
      <c r="AA96" s="25">
        <v>2</v>
      </c>
      <c r="AH96" s="5"/>
      <c r="AI96" s="5"/>
      <c r="AO96" s="5"/>
    </row>
    <row r="97" spans="10:41" x14ac:dyDescent="0.3">
      <c r="J97" s="9">
        <v>93</v>
      </c>
      <c r="K97" s="16" t="s">
        <v>125</v>
      </c>
      <c r="L97" s="16" t="s">
        <v>34</v>
      </c>
      <c r="M97" s="16" t="s">
        <v>37</v>
      </c>
      <c r="N97" s="16" t="s">
        <v>18</v>
      </c>
      <c r="O97" s="16" t="s">
        <v>125</v>
      </c>
      <c r="Q97" s="9">
        <v>6</v>
      </c>
      <c r="R97" s="9">
        <v>9</v>
      </c>
      <c r="S97" s="9">
        <v>7</v>
      </c>
      <c r="T97" s="9">
        <v>4</v>
      </c>
      <c r="U97" s="9">
        <v>6</v>
      </c>
      <c r="W97" s="25">
        <v>1</v>
      </c>
      <c r="X97" s="25">
        <v>2</v>
      </c>
      <c r="Y97" s="25">
        <v>1</v>
      </c>
      <c r="Z97" s="25">
        <v>2</v>
      </c>
      <c r="AA97" s="25">
        <v>2</v>
      </c>
      <c r="AH97" s="5"/>
      <c r="AI97" s="5"/>
      <c r="AO97" s="5"/>
    </row>
    <row r="98" spans="10:41" x14ac:dyDescent="0.3">
      <c r="J98" s="25">
        <v>94</v>
      </c>
      <c r="K98" s="16" t="s">
        <v>35</v>
      </c>
      <c r="L98" s="16" t="s">
        <v>36</v>
      </c>
      <c r="M98" s="16" t="s">
        <v>125</v>
      </c>
      <c r="N98" s="16" t="s">
        <v>18</v>
      </c>
      <c r="O98" s="16" t="s">
        <v>21</v>
      </c>
      <c r="Q98" s="9">
        <v>8</v>
      </c>
      <c r="R98" s="9">
        <v>10</v>
      </c>
      <c r="S98" s="9">
        <v>6</v>
      </c>
      <c r="T98" s="9">
        <v>4</v>
      </c>
      <c r="U98" s="9">
        <v>2</v>
      </c>
      <c r="W98" s="25">
        <v>1</v>
      </c>
      <c r="X98" s="25">
        <v>1</v>
      </c>
      <c r="Y98" s="25">
        <v>1</v>
      </c>
      <c r="Z98" s="25">
        <v>2</v>
      </c>
      <c r="AA98" s="25">
        <v>2</v>
      </c>
      <c r="AH98" s="5"/>
      <c r="AI98" s="5"/>
      <c r="AO98" s="5"/>
    </row>
    <row r="99" spans="10:41" x14ac:dyDescent="0.3">
      <c r="J99" s="9">
        <v>95</v>
      </c>
      <c r="K99" s="16" t="s">
        <v>36</v>
      </c>
      <c r="L99" s="16" t="s">
        <v>89</v>
      </c>
      <c r="M99" s="16" t="s">
        <v>37</v>
      </c>
      <c r="N99" s="16" t="s">
        <v>21</v>
      </c>
      <c r="O99" s="16" t="s">
        <v>19</v>
      </c>
      <c r="Q99" s="9">
        <v>10</v>
      </c>
      <c r="R99" s="9">
        <v>12</v>
      </c>
      <c r="S99" s="9">
        <v>7</v>
      </c>
      <c r="T99" s="9">
        <v>2</v>
      </c>
      <c r="U99" s="9">
        <v>5</v>
      </c>
      <c r="W99" s="25">
        <v>1</v>
      </c>
      <c r="X99" s="25">
        <v>1</v>
      </c>
      <c r="Y99" s="25">
        <v>1</v>
      </c>
      <c r="Z99" s="25">
        <v>2</v>
      </c>
      <c r="AA99" s="25">
        <v>2</v>
      </c>
      <c r="AH99" s="5"/>
      <c r="AI99" s="5"/>
      <c r="AO99" s="5"/>
    </row>
    <row r="100" spans="10:41" x14ac:dyDescent="0.3">
      <c r="J100" s="25">
        <v>96</v>
      </c>
      <c r="K100" s="16" t="s">
        <v>19</v>
      </c>
      <c r="L100" s="16" t="s">
        <v>35</v>
      </c>
      <c r="M100" s="16" t="s">
        <v>21</v>
      </c>
      <c r="N100" s="16" t="s">
        <v>21</v>
      </c>
      <c r="O100" s="16" t="s">
        <v>34</v>
      </c>
      <c r="Q100" s="9">
        <v>5</v>
      </c>
      <c r="R100" s="9">
        <v>8</v>
      </c>
      <c r="S100" s="9">
        <v>2</v>
      </c>
      <c r="T100" s="9">
        <v>2</v>
      </c>
      <c r="U100" s="9">
        <v>9</v>
      </c>
      <c r="W100" s="25">
        <v>1</v>
      </c>
      <c r="X100" s="25">
        <v>1</v>
      </c>
      <c r="Y100" s="25">
        <v>1</v>
      </c>
      <c r="Z100" s="25">
        <v>2</v>
      </c>
      <c r="AA100" s="25">
        <v>2</v>
      </c>
      <c r="AH100" s="5"/>
      <c r="AI100" s="5"/>
      <c r="AO100" s="5"/>
    </row>
    <row r="101" spans="10:41" x14ac:dyDescent="0.3">
      <c r="J101" s="9">
        <v>97</v>
      </c>
      <c r="K101" s="16" t="s">
        <v>35</v>
      </c>
      <c r="L101" s="16" t="s">
        <v>88</v>
      </c>
      <c r="M101" s="16" t="s">
        <v>19</v>
      </c>
      <c r="N101" s="16" t="s">
        <v>21</v>
      </c>
      <c r="O101" s="16" t="s">
        <v>36</v>
      </c>
      <c r="Q101" s="9">
        <v>8</v>
      </c>
      <c r="R101" s="9">
        <v>11</v>
      </c>
      <c r="S101" s="9">
        <v>5</v>
      </c>
      <c r="T101" s="9">
        <v>2</v>
      </c>
      <c r="U101" s="9">
        <v>10</v>
      </c>
      <c r="W101" s="25">
        <v>1</v>
      </c>
      <c r="X101" s="25">
        <v>2</v>
      </c>
      <c r="Y101" s="25">
        <v>1</v>
      </c>
      <c r="Z101" s="25">
        <v>1</v>
      </c>
      <c r="AA101" s="25">
        <v>2</v>
      </c>
      <c r="AH101" s="5"/>
      <c r="AI101" s="5"/>
      <c r="AO101" s="5"/>
    </row>
    <row r="102" spans="10:41" x14ac:dyDescent="0.3">
      <c r="J102" s="25">
        <v>98</v>
      </c>
      <c r="K102" s="16" t="s">
        <v>37</v>
      </c>
      <c r="L102" s="16" t="s">
        <v>22</v>
      </c>
      <c r="M102" s="16" t="s">
        <v>35</v>
      </c>
      <c r="N102" s="16" t="s">
        <v>125</v>
      </c>
      <c r="O102" s="16" t="s">
        <v>34</v>
      </c>
      <c r="Q102" s="9">
        <v>7</v>
      </c>
      <c r="R102" s="9">
        <v>3</v>
      </c>
      <c r="S102" s="9">
        <v>8</v>
      </c>
      <c r="T102" s="9">
        <v>6</v>
      </c>
      <c r="U102" s="9">
        <v>9</v>
      </c>
      <c r="W102" s="25">
        <v>1</v>
      </c>
      <c r="X102" s="25">
        <v>2</v>
      </c>
      <c r="Y102" s="25">
        <v>1</v>
      </c>
      <c r="Z102" s="25">
        <v>1</v>
      </c>
      <c r="AA102" s="25">
        <v>2</v>
      </c>
      <c r="AH102" s="5"/>
      <c r="AI102" s="5"/>
      <c r="AO102" s="5"/>
    </row>
    <row r="103" spans="10:41" x14ac:dyDescent="0.3">
      <c r="J103" s="9">
        <v>99</v>
      </c>
      <c r="K103" s="16" t="s">
        <v>37</v>
      </c>
      <c r="L103" s="16" t="s">
        <v>20</v>
      </c>
      <c r="M103" s="16" t="s">
        <v>125</v>
      </c>
      <c r="N103" s="16" t="s">
        <v>37</v>
      </c>
      <c r="O103" s="16" t="s">
        <v>22</v>
      </c>
      <c r="Q103" s="9">
        <v>7</v>
      </c>
      <c r="R103" s="9">
        <v>1</v>
      </c>
      <c r="S103" s="9">
        <v>6</v>
      </c>
      <c r="T103" s="9">
        <v>7</v>
      </c>
      <c r="U103" s="9">
        <v>3</v>
      </c>
      <c r="W103" s="25">
        <v>1</v>
      </c>
      <c r="X103" s="25">
        <v>2</v>
      </c>
      <c r="Y103" s="25">
        <v>2</v>
      </c>
      <c r="Z103" s="25">
        <v>1</v>
      </c>
      <c r="AA103" s="25">
        <v>2</v>
      </c>
      <c r="AH103" s="5"/>
      <c r="AI103" s="5"/>
      <c r="AO103" s="5"/>
    </row>
    <row r="104" spans="10:41" x14ac:dyDescent="0.3">
      <c r="J104" s="25">
        <v>100</v>
      </c>
      <c r="K104" s="16" t="s">
        <v>37</v>
      </c>
      <c r="L104" s="16" t="s">
        <v>21</v>
      </c>
      <c r="M104" s="16" t="s">
        <v>125</v>
      </c>
      <c r="N104" s="16" t="s">
        <v>125</v>
      </c>
      <c r="O104" s="16" t="s">
        <v>19</v>
      </c>
      <c r="Q104" s="9">
        <v>7</v>
      </c>
      <c r="R104" s="9">
        <v>2</v>
      </c>
      <c r="S104" s="9">
        <v>6</v>
      </c>
      <c r="T104" s="9">
        <v>6</v>
      </c>
      <c r="U104" s="9">
        <v>5</v>
      </c>
      <c r="W104" s="25">
        <v>1</v>
      </c>
      <c r="X104" s="25">
        <v>2</v>
      </c>
      <c r="Y104" s="25">
        <v>1</v>
      </c>
      <c r="Z104" s="25">
        <v>2</v>
      </c>
      <c r="AA104" s="25">
        <v>1</v>
      </c>
      <c r="AH104" s="5"/>
      <c r="AI104" s="5"/>
      <c r="AO104" s="5"/>
    </row>
    <row r="105" spans="10:41" x14ac:dyDescent="0.3">
      <c r="J105" s="25">
        <v>101</v>
      </c>
      <c r="K105" s="16" t="s">
        <v>125</v>
      </c>
      <c r="L105" s="16" t="s">
        <v>91</v>
      </c>
      <c r="M105" s="16" t="s">
        <v>125</v>
      </c>
      <c r="N105" s="16" t="s">
        <v>90</v>
      </c>
      <c r="O105" s="16" t="s">
        <v>125</v>
      </c>
      <c r="Q105" s="9">
        <v>6</v>
      </c>
      <c r="R105" s="9">
        <v>14</v>
      </c>
      <c r="S105" s="9">
        <v>6</v>
      </c>
      <c r="T105" s="9">
        <v>13</v>
      </c>
      <c r="U105" s="9">
        <v>6</v>
      </c>
      <c r="W105" s="25">
        <v>1</v>
      </c>
      <c r="X105" s="25">
        <v>2</v>
      </c>
      <c r="Y105" s="25">
        <v>1</v>
      </c>
      <c r="Z105" s="25">
        <v>2</v>
      </c>
      <c r="AA105" s="25">
        <v>1</v>
      </c>
      <c r="AH105" s="5"/>
      <c r="AI105" s="5"/>
      <c r="AO105" s="5"/>
    </row>
    <row r="106" spans="10:41" x14ac:dyDescent="0.3">
      <c r="J106" s="9">
        <v>102</v>
      </c>
      <c r="K106" s="16" t="s">
        <v>125</v>
      </c>
      <c r="L106" s="16" t="s">
        <v>91</v>
      </c>
      <c r="M106" s="16" t="s">
        <v>35</v>
      </c>
      <c r="N106" s="16" t="s">
        <v>36</v>
      </c>
      <c r="O106" s="16" t="s">
        <v>35</v>
      </c>
      <c r="Q106" s="9">
        <v>6</v>
      </c>
      <c r="R106" s="9">
        <v>14</v>
      </c>
      <c r="S106" s="9">
        <v>8</v>
      </c>
      <c r="T106" s="9">
        <v>10</v>
      </c>
      <c r="U106" s="9">
        <v>8</v>
      </c>
      <c r="W106" s="25">
        <v>1</v>
      </c>
      <c r="X106" s="25">
        <v>1</v>
      </c>
      <c r="Y106" s="25">
        <v>1</v>
      </c>
      <c r="Z106" s="25">
        <v>2</v>
      </c>
      <c r="AA106" s="25">
        <v>1</v>
      </c>
      <c r="AH106" s="5"/>
      <c r="AI106" s="5"/>
      <c r="AO106" s="5"/>
    </row>
    <row r="107" spans="10:41" x14ac:dyDescent="0.3">
      <c r="J107" s="25">
        <v>103</v>
      </c>
      <c r="K107" s="16" t="s">
        <v>35</v>
      </c>
      <c r="L107" s="16" t="s">
        <v>18</v>
      </c>
      <c r="M107" s="16" t="s">
        <v>37</v>
      </c>
      <c r="N107" s="16" t="s">
        <v>19</v>
      </c>
      <c r="O107" s="16" t="s">
        <v>18</v>
      </c>
      <c r="Q107" s="9">
        <v>8</v>
      </c>
      <c r="R107" s="9">
        <v>4</v>
      </c>
      <c r="S107" s="9">
        <v>7</v>
      </c>
      <c r="T107" s="9">
        <v>5</v>
      </c>
      <c r="U107" s="9">
        <v>4</v>
      </c>
      <c r="W107" s="25">
        <v>1</v>
      </c>
      <c r="X107" s="25">
        <v>1</v>
      </c>
      <c r="Y107" s="25">
        <v>1</v>
      </c>
      <c r="Z107" s="25">
        <v>2</v>
      </c>
      <c r="AA107" s="25">
        <v>2</v>
      </c>
      <c r="AH107" s="5"/>
      <c r="AI107" s="5"/>
      <c r="AO107" s="5"/>
    </row>
    <row r="108" spans="10:41" x14ac:dyDescent="0.3">
      <c r="J108" s="9">
        <v>104</v>
      </c>
      <c r="K108" s="16" t="s">
        <v>19</v>
      </c>
      <c r="L108" s="16" t="s">
        <v>112</v>
      </c>
      <c r="M108" s="16" t="s">
        <v>125</v>
      </c>
      <c r="N108" s="16" t="s">
        <v>125</v>
      </c>
      <c r="O108" s="16" t="s">
        <v>22</v>
      </c>
      <c r="Q108" s="9">
        <v>5</v>
      </c>
      <c r="R108" s="9">
        <v>17</v>
      </c>
      <c r="S108" s="9">
        <v>6</v>
      </c>
      <c r="T108" s="9">
        <v>6</v>
      </c>
      <c r="U108" s="9">
        <v>3</v>
      </c>
      <c r="W108" s="25">
        <v>1</v>
      </c>
      <c r="X108" s="25">
        <v>1</v>
      </c>
      <c r="Y108" s="25">
        <v>1</v>
      </c>
      <c r="Z108" s="25">
        <v>2</v>
      </c>
      <c r="AA108" s="25">
        <v>1</v>
      </c>
      <c r="AH108" s="5"/>
      <c r="AI108" s="5"/>
      <c r="AO108" s="5"/>
    </row>
    <row r="109" spans="10:41" x14ac:dyDescent="0.3">
      <c r="J109" s="25">
        <v>105</v>
      </c>
      <c r="K109" s="16" t="s">
        <v>125</v>
      </c>
      <c r="L109" s="16" t="s">
        <v>22</v>
      </c>
      <c r="M109" s="16" t="s">
        <v>35</v>
      </c>
      <c r="N109" s="16" t="s">
        <v>36</v>
      </c>
      <c r="O109" s="16" t="s">
        <v>22</v>
      </c>
      <c r="Q109" s="9">
        <v>6</v>
      </c>
      <c r="R109" s="9">
        <v>3</v>
      </c>
      <c r="S109" s="9">
        <v>8</v>
      </c>
      <c r="T109" s="9">
        <v>10</v>
      </c>
      <c r="U109" s="9">
        <v>3</v>
      </c>
      <c r="W109" s="25">
        <v>1</v>
      </c>
      <c r="X109" s="25">
        <v>1</v>
      </c>
      <c r="Y109" s="25">
        <v>1</v>
      </c>
      <c r="Z109" s="25">
        <v>2</v>
      </c>
      <c r="AA109" s="25">
        <v>1</v>
      </c>
      <c r="AH109" s="5"/>
      <c r="AI109" s="5"/>
      <c r="AO109" s="5"/>
    </row>
    <row r="110" spans="10:41" x14ac:dyDescent="0.3">
      <c r="J110" s="9">
        <v>106</v>
      </c>
      <c r="K110" s="16" t="s">
        <v>35</v>
      </c>
      <c r="L110" s="16" t="s">
        <v>35</v>
      </c>
      <c r="M110" s="16" t="s">
        <v>35</v>
      </c>
      <c r="N110" s="16" t="s">
        <v>20</v>
      </c>
      <c r="O110" s="16" t="s">
        <v>35</v>
      </c>
      <c r="Q110" s="9">
        <v>8</v>
      </c>
      <c r="R110" s="9">
        <v>8</v>
      </c>
      <c r="S110" s="9">
        <v>8</v>
      </c>
      <c r="T110" s="9">
        <v>1</v>
      </c>
      <c r="U110" s="9">
        <v>8</v>
      </c>
      <c r="W110" s="25">
        <v>1</v>
      </c>
      <c r="X110" s="25">
        <v>1</v>
      </c>
      <c r="Y110" s="25">
        <v>1</v>
      </c>
      <c r="Z110" s="25">
        <v>2</v>
      </c>
      <c r="AA110" s="25">
        <v>1</v>
      </c>
      <c r="AH110" s="5"/>
      <c r="AI110" s="5"/>
      <c r="AO110" s="5"/>
    </row>
    <row r="111" spans="10:41" x14ac:dyDescent="0.3">
      <c r="J111" s="25">
        <v>107</v>
      </c>
      <c r="K111" s="16" t="s">
        <v>22</v>
      </c>
      <c r="L111" s="16" t="s">
        <v>90</v>
      </c>
      <c r="M111" s="16" t="s">
        <v>37</v>
      </c>
      <c r="N111" s="16" t="s">
        <v>22</v>
      </c>
      <c r="O111" s="16" t="s">
        <v>34</v>
      </c>
      <c r="Q111" s="9">
        <v>3</v>
      </c>
      <c r="R111" s="9">
        <v>13</v>
      </c>
      <c r="S111" s="9">
        <v>7</v>
      </c>
      <c r="T111" s="9">
        <v>3</v>
      </c>
      <c r="U111" s="9">
        <v>9</v>
      </c>
      <c r="W111" s="25">
        <v>1</v>
      </c>
      <c r="X111" s="25">
        <v>1</v>
      </c>
      <c r="Y111" s="25">
        <v>1</v>
      </c>
      <c r="Z111" s="25">
        <v>2</v>
      </c>
      <c r="AA111" s="25">
        <v>2</v>
      </c>
      <c r="AH111" s="5"/>
      <c r="AI111" s="5"/>
      <c r="AO111" s="5"/>
    </row>
    <row r="112" spans="10:41" x14ac:dyDescent="0.3">
      <c r="J112" s="9">
        <v>108</v>
      </c>
      <c r="K112" s="16" t="s">
        <v>37</v>
      </c>
      <c r="L112" s="16" t="s">
        <v>37</v>
      </c>
      <c r="M112" s="16" t="s">
        <v>37</v>
      </c>
      <c r="N112" s="16" t="s">
        <v>126</v>
      </c>
      <c r="O112" s="16" t="s">
        <v>34</v>
      </c>
      <c r="Q112" s="9">
        <v>7</v>
      </c>
      <c r="R112" s="9">
        <v>7</v>
      </c>
      <c r="S112" s="9">
        <v>7</v>
      </c>
      <c r="T112" s="9">
        <v>15</v>
      </c>
      <c r="U112" s="9">
        <v>9</v>
      </c>
      <c r="W112" s="25">
        <v>1</v>
      </c>
      <c r="X112" s="25">
        <v>1</v>
      </c>
      <c r="Y112" s="25">
        <v>1</v>
      </c>
      <c r="Z112" s="25">
        <v>1</v>
      </c>
      <c r="AA112" s="25">
        <v>2</v>
      </c>
      <c r="AH112" s="5"/>
      <c r="AI112" s="5"/>
      <c r="AO112" s="5"/>
    </row>
    <row r="113" spans="10:41" x14ac:dyDescent="0.3">
      <c r="J113" s="25">
        <v>109</v>
      </c>
      <c r="K113" s="16" t="s">
        <v>37</v>
      </c>
      <c r="L113" s="16" t="s">
        <v>19</v>
      </c>
      <c r="M113" s="16" t="s">
        <v>125</v>
      </c>
      <c r="N113" s="16" t="s">
        <v>18</v>
      </c>
      <c r="O113" s="16" t="s">
        <v>36</v>
      </c>
      <c r="Q113" s="9">
        <v>7</v>
      </c>
      <c r="R113" s="9">
        <v>5</v>
      </c>
      <c r="S113" s="9">
        <v>6</v>
      </c>
      <c r="T113" s="9">
        <v>4</v>
      </c>
      <c r="U113" s="9">
        <v>10</v>
      </c>
      <c r="W113" s="25">
        <v>1</v>
      </c>
      <c r="X113" s="25">
        <v>2</v>
      </c>
      <c r="Y113" s="25">
        <v>2</v>
      </c>
      <c r="Z113" s="25">
        <v>1</v>
      </c>
      <c r="AA113" s="25">
        <v>2</v>
      </c>
      <c r="AH113" s="5"/>
      <c r="AI113" s="5"/>
      <c r="AO113" s="5"/>
    </row>
    <row r="114" spans="10:41" x14ac:dyDescent="0.3">
      <c r="J114" s="9">
        <v>110</v>
      </c>
      <c r="K114" s="16" t="s">
        <v>37</v>
      </c>
      <c r="L114" s="16" t="s">
        <v>91</v>
      </c>
      <c r="M114" s="16" t="s">
        <v>19</v>
      </c>
      <c r="N114" s="16" t="s">
        <v>35</v>
      </c>
      <c r="O114" s="16" t="s">
        <v>36</v>
      </c>
      <c r="Q114" s="9">
        <v>7</v>
      </c>
      <c r="R114" s="9">
        <v>14</v>
      </c>
      <c r="S114" s="9">
        <v>5</v>
      </c>
      <c r="T114" s="9">
        <v>8</v>
      </c>
      <c r="U114" s="9">
        <v>10</v>
      </c>
      <c r="W114" s="25">
        <v>1</v>
      </c>
      <c r="X114" s="25">
        <v>2</v>
      </c>
      <c r="Y114" s="25">
        <v>1</v>
      </c>
      <c r="Z114" s="25">
        <v>1</v>
      </c>
      <c r="AA114" s="25">
        <v>1</v>
      </c>
      <c r="AH114" s="5"/>
      <c r="AI114" s="5"/>
      <c r="AO114" s="5"/>
    </row>
    <row r="115" spans="10:41" x14ac:dyDescent="0.3">
      <c r="J115" s="25">
        <v>111</v>
      </c>
      <c r="K115" s="16" t="s">
        <v>125</v>
      </c>
      <c r="L115" s="16" t="s">
        <v>91</v>
      </c>
      <c r="M115" s="16" t="s">
        <v>19</v>
      </c>
      <c r="N115" s="16" t="s">
        <v>21</v>
      </c>
      <c r="O115" s="16" t="s">
        <v>19</v>
      </c>
      <c r="Q115" s="9">
        <v>6</v>
      </c>
      <c r="R115" s="9">
        <v>14</v>
      </c>
      <c r="S115" s="9">
        <v>5</v>
      </c>
      <c r="T115" s="9">
        <v>2</v>
      </c>
      <c r="U115" s="9">
        <v>5</v>
      </c>
      <c r="W115" s="25">
        <v>1</v>
      </c>
      <c r="X115" s="25">
        <v>2</v>
      </c>
      <c r="Y115" s="25">
        <v>1</v>
      </c>
      <c r="Z115" s="25">
        <v>2</v>
      </c>
      <c r="AA115" s="25">
        <v>1</v>
      </c>
      <c r="AH115" s="5"/>
      <c r="AI115" s="5"/>
      <c r="AO115" s="5"/>
    </row>
    <row r="116" spans="10:41" x14ac:dyDescent="0.3">
      <c r="J116" s="9">
        <v>112</v>
      </c>
      <c r="K116" s="16" t="s">
        <v>19</v>
      </c>
      <c r="L116" s="16" t="s">
        <v>21</v>
      </c>
      <c r="M116" s="16" t="s">
        <v>37</v>
      </c>
      <c r="N116" s="16" t="s">
        <v>97</v>
      </c>
      <c r="O116" s="16" t="s">
        <v>35</v>
      </c>
      <c r="Q116" s="9">
        <v>5</v>
      </c>
      <c r="R116" s="9">
        <v>2</v>
      </c>
      <c r="S116" s="9">
        <v>7</v>
      </c>
      <c r="T116" s="9">
        <v>19</v>
      </c>
      <c r="U116" s="9">
        <v>8</v>
      </c>
      <c r="W116" s="25">
        <v>1</v>
      </c>
      <c r="X116" s="25">
        <v>2</v>
      </c>
      <c r="Y116" s="25">
        <v>1</v>
      </c>
      <c r="Z116" s="25">
        <v>2</v>
      </c>
      <c r="AA116" s="25">
        <v>1</v>
      </c>
      <c r="AH116" s="5"/>
      <c r="AI116" s="5"/>
      <c r="AO116" s="5"/>
    </row>
    <row r="117" spans="10:41" x14ac:dyDescent="0.3">
      <c r="J117" s="25">
        <v>113</v>
      </c>
      <c r="K117" s="16" t="s">
        <v>37</v>
      </c>
      <c r="L117" s="16" t="s">
        <v>21</v>
      </c>
      <c r="M117" s="16" t="s">
        <v>19</v>
      </c>
      <c r="N117" s="16" t="s">
        <v>36</v>
      </c>
      <c r="O117" s="16" t="s">
        <v>21</v>
      </c>
      <c r="Q117" s="9">
        <v>7</v>
      </c>
      <c r="R117" s="9">
        <v>2</v>
      </c>
      <c r="S117" s="9">
        <v>5</v>
      </c>
      <c r="T117" s="9">
        <v>10</v>
      </c>
      <c r="U117" s="9">
        <v>2</v>
      </c>
      <c r="W117" s="25">
        <v>1</v>
      </c>
      <c r="X117" s="25">
        <v>2</v>
      </c>
      <c r="Y117" s="25">
        <v>2</v>
      </c>
      <c r="Z117" s="25">
        <v>2</v>
      </c>
      <c r="AA117" s="25">
        <v>2</v>
      </c>
      <c r="AH117" s="5"/>
      <c r="AI117" s="5"/>
      <c r="AO117" s="5"/>
    </row>
    <row r="118" spans="10:41" x14ac:dyDescent="0.3">
      <c r="J118" s="9">
        <v>114</v>
      </c>
      <c r="K118" s="16" t="s">
        <v>35</v>
      </c>
      <c r="L118" s="16" t="s">
        <v>97</v>
      </c>
      <c r="M118" s="16" t="s">
        <v>36</v>
      </c>
      <c r="N118" s="16" t="s">
        <v>22</v>
      </c>
      <c r="O118" s="16" t="s">
        <v>36</v>
      </c>
      <c r="Q118" s="9">
        <v>8</v>
      </c>
      <c r="R118" s="9">
        <v>19</v>
      </c>
      <c r="S118" s="9">
        <v>10</v>
      </c>
      <c r="T118" s="9">
        <v>3</v>
      </c>
      <c r="U118" s="9">
        <v>10</v>
      </c>
      <c r="W118" s="25">
        <v>1</v>
      </c>
      <c r="X118" s="25">
        <v>1</v>
      </c>
      <c r="Y118" s="25">
        <v>2</v>
      </c>
      <c r="Z118" s="25">
        <v>2</v>
      </c>
      <c r="AA118" s="25">
        <v>1</v>
      </c>
      <c r="AH118" s="5"/>
      <c r="AI118" s="5"/>
      <c r="AO118" s="5"/>
    </row>
    <row r="119" spans="10:41" x14ac:dyDescent="0.3">
      <c r="J119" s="25">
        <v>115</v>
      </c>
      <c r="K119" s="16" t="s">
        <v>35</v>
      </c>
      <c r="L119" s="16" t="s">
        <v>95</v>
      </c>
      <c r="M119" s="16" t="s">
        <v>125</v>
      </c>
      <c r="N119" s="16" t="s">
        <v>22</v>
      </c>
      <c r="O119" s="16" t="s">
        <v>19</v>
      </c>
      <c r="Q119" s="9">
        <v>8</v>
      </c>
      <c r="R119" s="9">
        <v>18</v>
      </c>
      <c r="S119" s="9">
        <v>6</v>
      </c>
      <c r="T119" s="9">
        <v>3</v>
      </c>
      <c r="U119" s="9">
        <v>5</v>
      </c>
      <c r="W119" s="25">
        <v>1</v>
      </c>
      <c r="X119" s="25">
        <v>1</v>
      </c>
      <c r="Y119" s="25">
        <v>2</v>
      </c>
      <c r="Z119" s="25">
        <v>2</v>
      </c>
      <c r="AA119" s="25">
        <v>1</v>
      </c>
      <c r="AH119" s="5"/>
      <c r="AI119" s="5"/>
      <c r="AO119" s="5"/>
    </row>
    <row r="120" spans="10:41" x14ac:dyDescent="0.3">
      <c r="J120" s="9">
        <v>116</v>
      </c>
      <c r="K120" s="16" t="s">
        <v>35</v>
      </c>
      <c r="L120" s="16" t="s">
        <v>35</v>
      </c>
      <c r="M120" s="16" t="s">
        <v>21</v>
      </c>
      <c r="N120" s="16" t="s">
        <v>88</v>
      </c>
      <c r="O120" s="16" t="s">
        <v>37</v>
      </c>
      <c r="Q120" s="9">
        <v>8</v>
      </c>
      <c r="R120" s="9">
        <v>8</v>
      </c>
      <c r="S120" s="9">
        <v>2</v>
      </c>
      <c r="T120" s="9">
        <v>11</v>
      </c>
      <c r="U120" s="9">
        <v>7</v>
      </c>
      <c r="W120" s="25">
        <v>1</v>
      </c>
      <c r="X120" s="25">
        <v>1</v>
      </c>
      <c r="Y120" s="25">
        <v>2</v>
      </c>
      <c r="Z120" s="25">
        <v>2</v>
      </c>
      <c r="AA120" s="25">
        <v>1</v>
      </c>
      <c r="AH120" s="5"/>
      <c r="AI120" s="5"/>
      <c r="AO120" s="5"/>
    </row>
    <row r="121" spans="10:41" x14ac:dyDescent="0.3">
      <c r="J121" s="25">
        <v>117</v>
      </c>
      <c r="K121" s="16" t="s">
        <v>37</v>
      </c>
      <c r="L121" s="16" t="s">
        <v>21</v>
      </c>
      <c r="M121" s="16" t="s">
        <v>19</v>
      </c>
      <c r="N121" s="16" t="s">
        <v>20</v>
      </c>
      <c r="O121" s="16" t="s">
        <v>21</v>
      </c>
      <c r="Q121" s="9">
        <v>7</v>
      </c>
      <c r="R121" s="9">
        <v>2</v>
      </c>
      <c r="S121" s="9">
        <v>5</v>
      </c>
      <c r="T121" s="9">
        <v>1</v>
      </c>
      <c r="U121" s="9">
        <v>2</v>
      </c>
      <c r="W121" s="25">
        <v>1</v>
      </c>
      <c r="X121" s="25">
        <v>1</v>
      </c>
      <c r="Y121" s="25">
        <v>2</v>
      </c>
      <c r="Z121" s="25">
        <v>1</v>
      </c>
      <c r="AA121" s="25">
        <v>2</v>
      </c>
      <c r="AH121" s="5"/>
      <c r="AI121" s="5"/>
      <c r="AO121" s="5"/>
    </row>
    <row r="122" spans="10:41" x14ac:dyDescent="0.3">
      <c r="J122" s="9">
        <v>118</v>
      </c>
      <c r="K122" s="16" t="s">
        <v>125</v>
      </c>
      <c r="L122" s="16" t="s">
        <v>35</v>
      </c>
      <c r="M122" s="16" t="s">
        <v>125</v>
      </c>
      <c r="N122" s="16" t="s">
        <v>34</v>
      </c>
      <c r="O122" s="16" t="s">
        <v>18</v>
      </c>
      <c r="Q122" s="9">
        <v>6</v>
      </c>
      <c r="R122" s="9">
        <v>8</v>
      </c>
      <c r="S122" s="9">
        <v>6</v>
      </c>
      <c r="T122" s="9">
        <v>9</v>
      </c>
      <c r="U122" s="9">
        <v>4</v>
      </c>
      <c r="W122" s="25">
        <v>1</v>
      </c>
      <c r="X122" s="25">
        <v>1</v>
      </c>
      <c r="Y122" s="25">
        <v>1</v>
      </c>
      <c r="Z122" s="25">
        <v>1</v>
      </c>
      <c r="AA122" s="25">
        <v>2</v>
      </c>
      <c r="AH122" s="5"/>
      <c r="AI122" s="5"/>
      <c r="AO122" s="5"/>
    </row>
    <row r="123" spans="10:41" x14ac:dyDescent="0.3">
      <c r="J123" s="25">
        <v>119</v>
      </c>
      <c r="K123" s="16" t="s">
        <v>125</v>
      </c>
      <c r="L123" s="16" t="s">
        <v>20</v>
      </c>
      <c r="M123" s="16" t="s">
        <v>125</v>
      </c>
      <c r="N123" s="16" t="s">
        <v>35</v>
      </c>
      <c r="O123" s="16" t="s">
        <v>22</v>
      </c>
      <c r="Q123" s="9">
        <v>6</v>
      </c>
      <c r="R123" s="9">
        <v>1</v>
      </c>
      <c r="S123" s="9">
        <v>6</v>
      </c>
      <c r="T123" s="9">
        <v>8</v>
      </c>
      <c r="U123" s="9">
        <v>3</v>
      </c>
      <c r="W123" s="25">
        <v>1</v>
      </c>
      <c r="X123" s="25">
        <v>2</v>
      </c>
      <c r="Y123" s="25">
        <v>1</v>
      </c>
      <c r="Z123" s="25">
        <v>1</v>
      </c>
      <c r="AA123" s="25">
        <v>1</v>
      </c>
      <c r="AH123" s="5"/>
      <c r="AI123" s="5"/>
      <c r="AO123" s="5"/>
    </row>
    <row r="124" spans="10:41" x14ac:dyDescent="0.3">
      <c r="J124" s="9">
        <v>120</v>
      </c>
      <c r="K124" s="16" t="s">
        <v>35</v>
      </c>
      <c r="L124" s="16" t="s">
        <v>88</v>
      </c>
      <c r="M124" s="16" t="s">
        <v>37</v>
      </c>
      <c r="N124" s="16" t="s">
        <v>18</v>
      </c>
      <c r="O124" s="16" t="s">
        <v>19</v>
      </c>
      <c r="Q124" s="9">
        <v>8</v>
      </c>
      <c r="R124" s="9">
        <v>11</v>
      </c>
      <c r="S124" s="9">
        <v>7</v>
      </c>
      <c r="T124" s="9">
        <v>4</v>
      </c>
      <c r="U124" s="9">
        <v>5</v>
      </c>
      <c r="W124" s="25">
        <v>1</v>
      </c>
      <c r="X124" s="25">
        <v>2</v>
      </c>
      <c r="Y124" s="25">
        <v>1</v>
      </c>
      <c r="Z124" s="25">
        <v>2</v>
      </c>
      <c r="AA124" s="25">
        <v>1</v>
      </c>
      <c r="AH124" s="5"/>
      <c r="AI124" s="5"/>
      <c r="AO124" s="5"/>
    </row>
    <row r="125" spans="10:41" x14ac:dyDescent="0.3">
      <c r="J125" s="25">
        <v>121</v>
      </c>
      <c r="K125" s="16" t="s">
        <v>37</v>
      </c>
      <c r="L125" s="16" t="s">
        <v>19</v>
      </c>
      <c r="M125" s="16" t="s">
        <v>19</v>
      </c>
      <c r="N125" s="16" t="s">
        <v>97</v>
      </c>
      <c r="O125" s="16" t="s">
        <v>35</v>
      </c>
      <c r="Q125" s="9">
        <v>7</v>
      </c>
      <c r="R125" s="9">
        <v>5</v>
      </c>
      <c r="S125" s="9">
        <v>5</v>
      </c>
      <c r="T125" s="9">
        <v>19</v>
      </c>
      <c r="U125" s="9">
        <v>8</v>
      </c>
      <c r="W125" s="25">
        <v>1</v>
      </c>
      <c r="X125" s="25">
        <v>1</v>
      </c>
      <c r="Y125" s="25">
        <v>1</v>
      </c>
      <c r="Z125" s="25">
        <v>2</v>
      </c>
      <c r="AA125" s="25">
        <v>1</v>
      </c>
      <c r="AH125" s="5"/>
      <c r="AI125" s="5"/>
      <c r="AO125" s="5"/>
    </row>
    <row r="126" spans="10:41" x14ac:dyDescent="0.3">
      <c r="J126" s="9">
        <v>122</v>
      </c>
      <c r="K126" s="16" t="s">
        <v>37</v>
      </c>
      <c r="L126" s="16" t="s">
        <v>21</v>
      </c>
      <c r="M126" s="16" t="s">
        <v>37</v>
      </c>
      <c r="N126" s="16" t="s">
        <v>126</v>
      </c>
      <c r="O126" s="16" t="s">
        <v>18</v>
      </c>
      <c r="Q126" s="9">
        <v>7</v>
      </c>
      <c r="R126" s="9">
        <v>2</v>
      </c>
      <c r="S126" s="9">
        <v>7</v>
      </c>
      <c r="T126" s="9">
        <v>15</v>
      </c>
      <c r="U126" s="9">
        <v>4</v>
      </c>
      <c r="W126" s="25">
        <v>1</v>
      </c>
      <c r="X126" s="25">
        <v>1</v>
      </c>
      <c r="Y126" s="25">
        <v>1</v>
      </c>
      <c r="Z126" s="25">
        <v>1</v>
      </c>
      <c r="AA126" s="25">
        <v>2</v>
      </c>
      <c r="AH126" s="5"/>
      <c r="AI126" s="5"/>
      <c r="AO126" s="5"/>
    </row>
    <row r="127" spans="10:41" x14ac:dyDescent="0.3">
      <c r="J127" s="25">
        <v>123</v>
      </c>
      <c r="K127" s="16" t="s">
        <v>35</v>
      </c>
      <c r="L127" s="16" t="s">
        <v>112</v>
      </c>
      <c r="M127" s="16" t="s">
        <v>35</v>
      </c>
      <c r="N127" s="16" t="s">
        <v>22</v>
      </c>
      <c r="O127" s="16" t="s">
        <v>21</v>
      </c>
      <c r="Q127" s="9">
        <v>8</v>
      </c>
      <c r="R127" s="9">
        <v>17</v>
      </c>
      <c r="S127" s="9">
        <v>8</v>
      </c>
      <c r="T127" s="9">
        <v>3</v>
      </c>
      <c r="U127" s="9">
        <v>2</v>
      </c>
      <c r="W127" s="25">
        <v>1</v>
      </c>
      <c r="X127" s="25">
        <v>1</v>
      </c>
      <c r="Y127" s="25">
        <v>1</v>
      </c>
      <c r="Z127" s="25">
        <v>1</v>
      </c>
      <c r="AA127" s="25">
        <v>1</v>
      </c>
      <c r="AH127" s="5"/>
      <c r="AI127" s="5"/>
      <c r="AO127" s="5"/>
    </row>
    <row r="128" spans="10:41" x14ac:dyDescent="0.3">
      <c r="J128" s="9">
        <v>124</v>
      </c>
      <c r="K128" s="16" t="s">
        <v>19</v>
      </c>
      <c r="L128" s="16" t="s">
        <v>22</v>
      </c>
      <c r="M128" s="16" t="s">
        <v>19</v>
      </c>
      <c r="N128" s="16" t="s">
        <v>37</v>
      </c>
      <c r="O128" s="16" t="s">
        <v>21</v>
      </c>
      <c r="Q128" s="9">
        <v>5</v>
      </c>
      <c r="R128" s="9">
        <v>3</v>
      </c>
      <c r="S128" s="9">
        <v>5</v>
      </c>
      <c r="T128" s="9">
        <v>7</v>
      </c>
      <c r="U128" s="9">
        <v>2</v>
      </c>
      <c r="W128" s="25">
        <v>1</v>
      </c>
      <c r="X128" s="25">
        <v>1</v>
      </c>
      <c r="Y128" s="25">
        <v>2</v>
      </c>
      <c r="Z128" s="25">
        <v>1</v>
      </c>
      <c r="AA128" s="25">
        <v>1</v>
      </c>
      <c r="AH128" s="5"/>
      <c r="AI128" s="5"/>
      <c r="AO128" s="5"/>
    </row>
    <row r="129" spans="10:41" x14ac:dyDescent="0.3">
      <c r="J129" s="25">
        <v>125</v>
      </c>
      <c r="K129" s="16" t="s">
        <v>35</v>
      </c>
      <c r="L129" s="16" t="s">
        <v>92</v>
      </c>
      <c r="M129" s="16" t="s">
        <v>19</v>
      </c>
      <c r="N129" s="16" t="s">
        <v>125</v>
      </c>
      <c r="O129" s="16" t="s">
        <v>37</v>
      </c>
      <c r="Q129" s="9">
        <v>8</v>
      </c>
      <c r="R129" s="9">
        <v>16</v>
      </c>
      <c r="S129" s="9">
        <v>5</v>
      </c>
      <c r="T129" s="9">
        <v>6</v>
      </c>
      <c r="U129" s="9">
        <v>7</v>
      </c>
      <c r="W129" s="25">
        <v>1</v>
      </c>
      <c r="X129" s="25">
        <v>1</v>
      </c>
      <c r="Y129" s="25">
        <v>1</v>
      </c>
      <c r="Z129" s="25">
        <v>1</v>
      </c>
      <c r="AA129" s="25">
        <v>1</v>
      </c>
      <c r="AH129" s="5"/>
      <c r="AI129" s="5"/>
      <c r="AO129" s="5"/>
    </row>
    <row r="130" spans="10:41" x14ac:dyDescent="0.3">
      <c r="J130" s="9">
        <v>126</v>
      </c>
      <c r="K130" s="16" t="s">
        <v>37</v>
      </c>
      <c r="L130" s="16" t="s">
        <v>35</v>
      </c>
      <c r="M130" s="16" t="s">
        <v>125</v>
      </c>
      <c r="N130" s="16" t="s">
        <v>37</v>
      </c>
      <c r="O130" s="16" t="s">
        <v>34</v>
      </c>
      <c r="Q130" s="9">
        <v>7</v>
      </c>
      <c r="R130" s="9">
        <v>8</v>
      </c>
      <c r="S130" s="9">
        <v>6</v>
      </c>
      <c r="T130" s="9">
        <v>7</v>
      </c>
      <c r="U130" s="9">
        <v>9</v>
      </c>
      <c r="W130" s="25">
        <v>1</v>
      </c>
      <c r="X130" s="25">
        <v>1</v>
      </c>
      <c r="Y130" s="25">
        <v>1</v>
      </c>
      <c r="Z130" s="25">
        <v>1</v>
      </c>
      <c r="AA130" s="25">
        <v>1</v>
      </c>
      <c r="AH130" s="5"/>
      <c r="AI130" s="5"/>
      <c r="AO130" s="5"/>
    </row>
    <row r="131" spans="10:41" x14ac:dyDescent="0.3">
      <c r="J131" s="25">
        <v>127</v>
      </c>
      <c r="K131" s="16" t="s">
        <v>19</v>
      </c>
      <c r="L131" s="16" t="s">
        <v>35</v>
      </c>
      <c r="M131" s="16" t="s">
        <v>37</v>
      </c>
      <c r="N131" s="16" t="s">
        <v>36</v>
      </c>
      <c r="O131" s="16" t="s">
        <v>34</v>
      </c>
      <c r="Q131" s="9">
        <v>5</v>
      </c>
      <c r="R131" s="9">
        <v>8</v>
      </c>
      <c r="S131" s="9">
        <v>7</v>
      </c>
      <c r="T131" s="9">
        <v>10</v>
      </c>
      <c r="U131" s="9">
        <v>9</v>
      </c>
      <c r="W131" s="25">
        <v>1</v>
      </c>
      <c r="X131" s="25">
        <v>1</v>
      </c>
      <c r="Y131" s="25">
        <v>1</v>
      </c>
      <c r="Z131" s="25">
        <v>2</v>
      </c>
      <c r="AA131" s="25">
        <v>1</v>
      </c>
      <c r="AH131" s="5"/>
      <c r="AI131" s="5"/>
      <c r="AO131" s="5"/>
    </row>
    <row r="132" spans="10:41" x14ac:dyDescent="0.3">
      <c r="J132" s="9">
        <v>128</v>
      </c>
      <c r="K132" s="16" t="s">
        <v>37</v>
      </c>
      <c r="L132" s="16" t="s">
        <v>88</v>
      </c>
      <c r="M132" s="16" t="s">
        <v>37</v>
      </c>
      <c r="N132" s="16" t="s">
        <v>90</v>
      </c>
      <c r="O132" s="16" t="s">
        <v>35</v>
      </c>
      <c r="Q132" s="9">
        <v>7</v>
      </c>
      <c r="R132" s="9">
        <v>11</v>
      </c>
      <c r="S132" s="9">
        <v>7</v>
      </c>
      <c r="T132" s="9">
        <v>13</v>
      </c>
      <c r="U132" s="9">
        <v>8</v>
      </c>
      <c r="W132" s="25">
        <v>1</v>
      </c>
      <c r="X132" s="25">
        <v>2</v>
      </c>
      <c r="Y132" s="25">
        <v>1</v>
      </c>
      <c r="Z132" s="25">
        <v>2</v>
      </c>
      <c r="AA132" s="25">
        <v>1</v>
      </c>
      <c r="AH132" s="5"/>
      <c r="AI132" s="5"/>
      <c r="AO132" s="5"/>
    </row>
    <row r="133" spans="10:41" x14ac:dyDescent="0.3">
      <c r="J133" s="25">
        <v>129</v>
      </c>
      <c r="K133" s="16" t="s">
        <v>19</v>
      </c>
      <c r="L133" s="16" t="s">
        <v>22</v>
      </c>
      <c r="M133" s="16" t="s">
        <v>37</v>
      </c>
      <c r="N133" s="16" t="s">
        <v>20</v>
      </c>
      <c r="O133" s="16" t="s">
        <v>125</v>
      </c>
      <c r="Q133" s="9">
        <v>5</v>
      </c>
      <c r="R133" s="9">
        <v>3</v>
      </c>
      <c r="S133" s="9">
        <v>7</v>
      </c>
      <c r="T133" s="9">
        <v>1</v>
      </c>
      <c r="U133" s="9">
        <v>6</v>
      </c>
      <c r="W133" s="25">
        <v>1</v>
      </c>
      <c r="X133" s="25">
        <v>2</v>
      </c>
      <c r="Y133" s="25">
        <v>1</v>
      </c>
      <c r="Z133" s="25">
        <v>2</v>
      </c>
      <c r="AA133" s="25">
        <v>1</v>
      </c>
      <c r="AH133" s="5"/>
      <c r="AI133" s="5"/>
      <c r="AO133" s="5"/>
    </row>
    <row r="134" spans="10:41" x14ac:dyDescent="0.3">
      <c r="J134" s="9">
        <v>130</v>
      </c>
      <c r="K134" s="16" t="s">
        <v>37</v>
      </c>
      <c r="L134" s="16" t="s">
        <v>22</v>
      </c>
      <c r="M134" s="16" t="s">
        <v>125</v>
      </c>
      <c r="N134" s="16" t="s">
        <v>21</v>
      </c>
      <c r="O134" s="16" t="s">
        <v>35</v>
      </c>
      <c r="Q134" s="9">
        <v>7</v>
      </c>
      <c r="R134" s="9">
        <v>3</v>
      </c>
      <c r="S134" s="9">
        <v>6</v>
      </c>
      <c r="T134" s="9">
        <v>2</v>
      </c>
      <c r="U134" s="9">
        <v>8</v>
      </c>
      <c r="W134" s="25">
        <v>1</v>
      </c>
      <c r="X134" s="25">
        <v>2</v>
      </c>
      <c r="Y134" s="25">
        <v>2</v>
      </c>
      <c r="Z134" s="25">
        <v>1</v>
      </c>
      <c r="AA134" s="25">
        <v>1</v>
      </c>
      <c r="AH134" s="5"/>
      <c r="AI134" s="5"/>
      <c r="AO134" s="5"/>
    </row>
    <row r="135" spans="10:41" x14ac:dyDescent="0.3">
      <c r="J135" s="25">
        <v>131</v>
      </c>
      <c r="K135" s="16" t="s">
        <v>37</v>
      </c>
      <c r="L135" s="16" t="s">
        <v>97</v>
      </c>
      <c r="M135" s="16" t="s">
        <v>125</v>
      </c>
      <c r="N135" s="16" t="s">
        <v>21</v>
      </c>
      <c r="O135" s="16" t="s">
        <v>21</v>
      </c>
      <c r="Q135" s="9">
        <v>7</v>
      </c>
      <c r="R135" s="9">
        <v>19</v>
      </c>
      <c r="S135" s="9">
        <v>6</v>
      </c>
      <c r="T135" s="9">
        <v>2</v>
      </c>
      <c r="U135" s="9">
        <v>2</v>
      </c>
      <c r="W135" s="25">
        <v>1</v>
      </c>
      <c r="X135" s="25">
        <v>2</v>
      </c>
      <c r="Y135" s="25">
        <v>2</v>
      </c>
      <c r="Z135" s="25">
        <v>1</v>
      </c>
      <c r="AA135" s="25">
        <v>2</v>
      </c>
      <c r="AH135" s="5"/>
      <c r="AI135" s="5"/>
      <c r="AO135" s="5"/>
    </row>
    <row r="136" spans="10:41" x14ac:dyDescent="0.3">
      <c r="J136" s="9">
        <v>132</v>
      </c>
      <c r="K136" s="16" t="s">
        <v>35</v>
      </c>
      <c r="L136" s="16" t="s">
        <v>20</v>
      </c>
      <c r="M136" s="16" t="s">
        <v>125</v>
      </c>
      <c r="N136" s="16" t="s">
        <v>92</v>
      </c>
      <c r="O136" s="16" t="s">
        <v>34</v>
      </c>
      <c r="Q136" s="9">
        <v>8</v>
      </c>
      <c r="R136" s="9">
        <v>1</v>
      </c>
      <c r="S136" s="9">
        <v>6</v>
      </c>
      <c r="T136" s="9">
        <v>16</v>
      </c>
      <c r="U136" s="9">
        <v>9</v>
      </c>
      <c r="W136" s="25">
        <v>1</v>
      </c>
      <c r="X136" s="25">
        <v>2</v>
      </c>
      <c r="Y136" s="25">
        <v>2</v>
      </c>
      <c r="Z136" s="25">
        <v>1</v>
      </c>
      <c r="AA136" s="25">
        <v>2</v>
      </c>
      <c r="AH136" s="5"/>
      <c r="AI136" s="5"/>
      <c r="AO136" s="5"/>
    </row>
    <row r="137" spans="10:41" x14ac:dyDescent="0.3">
      <c r="J137" s="25">
        <v>133</v>
      </c>
      <c r="K137" s="16" t="s">
        <v>125</v>
      </c>
      <c r="L137" s="16" t="s">
        <v>125</v>
      </c>
      <c r="M137" s="16" t="s">
        <v>125</v>
      </c>
      <c r="N137" s="16" t="s">
        <v>112</v>
      </c>
      <c r="O137" s="16" t="s">
        <v>19</v>
      </c>
      <c r="Q137" s="9">
        <v>6</v>
      </c>
      <c r="R137" s="9">
        <v>6</v>
      </c>
      <c r="S137" s="9">
        <v>6</v>
      </c>
      <c r="T137" s="9">
        <v>17</v>
      </c>
      <c r="U137" s="9">
        <v>5</v>
      </c>
      <c r="W137" s="25">
        <v>1</v>
      </c>
      <c r="X137" s="25">
        <v>2</v>
      </c>
      <c r="Y137" s="25">
        <v>1</v>
      </c>
      <c r="Z137" s="25">
        <v>1</v>
      </c>
      <c r="AA137" s="25">
        <v>2</v>
      </c>
      <c r="AH137" s="5"/>
      <c r="AI137" s="5"/>
      <c r="AO137" s="5"/>
    </row>
    <row r="138" spans="10:41" x14ac:dyDescent="0.3">
      <c r="J138" s="9">
        <v>134</v>
      </c>
      <c r="K138" s="16" t="s">
        <v>35</v>
      </c>
      <c r="L138" s="16" t="s">
        <v>21</v>
      </c>
      <c r="M138" s="16" t="s">
        <v>35</v>
      </c>
      <c r="N138" s="16" t="s">
        <v>34</v>
      </c>
      <c r="O138" s="16" t="s">
        <v>22</v>
      </c>
      <c r="Q138" s="9">
        <v>8</v>
      </c>
      <c r="R138" s="9">
        <v>2</v>
      </c>
      <c r="S138" s="9">
        <v>8</v>
      </c>
      <c r="T138" s="9">
        <v>9</v>
      </c>
      <c r="U138" s="9">
        <v>3</v>
      </c>
      <c r="W138" s="25">
        <v>1</v>
      </c>
      <c r="X138" s="25">
        <v>1</v>
      </c>
      <c r="Y138" s="25">
        <v>1</v>
      </c>
      <c r="Z138" s="25">
        <v>2</v>
      </c>
      <c r="AA138" s="25">
        <v>2</v>
      </c>
      <c r="AH138" s="5"/>
      <c r="AI138" s="5"/>
      <c r="AO138" s="5"/>
    </row>
    <row r="139" spans="10:41" x14ac:dyDescent="0.3">
      <c r="J139" s="25">
        <v>135</v>
      </c>
      <c r="K139" s="16" t="s">
        <v>19</v>
      </c>
      <c r="L139" s="16" t="s">
        <v>91</v>
      </c>
      <c r="M139" s="16" t="s">
        <v>112</v>
      </c>
      <c r="N139" s="16" t="s">
        <v>18</v>
      </c>
      <c r="O139" s="16" t="s">
        <v>22</v>
      </c>
      <c r="Q139" s="9">
        <v>5</v>
      </c>
      <c r="R139" s="9">
        <v>14</v>
      </c>
      <c r="S139" s="9">
        <v>17</v>
      </c>
      <c r="T139" s="9">
        <v>4</v>
      </c>
      <c r="U139" s="9">
        <v>3</v>
      </c>
      <c r="W139" s="25">
        <v>1</v>
      </c>
      <c r="X139" s="25">
        <v>1</v>
      </c>
      <c r="Y139" s="25">
        <v>1</v>
      </c>
      <c r="Z139" s="25">
        <v>1</v>
      </c>
      <c r="AA139" s="25">
        <v>1</v>
      </c>
      <c r="AH139" s="5"/>
      <c r="AI139" s="5"/>
      <c r="AO139" s="5"/>
    </row>
    <row r="140" spans="10:41" x14ac:dyDescent="0.3">
      <c r="J140" s="9">
        <v>136</v>
      </c>
      <c r="K140" s="16" t="s">
        <v>37</v>
      </c>
      <c r="L140" s="16" t="s">
        <v>37</v>
      </c>
      <c r="M140" s="16" t="s">
        <v>19</v>
      </c>
      <c r="N140" s="16" t="s">
        <v>18</v>
      </c>
      <c r="O140" s="16" t="s">
        <v>36</v>
      </c>
      <c r="Q140" s="9">
        <v>7</v>
      </c>
      <c r="R140" s="9">
        <v>7</v>
      </c>
      <c r="S140" s="9">
        <v>5</v>
      </c>
      <c r="T140" s="9">
        <v>4</v>
      </c>
      <c r="U140" s="9">
        <v>10</v>
      </c>
      <c r="W140" s="25">
        <v>1</v>
      </c>
      <c r="X140" s="25">
        <v>1</v>
      </c>
      <c r="Y140" s="25">
        <v>1</v>
      </c>
      <c r="Z140" s="25">
        <v>1</v>
      </c>
      <c r="AA140" s="25">
        <v>1</v>
      </c>
      <c r="AH140" s="5"/>
      <c r="AI140" s="5"/>
      <c r="AO140" s="5"/>
    </row>
    <row r="141" spans="10:41" x14ac:dyDescent="0.3">
      <c r="J141" s="25">
        <v>137</v>
      </c>
      <c r="K141" s="16" t="s">
        <v>35</v>
      </c>
      <c r="L141" s="16" t="s">
        <v>125</v>
      </c>
      <c r="M141" s="16" t="s">
        <v>22</v>
      </c>
      <c r="N141" s="16" t="s">
        <v>112</v>
      </c>
      <c r="O141" s="16" t="s">
        <v>35</v>
      </c>
      <c r="Q141" s="9">
        <v>8</v>
      </c>
      <c r="R141" s="9">
        <v>6</v>
      </c>
      <c r="S141" s="9">
        <v>3</v>
      </c>
      <c r="T141" s="9">
        <v>17</v>
      </c>
      <c r="U141" s="9">
        <v>8</v>
      </c>
      <c r="W141" s="25">
        <v>1</v>
      </c>
      <c r="X141" s="25">
        <v>1</v>
      </c>
      <c r="Y141" s="25">
        <v>1</v>
      </c>
      <c r="Z141" s="25">
        <v>1</v>
      </c>
      <c r="AA141" s="25">
        <v>1</v>
      </c>
      <c r="AH141" s="5"/>
      <c r="AI141" s="5"/>
      <c r="AO141" s="5"/>
    </row>
    <row r="142" spans="10:41" x14ac:dyDescent="0.3">
      <c r="J142" s="9">
        <v>138</v>
      </c>
      <c r="K142" s="16" t="s">
        <v>37</v>
      </c>
      <c r="L142" s="16" t="s">
        <v>89</v>
      </c>
      <c r="M142" s="16" t="s">
        <v>37</v>
      </c>
      <c r="N142" s="16" t="s">
        <v>95</v>
      </c>
      <c r="O142" s="16" t="s">
        <v>36</v>
      </c>
      <c r="Q142" s="9">
        <v>7</v>
      </c>
      <c r="R142" s="9">
        <v>12</v>
      </c>
      <c r="S142" s="9">
        <v>7</v>
      </c>
      <c r="T142" s="9">
        <v>18</v>
      </c>
      <c r="U142" s="9">
        <v>10</v>
      </c>
      <c r="W142" s="25">
        <v>1</v>
      </c>
      <c r="X142" s="25">
        <v>1</v>
      </c>
      <c r="Y142" s="25">
        <v>1</v>
      </c>
      <c r="Z142" s="25">
        <v>2</v>
      </c>
      <c r="AA142" s="25">
        <v>1</v>
      </c>
      <c r="AH142" s="5"/>
      <c r="AI142" s="5"/>
      <c r="AO142" s="5"/>
    </row>
    <row r="143" spans="10:41" x14ac:dyDescent="0.3">
      <c r="J143" s="25">
        <v>139</v>
      </c>
      <c r="K143" s="16" t="s">
        <v>35</v>
      </c>
      <c r="L143" s="16" t="s">
        <v>92</v>
      </c>
      <c r="M143" s="16" t="s">
        <v>126</v>
      </c>
      <c r="N143" s="16" t="s">
        <v>125</v>
      </c>
      <c r="O143" s="16" t="s">
        <v>37</v>
      </c>
      <c r="Q143" s="9">
        <v>8</v>
      </c>
      <c r="R143" s="9">
        <v>16</v>
      </c>
      <c r="S143" s="9">
        <v>15</v>
      </c>
      <c r="T143" s="9">
        <v>6</v>
      </c>
      <c r="U143" s="9">
        <v>7</v>
      </c>
      <c r="W143" s="25">
        <v>1</v>
      </c>
      <c r="X143" s="25">
        <v>1</v>
      </c>
      <c r="Y143" s="25">
        <v>1</v>
      </c>
      <c r="Z143" s="25">
        <v>2</v>
      </c>
      <c r="AA143" s="25">
        <v>1</v>
      </c>
      <c r="AH143" s="5"/>
      <c r="AI143" s="5"/>
      <c r="AO143" s="5"/>
    </row>
    <row r="144" spans="10:41" x14ac:dyDescent="0.3">
      <c r="J144" s="9">
        <v>140</v>
      </c>
      <c r="K144" s="16" t="s">
        <v>35</v>
      </c>
      <c r="L144" s="16" t="s">
        <v>37</v>
      </c>
      <c r="M144" s="16" t="s">
        <v>34</v>
      </c>
      <c r="N144" s="16" t="s">
        <v>21</v>
      </c>
      <c r="O144" s="16" t="s">
        <v>37</v>
      </c>
      <c r="Q144" s="9">
        <v>8</v>
      </c>
      <c r="R144" s="9">
        <v>7</v>
      </c>
      <c r="S144" s="9">
        <v>9</v>
      </c>
      <c r="T144" s="9">
        <v>2</v>
      </c>
      <c r="U144" s="9">
        <v>7</v>
      </c>
      <c r="W144" s="25">
        <v>1</v>
      </c>
      <c r="X144" s="25">
        <v>1</v>
      </c>
      <c r="Y144" s="25">
        <v>1</v>
      </c>
      <c r="Z144" s="25">
        <v>1</v>
      </c>
      <c r="AA144" s="25">
        <v>1</v>
      </c>
      <c r="AH144" s="5"/>
      <c r="AI144" s="5"/>
      <c r="AO144" s="5"/>
    </row>
    <row r="145" spans="10:41" x14ac:dyDescent="0.3">
      <c r="J145" s="25">
        <v>141</v>
      </c>
      <c r="K145" s="16" t="s">
        <v>37</v>
      </c>
      <c r="L145" s="16" t="s">
        <v>37</v>
      </c>
      <c r="M145" s="16" t="s">
        <v>35</v>
      </c>
      <c r="N145" s="16" t="s">
        <v>89</v>
      </c>
      <c r="O145" s="16" t="s">
        <v>19</v>
      </c>
      <c r="Q145" s="9">
        <v>7</v>
      </c>
      <c r="R145" s="9">
        <v>7</v>
      </c>
      <c r="S145" s="9">
        <v>8</v>
      </c>
      <c r="T145" s="9">
        <v>12</v>
      </c>
      <c r="U145" s="9">
        <v>5</v>
      </c>
      <c r="W145" s="25">
        <v>1</v>
      </c>
      <c r="X145" s="25">
        <v>1</v>
      </c>
      <c r="Y145" s="25">
        <v>1</v>
      </c>
      <c r="Z145" s="25">
        <v>1</v>
      </c>
      <c r="AA145" s="25">
        <v>1</v>
      </c>
      <c r="AH145" s="5"/>
      <c r="AI145" s="5"/>
      <c r="AO145" s="5"/>
    </row>
    <row r="146" spans="10:41" x14ac:dyDescent="0.3">
      <c r="J146" s="9">
        <v>142</v>
      </c>
      <c r="K146" s="16" t="s">
        <v>125</v>
      </c>
      <c r="L146" s="16" t="s">
        <v>91</v>
      </c>
      <c r="M146" s="16" t="s">
        <v>35</v>
      </c>
      <c r="N146" s="16" t="s">
        <v>37</v>
      </c>
      <c r="O146" s="16" t="s">
        <v>34</v>
      </c>
      <c r="Q146" s="9">
        <v>6</v>
      </c>
      <c r="R146" s="9">
        <v>14</v>
      </c>
      <c r="S146" s="9">
        <v>8</v>
      </c>
      <c r="T146" s="9">
        <v>7</v>
      </c>
      <c r="U146" s="9">
        <v>9</v>
      </c>
      <c r="W146" s="25">
        <v>1</v>
      </c>
      <c r="X146" s="25">
        <v>1</v>
      </c>
      <c r="Y146" s="25">
        <v>1</v>
      </c>
      <c r="Z146" s="25">
        <v>1</v>
      </c>
      <c r="AA146" s="25">
        <v>1</v>
      </c>
      <c r="AH146" s="5"/>
      <c r="AI146" s="5"/>
      <c r="AO146" s="5"/>
    </row>
    <row r="147" spans="10:41" x14ac:dyDescent="0.3">
      <c r="J147" s="25">
        <v>143</v>
      </c>
      <c r="K147" s="16" t="s">
        <v>37</v>
      </c>
      <c r="L147" s="16" t="s">
        <v>36</v>
      </c>
      <c r="M147" s="16" t="s">
        <v>125</v>
      </c>
      <c r="N147" s="16" t="s">
        <v>126</v>
      </c>
      <c r="O147" s="16" t="s">
        <v>35</v>
      </c>
      <c r="Q147" s="9">
        <v>7</v>
      </c>
      <c r="R147" s="9">
        <v>10</v>
      </c>
      <c r="S147" s="9">
        <v>6</v>
      </c>
      <c r="T147" s="9">
        <v>15</v>
      </c>
      <c r="U147" s="9">
        <v>8</v>
      </c>
      <c r="W147" s="25">
        <v>1</v>
      </c>
      <c r="X147" s="25">
        <v>1</v>
      </c>
      <c r="Y147" s="25">
        <v>1</v>
      </c>
      <c r="Z147" s="25">
        <v>1</v>
      </c>
      <c r="AA147" s="25">
        <v>1</v>
      </c>
      <c r="AH147" s="5"/>
      <c r="AI147" s="5"/>
      <c r="AO147" s="5"/>
    </row>
    <row r="148" spans="10:41" x14ac:dyDescent="0.3">
      <c r="J148" s="9">
        <v>144</v>
      </c>
      <c r="K148" s="16" t="s">
        <v>125</v>
      </c>
      <c r="L148" s="16" t="s">
        <v>37</v>
      </c>
      <c r="M148" s="16" t="s">
        <v>37</v>
      </c>
      <c r="N148" s="16" t="s">
        <v>35</v>
      </c>
      <c r="O148" s="16" t="s">
        <v>21</v>
      </c>
      <c r="Q148" s="9">
        <v>6</v>
      </c>
      <c r="R148" s="9">
        <v>7</v>
      </c>
      <c r="S148" s="9">
        <v>7</v>
      </c>
      <c r="T148" s="9">
        <v>8</v>
      </c>
      <c r="U148" s="9">
        <v>2</v>
      </c>
      <c r="W148" s="25">
        <v>1</v>
      </c>
      <c r="X148" s="25">
        <v>1</v>
      </c>
      <c r="Y148" s="25">
        <v>1</v>
      </c>
      <c r="Z148" s="25">
        <v>1</v>
      </c>
      <c r="AA148" s="25">
        <v>2</v>
      </c>
      <c r="AH148" s="5"/>
      <c r="AI148" s="5"/>
      <c r="AO148" s="5"/>
    </row>
    <row r="149" spans="10:41" x14ac:dyDescent="0.3">
      <c r="J149" s="25">
        <v>145</v>
      </c>
      <c r="K149" s="16" t="s">
        <v>37</v>
      </c>
      <c r="L149" s="16" t="s">
        <v>88</v>
      </c>
      <c r="M149" s="16" t="s">
        <v>37</v>
      </c>
      <c r="N149" s="16" t="s">
        <v>35</v>
      </c>
      <c r="O149" s="16" t="s">
        <v>22</v>
      </c>
      <c r="Q149" s="9">
        <v>7</v>
      </c>
      <c r="R149" s="9">
        <v>11</v>
      </c>
      <c r="S149" s="9">
        <v>7</v>
      </c>
      <c r="T149" s="9">
        <v>8</v>
      </c>
      <c r="U149" s="9">
        <v>3</v>
      </c>
      <c r="W149" s="25">
        <v>1</v>
      </c>
      <c r="X149" s="25">
        <v>2</v>
      </c>
      <c r="Y149" s="25">
        <v>1</v>
      </c>
      <c r="Z149" s="25">
        <v>1</v>
      </c>
      <c r="AA149" s="25">
        <v>2</v>
      </c>
      <c r="AH149" s="5"/>
      <c r="AI149" s="5"/>
      <c r="AO149" s="5"/>
    </row>
    <row r="150" spans="10:41" x14ac:dyDescent="0.3">
      <c r="J150" s="9">
        <v>146</v>
      </c>
      <c r="K150" s="16" t="s">
        <v>35</v>
      </c>
      <c r="L150" s="16" t="s">
        <v>21</v>
      </c>
      <c r="M150" s="16" t="s">
        <v>37</v>
      </c>
      <c r="N150" s="16" t="s">
        <v>18</v>
      </c>
      <c r="O150" s="16" t="s">
        <v>34</v>
      </c>
      <c r="Q150" s="9">
        <v>8</v>
      </c>
      <c r="R150" s="9">
        <v>2</v>
      </c>
      <c r="S150" s="9">
        <v>7</v>
      </c>
      <c r="T150" s="9">
        <v>4</v>
      </c>
      <c r="U150" s="9">
        <v>9</v>
      </c>
      <c r="W150" s="25">
        <v>1</v>
      </c>
      <c r="X150" s="25">
        <v>1</v>
      </c>
      <c r="Y150" s="25">
        <v>1</v>
      </c>
      <c r="Z150" s="25">
        <v>1</v>
      </c>
      <c r="AA150" s="25">
        <v>2</v>
      </c>
      <c r="AH150" s="5"/>
      <c r="AI150" s="5"/>
      <c r="AO150" s="5"/>
    </row>
    <row r="151" spans="10:41" x14ac:dyDescent="0.3">
      <c r="J151" s="25">
        <v>147</v>
      </c>
      <c r="K151" s="16" t="s">
        <v>125</v>
      </c>
      <c r="L151" s="16" t="s">
        <v>21</v>
      </c>
      <c r="M151" s="16" t="s">
        <v>91</v>
      </c>
      <c r="N151" s="16" t="s">
        <v>35</v>
      </c>
      <c r="O151" s="16" t="s">
        <v>34</v>
      </c>
      <c r="Q151" s="9">
        <v>6</v>
      </c>
      <c r="R151" s="9">
        <v>2</v>
      </c>
      <c r="S151" s="9">
        <v>14</v>
      </c>
      <c r="T151" s="9">
        <v>8</v>
      </c>
      <c r="U151" s="9">
        <v>9</v>
      </c>
      <c r="W151" s="25">
        <v>1</v>
      </c>
      <c r="X151" s="25">
        <v>1</v>
      </c>
      <c r="Y151" s="25">
        <v>1</v>
      </c>
      <c r="Z151" s="25">
        <v>1</v>
      </c>
      <c r="AA151" s="25">
        <v>2</v>
      </c>
      <c r="AH151" s="5"/>
      <c r="AI151" s="5"/>
      <c r="AO151" s="5"/>
    </row>
    <row r="152" spans="10:41" x14ac:dyDescent="0.3">
      <c r="J152" s="9">
        <v>148</v>
      </c>
      <c r="K152" s="16" t="s">
        <v>35</v>
      </c>
      <c r="L152" s="16" t="s">
        <v>92</v>
      </c>
      <c r="M152" s="16" t="s">
        <v>35</v>
      </c>
      <c r="N152" s="16" t="s">
        <v>37</v>
      </c>
      <c r="O152" s="16" t="s">
        <v>22</v>
      </c>
      <c r="Q152" s="9">
        <v>8</v>
      </c>
      <c r="R152" s="9">
        <v>16</v>
      </c>
      <c r="S152" s="9">
        <v>8</v>
      </c>
      <c r="T152" s="9">
        <v>7</v>
      </c>
      <c r="U152" s="9">
        <v>3</v>
      </c>
      <c r="W152" s="25">
        <v>1</v>
      </c>
      <c r="X152" s="25">
        <v>1</v>
      </c>
      <c r="Y152" s="25">
        <v>1</v>
      </c>
      <c r="Z152" s="25">
        <v>1</v>
      </c>
      <c r="AA152" s="25">
        <v>2</v>
      </c>
      <c r="AH152" s="5"/>
      <c r="AI152" s="5"/>
      <c r="AO152" s="5"/>
    </row>
    <row r="153" spans="10:41" x14ac:dyDescent="0.3">
      <c r="J153" s="25">
        <v>149</v>
      </c>
      <c r="K153" s="16" t="s">
        <v>34</v>
      </c>
      <c r="L153" s="16" t="s">
        <v>34</v>
      </c>
      <c r="M153" s="16" t="s">
        <v>125</v>
      </c>
      <c r="N153" s="16" t="s">
        <v>21</v>
      </c>
      <c r="O153" s="16" t="s">
        <v>125</v>
      </c>
      <c r="Q153" s="9">
        <v>9</v>
      </c>
      <c r="R153" s="9">
        <v>9</v>
      </c>
      <c r="S153" s="9">
        <v>6</v>
      </c>
      <c r="T153" s="9">
        <v>2</v>
      </c>
      <c r="U153" s="9">
        <v>6</v>
      </c>
      <c r="W153" s="25">
        <v>1</v>
      </c>
      <c r="X153" s="25">
        <v>1</v>
      </c>
      <c r="Y153" s="25">
        <v>1</v>
      </c>
      <c r="Z153" s="25">
        <v>2</v>
      </c>
      <c r="AA153" s="25">
        <v>2</v>
      </c>
      <c r="AH153" s="5"/>
      <c r="AI153" s="5"/>
      <c r="AO153" s="5"/>
    </row>
    <row r="154" spans="10:41" x14ac:dyDescent="0.3">
      <c r="J154" s="9">
        <v>150</v>
      </c>
      <c r="K154" s="16" t="s">
        <v>19</v>
      </c>
      <c r="L154" s="16" t="s">
        <v>112</v>
      </c>
      <c r="M154" s="16" t="s">
        <v>35</v>
      </c>
      <c r="N154" s="16" t="s">
        <v>34</v>
      </c>
      <c r="O154" s="16" t="s">
        <v>36</v>
      </c>
      <c r="Q154" s="9">
        <v>5</v>
      </c>
      <c r="R154" s="9">
        <v>17</v>
      </c>
      <c r="S154" s="9">
        <v>8</v>
      </c>
      <c r="T154" s="9">
        <v>9</v>
      </c>
      <c r="U154" s="9">
        <v>10</v>
      </c>
      <c r="W154" s="25">
        <v>1</v>
      </c>
      <c r="X154" s="25">
        <v>1</v>
      </c>
      <c r="Y154" s="25">
        <v>1</v>
      </c>
      <c r="Z154" s="25">
        <v>2</v>
      </c>
      <c r="AA154" s="25">
        <v>2</v>
      </c>
      <c r="AH154" s="5"/>
      <c r="AI154" s="5"/>
      <c r="AO154" s="5"/>
    </row>
    <row r="155" spans="10:41" x14ac:dyDescent="0.3">
      <c r="J155" s="25">
        <v>151</v>
      </c>
      <c r="K155" s="16" t="s">
        <v>37</v>
      </c>
      <c r="L155" s="16" t="s">
        <v>90</v>
      </c>
      <c r="M155" s="16" t="s">
        <v>37</v>
      </c>
      <c r="N155" s="16" t="s">
        <v>19</v>
      </c>
      <c r="O155" s="16" t="s">
        <v>34</v>
      </c>
      <c r="Q155" s="9">
        <v>7</v>
      </c>
      <c r="R155" s="9">
        <v>13</v>
      </c>
      <c r="S155" s="9">
        <v>7</v>
      </c>
      <c r="T155" s="9">
        <v>5</v>
      </c>
      <c r="U155" s="9">
        <v>9</v>
      </c>
      <c r="W155" s="25">
        <v>1</v>
      </c>
      <c r="X155" s="25">
        <v>1</v>
      </c>
      <c r="Y155" s="25">
        <v>1</v>
      </c>
      <c r="Z155" s="25">
        <v>2</v>
      </c>
      <c r="AA155" s="25">
        <v>2</v>
      </c>
      <c r="AH155" s="5"/>
      <c r="AI155" s="5"/>
      <c r="AO155" s="5"/>
    </row>
    <row r="156" spans="10:41" x14ac:dyDescent="0.3">
      <c r="J156" s="9">
        <v>152</v>
      </c>
      <c r="K156" s="16" t="s">
        <v>19</v>
      </c>
      <c r="L156" s="16" t="s">
        <v>125</v>
      </c>
      <c r="M156" s="16" t="s">
        <v>92</v>
      </c>
      <c r="N156" s="16" t="s">
        <v>91</v>
      </c>
      <c r="O156" s="16" t="s">
        <v>21</v>
      </c>
      <c r="Q156" s="9">
        <v>5</v>
      </c>
      <c r="R156" s="9">
        <v>6</v>
      </c>
      <c r="S156" s="9">
        <v>16</v>
      </c>
      <c r="T156" s="9">
        <v>14</v>
      </c>
      <c r="U156" s="9">
        <v>2</v>
      </c>
      <c r="W156" s="25">
        <v>1</v>
      </c>
      <c r="X156" s="25">
        <v>1</v>
      </c>
      <c r="Y156" s="25">
        <v>1</v>
      </c>
      <c r="Z156" s="25">
        <v>2</v>
      </c>
      <c r="AA156" s="25">
        <v>2</v>
      </c>
      <c r="AH156" s="5"/>
      <c r="AI156" s="5"/>
      <c r="AO156" s="5"/>
    </row>
    <row r="157" spans="10:41" x14ac:dyDescent="0.3">
      <c r="J157" s="25">
        <v>153</v>
      </c>
      <c r="K157" s="16" t="s">
        <v>37</v>
      </c>
      <c r="L157" s="16" t="s">
        <v>35</v>
      </c>
      <c r="M157" s="16" t="s">
        <v>37</v>
      </c>
      <c r="N157" s="16" t="s">
        <v>19</v>
      </c>
      <c r="O157" s="16" t="s">
        <v>34</v>
      </c>
      <c r="Q157" s="9">
        <v>7</v>
      </c>
      <c r="R157" s="9">
        <v>8</v>
      </c>
      <c r="S157" s="9">
        <v>7</v>
      </c>
      <c r="T157" s="9">
        <v>5</v>
      </c>
      <c r="U157" s="9">
        <v>9</v>
      </c>
      <c r="W157" s="25">
        <v>1</v>
      </c>
      <c r="X157" s="25">
        <v>1</v>
      </c>
      <c r="Y157" s="25">
        <v>1</v>
      </c>
      <c r="Z157" s="25">
        <v>2</v>
      </c>
      <c r="AA157" s="25">
        <v>1</v>
      </c>
      <c r="AH157" s="5"/>
      <c r="AI157" s="5"/>
      <c r="AO157" s="5"/>
    </row>
    <row r="158" spans="10:41" x14ac:dyDescent="0.3">
      <c r="J158" s="9">
        <v>154</v>
      </c>
      <c r="K158" s="16" t="s">
        <v>19</v>
      </c>
      <c r="L158" s="16" t="s">
        <v>126</v>
      </c>
      <c r="M158" s="16" t="s">
        <v>34</v>
      </c>
      <c r="N158" s="16" t="s">
        <v>19</v>
      </c>
      <c r="O158" s="16" t="s">
        <v>36</v>
      </c>
      <c r="Q158" s="9">
        <v>5</v>
      </c>
      <c r="R158" s="9">
        <v>15</v>
      </c>
      <c r="S158" s="9">
        <v>9</v>
      </c>
      <c r="T158" s="9">
        <v>5</v>
      </c>
      <c r="U158" s="9">
        <v>10</v>
      </c>
      <c r="W158" s="25">
        <v>2</v>
      </c>
      <c r="X158" s="25">
        <v>2</v>
      </c>
      <c r="Y158" s="25">
        <v>1</v>
      </c>
      <c r="Z158" s="25">
        <v>2</v>
      </c>
      <c r="AA158" s="25">
        <v>1</v>
      </c>
      <c r="AH158" s="5"/>
      <c r="AI158" s="5"/>
      <c r="AO158" s="5"/>
    </row>
    <row r="159" spans="10:41" x14ac:dyDescent="0.3">
      <c r="J159" s="25">
        <v>155</v>
      </c>
      <c r="K159" s="16" t="s">
        <v>34</v>
      </c>
      <c r="L159" s="16" t="s">
        <v>21</v>
      </c>
      <c r="M159" s="16" t="s">
        <v>19</v>
      </c>
      <c r="N159" s="16" t="s">
        <v>34</v>
      </c>
      <c r="O159" s="16" t="s">
        <v>35</v>
      </c>
      <c r="Q159" s="9">
        <v>9</v>
      </c>
      <c r="R159" s="9">
        <v>2</v>
      </c>
      <c r="S159" s="9">
        <v>5</v>
      </c>
      <c r="T159" s="9">
        <v>9</v>
      </c>
      <c r="U159" s="9">
        <v>8</v>
      </c>
      <c r="W159" s="25">
        <v>1</v>
      </c>
      <c r="X159" s="25">
        <v>1</v>
      </c>
      <c r="Y159" s="25">
        <v>1</v>
      </c>
      <c r="Z159" s="25">
        <v>2</v>
      </c>
      <c r="AA159" s="25">
        <v>1</v>
      </c>
      <c r="AH159" s="5"/>
      <c r="AI159" s="5"/>
      <c r="AO159" s="5"/>
    </row>
    <row r="160" spans="10:41" x14ac:dyDescent="0.3">
      <c r="J160" s="9">
        <v>156</v>
      </c>
      <c r="K160" s="16" t="s">
        <v>19</v>
      </c>
      <c r="L160" s="16" t="s">
        <v>21</v>
      </c>
      <c r="M160" s="16" t="s">
        <v>35</v>
      </c>
      <c r="N160" s="16" t="s">
        <v>21</v>
      </c>
      <c r="O160" s="16" t="s">
        <v>22</v>
      </c>
      <c r="Q160" s="9">
        <v>5</v>
      </c>
      <c r="R160" s="9">
        <v>2</v>
      </c>
      <c r="S160" s="9">
        <v>8</v>
      </c>
      <c r="T160" s="9">
        <v>2</v>
      </c>
      <c r="U160" s="9">
        <v>3</v>
      </c>
      <c r="W160" s="25">
        <v>1</v>
      </c>
      <c r="X160" s="25">
        <v>1</v>
      </c>
      <c r="Y160" s="25">
        <v>1</v>
      </c>
      <c r="Z160" s="25">
        <v>2</v>
      </c>
      <c r="AA160" s="25">
        <v>1</v>
      </c>
      <c r="AH160" s="5"/>
      <c r="AI160" s="5"/>
      <c r="AO160" s="5"/>
    </row>
    <row r="161" spans="10:41" x14ac:dyDescent="0.3">
      <c r="J161" s="25">
        <v>157</v>
      </c>
      <c r="K161" s="16" t="s">
        <v>35</v>
      </c>
      <c r="L161" s="16" t="s">
        <v>35</v>
      </c>
      <c r="M161" s="16" t="s">
        <v>19</v>
      </c>
      <c r="N161" s="16" t="s">
        <v>34</v>
      </c>
      <c r="O161" s="16" t="s">
        <v>21</v>
      </c>
      <c r="Q161" s="9">
        <v>8</v>
      </c>
      <c r="R161" s="9">
        <v>8</v>
      </c>
      <c r="S161" s="9">
        <v>5</v>
      </c>
      <c r="T161" s="9">
        <v>9</v>
      </c>
      <c r="U161" s="9">
        <v>2</v>
      </c>
      <c r="W161" s="25">
        <v>1</v>
      </c>
      <c r="X161" s="25">
        <v>1</v>
      </c>
      <c r="Y161" s="25">
        <v>1</v>
      </c>
      <c r="Z161" s="25">
        <v>2</v>
      </c>
      <c r="AA161" s="25">
        <v>1</v>
      </c>
      <c r="AH161" s="5"/>
      <c r="AI161" s="5"/>
      <c r="AO161" s="5"/>
    </row>
    <row r="162" spans="10:41" x14ac:dyDescent="0.3">
      <c r="J162" s="9">
        <v>158</v>
      </c>
      <c r="K162" s="16" t="s">
        <v>19</v>
      </c>
      <c r="L162" s="16" t="s">
        <v>97</v>
      </c>
      <c r="M162" s="16" t="s">
        <v>37</v>
      </c>
      <c r="N162" s="16" t="s">
        <v>34</v>
      </c>
      <c r="O162" s="16" t="s">
        <v>37</v>
      </c>
      <c r="Q162" s="9">
        <v>5</v>
      </c>
      <c r="R162" s="9">
        <v>19</v>
      </c>
      <c r="S162" s="9">
        <v>7</v>
      </c>
      <c r="T162" s="9">
        <v>9</v>
      </c>
      <c r="U162" s="9">
        <v>7</v>
      </c>
      <c r="W162" s="25">
        <v>2</v>
      </c>
      <c r="X162" s="25">
        <v>1</v>
      </c>
      <c r="Y162" s="25">
        <v>1</v>
      </c>
      <c r="Z162" s="25">
        <v>2</v>
      </c>
      <c r="AA162" s="25">
        <v>1</v>
      </c>
      <c r="AH162" s="5"/>
      <c r="AI162" s="5"/>
      <c r="AO162" s="5"/>
    </row>
    <row r="163" spans="10:41" x14ac:dyDescent="0.3">
      <c r="J163" s="25">
        <v>159</v>
      </c>
      <c r="K163" s="16" t="s">
        <v>22</v>
      </c>
      <c r="L163" s="16" t="s">
        <v>126</v>
      </c>
      <c r="M163" s="16" t="s">
        <v>19</v>
      </c>
      <c r="N163" s="16" t="s">
        <v>34</v>
      </c>
      <c r="O163" s="16" t="s">
        <v>19</v>
      </c>
      <c r="Q163" s="9">
        <v>3</v>
      </c>
      <c r="R163" s="9">
        <v>15</v>
      </c>
      <c r="S163" s="9">
        <v>5</v>
      </c>
      <c r="T163" s="9">
        <v>9</v>
      </c>
      <c r="U163" s="9">
        <v>5</v>
      </c>
      <c r="W163" s="25">
        <v>1</v>
      </c>
      <c r="X163" s="25">
        <v>1</v>
      </c>
      <c r="Y163" s="25">
        <v>1</v>
      </c>
      <c r="Z163" s="25">
        <v>2</v>
      </c>
      <c r="AA163" s="25">
        <v>2</v>
      </c>
      <c r="AH163" s="5"/>
      <c r="AI163" s="5"/>
      <c r="AO163" s="5"/>
    </row>
    <row r="164" spans="10:41" x14ac:dyDescent="0.3">
      <c r="J164" s="9">
        <v>160</v>
      </c>
      <c r="K164" s="16" t="s">
        <v>19</v>
      </c>
      <c r="L164" s="16" t="s">
        <v>37</v>
      </c>
      <c r="M164" s="16" t="s">
        <v>35</v>
      </c>
      <c r="N164" s="16" t="s">
        <v>36</v>
      </c>
      <c r="O164" s="16" t="s">
        <v>21</v>
      </c>
      <c r="Q164" s="9">
        <v>5</v>
      </c>
      <c r="R164" s="9">
        <v>7</v>
      </c>
      <c r="S164" s="9">
        <v>8</v>
      </c>
      <c r="T164" s="9">
        <v>10</v>
      </c>
      <c r="U164" s="9">
        <v>2</v>
      </c>
      <c r="W164" s="25">
        <v>1</v>
      </c>
      <c r="X164" s="25">
        <v>1</v>
      </c>
      <c r="Y164" s="25">
        <v>1</v>
      </c>
      <c r="Z164" s="25">
        <v>1</v>
      </c>
      <c r="AA164" s="25">
        <v>2</v>
      </c>
      <c r="AH164" s="5"/>
      <c r="AI164" s="5"/>
      <c r="AO164" s="5"/>
    </row>
    <row r="165" spans="10:41" x14ac:dyDescent="0.3">
      <c r="J165" s="25">
        <v>161</v>
      </c>
      <c r="K165" s="16" t="s">
        <v>37</v>
      </c>
      <c r="L165" s="16" t="s">
        <v>36</v>
      </c>
      <c r="M165" s="16" t="s">
        <v>19</v>
      </c>
      <c r="N165" s="16" t="s">
        <v>91</v>
      </c>
      <c r="O165" s="16" t="s">
        <v>125</v>
      </c>
      <c r="Q165" s="9">
        <v>7</v>
      </c>
      <c r="R165" s="9">
        <v>10</v>
      </c>
      <c r="S165" s="9">
        <v>5</v>
      </c>
      <c r="T165" s="9">
        <v>14</v>
      </c>
      <c r="U165" s="9">
        <v>6</v>
      </c>
      <c r="W165" s="25">
        <v>1</v>
      </c>
      <c r="X165" s="25">
        <v>2</v>
      </c>
      <c r="Y165" s="25">
        <v>1</v>
      </c>
      <c r="Z165" s="25">
        <v>1</v>
      </c>
      <c r="AA165" s="25">
        <v>2</v>
      </c>
      <c r="AH165" s="5"/>
      <c r="AI165" s="5"/>
      <c r="AO165" s="5"/>
    </row>
    <row r="166" spans="10:41" x14ac:dyDescent="0.3">
      <c r="J166" s="9">
        <v>162</v>
      </c>
      <c r="K166" s="16" t="s">
        <v>19</v>
      </c>
      <c r="L166" s="16" t="s">
        <v>125</v>
      </c>
      <c r="M166" s="16" t="s">
        <v>35</v>
      </c>
      <c r="N166" s="16" t="s">
        <v>35</v>
      </c>
      <c r="O166" s="16" t="s">
        <v>22</v>
      </c>
      <c r="Q166" s="9">
        <v>5</v>
      </c>
      <c r="R166" s="9">
        <v>6</v>
      </c>
      <c r="S166" s="9">
        <v>8</v>
      </c>
      <c r="T166" s="9">
        <v>8</v>
      </c>
      <c r="U166" s="9">
        <v>3</v>
      </c>
      <c r="W166" s="25">
        <v>2</v>
      </c>
      <c r="X166" s="25">
        <v>1</v>
      </c>
      <c r="Y166" s="25">
        <v>1</v>
      </c>
      <c r="Z166" s="25">
        <v>1</v>
      </c>
      <c r="AA166" s="25">
        <v>2</v>
      </c>
      <c r="AH166" s="5"/>
      <c r="AI166" s="5"/>
      <c r="AO166" s="5"/>
    </row>
    <row r="167" spans="10:41" x14ac:dyDescent="0.3">
      <c r="J167" s="25">
        <v>163</v>
      </c>
      <c r="K167" s="16" t="s">
        <v>125</v>
      </c>
      <c r="L167" s="16" t="s">
        <v>95</v>
      </c>
      <c r="M167" s="16" t="s">
        <v>37</v>
      </c>
      <c r="N167" s="16" t="s">
        <v>21</v>
      </c>
      <c r="O167" s="16" t="s">
        <v>34</v>
      </c>
      <c r="Q167" s="9">
        <v>6</v>
      </c>
      <c r="R167" s="9">
        <v>18</v>
      </c>
      <c r="S167" s="9">
        <v>7</v>
      </c>
      <c r="T167" s="9">
        <v>2</v>
      </c>
      <c r="U167" s="9">
        <v>9</v>
      </c>
      <c r="W167" s="25">
        <v>1</v>
      </c>
      <c r="X167" s="25">
        <v>1</v>
      </c>
      <c r="Y167" s="25">
        <v>1</v>
      </c>
      <c r="Z167" s="25">
        <v>2</v>
      </c>
      <c r="AA167" s="25">
        <v>2</v>
      </c>
      <c r="AH167" s="5"/>
      <c r="AI167" s="5"/>
      <c r="AO167" s="5"/>
    </row>
    <row r="168" spans="10:41" x14ac:dyDescent="0.3">
      <c r="J168" s="9">
        <v>164</v>
      </c>
      <c r="K168" s="16" t="s">
        <v>19</v>
      </c>
      <c r="L168" s="16" t="s">
        <v>37</v>
      </c>
      <c r="M168" s="16" t="s">
        <v>35</v>
      </c>
      <c r="N168" s="16" t="s">
        <v>22</v>
      </c>
      <c r="O168" s="16" t="s">
        <v>36</v>
      </c>
      <c r="Q168" s="9">
        <v>5</v>
      </c>
      <c r="R168" s="9">
        <v>7</v>
      </c>
      <c r="S168" s="9">
        <v>8</v>
      </c>
      <c r="T168" s="9">
        <v>3</v>
      </c>
      <c r="U168" s="9">
        <v>10</v>
      </c>
      <c r="W168" s="25">
        <v>1</v>
      </c>
      <c r="X168" s="25">
        <v>1</v>
      </c>
      <c r="Y168" s="25">
        <v>1</v>
      </c>
      <c r="Z168" s="25">
        <v>2</v>
      </c>
      <c r="AA168" s="25">
        <v>2</v>
      </c>
      <c r="AH168" s="5"/>
      <c r="AI168" s="5"/>
      <c r="AO168" s="5"/>
    </row>
    <row r="169" spans="10:41" x14ac:dyDescent="0.3">
      <c r="J169" s="25">
        <v>165</v>
      </c>
      <c r="K169" s="16" t="s">
        <v>37</v>
      </c>
      <c r="L169" s="16" t="s">
        <v>21</v>
      </c>
      <c r="M169" s="16" t="s">
        <v>35</v>
      </c>
      <c r="N169" s="16" t="s">
        <v>22</v>
      </c>
      <c r="O169" s="16" t="s">
        <v>19</v>
      </c>
      <c r="Q169" s="9">
        <v>7</v>
      </c>
      <c r="R169" s="9">
        <v>2</v>
      </c>
      <c r="S169" s="9">
        <v>8</v>
      </c>
      <c r="T169" s="9">
        <v>3</v>
      </c>
      <c r="U169" s="9">
        <v>5</v>
      </c>
      <c r="W169" s="25">
        <v>1</v>
      </c>
      <c r="X169" s="25">
        <v>1</v>
      </c>
      <c r="Y169" s="25">
        <v>1</v>
      </c>
      <c r="Z169" s="25">
        <v>2</v>
      </c>
      <c r="AA169" s="25">
        <v>2</v>
      </c>
      <c r="AH169" s="5"/>
      <c r="AI169" s="5"/>
      <c r="AO169" s="5"/>
    </row>
    <row r="170" spans="10:41" x14ac:dyDescent="0.3">
      <c r="J170" s="9">
        <v>166</v>
      </c>
      <c r="K170" s="16" t="s">
        <v>125</v>
      </c>
      <c r="L170" s="16" t="s">
        <v>37</v>
      </c>
      <c r="M170" s="16" t="s">
        <v>35</v>
      </c>
      <c r="N170" s="16" t="s">
        <v>22</v>
      </c>
      <c r="O170" s="16" t="s">
        <v>125</v>
      </c>
      <c r="Q170" s="9">
        <v>6</v>
      </c>
      <c r="R170" s="9">
        <v>7</v>
      </c>
      <c r="S170" s="9">
        <v>8</v>
      </c>
      <c r="T170" s="9">
        <v>3</v>
      </c>
      <c r="U170" s="9">
        <v>6</v>
      </c>
      <c r="W170" s="25">
        <v>1</v>
      </c>
      <c r="X170" s="25">
        <v>1</v>
      </c>
      <c r="Y170" s="25">
        <v>1</v>
      </c>
      <c r="Z170" s="25">
        <v>2</v>
      </c>
      <c r="AA170" s="25">
        <v>2</v>
      </c>
      <c r="AH170" s="5"/>
      <c r="AI170" s="5"/>
      <c r="AO170" s="5"/>
    </row>
    <row r="171" spans="10:41" x14ac:dyDescent="0.3">
      <c r="J171" s="25">
        <v>167</v>
      </c>
      <c r="K171" s="16" t="s">
        <v>35</v>
      </c>
      <c r="L171" s="16" t="s">
        <v>88</v>
      </c>
      <c r="M171" s="16" t="s">
        <v>37</v>
      </c>
      <c r="N171" s="16" t="s">
        <v>34</v>
      </c>
      <c r="O171" s="16" t="s">
        <v>18</v>
      </c>
      <c r="Q171" s="9">
        <v>8</v>
      </c>
      <c r="R171" s="9">
        <v>11</v>
      </c>
      <c r="S171" s="9">
        <v>7</v>
      </c>
      <c r="T171" s="9">
        <v>9</v>
      </c>
      <c r="U171" s="9">
        <v>4</v>
      </c>
      <c r="W171" s="25">
        <v>1</v>
      </c>
      <c r="X171" s="25">
        <v>2</v>
      </c>
      <c r="Y171" s="25">
        <v>1</v>
      </c>
      <c r="Z171" s="25">
        <v>2</v>
      </c>
      <c r="AA171" s="25">
        <v>2</v>
      </c>
      <c r="AH171" s="5"/>
      <c r="AI171" s="5"/>
      <c r="AO171" s="5"/>
    </row>
    <row r="172" spans="10:41" x14ac:dyDescent="0.3">
      <c r="J172" s="9">
        <v>168</v>
      </c>
      <c r="K172" s="16" t="s">
        <v>37</v>
      </c>
      <c r="L172" s="16" t="s">
        <v>88</v>
      </c>
      <c r="M172" s="16" t="s">
        <v>37</v>
      </c>
      <c r="N172" s="16" t="s">
        <v>19</v>
      </c>
      <c r="O172" s="16" t="s">
        <v>18</v>
      </c>
      <c r="Q172" s="9">
        <v>7</v>
      </c>
      <c r="R172" s="9">
        <v>11</v>
      </c>
      <c r="S172" s="9">
        <v>7</v>
      </c>
      <c r="T172" s="9">
        <v>5</v>
      </c>
      <c r="U172" s="9">
        <v>4</v>
      </c>
      <c r="W172" s="25">
        <v>1</v>
      </c>
      <c r="X172" s="25">
        <v>2</v>
      </c>
      <c r="Y172" s="25">
        <v>1</v>
      </c>
      <c r="Z172" s="25">
        <v>2</v>
      </c>
      <c r="AA172" s="25">
        <v>2</v>
      </c>
      <c r="AH172" s="5"/>
      <c r="AI172" s="5"/>
      <c r="AO172" s="5"/>
    </row>
    <row r="173" spans="10:41" x14ac:dyDescent="0.3">
      <c r="J173" s="25">
        <v>169</v>
      </c>
      <c r="K173" s="16" t="s">
        <v>125</v>
      </c>
      <c r="L173" s="16" t="s">
        <v>36</v>
      </c>
      <c r="M173" s="16" t="s">
        <v>125</v>
      </c>
      <c r="N173" s="16" t="s">
        <v>19</v>
      </c>
      <c r="O173" s="16" t="s">
        <v>36</v>
      </c>
      <c r="Q173" s="9">
        <v>6</v>
      </c>
      <c r="R173" s="9">
        <v>10</v>
      </c>
      <c r="S173" s="9">
        <v>6</v>
      </c>
      <c r="T173" s="9">
        <v>5</v>
      </c>
      <c r="U173" s="9">
        <v>10</v>
      </c>
      <c r="W173" s="25">
        <v>2</v>
      </c>
      <c r="X173" s="25">
        <v>2</v>
      </c>
      <c r="Y173" s="25">
        <v>1</v>
      </c>
      <c r="Z173" s="25">
        <v>2</v>
      </c>
      <c r="AA173" s="25">
        <v>2</v>
      </c>
      <c r="AH173" s="5"/>
      <c r="AI173" s="5"/>
      <c r="AO173" s="5"/>
    </row>
    <row r="174" spans="10:41" x14ac:dyDescent="0.3">
      <c r="J174" s="9">
        <v>170</v>
      </c>
      <c r="K174" s="16" t="s">
        <v>125</v>
      </c>
      <c r="L174" s="16" t="s">
        <v>21</v>
      </c>
      <c r="M174" s="16" t="s">
        <v>35</v>
      </c>
      <c r="N174" s="16" t="s">
        <v>18</v>
      </c>
      <c r="O174" s="16" t="s">
        <v>36</v>
      </c>
      <c r="Q174" s="9">
        <v>6</v>
      </c>
      <c r="R174" s="9">
        <v>2</v>
      </c>
      <c r="S174" s="9">
        <v>8</v>
      </c>
      <c r="T174" s="9">
        <v>4</v>
      </c>
      <c r="U174" s="9">
        <v>10</v>
      </c>
      <c r="W174" s="25">
        <v>2</v>
      </c>
      <c r="X174" s="25">
        <v>2</v>
      </c>
      <c r="Y174" s="25">
        <v>1</v>
      </c>
      <c r="Z174" s="25">
        <v>2</v>
      </c>
      <c r="AA174" s="25">
        <v>2</v>
      </c>
      <c r="AH174" s="5"/>
      <c r="AI174" s="5"/>
      <c r="AO174" s="5"/>
    </row>
    <row r="175" spans="10:41" x14ac:dyDescent="0.3">
      <c r="J175" s="25">
        <v>171</v>
      </c>
      <c r="K175" s="16" t="s">
        <v>125</v>
      </c>
      <c r="L175" s="16" t="s">
        <v>125</v>
      </c>
      <c r="M175" s="16" t="s">
        <v>35</v>
      </c>
      <c r="N175" s="16" t="s">
        <v>97</v>
      </c>
      <c r="O175" s="16" t="s">
        <v>18</v>
      </c>
      <c r="Q175" s="9">
        <v>6</v>
      </c>
      <c r="R175" s="9">
        <v>6</v>
      </c>
      <c r="S175" s="9">
        <v>8</v>
      </c>
      <c r="T175" s="9">
        <v>19</v>
      </c>
      <c r="U175" s="9">
        <v>4</v>
      </c>
      <c r="W175" s="25">
        <v>1</v>
      </c>
      <c r="X175" s="25">
        <v>2</v>
      </c>
      <c r="Y175" s="25">
        <v>1</v>
      </c>
      <c r="Z175" s="25">
        <v>2</v>
      </c>
      <c r="AA175" s="25">
        <v>1</v>
      </c>
      <c r="AH175" s="5"/>
      <c r="AI175" s="5"/>
      <c r="AO175" s="5"/>
    </row>
    <row r="176" spans="10:41" x14ac:dyDescent="0.3">
      <c r="J176" s="9">
        <v>172</v>
      </c>
      <c r="K176" s="16" t="s">
        <v>36</v>
      </c>
      <c r="L176" s="16" t="s">
        <v>126</v>
      </c>
      <c r="M176" s="16" t="s">
        <v>37</v>
      </c>
      <c r="N176" s="16" t="s">
        <v>36</v>
      </c>
      <c r="O176" s="16" t="s">
        <v>125</v>
      </c>
      <c r="Q176" s="9">
        <v>10</v>
      </c>
      <c r="R176" s="9">
        <v>15</v>
      </c>
      <c r="S176" s="9">
        <v>7</v>
      </c>
      <c r="T176" s="9">
        <v>10</v>
      </c>
      <c r="U176" s="9">
        <v>6</v>
      </c>
      <c r="W176" s="25">
        <v>1</v>
      </c>
      <c r="X176" s="25">
        <v>2</v>
      </c>
      <c r="Y176" s="25">
        <v>1</v>
      </c>
      <c r="Z176" s="25">
        <v>2</v>
      </c>
      <c r="AA176" s="25">
        <v>1</v>
      </c>
      <c r="AH176" s="5"/>
      <c r="AI176" s="5"/>
      <c r="AO176" s="5"/>
    </row>
    <row r="177" spans="10:41" x14ac:dyDescent="0.3">
      <c r="J177" s="25">
        <v>173</v>
      </c>
      <c r="K177" s="16" t="s">
        <v>37</v>
      </c>
      <c r="L177" s="16" t="s">
        <v>89</v>
      </c>
      <c r="M177" s="16" t="s">
        <v>19</v>
      </c>
      <c r="N177" s="16" t="s">
        <v>18</v>
      </c>
      <c r="O177" s="16" t="s">
        <v>37</v>
      </c>
      <c r="Q177" s="9">
        <v>7</v>
      </c>
      <c r="R177" s="9">
        <v>12</v>
      </c>
      <c r="S177" s="9">
        <v>5</v>
      </c>
      <c r="T177" s="9">
        <v>4</v>
      </c>
      <c r="U177" s="9">
        <v>7</v>
      </c>
      <c r="W177" s="25">
        <v>1</v>
      </c>
      <c r="X177" s="25">
        <v>2</v>
      </c>
      <c r="Y177" s="25">
        <v>1</v>
      </c>
      <c r="Z177" s="25">
        <v>2</v>
      </c>
      <c r="AA177" s="25">
        <v>1</v>
      </c>
      <c r="AH177" s="5"/>
      <c r="AI177" s="5"/>
      <c r="AO177" s="5"/>
    </row>
    <row r="178" spans="10:41" x14ac:dyDescent="0.3">
      <c r="J178" s="9">
        <v>174</v>
      </c>
      <c r="K178" s="16" t="s">
        <v>18</v>
      </c>
      <c r="L178" s="16" t="s">
        <v>19</v>
      </c>
      <c r="M178" s="16" t="s">
        <v>34</v>
      </c>
      <c r="N178" s="16" t="s">
        <v>125</v>
      </c>
      <c r="O178" s="16" t="s">
        <v>19</v>
      </c>
      <c r="Q178" s="9">
        <v>4</v>
      </c>
      <c r="R178" s="9">
        <v>5</v>
      </c>
      <c r="S178" s="9">
        <v>9</v>
      </c>
      <c r="T178" s="9">
        <v>6</v>
      </c>
      <c r="U178" s="9">
        <v>5</v>
      </c>
      <c r="W178" s="25">
        <v>1</v>
      </c>
      <c r="X178" s="25">
        <v>1</v>
      </c>
      <c r="Y178" s="25">
        <v>1</v>
      </c>
      <c r="Z178" s="25">
        <v>2</v>
      </c>
      <c r="AA178" s="25">
        <v>2</v>
      </c>
      <c r="AH178" s="5"/>
      <c r="AI178" s="5"/>
      <c r="AO178" s="5"/>
    </row>
    <row r="179" spans="10:41" x14ac:dyDescent="0.3">
      <c r="J179" s="25">
        <v>175</v>
      </c>
      <c r="K179" s="16" t="s">
        <v>125</v>
      </c>
      <c r="L179" s="16" t="s">
        <v>19</v>
      </c>
      <c r="M179" s="16" t="s">
        <v>37</v>
      </c>
      <c r="N179" s="16" t="s">
        <v>21</v>
      </c>
      <c r="O179" s="16" t="s">
        <v>18</v>
      </c>
      <c r="Q179" s="9">
        <v>6</v>
      </c>
      <c r="R179" s="9">
        <v>5</v>
      </c>
      <c r="S179" s="9">
        <v>7</v>
      </c>
      <c r="T179" s="9">
        <v>2</v>
      </c>
      <c r="U179" s="9">
        <v>4</v>
      </c>
      <c r="W179" s="25">
        <v>1</v>
      </c>
      <c r="X179" s="25">
        <v>1</v>
      </c>
      <c r="Y179" s="25">
        <v>1</v>
      </c>
      <c r="Z179" s="25">
        <v>1</v>
      </c>
      <c r="AA179" s="25">
        <v>2</v>
      </c>
      <c r="AH179" s="5"/>
      <c r="AI179" s="5"/>
      <c r="AO179" s="5"/>
    </row>
    <row r="180" spans="10:41" x14ac:dyDescent="0.3">
      <c r="J180" s="9">
        <v>176</v>
      </c>
      <c r="K180" s="16" t="s">
        <v>35</v>
      </c>
      <c r="L180" s="16" t="s">
        <v>92</v>
      </c>
      <c r="M180" s="16" t="s">
        <v>22</v>
      </c>
      <c r="N180" s="16" t="s">
        <v>20</v>
      </c>
      <c r="O180" s="16" t="s">
        <v>34</v>
      </c>
      <c r="Q180" s="9">
        <v>8</v>
      </c>
      <c r="R180" s="9">
        <v>16</v>
      </c>
      <c r="S180" s="9">
        <v>3</v>
      </c>
      <c r="T180" s="9">
        <v>1</v>
      </c>
      <c r="U180" s="9">
        <v>9</v>
      </c>
      <c r="W180" s="25">
        <v>1</v>
      </c>
      <c r="X180" s="25">
        <v>1</v>
      </c>
      <c r="Y180" s="25">
        <v>2</v>
      </c>
      <c r="Z180" s="25">
        <v>1</v>
      </c>
      <c r="AA180" s="25">
        <v>1</v>
      </c>
      <c r="AH180" s="5"/>
      <c r="AI180" s="5"/>
      <c r="AO180" s="5"/>
    </row>
    <row r="181" spans="10:41" x14ac:dyDescent="0.3">
      <c r="J181" s="25">
        <v>177</v>
      </c>
      <c r="K181" s="16" t="s">
        <v>37</v>
      </c>
      <c r="L181" s="16" t="s">
        <v>19</v>
      </c>
      <c r="M181" s="16" t="s">
        <v>21</v>
      </c>
      <c r="N181" s="16" t="s">
        <v>37</v>
      </c>
      <c r="O181" s="16" t="s">
        <v>22</v>
      </c>
      <c r="Q181" s="9">
        <v>7</v>
      </c>
      <c r="R181" s="9">
        <v>5</v>
      </c>
      <c r="S181" s="9">
        <v>2</v>
      </c>
      <c r="T181" s="9">
        <v>7</v>
      </c>
      <c r="U181" s="9">
        <v>3</v>
      </c>
      <c r="W181" s="25">
        <v>1</v>
      </c>
      <c r="X181" s="25">
        <v>1</v>
      </c>
      <c r="Y181" s="25">
        <v>2</v>
      </c>
      <c r="Z181" s="25">
        <v>1</v>
      </c>
      <c r="AA181" s="25">
        <v>1</v>
      </c>
      <c r="AH181" s="5"/>
      <c r="AI181" s="5"/>
      <c r="AO181" s="5"/>
    </row>
    <row r="182" spans="10:41" x14ac:dyDescent="0.3">
      <c r="J182" s="9">
        <v>178</v>
      </c>
      <c r="K182" s="16" t="s">
        <v>37</v>
      </c>
      <c r="L182" s="16" t="s">
        <v>35</v>
      </c>
      <c r="M182" s="16" t="s">
        <v>21</v>
      </c>
      <c r="N182" s="16" t="s">
        <v>88</v>
      </c>
      <c r="O182" s="16" t="s">
        <v>37</v>
      </c>
      <c r="Q182" s="9">
        <v>7</v>
      </c>
      <c r="R182" s="9">
        <v>8</v>
      </c>
      <c r="S182" s="9">
        <v>2</v>
      </c>
      <c r="T182" s="9">
        <v>11</v>
      </c>
      <c r="U182" s="9">
        <v>7</v>
      </c>
      <c r="W182" s="25">
        <v>1</v>
      </c>
      <c r="X182" s="25">
        <v>1</v>
      </c>
      <c r="Y182" s="25">
        <v>2</v>
      </c>
      <c r="Z182" s="25">
        <v>2</v>
      </c>
      <c r="AA182" s="25">
        <v>1</v>
      </c>
      <c r="AH182" s="5"/>
      <c r="AI182" s="5"/>
      <c r="AO182" s="5"/>
    </row>
    <row r="183" spans="10:41" x14ac:dyDescent="0.3">
      <c r="J183" s="25">
        <v>179</v>
      </c>
      <c r="K183" s="16" t="s">
        <v>35</v>
      </c>
      <c r="L183" s="16" t="s">
        <v>88</v>
      </c>
      <c r="M183" s="16" t="s">
        <v>125</v>
      </c>
      <c r="N183" s="16" t="s">
        <v>18</v>
      </c>
      <c r="O183" s="16" t="s">
        <v>19</v>
      </c>
      <c r="Q183" s="9">
        <v>8</v>
      </c>
      <c r="R183" s="9">
        <v>11</v>
      </c>
      <c r="S183" s="9">
        <v>6</v>
      </c>
      <c r="T183" s="9">
        <v>4</v>
      </c>
      <c r="U183" s="9">
        <v>5</v>
      </c>
      <c r="W183" s="25">
        <v>1</v>
      </c>
      <c r="X183" s="25">
        <v>1</v>
      </c>
      <c r="Y183" s="25">
        <v>2</v>
      </c>
      <c r="Z183" s="25">
        <v>2</v>
      </c>
      <c r="AA183" s="25">
        <v>1</v>
      </c>
      <c r="AH183" s="5"/>
      <c r="AI183" s="5"/>
      <c r="AO183" s="5"/>
    </row>
    <row r="184" spans="10:41" x14ac:dyDescent="0.3">
      <c r="J184" s="9">
        <v>180</v>
      </c>
      <c r="K184" s="16" t="s">
        <v>35</v>
      </c>
      <c r="L184" s="16" t="s">
        <v>37</v>
      </c>
      <c r="M184" s="16" t="s">
        <v>125</v>
      </c>
      <c r="N184" s="16" t="s">
        <v>89</v>
      </c>
      <c r="O184" s="16" t="s">
        <v>35</v>
      </c>
      <c r="Q184" s="9">
        <v>8</v>
      </c>
      <c r="R184" s="9">
        <v>7</v>
      </c>
      <c r="S184" s="9">
        <v>6</v>
      </c>
      <c r="T184" s="9">
        <v>12</v>
      </c>
      <c r="U184" s="9">
        <v>8</v>
      </c>
      <c r="W184" s="25">
        <v>1</v>
      </c>
      <c r="X184" s="25">
        <v>1</v>
      </c>
      <c r="Y184" s="25">
        <v>2</v>
      </c>
      <c r="Z184" s="25">
        <v>2</v>
      </c>
      <c r="AA184" s="25">
        <v>1</v>
      </c>
      <c r="AH184" s="5"/>
      <c r="AI184" s="5"/>
      <c r="AO184" s="5"/>
    </row>
    <row r="185" spans="10:41" x14ac:dyDescent="0.3">
      <c r="J185" s="25">
        <v>181</v>
      </c>
      <c r="K185" s="16" t="s">
        <v>125</v>
      </c>
      <c r="L185" s="16" t="s">
        <v>88</v>
      </c>
      <c r="M185" s="16" t="s">
        <v>91</v>
      </c>
      <c r="N185" s="16" t="s">
        <v>18</v>
      </c>
      <c r="O185" s="16" t="s">
        <v>34</v>
      </c>
      <c r="Q185" s="9">
        <v>6</v>
      </c>
      <c r="R185" s="9">
        <v>11</v>
      </c>
      <c r="S185" s="9">
        <v>14</v>
      </c>
      <c r="T185" s="9">
        <v>4</v>
      </c>
      <c r="U185" s="9">
        <v>9</v>
      </c>
      <c r="W185" s="25">
        <v>1</v>
      </c>
      <c r="X185" s="25">
        <v>1</v>
      </c>
      <c r="Y185" s="25">
        <v>2</v>
      </c>
      <c r="Z185" s="25">
        <v>2</v>
      </c>
      <c r="AA185" s="25">
        <v>1</v>
      </c>
      <c r="AH185" s="5"/>
      <c r="AI185" s="5"/>
      <c r="AO185" s="5"/>
    </row>
    <row r="186" spans="10:41" x14ac:dyDescent="0.3">
      <c r="J186" s="9">
        <v>182</v>
      </c>
      <c r="K186" s="16" t="s">
        <v>37</v>
      </c>
      <c r="L186" s="16" t="s">
        <v>35</v>
      </c>
      <c r="M186" s="16" t="s">
        <v>19</v>
      </c>
      <c r="N186" s="16" t="s">
        <v>34</v>
      </c>
      <c r="O186" s="16" t="s">
        <v>35</v>
      </c>
      <c r="Q186" s="9">
        <v>7</v>
      </c>
      <c r="R186" s="9">
        <v>8</v>
      </c>
      <c r="S186" s="9">
        <v>5</v>
      </c>
      <c r="T186" s="9">
        <v>9</v>
      </c>
      <c r="U186" s="9">
        <v>8</v>
      </c>
      <c r="W186" s="25">
        <v>1</v>
      </c>
      <c r="X186" s="25">
        <v>1</v>
      </c>
      <c r="Y186" s="25">
        <v>1</v>
      </c>
      <c r="Z186" s="25">
        <v>2</v>
      </c>
      <c r="AA186" s="25">
        <v>1</v>
      </c>
      <c r="AH186" s="5"/>
      <c r="AI186" s="5"/>
      <c r="AO186" s="5"/>
    </row>
    <row r="187" spans="10:41" x14ac:dyDescent="0.3">
      <c r="J187" s="25">
        <v>183</v>
      </c>
      <c r="K187" s="16" t="s">
        <v>35</v>
      </c>
      <c r="L187" s="16" t="s">
        <v>91</v>
      </c>
      <c r="M187" s="16" t="s">
        <v>18</v>
      </c>
      <c r="N187" s="16" t="s">
        <v>34</v>
      </c>
      <c r="O187" s="16" t="s">
        <v>36</v>
      </c>
      <c r="Q187" s="9">
        <v>8</v>
      </c>
      <c r="R187" s="9">
        <v>14</v>
      </c>
      <c r="S187" s="9">
        <v>4</v>
      </c>
      <c r="T187" s="9">
        <v>9</v>
      </c>
      <c r="U187" s="9">
        <v>10</v>
      </c>
      <c r="W187" s="25">
        <v>1</v>
      </c>
      <c r="X187" s="25">
        <v>1</v>
      </c>
      <c r="Y187" s="25">
        <v>1</v>
      </c>
      <c r="Z187" s="25">
        <v>2</v>
      </c>
      <c r="AA187" s="25">
        <v>1</v>
      </c>
      <c r="AH187" s="5"/>
      <c r="AI187" s="5"/>
      <c r="AO187" s="5"/>
    </row>
    <row r="188" spans="10:41" x14ac:dyDescent="0.3">
      <c r="J188" s="9">
        <v>184</v>
      </c>
      <c r="K188" s="16" t="s">
        <v>125</v>
      </c>
      <c r="L188" s="16" t="s">
        <v>112</v>
      </c>
      <c r="M188" s="16" t="s">
        <v>37</v>
      </c>
      <c r="N188" s="16" t="s">
        <v>90</v>
      </c>
      <c r="O188" s="16" t="s">
        <v>125</v>
      </c>
      <c r="Q188" s="9">
        <v>6</v>
      </c>
      <c r="R188" s="9">
        <v>17</v>
      </c>
      <c r="S188" s="9">
        <v>7</v>
      </c>
      <c r="T188" s="9">
        <v>13</v>
      </c>
      <c r="U188" s="9">
        <v>6</v>
      </c>
      <c r="W188" s="25">
        <v>1</v>
      </c>
      <c r="X188" s="25">
        <v>1</v>
      </c>
      <c r="Y188" s="25">
        <v>1</v>
      </c>
      <c r="Z188" s="25">
        <v>2</v>
      </c>
      <c r="AA188" s="25">
        <v>1</v>
      </c>
      <c r="AH188" s="5"/>
      <c r="AI188" s="5"/>
      <c r="AO188" s="5"/>
    </row>
    <row r="189" spans="10:41" x14ac:dyDescent="0.3">
      <c r="J189" s="25">
        <v>185</v>
      </c>
      <c r="K189" s="16" t="s">
        <v>37</v>
      </c>
      <c r="L189" s="16" t="s">
        <v>37</v>
      </c>
      <c r="M189" s="16" t="s">
        <v>36</v>
      </c>
      <c r="N189" s="16" t="s">
        <v>22</v>
      </c>
      <c r="O189" s="16" t="s">
        <v>37</v>
      </c>
      <c r="Q189" s="9">
        <v>7</v>
      </c>
      <c r="R189" s="9">
        <v>7</v>
      </c>
      <c r="S189" s="9">
        <v>10</v>
      </c>
      <c r="T189" s="9">
        <v>3</v>
      </c>
      <c r="U189" s="9">
        <v>7</v>
      </c>
      <c r="W189" s="25">
        <v>1</v>
      </c>
      <c r="X189" s="25">
        <v>1</v>
      </c>
      <c r="Y189" s="25">
        <v>1</v>
      </c>
      <c r="Z189" s="25">
        <v>1</v>
      </c>
      <c r="AA189" s="25">
        <v>1</v>
      </c>
      <c r="AH189" s="5"/>
      <c r="AI189" s="5"/>
      <c r="AO189" s="5"/>
    </row>
    <row r="190" spans="10:41" x14ac:dyDescent="0.3">
      <c r="J190" s="9">
        <v>186</v>
      </c>
      <c r="K190" s="16" t="s">
        <v>19</v>
      </c>
      <c r="L190" s="16" t="s">
        <v>89</v>
      </c>
      <c r="M190" s="16" t="s">
        <v>37</v>
      </c>
      <c r="N190" s="16" t="s">
        <v>89</v>
      </c>
      <c r="O190" s="16" t="s">
        <v>37</v>
      </c>
      <c r="Q190" s="9">
        <v>5</v>
      </c>
      <c r="R190" s="9">
        <v>12</v>
      </c>
      <c r="S190" s="9">
        <v>7</v>
      </c>
      <c r="T190" s="9">
        <v>12</v>
      </c>
      <c r="U190" s="9">
        <v>7</v>
      </c>
      <c r="W190" s="25">
        <v>2</v>
      </c>
      <c r="X190" s="25">
        <v>2</v>
      </c>
      <c r="Y190" s="25">
        <v>1</v>
      </c>
      <c r="Z190" s="25">
        <v>1</v>
      </c>
      <c r="AA190" s="25">
        <v>1</v>
      </c>
      <c r="AH190" s="5"/>
      <c r="AI190" s="5"/>
      <c r="AO190" s="5"/>
    </row>
    <row r="191" spans="10:41" x14ac:dyDescent="0.3">
      <c r="J191" s="25">
        <v>187</v>
      </c>
      <c r="K191" s="16" t="s">
        <v>19</v>
      </c>
      <c r="L191" s="16" t="s">
        <v>97</v>
      </c>
      <c r="M191" s="16" t="s">
        <v>125</v>
      </c>
      <c r="N191" s="16" t="s">
        <v>35</v>
      </c>
      <c r="O191" s="16" t="s">
        <v>22</v>
      </c>
      <c r="Q191" s="9">
        <v>5</v>
      </c>
      <c r="R191" s="9">
        <v>19</v>
      </c>
      <c r="S191" s="9">
        <v>6</v>
      </c>
      <c r="T191" s="9">
        <v>8</v>
      </c>
      <c r="U191" s="9">
        <v>3</v>
      </c>
      <c r="W191" s="25">
        <v>2</v>
      </c>
      <c r="X191" s="25">
        <v>2</v>
      </c>
      <c r="Y191" s="25">
        <v>1</v>
      </c>
      <c r="Z191" s="25">
        <v>1</v>
      </c>
      <c r="AA191" s="25">
        <v>2</v>
      </c>
      <c r="AH191" s="5"/>
      <c r="AI191" s="5"/>
      <c r="AO191" s="5"/>
    </row>
    <row r="192" spans="10:41" x14ac:dyDescent="0.3">
      <c r="J192" s="9">
        <v>188</v>
      </c>
      <c r="K192" s="16" t="s">
        <v>19</v>
      </c>
      <c r="L192" s="16" t="s">
        <v>125</v>
      </c>
      <c r="M192" s="16" t="s">
        <v>92</v>
      </c>
      <c r="N192" s="16" t="s">
        <v>36</v>
      </c>
      <c r="O192" s="16" t="s">
        <v>34</v>
      </c>
      <c r="Q192" s="9">
        <v>5</v>
      </c>
      <c r="R192" s="9">
        <v>6</v>
      </c>
      <c r="S192" s="9">
        <v>16</v>
      </c>
      <c r="T192" s="9">
        <v>10</v>
      </c>
      <c r="U192" s="9">
        <v>9</v>
      </c>
      <c r="W192" s="25">
        <v>2</v>
      </c>
      <c r="X192" s="25">
        <v>2</v>
      </c>
      <c r="Y192" s="25">
        <v>1</v>
      </c>
      <c r="Z192" s="25">
        <v>2</v>
      </c>
      <c r="AA192" s="25">
        <v>2</v>
      </c>
      <c r="AH192" s="5"/>
      <c r="AI192" s="5"/>
      <c r="AO192" s="5"/>
    </row>
    <row r="193" spans="10:41" x14ac:dyDescent="0.3">
      <c r="J193" s="25">
        <v>189</v>
      </c>
      <c r="K193" s="16" t="s">
        <v>22</v>
      </c>
      <c r="L193" s="16" t="s">
        <v>21</v>
      </c>
      <c r="M193" s="16" t="s">
        <v>35</v>
      </c>
      <c r="N193" s="16" t="s">
        <v>22</v>
      </c>
      <c r="O193" s="16" t="s">
        <v>22</v>
      </c>
      <c r="Q193" s="9">
        <v>3</v>
      </c>
      <c r="R193" s="9">
        <v>2</v>
      </c>
      <c r="S193" s="9">
        <v>8</v>
      </c>
      <c r="T193" s="9">
        <v>3</v>
      </c>
      <c r="U193" s="9">
        <v>3</v>
      </c>
      <c r="W193" s="25">
        <v>2</v>
      </c>
      <c r="X193" s="25">
        <v>2</v>
      </c>
      <c r="Y193" s="25">
        <v>1</v>
      </c>
      <c r="Z193" s="25">
        <v>2</v>
      </c>
      <c r="AA193" s="25">
        <v>2</v>
      </c>
      <c r="AH193" s="5"/>
      <c r="AI193" s="5"/>
      <c r="AO193" s="5"/>
    </row>
    <row r="194" spans="10:41" x14ac:dyDescent="0.3">
      <c r="J194" s="9">
        <v>190</v>
      </c>
      <c r="K194" s="16" t="s">
        <v>21</v>
      </c>
      <c r="L194" s="16" t="s">
        <v>21</v>
      </c>
      <c r="M194" s="16" t="s">
        <v>21</v>
      </c>
      <c r="N194" s="16" t="s">
        <v>21</v>
      </c>
      <c r="O194" s="16" t="s">
        <v>36</v>
      </c>
      <c r="Q194" s="9">
        <v>2</v>
      </c>
      <c r="R194" s="9">
        <v>2</v>
      </c>
      <c r="S194" s="9">
        <v>2</v>
      </c>
      <c r="T194" s="9">
        <v>2</v>
      </c>
      <c r="U194" s="9">
        <v>10</v>
      </c>
      <c r="W194" s="25">
        <v>1</v>
      </c>
      <c r="X194" s="25">
        <v>2</v>
      </c>
      <c r="Y194" s="25">
        <v>2</v>
      </c>
      <c r="Z194" s="25">
        <v>1</v>
      </c>
      <c r="AA194" s="25">
        <v>2</v>
      </c>
      <c r="AH194" s="5"/>
      <c r="AI194" s="5"/>
      <c r="AO194" s="5"/>
    </row>
    <row r="195" spans="10:41" x14ac:dyDescent="0.3">
      <c r="J195" s="25">
        <v>191</v>
      </c>
      <c r="K195" s="16" t="s">
        <v>125</v>
      </c>
      <c r="L195" s="16" t="s">
        <v>95</v>
      </c>
      <c r="M195" s="16" t="s">
        <v>19</v>
      </c>
      <c r="N195" s="16" t="s">
        <v>21</v>
      </c>
      <c r="O195" s="16" t="s">
        <v>19</v>
      </c>
      <c r="Q195" s="9">
        <v>6</v>
      </c>
      <c r="R195" s="9">
        <v>18</v>
      </c>
      <c r="S195" s="9">
        <v>5</v>
      </c>
      <c r="T195" s="9">
        <v>2</v>
      </c>
      <c r="U195" s="9">
        <v>5</v>
      </c>
      <c r="W195" s="25">
        <v>1</v>
      </c>
      <c r="X195" s="25">
        <v>2</v>
      </c>
      <c r="Y195" s="25">
        <v>2</v>
      </c>
      <c r="Z195" s="25">
        <v>1</v>
      </c>
      <c r="AA195" s="25">
        <v>1</v>
      </c>
      <c r="AH195" s="5"/>
      <c r="AI195" s="5"/>
      <c r="AO195" s="5"/>
    </row>
    <row r="196" spans="10:41" x14ac:dyDescent="0.3">
      <c r="J196" s="9">
        <v>192</v>
      </c>
      <c r="K196" s="16" t="s">
        <v>35</v>
      </c>
      <c r="L196" s="16" t="s">
        <v>126</v>
      </c>
      <c r="M196" s="16" t="s">
        <v>19</v>
      </c>
      <c r="N196" s="16" t="s">
        <v>35</v>
      </c>
      <c r="O196" s="16" t="s">
        <v>19</v>
      </c>
      <c r="Q196" s="9">
        <v>8</v>
      </c>
      <c r="R196" s="9">
        <v>15</v>
      </c>
      <c r="S196" s="9">
        <v>5</v>
      </c>
      <c r="T196" s="9">
        <v>8</v>
      </c>
      <c r="U196" s="9">
        <v>5</v>
      </c>
      <c r="W196" s="25">
        <v>1</v>
      </c>
      <c r="X196" s="25">
        <v>1</v>
      </c>
      <c r="Y196" s="25">
        <v>1</v>
      </c>
      <c r="Z196" s="25">
        <v>1</v>
      </c>
      <c r="AA196" s="25">
        <v>1</v>
      </c>
      <c r="AH196" s="5"/>
      <c r="AI196" s="5"/>
      <c r="AO196" s="5"/>
    </row>
    <row r="197" spans="10:41" x14ac:dyDescent="0.3">
      <c r="J197" s="25">
        <v>193</v>
      </c>
      <c r="K197" s="16" t="s">
        <v>19</v>
      </c>
      <c r="L197" s="16" t="s">
        <v>19</v>
      </c>
      <c r="M197" s="16" t="s">
        <v>19</v>
      </c>
      <c r="N197" s="16" t="s">
        <v>35</v>
      </c>
      <c r="O197" s="16" t="s">
        <v>35</v>
      </c>
      <c r="Q197" s="9">
        <v>5</v>
      </c>
      <c r="R197" s="9">
        <v>5</v>
      </c>
      <c r="S197" s="9">
        <v>5</v>
      </c>
      <c r="T197" s="9">
        <v>8</v>
      </c>
      <c r="U197" s="9">
        <v>8</v>
      </c>
      <c r="W197" s="25">
        <v>2</v>
      </c>
      <c r="X197" s="25">
        <v>1</v>
      </c>
      <c r="Y197" s="25">
        <v>1</v>
      </c>
      <c r="Z197" s="25">
        <v>1</v>
      </c>
      <c r="AA197" s="25">
        <v>1</v>
      </c>
      <c r="AH197" s="5"/>
      <c r="AI197" s="5"/>
      <c r="AO197" s="5"/>
    </row>
    <row r="198" spans="10:41" x14ac:dyDescent="0.3">
      <c r="J198" s="9">
        <v>194</v>
      </c>
      <c r="K198" s="16" t="s">
        <v>19</v>
      </c>
      <c r="L198" s="16" t="s">
        <v>37</v>
      </c>
      <c r="M198" s="16" t="s">
        <v>37</v>
      </c>
      <c r="N198" s="16" t="s">
        <v>22</v>
      </c>
      <c r="O198" s="16" t="s">
        <v>22</v>
      </c>
      <c r="Q198" s="9">
        <v>5</v>
      </c>
      <c r="R198" s="9">
        <v>7</v>
      </c>
      <c r="S198" s="9">
        <v>7</v>
      </c>
      <c r="T198" s="9">
        <v>3</v>
      </c>
      <c r="U198" s="9">
        <v>3</v>
      </c>
      <c r="W198" s="25">
        <v>2</v>
      </c>
      <c r="X198" s="25">
        <v>1</v>
      </c>
      <c r="Y198" s="25">
        <v>1</v>
      </c>
      <c r="Z198" s="25">
        <v>2</v>
      </c>
      <c r="AA198" s="25">
        <v>1</v>
      </c>
      <c r="AH198" s="5"/>
      <c r="AI198" s="5"/>
      <c r="AO198" s="5"/>
    </row>
    <row r="199" spans="10:41" x14ac:dyDescent="0.3">
      <c r="J199" s="25">
        <v>195</v>
      </c>
      <c r="K199" s="16" t="s">
        <v>21</v>
      </c>
      <c r="L199" s="16" t="s">
        <v>22</v>
      </c>
      <c r="M199" s="16" t="s">
        <v>22</v>
      </c>
      <c r="N199" s="16" t="s">
        <v>36</v>
      </c>
      <c r="O199" s="16" t="s">
        <v>125</v>
      </c>
      <c r="Q199" s="9">
        <v>2</v>
      </c>
      <c r="R199" s="9">
        <v>3</v>
      </c>
      <c r="S199" s="9">
        <v>3</v>
      </c>
      <c r="T199" s="9">
        <v>10</v>
      </c>
      <c r="U199" s="9">
        <v>6</v>
      </c>
      <c r="W199" s="25">
        <v>2</v>
      </c>
      <c r="X199" s="25">
        <v>1</v>
      </c>
      <c r="Y199" s="25">
        <v>2</v>
      </c>
      <c r="Z199" s="25">
        <v>2</v>
      </c>
      <c r="AA199" s="25">
        <v>1</v>
      </c>
      <c r="AH199" s="5"/>
      <c r="AI199" s="5"/>
      <c r="AO199" s="5"/>
    </row>
    <row r="200" spans="10:41" x14ac:dyDescent="0.3">
      <c r="J200" s="9">
        <v>196</v>
      </c>
      <c r="K200" s="16" t="s">
        <v>125</v>
      </c>
      <c r="L200" s="16" t="s">
        <v>92</v>
      </c>
      <c r="M200" s="16" t="s">
        <v>125</v>
      </c>
      <c r="N200" s="16" t="s">
        <v>18</v>
      </c>
      <c r="O200" s="16" t="s">
        <v>35</v>
      </c>
      <c r="Q200" s="9">
        <v>6</v>
      </c>
      <c r="R200" s="9">
        <v>16</v>
      </c>
      <c r="S200" s="9">
        <v>6</v>
      </c>
      <c r="T200" s="9">
        <v>4</v>
      </c>
      <c r="U200" s="9">
        <v>8</v>
      </c>
      <c r="W200" s="25">
        <v>1</v>
      </c>
      <c r="X200" s="25">
        <v>1</v>
      </c>
      <c r="Y200" s="25">
        <v>2</v>
      </c>
      <c r="Z200" s="25">
        <v>2</v>
      </c>
      <c r="AA200" s="25">
        <v>1</v>
      </c>
      <c r="AH200" s="5"/>
      <c r="AI200" s="5"/>
      <c r="AO200" s="5"/>
    </row>
    <row r="201" spans="10:41" x14ac:dyDescent="0.3">
      <c r="J201" s="25">
        <v>197</v>
      </c>
      <c r="K201" s="16" t="s">
        <v>19</v>
      </c>
      <c r="L201" s="16" t="s">
        <v>19</v>
      </c>
      <c r="M201" s="16" t="s">
        <v>19</v>
      </c>
      <c r="N201" s="16" t="s">
        <v>22</v>
      </c>
      <c r="O201" s="16" t="s">
        <v>18</v>
      </c>
      <c r="Q201" s="9">
        <v>5</v>
      </c>
      <c r="R201" s="9">
        <v>5</v>
      </c>
      <c r="S201" s="9">
        <v>5</v>
      </c>
      <c r="T201" s="9">
        <v>3</v>
      </c>
      <c r="U201" s="9">
        <v>4</v>
      </c>
      <c r="W201" s="25">
        <v>1</v>
      </c>
      <c r="X201" s="25">
        <v>2</v>
      </c>
      <c r="Y201" s="25">
        <v>2</v>
      </c>
      <c r="Z201" s="25">
        <v>2</v>
      </c>
      <c r="AA201" s="25">
        <v>2</v>
      </c>
      <c r="AH201" s="5"/>
      <c r="AI201" s="5"/>
      <c r="AO201" s="5"/>
    </row>
    <row r="202" spans="10:41" x14ac:dyDescent="0.3">
      <c r="J202" s="9">
        <v>198</v>
      </c>
      <c r="K202" s="16" t="s">
        <v>37</v>
      </c>
      <c r="L202" s="16" t="s">
        <v>125</v>
      </c>
      <c r="M202" s="16" t="s">
        <v>125</v>
      </c>
      <c r="N202" s="16" t="s">
        <v>34</v>
      </c>
      <c r="O202" s="16" t="s">
        <v>36</v>
      </c>
      <c r="Q202" s="9">
        <v>7</v>
      </c>
      <c r="R202" s="9">
        <v>6</v>
      </c>
      <c r="S202" s="9">
        <v>6</v>
      </c>
      <c r="T202" s="9">
        <v>9</v>
      </c>
      <c r="U202" s="9">
        <v>10</v>
      </c>
      <c r="W202" s="25">
        <v>1</v>
      </c>
      <c r="X202" s="25">
        <v>2</v>
      </c>
      <c r="Y202" s="25">
        <v>2</v>
      </c>
      <c r="Z202" s="25">
        <v>2</v>
      </c>
      <c r="AA202" s="25">
        <v>1</v>
      </c>
      <c r="AH202" s="5"/>
      <c r="AI202" s="5"/>
      <c r="AO202" s="5"/>
    </row>
    <row r="203" spans="10:41" x14ac:dyDescent="0.3">
      <c r="J203" s="25">
        <v>199</v>
      </c>
      <c r="K203" s="16" t="s">
        <v>125</v>
      </c>
      <c r="L203" s="16" t="s">
        <v>36</v>
      </c>
      <c r="M203" s="16" t="s">
        <v>19</v>
      </c>
      <c r="N203" s="16" t="s">
        <v>36</v>
      </c>
      <c r="O203" s="16" t="s">
        <v>34</v>
      </c>
      <c r="Q203" s="9">
        <v>6</v>
      </c>
      <c r="R203" s="9">
        <v>10</v>
      </c>
      <c r="S203" s="9">
        <v>5</v>
      </c>
      <c r="T203" s="9">
        <v>10</v>
      </c>
      <c r="U203" s="9">
        <v>9</v>
      </c>
      <c r="W203" s="25">
        <v>2</v>
      </c>
      <c r="X203" s="25">
        <v>1</v>
      </c>
      <c r="Y203" s="25">
        <v>2</v>
      </c>
      <c r="Z203" s="25">
        <v>2</v>
      </c>
      <c r="AA203" s="25">
        <v>1</v>
      </c>
      <c r="AH203" s="5"/>
      <c r="AI203" s="5"/>
      <c r="AO203" s="5"/>
    </row>
    <row r="204" spans="10:41" x14ac:dyDescent="0.3">
      <c r="J204" s="9"/>
      <c r="K204" s="16"/>
      <c r="L204" s="16"/>
      <c r="M204" s="16"/>
      <c r="N204" s="16"/>
      <c r="O204" s="16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5"/>
      <c r="X204" s="25"/>
      <c r="Y204" s="25"/>
      <c r="Z204" s="25"/>
      <c r="AA204" s="25"/>
      <c r="AH204" s="5"/>
      <c r="AI204" s="5"/>
      <c r="AO204" s="5"/>
    </row>
    <row r="205" spans="10:41" x14ac:dyDescent="0.3">
      <c r="J205" s="25"/>
      <c r="K205" s="16"/>
      <c r="L205" s="16"/>
      <c r="M205" s="16"/>
      <c r="N205" s="16"/>
      <c r="O205" s="16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5"/>
      <c r="X205" s="25"/>
      <c r="Y205" s="25"/>
      <c r="Z205" s="25"/>
      <c r="AA205" s="25"/>
      <c r="AH205" s="5"/>
      <c r="AI205" s="5"/>
      <c r="AO205" s="5"/>
    </row>
    <row r="206" spans="10:41" x14ac:dyDescent="0.3">
      <c r="J206" s="25"/>
      <c r="K206" s="16"/>
      <c r="L206" s="16"/>
      <c r="M206" s="16"/>
      <c r="N206" s="16"/>
      <c r="O206" s="16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5"/>
      <c r="X206" s="25"/>
      <c r="Y206" s="25"/>
      <c r="Z206" s="25"/>
      <c r="AA206" s="25"/>
      <c r="AH206" s="5"/>
      <c r="AI206" s="5"/>
      <c r="AO206" s="5"/>
    </row>
    <row r="207" spans="10:41" x14ac:dyDescent="0.3">
      <c r="J207" s="9"/>
      <c r="K207" s="16"/>
      <c r="L207" s="16"/>
      <c r="M207" s="16"/>
      <c r="N207" s="16"/>
      <c r="O207" s="16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5"/>
      <c r="X207" s="25"/>
      <c r="Y207" s="25"/>
      <c r="Z207" s="25"/>
      <c r="AA207" s="25"/>
      <c r="AH207" s="5"/>
      <c r="AI207" s="5"/>
      <c r="AO207" s="5"/>
    </row>
    <row r="208" spans="10:41" x14ac:dyDescent="0.3">
      <c r="J208" s="25"/>
      <c r="K208" s="16"/>
      <c r="L208" s="16"/>
      <c r="M208" s="16"/>
      <c r="N208" s="16"/>
      <c r="O208" s="16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5"/>
      <c r="X208" s="25"/>
      <c r="Y208" s="25"/>
      <c r="Z208" s="25"/>
      <c r="AA208" s="25"/>
      <c r="AH208" s="5"/>
      <c r="AI208" s="5"/>
      <c r="AO208" s="5"/>
    </row>
    <row r="209" spans="10:41" x14ac:dyDescent="0.3">
      <c r="J209" s="9"/>
      <c r="K209" s="16"/>
      <c r="L209" s="16"/>
      <c r="M209" s="16"/>
      <c r="N209" s="16"/>
      <c r="O209" s="16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5"/>
      <c r="X209" s="25"/>
      <c r="Y209" s="25"/>
      <c r="Z209" s="25"/>
      <c r="AA209" s="25"/>
      <c r="AH209" s="5"/>
      <c r="AI209" s="5"/>
      <c r="AO209" s="5"/>
    </row>
    <row r="210" spans="10:41" x14ac:dyDescent="0.3">
      <c r="J210" s="25"/>
      <c r="K210" s="16"/>
      <c r="L210" s="16"/>
      <c r="M210" s="16"/>
      <c r="N210" s="16"/>
      <c r="O210" s="16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5"/>
      <c r="X210" s="25"/>
      <c r="Y210" s="25"/>
      <c r="Z210" s="25"/>
      <c r="AA210" s="25"/>
      <c r="AH210" s="5"/>
      <c r="AI210" s="5"/>
      <c r="AO210" s="5"/>
    </row>
    <row r="211" spans="10:41" x14ac:dyDescent="0.3">
      <c r="J211" s="9"/>
      <c r="K211" s="16"/>
      <c r="L211" s="16"/>
      <c r="M211" s="16"/>
      <c r="N211" s="16"/>
      <c r="O211" s="16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5"/>
      <c r="X211" s="25"/>
      <c r="Y211" s="25"/>
      <c r="Z211" s="25"/>
      <c r="AA211" s="25"/>
      <c r="AH211" s="5"/>
      <c r="AI211" s="5"/>
      <c r="AO211" s="5"/>
    </row>
    <row r="212" spans="10:41" x14ac:dyDescent="0.3">
      <c r="J212" s="25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5"/>
      <c r="X212" s="25"/>
      <c r="Y212" s="25"/>
      <c r="Z212" s="25"/>
      <c r="AA212" s="25"/>
      <c r="AH212" s="5"/>
      <c r="AI212" s="5"/>
      <c r="AO212" s="5"/>
    </row>
    <row r="213" spans="10:41" x14ac:dyDescent="0.3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5"/>
      <c r="X213" s="25"/>
      <c r="Y213" s="25"/>
      <c r="Z213" s="25"/>
      <c r="AA213" s="25"/>
      <c r="AH213" s="5"/>
      <c r="AI213" s="5"/>
      <c r="AO213" s="5"/>
    </row>
    <row r="214" spans="10:41" x14ac:dyDescent="0.3">
      <c r="J214" s="25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5"/>
      <c r="X214" s="25"/>
      <c r="Y214" s="25"/>
      <c r="Z214" s="25"/>
      <c r="AA214" s="25"/>
      <c r="AH214" s="5"/>
      <c r="AI214" s="5"/>
      <c r="AO214" s="5"/>
    </row>
    <row r="215" spans="10:41" x14ac:dyDescent="0.3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5"/>
      <c r="X215" s="25"/>
      <c r="Y215" s="25"/>
      <c r="Z215" s="25"/>
      <c r="AA215" s="25"/>
      <c r="AH215" s="5"/>
      <c r="AI215" s="5"/>
      <c r="AO215" s="5"/>
    </row>
    <row r="216" spans="10:41" x14ac:dyDescent="0.3">
      <c r="J216" s="25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5"/>
      <c r="X216" s="25"/>
      <c r="Y216" s="25"/>
      <c r="Z216" s="25"/>
      <c r="AA216" s="25"/>
      <c r="AH216" s="5"/>
      <c r="AI216" s="5"/>
      <c r="AO216" s="5"/>
    </row>
    <row r="217" spans="10:41" x14ac:dyDescent="0.3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5"/>
      <c r="X217" s="25"/>
      <c r="Y217" s="25"/>
      <c r="Z217" s="25"/>
      <c r="AA217" s="25"/>
      <c r="AH217" s="5"/>
      <c r="AI217" s="5"/>
      <c r="AO217" s="5"/>
    </row>
    <row r="218" spans="10:41" x14ac:dyDescent="0.3">
      <c r="J218" s="25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5"/>
      <c r="X218" s="25"/>
      <c r="Y218" s="25"/>
      <c r="Z218" s="25"/>
      <c r="AA218" s="25"/>
      <c r="AH218" s="5"/>
      <c r="AI218" s="5"/>
      <c r="AO218" s="5"/>
    </row>
    <row r="219" spans="10:41" x14ac:dyDescent="0.3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5"/>
      <c r="X219" s="25"/>
      <c r="Y219" s="25"/>
      <c r="Z219" s="25"/>
      <c r="AA219" s="25"/>
      <c r="AH219" s="5"/>
      <c r="AI219" s="5"/>
      <c r="AO219" s="5"/>
    </row>
    <row r="220" spans="10:41" x14ac:dyDescent="0.3">
      <c r="J220" s="25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5"/>
      <c r="X220" s="25"/>
      <c r="Y220" s="25"/>
      <c r="Z220" s="25"/>
      <c r="AA220" s="25"/>
      <c r="AH220" s="5"/>
      <c r="AI220" s="5"/>
      <c r="AO220" s="5"/>
    </row>
    <row r="221" spans="10:41" x14ac:dyDescent="0.3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5"/>
      <c r="X221" s="25"/>
      <c r="Y221" s="25"/>
      <c r="Z221" s="25"/>
      <c r="AA221" s="25"/>
      <c r="AH221" s="5"/>
      <c r="AI221" s="5"/>
      <c r="AO221" s="5"/>
    </row>
    <row r="222" spans="10:41" x14ac:dyDescent="0.3">
      <c r="J222" s="25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5"/>
      <c r="X222" s="25"/>
      <c r="Y222" s="25"/>
      <c r="Z222" s="25"/>
      <c r="AA222" s="25"/>
      <c r="AH222" s="5"/>
      <c r="AI222" s="5"/>
      <c r="AO222" s="5"/>
    </row>
    <row r="223" spans="10:41" x14ac:dyDescent="0.3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5"/>
      <c r="X223" s="25"/>
      <c r="Y223" s="25"/>
      <c r="Z223" s="25"/>
      <c r="AA223" s="25"/>
      <c r="AH223" s="5"/>
      <c r="AI223" s="5"/>
      <c r="AO223" s="5"/>
    </row>
    <row r="224" spans="10:41" x14ac:dyDescent="0.3">
      <c r="J224" s="25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5"/>
      <c r="X224" s="25"/>
      <c r="Y224" s="25"/>
      <c r="Z224" s="25"/>
      <c r="AA224" s="25"/>
      <c r="AH224" s="5"/>
      <c r="AI224" s="5"/>
      <c r="AO224" s="5"/>
    </row>
    <row r="225" spans="10:41" x14ac:dyDescent="0.3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5"/>
      <c r="X225" s="25"/>
      <c r="Y225" s="25"/>
      <c r="Z225" s="25"/>
      <c r="AA225" s="25"/>
      <c r="AH225" s="5"/>
      <c r="AI225" s="5"/>
      <c r="AO225" s="5"/>
    </row>
    <row r="226" spans="10:41" x14ac:dyDescent="0.3">
      <c r="J226" s="25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5"/>
      <c r="X226" s="25"/>
      <c r="Y226" s="25"/>
      <c r="Z226" s="25"/>
      <c r="AA226" s="25"/>
      <c r="AH226" s="5"/>
      <c r="AI226" s="5"/>
      <c r="AO226" s="5"/>
    </row>
    <row r="227" spans="10:41" x14ac:dyDescent="0.3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5"/>
      <c r="X227" s="25"/>
      <c r="Y227" s="25"/>
      <c r="Z227" s="25"/>
      <c r="AA227" s="25"/>
      <c r="AH227" s="5"/>
      <c r="AI227" s="5"/>
      <c r="AO227" s="5"/>
    </row>
    <row r="228" spans="10:41" x14ac:dyDescent="0.3">
      <c r="J228" s="25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5"/>
      <c r="X228" s="25"/>
      <c r="Y228" s="25"/>
      <c r="Z228" s="25"/>
      <c r="AA228" s="25"/>
      <c r="AH228" s="5"/>
      <c r="AI228" s="5"/>
      <c r="AO228" s="5"/>
    </row>
    <row r="229" spans="10:41" x14ac:dyDescent="0.3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5"/>
      <c r="X229" s="25"/>
      <c r="Y229" s="25"/>
      <c r="Z229" s="25"/>
      <c r="AA229" s="25"/>
      <c r="AH229" s="5"/>
      <c r="AI229" s="5"/>
      <c r="AO229" s="5"/>
    </row>
    <row r="230" spans="10:41" x14ac:dyDescent="0.3">
      <c r="J230" s="25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5"/>
      <c r="X230" s="25"/>
      <c r="Y230" s="25"/>
      <c r="Z230" s="25"/>
      <c r="AA230" s="25"/>
      <c r="AH230" s="5"/>
      <c r="AI230" s="5"/>
      <c r="AO230" s="5"/>
    </row>
    <row r="231" spans="10:41" x14ac:dyDescent="0.3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5"/>
      <c r="X231" s="25"/>
      <c r="Y231" s="25"/>
      <c r="Z231" s="25"/>
      <c r="AA231" s="25"/>
      <c r="AH231" s="5"/>
      <c r="AI231" s="5"/>
      <c r="AO231" s="5"/>
    </row>
    <row r="232" spans="10:41" x14ac:dyDescent="0.3">
      <c r="J232" s="25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5"/>
      <c r="X232" s="25"/>
      <c r="Y232" s="25"/>
      <c r="Z232" s="25"/>
      <c r="AA232" s="25"/>
      <c r="AH232" s="5"/>
      <c r="AI232" s="5"/>
      <c r="AO232" s="5"/>
    </row>
    <row r="233" spans="10:41" x14ac:dyDescent="0.3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5"/>
      <c r="X233" s="25"/>
      <c r="Y233" s="25"/>
      <c r="Z233" s="25"/>
      <c r="AA233" s="25"/>
      <c r="AH233" s="5"/>
      <c r="AI233" s="5"/>
      <c r="AO233" s="5"/>
    </row>
    <row r="234" spans="10:41" x14ac:dyDescent="0.3">
      <c r="J234" s="25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5"/>
      <c r="X234" s="25"/>
      <c r="Y234" s="25"/>
      <c r="Z234" s="25"/>
      <c r="AA234" s="25"/>
      <c r="AH234" s="5"/>
      <c r="AI234" s="5"/>
      <c r="AO234" s="5"/>
    </row>
    <row r="235" spans="10:41" x14ac:dyDescent="0.3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5"/>
      <c r="X235" s="25"/>
      <c r="Y235" s="25"/>
      <c r="Z235" s="25"/>
      <c r="AA235" s="25"/>
      <c r="AH235" s="5"/>
      <c r="AI235" s="5"/>
      <c r="AO235" s="5"/>
    </row>
    <row r="236" spans="10:41" x14ac:dyDescent="0.3">
      <c r="J236" s="25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5"/>
      <c r="X236" s="25"/>
      <c r="Y236" s="25"/>
      <c r="Z236" s="25"/>
      <c r="AA236" s="25"/>
      <c r="AH236" s="5"/>
      <c r="AI236" s="5"/>
      <c r="AO236" s="5"/>
    </row>
    <row r="237" spans="10:41" x14ac:dyDescent="0.3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5"/>
      <c r="X237" s="25"/>
      <c r="Y237" s="25"/>
      <c r="Z237" s="25"/>
      <c r="AA237" s="25"/>
      <c r="AH237" s="5"/>
      <c r="AI237" s="5"/>
      <c r="AO237" s="5"/>
    </row>
    <row r="238" spans="10:41" x14ac:dyDescent="0.3">
      <c r="J238" s="25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5"/>
      <c r="X238" s="25"/>
      <c r="Y238" s="25"/>
      <c r="Z238" s="25"/>
      <c r="AA238" s="25"/>
      <c r="AH238" s="5"/>
      <c r="AI238" s="5"/>
      <c r="AO238" s="5"/>
    </row>
    <row r="239" spans="10:41" x14ac:dyDescent="0.3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5"/>
      <c r="X239" s="25"/>
      <c r="Y239" s="25"/>
      <c r="Z239" s="25"/>
      <c r="AA239" s="25"/>
      <c r="AH239" s="5"/>
      <c r="AI239" s="5"/>
      <c r="AO239" s="5"/>
    </row>
    <row r="240" spans="10:41" x14ac:dyDescent="0.3">
      <c r="J240" s="25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5"/>
      <c r="X240" s="25"/>
      <c r="Y240" s="25"/>
      <c r="Z240" s="25"/>
      <c r="AA240" s="25"/>
      <c r="AH240" s="5"/>
      <c r="AI240" s="5"/>
      <c r="AO240" s="5"/>
    </row>
    <row r="241" spans="10:41" x14ac:dyDescent="0.3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5"/>
      <c r="X241" s="25"/>
      <c r="Y241" s="25"/>
      <c r="Z241" s="25"/>
      <c r="AA241" s="25"/>
      <c r="AH241" s="5"/>
      <c r="AI241" s="5"/>
      <c r="AO241" s="5"/>
    </row>
    <row r="242" spans="10:41" x14ac:dyDescent="0.3">
      <c r="J242" s="25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5"/>
      <c r="X242" s="25"/>
      <c r="Y242" s="25"/>
      <c r="Z242" s="25"/>
      <c r="AA242" s="25"/>
      <c r="AH242" s="5"/>
      <c r="AI242" s="5"/>
      <c r="AO242" s="5"/>
    </row>
    <row r="243" spans="10:41" x14ac:dyDescent="0.3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5"/>
      <c r="X243" s="25"/>
      <c r="Y243" s="25"/>
      <c r="Z243" s="25"/>
      <c r="AA243" s="25"/>
      <c r="AH243" s="5"/>
      <c r="AI243" s="5"/>
      <c r="AO243" s="5"/>
    </row>
    <row r="244" spans="10:41" x14ac:dyDescent="0.3">
      <c r="J244" s="25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5"/>
      <c r="X244" s="25"/>
      <c r="Y244" s="25"/>
      <c r="Z244" s="25"/>
      <c r="AA244" s="25"/>
      <c r="AH244" s="5"/>
      <c r="AI244" s="5"/>
      <c r="AO244" s="5"/>
    </row>
    <row r="245" spans="10:41" x14ac:dyDescent="0.3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5"/>
      <c r="X245" s="25"/>
      <c r="Y245" s="25"/>
      <c r="Z245" s="25"/>
      <c r="AA245" s="25"/>
      <c r="AH245" s="5"/>
      <c r="AI245" s="5"/>
      <c r="AO245" s="5"/>
    </row>
    <row r="246" spans="10:41" x14ac:dyDescent="0.3">
      <c r="J246" s="25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5"/>
      <c r="X246" s="25"/>
      <c r="Y246" s="25"/>
      <c r="Z246" s="25"/>
      <c r="AA246" s="25"/>
      <c r="AH246" s="5"/>
      <c r="AI246" s="5"/>
      <c r="AO246" s="5"/>
    </row>
    <row r="247" spans="10:41" x14ac:dyDescent="0.3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5"/>
      <c r="X247" s="25"/>
      <c r="Y247" s="25"/>
      <c r="Z247" s="25"/>
      <c r="AA247" s="25"/>
      <c r="AH247" s="5"/>
      <c r="AI247" s="5"/>
      <c r="AO247" s="5"/>
    </row>
    <row r="248" spans="10:41" x14ac:dyDescent="0.3">
      <c r="J248" s="25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5"/>
      <c r="X248" s="25"/>
      <c r="Y248" s="25"/>
      <c r="Z248" s="25"/>
      <c r="AA248" s="25"/>
      <c r="AH248" s="5"/>
      <c r="AI248" s="5"/>
      <c r="AO248" s="5"/>
    </row>
    <row r="249" spans="10:41" x14ac:dyDescent="0.3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5"/>
      <c r="X249" s="25"/>
      <c r="Y249" s="25"/>
      <c r="Z249" s="25"/>
      <c r="AA249" s="25"/>
      <c r="AH249" s="5"/>
      <c r="AI249" s="5"/>
      <c r="AO249" s="5"/>
    </row>
    <row r="250" spans="10:41" x14ac:dyDescent="0.3">
      <c r="J250" s="25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5"/>
      <c r="X250" s="25"/>
      <c r="Y250" s="25"/>
      <c r="Z250" s="25"/>
      <c r="AA250" s="25"/>
      <c r="AH250" s="5"/>
      <c r="AI250" s="5"/>
      <c r="AO250" s="5"/>
    </row>
    <row r="251" spans="10:41" x14ac:dyDescent="0.3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5"/>
      <c r="X251" s="25"/>
      <c r="Y251" s="25"/>
      <c r="Z251" s="25"/>
      <c r="AA251" s="25"/>
      <c r="AH251" s="5"/>
      <c r="AI251" s="5"/>
      <c r="AO251" s="5"/>
    </row>
    <row r="252" spans="10:41" x14ac:dyDescent="0.3">
      <c r="J252" s="25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5"/>
      <c r="X252" s="25"/>
      <c r="Y252" s="25"/>
      <c r="Z252" s="25"/>
      <c r="AA252" s="25"/>
      <c r="AH252" s="5"/>
      <c r="AI252" s="5"/>
      <c r="AO252" s="5"/>
    </row>
    <row r="253" spans="10:41" x14ac:dyDescent="0.3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5"/>
      <c r="X253" s="25"/>
      <c r="Y253" s="25"/>
      <c r="Z253" s="25"/>
      <c r="AA253" s="25"/>
      <c r="AH253" s="5"/>
      <c r="AI253" s="5"/>
      <c r="AO253" s="5"/>
    </row>
    <row r="254" spans="10:41" x14ac:dyDescent="0.3">
      <c r="J254" s="25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5"/>
      <c r="X254" s="25"/>
      <c r="Y254" s="25"/>
      <c r="Z254" s="25"/>
      <c r="AA254" s="25"/>
      <c r="AH254" s="5"/>
      <c r="AI254" s="5"/>
      <c r="AO254" s="5"/>
    </row>
    <row r="255" spans="10:41" x14ac:dyDescent="0.3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5"/>
      <c r="X255" s="25"/>
      <c r="Y255" s="25"/>
      <c r="Z255" s="25"/>
      <c r="AA255" s="25"/>
      <c r="AH255" s="5"/>
      <c r="AI255" s="5"/>
      <c r="AO255" s="5"/>
    </row>
    <row r="256" spans="10:41" x14ac:dyDescent="0.3">
      <c r="J256" s="25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5"/>
      <c r="X256" s="25"/>
      <c r="Y256" s="25"/>
      <c r="Z256" s="25"/>
      <c r="AA256" s="25"/>
      <c r="AH256" s="5"/>
      <c r="AI256" s="5"/>
      <c r="AO256" s="5"/>
    </row>
    <row r="257" spans="10:41" x14ac:dyDescent="0.3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5"/>
      <c r="X257" s="25"/>
      <c r="Y257" s="25"/>
      <c r="Z257" s="25"/>
      <c r="AA257" s="25"/>
      <c r="AH257" s="5"/>
      <c r="AI257" s="5"/>
      <c r="AO257" s="5"/>
    </row>
    <row r="258" spans="10:41" x14ac:dyDescent="0.3">
      <c r="J258" s="25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5"/>
      <c r="X258" s="25"/>
      <c r="Y258" s="25"/>
      <c r="Z258" s="25"/>
      <c r="AA258" s="25"/>
      <c r="AH258" s="5"/>
      <c r="AI258" s="5"/>
      <c r="AO258" s="5"/>
    </row>
    <row r="259" spans="10:41" x14ac:dyDescent="0.3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5"/>
      <c r="X259" s="25"/>
      <c r="Y259" s="25"/>
      <c r="Z259" s="25"/>
      <c r="AA259" s="25"/>
      <c r="AH259" s="5"/>
      <c r="AI259" s="5"/>
      <c r="AO259" s="5"/>
    </row>
    <row r="260" spans="10:41" x14ac:dyDescent="0.3">
      <c r="J260" s="25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5"/>
      <c r="X260" s="25"/>
      <c r="Y260" s="25"/>
      <c r="Z260" s="25"/>
      <c r="AA260" s="25"/>
      <c r="AH260" s="5"/>
      <c r="AI260" s="5"/>
      <c r="AO260" s="5"/>
    </row>
    <row r="261" spans="10:41" x14ac:dyDescent="0.3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5"/>
      <c r="X261" s="25"/>
      <c r="Y261" s="25"/>
      <c r="Z261" s="25"/>
      <c r="AA261" s="25"/>
      <c r="AH261" s="5"/>
      <c r="AI261" s="5"/>
      <c r="AO261" s="5"/>
    </row>
    <row r="262" spans="10:41" x14ac:dyDescent="0.3">
      <c r="J262" s="25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5"/>
      <c r="X262" s="25"/>
      <c r="Y262" s="25"/>
      <c r="Z262" s="25"/>
      <c r="AA262" s="25"/>
      <c r="AH262" s="5"/>
      <c r="AI262" s="5"/>
      <c r="AO262" s="5"/>
    </row>
    <row r="263" spans="10:41" x14ac:dyDescent="0.3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5"/>
      <c r="X263" s="25"/>
      <c r="Y263" s="25"/>
      <c r="Z263" s="25"/>
      <c r="AA263" s="25"/>
      <c r="AH263" s="5"/>
      <c r="AI263" s="5"/>
      <c r="AO263" s="5"/>
    </row>
    <row r="264" spans="10:41" x14ac:dyDescent="0.3">
      <c r="J264" s="25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5"/>
      <c r="X264" s="25"/>
      <c r="Y264" s="25"/>
      <c r="Z264" s="25"/>
      <c r="AA264" s="25"/>
      <c r="AH264" s="5"/>
      <c r="AI264" s="5"/>
      <c r="AO264" s="5"/>
    </row>
    <row r="265" spans="10:41" x14ac:dyDescent="0.3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5"/>
      <c r="X265" s="25"/>
      <c r="Y265" s="25"/>
      <c r="Z265" s="25"/>
      <c r="AA265" s="25"/>
      <c r="AH265" s="5"/>
      <c r="AI265" s="5"/>
      <c r="AO265" s="5"/>
    </row>
    <row r="266" spans="10:41" x14ac:dyDescent="0.3">
      <c r="J266" s="25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5"/>
      <c r="X266" s="25"/>
      <c r="Y266" s="25"/>
      <c r="Z266" s="25"/>
      <c r="AA266" s="25"/>
      <c r="AH266" s="5"/>
      <c r="AI266" s="5"/>
      <c r="AO266" s="5"/>
    </row>
    <row r="267" spans="10:41" x14ac:dyDescent="0.3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5"/>
      <c r="X267" s="25"/>
      <c r="Y267" s="25"/>
      <c r="Z267" s="25"/>
      <c r="AA267" s="25"/>
      <c r="AH267" s="5"/>
      <c r="AI267" s="5"/>
      <c r="AO267" s="5"/>
    </row>
    <row r="268" spans="10:41" x14ac:dyDescent="0.3">
      <c r="J268" s="25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5"/>
      <c r="X268" s="25"/>
      <c r="Y268" s="25"/>
      <c r="Z268" s="25"/>
      <c r="AA268" s="25"/>
      <c r="AH268" s="5"/>
      <c r="AI268" s="5"/>
      <c r="AO268" s="5"/>
    </row>
    <row r="269" spans="10:41" x14ac:dyDescent="0.3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5"/>
      <c r="X269" s="25"/>
      <c r="Y269" s="25"/>
      <c r="Z269" s="25"/>
      <c r="AA269" s="25"/>
      <c r="AH269" s="5"/>
      <c r="AI269" s="5"/>
      <c r="AO269" s="5"/>
    </row>
    <row r="270" spans="10:41" x14ac:dyDescent="0.3">
      <c r="J270" s="25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5"/>
      <c r="X270" s="25"/>
      <c r="Y270" s="25"/>
      <c r="Z270" s="25"/>
      <c r="AA270" s="25"/>
      <c r="AH270" s="5"/>
      <c r="AI270" s="5"/>
      <c r="AO270" s="5"/>
    </row>
    <row r="271" spans="10:41" x14ac:dyDescent="0.3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5"/>
      <c r="X271" s="25"/>
      <c r="Y271" s="25"/>
      <c r="Z271" s="25"/>
      <c r="AA271" s="25"/>
      <c r="AH271" s="5"/>
      <c r="AI271" s="5"/>
      <c r="AO271" s="5"/>
    </row>
    <row r="272" spans="10:41" x14ac:dyDescent="0.3">
      <c r="J272" s="25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5"/>
      <c r="X272" s="25"/>
      <c r="Y272" s="25"/>
      <c r="Z272" s="25"/>
      <c r="AA272" s="25"/>
      <c r="AH272" s="5"/>
      <c r="AI272" s="5"/>
      <c r="AO272" s="5"/>
    </row>
    <row r="273" spans="10:41" x14ac:dyDescent="0.3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5"/>
      <c r="X273" s="25"/>
      <c r="Y273" s="25"/>
      <c r="Z273" s="25"/>
      <c r="AA273" s="25"/>
      <c r="AH273" s="5"/>
      <c r="AI273" s="5"/>
      <c r="AO273" s="5"/>
    </row>
    <row r="274" spans="10:41" x14ac:dyDescent="0.3">
      <c r="J274" s="25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5"/>
      <c r="X274" s="25"/>
      <c r="Y274" s="25"/>
      <c r="Z274" s="25"/>
      <c r="AA274" s="25"/>
      <c r="AH274" s="5"/>
      <c r="AI274" s="5"/>
      <c r="AO274" s="5"/>
    </row>
    <row r="275" spans="10:41" x14ac:dyDescent="0.3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5"/>
      <c r="X275" s="25"/>
      <c r="Y275" s="25"/>
      <c r="Z275" s="25"/>
      <c r="AA275" s="25"/>
      <c r="AH275" s="5"/>
      <c r="AI275" s="5"/>
      <c r="AO275" s="5"/>
    </row>
    <row r="276" spans="10:41" x14ac:dyDescent="0.3">
      <c r="J276" s="25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5"/>
      <c r="X276" s="25"/>
      <c r="Y276" s="25"/>
      <c r="Z276" s="25"/>
      <c r="AA276" s="25"/>
      <c r="AH276" s="5"/>
      <c r="AI276" s="5"/>
      <c r="AO276" s="5"/>
    </row>
    <row r="277" spans="10:41" x14ac:dyDescent="0.3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5"/>
      <c r="X277" s="25"/>
      <c r="Y277" s="25"/>
      <c r="Z277" s="25"/>
      <c r="AA277" s="25"/>
      <c r="AH277" s="5"/>
      <c r="AI277" s="5"/>
      <c r="AO277" s="5"/>
    </row>
    <row r="278" spans="10:41" x14ac:dyDescent="0.3">
      <c r="J278" s="25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5"/>
      <c r="X278" s="25"/>
      <c r="Y278" s="25"/>
      <c r="Z278" s="25"/>
      <c r="AA278" s="25"/>
      <c r="AH278" s="5"/>
      <c r="AI278" s="5"/>
      <c r="AO278" s="5"/>
    </row>
    <row r="279" spans="10:41" x14ac:dyDescent="0.3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5"/>
      <c r="X279" s="25"/>
      <c r="Y279" s="25"/>
      <c r="Z279" s="25"/>
      <c r="AA279" s="25"/>
      <c r="AH279" s="5"/>
      <c r="AI279" s="5"/>
      <c r="AO279" s="5"/>
    </row>
    <row r="280" spans="10:41" x14ac:dyDescent="0.3">
      <c r="J280" s="25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5"/>
      <c r="X280" s="25"/>
      <c r="Y280" s="25"/>
      <c r="Z280" s="25"/>
      <c r="AA280" s="25"/>
      <c r="AH280" s="5"/>
      <c r="AI280" s="5"/>
      <c r="AO280" s="5"/>
    </row>
    <row r="281" spans="10:41" x14ac:dyDescent="0.3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5"/>
      <c r="X281" s="25"/>
      <c r="Y281" s="25"/>
      <c r="Z281" s="25"/>
      <c r="AA281" s="25"/>
      <c r="AH281" s="5"/>
      <c r="AI281" s="5"/>
      <c r="AO281" s="5"/>
    </row>
    <row r="282" spans="10:41" x14ac:dyDescent="0.3">
      <c r="J282" s="25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5"/>
      <c r="X282" s="25"/>
      <c r="Y282" s="25"/>
      <c r="Z282" s="25"/>
      <c r="AA282" s="25"/>
      <c r="AH282" s="5"/>
      <c r="AI282" s="5"/>
      <c r="AO282" s="5"/>
    </row>
    <row r="283" spans="10:41" x14ac:dyDescent="0.3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5"/>
      <c r="X283" s="25"/>
      <c r="Y283" s="25"/>
      <c r="Z283" s="25"/>
      <c r="AA283" s="25"/>
      <c r="AH283" s="5"/>
      <c r="AI283" s="5"/>
      <c r="AO283" s="5"/>
    </row>
    <row r="284" spans="10:41" x14ac:dyDescent="0.3">
      <c r="J284" s="25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5"/>
      <c r="X284" s="25"/>
      <c r="Y284" s="25"/>
      <c r="Z284" s="25"/>
      <c r="AA284" s="25"/>
      <c r="AH284" s="5"/>
      <c r="AI284" s="5"/>
      <c r="AO284" s="5"/>
    </row>
    <row r="285" spans="10:41" x14ac:dyDescent="0.3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5"/>
      <c r="X285" s="25"/>
      <c r="Y285" s="25"/>
      <c r="Z285" s="25"/>
      <c r="AA285" s="25"/>
      <c r="AH285" s="5"/>
      <c r="AI285" s="5"/>
      <c r="AO285" s="5"/>
    </row>
    <row r="286" spans="10:41" x14ac:dyDescent="0.3">
      <c r="J286" s="25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5"/>
      <c r="X286" s="25"/>
      <c r="Y286" s="25"/>
      <c r="Z286" s="25"/>
      <c r="AA286" s="25"/>
      <c r="AH286" s="5"/>
      <c r="AI286" s="5"/>
      <c r="AO286" s="5"/>
    </row>
    <row r="287" spans="10:41" x14ac:dyDescent="0.3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5"/>
      <c r="X287" s="25"/>
      <c r="Y287" s="25"/>
      <c r="Z287" s="25"/>
      <c r="AA287" s="25"/>
      <c r="AH287" s="5"/>
      <c r="AI287" s="5"/>
      <c r="AO287" s="5"/>
    </row>
    <row r="288" spans="10:41" x14ac:dyDescent="0.3">
      <c r="J288" s="25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5"/>
      <c r="X288" s="25"/>
      <c r="Y288" s="25"/>
      <c r="Z288" s="25"/>
      <c r="AA288" s="25"/>
      <c r="AH288" s="5"/>
      <c r="AI288" s="5"/>
      <c r="AO288" s="5"/>
    </row>
    <row r="289" spans="10:41" x14ac:dyDescent="0.3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5"/>
      <c r="X289" s="25"/>
      <c r="Y289" s="25"/>
      <c r="Z289" s="25"/>
      <c r="AA289" s="25"/>
      <c r="AH289" s="5"/>
      <c r="AI289" s="5"/>
      <c r="AO289" s="5"/>
    </row>
    <row r="290" spans="10:41" x14ac:dyDescent="0.3">
      <c r="J290" s="25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5"/>
      <c r="X290" s="25"/>
      <c r="Y290" s="25"/>
      <c r="Z290" s="25"/>
      <c r="AA290" s="25"/>
      <c r="AH290" s="5"/>
      <c r="AI290" s="5"/>
      <c r="AO290" s="5"/>
    </row>
    <row r="291" spans="10:41" x14ac:dyDescent="0.3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5"/>
      <c r="X291" s="25"/>
      <c r="Y291" s="25"/>
      <c r="Z291" s="25"/>
      <c r="AA291" s="25"/>
      <c r="AH291" s="5"/>
      <c r="AI291" s="5"/>
      <c r="AO291" s="5"/>
    </row>
    <row r="292" spans="10:41" x14ac:dyDescent="0.3">
      <c r="J292" s="25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5"/>
      <c r="X292" s="25"/>
      <c r="Y292" s="25"/>
      <c r="Z292" s="25"/>
      <c r="AA292" s="25"/>
      <c r="AH292" s="5"/>
      <c r="AI292" s="5"/>
      <c r="AO292" s="5"/>
    </row>
    <row r="293" spans="10:41" x14ac:dyDescent="0.3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5"/>
      <c r="X293" s="25"/>
      <c r="Y293" s="25"/>
      <c r="Z293" s="25"/>
      <c r="AA293" s="25"/>
      <c r="AH293" s="5"/>
      <c r="AI293" s="5"/>
      <c r="AO293" s="5"/>
    </row>
    <row r="294" spans="10:41" x14ac:dyDescent="0.3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5"/>
      <c r="X294" s="25"/>
      <c r="Y294" s="25"/>
      <c r="Z294" s="25"/>
      <c r="AA294" s="25"/>
      <c r="AH294" s="5"/>
      <c r="AI294" s="5"/>
      <c r="AO294" s="5"/>
    </row>
    <row r="295" spans="10:41" x14ac:dyDescent="0.3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5"/>
      <c r="X295" s="25"/>
      <c r="Y295" s="25"/>
      <c r="Z295" s="25"/>
      <c r="AA295" s="25"/>
      <c r="AH295" s="5"/>
      <c r="AI295" s="5"/>
      <c r="AO295" s="5"/>
    </row>
    <row r="296" spans="10:41" x14ac:dyDescent="0.3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5"/>
      <c r="X296" s="25"/>
      <c r="Y296" s="25"/>
      <c r="Z296" s="25"/>
      <c r="AA296" s="25"/>
      <c r="AH296" s="5"/>
      <c r="AI296" s="5"/>
      <c r="AO296" s="5"/>
    </row>
    <row r="297" spans="10:41" x14ac:dyDescent="0.3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5"/>
      <c r="X297" s="25"/>
      <c r="Y297" s="25"/>
      <c r="Z297" s="25"/>
      <c r="AA297" s="25"/>
      <c r="AH297" s="5"/>
      <c r="AI297" s="5"/>
      <c r="AO297" s="5"/>
    </row>
    <row r="298" spans="10:41" x14ac:dyDescent="0.3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5"/>
      <c r="X298" s="25"/>
      <c r="Y298" s="25"/>
      <c r="Z298" s="25"/>
      <c r="AA298" s="25"/>
      <c r="AH298" s="5"/>
      <c r="AI298" s="5"/>
      <c r="AO298" s="5"/>
    </row>
    <row r="299" spans="10:41" x14ac:dyDescent="0.3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5"/>
      <c r="X299" s="25"/>
      <c r="Y299" s="25"/>
      <c r="Z299" s="25"/>
      <c r="AA299" s="25"/>
      <c r="AH299" s="5"/>
      <c r="AI299" s="5"/>
      <c r="AO299" s="5"/>
    </row>
    <row r="300" spans="10:41" x14ac:dyDescent="0.3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5"/>
      <c r="X300" s="25"/>
      <c r="Y300" s="25"/>
      <c r="Z300" s="25"/>
      <c r="AA300" s="25"/>
      <c r="AH300" s="5"/>
      <c r="AI300" s="5"/>
      <c r="AO300" s="5"/>
    </row>
    <row r="301" spans="10:41" x14ac:dyDescent="0.3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5"/>
      <c r="X301" s="25"/>
      <c r="Y301" s="25"/>
      <c r="Z301" s="25"/>
      <c r="AA301" s="25"/>
      <c r="AH301" s="5"/>
      <c r="AI301" s="5"/>
      <c r="AO301" s="5"/>
    </row>
    <row r="302" spans="10:41" x14ac:dyDescent="0.3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5"/>
      <c r="X302" s="25"/>
      <c r="Y302" s="25"/>
      <c r="Z302" s="25"/>
      <c r="AA302" s="25"/>
      <c r="AH302" s="5"/>
      <c r="AI302" s="5"/>
      <c r="AO302" s="5"/>
    </row>
    <row r="303" spans="10:41" x14ac:dyDescent="0.3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5"/>
      <c r="X303" s="25"/>
      <c r="Y303" s="25"/>
      <c r="Z303" s="25"/>
      <c r="AA303" s="25"/>
      <c r="AH303" s="5"/>
      <c r="AI303" s="5"/>
      <c r="AO303" s="5"/>
    </row>
    <row r="304" spans="10:41" x14ac:dyDescent="0.3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5"/>
      <c r="X304" s="25"/>
      <c r="Y304" s="25"/>
      <c r="Z304" s="25"/>
      <c r="AA304" s="25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K1:O1048576">
    <cfRule type="cellIs" dxfId="153" priority="30" operator="equal">
      <formula>"C1"</formula>
    </cfRule>
    <cfRule type="cellIs" dxfId="152" priority="31" operator="between">
      <formula>"G1"</formula>
      <formula>"G5"</formula>
    </cfRule>
    <cfRule type="cellIs" dxfId="151" priority="33" operator="between">
      <formula>"M1"</formula>
      <formula>"M5"</formula>
    </cfRule>
  </conditionalFormatting>
  <conditionalFormatting sqref="W5:AA304 X4:AA4">
    <cfRule type="expression" dxfId="150" priority="34">
      <formula>_xlfn.LET(_xlpm.x, W4, AND(NOT(_xlfn.ISFORMULA(_xlpm.x)), _xlpm.x&lt;&gt;""))</formula>
    </cfRule>
  </conditionalFormatting>
  <conditionalFormatting sqref="W5:AA203 X4:AA4">
    <cfRule type="expression" dxfId="149" priority="29">
      <formula>_xlfn.LET(_xlpm.x, W4, AND(NOT(_xlfn.ISFORMULA(_xlpm.x)), _xlpm.x&lt;&gt;""))</formula>
    </cfRule>
  </conditionalFormatting>
  <conditionalFormatting sqref="C28:G28 D27:G27 C31:G46 C29:C30 G29:G30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{1232790A-EE9C-4471-B48B-F95D427BCD44}</x14:id>
        </ext>
      </extLst>
    </cfRule>
  </conditionalFormatting>
  <conditionalFormatting sqref="D52:D54">
    <cfRule type="cellIs" dxfId="148" priority="12" operator="equal">
      <formula>"C1"</formula>
    </cfRule>
    <cfRule type="cellIs" dxfId="147" priority="13" operator="between">
      <formula>"G1"</formula>
      <formula>"G4"</formula>
    </cfRule>
    <cfRule type="cellIs" dxfId="146" priority="14" operator="between">
      <formula>"GA"</formula>
      <formula>"GQ"</formula>
    </cfRule>
    <cfRule type="cellIs" dxfId="145" priority="15" operator="between">
      <formula>"M1"</formula>
      <formula>"M4"</formula>
    </cfRule>
  </conditionalFormatting>
  <conditionalFormatting sqref="E52:E54">
    <cfRule type="cellIs" dxfId="144" priority="8" operator="equal">
      <formula>"C1"</formula>
    </cfRule>
    <cfRule type="cellIs" dxfId="143" priority="9" operator="between">
      <formula>"G1"</formula>
      <formula>"G4"</formula>
    </cfRule>
    <cfRule type="cellIs" dxfId="142" priority="10" operator="between">
      <formula>"GA"</formula>
      <formula>"GQ"</formula>
    </cfRule>
    <cfRule type="cellIs" dxfId="141" priority="11" operator="between">
      <formula>"M1"</formula>
      <formula>"M4"</formula>
    </cfRule>
  </conditionalFormatting>
  <conditionalFormatting sqref="F52:F54">
    <cfRule type="cellIs" dxfId="140" priority="4" operator="equal">
      <formula>"C1"</formula>
    </cfRule>
    <cfRule type="cellIs" dxfId="139" priority="5" operator="between">
      <formula>"G1"</formula>
      <formula>"G4"</formula>
    </cfRule>
    <cfRule type="cellIs" dxfId="138" priority="6" operator="between">
      <formula>"GA"</formula>
      <formula>"GQ"</formula>
    </cfRule>
    <cfRule type="cellIs" dxfId="137" priority="7" operator="between">
      <formula>"M1"</formula>
      <formula>"M4"</formula>
    </cfRule>
  </conditionalFormatting>
  <conditionalFormatting sqref="D29:F30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{32F7C5C6-3616-47BD-9ABC-1E57940737ED}</x14:id>
        </ext>
      </extLst>
    </cfRule>
  </conditionalFormatting>
  <conditionalFormatting sqref="W5:AA203 X4:AA4">
    <cfRule type="expression" dxfId="136" priority="2">
      <formula>_xlfn.LET(_xlpm.x, W4, AND(NOT(_xlfn.ISFORMULA(_xlpm.x)), _xlpm.x&lt;&gt;""))</formula>
    </cfRule>
  </conditionalFormatting>
  <conditionalFormatting sqref="W4:AA203">
    <cfRule type="expression" dxfId="135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32790A-EE9C-4471-B48B-F95D427BCD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32F7C5C6-3616-47BD-9ABC-1E57940737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32" operator="containsText" id="{30FE77EC-34D1-4BBD-A182-45F06F644CA4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32DB-2C91-4589-95B6-2AA15B8101CE}">
  <sheetPr codeName="工作表7">
    <tabColor theme="3" tint="0.59999389629810485"/>
  </sheetPr>
  <dimension ref="A1:AO305"/>
  <sheetViews>
    <sheetView topLeftCell="A180" workbookViewId="0">
      <selection activeCell="Q4" sqref="Q4"/>
    </sheetView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I1" s="5"/>
    </row>
    <row r="2" spans="1:41" ht="15.9" customHeight="1" x14ac:dyDescent="0.3">
      <c r="I2" s="15"/>
      <c r="J2" s="27" t="s">
        <v>133</v>
      </c>
      <c r="Q2" s="27" t="s">
        <v>134</v>
      </c>
      <c r="W2" s="27" t="s">
        <v>135</v>
      </c>
      <c r="AC2" s="27" t="s">
        <v>147</v>
      </c>
      <c r="AH2" s="5"/>
      <c r="AI2" s="5"/>
      <c r="AJ2" s="27" t="s">
        <v>111</v>
      </c>
      <c r="AO2" s="5"/>
    </row>
    <row r="3" spans="1:41" ht="15.9" customHeight="1" x14ac:dyDescent="0.3">
      <c r="A3" s="20" t="s">
        <v>5</v>
      </c>
      <c r="B3" s="20" t="s">
        <v>12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20" t="s">
        <v>11</v>
      </c>
      <c r="I3" s="15"/>
      <c r="J3" s="20"/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Q3" s="20" t="s">
        <v>13</v>
      </c>
      <c r="R3" s="20" t="s">
        <v>14</v>
      </c>
      <c r="S3" s="20" t="s">
        <v>15</v>
      </c>
      <c r="T3" s="20" t="s">
        <v>16</v>
      </c>
      <c r="U3" s="20" t="s">
        <v>17</v>
      </c>
      <c r="W3" s="20" t="s">
        <v>6</v>
      </c>
      <c r="X3" s="20" t="s">
        <v>14</v>
      </c>
      <c r="Y3" s="20" t="s">
        <v>15</v>
      </c>
      <c r="Z3" s="20" t="s">
        <v>16</v>
      </c>
      <c r="AA3" s="20" t="s">
        <v>17</v>
      </c>
      <c r="AO3" s="5"/>
    </row>
    <row r="4" spans="1:41" ht="15.9" customHeight="1" x14ac:dyDescent="0.3">
      <c r="A4" s="29" t="str" cm="1">
        <f t="array" ref="A4:B23">Overview!A38:B57</f>
        <v>WW</v>
      </c>
      <c r="B4" s="8" t="str">
        <v>Wild</v>
      </c>
      <c r="C4" s="99">
        <f t="shared" ref="C4:G23" si="0">COUNTIF(K:K, $A4)</f>
        <v>0</v>
      </c>
      <c r="D4" s="99">
        <f t="shared" si="0"/>
        <v>0</v>
      </c>
      <c r="E4" s="99">
        <f t="shared" si="0"/>
        <v>0</v>
      </c>
      <c r="F4" s="99">
        <f t="shared" si="0"/>
        <v>0</v>
      </c>
      <c r="G4" s="99">
        <f t="shared" si="0"/>
        <v>0</v>
      </c>
      <c r="H4" s="8" cm="1">
        <f t="array" ref="H4:H23">Overview!F38:F57</f>
        <v>0</v>
      </c>
      <c r="I4" s="87"/>
      <c r="J4" s="25" cm="1">
        <f t="array" ref="J4:J203">_xlfn.SEQUENCE(MAX(COUNTA(K:K), COUNTA(L:L), COUNTA(M:M), COUNTA(N:N), COUNTA(O:O))-1,,0)</f>
        <v>0</v>
      </c>
      <c r="K4" s="26" t="s">
        <v>35</v>
      </c>
      <c r="L4" s="26" t="s">
        <v>23</v>
      </c>
      <c r="M4" s="26" t="s">
        <v>92</v>
      </c>
      <c r="N4" s="26" t="s">
        <v>36</v>
      </c>
      <c r="O4" s="26" t="s">
        <v>21</v>
      </c>
      <c r="Q4" s="25" cm="1">
        <f t="array" ref="Q4:U304">_xlfn.LET(_xlpm.x, K4:O304, IF(_xlpm.x="", "", _xlfn.XLOOKUP(_xlpm.x, $A$4:$A$23,_xlfn.ANCHORARRAY( H4))))</f>
        <v>8</v>
      </c>
      <c r="R4" s="25">
        <v>7</v>
      </c>
      <c r="S4" s="25">
        <v>16</v>
      </c>
      <c r="T4" s="25">
        <v>10</v>
      </c>
      <c r="U4" s="25">
        <v>2</v>
      </c>
      <c r="W4" s="25" cm="1">
        <f t="array" ref="W4">_xlfn.LET(_xlpm.x, K4:K6, IF(SUM((_xlpm.x="K")*1, (_xlpm.x="A")*1, (_xlpm.x="GK")*1, (_xlpm.x="GA")*1)&gt;0, 3, 1))</f>
        <v>3</v>
      </c>
      <c r="X4" s="25" cm="1">
        <f t="array" ref="X4">_xlfn.LET(_xlpm.x, L4:L6, IF(SUM((_xlpm.x="K")*1, (_xlpm.x="A")*1, (_xlpm.x="GK")*1, (_xlpm.x="GA")*1)&gt;0, 3, 1))</f>
        <v>3</v>
      </c>
      <c r="Y4" s="25" cm="1">
        <f t="array" ref="Y4">_xlfn.LET(_xlpm.x, M4:M6, IF(SUM((_xlpm.x="K")*1, (_xlpm.x="A")*1, (_xlpm.x="GK")*1, (_xlpm.x="GA")*1)&gt;0, 3, 1))</f>
        <v>3</v>
      </c>
      <c r="Z4" s="25">
        <v>1</v>
      </c>
      <c r="AA4" s="25">
        <v>1</v>
      </c>
      <c r="AB4" s="43"/>
      <c r="AC4" s="27" t="s">
        <v>131</v>
      </c>
      <c r="AH4" s="5"/>
      <c r="AI4" s="5"/>
      <c r="AJ4" s="27" t="s">
        <v>131</v>
      </c>
      <c r="AO4" s="5"/>
    </row>
    <row r="5" spans="1:41" ht="15.9" customHeight="1" x14ac:dyDescent="0.3">
      <c r="A5" s="29" t="str">
        <v>C1</v>
      </c>
      <c r="B5" s="8" t="str">
        <v>Scatter</v>
      </c>
      <c r="C5" s="99">
        <f t="shared" si="0"/>
        <v>0</v>
      </c>
      <c r="D5" s="99">
        <f t="shared" si="0"/>
        <v>6</v>
      </c>
      <c r="E5" s="99">
        <f t="shared" si="0"/>
        <v>0</v>
      </c>
      <c r="F5" s="99">
        <f t="shared" si="0"/>
        <v>9</v>
      </c>
      <c r="G5" s="99">
        <f t="shared" si="0"/>
        <v>0</v>
      </c>
      <c r="H5" s="8">
        <v>1</v>
      </c>
      <c r="I5" s="87"/>
      <c r="J5" s="9">
        <v>1</v>
      </c>
      <c r="K5" s="16" t="s">
        <v>37</v>
      </c>
      <c r="L5" s="16" t="s">
        <v>37</v>
      </c>
      <c r="M5" s="16" t="s">
        <v>95</v>
      </c>
      <c r="N5" s="16" t="s">
        <v>21</v>
      </c>
      <c r="O5" s="16" t="s">
        <v>18</v>
      </c>
      <c r="Q5" s="9">
        <v>7</v>
      </c>
      <c r="R5" s="9">
        <v>7</v>
      </c>
      <c r="S5" s="9">
        <v>18</v>
      </c>
      <c r="T5" s="9">
        <v>2</v>
      </c>
      <c r="U5" s="9">
        <v>4</v>
      </c>
      <c r="W5" s="25" cm="1">
        <f t="array" ref="W5">_xlfn.LET(_xlpm.x, K5:K7, IF(SUM((_xlpm.x="K")*1, (_xlpm.x="A")*1, (_xlpm.x="GK")*1, (_xlpm.x="GA")*1)&gt;0, 3, 1))</f>
        <v>3</v>
      </c>
      <c r="X5" s="25" cm="1">
        <f t="array" ref="X5">_xlfn.LET(_xlpm.x, L5:L7, IF(SUM((_xlpm.x="K")*1, (_xlpm.x="A")*1, (_xlpm.x="GK")*1, (_xlpm.x="GA")*1)&gt;0, 3, 1))</f>
        <v>3</v>
      </c>
      <c r="Y5" s="25" cm="1">
        <f t="array" ref="Y5">_xlfn.LET(_xlpm.x, M5:M7, IF(SUM((_xlpm.x="K")*1, (_xlpm.x="A")*1, (_xlpm.x="GK")*1, (_xlpm.x="GA")*1)&gt;0, 3, 1))</f>
        <v>1</v>
      </c>
      <c r="Z5" s="25">
        <v>1</v>
      </c>
      <c r="AA5" s="25">
        <v>1</v>
      </c>
      <c r="AC5" s="135" t="s">
        <v>42</v>
      </c>
      <c r="AD5" s="135" t="s">
        <v>13</v>
      </c>
      <c r="AE5" s="135" t="s">
        <v>14</v>
      </c>
      <c r="AF5" s="135" t="s">
        <v>15</v>
      </c>
      <c r="AG5" s="135" t="s">
        <v>16</v>
      </c>
      <c r="AH5" s="135" t="s">
        <v>17</v>
      </c>
      <c r="AI5" s="5"/>
      <c r="AJ5" s="135" t="s">
        <v>42</v>
      </c>
      <c r="AK5" s="135" t="s">
        <v>13</v>
      </c>
      <c r="AL5" s="135" t="s">
        <v>14</v>
      </c>
      <c r="AM5" s="135" t="s">
        <v>15</v>
      </c>
      <c r="AN5" s="135" t="s">
        <v>16</v>
      </c>
      <c r="AO5" s="135" t="s">
        <v>17</v>
      </c>
    </row>
    <row r="6" spans="1:41" ht="15.9" customHeight="1" x14ac:dyDescent="0.3">
      <c r="A6" s="133" t="str">
        <v>M1</v>
      </c>
      <c r="B6" s="112" t="str">
        <v>M1</v>
      </c>
      <c r="C6" s="133">
        <f t="shared" si="0"/>
        <v>4</v>
      </c>
      <c r="D6" s="133">
        <f t="shared" si="0"/>
        <v>6</v>
      </c>
      <c r="E6" s="133">
        <f t="shared" si="0"/>
        <v>0</v>
      </c>
      <c r="F6" s="133">
        <f t="shared" si="0"/>
        <v>22</v>
      </c>
      <c r="G6" s="133">
        <f t="shared" si="0"/>
        <v>28</v>
      </c>
      <c r="H6" s="112">
        <v>2</v>
      </c>
      <c r="I6" s="87"/>
      <c r="J6" s="25">
        <v>2</v>
      </c>
      <c r="K6" s="16" t="s">
        <v>21</v>
      </c>
      <c r="L6" s="16" t="s">
        <v>92</v>
      </c>
      <c r="M6" s="16" t="s">
        <v>91</v>
      </c>
      <c r="N6" s="16" t="s">
        <v>18</v>
      </c>
      <c r="O6" s="16" t="s">
        <v>22</v>
      </c>
      <c r="Q6" s="9">
        <v>2</v>
      </c>
      <c r="R6" s="9">
        <v>16</v>
      </c>
      <c r="S6" s="9">
        <v>14</v>
      </c>
      <c r="T6" s="9">
        <v>4</v>
      </c>
      <c r="U6" s="9">
        <v>3</v>
      </c>
      <c r="W6" s="25" cm="1">
        <f t="array" ref="W6">_xlfn.LET(_xlpm.x, K6:K8, IF(SUM((_xlpm.x="K")*1, (_xlpm.x="A")*1, (_xlpm.x="GK")*1, (_xlpm.x="GA")*1)&gt;0, 3, 1))</f>
        <v>3</v>
      </c>
      <c r="X6" s="25" cm="1">
        <f t="array" ref="X6">_xlfn.LET(_xlpm.x, L6:L8, IF(SUM((_xlpm.x="K")*1, (_xlpm.x="A")*1, (_xlpm.x="GK")*1, (_xlpm.x="GA")*1)&gt;0, 3, 1))</f>
        <v>3</v>
      </c>
      <c r="Y6" s="25" cm="1">
        <f t="array" ref="Y6">_xlfn.LET(_xlpm.x, M6:M8, IF(SUM((_xlpm.x="K")*1, (_xlpm.x="A")*1, (_xlpm.x="GK")*1, (_xlpm.x="GA")*1)&gt;0, 3, 1))</f>
        <v>1</v>
      </c>
      <c r="Z6" s="25">
        <v>1</v>
      </c>
      <c r="AA6" s="25">
        <v>1</v>
      </c>
      <c r="AC6" s="138" t="str" cm="1">
        <f t="array" ref="AC6:AC25">$A$4:$A$23</f>
        <v>WW</v>
      </c>
      <c r="AD6" s="139">
        <v>0</v>
      </c>
      <c r="AE6" s="139">
        <v>0</v>
      </c>
      <c r="AF6" s="139">
        <v>0</v>
      </c>
      <c r="AG6" s="139">
        <v>0</v>
      </c>
      <c r="AH6" s="139">
        <v>0</v>
      </c>
      <c r="AI6" s="5"/>
      <c r="AJ6" s="138" t="str" cm="1">
        <f t="array" ref="AJ6:AJ25">$A$4:$A$23</f>
        <v>WW</v>
      </c>
      <c r="AK6" s="139">
        <v>0</v>
      </c>
      <c r="AL6" s="139">
        <v>0</v>
      </c>
      <c r="AM6" s="139">
        <v>0</v>
      </c>
      <c r="AN6" s="139">
        <v>0</v>
      </c>
      <c r="AO6" s="139">
        <v>0</v>
      </c>
    </row>
    <row r="7" spans="1:41" ht="15.9" customHeight="1" x14ac:dyDescent="0.3">
      <c r="A7" s="133" t="str">
        <v>M2</v>
      </c>
      <c r="B7" s="112" t="str">
        <v>M2</v>
      </c>
      <c r="C7" s="133">
        <f t="shared" si="0"/>
        <v>4</v>
      </c>
      <c r="D7" s="133">
        <f t="shared" si="0"/>
        <v>6</v>
      </c>
      <c r="E7" s="133">
        <f t="shared" si="0"/>
        <v>0</v>
      </c>
      <c r="F7" s="133">
        <f t="shared" si="0"/>
        <v>22</v>
      </c>
      <c r="G7" s="133">
        <f t="shared" si="0"/>
        <v>27</v>
      </c>
      <c r="H7" s="112">
        <v>3</v>
      </c>
      <c r="I7" s="87"/>
      <c r="J7" s="9">
        <v>3</v>
      </c>
      <c r="K7" s="16" t="s">
        <v>19</v>
      </c>
      <c r="L7" s="16" t="s">
        <v>34</v>
      </c>
      <c r="M7" s="26" t="s">
        <v>126</v>
      </c>
      <c r="N7" s="16" t="s">
        <v>18</v>
      </c>
      <c r="O7" s="16" t="s">
        <v>22</v>
      </c>
      <c r="Q7" s="9">
        <v>5</v>
      </c>
      <c r="R7" s="9">
        <v>9</v>
      </c>
      <c r="S7" s="9">
        <v>15</v>
      </c>
      <c r="T7" s="9">
        <v>4</v>
      </c>
      <c r="U7" s="9">
        <v>3</v>
      </c>
      <c r="W7" s="25" cm="1">
        <f t="array" ref="W7">_xlfn.LET(_xlpm.x, K7:K9, IF(SUM((_xlpm.x="K")*1, (_xlpm.x="A")*1, (_xlpm.x="GK")*1, (_xlpm.x="GA")*1)&gt;0, 3, 1))</f>
        <v>3</v>
      </c>
      <c r="X7" s="25" cm="1">
        <f t="array" ref="X7">_xlfn.LET(_xlpm.x, L7:L9, IF(SUM((_xlpm.x="K")*1, (_xlpm.x="A")*1, (_xlpm.x="GK")*1, (_xlpm.x="GA")*1)&gt;0, 3, 1))</f>
        <v>3</v>
      </c>
      <c r="Y7" s="25" cm="1">
        <f t="array" ref="Y7">_xlfn.LET(_xlpm.x, M7:M9, IF(SUM((_xlpm.x="K")*1, (_xlpm.x="A")*1, (_xlpm.x="GK")*1, (_xlpm.x="GA")*1)&gt;0, 3, 1))</f>
        <v>3</v>
      </c>
      <c r="Z7" s="25">
        <v>1</v>
      </c>
      <c r="AA7" s="25">
        <v>1</v>
      </c>
      <c r="AC7" s="138" t="str">
        <v>C1</v>
      </c>
      <c r="AD7" s="99">
        <v>0</v>
      </c>
      <c r="AE7" s="99">
        <v>6</v>
      </c>
      <c r="AF7" s="99">
        <v>0</v>
      </c>
      <c r="AG7" s="99">
        <v>9</v>
      </c>
      <c r="AH7" s="99">
        <v>0</v>
      </c>
      <c r="AI7" s="5"/>
      <c r="AJ7" s="138" t="str">
        <v>C1</v>
      </c>
      <c r="AK7" s="138">
        <v>0</v>
      </c>
      <c r="AL7" s="138">
        <v>6</v>
      </c>
      <c r="AM7" s="138">
        <v>0</v>
      </c>
      <c r="AN7" s="138">
        <v>9</v>
      </c>
      <c r="AO7" s="138">
        <v>0</v>
      </c>
    </row>
    <row r="8" spans="1:41" ht="15.9" customHeight="1" x14ac:dyDescent="0.3">
      <c r="A8" s="133" t="str">
        <v>M3</v>
      </c>
      <c r="B8" s="112" t="str">
        <v>M3</v>
      </c>
      <c r="C8" s="133">
        <f t="shared" si="0"/>
        <v>4</v>
      </c>
      <c r="D8" s="133">
        <f t="shared" si="0"/>
        <v>6</v>
      </c>
      <c r="E8" s="133">
        <f t="shared" si="0"/>
        <v>0</v>
      </c>
      <c r="F8" s="133">
        <f t="shared" si="0"/>
        <v>22</v>
      </c>
      <c r="G8" s="133">
        <f t="shared" si="0"/>
        <v>27</v>
      </c>
      <c r="H8" s="112">
        <v>4</v>
      </c>
      <c r="I8" s="87"/>
      <c r="J8" s="25">
        <v>4</v>
      </c>
      <c r="K8" s="16" t="s">
        <v>35</v>
      </c>
      <c r="L8" s="16" t="s">
        <v>92</v>
      </c>
      <c r="M8" s="16" t="s">
        <v>91</v>
      </c>
      <c r="N8" s="16" t="s">
        <v>22</v>
      </c>
      <c r="O8" s="16" t="s">
        <v>35</v>
      </c>
      <c r="Q8" s="9">
        <v>8</v>
      </c>
      <c r="R8" s="9">
        <v>16</v>
      </c>
      <c r="S8" s="9">
        <v>14</v>
      </c>
      <c r="T8" s="9">
        <v>3</v>
      </c>
      <c r="U8" s="9">
        <v>8</v>
      </c>
      <c r="W8" s="25" cm="1">
        <f t="array" ref="W8">_xlfn.LET(_xlpm.x, K8:K10, IF(SUM((_xlpm.x="K")*1, (_xlpm.x="A")*1, (_xlpm.x="GK")*1, (_xlpm.x="GA")*1)&gt;0, 3, 1))</f>
        <v>3</v>
      </c>
      <c r="X8" s="25" cm="1">
        <f t="array" ref="X8">_xlfn.LET(_xlpm.x, L8:L10, IF(SUM((_xlpm.x="K")*1, (_xlpm.x="A")*1, (_xlpm.x="GK")*1, (_xlpm.x="GA")*1)&gt;0, 3, 1))</f>
        <v>3</v>
      </c>
      <c r="Y8" s="25" cm="1">
        <f t="array" ref="Y8">_xlfn.LET(_xlpm.x, M8:M10, IF(SUM((_xlpm.x="K")*1, (_xlpm.x="A")*1, (_xlpm.x="GK")*1, (_xlpm.x="GA")*1)&gt;0, 3, 1))</f>
        <v>3</v>
      </c>
      <c r="Z8" s="25">
        <v>1</v>
      </c>
      <c r="AA8" s="25">
        <v>1</v>
      </c>
      <c r="AC8" s="154" t="str">
        <v>M1</v>
      </c>
      <c r="AD8" s="133">
        <v>4</v>
      </c>
      <c r="AE8" s="133">
        <v>11</v>
      </c>
      <c r="AF8" s="133">
        <v>0</v>
      </c>
      <c r="AG8" s="133">
        <v>22</v>
      </c>
      <c r="AH8" s="133">
        <v>28</v>
      </c>
      <c r="AI8" s="5"/>
      <c r="AJ8" s="154" t="str">
        <v>M1</v>
      </c>
      <c r="AK8" s="133">
        <v>4</v>
      </c>
      <c r="AL8" s="133">
        <v>11</v>
      </c>
      <c r="AM8" s="133">
        <v>0</v>
      </c>
      <c r="AN8" s="133">
        <v>22</v>
      </c>
      <c r="AO8" s="133">
        <v>28</v>
      </c>
    </row>
    <row r="9" spans="1:41" ht="15.9" customHeight="1" x14ac:dyDescent="0.3">
      <c r="A9" s="133" t="str">
        <v>M4</v>
      </c>
      <c r="B9" s="112" t="str">
        <v>M4</v>
      </c>
      <c r="C9" s="133">
        <f t="shared" si="0"/>
        <v>43</v>
      </c>
      <c r="D9" s="133">
        <f t="shared" si="0"/>
        <v>19</v>
      </c>
      <c r="E9" s="133">
        <f t="shared" si="0"/>
        <v>0</v>
      </c>
      <c r="F9" s="133">
        <f t="shared" si="0"/>
        <v>12</v>
      </c>
      <c r="G9" s="133">
        <f t="shared" si="0"/>
        <v>16</v>
      </c>
      <c r="H9" s="112">
        <v>5</v>
      </c>
      <c r="I9" s="87"/>
      <c r="J9" s="9">
        <v>5</v>
      </c>
      <c r="K9" s="16" t="s">
        <v>125</v>
      </c>
      <c r="L9" s="16" t="s">
        <v>18</v>
      </c>
      <c r="M9" s="16" t="s">
        <v>112</v>
      </c>
      <c r="N9" s="16" t="s">
        <v>22</v>
      </c>
      <c r="O9" s="16" t="s">
        <v>22</v>
      </c>
      <c r="Q9" s="9">
        <v>6</v>
      </c>
      <c r="R9" s="9">
        <v>4</v>
      </c>
      <c r="S9" s="9">
        <v>17</v>
      </c>
      <c r="T9" s="9">
        <v>3</v>
      </c>
      <c r="U9" s="9">
        <v>3</v>
      </c>
      <c r="W9" s="25" cm="1">
        <f t="array" ref="W9">_xlfn.LET(_xlpm.x, K9:K11, IF(SUM((_xlpm.x="K")*1, (_xlpm.x="A")*1, (_xlpm.x="GK")*1, (_xlpm.x="GA")*1)&gt;0, 3, 1))</f>
        <v>3</v>
      </c>
      <c r="X9" s="25" cm="1">
        <f t="array" ref="X9">_xlfn.LET(_xlpm.x, L9:L11, IF(SUM((_xlpm.x="K")*1, (_xlpm.x="A")*1, (_xlpm.x="GK")*1, (_xlpm.x="GA")*1)&gt;0, 3, 1))</f>
        <v>1</v>
      </c>
      <c r="Y9" s="25" cm="1">
        <f t="array" ref="Y9">_xlfn.LET(_xlpm.x, M9:M11, IF(SUM((_xlpm.x="K")*1, (_xlpm.x="A")*1, (_xlpm.x="GK")*1, (_xlpm.x="GA")*1)&gt;0, 3, 1))</f>
        <v>3</v>
      </c>
      <c r="Z9" s="25">
        <v>1</v>
      </c>
      <c r="AA9" s="25">
        <v>1</v>
      </c>
      <c r="AC9" s="154" t="str">
        <v>M2</v>
      </c>
      <c r="AD9" s="133">
        <v>4</v>
      </c>
      <c r="AE9" s="133">
        <v>11</v>
      </c>
      <c r="AF9" s="133">
        <v>0</v>
      </c>
      <c r="AG9" s="133">
        <v>22</v>
      </c>
      <c r="AH9" s="133">
        <v>27</v>
      </c>
      <c r="AI9" s="5"/>
      <c r="AJ9" s="154" t="str">
        <v>M2</v>
      </c>
      <c r="AK9" s="133">
        <v>4</v>
      </c>
      <c r="AL9" s="133">
        <v>11</v>
      </c>
      <c r="AM9" s="133">
        <v>0</v>
      </c>
      <c r="AN9" s="133">
        <v>22</v>
      </c>
      <c r="AO9" s="133">
        <v>27</v>
      </c>
    </row>
    <row r="10" spans="1:41" ht="15.9" customHeight="1" x14ac:dyDescent="0.3">
      <c r="A10" s="133" t="str">
        <v>M5</v>
      </c>
      <c r="B10" s="112" t="str">
        <v>M5</v>
      </c>
      <c r="C10" s="133">
        <f t="shared" si="0"/>
        <v>43</v>
      </c>
      <c r="D10" s="133">
        <f t="shared" si="0"/>
        <v>19</v>
      </c>
      <c r="E10" s="133">
        <f t="shared" si="0"/>
        <v>0</v>
      </c>
      <c r="F10" s="133">
        <f t="shared" si="0"/>
        <v>12</v>
      </c>
      <c r="G10" s="133">
        <f t="shared" si="0"/>
        <v>16</v>
      </c>
      <c r="H10" s="112">
        <v>6</v>
      </c>
      <c r="I10" s="87"/>
      <c r="J10" s="25">
        <v>6</v>
      </c>
      <c r="K10" s="16" t="s">
        <v>35</v>
      </c>
      <c r="L10" s="16" t="s">
        <v>19</v>
      </c>
      <c r="M10" s="16" t="s">
        <v>92</v>
      </c>
      <c r="N10" s="16" t="s">
        <v>36</v>
      </c>
      <c r="O10" s="16" t="s">
        <v>37</v>
      </c>
      <c r="Q10" s="9">
        <v>8</v>
      </c>
      <c r="R10" s="9">
        <v>5</v>
      </c>
      <c r="S10" s="9">
        <v>16</v>
      </c>
      <c r="T10" s="9">
        <v>10</v>
      </c>
      <c r="U10" s="9">
        <v>7</v>
      </c>
      <c r="W10" s="25" cm="1">
        <f t="array" ref="W10">_xlfn.LET(_xlpm.x, K10:K12, IF(SUM((_xlpm.x="K")*1, (_xlpm.x="A")*1, (_xlpm.x="GK")*1, (_xlpm.x="GA")*1)&gt;0, 3, 1))</f>
        <v>3</v>
      </c>
      <c r="X10" s="25" cm="1">
        <f t="array" ref="X10">_xlfn.LET(_xlpm.x, L10:L12, IF(SUM((_xlpm.x="K")*1, (_xlpm.x="A")*1, (_xlpm.x="GK")*1, (_xlpm.x="GA")*1)&gt;0, 3, 1))</f>
        <v>3</v>
      </c>
      <c r="Y10" s="25" cm="1">
        <f t="array" ref="Y10">_xlfn.LET(_xlpm.x, M10:M12, IF(SUM((_xlpm.x="K")*1, (_xlpm.x="A")*1, (_xlpm.x="GK")*1, (_xlpm.x="GA")*1)&gt;0, 3, 1))</f>
        <v>3</v>
      </c>
      <c r="Z10" s="25">
        <v>1</v>
      </c>
      <c r="AA10" s="25">
        <v>1</v>
      </c>
      <c r="AC10" s="154" t="str">
        <v>M3</v>
      </c>
      <c r="AD10" s="133">
        <v>4</v>
      </c>
      <c r="AE10" s="133">
        <v>11</v>
      </c>
      <c r="AF10" s="133">
        <v>0</v>
      </c>
      <c r="AG10" s="133">
        <v>22</v>
      </c>
      <c r="AH10" s="133">
        <v>27</v>
      </c>
      <c r="AI10" s="5"/>
      <c r="AJ10" s="154" t="str">
        <v>M3</v>
      </c>
      <c r="AK10" s="133">
        <v>4</v>
      </c>
      <c r="AL10" s="133">
        <v>11</v>
      </c>
      <c r="AM10" s="133">
        <v>0</v>
      </c>
      <c r="AN10" s="133">
        <v>22</v>
      </c>
      <c r="AO10" s="133">
        <v>27</v>
      </c>
    </row>
    <row r="11" spans="1:41" ht="15.9" customHeight="1" x14ac:dyDescent="0.3">
      <c r="A11" s="133" t="str">
        <v>A</v>
      </c>
      <c r="B11" s="112" t="str">
        <v>A</v>
      </c>
      <c r="C11" s="133">
        <f t="shared" si="0"/>
        <v>47</v>
      </c>
      <c r="D11" s="133">
        <f t="shared" si="0"/>
        <v>22</v>
      </c>
      <c r="E11" s="133">
        <f t="shared" si="0"/>
        <v>0</v>
      </c>
      <c r="F11" s="133">
        <f t="shared" si="0"/>
        <v>12</v>
      </c>
      <c r="G11" s="133">
        <f t="shared" si="0"/>
        <v>16</v>
      </c>
      <c r="H11" s="112">
        <v>7</v>
      </c>
      <c r="I11" s="87"/>
      <c r="J11" s="9">
        <v>7</v>
      </c>
      <c r="K11" s="16" t="s">
        <v>125</v>
      </c>
      <c r="L11" s="16" t="s">
        <v>90</v>
      </c>
      <c r="M11" s="16" t="s">
        <v>126</v>
      </c>
      <c r="N11" s="16" t="s">
        <v>36</v>
      </c>
      <c r="O11" s="16" t="s">
        <v>125</v>
      </c>
      <c r="Q11" s="9">
        <v>6</v>
      </c>
      <c r="R11" s="9">
        <v>13</v>
      </c>
      <c r="S11" s="9">
        <v>15</v>
      </c>
      <c r="T11" s="9">
        <v>10</v>
      </c>
      <c r="U11" s="9">
        <v>6</v>
      </c>
      <c r="W11" s="25" cm="1">
        <f t="array" ref="W11">_xlfn.LET(_xlpm.x, K11:K13, IF(SUM((_xlpm.x="K")*1, (_xlpm.x="A")*1, (_xlpm.x="GK")*1, (_xlpm.x="GA")*1)&gt;0, 3, 1))</f>
        <v>3</v>
      </c>
      <c r="X11" s="25" cm="1">
        <f t="array" ref="X11">_xlfn.LET(_xlpm.x, L11:L13, IF(SUM((_xlpm.x="K")*1, (_xlpm.x="A")*1, (_xlpm.x="GK")*1, (_xlpm.x="GA")*1)&gt;0, 3, 1))</f>
        <v>3</v>
      </c>
      <c r="Y11" s="25" cm="1">
        <f t="array" ref="Y11">_xlfn.LET(_xlpm.x, M11:M13, IF(SUM((_xlpm.x="K")*1, (_xlpm.x="A")*1, (_xlpm.x="GK")*1, (_xlpm.x="GA")*1)&gt;0, 3, 1))</f>
        <v>3</v>
      </c>
      <c r="Z11" s="25">
        <v>1</v>
      </c>
      <c r="AA11" s="25">
        <v>1</v>
      </c>
      <c r="AC11" s="154" t="str">
        <v>M4</v>
      </c>
      <c r="AD11" s="133">
        <v>43</v>
      </c>
      <c r="AE11" s="133">
        <v>19</v>
      </c>
      <c r="AF11" s="133">
        <v>0</v>
      </c>
      <c r="AG11" s="133">
        <v>12</v>
      </c>
      <c r="AH11" s="133">
        <v>16</v>
      </c>
      <c r="AI11" s="5"/>
      <c r="AJ11" s="154" t="str">
        <v>M4</v>
      </c>
      <c r="AK11" s="133">
        <v>43</v>
      </c>
      <c r="AL11" s="133">
        <v>19</v>
      </c>
      <c r="AM11" s="133">
        <v>0</v>
      </c>
      <c r="AN11" s="133">
        <v>12</v>
      </c>
      <c r="AO11" s="133">
        <v>16</v>
      </c>
    </row>
    <row r="12" spans="1:41" ht="15.9" customHeight="1" x14ac:dyDescent="0.3">
      <c r="A12" s="133" t="str">
        <v>K</v>
      </c>
      <c r="B12" s="112" t="str">
        <v>K</v>
      </c>
      <c r="C12" s="133">
        <f t="shared" si="0"/>
        <v>47</v>
      </c>
      <c r="D12" s="133">
        <f t="shared" si="0"/>
        <v>24</v>
      </c>
      <c r="E12" s="133">
        <f t="shared" si="0"/>
        <v>0</v>
      </c>
      <c r="F12" s="133">
        <f t="shared" si="0"/>
        <v>12</v>
      </c>
      <c r="G12" s="133">
        <f t="shared" si="0"/>
        <v>16</v>
      </c>
      <c r="H12" s="112">
        <v>8</v>
      </c>
      <c r="I12" s="87"/>
      <c r="J12" s="25">
        <v>8</v>
      </c>
      <c r="K12" s="16" t="s">
        <v>19</v>
      </c>
      <c r="L12" s="16" t="s">
        <v>37</v>
      </c>
      <c r="M12" s="16" t="s">
        <v>112</v>
      </c>
      <c r="N12" s="16" t="s">
        <v>125</v>
      </c>
      <c r="O12" s="16" t="s">
        <v>125</v>
      </c>
      <c r="Q12" s="9">
        <v>5</v>
      </c>
      <c r="R12" s="9">
        <v>7</v>
      </c>
      <c r="S12" s="9">
        <v>17</v>
      </c>
      <c r="T12" s="9">
        <v>6</v>
      </c>
      <c r="U12" s="9">
        <v>6</v>
      </c>
      <c r="W12" s="25" cm="1">
        <f t="array" ref="W12">_xlfn.LET(_xlpm.x, K12:K14, IF(SUM((_xlpm.x="K")*1, (_xlpm.x="A")*1, (_xlpm.x="GK")*1, (_xlpm.x="GA")*1)&gt;0, 3, 1))</f>
        <v>3</v>
      </c>
      <c r="X12" s="25" cm="1">
        <f t="array" ref="X12">_xlfn.LET(_xlpm.x, L12:L14, IF(SUM((_xlpm.x="K")*1, (_xlpm.x="A")*1, (_xlpm.x="GK")*1, (_xlpm.x="GA")*1)&gt;0, 3, 1))</f>
        <v>3</v>
      </c>
      <c r="Y12" s="25" cm="1">
        <f t="array" ref="Y12">_xlfn.LET(_xlpm.x, M12:M14, IF(SUM((_xlpm.x="K")*1, (_xlpm.x="A")*1, (_xlpm.x="GK")*1, (_xlpm.x="GA")*1)&gt;0, 3, 1))</f>
        <v>3</v>
      </c>
      <c r="Z12" s="25">
        <v>1</v>
      </c>
      <c r="AA12" s="25">
        <v>1</v>
      </c>
      <c r="AC12" s="154" t="str">
        <v>M5</v>
      </c>
      <c r="AD12" s="133">
        <v>43</v>
      </c>
      <c r="AE12" s="133">
        <v>20</v>
      </c>
      <c r="AF12" s="133">
        <v>0</v>
      </c>
      <c r="AG12" s="133">
        <v>12</v>
      </c>
      <c r="AH12" s="133">
        <v>16</v>
      </c>
      <c r="AI12" s="5"/>
      <c r="AJ12" s="154" t="str">
        <v>M5</v>
      </c>
      <c r="AK12" s="133">
        <v>43</v>
      </c>
      <c r="AL12" s="133">
        <v>20</v>
      </c>
      <c r="AM12" s="133">
        <v>0</v>
      </c>
      <c r="AN12" s="133">
        <v>12</v>
      </c>
      <c r="AO12" s="133">
        <v>16</v>
      </c>
    </row>
    <row r="13" spans="1:41" ht="15.9" customHeight="1" x14ac:dyDescent="0.3">
      <c r="A13" s="133" t="str">
        <v>Q</v>
      </c>
      <c r="B13" s="112" t="str">
        <v>Q</v>
      </c>
      <c r="C13" s="133">
        <f t="shared" si="0"/>
        <v>4</v>
      </c>
      <c r="D13" s="133">
        <f t="shared" si="0"/>
        <v>5</v>
      </c>
      <c r="E13" s="133">
        <f t="shared" si="0"/>
        <v>0</v>
      </c>
      <c r="F13" s="133">
        <f t="shared" si="0"/>
        <v>21</v>
      </c>
      <c r="G13" s="133">
        <f t="shared" si="0"/>
        <v>27</v>
      </c>
      <c r="H13" s="112">
        <v>9</v>
      </c>
      <c r="I13" s="87"/>
      <c r="J13" s="9">
        <v>9</v>
      </c>
      <c r="K13" s="16" t="s">
        <v>35</v>
      </c>
      <c r="L13" s="16" t="s">
        <v>97</v>
      </c>
      <c r="M13" s="16" t="s">
        <v>126</v>
      </c>
      <c r="N13" s="16" t="s">
        <v>97</v>
      </c>
      <c r="O13" s="16" t="s">
        <v>21</v>
      </c>
      <c r="Q13" s="9">
        <v>8</v>
      </c>
      <c r="R13" s="9">
        <v>19</v>
      </c>
      <c r="S13" s="9">
        <v>15</v>
      </c>
      <c r="T13" s="9">
        <v>19</v>
      </c>
      <c r="U13" s="9">
        <v>2</v>
      </c>
      <c r="W13" s="25" cm="1">
        <f t="array" ref="W13">_xlfn.LET(_xlpm.x, K13:K15, IF(SUM((_xlpm.x="K")*1, (_xlpm.x="A")*1, (_xlpm.x="GK")*1, (_xlpm.x="GA")*1)&gt;0, 3, 1))</f>
        <v>3</v>
      </c>
      <c r="X13" s="25" cm="1">
        <f t="array" ref="X13">_xlfn.LET(_xlpm.x, L13:L15, IF(SUM((_xlpm.x="K")*1, (_xlpm.x="A")*1, (_xlpm.x="GK")*1, (_xlpm.x="GA")*1)&gt;0, 3, 1))</f>
        <v>1</v>
      </c>
      <c r="Y13" s="25" cm="1">
        <f t="array" ref="Y13">_xlfn.LET(_xlpm.x, M13:M15, IF(SUM((_xlpm.x="K")*1, (_xlpm.x="A")*1, (_xlpm.x="GK")*1, (_xlpm.x="GA")*1)&gt;0, 3, 1))</f>
        <v>3</v>
      </c>
      <c r="Z13" s="25">
        <v>1</v>
      </c>
      <c r="AA13" s="25">
        <v>1</v>
      </c>
      <c r="AC13" s="154" t="str">
        <v>A</v>
      </c>
      <c r="AD13" s="133">
        <v>47</v>
      </c>
      <c r="AE13" s="133">
        <v>20</v>
      </c>
      <c r="AF13" s="133">
        <v>0</v>
      </c>
      <c r="AG13" s="133">
        <v>12</v>
      </c>
      <c r="AH13" s="133">
        <v>16</v>
      </c>
      <c r="AI13" s="5"/>
      <c r="AJ13" s="154" t="str">
        <v>A</v>
      </c>
      <c r="AK13" s="133">
        <v>47</v>
      </c>
      <c r="AL13" s="133">
        <v>20</v>
      </c>
      <c r="AM13" s="133">
        <v>0</v>
      </c>
      <c r="AN13" s="133">
        <v>12</v>
      </c>
      <c r="AO13" s="133">
        <v>16</v>
      </c>
    </row>
    <row r="14" spans="1:41" ht="15.9" customHeight="1" x14ac:dyDescent="0.3">
      <c r="A14" s="133" t="str">
        <v>J</v>
      </c>
      <c r="B14" s="112" t="str">
        <v>J</v>
      </c>
      <c r="C14" s="133">
        <f t="shared" si="0"/>
        <v>4</v>
      </c>
      <c r="D14" s="133">
        <f t="shared" si="0"/>
        <v>7</v>
      </c>
      <c r="E14" s="133">
        <f t="shared" si="0"/>
        <v>0</v>
      </c>
      <c r="F14" s="133">
        <f t="shared" si="0"/>
        <v>21</v>
      </c>
      <c r="G14" s="133">
        <f t="shared" si="0"/>
        <v>27</v>
      </c>
      <c r="H14" s="112">
        <v>10</v>
      </c>
      <c r="I14" s="87"/>
      <c r="J14" s="25">
        <v>10</v>
      </c>
      <c r="K14" s="16" t="s">
        <v>34</v>
      </c>
      <c r="L14" s="16" t="s">
        <v>328</v>
      </c>
      <c r="M14" s="16" t="s">
        <v>92</v>
      </c>
      <c r="N14" s="16" t="s">
        <v>21</v>
      </c>
      <c r="O14" s="16" t="s">
        <v>35</v>
      </c>
      <c r="Q14" s="9">
        <v>9</v>
      </c>
      <c r="R14" s="9">
        <v>15</v>
      </c>
      <c r="S14" s="9">
        <v>16</v>
      </c>
      <c r="T14" s="9">
        <v>2</v>
      </c>
      <c r="U14" s="9">
        <v>8</v>
      </c>
      <c r="W14" s="25" cm="1">
        <f t="array" ref="W14">_xlfn.LET(_xlpm.x, K14:K16, IF(SUM((_xlpm.x="K")*1, (_xlpm.x="A")*1, (_xlpm.x="GK")*1, (_xlpm.x="GA")*1)&gt;0, 3, 1))</f>
        <v>3</v>
      </c>
      <c r="X14" s="25" cm="1">
        <f t="array" ref="X14">_xlfn.LET(_xlpm.x, L14:L16, IF(SUM((_xlpm.x="K")*1, (_xlpm.x="A")*1, (_xlpm.x="GK")*1, (_xlpm.x="GA")*1)&gt;0, 3, 1))</f>
        <v>1</v>
      </c>
      <c r="Y14" s="25" cm="1">
        <f t="array" ref="Y14">_xlfn.LET(_xlpm.x, M14:M16, IF(SUM((_xlpm.x="K")*1, (_xlpm.x="A")*1, (_xlpm.x="GK")*1, (_xlpm.x="GA")*1)&gt;0, 3, 1))</f>
        <v>3</v>
      </c>
      <c r="Z14" s="25">
        <v>1</v>
      </c>
      <c r="AA14" s="25">
        <v>1</v>
      </c>
      <c r="AC14" s="154" t="str">
        <v>K</v>
      </c>
      <c r="AD14" s="133">
        <v>47</v>
      </c>
      <c r="AE14" s="133">
        <v>20</v>
      </c>
      <c r="AF14" s="133">
        <v>0</v>
      </c>
      <c r="AG14" s="133">
        <v>12</v>
      </c>
      <c r="AH14" s="133">
        <v>16</v>
      </c>
      <c r="AI14" s="5"/>
      <c r="AJ14" s="154" t="str">
        <v>K</v>
      </c>
      <c r="AK14" s="133">
        <v>47</v>
      </c>
      <c r="AL14" s="133">
        <v>20</v>
      </c>
      <c r="AM14" s="133">
        <v>0</v>
      </c>
      <c r="AN14" s="133">
        <v>12</v>
      </c>
      <c r="AO14" s="133">
        <v>16</v>
      </c>
    </row>
    <row r="15" spans="1:41" ht="15.9" customHeight="1" x14ac:dyDescent="0.3">
      <c r="A15" s="29" t="str">
        <v>G1</v>
      </c>
      <c r="B15" s="8" t="str">
        <v>Gold M1</v>
      </c>
      <c r="C15" s="99">
        <f t="shared" si="0"/>
        <v>0</v>
      </c>
      <c r="D15" s="99">
        <f t="shared" si="0"/>
        <v>4</v>
      </c>
      <c r="E15" s="99">
        <f t="shared" si="0"/>
        <v>5</v>
      </c>
      <c r="F15" s="99">
        <f t="shared" si="0"/>
        <v>5</v>
      </c>
      <c r="G15" s="99">
        <f t="shared" si="0"/>
        <v>0</v>
      </c>
      <c r="H15" s="8">
        <v>11</v>
      </c>
      <c r="I15" s="87"/>
      <c r="J15" s="9">
        <v>11</v>
      </c>
      <c r="K15" s="16" t="s">
        <v>37</v>
      </c>
      <c r="L15" s="16" t="s">
        <v>29</v>
      </c>
      <c r="M15" s="16" t="s">
        <v>91</v>
      </c>
      <c r="N15" s="16" t="s">
        <v>37</v>
      </c>
      <c r="O15" s="16" t="s">
        <v>35</v>
      </c>
      <c r="Q15" s="9">
        <v>7</v>
      </c>
      <c r="R15" s="9">
        <v>5</v>
      </c>
      <c r="S15" s="9">
        <v>14</v>
      </c>
      <c r="T15" s="9">
        <v>7</v>
      </c>
      <c r="U15" s="9">
        <v>8</v>
      </c>
      <c r="W15" s="25" cm="1">
        <f t="array" ref="W15">_xlfn.LET(_xlpm.x, K15:K17, IF(SUM((_xlpm.x="K")*1, (_xlpm.x="A")*1, (_xlpm.x="GK")*1, (_xlpm.x="GA")*1)&gt;0, 3, 1))</f>
        <v>3</v>
      </c>
      <c r="X15" s="25" cm="1">
        <f t="array" ref="X15">_xlfn.LET(_xlpm.x, L15:L17, IF(SUM((_xlpm.x="K")*1, (_xlpm.x="A")*1, (_xlpm.x="GK")*1, (_xlpm.x="GA")*1)&gt;0, 3, 1))</f>
        <v>1</v>
      </c>
      <c r="Y15" s="25" cm="1">
        <f t="array" ref="Y15">_xlfn.LET(_xlpm.x, M15:M17, IF(SUM((_xlpm.x="K")*1, (_xlpm.x="A")*1, (_xlpm.x="GK")*1, (_xlpm.x="GA")*1)&gt;0, 3, 1))</f>
        <v>3</v>
      </c>
      <c r="Z15" s="25">
        <v>1</v>
      </c>
      <c r="AA15" s="25">
        <v>1</v>
      </c>
      <c r="AC15" s="154" t="str">
        <v>Q</v>
      </c>
      <c r="AD15" s="133">
        <v>4</v>
      </c>
      <c r="AE15" s="133">
        <v>11</v>
      </c>
      <c r="AF15" s="133">
        <v>0</v>
      </c>
      <c r="AG15" s="133">
        <v>21</v>
      </c>
      <c r="AH15" s="133">
        <v>27</v>
      </c>
      <c r="AI15" s="5"/>
      <c r="AJ15" s="154" t="str">
        <v>Q</v>
      </c>
      <c r="AK15" s="133">
        <v>4</v>
      </c>
      <c r="AL15" s="133">
        <v>11</v>
      </c>
      <c r="AM15" s="133">
        <v>0</v>
      </c>
      <c r="AN15" s="133">
        <v>21</v>
      </c>
      <c r="AO15" s="133">
        <v>27</v>
      </c>
    </row>
    <row r="16" spans="1:41" ht="15.9" customHeight="1" x14ac:dyDescent="0.3">
      <c r="A16" s="29" t="str">
        <v>G2</v>
      </c>
      <c r="B16" s="8" t="str">
        <v>Gold M2</v>
      </c>
      <c r="C16" s="99">
        <f t="shared" si="0"/>
        <v>0</v>
      </c>
      <c r="D16" s="99">
        <f t="shared" si="0"/>
        <v>4</v>
      </c>
      <c r="E16" s="99">
        <f t="shared" si="0"/>
        <v>5</v>
      </c>
      <c r="F16" s="99">
        <f t="shared" si="0"/>
        <v>5</v>
      </c>
      <c r="G16" s="99">
        <f t="shared" si="0"/>
        <v>0</v>
      </c>
      <c r="H16" s="8">
        <v>12</v>
      </c>
      <c r="I16" s="87"/>
      <c r="J16" s="25">
        <v>12</v>
      </c>
      <c r="K16" s="16" t="s">
        <v>34</v>
      </c>
      <c r="L16" s="16" t="s">
        <v>19</v>
      </c>
      <c r="M16" s="16" t="s">
        <v>112</v>
      </c>
      <c r="N16" s="16" t="s">
        <v>92</v>
      </c>
      <c r="O16" s="16" t="s">
        <v>34</v>
      </c>
      <c r="Q16" s="9">
        <v>9</v>
      </c>
      <c r="R16" s="9">
        <v>5</v>
      </c>
      <c r="S16" s="9">
        <v>17</v>
      </c>
      <c r="T16" s="9">
        <v>16</v>
      </c>
      <c r="U16" s="9">
        <v>9</v>
      </c>
      <c r="W16" s="25" cm="1">
        <f t="array" ref="W16">_xlfn.LET(_xlpm.x, K16:K18, IF(SUM((_xlpm.x="K")*1, (_xlpm.x="A")*1, (_xlpm.x="GK")*1, (_xlpm.x="GA")*1)&gt;0, 3, 1))</f>
        <v>3</v>
      </c>
      <c r="X16" s="25" cm="1">
        <f t="array" ref="X16">_xlfn.LET(_xlpm.x, L16:L18, IF(SUM((_xlpm.x="K")*1, (_xlpm.x="A")*1, (_xlpm.x="GK")*1, (_xlpm.x="GA")*1)&gt;0, 3, 1))</f>
        <v>3</v>
      </c>
      <c r="Y16" s="25" cm="1">
        <f t="array" ref="Y16">_xlfn.LET(_xlpm.x, M16:M18, IF(SUM((_xlpm.x="K")*1, (_xlpm.x="A")*1, (_xlpm.x="GK")*1, (_xlpm.x="GA")*1)&gt;0, 3, 1))</f>
        <v>3</v>
      </c>
      <c r="Z16" s="25">
        <v>1</v>
      </c>
      <c r="AA16" s="25">
        <v>1</v>
      </c>
      <c r="AC16" s="154" t="str">
        <v>J</v>
      </c>
      <c r="AD16" s="133">
        <v>4</v>
      </c>
      <c r="AE16" s="133">
        <v>11</v>
      </c>
      <c r="AF16" s="133">
        <v>0</v>
      </c>
      <c r="AG16" s="133">
        <v>21</v>
      </c>
      <c r="AH16" s="133">
        <v>27</v>
      </c>
      <c r="AI16" s="5"/>
      <c r="AJ16" s="154" t="str">
        <v>J</v>
      </c>
      <c r="AK16" s="133">
        <v>4</v>
      </c>
      <c r="AL16" s="133">
        <v>11</v>
      </c>
      <c r="AM16" s="133">
        <v>0</v>
      </c>
      <c r="AN16" s="133">
        <v>21</v>
      </c>
      <c r="AO16" s="133">
        <v>27</v>
      </c>
    </row>
    <row r="17" spans="1:41" ht="15.9" customHeight="1" x14ac:dyDescent="0.3">
      <c r="A17" s="29" t="str">
        <v>G3</v>
      </c>
      <c r="B17" s="8" t="str">
        <v>Gold M3</v>
      </c>
      <c r="C17" s="99">
        <f t="shared" si="0"/>
        <v>0</v>
      </c>
      <c r="D17" s="99">
        <f t="shared" si="0"/>
        <v>4</v>
      </c>
      <c r="E17" s="99">
        <f t="shared" si="0"/>
        <v>5</v>
      </c>
      <c r="F17" s="99">
        <f t="shared" si="0"/>
        <v>5</v>
      </c>
      <c r="G17" s="99">
        <f t="shared" si="0"/>
        <v>0</v>
      </c>
      <c r="H17" s="8">
        <v>13</v>
      </c>
      <c r="I17" s="87"/>
      <c r="J17" s="9">
        <v>13</v>
      </c>
      <c r="K17" s="16" t="s">
        <v>35</v>
      </c>
      <c r="L17" s="16" t="s">
        <v>32</v>
      </c>
      <c r="M17" s="16" t="s">
        <v>126</v>
      </c>
      <c r="N17" s="16" t="s">
        <v>35</v>
      </c>
      <c r="O17" s="16" t="s">
        <v>22</v>
      </c>
      <c r="Q17" s="9">
        <v>8</v>
      </c>
      <c r="R17" s="9">
        <v>9</v>
      </c>
      <c r="S17" s="9">
        <v>15</v>
      </c>
      <c r="T17" s="9">
        <v>8</v>
      </c>
      <c r="U17" s="9">
        <v>3</v>
      </c>
      <c r="W17" s="25" cm="1">
        <f t="array" ref="W17">_xlfn.LET(_xlpm.x, K17:K19, IF(SUM((_xlpm.x="K")*1, (_xlpm.x="A")*1, (_xlpm.x="GK")*1, (_xlpm.x="GA")*1)&gt;0, 3, 1))</f>
        <v>3</v>
      </c>
      <c r="X17" s="25" cm="1">
        <f t="array" ref="X17">_xlfn.LET(_xlpm.x, L17:L19, IF(SUM((_xlpm.x="K")*1, (_xlpm.x="A")*1, (_xlpm.x="GK")*1, (_xlpm.x="GA")*1)&gt;0, 3, 1))</f>
        <v>3</v>
      </c>
      <c r="Y17" s="25" cm="1">
        <f t="array" ref="Y17">_xlfn.LET(_xlpm.x, M17:M19, IF(SUM((_xlpm.x="K")*1, (_xlpm.x="A")*1, (_xlpm.x="GK")*1, (_xlpm.x="GA")*1)&gt;0, 3, 1))</f>
        <v>3</v>
      </c>
      <c r="Z17" s="25">
        <v>1</v>
      </c>
      <c r="AA17" s="25">
        <v>1</v>
      </c>
      <c r="AC17" s="138" t="str">
        <v>G1</v>
      </c>
      <c r="AD17" s="99">
        <v>0</v>
      </c>
      <c r="AE17" s="99">
        <v>5</v>
      </c>
      <c r="AF17" s="99">
        <v>5</v>
      </c>
      <c r="AG17" s="99">
        <v>6</v>
      </c>
      <c r="AH17" s="99">
        <v>0</v>
      </c>
      <c r="AI17" s="5"/>
      <c r="AJ17" s="138" t="str">
        <v>G1</v>
      </c>
      <c r="AK17" s="99">
        <v>0</v>
      </c>
      <c r="AL17" s="99">
        <v>5</v>
      </c>
      <c r="AM17" s="99">
        <v>5</v>
      </c>
      <c r="AN17" s="99">
        <v>6</v>
      </c>
      <c r="AO17" s="99">
        <v>0</v>
      </c>
    </row>
    <row r="18" spans="1:41" ht="15.9" customHeight="1" x14ac:dyDescent="0.3">
      <c r="A18" s="29" t="str">
        <v>G4</v>
      </c>
      <c r="B18" s="8" t="str">
        <v>Gold M4</v>
      </c>
      <c r="C18" s="99">
        <f t="shared" si="0"/>
        <v>0</v>
      </c>
      <c r="D18" s="99">
        <f t="shared" si="0"/>
        <v>15</v>
      </c>
      <c r="E18" s="99">
        <f t="shared" si="0"/>
        <v>44</v>
      </c>
      <c r="F18" s="99">
        <f t="shared" si="0"/>
        <v>3</v>
      </c>
      <c r="G18" s="99">
        <f t="shared" si="0"/>
        <v>0</v>
      </c>
      <c r="H18" s="8">
        <v>14</v>
      </c>
      <c r="I18" s="87"/>
      <c r="J18" s="25">
        <v>14</v>
      </c>
      <c r="K18" s="16" t="s">
        <v>37</v>
      </c>
      <c r="L18" s="16" t="s">
        <v>92</v>
      </c>
      <c r="M18" s="16" t="s">
        <v>91</v>
      </c>
      <c r="N18" s="16" t="s">
        <v>37</v>
      </c>
      <c r="O18" s="16" t="s">
        <v>36</v>
      </c>
      <c r="Q18" s="9">
        <v>7</v>
      </c>
      <c r="R18" s="9">
        <v>16</v>
      </c>
      <c r="S18" s="9">
        <v>14</v>
      </c>
      <c r="T18" s="9">
        <v>7</v>
      </c>
      <c r="U18" s="9">
        <v>10</v>
      </c>
      <c r="W18" s="25" cm="1">
        <f t="array" ref="W18">_xlfn.LET(_xlpm.x, K18:K20, IF(SUM((_xlpm.x="K")*1, (_xlpm.x="A")*1, (_xlpm.x="GK")*1, (_xlpm.x="GA")*1)&gt;0, 3, 1))</f>
        <v>3</v>
      </c>
      <c r="X18" s="25" cm="1">
        <f t="array" ref="X18">_xlfn.LET(_xlpm.x, L18:L20, IF(SUM((_xlpm.x="K")*1, (_xlpm.x="A")*1, (_xlpm.x="GK")*1, (_xlpm.x="GA")*1)&gt;0, 3, 1))</f>
        <v>3</v>
      </c>
      <c r="Y18" s="25" cm="1">
        <f t="array" ref="Y18">_xlfn.LET(_xlpm.x, M18:M20, IF(SUM((_xlpm.x="K")*1, (_xlpm.x="A")*1, (_xlpm.x="GK")*1, (_xlpm.x="GA")*1)&gt;0, 3, 1))</f>
        <v>3</v>
      </c>
      <c r="Z18" s="25">
        <v>1</v>
      </c>
      <c r="AA18" s="25">
        <v>1</v>
      </c>
      <c r="AC18" s="138" t="str">
        <v>G2</v>
      </c>
      <c r="AD18" s="99">
        <v>0</v>
      </c>
      <c r="AE18" s="99">
        <v>6</v>
      </c>
      <c r="AF18" s="99">
        <v>5</v>
      </c>
      <c r="AG18" s="99">
        <v>6</v>
      </c>
      <c r="AH18" s="99">
        <v>0</v>
      </c>
      <c r="AI18" s="5"/>
      <c r="AJ18" s="138" t="str">
        <v>G2</v>
      </c>
      <c r="AK18" s="99">
        <v>0</v>
      </c>
      <c r="AL18" s="99">
        <v>6</v>
      </c>
      <c r="AM18" s="99">
        <v>5</v>
      </c>
      <c r="AN18" s="99">
        <v>6</v>
      </c>
      <c r="AO18" s="99">
        <v>0</v>
      </c>
    </row>
    <row r="19" spans="1:41" ht="15.9" customHeight="1" x14ac:dyDescent="0.3">
      <c r="A19" s="29" t="str">
        <v>G5</v>
      </c>
      <c r="B19" s="8" t="str">
        <v>Gold M5</v>
      </c>
      <c r="C19" s="99">
        <f t="shared" si="0"/>
        <v>0</v>
      </c>
      <c r="D19" s="99">
        <f t="shared" si="0"/>
        <v>16</v>
      </c>
      <c r="E19" s="99">
        <f t="shared" si="0"/>
        <v>44</v>
      </c>
      <c r="F19" s="99">
        <f t="shared" si="0"/>
        <v>3</v>
      </c>
      <c r="G19" s="99">
        <f t="shared" si="0"/>
        <v>0</v>
      </c>
      <c r="H19" s="8">
        <v>15</v>
      </c>
      <c r="I19" s="87"/>
      <c r="J19" s="9">
        <v>15</v>
      </c>
      <c r="K19" s="16" t="s">
        <v>37</v>
      </c>
      <c r="L19" s="16" t="s">
        <v>97</v>
      </c>
      <c r="M19" s="16" t="s">
        <v>92</v>
      </c>
      <c r="N19" s="16" t="s">
        <v>37</v>
      </c>
      <c r="O19" s="16" t="s">
        <v>125</v>
      </c>
      <c r="Q19" s="9">
        <v>7</v>
      </c>
      <c r="R19" s="9">
        <v>19</v>
      </c>
      <c r="S19" s="9">
        <v>16</v>
      </c>
      <c r="T19" s="9">
        <v>7</v>
      </c>
      <c r="U19" s="9">
        <v>6</v>
      </c>
      <c r="W19" s="25" cm="1">
        <f t="array" ref="W19">_xlfn.LET(_xlpm.x, K19:K21, IF(SUM((_xlpm.x="K")*1, (_xlpm.x="A")*1, (_xlpm.x="GK")*1, (_xlpm.x="GA")*1)&gt;0, 3, 1))</f>
        <v>3</v>
      </c>
      <c r="X19" s="25" cm="1">
        <f t="array" ref="X19">_xlfn.LET(_xlpm.x, L19:L21, IF(SUM((_xlpm.x="K")*1, (_xlpm.x="A")*1, (_xlpm.x="GK")*1, (_xlpm.x="GA")*1)&gt;0, 3, 1))</f>
        <v>1</v>
      </c>
      <c r="Y19" s="25" cm="1">
        <f t="array" ref="Y19">_xlfn.LET(_xlpm.x, M19:M21, IF(SUM((_xlpm.x="K")*1, (_xlpm.x="A")*1, (_xlpm.x="GK")*1, (_xlpm.x="GA")*1)&gt;0, 3, 1))</f>
        <v>3</v>
      </c>
      <c r="Z19" s="25">
        <v>1</v>
      </c>
      <c r="AA19" s="25">
        <v>1</v>
      </c>
      <c r="AC19" s="138" t="str">
        <v>G3</v>
      </c>
      <c r="AD19" s="99">
        <v>0</v>
      </c>
      <c r="AE19" s="99">
        <v>6</v>
      </c>
      <c r="AF19" s="99">
        <v>5</v>
      </c>
      <c r="AG19" s="99">
        <v>6</v>
      </c>
      <c r="AH19" s="99">
        <v>0</v>
      </c>
      <c r="AI19" s="5"/>
      <c r="AJ19" s="138" t="str">
        <v>G3</v>
      </c>
      <c r="AK19" s="99">
        <v>0</v>
      </c>
      <c r="AL19" s="99">
        <v>6</v>
      </c>
      <c r="AM19" s="99">
        <v>5</v>
      </c>
      <c r="AN19" s="99">
        <v>6</v>
      </c>
      <c r="AO19" s="99">
        <v>0</v>
      </c>
    </row>
    <row r="20" spans="1:41" ht="15.9" customHeight="1" x14ac:dyDescent="0.3">
      <c r="A20" s="29" t="str">
        <v>GA</v>
      </c>
      <c r="B20" s="8" t="str">
        <v>Gold A</v>
      </c>
      <c r="C20" s="99">
        <f t="shared" si="0"/>
        <v>0</v>
      </c>
      <c r="D20" s="99">
        <f t="shared" si="0"/>
        <v>15</v>
      </c>
      <c r="E20" s="99">
        <f t="shared" si="0"/>
        <v>44</v>
      </c>
      <c r="F20" s="99">
        <f t="shared" si="0"/>
        <v>3</v>
      </c>
      <c r="G20" s="99">
        <f t="shared" si="0"/>
        <v>0</v>
      </c>
      <c r="H20" s="8">
        <v>16</v>
      </c>
      <c r="I20" s="87"/>
      <c r="J20" s="25">
        <v>16</v>
      </c>
      <c r="K20" s="16" t="s">
        <v>37</v>
      </c>
      <c r="L20" s="16" t="s">
        <v>22</v>
      </c>
      <c r="M20" s="16" t="s">
        <v>95</v>
      </c>
      <c r="N20" s="16" t="s">
        <v>89</v>
      </c>
      <c r="O20" s="16" t="s">
        <v>21</v>
      </c>
      <c r="Q20" s="9">
        <v>7</v>
      </c>
      <c r="R20" s="9">
        <v>3</v>
      </c>
      <c r="S20" s="9">
        <v>18</v>
      </c>
      <c r="T20" s="9">
        <v>12</v>
      </c>
      <c r="U20" s="9">
        <v>2</v>
      </c>
      <c r="W20" s="25" cm="1">
        <f t="array" ref="W20">_xlfn.LET(_xlpm.x, K20:K22, IF(SUM((_xlpm.x="K")*1, (_xlpm.x="A")*1, (_xlpm.x="GK")*1, (_xlpm.x="GA")*1)&gt;0, 3, 1))</f>
        <v>3</v>
      </c>
      <c r="X20" s="25" cm="1">
        <f t="array" ref="X20">_xlfn.LET(_xlpm.x, L20:L22, IF(SUM((_xlpm.x="K")*1, (_xlpm.x="A")*1, (_xlpm.x="GK")*1, (_xlpm.x="GA")*1)&gt;0, 3, 1))</f>
        <v>1</v>
      </c>
      <c r="Y20" s="25" cm="1">
        <f t="array" ref="Y20">_xlfn.LET(_xlpm.x, M20:M22, IF(SUM((_xlpm.x="K")*1, (_xlpm.x="A")*1, (_xlpm.x="GK")*1, (_xlpm.x="GA")*1)&gt;0, 3, 1))</f>
        <v>3</v>
      </c>
      <c r="Z20" s="25">
        <v>1</v>
      </c>
      <c r="AA20" s="25">
        <v>1</v>
      </c>
      <c r="AC20" s="138" t="str">
        <v>G4</v>
      </c>
      <c r="AD20" s="99">
        <v>0</v>
      </c>
      <c r="AE20" s="99">
        <v>10</v>
      </c>
      <c r="AF20" s="99">
        <v>44</v>
      </c>
      <c r="AG20" s="99">
        <v>4</v>
      </c>
      <c r="AH20" s="99">
        <v>0</v>
      </c>
      <c r="AI20" s="5"/>
      <c r="AJ20" s="138" t="str">
        <v>G4</v>
      </c>
      <c r="AK20" s="99">
        <v>0</v>
      </c>
      <c r="AL20" s="99">
        <v>10</v>
      </c>
      <c r="AM20" s="99">
        <v>44</v>
      </c>
      <c r="AN20" s="99">
        <v>4</v>
      </c>
      <c r="AO20" s="99">
        <v>0</v>
      </c>
    </row>
    <row r="21" spans="1:41" ht="15.9" customHeight="1" x14ac:dyDescent="0.3">
      <c r="A21" s="29" t="str">
        <v>GK</v>
      </c>
      <c r="B21" s="8" t="str">
        <v>Gold K</v>
      </c>
      <c r="C21" s="99">
        <f t="shared" si="0"/>
        <v>0</v>
      </c>
      <c r="D21" s="99">
        <f t="shared" si="0"/>
        <v>14</v>
      </c>
      <c r="E21" s="99">
        <f t="shared" si="0"/>
        <v>44</v>
      </c>
      <c r="F21" s="99">
        <f t="shared" si="0"/>
        <v>3</v>
      </c>
      <c r="G21" s="99">
        <f t="shared" si="0"/>
        <v>0</v>
      </c>
      <c r="H21" s="8">
        <v>17</v>
      </c>
      <c r="I21" s="87"/>
      <c r="J21" s="9">
        <v>17</v>
      </c>
      <c r="K21" s="16" t="s">
        <v>35</v>
      </c>
      <c r="L21" s="16" t="s">
        <v>126</v>
      </c>
      <c r="M21" s="16" t="s">
        <v>92</v>
      </c>
      <c r="N21" s="16" t="s">
        <v>112</v>
      </c>
      <c r="O21" s="16" t="s">
        <v>37</v>
      </c>
      <c r="Q21" s="9">
        <v>8</v>
      </c>
      <c r="R21" s="9">
        <v>15</v>
      </c>
      <c r="S21" s="9">
        <v>16</v>
      </c>
      <c r="T21" s="9">
        <v>17</v>
      </c>
      <c r="U21" s="9">
        <v>7</v>
      </c>
      <c r="W21" s="25" cm="1">
        <f t="array" ref="W21">_xlfn.LET(_xlpm.x, K21:K23, IF(SUM((_xlpm.x="K")*1, (_xlpm.x="A")*1, (_xlpm.x="GK")*1, (_xlpm.x="GA")*1)&gt;0, 3, 1))</f>
        <v>3</v>
      </c>
      <c r="X21" s="25" cm="1">
        <f t="array" ref="X21">_xlfn.LET(_xlpm.x, L21:L23, IF(SUM((_xlpm.x="K")*1, (_xlpm.x="A")*1, (_xlpm.x="GK")*1, (_xlpm.x="GA")*1)&gt;0, 3, 1))</f>
        <v>3</v>
      </c>
      <c r="Y21" s="25" cm="1">
        <f t="array" ref="Y21">_xlfn.LET(_xlpm.x, M21:M23, IF(SUM((_xlpm.x="K")*1, (_xlpm.x="A")*1, (_xlpm.x="GK")*1, (_xlpm.x="GA")*1)&gt;0, 3, 1))</f>
        <v>3</v>
      </c>
      <c r="Z21" s="25">
        <v>1</v>
      </c>
      <c r="AA21" s="25">
        <v>1</v>
      </c>
      <c r="AC21" s="138" t="str">
        <v>G5</v>
      </c>
      <c r="AD21" s="99">
        <v>0</v>
      </c>
      <c r="AE21" s="99">
        <v>10</v>
      </c>
      <c r="AF21" s="99">
        <v>44</v>
      </c>
      <c r="AG21" s="99">
        <v>4</v>
      </c>
      <c r="AH21" s="99">
        <v>0</v>
      </c>
      <c r="AI21" s="5"/>
      <c r="AJ21" s="138" t="str">
        <v>G5</v>
      </c>
      <c r="AK21" s="99">
        <v>0</v>
      </c>
      <c r="AL21" s="99">
        <v>10</v>
      </c>
      <c r="AM21" s="99">
        <v>44</v>
      </c>
      <c r="AN21" s="99">
        <v>4</v>
      </c>
      <c r="AO21" s="99">
        <v>0</v>
      </c>
    </row>
    <row r="22" spans="1:41" ht="15.9" customHeight="1" x14ac:dyDescent="0.3">
      <c r="A22" s="29" t="str">
        <v>GQ</v>
      </c>
      <c r="B22" s="8" t="str">
        <v>Gold Q</v>
      </c>
      <c r="C22" s="99">
        <f t="shared" si="0"/>
        <v>0</v>
      </c>
      <c r="D22" s="99">
        <f t="shared" si="0"/>
        <v>5</v>
      </c>
      <c r="E22" s="99">
        <f t="shared" si="0"/>
        <v>5</v>
      </c>
      <c r="F22" s="99">
        <f t="shared" si="0"/>
        <v>4</v>
      </c>
      <c r="G22" s="99">
        <f t="shared" si="0"/>
        <v>0</v>
      </c>
      <c r="H22" s="8">
        <v>18</v>
      </c>
      <c r="I22" s="87"/>
      <c r="J22" s="25">
        <v>18</v>
      </c>
      <c r="K22" s="16" t="s">
        <v>125</v>
      </c>
      <c r="L22" s="16" t="s">
        <v>125</v>
      </c>
      <c r="M22" s="16" t="s">
        <v>126</v>
      </c>
      <c r="N22" s="16" t="s">
        <v>34</v>
      </c>
      <c r="O22" s="16" t="s">
        <v>36</v>
      </c>
      <c r="Q22" s="9">
        <v>6</v>
      </c>
      <c r="R22" s="9">
        <v>6</v>
      </c>
      <c r="S22" s="9">
        <v>15</v>
      </c>
      <c r="T22" s="9">
        <v>9</v>
      </c>
      <c r="U22" s="9">
        <v>10</v>
      </c>
      <c r="W22" s="25" cm="1">
        <f t="array" ref="W22">_xlfn.LET(_xlpm.x, K22:K24, IF(SUM((_xlpm.x="K")*1, (_xlpm.x="A")*1, (_xlpm.x="GK")*1, (_xlpm.x="GA")*1)&gt;0, 3, 1))</f>
        <v>1</v>
      </c>
      <c r="X22" s="25" cm="1">
        <f t="array" ref="X22">_xlfn.LET(_xlpm.x, L22:L24, IF(SUM((_xlpm.x="K")*1, (_xlpm.x="A")*1, (_xlpm.x="GK")*1, (_xlpm.x="GA")*1)&gt;0, 3, 1))</f>
        <v>3</v>
      </c>
      <c r="Y22" s="25" cm="1">
        <f t="array" ref="Y22">_xlfn.LET(_xlpm.x, M22:M24, IF(SUM((_xlpm.x="K")*1, (_xlpm.x="A")*1, (_xlpm.x="GK")*1, (_xlpm.x="GA")*1)&gt;0, 3, 1))</f>
        <v>3</v>
      </c>
      <c r="Z22" s="25">
        <v>1</v>
      </c>
      <c r="AA22" s="25">
        <v>1</v>
      </c>
      <c r="AC22" s="138" t="str">
        <v>GA</v>
      </c>
      <c r="AD22" s="99">
        <v>0</v>
      </c>
      <c r="AE22" s="99">
        <v>10</v>
      </c>
      <c r="AF22" s="99">
        <v>44</v>
      </c>
      <c r="AG22" s="99">
        <v>4</v>
      </c>
      <c r="AH22" s="99">
        <v>0</v>
      </c>
      <c r="AI22" s="5"/>
      <c r="AJ22" s="138" t="str">
        <v>GA</v>
      </c>
      <c r="AK22" s="99">
        <v>0</v>
      </c>
      <c r="AL22" s="99">
        <v>10</v>
      </c>
      <c r="AM22" s="99">
        <v>44</v>
      </c>
      <c r="AN22" s="99">
        <v>4</v>
      </c>
      <c r="AO22" s="99">
        <v>0</v>
      </c>
    </row>
    <row r="23" spans="1:41" ht="15.9" customHeight="1" x14ac:dyDescent="0.3">
      <c r="A23" s="29" t="str">
        <v>GJ</v>
      </c>
      <c r="B23" s="8" t="str">
        <v>Gold J</v>
      </c>
      <c r="C23" s="99">
        <f t="shared" si="0"/>
        <v>0</v>
      </c>
      <c r="D23" s="99">
        <f t="shared" si="0"/>
        <v>3</v>
      </c>
      <c r="E23" s="99">
        <f t="shared" si="0"/>
        <v>4</v>
      </c>
      <c r="F23" s="99">
        <f t="shared" si="0"/>
        <v>4</v>
      </c>
      <c r="G23" s="99">
        <f t="shared" si="0"/>
        <v>0</v>
      </c>
      <c r="H23" s="8">
        <v>19</v>
      </c>
      <c r="I23" s="87"/>
      <c r="J23" s="9">
        <v>19</v>
      </c>
      <c r="K23" s="16" t="s">
        <v>19</v>
      </c>
      <c r="L23" s="16" t="s">
        <v>23</v>
      </c>
      <c r="M23" s="16" t="s">
        <v>112</v>
      </c>
      <c r="N23" s="16" t="s">
        <v>34</v>
      </c>
      <c r="O23" s="16" t="s">
        <v>21</v>
      </c>
      <c r="Q23" s="9">
        <v>5</v>
      </c>
      <c r="R23" s="9">
        <v>7</v>
      </c>
      <c r="S23" s="9">
        <v>17</v>
      </c>
      <c r="T23" s="9">
        <v>9</v>
      </c>
      <c r="U23" s="9">
        <v>2</v>
      </c>
      <c r="W23" s="25" cm="1">
        <f t="array" ref="W23">_xlfn.LET(_xlpm.x, K23:K25, IF(SUM((_xlpm.x="K")*1, (_xlpm.x="A")*1, (_xlpm.x="GK")*1, (_xlpm.x="GA")*1)&gt;0, 3, 1))</f>
        <v>1</v>
      </c>
      <c r="X23" s="25" cm="1">
        <f t="array" ref="X23">_xlfn.LET(_xlpm.x, L23:L25, IF(SUM((_xlpm.x="K")*1, (_xlpm.x="A")*1, (_xlpm.x="GK")*1, (_xlpm.x="GA")*1)&gt;0, 3, 1))</f>
        <v>3</v>
      </c>
      <c r="Y23" s="25" cm="1">
        <f t="array" ref="Y23">_xlfn.LET(_xlpm.x, M23:M25, IF(SUM((_xlpm.x="K")*1, (_xlpm.x="A")*1, (_xlpm.x="GK")*1, (_xlpm.x="GA")*1)&gt;0, 3, 1))</f>
        <v>3</v>
      </c>
      <c r="Z23" s="25">
        <v>1</v>
      </c>
      <c r="AA23" s="25">
        <v>1</v>
      </c>
      <c r="AC23" s="138" t="str">
        <v>GK</v>
      </c>
      <c r="AD23" s="99">
        <v>0</v>
      </c>
      <c r="AE23" s="99">
        <v>10</v>
      </c>
      <c r="AF23" s="99">
        <v>44</v>
      </c>
      <c r="AG23" s="99">
        <v>4</v>
      </c>
      <c r="AH23" s="99">
        <v>0</v>
      </c>
      <c r="AI23" s="5"/>
      <c r="AJ23" s="138" t="str">
        <v>GK</v>
      </c>
      <c r="AK23" s="99">
        <v>0</v>
      </c>
      <c r="AL23" s="99">
        <v>10</v>
      </c>
      <c r="AM23" s="99">
        <v>44</v>
      </c>
      <c r="AN23" s="99">
        <v>4</v>
      </c>
      <c r="AO23" s="99">
        <v>0</v>
      </c>
    </row>
    <row r="24" spans="1:41" ht="15.9" customHeight="1" x14ac:dyDescent="0.3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87"/>
      <c r="J24" s="25">
        <v>20</v>
      </c>
      <c r="K24" s="16" t="s">
        <v>125</v>
      </c>
      <c r="L24" s="16" t="s">
        <v>94</v>
      </c>
      <c r="M24" s="16" t="s">
        <v>91</v>
      </c>
      <c r="N24" s="16" t="s">
        <v>18</v>
      </c>
      <c r="O24" s="16" t="s">
        <v>34</v>
      </c>
      <c r="Q24" s="9">
        <v>6</v>
      </c>
      <c r="R24" s="9">
        <v>17</v>
      </c>
      <c r="S24" s="9">
        <v>14</v>
      </c>
      <c r="T24" s="9">
        <v>4</v>
      </c>
      <c r="U24" s="9">
        <v>9</v>
      </c>
      <c r="W24" s="25" cm="1">
        <f t="array" ref="W24">_xlfn.LET(_xlpm.x, K24:K26, IF(SUM((_xlpm.x="K")*1, (_xlpm.x="A")*1, (_xlpm.x="GK")*1, (_xlpm.x="GA")*1)&gt;0, 3, 1))</f>
        <v>3</v>
      </c>
      <c r="X24" s="25" cm="1">
        <f t="array" ref="X24">_xlfn.LET(_xlpm.x, L24:L26, IF(SUM((_xlpm.x="K")*1, (_xlpm.x="A")*1, (_xlpm.x="GK")*1, (_xlpm.x="GA")*1)&gt;0, 3, 1))</f>
        <v>3</v>
      </c>
      <c r="Y24" s="25" cm="1">
        <f t="array" ref="Y24">_xlfn.LET(_xlpm.x, M24:M26, IF(SUM((_xlpm.x="K")*1, (_xlpm.x="A")*1, (_xlpm.x="GK")*1, (_xlpm.x="GA")*1)&gt;0, 3, 1))</f>
        <v>3</v>
      </c>
      <c r="Z24" s="25">
        <v>1</v>
      </c>
      <c r="AA24" s="25">
        <v>1</v>
      </c>
      <c r="AC24" s="138" t="str">
        <v>GQ</v>
      </c>
      <c r="AD24" s="99">
        <v>0</v>
      </c>
      <c r="AE24" s="99">
        <v>6</v>
      </c>
      <c r="AF24" s="99">
        <v>5</v>
      </c>
      <c r="AG24" s="99">
        <v>5</v>
      </c>
      <c r="AH24" s="99">
        <v>0</v>
      </c>
      <c r="AI24" s="5"/>
      <c r="AJ24" s="138" t="str">
        <v>GQ</v>
      </c>
      <c r="AK24" s="99">
        <v>0</v>
      </c>
      <c r="AL24" s="99">
        <v>6</v>
      </c>
      <c r="AM24" s="99">
        <v>5</v>
      </c>
      <c r="AN24" s="99">
        <v>5</v>
      </c>
      <c r="AO24" s="99">
        <v>0</v>
      </c>
    </row>
    <row r="25" spans="1:41" ht="16.5" customHeight="1" x14ac:dyDescent="0.3">
      <c r="I25" s="87"/>
      <c r="J25" s="9">
        <v>21</v>
      </c>
      <c r="K25" s="16" t="s">
        <v>18</v>
      </c>
      <c r="L25" s="16" t="s">
        <v>112</v>
      </c>
      <c r="M25" s="16" t="s">
        <v>112</v>
      </c>
      <c r="N25" s="16" t="s">
        <v>20</v>
      </c>
      <c r="O25" s="16" t="s">
        <v>36</v>
      </c>
      <c r="Q25" s="9">
        <v>4</v>
      </c>
      <c r="R25" s="9">
        <v>17</v>
      </c>
      <c r="S25" s="9">
        <v>17</v>
      </c>
      <c r="T25" s="9">
        <v>1</v>
      </c>
      <c r="U25" s="9">
        <v>10</v>
      </c>
      <c r="W25" s="25" cm="1">
        <f t="array" ref="W25">_xlfn.LET(_xlpm.x, K25:K27, IF(SUM((_xlpm.x="K")*1, (_xlpm.x="A")*1, (_xlpm.x="GK")*1, (_xlpm.x="GA")*1)&gt;0, 3, 1))</f>
        <v>3</v>
      </c>
      <c r="X25" s="25" cm="1">
        <f t="array" ref="X25">_xlfn.LET(_xlpm.x, L25:L27, IF(SUM((_xlpm.x="K")*1, (_xlpm.x="A")*1, (_xlpm.x="GK")*1, (_xlpm.x="GA")*1)&gt;0, 3, 1))</f>
        <v>3</v>
      </c>
      <c r="Y25" s="25" cm="1">
        <f t="array" ref="Y25">_xlfn.LET(_xlpm.x, M25:M27, IF(SUM((_xlpm.x="K")*1, (_xlpm.x="A")*1, (_xlpm.x="GK")*1, (_xlpm.x="GA")*1)&gt;0, 3, 1))</f>
        <v>3</v>
      </c>
      <c r="Z25" s="25">
        <v>1</v>
      </c>
      <c r="AA25" s="25">
        <v>1</v>
      </c>
      <c r="AC25" s="138" t="str">
        <v>GJ</v>
      </c>
      <c r="AD25" s="99">
        <v>0</v>
      </c>
      <c r="AE25" s="99">
        <v>6</v>
      </c>
      <c r="AF25" s="99">
        <v>4</v>
      </c>
      <c r="AG25" s="99">
        <v>5</v>
      </c>
      <c r="AH25" s="99">
        <v>0</v>
      </c>
      <c r="AI25" s="5"/>
      <c r="AJ25" s="138" t="str">
        <v>GJ</v>
      </c>
      <c r="AK25" s="99">
        <v>0</v>
      </c>
      <c r="AL25" s="99">
        <v>6</v>
      </c>
      <c r="AM25" s="99">
        <v>4</v>
      </c>
      <c r="AN25" s="99">
        <v>5</v>
      </c>
      <c r="AO25" s="99">
        <v>0</v>
      </c>
    </row>
    <row r="26" spans="1:41" ht="16.5" customHeight="1" x14ac:dyDescent="0.3">
      <c r="B26" s="5" t="s">
        <v>244</v>
      </c>
      <c r="C26" s="5">
        <f>SUM(C4:C14)/C24</f>
        <v>1</v>
      </c>
      <c r="D26" s="181">
        <f t="shared" ref="D26:G26" si="1">SUM(D4:D14)/D24</f>
        <v>0.6</v>
      </c>
      <c r="E26" s="181">
        <f t="shared" si="1"/>
        <v>0</v>
      </c>
      <c r="F26" s="181">
        <f t="shared" si="1"/>
        <v>0.82499999999999996</v>
      </c>
      <c r="G26" s="5">
        <f t="shared" si="1"/>
        <v>1</v>
      </c>
      <c r="I26" s="87"/>
      <c r="J26" s="25">
        <v>22</v>
      </c>
      <c r="K26" s="16" t="s">
        <v>35</v>
      </c>
      <c r="L26" s="16" t="s">
        <v>326</v>
      </c>
      <c r="M26" s="16" t="s">
        <v>97</v>
      </c>
      <c r="N26" s="16" t="s">
        <v>126</v>
      </c>
      <c r="O26" s="16" t="s">
        <v>18</v>
      </c>
      <c r="Q26" s="9">
        <v>8</v>
      </c>
      <c r="R26" s="9">
        <v>6</v>
      </c>
      <c r="S26" s="9">
        <v>19</v>
      </c>
      <c r="T26" s="9">
        <v>15</v>
      </c>
      <c r="U26" s="9">
        <v>4</v>
      </c>
      <c r="W26" s="25" cm="1">
        <f t="array" ref="W26">_xlfn.LET(_xlpm.x, K26:K28, IF(SUM((_xlpm.x="K")*1, (_xlpm.x="A")*1, (_xlpm.x="GK")*1, (_xlpm.x="GA")*1)&gt;0, 3, 1))</f>
        <v>3</v>
      </c>
      <c r="X26" s="25" cm="1">
        <f t="array" ref="X26">_xlfn.LET(_xlpm.x, L26:L28, IF(SUM((_xlpm.x="K")*1, (_xlpm.x="A")*1, (_xlpm.x="GK")*1, (_xlpm.x="GA")*1)&gt;0, 3, 1))</f>
        <v>3</v>
      </c>
      <c r="Y26" s="25" cm="1">
        <f t="array" ref="Y26">_xlfn.LET(_xlpm.x, M26:M28, IF(SUM((_xlpm.x="K")*1, (_xlpm.x="A")*1, (_xlpm.x="GK")*1, (_xlpm.x="GA")*1)&gt;0, 3, 1))</f>
        <v>1</v>
      </c>
      <c r="Z26" s="25">
        <v>1</v>
      </c>
      <c r="AA26" s="25">
        <v>1</v>
      </c>
      <c r="AD26" s="113">
        <f>SUM(AD6:AD25)</f>
        <v>200</v>
      </c>
      <c r="AE26" s="113">
        <f>SUM(AE6:AE25)</f>
        <v>209</v>
      </c>
      <c r="AF26" s="113">
        <f>SUM(AF6:AF25)</f>
        <v>200</v>
      </c>
      <c r="AG26" s="113">
        <f>SUM(AG6:AG25)</f>
        <v>209</v>
      </c>
      <c r="AH26" s="113">
        <f>SUM(AH6:AH25)</f>
        <v>200</v>
      </c>
      <c r="AI26" s="5"/>
      <c r="AK26" s="113">
        <f>SUM(AK6:AK25)</f>
        <v>200</v>
      </c>
      <c r="AL26" s="113">
        <f>SUM(AL6:AL25)</f>
        <v>209</v>
      </c>
      <c r="AM26" s="113">
        <f>SUM(AM6:AM25)</f>
        <v>200</v>
      </c>
      <c r="AN26" s="113">
        <f>SUM(AN6:AN25)</f>
        <v>209</v>
      </c>
      <c r="AO26" s="113">
        <f>SUM(AO6:AO25)</f>
        <v>200</v>
      </c>
    </row>
    <row r="27" spans="1:41" ht="16.5" customHeight="1" x14ac:dyDescent="0.3">
      <c r="B27" s="5" t="s">
        <v>245</v>
      </c>
      <c r="C27" s="5">
        <f>SUM(C15:C23)/C24</f>
        <v>0</v>
      </c>
      <c r="D27" s="181">
        <f t="shared" ref="D27:G27" si="2">SUM(D15:D23)/D24</f>
        <v>0.4</v>
      </c>
      <c r="E27" s="181">
        <f t="shared" si="2"/>
        <v>1</v>
      </c>
      <c r="F27" s="181">
        <f t="shared" si="2"/>
        <v>0.17499999999999999</v>
      </c>
      <c r="G27" s="5">
        <f t="shared" si="2"/>
        <v>0</v>
      </c>
      <c r="I27" s="87"/>
      <c r="J27" s="9">
        <v>23</v>
      </c>
      <c r="K27" s="16" t="s">
        <v>19</v>
      </c>
      <c r="L27" s="16" t="s">
        <v>31</v>
      </c>
      <c r="M27" s="16" t="s">
        <v>91</v>
      </c>
      <c r="N27" s="16" t="s">
        <v>36</v>
      </c>
      <c r="O27" s="16" t="s">
        <v>22</v>
      </c>
      <c r="Q27" s="9">
        <v>5</v>
      </c>
      <c r="R27" s="9">
        <v>8</v>
      </c>
      <c r="S27" s="9">
        <v>14</v>
      </c>
      <c r="T27" s="9">
        <v>10</v>
      </c>
      <c r="U27" s="9">
        <v>3</v>
      </c>
      <c r="W27" s="25" cm="1">
        <f t="array" ref="W27">_xlfn.LET(_xlpm.x, K27:K29, IF(SUM((_xlpm.x="K")*1, (_xlpm.x="A")*1, (_xlpm.x="GK")*1, (_xlpm.x="GA")*1)&gt;0, 3, 1))</f>
        <v>1</v>
      </c>
      <c r="X27" s="25" cm="1">
        <f t="array" ref="X27">_xlfn.LET(_xlpm.x, L27:L29, IF(SUM((_xlpm.x="K")*1, (_xlpm.x="A")*1, (_xlpm.x="GK")*1, (_xlpm.x="GA")*1)&gt;0, 3, 1))</f>
        <v>3</v>
      </c>
      <c r="Y27" s="25" cm="1">
        <f t="array" ref="Y27">_xlfn.LET(_xlpm.x, M27:M29, IF(SUM((_xlpm.x="K")*1, (_xlpm.x="A")*1, (_xlpm.x="GK")*1, (_xlpm.x="GA")*1)&gt;0, 3, 1))</f>
        <v>3</v>
      </c>
      <c r="Z27" s="25">
        <v>1</v>
      </c>
      <c r="AA27" s="25">
        <v>1</v>
      </c>
      <c r="AH27" s="5"/>
      <c r="AI27" s="5"/>
      <c r="AO27" s="5"/>
    </row>
    <row r="28" spans="1:41" ht="16.5" customHeight="1" x14ac:dyDescent="0.3">
      <c r="I28" s="87"/>
      <c r="J28" s="25">
        <v>24</v>
      </c>
      <c r="K28" s="16" t="s">
        <v>125</v>
      </c>
      <c r="L28" s="16" t="s">
        <v>126</v>
      </c>
      <c r="M28" s="16" t="s">
        <v>126</v>
      </c>
      <c r="N28" s="16" t="s">
        <v>35</v>
      </c>
      <c r="O28" s="16" t="s">
        <v>21</v>
      </c>
      <c r="Q28" s="9">
        <v>6</v>
      </c>
      <c r="R28" s="9">
        <v>15</v>
      </c>
      <c r="S28" s="9">
        <v>15</v>
      </c>
      <c r="T28" s="9">
        <v>8</v>
      </c>
      <c r="U28" s="9">
        <v>2</v>
      </c>
      <c r="W28" s="25" cm="1">
        <f t="array" ref="W28">_xlfn.LET(_xlpm.x, K28:K30, IF(SUM((_xlpm.x="K")*1, (_xlpm.x="A")*1, (_xlpm.x="GK")*1, (_xlpm.x="GA")*1)&gt;0, 3, 1))</f>
        <v>1</v>
      </c>
      <c r="X28" s="25" cm="1">
        <f t="array" ref="X28">_xlfn.LET(_xlpm.x, L28:L30, IF(SUM((_xlpm.x="K")*1, (_xlpm.x="A")*1, (_xlpm.x="GK")*1, (_xlpm.x="GA")*1)&gt;0, 3, 1))</f>
        <v>3</v>
      </c>
      <c r="Y28" s="25" cm="1">
        <f t="array" ref="Y28">_xlfn.LET(_xlpm.x, M28:M30, IF(SUM((_xlpm.x="K")*1, (_xlpm.x="A")*1, (_xlpm.x="GK")*1, (_xlpm.x="GA")*1)&gt;0, 3, 1))</f>
        <v>3</v>
      </c>
      <c r="Z28" s="25">
        <v>1</v>
      </c>
      <c r="AA28" s="25">
        <v>1</v>
      </c>
      <c r="AC28" s="27" t="s">
        <v>132</v>
      </c>
      <c r="AH28" s="5"/>
      <c r="AI28" s="5"/>
      <c r="AJ28" s="27" t="s">
        <v>132</v>
      </c>
      <c r="AO28" s="5"/>
    </row>
    <row r="29" spans="1:41" ht="16.5" customHeight="1" x14ac:dyDescent="0.3">
      <c r="I29" s="87"/>
      <c r="J29" s="9">
        <v>25</v>
      </c>
      <c r="K29" s="16" t="s">
        <v>36</v>
      </c>
      <c r="L29" s="16" t="s">
        <v>22</v>
      </c>
      <c r="M29" s="16" t="s">
        <v>112</v>
      </c>
      <c r="N29" s="16" t="s">
        <v>34</v>
      </c>
      <c r="O29" s="16" t="s">
        <v>18</v>
      </c>
      <c r="Q29" s="9">
        <v>10</v>
      </c>
      <c r="R29" s="9">
        <v>3</v>
      </c>
      <c r="S29" s="9">
        <v>17</v>
      </c>
      <c r="T29" s="9">
        <v>9</v>
      </c>
      <c r="U29" s="9">
        <v>4</v>
      </c>
      <c r="W29" s="25" cm="1">
        <f t="array" ref="W29">_xlfn.LET(_xlpm.x, K29:K31, IF(SUM((_xlpm.x="K")*1, (_xlpm.x="A")*1, (_xlpm.x="GK")*1, (_xlpm.x="GA")*1)&gt;0, 3, 1))</f>
        <v>1</v>
      </c>
      <c r="X29" s="25" cm="1">
        <f t="array" ref="X29">_xlfn.LET(_xlpm.x, L29:L31, IF(SUM((_xlpm.x="K")*1, (_xlpm.x="A")*1, (_xlpm.x="GK")*1, (_xlpm.x="GA")*1)&gt;0, 3, 1))</f>
        <v>3</v>
      </c>
      <c r="Y29" s="25" cm="1">
        <f t="array" ref="Y29">_xlfn.LET(_xlpm.x, M29:M31, IF(SUM((_xlpm.x="K")*1, (_xlpm.x="A")*1, (_xlpm.x="GK")*1, (_xlpm.x="GA")*1)&gt;0, 3, 1))</f>
        <v>3</v>
      </c>
      <c r="Z29" s="25">
        <v>1</v>
      </c>
      <c r="AA29" s="25">
        <v>1</v>
      </c>
      <c r="AC29" s="135" t="s">
        <v>42</v>
      </c>
      <c r="AD29" s="135" t="s">
        <v>13</v>
      </c>
      <c r="AE29" s="135" t="s">
        <v>14</v>
      </c>
      <c r="AF29" s="135" t="s">
        <v>15</v>
      </c>
      <c r="AG29" s="135" t="s">
        <v>16</v>
      </c>
      <c r="AH29" s="135" t="s">
        <v>17</v>
      </c>
      <c r="AI29" s="5"/>
      <c r="AJ29" s="135" t="s">
        <v>42</v>
      </c>
      <c r="AK29" s="135" t="s">
        <v>13</v>
      </c>
      <c r="AL29" s="135" t="s">
        <v>14</v>
      </c>
      <c r="AM29" s="135" t="s">
        <v>15</v>
      </c>
      <c r="AN29" s="135" t="s">
        <v>16</v>
      </c>
      <c r="AO29" s="135" t="s">
        <v>17</v>
      </c>
    </row>
    <row r="30" spans="1:41" ht="16.5" customHeight="1" x14ac:dyDescent="0.3">
      <c r="I30" s="87"/>
      <c r="J30" s="25">
        <v>26</v>
      </c>
      <c r="K30" s="16" t="s">
        <v>125</v>
      </c>
      <c r="L30" s="16" t="s">
        <v>35</v>
      </c>
      <c r="M30" s="16" t="s">
        <v>91</v>
      </c>
      <c r="N30" s="16" t="s">
        <v>125</v>
      </c>
      <c r="O30" s="16" t="s">
        <v>21</v>
      </c>
      <c r="Q30" s="9">
        <v>6</v>
      </c>
      <c r="R30" s="9">
        <v>8</v>
      </c>
      <c r="S30" s="9">
        <v>14</v>
      </c>
      <c r="T30" s="9">
        <v>6</v>
      </c>
      <c r="U30" s="9">
        <v>2</v>
      </c>
      <c r="W30" s="25" cm="1">
        <f t="array" ref="W30">_xlfn.LET(_xlpm.x, K30:K32, IF(SUM((_xlpm.x="K")*1, (_xlpm.x="A")*1, (_xlpm.x="GK")*1, (_xlpm.x="GA")*1)&gt;0, 3, 1))</f>
        <v>1</v>
      </c>
      <c r="X30" s="25" cm="1">
        <f t="array" ref="X30">_xlfn.LET(_xlpm.x, L30:L32, IF(SUM((_xlpm.x="K")*1, (_xlpm.x="A")*1, (_xlpm.x="GK")*1, (_xlpm.x="GA")*1)&gt;0, 3, 1))</f>
        <v>3</v>
      </c>
      <c r="Y30" s="25" cm="1">
        <f t="array" ref="Y30">_xlfn.LET(_xlpm.x, M30:M32, IF(SUM((_xlpm.x="K")*1, (_xlpm.x="A")*1, (_xlpm.x="GK")*1, (_xlpm.x="GA")*1)&gt;0, 3, 1))</f>
        <v>3</v>
      </c>
      <c r="Z30" s="25">
        <v>1</v>
      </c>
      <c r="AA30" s="25">
        <v>1</v>
      </c>
      <c r="AC30" s="138" t="str" cm="1">
        <f t="array" ref="AC30:AC49">$A$4:$A$23</f>
        <v>WW</v>
      </c>
      <c r="AD30" s="139">
        <v>0</v>
      </c>
      <c r="AE30" s="139">
        <v>0</v>
      </c>
      <c r="AF30" s="139">
        <v>0</v>
      </c>
      <c r="AG30" s="139">
        <v>0</v>
      </c>
      <c r="AH30" s="139">
        <v>0</v>
      </c>
      <c r="AI30" s="5"/>
      <c r="AJ30" s="138" t="str" cm="1">
        <f t="array" ref="AJ30:AJ49">$A$4:$A$23</f>
        <v>WW</v>
      </c>
      <c r="AK30" s="139">
        <v>0</v>
      </c>
      <c r="AL30" s="139">
        <v>0</v>
      </c>
      <c r="AM30" s="139">
        <v>0</v>
      </c>
      <c r="AN30" s="139">
        <v>0</v>
      </c>
      <c r="AO30" s="139">
        <v>0</v>
      </c>
    </row>
    <row r="31" spans="1:41" ht="16.5" customHeight="1" x14ac:dyDescent="0.3">
      <c r="I31" s="87"/>
      <c r="J31" s="9">
        <v>27</v>
      </c>
      <c r="K31" s="16" t="s">
        <v>21</v>
      </c>
      <c r="L31" s="16" t="s">
        <v>35</v>
      </c>
      <c r="M31" s="16" t="s">
        <v>97</v>
      </c>
      <c r="N31" s="16" t="s">
        <v>21</v>
      </c>
      <c r="O31" s="16" t="s">
        <v>18</v>
      </c>
      <c r="Q31" s="9">
        <v>2</v>
      </c>
      <c r="R31" s="9">
        <v>8</v>
      </c>
      <c r="S31" s="9">
        <v>19</v>
      </c>
      <c r="T31" s="9">
        <v>2</v>
      </c>
      <c r="U31" s="9">
        <v>4</v>
      </c>
      <c r="W31" s="25" cm="1">
        <f t="array" ref="W31">_xlfn.LET(_xlpm.x, K31:K33, IF(SUM((_xlpm.x="K")*1, (_xlpm.x="A")*1, (_xlpm.x="GK")*1, (_xlpm.x="GA")*1)&gt;0, 3, 1))</f>
        <v>1</v>
      </c>
      <c r="X31" s="25" cm="1">
        <f t="array" ref="X31">_xlfn.LET(_xlpm.x, L31:L33, IF(SUM((_xlpm.x="K")*1, (_xlpm.x="A")*1, (_xlpm.x="GK")*1, (_xlpm.x="GA")*1)&gt;0, 3, 1))</f>
        <v>3</v>
      </c>
      <c r="Y31" s="25" cm="1">
        <f t="array" ref="Y31">_xlfn.LET(_xlpm.x, M31:M33, IF(SUM((_xlpm.x="K")*1, (_xlpm.x="A")*1, (_xlpm.x="GK")*1, (_xlpm.x="GA")*1)&gt;0, 3, 1))</f>
        <v>3</v>
      </c>
      <c r="Z31" s="25">
        <v>1</v>
      </c>
      <c r="AA31" s="25">
        <v>1</v>
      </c>
      <c r="AC31" s="138" t="str">
        <v>C1</v>
      </c>
      <c r="AD31" s="138">
        <v>0</v>
      </c>
      <c r="AE31" s="138">
        <v>6</v>
      </c>
      <c r="AF31" s="138">
        <v>0</v>
      </c>
      <c r="AG31" s="138">
        <v>9</v>
      </c>
      <c r="AH31" s="138">
        <v>0</v>
      </c>
      <c r="AI31" s="5"/>
      <c r="AJ31" s="138" t="str">
        <v>C1</v>
      </c>
      <c r="AK31" s="138">
        <v>0</v>
      </c>
      <c r="AL31" s="138">
        <v>6</v>
      </c>
      <c r="AM31" s="138">
        <v>0</v>
      </c>
      <c r="AN31" s="138">
        <v>9</v>
      </c>
      <c r="AO31" s="138">
        <v>0</v>
      </c>
    </row>
    <row r="32" spans="1:41" ht="16.5" customHeight="1" x14ac:dyDescent="0.3">
      <c r="J32" s="25">
        <v>28</v>
      </c>
      <c r="K32" s="16" t="s">
        <v>125</v>
      </c>
      <c r="L32" s="16" t="s">
        <v>92</v>
      </c>
      <c r="M32" s="16" t="s">
        <v>92</v>
      </c>
      <c r="N32" s="16" t="s">
        <v>20</v>
      </c>
      <c r="O32" s="16" t="s">
        <v>21</v>
      </c>
      <c r="Q32" s="9">
        <v>6</v>
      </c>
      <c r="R32" s="9">
        <v>16</v>
      </c>
      <c r="S32" s="9">
        <v>16</v>
      </c>
      <c r="T32" s="9">
        <v>1</v>
      </c>
      <c r="U32" s="9">
        <v>2</v>
      </c>
      <c r="W32" s="25" cm="1">
        <f t="array" ref="W32">_xlfn.LET(_xlpm.x, K32:K34, IF(SUM((_xlpm.x="K")*1, (_xlpm.x="A")*1, (_xlpm.x="GK")*1, (_xlpm.x="GA")*1)&gt;0, 3, 1))</f>
        <v>1</v>
      </c>
      <c r="X32" s="25" cm="1">
        <f t="array" ref="X32">_xlfn.LET(_xlpm.x, L32:L34, IF(SUM((_xlpm.x="K")*1, (_xlpm.x="A")*1, (_xlpm.x="GK")*1, (_xlpm.x="GA")*1)&gt;0, 3, 1))</f>
        <v>3</v>
      </c>
      <c r="Y32" s="25" cm="1">
        <f t="array" ref="Y32">_xlfn.LET(_xlpm.x, M32:M34, IF(SUM((_xlpm.x="K")*1, (_xlpm.x="A")*1, (_xlpm.x="GK")*1, (_xlpm.x="GA")*1)&gt;0, 3, 1))</f>
        <v>3</v>
      </c>
      <c r="Z32" s="25">
        <v>1</v>
      </c>
      <c r="AA32" s="25">
        <v>1</v>
      </c>
      <c r="AC32" s="154" t="str">
        <v>M1</v>
      </c>
      <c r="AD32" s="133">
        <v>4</v>
      </c>
      <c r="AE32" s="133">
        <v>11</v>
      </c>
      <c r="AF32" s="133">
        <v>0</v>
      </c>
      <c r="AG32" s="133">
        <v>22</v>
      </c>
      <c r="AH32" s="133">
        <v>28</v>
      </c>
      <c r="AI32" s="5"/>
      <c r="AJ32" s="154" t="str">
        <v>M1</v>
      </c>
      <c r="AK32" s="133">
        <v>4</v>
      </c>
      <c r="AL32" s="133">
        <v>11</v>
      </c>
      <c r="AM32" s="133">
        <v>0</v>
      </c>
      <c r="AN32" s="133">
        <v>22</v>
      </c>
      <c r="AO32" s="133">
        <v>28</v>
      </c>
    </row>
    <row r="33" spans="10:41" ht="16.5" customHeight="1" x14ac:dyDescent="0.3">
      <c r="J33" s="9">
        <v>29</v>
      </c>
      <c r="K33" s="16" t="s">
        <v>125</v>
      </c>
      <c r="L33" s="16" t="s">
        <v>92</v>
      </c>
      <c r="M33" s="16" t="s">
        <v>91</v>
      </c>
      <c r="N33" s="16" t="s">
        <v>18</v>
      </c>
      <c r="O33" s="16" t="s">
        <v>22</v>
      </c>
      <c r="Q33" s="9">
        <v>6</v>
      </c>
      <c r="R33" s="9">
        <v>16</v>
      </c>
      <c r="S33" s="9">
        <v>14</v>
      </c>
      <c r="T33" s="9">
        <v>4</v>
      </c>
      <c r="U33" s="9">
        <v>3</v>
      </c>
      <c r="W33" s="25" cm="1">
        <f t="array" ref="W33">_xlfn.LET(_xlpm.x, K33:K35, IF(SUM((_xlpm.x="K")*1, (_xlpm.x="A")*1, (_xlpm.x="GK")*1, (_xlpm.x="GA")*1)&gt;0, 3, 1))</f>
        <v>3</v>
      </c>
      <c r="X33" s="25" cm="1">
        <f t="array" ref="X33">_xlfn.LET(_xlpm.x, L33:L35, IF(SUM((_xlpm.x="K")*1, (_xlpm.x="A")*1, (_xlpm.x="GK")*1, (_xlpm.x="GA")*1)&gt;0, 3, 1))</f>
        <v>3</v>
      </c>
      <c r="Y33" s="25" cm="1">
        <f t="array" ref="Y33">_xlfn.LET(_xlpm.x, M33:M35, IF(SUM((_xlpm.x="K")*1, (_xlpm.x="A")*1, (_xlpm.x="GK")*1, (_xlpm.x="GA")*1)&gt;0, 3, 1))</f>
        <v>1</v>
      </c>
      <c r="Z33" s="25">
        <v>1</v>
      </c>
      <c r="AA33" s="25">
        <v>1</v>
      </c>
      <c r="AC33" s="154" t="str">
        <v>M2</v>
      </c>
      <c r="AD33" s="133">
        <v>4</v>
      </c>
      <c r="AE33" s="133">
        <v>11</v>
      </c>
      <c r="AF33" s="133">
        <v>0</v>
      </c>
      <c r="AG33" s="133">
        <v>22</v>
      </c>
      <c r="AH33" s="133">
        <v>27</v>
      </c>
      <c r="AI33" s="5"/>
      <c r="AJ33" s="154" t="str">
        <v>M2</v>
      </c>
      <c r="AK33" s="133">
        <v>4</v>
      </c>
      <c r="AL33" s="133">
        <v>11</v>
      </c>
      <c r="AM33" s="133">
        <v>0</v>
      </c>
      <c r="AN33" s="133">
        <v>22</v>
      </c>
      <c r="AO33" s="133">
        <v>27</v>
      </c>
    </row>
    <row r="34" spans="10:41" ht="16.5" customHeight="1" x14ac:dyDescent="0.3">
      <c r="J34" s="25">
        <v>30</v>
      </c>
      <c r="K34" s="16" t="s">
        <v>125</v>
      </c>
      <c r="L34" s="16" t="s">
        <v>22</v>
      </c>
      <c r="M34" s="16" t="s">
        <v>90</v>
      </c>
      <c r="N34" s="16" t="s">
        <v>88</v>
      </c>
      <c r="O34" s="16" t="s">
        <v>21</v>
      </c>
      <c r="Q34" s="9">
        <v>6</v>
      </c>
      <c r="R34" s="9">
        <v>3</v>
      </c>
      <c r="S34" s="9">
        <v>13</v>
      </c>
      <c r="T34" s="9">
        <v>11</v>
      </c>
      <c r="U34" s="9">
        <v>2</v>
      </c>
      <c r="W34" s="25" cm="1">
        <f t="array" ref="W34">_xlfn.LET(_xlpm.x, K34:K36, IF(SUM((_xlpm.x="K")*1, (_xlpm.x="A")*1, (_xlpm.x="GK")*1, (_xlpm.x="GA")*1)&gt;0, 3, 1))</f>
        <v>3</v>
      </c>
      <c r="X34" s="25" cm="1">
        <f t="array" ref="X34">_xlfn.LET(_xlpm.x, L34:L36, IF(SUM((_xlpm.x="K")*1, (_xlpm.x="A")*1, (_xlpm.x="GK")*1, (_xlpm.x="GA")*1)&gt;0, 3, 1))</f>
        <v>3</v>
      </c>
      <c r="Y34" s="25" cm="1">
        <f t="array" ref="Y34">_xlfn.LET(_xlpm.x, M34:M36, IF(SUM((_xlpm.x="K")*1, (_xlpm.x="A")*1, (_xlpm.x="GK")*1, (_xlpm.x="GA")*1)&gt;0, 3, 1))</f>
        <v>1</v>
      </c>
      <c r="Z34" s="25">
        <v>1</v>
      </c>
      <c r="AA34" s="25">
        <v>1</v>
      </c>
      <c r="AC34" s="154" t="str">
        <v>M3</v>
      </c>
      <c r="AD34" s="133">
        <v>4</v>
      </c>
      <c r="AE34" s="133">
        <v>11</v>
      </c>
      <c r="AF34" s="133">
        <v>0</v>
      </c>
      <c r="AG34" s="133">
        <v>22</v>
      </c>
      <c r="AH34" s="133">
        <v>27</v>
      </c>
      <c r="AI34" s="5"/>
      <c r="AJ34" s="154" t="str">
        <v>M3</v>
      </c>
      <c r="AK34" s="133">
        <v>4</v>
      </c>
      <c r="AL34" s="133">
        <v>11</v>
      </c>
      <c r="AM34" s="133">
        <v>0</v>
      </c>
      <c r="AN34" s="133">
        <v>22</v>
      </c>
      <c r="AO34" s="133">
        <v>27</v>
      </c>
    </row>
    <row r="35" spans="10:41" ht="16.5" customHeight="1" x14ac:dyDescent="0.3">
      <c r="J35" s="9">
        <v>31</v>
      </c>
      <c r="K35" s="16" t="s">
        <v>35</v>
      </c>
      <c r="L35" s="16" t="s">
        <v>35</v>
      </c>
      <c r="M35" s="16" t="s">
        <v>91</v>
      </c>
      <c r="N35" s="16" t="s">
        <v>37</v>
      </c>
      <c r="O35" s="16" t="s">
        <v>21</v>
      </c>
      <c r="Q35" s="9">
        <v>8</v>
      </c>
      <c r="R35" s="9">
        <v>8</v>
      </c>
      <c r="S35" s="9">
        <v>14</v>
      </c>
      <c r="T35" s="9">
        <v>7</v>
      </c>
      <c r="U35" s="9">
        <v>2</v>
      </c>
      <c r="W35" s="25" cm="1">
        <f t="array" ref="W35">_xlfn.LET(_xlpm.x, K35:K37, IF(SUM((_xlpm.x="K")*1, (_xlpm.x="A")*1, (_xlpm.x="GK")*1, (_xlpm.x="GA")*1)&gt;0, 3, 1))</f>
        <v>3</v>
      </c>
      <c r="X35" s="25" cm="1">
        <f t="array" ref="X35">_xlfn.LET(_xlpm.x, L35:L37, IF(SUM((_xlpm.x="K")*1, (_xlpm.x="A")*1, (_xlpm.x="GK")*1, (_xlpm.x="GA")*1)&gt;0, 3, 1))</f>
        <v>3</v>
      </c>
      <c r="Y35" s="25" cm="1">
        <f t="array" ref="Y35">_xlfn.LET(_xlpm.x, M35:M37, IF(SUM((_xlpm.x="K")*1, (_xlpm.x="A")*1, (_xlpm.x="GK")*1, (_xlpm.x="GA")*1)&gt;0, 3, 1))</f>
        <v>3</v>
      </c>
      <c r="Z35" s="25">
        <v>1</v>
      </c>
      <c r="AA35" s="25">
        <v>1</v>
      </c>
      <c r="AC35" s="154" t="str">
        <v>M4</v>
      </c>
      <c r="AD35" s="133">
        <v>43</v>
      </c>
      <c r="AE35" s="133">
        <v>19</v>
      </c>
      <c r="AF35" s="133">
        <v>0</v>
      </c>
      <c r="AG35" s="133">
        <v>12</v>
      </c>
      <c r="AH35" s="133">
        <v>16</v>
      </c>
      <c r="AI35" s="5"/>
      <c r="AJ35" s="154" t="str">
        <v>M4</v>
      </c>
      <c r="AK35" s="133">
        <v>43</v>
      </c>
      <c r="AL35" s="133">
        <v>19</v>
      </c>
      <c r="AM35" s="133">
        <v>0</v>
      </c>
      <c r="AN35" s="133">
        <v>12</v>
      </c>
      <c r="AO35" s="133">
        <v>16</v>
      </c>
    </row>
    <row r="36" spans="10:41" ht="16.5" customHeight="1" x14ac:dyDescent="0.3">
      <c r="J36" s="25">
        <v>32</v>
      </c>
      <c r="K36" s="16" t="s">
        <v>37</v>
      </c>
      <c r="L36" s="16" t="s">
        <v>97</v>
      </c>
      <c r="M36" s="16" t="s">
        <v>126</v>
      </c>
      <c r="N36" s="16" t="s">
        <v>18</v>
      </c>
      <c r="O36" s="16" t="s">
        <v>34</v>
      </c>
      <c r="Q36" s="9">
        <v>7</v>
      </c>
      <c r="R36" s="9">
        <v>19</v>
      </c>
      <c r="S36" s="9">
        <v>15</v>
      </c>
      <c r="T36" s="9">
        <v>4</v>
      </c>
      <c r="U36" s="9">
        <v>9</v>
      </c>
      <c r="W36" s="25" cm="1">
        <f t="array" ref="W36">_xlfn.LET(_xlpm.x, K36:K38, IF(SUM((_xlpm.x="K")*1, (_xlpm.x="A")*1, (_xlpm.x="GK")*1, (_xlpm.x="GA")*1)&gt;0, 3, 1))</f>
        <v>3</v>
      </c>
      <c r="X36" s="25" cm="1">
        <f t="array" ref="X36">_xlfn.LET(_xlpm.x, L36:L38, IF(SUM((_xlpm.x="K")*1, (_xlpm.x="A")*1, (_xlpm.x="GK")*1, (_xlpm.x="GA")*1)&gt;0, 3, 1))</f>
        <v>3</v>
      </c>
      <c r="Y36" s="25" cm="1">
        <f t="array" ref="Y36">_xlfn.LET(_xlpm.x, M36:M38, IF(SUM((_xlpm.x="K")*1, (_xlpm.x="A")*1, (_xlpm.x="GK")*1, (_xlpm.x="GA")*1)&gt;0, 3, 1))</f>
        <v>3</v>
      </c>
      <c r="Z36" s="25">
        <v>1</v>
      </c>
      <c r="AA36" s="25">
        <v>1</v>
      </c>
      <c r="AC36" s="154" t="str">
        <v>M5</v>
      </c>
      <c r="AD36" s="133">
        <v>43</v>
      </c>
      <c r="AE36" s="133">
        <v>20</v>
      </c>
      <c r="AF36" s="133">
        <v>0</v>
      </c>
      <c r="AG36" s="133">
        <v>12</v>
      </c>
      <c r="AH36" s="133">
        <v>16</v>
      </c>
      <c r="AI36" s="5"/>
      <c r="AJ36" s="154" t="str">
        <v>M5</v>
      </c>
      <c r="AK36" s="133">
        <v>43</v>
      </c>
      <c r="AL36" s="133">
        <v>20</v>
      </c>
      <c r="AM36" s="133">
        <v>0</v>
      </c>
      <c r="AN36" s="133">
        <v>12</v>
      </c>
      <c r="AO36" s="133">
        <v>16</v>
      </c>
    </row>
    <row r="37" spans="10:41" ht="16.5" customHeight="1" x14ac:dyDescent="0.3">
      <c r="J37" s="9">
        <v>33</v>
      </c>
      <c r="K37" s="16" t="s">
        <v>125</v>
      </c>
      <c r="L37" s="16" t="s">
        <v>35</v>
      </c>
      <c r="M37" s="16" t="s">
        <v>112</v>
      </c>
      <c r="N37" s="16" t="s">
        <v>112</v>
      </c>
      <c r="O37" s="16" t="s">
        <v>36</v>
      </c>
      <c r="Q37" s="9">
        <v>6</v>
      </c>
      <c r="R37" s="9">
        <v>8</v>
      </c>
      <c r="S37" s="9">
        <v>17</v>
      </c>
      <c r="T37" s="9">
        <v>17</v>
      </c>
      <c r="U37" s="9">
        <v>10</v>
      </c>
      <c r="W37" s="25" cm="1">
        <f t="array" ref="W37">_xlfn.LET(_xlpm.x, K37:K39, IF(SUM((_xlpm.x="K")*1, (_xlpm.x="A")*1, (_xlpm.x="GK")*1, (_xlpm.x="GA")*1)&gt;0, 3, 1))</f>
        <v>3</v>
      </c>
      <c r="X37" s="25" cm="1">
        <f t="array" ref="X37">_xlfn.LET(_xlpm.x, L37:L39, IF(SUM((_xlpm.x="K")*1, (_xlpm.x="A")*1, (_xlpm.x="GK")*1, (_xlpm.x="GA")*1)&gt;0, 3, 1))</f>
        <v>3</v>
      </c>
      <c r="Y37" s="25" cm="1">
        <f t="array" ref="Y37">_xlfn.LET(_xlpm.x, M37:M39, IF(SUM((_xlpm.x="K")*1, (_xlpm.x="A")*1, (_xlpm.x="GK")*1, (_xlpm.x="GA")*1)&gt;0, 3, 1))</f>
        <v>3</v>
      </c>
      <c r="Z37" s="25">
        <v>1</v>
      </c>
      <c r="AA37" s="25">
        <v>1</v>
      </c>
      <c r="AC37" s="154" t="str">
        <v>A</v>
      </c>
      <c r="AD37" s="133">
        <v>47</v>
      </c>
      <c r="AE37" s="133">
        <v>20</v>
      </c>
      <c r="AF37" s="133">
        <v>0</v>
      </c>
      <c r="AG37" s="133">
        <v>12</v>
      </c>
      <c r="AH37" s="133">
        <v>16</v>
      </c>
      <c r="AI37" s="5"/>
      <c r="AJ37" s="154" t="str">
        <v>A</v>
      </c>
      <c r="AK37" s="133">
        <v>47</v>
      </c>
      <c r="AL37" s="133">
        <v>20</v>
      </c>
      <c r="AM37" s="133">
        <v>0</v>
      </c>
      <c r="AN37" s="133">
        <v>12</v>
      </c>
      <c r="AO37" s="133">
        <v>16</v>
      </c>
    </row>
    <row r="38" spans="10:41" ht="16.5" customHeight="1" x14ac:dyDescent="0.3">
      <c r="J38" s="25">
        <v>34</v>
      </c>
      <c r="K38" s="16" t="s">
        <v>19</v>
      </c>
      <c r="L38" s="16" t="s">
        <v>91</v>
      </c>
      <c r="M38" s="16" t="s">
        <v>92</v>
      </c>
      <c r="N38" s="16" t="s">
        <v>21</v>
      </c>
      <c r="O38" s="16" t="s">
        <v>35</v>
      </c>
      <c r="Q38" s="9">
        <v>5</v>
      </c>
      <c r="R38" s="9">
        <v>14</v>
      </c>
      <c r="S38" s="9">
        <v>16</v>
      </c>
      <c r="T38" s="9">
        <v>2</v>
      </c>
      <c r="U38" s="9">
        <v>8</v>
      </c>
      <c r="W38" s="25" cm="1">
        <f t="array" ref="W38">_xlfn.LET(_xlpm.x, K38:K40, IF(SUM((_xlpm.x="K")*1, (_xlpm.x="A")*1, (_xlpm.x="GK")*1, (_xlpm.x="GA")*1)&gt;0, 3, 1))</f>
        <v>3</v>
      </c>
      <c r="X38" s="25" cm="1">
        <f t="array" ref="X38">_xlfn.LET(_xlpm.x, L38:L40, IF(SUM((_xlpm.x="K")*1, (_xlpm.x="A")*1, (_xlpm.x="GK")*1, (_xlpm.x="GA")*1)&gt;0, 3, 1))</f>
        <v>1</v>
      </c>
      <c r="Y38" s="25" cm="1">
        <f t="array" ref="Y38">_xlfn.LET(_xlpm.x, M38:M40, IF(SUM((_xlpm.x="K")*1, (_xlpm.x="A")*1, (_xlpm.x="GK")*1, (_xlpm.x="GA")*1)&gt;0, 3, 1))</f>
        <v>3</v>
      </c>
      <c r="Z38" s="25">
        <v>1</v>
      </c>
      <c r="AA38" s="25">
        <v>1</v>
      </c>
      <c r="AC38" s="154" t="str">
        <v>K</v>
      </c>
      <c r="AD38" s="133">
        <v>47</v>
      </c>
      <c r="AE38" s="133">
        <v>20</v>
      </c>
      <c r="AF38" s="133">
        <v>0</v>
      </c>
      <c r="AG38" s="133">
        <v>12</v>
      </c>
      <c r="AH38" s="133">
        <v>16</v>
      </c>
      <c r="AI38" s="5"/>
      <c r="AJ38" s="154" t="str">
        <v>K</v>
      </c>
      <c r="AK38" s="133">
        <v>47</v>
      </c>
      <c r="AL38" s="133">
        <v>20</v>
      </c>
      <c r="AM38" s="133">
        <v>0</v>
      </c>
      <c r="AN38" s="133">
        <v>12</v>
      </c>
      <c r="AO38" s="133">
        <v>16</v>
      </c>
    </row>
    <row r="39" spans="10:41" ht="16.5" customHeight="1" x14ac:dyDescent="0.3">
      <c r="J39" s="9">
        <v>35</v>
      </c>
      <c r="K39" s="16" t="s">
        <v>35</v>
      </c>
      <c r="L39" s="16" t="s">
        <v>18</v>
      </c>
      <c r="M39" s="16" t="s">
        <v>126</v>
      </c>
      <c r="N39" s="16" t="s">
        <v>19</v>
      </c>
      <c r="O39" s="16" t="s">
        <v>19</v>
      </c>
      <c r="Q39" s="9">
        <v>8</v>
      </c>
      <c r="R39" s="9">
        <v>4</v>
      </c>
      <c r="S39" s="9">
        <v>15</v>
      </c>
      <c r="T39" s="9">
        <v>5</v>
      </c>
      <c r="U39" s="9">
        <v>5</v>
      </c>
      <c r="W39" s="25" cm="1">
        <f t="array" ref="W39">_xlfn.LET(_xlpm.x, K39:K41, IF(SUM((_xlpm.x="K")*1, (_xlpm.x="A")*1, (_xlpm.x="GK")*1, (_xlpm.x="GA")*1)&gt;0, 3, 1))</f>
        <v>3</v>
      </c>
      <c r="X39" s="25" cm="1">
        <f t="array" ref="X39">_xlfn.LET(_xlpm.x, L39:L41, IF(SUM((_xlpm.x="K")*1, (_xlpm.x="A")*1, (_xlpm.x="GK")*1, (_xlpm.x="GA")*1)&gt;0, 3, 1))</f>
        <v>1</v>
      </c>
      <c r="Y39" s="25" cm="1">
        <f t="array" ref="Y39">_xlfn.LET(_xlpm.x, M39:M41, IF(SUM((_xlpm.x="K")*1, (_xlpm.x="A")*1, (_xlpm.x="GK")*1, (_xlpm.x="GA")*1)&gt;0, 3, 1))</f>
        <v>3</v>
      </c>
      <c r="Z39" s="25">
        <v>1</v>
      </c>
      <c r="AA39" s="25">
        <v>1</v>
      </c>
      <c r="AC39" s="154" t="str">
        <v>Q</v>
      </c>
      <c r="AD39" s="133">
        <v>4</v>
      </c>
      <c r="AE39" s="133">
        <v>11</v>
      </c>
      <c r="AF39" s="133">
        <v>0</v>
      </c>
      <c r="AG39" s="133">
        <v>21</v>
      </c>
      <c r="AH39" s="133">
        <v>27</v>
      </c>
      <c r="AI39" s="5"/>
      <c r="AJ39" s="154" t="str">
        <v>Q</v>
      </c>
      <c r="AK39" s="133">
        <v>4</v>
      </c>
      <c r="AL39" s="133">
        <v>11</v>
      </c>
      <c r="AM39" s="133">
        <v>0</v>
      </c>
      <c r="AN39" s="133">
        <v>21</v>
      </c>
      <c r="AO39" s="133">
        <v>27</v>
      </c>
    </row>
    <row r="40" spans="10:41" ht="16.5" customHeight="1" x14ac:dyDescent="0.3">
      <c r="J40" s="25">
        <v>36</v>
      </c>
      <c r="K40" s="16" t="s">
        <v>19</v>
      </c>
      <c r="L40" s="16" t="s">
        <v>18</v>
      </c>
      <c r="M40" s="16" t="s">
        <v>91</v>
      </c>
      <c r="N40" s="16" t="s">
        <v>19</v>
      </c>
      <c r="O40" s="16" t="s">
        <v>18</v>
      </c>
      <c r="Q40" s="9">
        <v>5</v>
      </c>
      <c r="R40" s="9">
        <v>4</v>
      </c>
      <c r="S40" s="9">
        <v>14</v>
      </c>
      <c r="T40" s="9">
        <v>5</v>
      </c>
      <c r="U40" s="9">
        <v>4</v>
      </c>
      <c r="W40" s="25" cm="1">
        <f t="array" ref="W40">_xlfn.LET(_xlpm.x, K40:K42, IF(SUM((_xlpm.x="K")*1, (_xlpm.x="A")*1, (_xlpm.x="GK")*1, (_xlpm.x="GA")*1)&gt;0, 3, 1))</f>
        <v>1</v>
      </c>
      <c r="X40" s="25" cm="1">
        <f t="array" ref="X40">_xlfn.LET(_xlpm.x, L40:L42, IF(SUM((_xlpm.x="K")*1, (_xlpm.x="A")*1, (_xlpm.x="GK")*1, (_xlpm.x="GA")*1)&gt;0, 3, 1))</f>
        <v>3</v>
      </c>
      <c r="Y40" s="25" cm="1">
        <f t="array" ref="Y40">_xlfn.LET(_xlpm.x, M40:M42, IF(SUM((_xlpm.x="K")*1, (_xlpm.x="A")*1, (_xlpm.x="GK")*1, (_xlpm.x="GA")*1)&gt;0, 3, 1))</f>
        <v>3</v>
      </c>
      <c r="Z40" s="25">
        <v>1</v>
      </c>
      <c r="AA40" s="25">
        <v>1</v>
      </c>
      <c r="AC40" s="154" t="str">
        <v>J</v>
      </c>
      <c r="AD40" s="133">
        <v>4</v>
      </c>
      <c r="AE40" s="133">
        <v>11</v>
      </c>
      <c r="AF40" s="133">
        <v>0</v>
      </c>
      <c r="AG40" s="133">
        <v>21</v>
      </c>
      <c r="AH40" s="133">
        <v>27</v>
      </c>
      <c r="AI40" s="5"/>
      <c r="AJ40" s="154" t="str">
        <v>J</v>
      </c>
      <c r="AK40" s="133">
        <v>4</v>
      </c>
      <c r="AL40" s="133">
        <v>11</v>
      </c>
      <c r="AM40" s="133">
        <v>0</v>
      </c>
      <c r="AN40" s="133">
        <v>21</v>
      </c>
      <c r="AO40" s="133">
        <v>27</v>
      </c>
    </row>
    <row r="41" spans="10:41" ht="16.5" customHeight="1" x14ac:dyDescent="0.3">
      <c r="J41" s="9">
        <v>37</v>
      </c>
      <c r="K41" s="16" t="s">
        <v>125</v>
      </c>
      <c r="L41" s="16" t="s">
        <v>126</v>
      </c>
      <c r="M41" s="16" t="s">
        <v>112</v>
      </c>
      <c r="N41" s="16" t="s">
        <v>88</v>
      </c>
      <c r="O41" s="16" t="s">
        <v>19</v>
      </c>
      <c r="Q41" s="9">
        <v>6</v>
      </c>
      <c r="R41" s="9">
        <v>15</v>
      </c>
      <c r="S41" s="9">
        <v>17</v>
      </c>
      <c r="T41" s="9">
        <v>11</v>
      </c>
      <c r="U41" s="9">
        <v>5</v>
      </c>
      <c r="W41" s="25" cm="1">
        <f t="array" ref="W41">_xlfn.LET(_xlpm.x, K41:K43, IF(SUM((_xlpm.x="K")*1, (_xlpm.x="A")*1, (_xlpm.x="GK")*1, (_xlpm.x="GA")*1)&gt;0, 3, 1))</f>
        <v>1</v>
      </c>
      <c r="X41" s="25" cm="1">
        <f t="array" ref="X41">_xlfn.LET(_xlpm.x, L41:L43, IF(SUM((_xlpm.x="K")*1, (_xlpm.x="A")*1, (_xlpm.x="GK")*1, (_xlpm.x="GA")*1)&gt;0, 3, 1))</f>
        <v>3</v>
      </c>
      <c r="Y41" s="25" cm="1">
        <f t="array" ref="Y41">_xlfn.LET(_xlpm.x, M41:M43, IF(SUM((_xlpm.x="K")*1, (_xlpm.x="A")*1, (_xlpm.x="GK")*1, (_xlpm.x="GA")*1)&gt;0, 3, 1))</f>
        <v>3</v>
      </c>
      <c r="Z41" s="25">
        <v>1</v>
      </c>
      <c r="AA41" s="25">
        <v>1</v>
      </c>
      <c r="AC41" s="138" t="str">
        <v>G1</v>
      </c>
      <c r="AD41" s="99">
        <v>0</v>
      </c>
      <c r="AE41" s="99">
        <v>5</v>
      </c>
      <c r="AF41" s="99">
        <v>5</v>
      </c>
      <c r="AG41" s="99">
        <v>6</v>
      </c>
      <c r="AH41" s="99">
        <v>0</v>
      </c>
      <c r="AI41" s="5"/>
      <c r="AJ41" s="138" t="str">
        <v>G1</v>
      </c>
      <c r="AK41" s="99">
        <v>0</v>
      </c>
      <c r="AL41" s="99">
        <v>5</v>
      </c>
      <c r="AM41" s="99">
        <v>5</v>
      </c>
      <c r="AN41" s="99">
        <v>6</v>
      </c>
      <c r="AO41" s="99">
        <v>0</v>
      </c>
    </row>
    <row r="42" spans="10:41" ht="16.5" customHeight="1" x14ac:dyDescent="0.3">
      <c r="J42" s="25">
        <v>38</v>
      </c>
      <c r="K42" s="16" t="s">
        <v>19</v>
      </c>
      <c r="L42" s="16" t="s">
        <v>93</v>
      </c>
      <c r="M42" s="16" t="s">
        <v>92</v>
      </c>
      <c r="N42" s="16" t="s">
        <v>34</v>
      </c>
      <c r="O42" s="16" t="s">
        <v>22</v>
      </c>
      <c r="Q42" s="9">
        <v>5</v>
      </c>
      <c r="R42" s="9">
        <v>16</v>
      </c>
      <c r="S42" s="9">
        <v>16</v>
      </c>
      <c r="T42" s="9">
        <v>9</v>
      </c>
      <c r="U42" s="9">
        <v>3</v>
      </c>
      <c r="W42" s="25" cm="1">
        <f t="array" ref="W42">_xlfn.LET(_xlpm.x, K42:K44, IF(SUM((_xlpm.x="K")*1, (_xlpm.x="A")*1, (_xlpm.x="GK")*1, (_xlpm.x="GA")*1)&gt;0, 3, 1))</f>
        <v>1</v>
      </c>
      <c r="X42" s="25" cm="1">
        <f t="array" ref="X42">_xlfn.LET(_xlpm.x, L42:L44, IF(SUM((_xlpm.x="K")*1, (_xlpm.x="A")*1, (_xlpm.x="GK")*1, (_xlpm.x="GA")*1)&gt;0, 3, 1))</f>
        <v>3</v>
      </c>
      <c r="Y42" s="25" cm="1">
        <f t="array" ref="Y42">_xlfn.LET(_xlpm.x, M42:M44, IF(SUM((_xlpm.x="K")*1, (_xlpm.x="A")*1, (_xlpm.x="GK")*1, (_xlpm.x="GA")*1)&gt;0, 3, 1))</f>
        <v>3</v>
      </c>
      <c r="Z42" s="25">
        <v>1</v>
      </c>
      <c r="AA42" s="25">
        <v>1</v>
      </c>
      <c r="AC42" s="138" t="str">
        <v>G2</v>
      </c>
      <c r="AD42" s="99">
        <v>0</v>
      </c>
      <c r="AE42" s="99">
        <v>6</v>
      </c>
      <c r="AF42" s="99">
        <v>5</v>
      </c>
      <c r="AG42" s="99">
        <v>6</v>
      </c>
      <c r="AH42" s="99">
        <v>0</v>
      </c>
      <c r="AI42" s="5"/>
      <c r="AJ42" s="138" t="str">
        <v>G2</v>
      </c>
      <c r="AK42" s="99">
        <v>0</v>
      </c>
      <c r="AL42" s="99">
        <v>6</v>
      </c>
      <c r="AM42" s="99">
        <v>5</v>
      </c>
      <c r="AN42" s="99">
        <v>6</v>
      </c>
      <c r="AO42" s="99">
        <v>0</v>
      </c>
    </row>
    <row r="43" spans="10:41" ht="16.5" customHeight="1" x14ac:dyDescent="0.3">
      <c r="J43" s="9">
        <v>39</v>
      </c>
      <c r="K43" s="16" t="s">
        <v>19</v>
      </c>
      <c r="L43" s="16" t="s">
        <v>19</v>
      </c>
      <c r="M43" s="16" t="s">
        <v>88</v>
      </c>
      <c r="N43" s="16" t="s">
        <v>22</v>
      </c>
      <c r="O43" s="16" t="s">
        <v>22</v>
      </c>
      <c r="Q43" s="9">
        <v>5</v>
      </c>
      <c r="R43" s="9">
        <v>5</v>
      </c>
      <c r="S43" s="9">
        <v>11</v>
      </c>
      <c r="T43" s="9">
        <v>3</v>
      </c>
      <c r="U43" s="9">
        <v>3</v>
      </c>
      <c r="W43" s="25" cm="1">
        <f t="array" ref="W43">_xlfn.LET(_xlpm.x, K43:K45, IF(SUM((_xlpm.x="K")*1, (_xlpm.x="A")*1, (_xlpm.x="GK")*1, (_xlpm.x="GA")*1)&gt;0, 3, 1))</f>
        <v>1</v>
      </c>
      <c r="X43" s="25" cm="1">
        <f t="array" ref="X43">_xlfn.LET(_xlpm.x, L43:L45, IF(SUM((_xlpm.x="K")*1, (_xlpm.x="A")*1, (_xlpm.x="GK")*1, (_xlpm.x="GA")*1)&gt;0, 3, 1))</f>
        <v>3</v>
      </c>
      <c r="Y43" s="25" cm="1">
        <f t="array" ref="Y43">_xlfn.LET(_xlpm.x, M43:M45, IF(SUM((_xlpm.x="K")*1, (_xlpm.x="A")*1, (_xlpm.x="GK")*1, (_xlpm.x="GA")*1)&gt;0, 3, 1))</f>
        <v>3</v>
      </c>
      <c r="Z43" s="25">
        <v>1</v>
      </c>
      <c r="AA43" s="25">
        <v>1</v>
      </c>
      <c r="AC43" s="138" t="str">
        <v>G3</v>
      </c>
      <c r="AD43" s="99">
        <v>0</v>
      </c>
      <c r="AE43" s="99">
        <v>6</v>
      </c>
      <c r="AF43" s="99">
        <v>5</v>
      </c>
      <c r="AG43" s="99">
        <v>6</v>
      </c>
      <c r="AH43" s="99">
        <v>0</v>
      </c>
      <c r="AI43" s="5"/>
      <c r="AJ43" s="138" t="str">
        <v>G3</v>
      </c>
      <c r="AK43" s="99">
        <v>0</v>
      </c>
      <c r="AL43" s="99">
        <v>6</v>
      </c>
      <c r="AM43" s="99">
        <v>5</v>
      </c>
      <c r="AN43" s="99">
        <v>6</v>
      </c>
      <c r="AO43" s="99">
        <v>0</v>
      </c>
    </row>
    <row r="44" spans="10:41" ht="16.5" customHeight="1" x14ac:dyDescent="0.3">
      <c r="J44" s="25">
        <v>40</v>
      </c>
      <c r="K44" s="16" t="s">
        <v>19</v>
      </c>
      <c r="L44" s="16" t="s">
        <v>88</v>
      </c>
      <c r="M44" s="16" t="s">
        <v>92</v>
      </c>
      <c r="N44" s="16" t="s">
        <v>91</v>
      </c>
      <c r="O44" s="16" t="s">
        <v>34</v>
      </c>
      <c r="Q44" s="9">
        <v>5</v>
      </c>
      <c r="R44" s="9">
        <v>11</v>
      </c>
      <c r="S44" s="9">
        <v>16</v>
      </c>
      <c r="T44" s="9">
        <v>14</v>
      </c>
      <c r="U44" s="9">
        <v>9</v>
      </c>
      <c r="W44" s="25" cm="1">
        <f t="array" ref="W44">_xlfn.LET(_xlpm.x, K44:K46, IF(SUM((_xlpm.x="K")*1, (_xlpm.x="A")*1, (_xlpm.x="GK")*1, (_xlpm.x="GA")*1)&gt;0, 3, 1))</f>
        <v>3</v>
      </c>
      <c r="X44" s="25" cm="1">
        <f t="array" ref="X44">_xlfn.LET(_xlpm.x, L44:L46, IF(SUM((_xlpm.x="K")*1, (_xlpm.x="A")*1, (_xlpm.x="GK")*1, (_xlpm.x="GA")*1)&gt;0, 3, 1))</f>
        <v>3</v>
      </c>
      <c r="Y44" s="25" cm="1">
        <f t="array" ref="Y44">_xlfn.LET(_xlpm.x, M44:M46, IF(SUM((_xlpm.x="K")*1, (_xlpm.x="A")*1, (_xlpm.x="GK")*1, (_xlpm.x="GA")*1)&gt;0, 3, 1))</f>
        <v>3</v>
      </c>
      <c r="Z44" s="25">
        <v>1</v>
      </c>
      <c r="AA44" s="25">
        <v>1</v>
      </c>
      <c r="AC44" s="138" t="str">
        <v>G4</v>
      </c>
      <c r="AD44" s="99">
        <v>0</v>
      </c>
      <c r="AE44" s="99">
        <v>10</v>
      </c>
      <c r="AF44" s="99">
        <v>44</v>
      </c>
      <c r="AG44" s="99">
        <v>4</v>
      </c>
      <c r="AH44" s="99">
        <v>0</v>
      </c>
      <c r="AI44" s="5"/>
      <c r="AJ44" s="138" t="str">
        <v>G4</v>
      </c>
      <c r="AK44" s="99">
        <v>0</v>
      </c>
      <c r="AL44" s="99">
        <v>10</v>
      </c>
      <c r="AM44" s="99">
        <v>44</v>
      </c>
      <c r="AN44" s="99">
        <v>4</v>
      </c>
      <c r="AO44" s="99">
        <v>0</v>
      </c>
    </row>
    <row r="45" spans="10:41" ht="16.5" customHeight="1" x14ac:dyDescent="0.3">
      <c r="J45" s="9">
        <v>41</v>
      </c>
      <c r="K45" s="16" t="s">
        <v>125</v>
      </c>
      <c r="L45" s="16" t="s">
        <v>23</v>
      </c>
      <c r="M45" s="16" t="s">
        <v>112</v>
      </c>
      <c r="N45" s="16" t="s">
        <v>95</v>
      </c>
      <c r="O45" s="16" t="s">
        <v>35</v>
      </c>
      <c r="Q45" s="9">
        <v>6</v>
      </c>
      <c r="R45" s="9">
        <v>7</v>
      </c>
      <c r="S45" s="9">
        <v>17</v>
      </c>
      <c r="T45" s="9">
        <v>18</v>
      </c>
      <c r="U45" s="9">
        <v>8</v>
      </c>
      <c r="W45" s="25" cm="1">
        <f t="array" ref="W45">_xlfn.LET(_xlpm.x, K45:K47, IF(SUM((_xlpm.x="K")*1, (_xlpm.x="A")*1, (_xlpm.x="GK")*1, (_xlpm.x="GA")*1)&gt;0, 3, 1))</f>
        <v>3</v>
      </c>
      <c r="X45" s="25" cm="1">
        <f t="array" ref="X45">_xlfn.LET(_xlpm.x, L45:L47, IF(SUM((_xlpm.x="K")*1, (_xlpm.x="A")*1, (_xlpm.x="GK")*1, (_xlpm.x="GA")*1)&gt;0, 3, 1))</f>
        <v>3</v>
      </c>
      <c r="Y45" s="25" cm="1">
        <f t="array" ref="Y45">_xlfn.LET(_xlpm.x, M45:M47, IF(SUM((_xlpm.x="K")*1, (_xlpm.x="A")*1, (_xlpm.x="GK")*1, (_xlpm.x="GA")*1)&gt;0, 3, 1))</f>
        <v>3</v>
      </c>
      <c r="Z45" s="25">
        <v>1</v>
      </c>
      <c r="AA45" s="25">
        <v>1</v>
      </c>
      <c r="AC45" s="138" t="str">
        <v>G5</v>
      </c>
      <c r="AD45" s="99">
        <v>0</v>
      </c>
      <c r="AE45" s="99">
        <v>10</v>
      </c>
      <c r="AF45" s="99">
        <v>44</v>
      </c>
      <c r="AG45" s="99">
        <v>4</v>
      </c>
      <c r="AH45" s="99">
        <v>0</v>
      </c>
      <c r="AI45" s="5"/>
      <c r="AJ45" s="138" t="str">
        <v>G5</v>
      </c>
      <c r="AK45" s="99">
        <v>0</v>
      </c>
      <c r="AL45" s="99">
        <v>10</v>
      </c>
      <c r="AM45" s="99">
        <v>44</v>
      </c>
      <c r="AN45" s="99">
        <v>4</v>
      </c>
      <c r="AO45" s="99">
        <v>0</v>
      </c>
    </row>
    <row r="46" spans="10:41" ht="16.5" customHeight="1" x14ac:dyDescent="0.3">
      <c r="J46" s="25">
        <v>42</v>
      </c>
      <c r="K46" s="16" t="s">
        <v>37</v>
      </c>
      <c r="L46" s="16" t="s">
        <v>19</v>
      </c>
      <c r="M46" s="16" t="s">
        <v>91</v>
      </c>
      <c r="N46" s="16" t="s">
        <v>35</v>
      </c>
      <c r="O46" s="16" t="s">
        <v>35</v>
      </c>
      <c r="Q46" s="9">
        <v>7</v>
      </c>
      <c r="R46" s="9">
        <v>5</v>
      </c>
      <c r="S46" s="9">
        <v>14</v>
      </c>
      <c r="T46" s="9">
        <v>8</v>
      </c>
      <c r="U46" s="9">
        <v>8</v>
      </c>
      <c r="W46" s="25" cm="1">
        <f t="array" ref="W46">_xlfn.LET(_xlpm.x, K46:K48, IF(SUM((_xlpm.x="K")*1, (_xlpm.x="A")*1, (_xlpm.x="GK")*1, (_xlpm.x="GA")*1)&gt;0, 3, 1))</f>
        <v>3</v>
      </c>
      <c r="X46" s="25" cm="1">
        <f t="array" ref="X46">_xlfn.LET(_xlpm.x, L46:L48, IF(SUM((_xlpm.x="K")*1, (_xlpm.x="A")*1, (_xlpm.x="GK")*1, (_xlpm.x="GA")*1)&gt;0, 3, 1))</f>
        <v>3</v>
      </c>
      <c r="Y46" s="25" cm="1">
        <f t="array" ref="Y46">_xlfn.LET(_xlpm.x, M46:M48, IF(SUM((_xlpm.x="K")*1, (_xlpm.x="A")*1, (_xlpm.x="GK")*1, (_xlpm.x="GA")*1)&gt;0, 3, 1))</f>
        <v>3</v>
      </c>
      <c r="Z46" s="25">
        <v>1</v>
      </c>
      <c r="AA46" s="25">
        <v>1</v>
      </c>
      <c r="AC46" s="138" t="str">
        <v>GA</v>
      </c>
      <c r="AD46" s="99">
        <v>0</v>
      </c>
      <c r="AE46" s="99">
        <v>10</v>
      </c>
      <c r="AF46" s="99">
        <v>44</v>
      </c>
      <c r="AG46" s="99">
        <v>4</v>
      </c>
      <c r="AH46" s="99">
        <v>0</v>
      </c>
      <c r="AI46" s="5"/>
      <c r="AJ46" s="138" t="str">
        <v>GA</v>
      </c>
      <c r="AK46" s="99">
        <v>0</v>
      </c>
      <c r="AL46" s="99">
        <v>10</v>
      </c>
      <c r="AM46" s="99">
        <v>44</v>
      </c>
      <c r="AN46" s="99">
        <v>4</v>
      </c>
      <c r="AO46" s="99">
        <v>0</v>
      </c>
    </row>
    <row r="47" spans="10:41" ht="16.5" customHeight="1" x14ac:dyDescent="0.3">
      <c r="J47" s="9">
        <v>43</v>
      </c>
      <c r="K47" s="16" t="s">
        <v>19</v>
      </c>
      <c r="L47" s="16" t="s">
        <v>112</v>
      </c>
      <c r="M47" s="16" t="s">
        <v>92</v>
      </c>
      <c r="N47" s="16" t="s">
        <v>36</v>
      </c>
      <c r="O47" s="16" t="s">
        <v>19</v>
      </c>
      <c r="Q47" s="9">
        <v>5</v>
      </c>
      <c r="R47" s="9">
        <v>17</v>
      </c>
      <c r="S47" s="9">
        <v>16</v>
      </c>
      <c r="T47" s="9">
        <v>10</v>
      </c>
      <c r="U47" s="9">
        <v>5</v>
      </c>
      <c r="W47" s="25" cm="1">
        <f t="array" ref="W47">_xlfn.LET(_xlpm.x, K47:K49, IF(SUM((_xlpm.x="K")*1, (_xlpm.x="A")*1, (_xlpm.x="GK")*1, (_xlpm.x="GA")*1)&gt;0, 3, 1))</f>
        <v>1</v>
      </c>
      <c r="X47" s="25" cm="1">
        <f t="array" ref="X47">_xlfn.LET(_xlpm.x, L47:L49, IF(SUM((_xlpm.x="K")*1, (_xlpm.x="A")*1, (_xlpm.x="GK")*1, (_xlpm.x="GA")*1)&gt;0, 3, 1))</f>
        <v>3</v>
      </c>
      <c r="Y47" s="25" cm="1">
        <f t="array" ref="Y47">_xlfn.LET(_xlpm.x, M47:M49, IF(SUM((_xlpm.x="K")*1, (_xlpm.x="A")*1, (_xlpm.x="GK")*1, (_xlpm.x="GA")*1)&gt;0, 3, 1))</f>
        <v>3</v>
      </c>
      <c r="Z47" s="25">
        <v>1</v>
      </c>
      <c r="AA47" s="25">
        <v>1</v>
      </c>
      <c r="AC47" s="138" t="str">
        <v>GK</v>
      </c>
      <c r="AD47" s="99">
        <v>0</v>
      </c>
      <c r="AE47" s="99">
        <v>10</v>
      </c>
      <c r="AF47" s="99">
        <v>44</v>
      </c>
      <c r="AG47" s="99">
        <v>4</v>
      </c>
      <c r="AH47" s="99">
        <v>0</v>
      </c>
      <c r="AI47" s="5"/>
      <c r="AJ47" s="138" t="str">
        <v>GK</v>
      </c>
      <c r="AK47" s="99">
        <v>0</v>
      </c>
      <c r="AL47" s="99">
        <v>10</v>
      </c>
      <c r="AM47" s="99">
        <v>44</v>
      </c>
      <c r="AN47" s="99">
        <v>4</v>
      </c>
      <c r="AO47" s="99">
        <v>0</v>
      </c>
    </row>
    <row r="48" spans="10:41" ht="16.5" customHeight="1" x14ac:dyDescent="0.3">
      <c r="J48" s="25">
        <v>44</v>
      </c>
      <c r="K48" s="16" t="s">
        <v>125</v>
      </c>
      <c r="L48" s="16" t="s">
        <v>20</v>
      </c>
      <c r="M48" s="16" t="s">
        <v>126</v>
      </c>
      <c r="N48" s="16" t="s">
        <v>125</v>
      </c>
      <c r="O48" s="16" t="s">
        <v>21</v>
      </c>
      <c r="Q48" s="9">
        <v>6</v>
      </c>
      <c r="R48" s="9">
        <v>1</v>
      </c>
      <c r="S48" s="9">
        <v>15</v>
      </c>
      <c r="T48" s="9">
        <v>6</v>
      </c>
      <c r="U48" s="9">
        <v>2</v>
      </c>
      <c r="W48" s="25" cm="1">
        <f t="array" ref="W48">_xlfn.LET(_xlpm.x, K48:K50, IF(SUM((_xlpm.x="K")*1, (_xlpm.x="A")*1, (_xlpm.x="GK")*1, (_xlpm.x="GA")*1)&gt;0, 3, 1))</f>
        <v>1</v>
      </c>
      <c r="X48" s="25" cm="1">
        <f t="array" ref="X48">_xlfn.LET(_xlpm.x, L48:L50, IF(SUM((_xlpm.x="K")*1, (_xlpm.x="A")*1, (_xlpm.x="GK")*1, (_xlpm.x="GA")*1)&gt;0, 3, 1))</f>
        <v>1</v>
      </c>
      <c r="Y48" s="25" cm="1">
        <f t="array" ref="Y48">_xlfn.LET(_xlpm.x, M48:M50, IF(SUM((_xlpm.x="K")*1, (_xlpm.x="A")*1, (_xlpm.x="GK")*1, (_xlpm.x="GA")*1)&gt;0, 3, 1))</f>
        <v>3</v>
      </c>
      <c r="Z48" s="25">
        <v>1</v>
      </c>
      <c r="AA48" s="25">
        <v>1</v>
      </c>
      <c r="AC48" s="138" t="str">
        <v>GQ</v>
      </c>
      <c r="AD48" s="99">
        <v>0</v>
      </c>
      <c r="AE48" s="99">
        <v>6</v>
      </c>
      <c r="AF48" s="99">
        <v>5</v>
      </c>
      <c r="AG48" s="99">
        <v>5</v>
      </c>
      <c r="AH48" s="99">
        <v>0</v>
      </c>
      <c r="AI48" s="5"/>
      <c r="AJ48" s="138" t="str">
        <v>GQ</v>
      </c>
      <c r="AK48" s="99">
        <v>0</v>
      </c>
      <c r="AL48" s="99">
        <v>6</v>
      </c>
      <c r="AM48" s="99">
        <v>5</v>
      </c>
      <c r="AN48" s="99">
        <v>5</v>
      </c>
      <c r="AO48" s="99">
        <v>0</v>
      </c>
    </row>
    <row r="49" spans="10:41" ht="16.5" customHeight="1" x14ac:dyDescent="0.3">
      <c r="J49" s="9">
        <v>45</v>
      </c>
      <c r="K49" s="16" t="s">
        <v>19</v>
      </c>
      <c r="L49" s="16" t="s">
        <v>126</v>
      </c>
      <c r="M49" s="16" t="s">
        <v>112</v>
      </c>
      <c r="N49" s="16" t="s">
        <v>125</v>
      </c>
      <c r="O49" s="16" t="s">
        <v>22</v>
      </c>
      <c r="Q49" s="9">
        <v>5</v>
      </c>
      <c r="R49" s="9">
        <v>15</v>
      </c>
      <c r="S49" s="9">
        <v>17</v>
      </c>
      <c r="T49" s="9">
        <v>6</v>
      </c>
      <c r="U49" s="9">
        <v>3</v>
      </c>
      <c r="W49" s="25" cm="1">
        <f t="array" ref="W49">_xlfn.LET(_xlpm.x, K49:K51, IF(SUM((_xlpm.x="K")*1, (_xlpm.x="A")*1, (_xlpm.x="GK")*1, (_xlpm.x="GA")*1)&gt;0, 3, 1))</f>
        <v>1</v>
      </c>
      <c r="X49" s="25" cm="1">
        <f t="array" ref="X49">_xlfn.LET(_xlpm.x, L49:L51, IF(SUM((_xlpm.x="K")*1, (_xlpm.x="A")*1, (_xlpm.x="GK")*1, (_xlpm.x="GA")*1)&gt;0, 3, 1))</f>
        <v>3</v>
      </c>
      <c r="Y49" s="25" cm="1">
        <f t="array" ref="Y49">_xlfn.LET(_xlpm.x, M49:M51, IF(SUM((_xlpm.x="K")*1, (_xlpm.x="A")*1, (_xlpm.x="GK")*1, (_xlpm.x="GA")*1)&gt;0, 3, 1))</f>
        <v>3</v>
      </c>
      <c r="Z49" s="25">
        <v>1</v>
      </c>
      <c r="AA49" s="25">
        <v>1</v>
      </c>
      <c r="AC49" s="138" t="str">
        <v>GJ</v>
      </c>
      <c r="AD49" s="99">
        <v>0</v>
      </c>
      <c r="AE49" s="99">
        <v>6</v>
      </c>
      <c r="AF49" s="99">
        <v>4</v>
      </c>
      <c r="AG49" s="99">
        <v>5</v>
      </c>
      <c r="AH49" s="99">
        <v>0</v>
      </c>
      <c r="AI49" s="5"/>
      <c r="AJ49" s="138" t="str">
        <v>GJ</v>
      </c>
      <c r="AK49" s="99">
        <v>0</v>
      </c>
      <c r="AL49" s="99">
        <v>6</v>
      </c>
      <c r="AM49" s="99">
        <v>4</v>
      </c>
      <c r="AN49" s="99">
        <v>5</v>
      </c>
      <c r="AO49" s="99">
        <v>0</v>
      </c>
    </row>
    <row r="50" spans="10:41" ht="16.5" customHeight="1" x14ac:dyDescent="0.3">
      <c r="J50" s="25">
        <v>46</v>
      </c>
      <c r="K50" s="16" t="s">
        <v>18</v>
      </c>
      <c r="L50" s="16" t="s">
        <v>125</v>
      </c>
      <c r="M50" s="16" t="s">
        <v>91</v>
      </c>
      <c r="N50" s="16" t="s">
        <v>22</v>
      </c>
      <c r="O50" s="16" t="s">
        <v>37</v>
      </c>
      <c r="Q50" s="9">
        <v>4</v>
      </c>
      <c r="R50" s="9">
        <v>6</v>
      </c>
      <c r="S50" s="9">
        <v>14</v>
      </c>
      <c r="T50" s="9">
        <v>3</v>
      </c>
      <c r="U50" s="9">
        <v>7</v>
      </c>
      <c r="W50" s="25" cm="1">
        <f t="array" ref="W50">_xlfn.LET(_xlpm.x, K50:K52, IF(SUM((_xlpm.x="K")*1, (_xlpm.x="A")*1, (_xlpm.x="GK")*1, (_xlpm.x="GA")*1)&gt;0, 3, 1))</f>
        <v>1</v>
      </c>
      <c r="X50" s="25" cm="1">
        <f t="array" ref="X50">_xlfn.LET(_xlpm.x, L50:L52, IF(SUM((_xlpm.x="K")*1, (_xlpm.x="A")*1, (_xlpm.x="GK")*1, (_xlpm.x="GA")*1)&gt;0, 3, 1))</f>
        <v>3</v>
      </c>
      <c r="Y50" s="25" cm="1">
        <f t="array" ref="Y50">_xlfn.LET(_xlpm.x, M50:M52, IF(SUM((_xlpm.x="K")*1, (_xlpm.x="A")*1, (_xlpm.x="GK")*1, (_xlpm.x="GA")*1)&gt;0, 3, 1))</f>
        <v>3</v>
      </c>
      <c r="Z50" s="25">
        <v>1</v>
      </c>
      <c r="AA50" s="25">
        <v>1</v>
      </c>
      <c r="AD50" s="113">
        <f>SUM(AD30:AD49)</f>
        <v>200</v>
      </c>
      <c r="AE50" s="113">
        <f>SUM(AE30:AE49)</f>
        <v>209</v>
      </c>
      <c r="AF50" s="113">
        <f>SUM(AF30:AF49)</f>
        <v>200</v>
      </c>
      <c r="AG50" s="113">
        <f>SUM(AG30:AG49)</f>
        <v>209</v>
      </c>
      <c r="AH50" s="113">
        <f>SUM(AH30:AH49)</f>
        <v>200</v>
      </c>
      <c r="AI50" s="5"/>
      <c r="AK50" s="113">
        <f>SUM(AK30:AK49)</f>
        <v>200</v>
      </c>
      <c r="AL50" s="113">
        <f>SUM(AL30:AL49)</f>
        <v>209</v>
      </c>
      <c r="AM50" s="113">
        <f>SUM(AM30:AM49)</f>
        <v>200</v>
      </c>
      <c r="AN50" s="113">
        <f>SUM(AN30:AN49)</f>
        <v>209</v>
      </c>
      <c r="AO50" s="113">
        <f>SUM(AO30:AO49)</f>
        <v>200</v>
      </c>
    </row>
    <row r="51" spans="10:41" ht="16.5" customHeight="1" x14ac:dyDescent="0.3">
      <c r="J51" s="9">
        <v>47</v>
      </c>
      <c r="K51" s="16" t="s">
        <v>19</v>
      </c>
      <c r="L51" s="16" t="s">
        <v>37</v>
      </c>
      <c r="M51" s="16" t="s">
        <v>112</v>
      </c>
      <c r="N51" s="16" t="s">
        <v>34</v>
      </c>
      <c r="O51" s="16" t="s">
        <v>37</v>
      </c>
      <c r="Q51" s="9">
        <v>5</v>
      </c>
      <c r="R51" s="9">
        <v>7</v>
      </c>
      <c r="S51" s="9">
        <v>17</v>
      </c>
      <c r="T51" s="9">
        <v>9</v>
      </c>
      <c r="U51" s="9">
        <v>7</v>
      </c>
      <c r="W51" s="25" cm="1">
        <f t="array" ref="W51">_xlfn.LET(_xlpm.x, K51:K53, IF(SUM((_xlpm.x="K")*1, (_xlpm.x="A")*1, (_xlpm.x="GK")*1, (_xlpm.x="GA")*1)&gt;0, 3, 1))</f>
        <v>3</v>
      </c>
      <c r="X51" s="25" cm="1">
        <f t="array" ref="X51">_xlfn.LET(_xlpm.x, L51:L53, IF(SUM((_xlpm.x="K")*1, (_xlpm.x="A")*1, (_xlpm.x="GK")*1, (_xlpm.x="GA")*1)&gt;0, 3, 1))</f>
        <v>3</v>
      </c>
      <c r="Y51" s="25" cm="1">
        <f t="array" ref="Y51">_xlfn.LET(_xlpm.x, M51:M53, IF(SUM((_xlpm.x="K")*1, (_xlpm.x="A")*1, (_xlpm.x="GK")*1, (_xlpm.x="GA")*1)&gt;0, 3, 1))</f>
        <v>3</v>
      </c>
      <c r="Z51" s="25">
        <v>1</v>
      </c>
      <c r="AA51" s="25">
        <v>1</v>
      </c>
      <c r="AH51" s="5"/>
      <c r="AI51" s="5"/>
      <c r="AO51" s="5"/>
    </row>
    <row r="52" spans="10:41" ht="16.5" customHeight="1" x14ac:dyDescent="0.3">
      <c r="J52" s="25">
        <v>48</v>
      </c>
      <c r="K52" s="16" t="s">
        <v>125</v>
      </c>
      <c r="L52" s="16" t="s">
        <v>37</v>
      </c>
      <c r="M52" s="16" t="s">
        <v>92</v>
      </c>
      <c r="N52" s="16" t="s">
        <v>22</v>
      </c>
      <c r="O52" s="16" t="s">
        <v>19</v>
      </c>
      <c r="Q52" s="9">
        <v>6</v>
      </c>
      <c r="R52" s="9">
        <v>7</v>
      </c>
      <c r="S52" s="9">
        <v>16</v>
      </c>
      <c r="T52" s="9">
        <v>3</v>
      </c>
      <c r="U52" s="9">
        <v>5</v>
      </c>
      <c r="W52" s="25" cm="1">
        <f t="array" ref="W52">_xlfn.LET(_xlpm.x, K52:K54, IF(SUM((_xlpm.x="K")*1, (_xlpm.x="A")*1, (_xlpm.x="GK")*1, (_xlpm.x="GA")*1)&gt;0, 3, 1))</f>
        <v>3</v>
      </c>
      <c r="X52" s="25" cm="1">
        <f t="array" ref="X52">_xlfn.LET(_xlpm.x, L52:L54, IF(SUM((_xlpm.x="K")*1, (_xlpm.x="A")*1, (_xlpm.x="GK")*1, (_xlpm.x="GA")*1)&gt;0, 3, 1))</f>
        <v>3</v>
      </c>
      <c r="Y52" s="25" cm="1">
        <f t="array" ref="Y52">_xlfn.LET(_xlpm.x, M52:M54, IF(SUM((_xlpm.x="K")*1, (_xlpm.x="A")*1, (_xlpm.x="GK")*1, (_xlpm.x="GA")*1)&gt;0, 3, 1))</f>
        <v>3</v>
      </c>
      <c r="Z52" s="25">
        <v>1</v>
      </c>
      <c r="AA52" s="25">
        <v>1</v>
      </c>
      <c r="AC52" s="27" t="s">
        <v>130</v>
      </c>
      <c r="AH52" s="5"/>
      <c r="AI52" s="5"/>
      <c r="AJ52" s="27" t="s">
        <v>130</v>
      </c>
      <c r="AO52" s="5"/>
    </row>
    <row r="53" spans="10:41" ht="16.5" customHeight="1" x14ac:dyDescent="0.3">
      <c r="J53" s="9">
        <v>49</v>
      </c>
      <c r="K53" s="16" t="s">
        <v>35</v>
      </c>
      <c r="L53" s="16" t="s">
        <v>328</v>
      </c>
      <c r="M53" s="16" t="s">
        <v>126</v>
      </c>
      <c r="N53" s="16" t="s">
        <v>125</v>
      </c>
      <c r="O53" s="16" t="s">
        <v>37</v>
      </c>
      <c r="Q53" s="9">
        <v>8</v>
      </c>
      <c r="R53" s="9">
        <v>15</v>
      </c>
      <c r="S53" s="9">
        <v>15</v>
      </c>
      <c r="T53" s="9">
        <v>6</v>
      </c>
      <c r="U53" s="9">
        <v>7</v>
      </c>
      <c r="W53" s="25" cm="1">
        <f t="array" ref="W53">_xlfn.LET(_xlpm.x, K53:K55, IF(SUM((_xlpm.x="K")*1, (_xlpm.x="A")*1, (_xlpm.x="GK")*1, (_xlpm.x="GA")*1)&gt;0, 3, 1))</f>
        <v>3</v>
      </c>
      <c r="X53" s="25" cm="1">
        <f t="array" ref="X53">_xlfn.LET(_xlpm.x, L53:L55, IF(SUM((_xlpm.x="K")*1, (_xlpm.x="A")*1, (_xlpm.x="GK")*1, (_xlpm.x="GA")*1)&gt;0, 3, 1))</f>
        <v>3</v>
      </c>
      <c r="Y53" s="25" cm="1">
        <f t="array" ref="Y53">_xlfn.LET(_xlpm.x, M53:M55, IF(SUM((_xlpm.x="K")*1, (_xlpm.x="A")*1, (_xlpm.x="GK")*1, (_xlpm.x="GA")*1)&gt;0, 3, 1))</f>
        <v>1</v>
      </c>
      <c r="Z53" s="25">
        <v>1</v>
      </c>
      <c r="AA53" s="25">
        <v>1</v>
      </c>
      <c r="AC53" s="135" t="s">
        <v>42</v>
      </c>
      <c r="AD53" s="135" t="s">
        <v>13</v>
      </c>
      <c r="AE53" s="135" t="s">
        <v>14</v>
      </c>
      <c r="AF53" s="135" t="s">
        <v>15</v>
      </c>
      <c r="AG53" s="135" t="s">
        <v>16</v>
      </c>
      <c r="AH53" s="135" t="s">
        <v>17</v>
      </c>
      <c r="AI53" s="5"/>
      <c r="AJ53" s="135" t="s">
        <v>42</v>
      </c>
      <c r="AK53" s="135" t="s">
        <v>13</v>
      </c>
      <c r="AL53" s="135" t="s">
        <v>14</v>
      </c>
      <c r="AM53" s="135" t="s">
        <v>15</v>
      </c>
      <c r="AN53" s="135" t="s">
        <v>16</v>
      </c>
      <c r="AO53" s="135" t="s">
        <v>17</v>
      </c>
    </row>
    <row r="54" spans="10:41" ht="16.5" customHeight="1" x14ac:dyDescent="0.3">
      <c r="J54" s="25">
        <v>50</v>
      </c>
      <c r="K54" s="16" t="s">
        <v>37</v>
      </c>
      <c r="L54" s="16" t="s">
        <v>328</v>
      </c>
      <c r="M54" s="16" t="s">
        <v>90</v>
      </c>
      <c r="N54" s="16" t="s">
        <v>125</v>
      </c>
      <c r="O54" s="16" t="s">
        <v>22</v>
      </c>
      <c r="Q54" s="9">
        <v>7</v>
      </c>
      <c r="R54" s="9">
        <v>15</v>
      </c>
      <c r="S54" s="9">
        <v>13</v>
      </c>
      <c r="T54" s="9">
        <v>6</v>
      </c>
      <c r="U54" s="9">
        <v>3</v>
      </c>
      <c r="W54" s="25" cm="1">
        <f t="array" ref="W54">_xlfn.LET(_xlpm.x, K54:K56, IF(SUM((_xlpm.x="K")*1, (_xlpm.x="A")*1, (_xlpm.x="GK")*1, (_xlpm.x="GA")*1)&gt;0, 3, 1))</f>
        <v>3</v>
      </c>
      <c r="X54" s="25" cm="1">
        <f t="array" ref="X54">_xlfn.LET(_xlpm.x, L54:L56, IF(SUM((_xlpm.x="K")*1, (_xlpm.x="A")*1, (_xlpm.x="GK")*1, (_xlpm.x="GA")*1)&gt;0, 3, 1))</f>
        <v>3</v>
      </c>
      <c r="Y54" s="25" cm="1">
        <f t="array" ref="Y54">_xlfn.LET(_xlpm.x, M54:M56, IF(SUM((_xlpm.x="K")*1, (_xlpm.x="A")*1, (_xlpm.x="GK")*1, (_xlpm.x="GA")*1)&gt;0, 3, 1))</f>
        <v>1</v>
      </c>
      <c r="Z54" s="25">
        <v>1</v>
      </c>
      <c r="AA54" s="25">
        <v>1</v>
      </c>
      <c r="AC54" s="138" t="str" cm="1">
        <f t="array" ref="AC54:AC73">$A$4:$A$23</f>
        <v>WW</v>
      </c>
      <c r="AD54" s="139">
        <v>0</v>
      </c>
      <c r="AE54" s="139">
        <v>0</v>
      </c>
      <c r="AF54" s="139">
        <v>0</v>
      </c>
      <c r="AG54" s="139">
        <v>0</v>
      </c>
      <c r="AH54" s="139">
        <v>0</v>
      </c>
      <c r="AI54" s="5"/>
      <c r="AJ54" s="138" t="str" cm="1">
        <f t="array" ref="AJ54:AJ73">$A$4:$A$23</f>
        <v>WW</v>
      </c>
      <c r="AK54" s="139">
        <v>0</v>
      </c>
      <c r="AL54" s="139">
        <v>0</v>
      </c>
      <c r="AM54" s="139">
        <v>0</v>
      </c>
      <c r="AN54" s="139">
        <v>0</v>
      </c>
      <c r="AO54" s="139">
        <v>0</v>
      </c>
    </row>
    <row r="55" spans="10:41" ht="16.5" customHeight="1" x14ac:dyDescent="0.3">
      <c r="J55" s="9">
        <v>51</v>
      </c>
      <c r="K55" s="16" t="s">
        <v>35</v>
      </c>
      <c r="L55" s="16" t="s">
        <v>31</v>
      </c>
      <c r="M55" s="16" t="s">
        <v>126</v>
      </c>
      <c r="N55" s="16" t="s">
        <v>90</v>
      </c>
      <c r="O55" s="16" t="s">
        <v>19</v>
      </c>
      <c r="Q55" s="9">
        <v>8</v>
      </c>
      <c r="R55" s="9">
        <v>8</v>
      </c>
      <c r="S55" s="9">
        <v>15</v>
      </c>
      <c r="T55" s="9">
        <v>13</v>
      </c>
      <c r="U55" s="9">
        <v>5</v>
      </c>
      <c r="W55" s="25" cm="1">
        <f t="array" ref="W55">_xlfn.LET(_xlpm.x, K55:K57, IF(SUM((_xlpm.x="K")*1, (_xlpm.x="A")*1, (_xlpm.x="GK")*1, (_xlpm.x="GA")*1)&gt;0, 3, 1))</f>
        <v>3</v>
      </c>
      <c r="X55" s="25" cm="1">
        <f t="array" ref="X55">_xlfn.LET(_xlpm.x, L55:L57, IF(SUM((_xlpm.x="K")*1, (_xlpm.x="A")*1, (_xlpm.x="GK")*1, (_xlpm.x="GA")*1)&gt;0, 3, 1))</f>
        <v>3</v>
      </c>
      <c r="Y55" s="25" cm="1">
        <f t="array" ref="Y55">_xlfn.LET(_xlpm.x, M55:M57, IF(SUM((_xlpm.x="K")*1, (_xlpm.x="A")*1, (_xlpm.x="GK")*1, (_xlpm.x="GA")*1)&gt;0, 3, 1))</f>
        <v>1</v>
      </c>
      <c r="Z55" s="25">
        <v>1</v>
      </c>
      <c r="AA55" s="25">
        <v>1</v>
      </c>
      <c r="AC55" s="138" t="str">
        <v>C1</v>
      </c>
      <c r="AD55" s="138">
        <v>0</v>
      </c>
      <c r="AE55" s="138">
        <v>6</v>
      </c>
      <c r="AF55" s="138">
        <v>0</v>
      </c>
      <c r="AG55" s="138">
        <v>9</v>
      </c>
      <c r="AH55" s="138">
        <v>0</v>
      </c>
      <c r="AI55" s="5"/>
      <c r="AJ55" s="138" t="str">
        <v>C1</v>
      </c>
      <c r="AK55" s="138">
        <v>0</v>
      </c>
      <c r="AL55" s="138">
        <v>6</v>
      </c>
      <c r="AM55" s="138">
        <v>0</v>
      </c>
      <c r="AN55" s="138">
        <v>9</v>
      </c>
      <c r="AO55" s="138">
        <v>0</v>
      </c>
    </row>
    <row r="56" spans="10:41" ht="16.5" customHeight="1" x14ac:dyDescent="0.3">
      <c r="J56" s="25">
        <v>52</v>
      </c>
      <c r="K56" s="16" t="s">
        <v>35</v>
      </c>
      <c r="L56" s="16" t="s">
        <v>37</v>
      </c>
      <c r="M56" s="16" t="s">
        <v>91</v>
      </c>
      <c r="N56" s="16" t="s">
        <v>36</v>
      </c>
      <c r="O56" s="16" t="s">
        <v>36</v>
      </c>
      <c r="Q56" s="9">
        <v>8</v>
      </c>
      <c r="R56" s="9">
        <v>7</v>
      </c>
      <c r="S56" s="9">
        <v>14</v>
      </c>
      <c r="T56" s="9">
        <v>10</v>
      </c>
      <c r="U56" s="9">
        <v>10</v>
      </c>
      <c r="W56" s="25" cm="1">
        <f t="array" ref="W56">_xlfn.LET(_xlpm.x, K56:K58, IF(SUM((_xlpm.x="K")*1, (_xlpm.x="A")*1, (_xlpm.x="GK")*1, (_xlpm.x="GA")*1)&gt;0, 3, 1))</f>
        <v>3</v>
      </c>
      <c r="X56" s="25" cm="1">
        <f t="array" ref="X56">_xlfn.LET(_xlpm.x, L56:L58, IF(SUM((_xlpm.x="K")*1, (_xlpm.x="A")*1, (_xlpm.x="GK")*1, (_xlpm.x="GA")*1)&gt;0, 3, 1))</f>
        <v>3</v>
      </c>
      <c r="Y56" s="25" cm="1">
        <f t="array" ref="Y56">_xlfn.LET(_xlpm.x, M56:M58, IF(SUM((_xlpm.x="K")*1, (_xlpm.x="A")*1, (_xlpm.x="GK")*1, (_xlpm.x="GA")*1)&gt;0, 3, 1))</f>
        <v>3</v>
      </c>
      <c r="Z56" s="25">
        <v>1</v>
      </c>
      <c r="AA56" s="25">
        <v>1</v>
      </c>
      <c r="AC56" s="154" t="str">
        <v>M1</v>
      </c>
      <c r="AD56" s="133">
        <v>4</v>
      </c>
      <c r="AE56" s="133">
        <v>11</v>
      </c>
      <c r="AF56" s="133">
        <v>0</v>
      </c>
      <c r="AG56" s="133">
        <v>22</v>
      </c>
      <c r="AH56" s="133">
        <v>28</v>
      </c>
      <c r="AI56" s="5"/>
      <c r="AJ56" s="154" t="str">
        <v>M1</v>
      </c>
      <c r="AK56" s="133">
        <v>4</v>
      </c>
      <c r="AL56" s="133">
        <v>11</v>
      </c>
      <c r="AM56" s="133">
        <v>0</v>
      </c>
      <c r="AN56" s="133">
        <v>22</v>
      </c>
      <c r="AO56" s="133">
        <v>28</v>
      </c>
    </row>
    <row r="57" spans="10:41" ht="16.5" customHeight="1" x14ac:dyDescent="0.3">
      <c r="J57" s="9">
        <v>53</v>
      </c>
      <c r="K57" s="16" t="s">
        <v>19</v>
      </c>
      <c r="L57" s="16" t="s">
        <v>329</v>
      </c>
      <c r="M57" s="16" t="s">
        <v>126</v>
      </c>
      <c r="N57" s="16" t="s">
        <v>89</v>
      </c>
      <c r="O57" s="16" t="s">
        <v>18</v>
      </c>
      <c r="Q57" s="9">
        <v>5</v>
      </c>
      <c r="R57" s="9">
        <v>14</v>
      </c>
      <c r="S57" s="9">
        <v>15</v>
      </c>
      <c r="T57" s="9">
        <v>12</v>
      </c>
      <c r="U57" s="9">
        <v>4</v>
      </c>
      <c r="W57" s="25" cm="1">
        <f t="array" ref="W57">_xlfn.LET(_xlpm.x, K57:K59, IF(SUM((_xlpm.x="K")*1, (_xlpm.x="A")*1, (_xlpm.x="GK")*1, (_xlpm.x="GA")*1)&gt;0, 3, 1))</f>
        <v>3</v>
      </c>
      <c r="X57" s="25" cm="1">
        <f t="array" ref="X57">_xlfn.LET(_xlpm.x, L57:L59, IF(SUM((_xlpm.x="K")*1, (_xlpm.x="A")*1, (_xlpm.x="GK")*1, (_xlpm.x="GA")*1)&gt;0, 3, 1))</f>
        <v>3</v>
      </c>
      <c r="Y57" s="25" cm="1">
        <f t="array" ref="Y57">_xlfn.LET(_xlpm.x, M57:M59, IF(SUM((_xlpm.x="K")*1, (_xlpm.x="A")*1, (_xlpm.x="GK")*1, (_xlpm.x="GA")*1)&gt;0, 3, 1))</f>
        <v>3</v>
      </c>
      <c r="Z57" s="25">
        <v>1</v>
      </c>
      <c r="AA57" s="25">
        <v>1</v>
      </c>
      <c r="AC57" s="154" t="str">
        <v>M2</v>
      </c>
      <c r="AD57" s="133">
        <v>4</v>
      </c>
      <c r="AE57" s="133">
        <v>11</v>
      </c>
      <c r="AF57" s="133">
        <v>0</v>
      </c>
      <c r="AG57" s="133">
        <v>22</v>
      </c>
      <c r="AH57" s="133">
        <v>27</v>
      </c>
      <c r="AI57" s="5"/>
      <c r="AJ57" s="154" t="str">
        <v>M2</v>
      </c>
      <c r="AK57" s="133">
        <v>4</v>
      </c>
      <c r="AL57" s="133">
        <v>11</v>
      </c>
      <c r="AM57" s="133">
        <v>0</v>
      </c>
      <c r="AN57" s="133">
        <v>22</v>
      </c>
      <c r="AO57" s="133">
        <v>27</v>
      </c>
    </row>
    <row r="58" spans="10:41" ht="16.5" customHeight="1" x14ac:dyDescent="0.3">
      <c r="J58" s="25">
        <v>54</v>
      </c>
      <c r="K58" s="16" t="s">
        <v>35</v>
      </c>
      <c r="L58" s="16" t="s">
        <v>93</v>
      </c>
      <c r="M58" s="16" t="s">
        <v>92</v>
      </c>
      <c r="N58" s="16" t="s">
        <v>37</v>
      </c>
      <c r="O58" s="16" t="s">
        <v>19</v>
      </c>
      <c r="Q58" s="9">
        <v>8</v>
      </c>
      <c r="R58" s="9">
        <v>16</v>
      </c>
      <c r="S58" s="9">
        <v>16</v>
      </c>
      <c r="T58" s="9">
        <v>7</v>
      </c>
      <c r="U58" s="9">
        <v>5</v>
      </c>
      <c r="W58" s="25" cm="1">
        <f t="array" ref="W58">_xlfn.LET(_xlpm.x, K58:K60, IF(SUM((_xlpm.x="K")*1, (_xlpm.x="A")*1, (_xlpm.x="GK")*1, (_xlpm.x="GA")*1)&gt;0, 3, 1))</f>
        <v>3</v>
      </c>
      <c r="X58" s="25" cm="1">
        <f t="array" ref="X58">_xlfn.LET(_xlpm.x, L58:L60, IF(SUM((_xlpm.x="K")*1, (_xlpm.x="A")*1, (_xlpm.x="GK")*1, (_xlpm.x="GA")*1)&gt;0, 3, 1))</f>
        <v>3</v>
      </c>
      <c r="Y58" s="25" cm="1">
        <f t="array" ref="Y58">_xlfn.LET(_xlpm.x, M58:M60, IF(SUM((_xlpm.x="K")*1, (_xlpm.x="A")*1, (_xlpm.x="GK")*1, (_xlpm.x="GA")*1)&gt;0, 3, 1))</f>
        <v>3</v>
      </c>
      <c r="Z58" s="25">
        <v>1</v>
      </c>
      <c r="AA58" s="25">
        <v>1</v>
      </c>
      <c r="AC58" s="154" t="str">
        <v>M3</v>
      </c>
      <c r="AD58" s="133">
        <v>4</v>
      </c>
      <c r="AE58" s="133">
        <v>11</v>
      </c>
      <c r="AF58" s="133">
        <v>0</v>
      </c>
      <c r="AG58" s="133">
        <v>22</v>
      </c>
      <c r="AH58" s="133">
        <v>27</v>
      </c>
      <c r="AI58" s="5"/>
      <c r="AJ58" s="154" t="str">
        <v>M3</v>
      </c>
      <c r="AK58" s="133">
        <v>4</v>
      </c>
      <c r="AL58" s="133">
        <v>11</v>
      </c>
      <c r="AM58" s="133">
        <v>0</v>
      </c>
      <c r="AN58" s="133">
        <v>22</v>
      </c>
      <c r="AO58" s="133">
        <v>27</v>
      </c>
    </row>
    <row r="59" spans="10:41" ht="16.5" customHeight="1" x14ac:dyDescent="0.3">
      <c r="J59" s="9">
        <v>55</v>
      </c>
      <c r="K59" s="16" t="s">
        <v>37</v>
      </c>
      <c r="L59" s="16" t="s">
        <v>23</v>
      </c>
      <c r="M59" s="16" t="s">
        <v>126</v>
      </c>
      <c r="N59" s="16" t="s">
        <v>90</v>
      </c>
      <c r="O59" s="16" t="s">
        <v>22</v>
      </c>
      <c r="Q59" s="9">
        <v>7</v>
      </c>
      <c r="R59" s="9">
        <v>7</v>
      </c>
      <c r="S59" s="9">
        <v>15</v>
      </c>
      <c r="T59" s="9">
        <v>13</v>
      </c>
      <c r="U59" s="9">
        <v>3</v>
      </c>
      <c r="W59" s="25" cm="1">
        <f t="array" ref="W59">_xlfn.LET(_xlpm.x, K59:K61, IF(SUM((_xlpm.x="K")*1, (_xlpm.x="A")*1, (_xlpm.x="GK")*1, (_xlpm.x="GA")*1)&gt;0, 3, 1))</f>
        <v>3</v>
      </c>
      <c r="X59" s="25" cm="1">
        <f t="array" ref="X59">_xlfn.LET(_xlpm.x, L59:L61, IF(SUM((_xlpm.x="K")*1, (_xlpm.x="A")*1, (_xlpm.x="GK")*1, (_xlpm.x="GA")*1)&gt;0, 3, 1))</f>
        <v>3</v>
      </c>
      <c r="Y59" s="25" cm="1">
        <f t="array" ref="Y59">_xlfn.LET(_xlpm.x, M59:M61, IF(SUM((_xlpm.x="K")*1, (_xlpm.x="A")*1, (_xlpm.x="GK")*1, (_xlpm.x="GA")*1)&gt;0, 3, 1))</f>
        <v>3</v>
      </c>
      <c r="Z59" s="25">
        <v>1</v>
      </c>
      <c r="AA59" s="25">
        <v>1</v>
      </c>
      <c r="AC59" s="154" t="str">
        <v>M4</v>
      </c>
      <c r="AD59" s="133">
        <v>43</v>
      </c>
      <c r="AE59" s="133">
        <v>19</v>
      </c>
      <c r="AF59" s="133">
        <v>0</v>
      </c>
      <c r="AG59" s="133">
        <v>12</v>
      </c>
      <c r="AH59" s="133">
        <v>16</v>
      </c>
      <c r="AI59" s="5"/>
      <c r="AJ59" s="154" t="str">
        <v>M4</v>
      </c>
      <c r="AK59" s="133">
        <v>43</v>
      </c>
      <c r="AL59" s="133">
        <v>19</v>
      </c>
      <c r="AM59" s="133">
        <v>0</v>
      </c>
      <c r="AN59" s="133">
        <v>12</v>
      </c>
      <c r="AO59" s="133">
        <v>16</v>
      </c>
    </row>
    <row r="60" spans="10:41" ht="16.5" customHeight="1" x14ac:dyDescent="0.3">
      <c r="J60" s="25">
        <v>56</v>
      </c>
      <c r="K60" s="16" t="s">
        <v>19</v>
      </c>
      <c r="L60" s="16" t="s">
        <v>29</v>
      </c>
      <c r="M60" s="16" t="s">
        <v>88</v>
      </c>
      <c r="N60" s="16" t="s">
        <v>22</v>
      </c>
      <c r="O60" s="16" t="s">
        <v>125</v>
      </c>
      <c r="Q60" s="9">
        <v>5</v>
      </c>
      <c r="R60" s="9">
        <v>5</v>
      </c>
      <c r="S60" s="9">
        <v>11</v>
      </c>
      <c r="T60" s="9">
        <v>3</v>
      </c>
      <c r="U60" s="9">
        <v>6</v>
      </c>
      <c r="W60" s="25" cm="1">
        <f t="array" ref="W60">_xlfn.LET(_xlpm.x, K60:K62, IF(SUM((_xlpm.x="K")*1, (_xlpm.x="A")*1, (_xlpm.x="GK")*1, (_xlpm.x="GA")*1)&gt;0, 3, 1))</f>
        <v>1</v>
      </c>
      <c r="X60" s="25" cm="1">
        <f t="array" ref="X60">_xlfn.LET(_xlpm.x, L60:L62, IF(SUM((_xlpm.x="K")*1, (_xlpm.x="A")*1, (_xlpm.x="GK")*1, (_xlpm.x="GA")*1)&gt;0, 3, 1))</f>
        <v>1</v>
      </c>
      <c r="Y60" s="25" cm="1">
        <f t="array" ref="Y60">_xlfn.LET(_xlpm.x, M60:M62, IF(SUM((_xlpm.x="K")*1, (_xlpm.x="A")*1, (_xlpm.x="GK")*1, (_xlpm.x="GA")*1)&gt;0, 3, 1))</f>
        <v>3</v>
      </c>
      <c r="Z60" s="25">
        <v>1</v>
      </c>
      <c r="AA60" s="25">
        <v>1</v>
      </c>
      <c r="AC60" s="154" t="str">
        <v>M5</v>
      </c>
      <c r="AD60" s="133">
        <v>43</v>
      </c>
      <c r="AE60" s="133">
        <v>20</v>
      </c>
      <c r="AF60" s="133">
        <v>0</v>
      </c>
      <c r="AG60" s="133">
        <v>12</v>
      </c>
      <c r="AH60" s="133">
        <v>16</v>
      </c>
      <c r="AI60" s="5"/>
      <c r="AJ60" s="154" t="str">
        <v>M5</v>
      </c>
      <c r="AK60" s="133">
        <v>43</v>
      </c>
      <c r="AL60" s="133">
        <v>20</v>
      </c>
      <c r="AM60" s="133">
        <v>0</v>
      </c>
      <c r="AN60" s="133">
        <v>12</v>
      </c>
      <c r="AO60" s="133">
        <v>16</v>
      </c>
    </row>
    <row r="61" spans="10:41" x14ac:dyDescent="0.3">
      <c r="J61" s="9">
        <v>57</v>
      </c>
      <c r="K61" s="16" t="s">
        <v>19</v>
      </c>
      <c r="L61" s="16" t="s">
        <v>328</v>
      </c>
      <c r="M61" s="16" t="s">
        <v>112</v>
      </c>
      <c r="N61" s="16" t="s">
        <v>22</v>
      </c>
      <c r="O61" s="16" t="s">
        <v>125</v>
      </c>
      <c r="Q61" s="9">
        <v>5</v>
      </c>
      <c r="R61" s="9">
        <v>15</v>
      </c>
      <c r="S61" s="9">
        <v>17</v>
      </c>
      <c r="T61" s="9">
        <v>3</v>
      </c>
      <c r="U61" s="9">
        <v>6</v>
      </c>
      <c r="W61" s="25" cm="1">
        <f t="array" ref="W61">_xlfn.LET(_xlpm.x, K61:K63, IF(SUM((_xlpm.x="K")*1, (_xlpm.x="A")*1, (_xlpm.x="GK")*1, (_xlpm.x="GA")*1)&gt;0, 3, 1))</f>
        <v>3</v>
      </c>
      <c r="X61" s="25" cm="1">
        <f t="array" ref="X61">_xlfn.LET(_xlpm.x, L61:L63, IF(SUM((_xlpm.x="K")*1, (_xlpm.x="A")*1, (_xlpm.x="GK")*1, (_xlpm.x="GA")*1)&gt;0, 3, 1))</f>
        <v>1</v>
      </c>
      <c r="Y61" s="25" cm="1">
        <f t="array" ref="Y61">_xlfn.LET(_xlpm.x, M61:M63, IF(SUM((_xlpm.x="K")*1, (_xlpm.x="A")*1, (_xlpm.x="GK")*1, (_xlpm.x="GA")*1)&gt;0, 3, 1))</f>
        <v>3</v>
      </c>
      <c r="Z61" s="25">
        <v>1</v>
      </c>
      <c r="AA61" s="25">
        <v>1</v>
      </c>
      <c r="AC61" s="154" t="str">
        <v>A</v>
      </c>
      <c r="AD61" s="133">
        <v>47</v>
      </c>
      <c r="AE61" s="133">
        <v>20</v>
      </c>
      <c r="AF61" s="133">
        <v>0</v>
      </c>
      <c r="AG61" s="133">
        <v>12</v>
      </c>
      <c r="AH61" s="133">
        <v>16</v>
      </c>
      <c r="AI61" s="5"/>
      <c r="AJ61" s="154" t="str">
        <v>A</v>
      </c>
      <c r="AK61" s="133">
        <v>47</v>
      </c>
      <c r="AL61" s="133">
        <v>20</v>
      </c>
      <c r="AM61" s="133">
        <v>0</v>
      </c>
      <c r="AN61" s="133">
        <v>12</v>
      </c>
      <c r="AO61" s="133">
        <v>16</v>
      </c>
    </row>
    <row r="62" spans="10:41" x14ac:dyDescent="0.3">
      <c r="J62" s="25">
        <v>58</v>
      </c>
      <c r="K62" s="16" t="s">
        <v>19</v>
      </c>
      <c r="L62" s="16" t="s">
        <v>326</v>
      </c>
      <c r="M62" s="16" t="s">
        <v>89</v>
      </c>
      <c r="N62" s="16" t="s">
        <v>22</v>
      </c>
      <c r="O62" s="16" t="s">
        <v>21</v>
      </c>
      <c r="Q62" s="9">
        <v>5</v>
      </c>
      <c r="R62" s="9">
        <v>6</v>
      </c>
      <c r="S62" s="9">
        <v>12</v>
      </c>
      <c r="T62" s="9">
        <v>3</v>
      </c>
      <c r="U62" s="9">
        <v>2</v>
      </c>
      <c r="W62" s="25" cm="1">
        <f t="array" ref="W62">_xlfn.LET(_xlpm.x, K62:K64, IF(SUM((_xlpm.x="K")*1, (_xlpm.x="A")*1, (_xlpm.x="GK")*1, (_xlpm.x="GA")*1)&gt;0, 3, 1))</f>
        <v>3</v>
      </c>
      <c r="X62" s="25" cm="1">
        <f t="array" ref="X62">_xlfn.LET(_xlpm.x, L62:L64, IF(SUM((_xlpm.x="K")*1, (_xlpm.x="A")*1, (_xlpm.x="GK")*1, (_xlpm.x="GA")*1)&gt;0, 3, 1))</f>
        <v>1</v>
      </c>
      <c r="Y62" s="25" cm="1">
        <f t="array" ref="Y62">_xlfn.LET(_xlpm.x, M62:M64, IF(SUM((_xlpm.x="K")*1, (_xlpm.x="A")*1, (_xlpm.x="GK")*1, (_xlpm.x="GA")*1)&gt;0, 3, 1))</f>
        <v>1</v>
      </c>
      <c r="Z62" s="25">
        <v>1</v>
      </c>
      <c r="AA62" s="25">
        <v>1</v>
      </c>
      <c r="AC62" s="154" t="str">
        <v>K</v>
      </c>
      <c r="AD62" s="133">
        <v>47</v>
      </c>
      <c r="AE62" s="133">
        <v>20</v>
      </c>
      <c r="AF62" s="133">
        <v>0</v>
      </c>
      <c r="AG62" s="133">
        <v>12</v>
      </c>
      <c r="AH62" s="133">
        <v>16</v>
      </c>
      <c r="AI62" s="5"/>
      <c r="AJ62" s="154" t="str">
        <v>K</v>
      </c>
      <c r="AK62" s="133">
        <v>47</v>
      </c>
      <c r="AL62" s="133">
        <v>20</v>
      </c>
      <c r="AM62" s="133">
        <v>0</v>
      </c>
      <c r="AN62" s="133">
        <v>12</v>
      </c>
      <c r="AO62" s="133">
        <v>16</v>
      </c>
    </row>
    <row r="63" spans="10:41" ht="16.5" customHeight="1" x14ac:dyDescent="0.3">
      <c r="J63" s="9">
        <v>59</v>
      </c>
      <c r="K63" s="16" t="s">
        <v>37</v>
      </c>
      <c r="L63" s="16" t="s">
        <v>29</v>
      </c>
      <c r="M63" s="16" t="s">
        <v>88</v>
      </c>
      <c r="N63" s="16" t="s">
        <v>91</v>
      </c>
      <c r="O63" s="16" t="s">
        <v>37</v>
      </c>
      <c r="Q63" s="9">
        <v>7</v>
      </c>
      <c r="R63" s="9">
        <v>5</v>
      </c>
      <c r="S63" s="9">
        <v>11</v>
      </c>
      <c r="T63" s="9">
        <v>14</v>
      </c>
      <c r="U63" s="9">
        <v>7</v>
      </c>
      <c r="W63" s="25" cm="1">
        <f t="array" ref="W63">_xlfn.LET(_xlpm.x, K63:K65, IF(SUM((_xlpm.x="K")*1, (_xlpm.x="A")*1, (_xlpm.x="GK")*1, (_xlpm.x="GA")*1)&gt;0, 3, 1))</f>
        <v>3</v>
      </c>
      <c r="X63" s="25" cm="1">
        <f t="array" ref="X63">_xlfn.LET(_xlpm.x, L63:L65, IF(SUM((_xlpm.x="K")*1, (_xlpm.x="A")*1, (_xlpm.x="GK")*1, (_xlpm.x="GA")*1)&gt;0, 3, 1))</f>
        <v>3</v>
      </c>
      <c r="Y63" s="25" cm="1">
        <f t="array" ref="Y63">_xlfn.LET(_xlpm.x, M63:M65, IF(SUM((_xlpm.x="K")*1, (_xlpm.x="A")*1, (_xlpm.x="GK")*1, (_xlpm.x="GA")*1)&gt;0, 3, 1))</f>
        <v>3</v>
      </c>
      <c r="Z63" s="25">
        <v>1</v>
      </c>
      <c r="AA63" s="25">
        <v>1</v>
      </c>
      <c r="AC63" s="154" t="str">
        <v>Q</v>
      </c>
      <c r="AD63" s="133">
        <v>4</v>
      </c>
      <c r="AE63" s="133">
        <v>11</v>
      </c>
      <c r="AF63" s="133">
        <v>0</v>
      </c>
      <c r="AG63" s="133">
        <v>21</v>
      </c>
      <c r="AH63" s="133">
        <v>27</v>
      </c>
      <c r="AI63" s="5"/>
      <c r="AJ63" s="154" t="str">
        <v>Q</v>
      </c>
      <c r="AK63" s="133">
        <v>4</v>
      </c>
      <c r="AL63" s="133">
        <v>11</v>
      </c>
      <c r="AM63" s="133">
        <v>0</v>
      </c>
      <c r="AN63" s="133">
        <v>21</v>
      </c>
      <c r="AO63" s="133">
        <v>27</v>
      </c>
    </row>
    <row r="64" spans="10:41" ht="16.5" customHeight="1" x14ac:dyDescent="0.3">
      <c r="J64" s="25">
        <v>60</v>
      </c>
      <c r="K64" s="16" t="s">
        <v>19</v>
      </c>
      <c r="L64" s="16" t="s">
        <v>329</v>
      </c>
      <c r="M64" s="16" t="s">
        <v>90</v>
      </c>
      <c r="N64" s="16" t="s">
        <v>21</v>
      </c>
      <c r="O64" s="16" t="s">
        <v>34</v>
      </c>
      <c r="Q64" s="9">
        <v>5</v>
      </c>
      <c r="R64" s="9">
        <v>14</v>
      </c>
      <c r="S64" s="9">
        <v>13</v>
      </c>
      <c r="T64" s="9">
        <v>2</v>
      </c>
      <c r="U64" s="9">
        <v>9</v>
      </c>
      <c r="W64" s="25" cm="1">
        <f t="array" ref="W64">_xlfn.LET(_xlpm.x, K64:K66, IF(SUM((_xlpm.x="K")*1, (_xlpm.x="A")*1, (_xlpm.x="GK")*1, (_xlpm.x="GA")*1)&gt;0, 3, 1))</f>
        <v>3</v>
      </c>
      <c r="X64" s="25" cm="1">
        <f t="array" ref="X64">_xlfn.LET(_xlpm.x, L64:L66, IF(SUM((_xlpm.x="K")*1, (_xlpm.x="A")*1, (_xlpm.x="GK")*1, (_xlpm.x="GA")*1)&gt;0, 3, 1))</f>
        <v>3</v>
      </c>
      <c r="Y64" s="25" cm="1">
        <f t="array" ref="Y64">_xlfn.LET(_xlpm.x, M64:M66, IF(SUM((_xlpm.x="K")*1, (_xlpm.x="A")*1, (_xlpm.x="GK")*1, (_xlpm.x="GA")*1)&gt;0, 3, 1))</f>
        <v>3</v>
      </c>
      <c r="Z64" s="25">
        <v>1</v>
      </c>
      <c r="AA64" s="25">
        <v>1</v>
      </c>
      <c r="AC64" s="154" t="str">
        <v>J</v>
      </c>
      <c r="AD64" s="133">
        <v>4</v>
      </c>
      <c r="AE64" s="133">
        <v>11</v>
      </c>
      <c r="AF64" s="133">
        <v>0</v>
      </c>
      <c r="AG64" s="133">
        <v>21</v>
      </c>
      <c r="AH64" s="133">
        <v>27</v>
      </c>
      <c r="AI64" s="5"/>
      <c r="AJ64" s="154" t="str">
        <v>J</v>
      </c>
      <c r="AK64" s="133">
        <v>4</v>
      </c>
      <c r="AL64" s="133">
        <v>11</v>
      </c>
      <c r="AM64" s="133">
        <v>0</v>
      </c>
      <c r="AN64" s="133">
        <v>21</v>
      </c>
      <c r="AO64" s="133">
        <v>27</v>
      </c>
    </row>
    <row r="65" spans="10:41" ht="16.5" customHeight="1" x14ac:dyDescent="0.3">
      <c r="J65" s="9">
        <v>61</v>
      </c>
      <c r="K65" s="16" t="s">
        <v>37</v>
      </c>
      <c r="L65" s="16" t="s">
        <v>37</v>
      </c>
      <c r="M65" s="16" t="s">
        <v>112</v>
      </c>
      <c r="N65" s="16" t="s">
        <v>125</v>
      </c>
      <c r="O65" s="16" t="s">
        <v>21</v>
      </c>
      <c r="Q65" s="9">
        <v>7</v>
      </c>
      <c r="R65" s="9">
        <v>7</v>
      </c>
      <c r="S65" s="9">
        <v>17</v>
      </c>
      <c r="T65" s="9">
        <v>6</v>
      </c>
      <c r="U65" s="9">
        <v>2</v>
      </c>
      <c r="W65" s="25" cm="1">
        <f t="array" ref="W65">_xlfn.LET(_xlpm.x, K65:K67, IF(SUM((_xlpm.x="K")*1, (_xlpm.x="A")*1, (_xlpm.x="GK")*1, (_xlpm.x="GA")*1)&gt;0, 3, 1))</f>
        <v>3</v>
      </c>
      <c r="X65" s="25" cm="1">
        <f t="array" ref="X65">_xlfn.LET(_xlpm.x, L65:L67, IF(SUM((_xlpm.x="K")*1, (_xlpm.x="A")*1, (_xlpm.x="GK")*1, (_xlpm.x="GA")*1)&gt;0, 3, 1))</f>
        <v>3</v>
      </c>
      <c r="Y65" s="25" cm="1">
        <f t="array" ref="Y65">_xlfn.LET(_xlpm.x, M65:M67, IF(SUM((_xlpm.x="K")*1, (_xlpm.x="A")*1, (_xlpm.x="GK")*1, (_xlpm.x="GA")*1)&gt;0, 3, 1))</f>
        <v>3</v>
      </c>
      <c r="Z65" s="25">
        <v>1</v>
      </c>
      <c r="AA65" s="25">
        <v>1</v>
      </c>
      <c r="AC65" s="138" t="str">
        <v>G1</v>
      </c>
      <c r="AD65" s="99">
        <v>0</v>
      </c>
      <c r="AE65" s="99">
        <v>5</v>
      </c>
      <c r="AF65" s="99">
        <v>5</v>
      </c>
      <c r="AG65" s="99">
        <v>6</v>
      </c>
      <c r="AH65" s="99">
        <v>0</v>
      </c>
      <c r="AI65" s="5"/>
      <c r="AJ65" s="138" t="str">
        <v>G1</v>
      </c>
      <c r="AK65" s="99">
        <v>0</v>
      </c>
      <c r="AL65" s="99">
        <v>5</v>
      </c>
      <c r="AM65" s="99">
        <v>5</v>
      </c>
      <c r="AN65" s="99">
        <v>6</v>
      </c>
      <c r="AO65" s="99">
        <v>0</v>
      </c>
    </row>
    <row r="66" spans="10:41" ht="16.5" customHeight="1" x14ac:dyDescent="0.3">
      <c r="J66" s="25">
        <v>62</v>
      </c>
      <c r="K66" s="16" t="s">
        <v>35</v>
      </c>
      <c r="L66" s="16" t="s">
        <v>126</v>
      </c>
      <c r="M66" s="16" t="s">
        <v>91</v>
      </c>
      <c r="N66" s="16" t="s">
        <v>21</v>
      </c>
      <c r="O66" s="16" t="s">
        <v>36</v>
      </c>
      <c r="Q66" s="9">
        <v>8</v>
      </c>
      <c r="R66" s="9">
        <v>15</v>
      </c>
      <c r="S66" s="9">
        <v>14</v>
      </c>
      <c r="T66" s="9">
        <v>2</v>
      </c>
      <c r="U66" s="9">
        <v>10</v>
      </c>
      <c r="W66" s="25" cm="1">
        <f t="array" ref="W66">_xlfn.LET(_xlpm.x, K66:K68, IF(SUM((_xlpm.x="K")*1, (_xlpm.x="A")*1, (_xlpm.x="GK")*1, (_xlpm.x="GA")*1)&gt;0, 3, 1))</f>
        <v>3</v>
      </c>
      <c r="X66" s="25" cm="1">
        <f t="array" ref="X66">_xlfn.LET(_xlpm.x, L66:L68, IF(SUM((_xlpm.x="K")*1, (_xlpm.x="A")*1, (_xlpm.x="GK")*1, (_xlpm.x="GA")*1)&gt;0, 3, 1))</f>
        <v>1</v>
      </c>
      <c r="Y66" s="25" cm="1">
        <f t="array" ref="Y66">_xlfn.LET(_xlpm.x, M66:M68, IF(SUM((_xlpm.x="K")*1, (_xlpm.x="A")*1, (_xlpm.x="GK")*1, (_xlpm.x="GA")*1)&gt;0, 3, 1))</f>
        <v>3</v>
      </c>
      <c r="Z66" s="25">
        <v>1</v>
      </c>
      <c r="AA66" s="25">
        <v>1</v>
      </c>
      <c r="AC66" s="138" t="str">
        <v>G2</v>
      </c>
      <c r="AD66" s="99">
        <v>0</v>
      </c>
      <c r="AE66" s="99">
        <v>6</v>
      </c>
      <c r="AF66" s="99">
        <v>5</v>
      </c>
      <c r="AG66" s="99">
        <v>6</v>
      </c>
      <c r="AH66" s="99">
        <v>0</v>
      </c>
      <c r="AI66" s="5"/>
      <c r="AJ66" s="138" t="str">
        <v>G2</v>
      </c>
      <c r="AK66" s="99">
        <v>0</v>
      </c>
      <c r="AL66" s="99">
        <v>6</v>
      </c>
      <c r="AM66" s="99">
        <v>5</v>
      </c>
      <c r="AN66" s="99">
        <v>6</v>
      </c>
      <c r="AO66" s="99">
        <v>0</v>
      </c>
    </row>
    <row r="67" spans="10:41" ht="16.5" customHeight="1" x14ac:dyDescent="0.3">
      <c r="J67" s="9">
        <v>63</v>
      </c>
      <c r="K67" s="16" t="s">
        <v>19</v>
      </c>
      <c r="L67" s="16" t="s">
        <v>21</v>
      </c>
      <c r="M67" s="16" t="s">
        <v>92</v>
      </c>
      <c r="N67" s="16" t="s">
        <v>95</v>
      </c>
      <c r="O67" s="16" t="s">
        <v>34</v>
      </c>
      <c r="Q67" s="9">
        <v>5</v>
      </c>
      <c r="R67" s="9">
        <v>2</v>
      </c>
      <c r="S67" s="9">
        <v>16</v>
      </c>
      <c r="T67" s="9">
        <v>18</v>
      </c>
      <c r="U67" s="9">
        <v>9</v>
      </c>
      <c r="W67" s="25" cm="1">
        <f t="array" ref="W67">_xlfn.LET(_xlpm.x, K67:K69, IF(SUM((_xlpm.x="K")*1, (_xlpm.x="A")*1, (_xlpm.x="GK")*1, (_xlpm.x="GA")*1)&gt;0, 3, 1))</f>
        <v>1</v>
      </c>
      <c r="X67" s="25" cm="1">
        <f t="array" ref="X67">_xlfn.LET(_xlpm.x, L67:L69, IF(SUM((_xlpm.x="K")*1, (_xlpm.x="A")*1, (_xlpm.x="GK")*1, (_xlpm.x="GA")*1)&gt;0, 3, 1))</f>
        <v>1</v>
      </c>
      <c r="Y67" s="25" cm="1">
        <f t="array" ref="Y67">_xlfn.LET(_xlpm.x, M67:M69, IF(SUM((_xlpm.x="K")*1, (_xlpm.x="A")*1, (_xlpm.x="GK")*1, (_xlpm.x="GA")*1)&gt;0, 3, 1))</f>
        <v>3</v>
      </c>
      <c r="Z67" s="25">
        <v>1</v>
      </c>
      <c r="AA67" s="25">
        <v>1</v>
      </c>
      <c r="AC67" s="138" t="str">
        <v>G3</v>
      </c>
      <c r="AD67" s="99">
        <v>0</v>
      </c>
      <c r="AE67" s="99">
        <v>6</v>
      </c>
      <c r="AF67" s="99">
        <v>5</v>
      </c>
      <c r="AG67" s="99">
        <v>6</v>
      </c>
      <c r="AH67" s="99">
        <v>0</v>
      </c>
      <c r="AI67" s="5"/>
      <c r="AJ67" s="138" t="str">
        <v>G3</v>
      </c>
      <c r="AK67" s="99">
        <v>0</v>
      </c>
      <c r="AL67" s="99">
        <v>6</v>
      </c>
      <c r="AM67" s="99">
        <v>5</v>
      </c>
      <c r="AN67" s="99">
        <v>6</v>
      </c>
      <c r="AO67" s="99">
        <v>0</v>
      </c>
    </row>
    <row r="68" spans="10:41" ht="16.5" customHeight="1" x14ac:dyDescent="0.3">
      <c r="J68" s="25">
        <v>64</v>
      </c>
      <c r="K68" s="16" t="s">
        <v>22</v>
      </c>
      <c r="L68" s="16" t="s">
        <v>36</v>
      </c>
      <c r="M68" s="16" t="s">
        <v>89</v>
      </c>
      <c r="N68" s="16" t="s">
        <v>34</v>
      </c>
      <c r="O68" s="16" t="s">
        <v>36</v>
      </c>
      <c r="Q68" s="9">
        <v>3</v>
      </c>
      <c r="R68" s="9">
        <v>10</v>
      </c>
      <c r="S68" s="9">
        <v>12</v>
      </c>
      <c r="T68" s="9">
        <v>9</v>
      </c>
      <c r="U68" s="9">
        <v>10</v>
      </c>
      <c r="W68" s="25" cm="1">
        <f t="array" ref="W68">_xlfn.LET(_xlpm.x, K68:K70, IF(SUM((_xlpm.x="K")*1, (_xlpm.x="A")*1, (_xlpm.x="GK")*1, (_xlpm.x="GA")*1)&gt;0, 3, 1))</f>
        <v>3</v>
      </c>
      <c r="X68" s="25" cm="1">
        <f t="array" ref="X68">_xlfn.LET(_xlpm.x, L68:L70, IF(SUM((_xlpm.x="K")*1, (_xlpm.x="A")*1, (_xlpm.x="GK")*1, (_xlpm.x="GA")*1)&gt;0, 3, 1))</f>
        <v>3</v>
      </c>
      <c r="Y68" s="25" cm="1">
        <f t="array" ref="Y68">_xlfn.LET(_xlpm.x, M68:M70, IF(SUM((_xlpm.x="K")*1, (_xlpm.x="A")*1, (_xlpm.x="GK")*1, (_xlpm.x="GA")*1)&gt;0, 3, 1))</f>
        <v>3</v>
      </c>
      <c r="Z68" s="25">
        <v>1</v>
      </c>
      <c r="AA68" s="25">
        <v>1</v>
      </c>
      <c r="AC68" s="138" t="str">
        <v>G4</v>
      </c>
      <c r="AD68" s="99">
        <v>0</v>
      </c>
      <c r="AE68" s="99">
        <v>10</v>
      </c>
      <c r="AF68" s="99">
        <v>44</v>
      </c>
      <c r="AG68" s="99">
        <v>4</v>
      </c>
      <c r="AH68" s="99">
        <v>0</v>
      </c>
      <c r="AI68" s="5"/>
      <c r="AJ68" s="138" t="str">
        <v>G4</v>
      </c>
      <c r="AK68" s="99">
        <v>0</v>
      </c>
      <c r="AL68" s="99">
        <v>10</v>
      </c>
      <c r="AM68" s="99">
        <v>44</v>
      </c>
      <c r="AN68" s="99">
        <v>4</v>
      </c>
      <c r="AO68" s="99">
        <v>0</v>
      </c>
    </row>
    <row r="69" spans="10:41" ht="16.5" customHeight="1" x14ac:dyDescent="0.3">
      <c r="J69" s="9">
        <v>65</v>
      </c>
      <c r="K69" s="16" t="s">
        <v>36</v>
      </c>
      <c r="L69" s="16" t="s">
        <v>36</v>
      </c>
      <c r="M69" s="16" t="s">
        <v>91</v>
      </c>
      <c r="N69" s="16" t="s">
        <v>22</v>
      </c>
      <c r="O69" s="16" t="s">
        <v>34</v>
      </c>
      <c r="Q69" s="9">
        <v>10</v>
      </c>
      <c r="R69" s="9">
        <v>10</v>
      </c>
      <c r="S69" s="9">
        <v>14</v>
      </c>
      <c r="T69" s="9">
        <v>3</v>
      </c>
      <c r="U69" s="9">
        <v>9</v>
      </c>
      <c r="W69" s="25" cm="1">
        <f t="array" ref="W69">_xlfn.LET(_xlpm.x, K69:K71, IF(SUM((_xlpm.x="K")*1, (_xlpm.x="A")*1, (_xlpm.x="GK")*1, (_xlpm.x="GA")*1)&gt;0, 3, 1))</f>
        <v>3</v>
      </c>
      <c r="X69" s="25" cm="1">
        <f t="array" ref="X69">_xlfn.LET(_xlpm.x, L69:L71, IF(SUM((_xlpm.x="K")*1, (_xlpm.x="A")*1, (_xlpm.x="GK")*1, (_xlpm.x="GA")*1)&gt;0, 3, 1))</f>
        <v>3</v>
      </c>
      <c r="Y69" s="25" cm="1">
        <f t="array" ref="Y69">_xlfn.LET(_xlpm.x, M69:M71, IF(SUM((_xlpm.x="K")*1, (_xlpm.x="A")*1, (_xlpm.x="GK")*1, (_xlpm.x="GA")*1)&gt;0, 3, 1))</f>
        <v>3</v>
      </c>
      <c r="Z69" s="25">
        <v>1</v>
      </c>
      <c r="AA69" s="25">
        <v>1</v>
      </c>
      <c r="AC69" s="138" t="str">
        <v>G5</v>
      </c>
      <c r="AD69" s="99">
        <v>0</v>
      </c>
      <c r="AE69" s="99">
        <v>10</v>
      </c>
      <c r="AF69" s="99">
        <v>44</v>
      </c>
      <c r="AG69" s="99">
        <v>4</v>
      </c>
      <c r="AH69" s="99">
        <v>0</v>
      </c>
      <c r="AI69" s="5"/>
      <c r="AJ69" s="138" t="str">
        <v>G5</v>
      </c>
      <c r="AK69" s="99">
        <v>0</v>
      </c>
      <c r="AL69" s="99">
        <v>10</v>
      </c>
      <c r="AM69" s="99">
        <v>44</v>
      </c>
      <c r="AN69" s="99">
        <v>4</v>
      </c>
      <c r="AO69" s="99">
        <v>0</v>
      </c>
    </row>
    <row r="70" spans="10:41" ht="16.5" customHeight="1" x14ac:dyDescent="0.3">
      <c r="J70" s="25">
        <v>66</v>
      </c>
      <c r="K70" s="16" t="s">
        <v>35</v>
      </c>
      <c r="L70" s="16" t="s">
        <v>112</v>
      </c>
      <c r="M70" s="16" t="s">
        <v>112</v>
      </c>
      <c r="N70" s="16" t="s">
        <v>90</v>
      </c>
      <c r="O70" s="16" t="s">
        <v>21</v>
      </c>
      <c r="Q70" s="9">
        <v>8</v>
      </c>
      <c r="R70" s="9">
        <v>17</v>
      </c>
      <c r="S70" s="9">
        <v>17</v>
      </c>
      <c r="T70" s="9">
        <v>13</v>
      </c>
      <c r="U70" s="9">
        <v>2</v>
      </c>
      <c r="W70" s="25" cm="1">
        <f t="array" ref="W70">_xlfn.LET(_xlpm.x, K70:K72, IF(SUM((_xlpm.x="K")*1, (_xlpm.x="A")*1, (_xlpm.x="GK")*1, (_xlpm.x="GA")*1)&gt;0, 3, 1))</f>
        <v>3</v>
      </c>
      <c r="X70" s="25" cm="1">
        <f t="array" ref="X70">_xlfn.LET(_xlpm.x, L70:L72, IF(SUM((_xlpm.x="K")*1, (_xlpm.x="A")*1, (_xlpm.x="GK")*1, (_xlpm.x="GA")*1)&gt;0, 3, 1))</f>
        <v>3</v>
      </c>
      <c r="Y70" s="25" cm="1">
        <f t="array" ref="Y70">_xlfn.LET(_xlpm.x, M70:M72, IF(SUM((_xlpm.x="K")*1, (_xlpm.x="A")*1, (_xlpm.x="GK")*1, (_xlpm.x="GA")*1)&gt;0, 3, 1))</f>
        <v>3</v>
      </c>
      <c r="Z70" s="25">
        <v>1</v>
      </c>
      <c r="AA70" s="25">
        <v>1</v>
      </c>
      <c r="AC70" s="138" t="str">
        <v>GA</v>
      </c>
      <c r="AD70" s="99">
        <v>0</v>
      </c>
      <c r="AE70" s="99">
        <v>10</v>
      </c>
      <c r="AF70" s="99">
        <v>44</v>
      </c>
      <c r="AG70" s="99">
        <v>4</v>
      </c>
      <c r="AH70" s="99">
        <v>0</v>
      </c>
      <c r="AI70" s="5"/>
      <c r="AJ70" s="138" t="str">
        <v>GA</v>
      </c>
      <c r="AK70" s="99">
        <v>0</v>
      </c>
      <c r="AL70" s="99">
        <v>10</v>
      </c>
      <c r="AM70" s="99">
        <v>44</v>
      </c>
      <c r="AN70" s="99">
        <v>4</v>
      </c>
      <c r="AO70" s="99">
        <v>0</v>
      </c>
    </row>
    <row r="71" spans="10:41" ht="16.5" customHeight="1" x14ac:dyDescent="0.3">
      <c r="J71" s="9">
        <v>67</v>
      </c>
      <c r="K71" s="16" t="s">
        <v>35</v>
      </c>
      <c r="L71" s="16" t="s">
        <v>92</v>
      </c>
      <c r="M71" s="16" t="s">
        <v>91</v>
      </c>
      <c r="N71" s="16" t="s">
        <v>20</v>
      </c>
      <c r="O71" s="16" t="s">
        <v>36</v>
      </c>
      <c r="Q71" s="9">
        <v>8</v>
      </c>
      <c r="R71" s="9">
        <v>16</v>
      </c>
      <c r="S71" s="9">
        <v>14</v>
      </c>
      <c r="T71" s="9">
        <v>1</v>
      </c>
      <c r="U71" s="9">
        <v>10</v>
      </c>
      <c r="W71" s="25" cm="1">
        <f t="array" ref="W71">_xlfn.LET(_xlpm.x, K71:K73, IF(SUM((_xlpm.x="K")*1, (_xlpm.x="A")*1, (_xlpm.x="GK")*1, (_xlpm.x="GA")*1)&gt;0, 3, 1))</f>
        <v>3</v>
      </c>
      <c r="X71" s="25" cm="1">
        <f t="array" ref="X71">_xlfn.LET(_xlpm.x, L71:L73, IF(SUM((_xlpm.x="K")*1, (_xlpm.x="A")*1, (_xlpm.x="GK")*1, (_xlpm.x="GA")*1)&gt;0, 3, 1))</f>
        <v>3</v>
      </c>
      <c r="Y71" s="25" cm="1">
        <f t="array" ref="Y71">_xlfn.LET(_xlpm.x, M71:M73, IF(SUM((_xlpm.x="K")*1, (_xlpm.x="A")*1, (_xlpm.x="GK")*1, (_xlpm.x="GA")*1)&gt;0, 3, 1))</f>
        <v>3</v>
      </c>
      <c r="Z71" s="25">
        <v>1</v>
      </c>
      <c r="AA71" s="25">
        <v>1</v>
      </c>
      <c r="AC71" s="138" t="str">
        <v>GK</v>
      </c>
      <c r="AD71" s="99">
        <v>0</v>
      </c>
      <c r="AE71" s="99">
        <v>10</v>
      </c>
      <c r="AF71" s="99">
        <v>44</v>
      </c>
      <c r="AG71" s="99">
        <v>4</v>
      </c>
      <c r="AH71" s="99">
        <v>0</v>
      </c>
      <c r="AI71" s="5"/>
      <c r="AJ71" s="138" t="str">
        <v>GK</v>
      </c>
      <c r="AK71" s="99">
        <v>0</v>
      </c>
      <c r="AL71" s="99">
        <v>10</v>
      </c>
      <c r="AM71" s="99">
        <v>44</v>
      </c>
      <c r="AN71" s="99">
        <v>4</v>
      </c>
      <c r="AO71" s="99">
        <v>0</v>
      </c>
    </row>
    <row r="72" spans="10:41" ht="16.5" customHeight="1" x14ac:dyDescent="0.3">
      <c r="J72" s="25">
        <v>68</v>
      </c>
      <c r="K72" s="16" t="s">
        <v>34</v>
      </c>
      <c r="L72" s="16" t="s">
        <v>36</v>
      </c>
      <c r="M72" s="16" t="s">
        <v>95</v>
      </c>
      <c r="N72" s="16" t="s">
        <v>22</v>
      </c>
      <c r="O72" s="16" t="s">
        <v>21</v>
      </c>
      <c r="Q72" s="9">
        <v>9</v>
      </c>
      <c r="R72" s="9">
        <v>10</v>
      </c>
      <c r="S72" s="9">
        <v>18</v>
      </c>
      <c r="T72" s="9">
        <v>3</v>
      </c>
      <c r="U72" s="9">
        <v>2</v>
      </c>
      <c r="W72" s="25" cm="1">
        <f t="array" ref="W72">_xlfn.LET(_xlpm.x, K72:K74, IF(SUM((_xlpm.x="K")*1, (_xlpm.x="A")*1, (_xlpm.x="GK")*1, (_xlpm.x="GA")*1)&gt;0, 3, 1))</f>
        <v>1</v>
      </c>
      <c r="X72" s="25" cm="1">
        <f t="array" ref="X72">_xlfn.LET(_xlpm.x, L72:L74, IF(SUM((_xlpm.x="K")*1, (_xlpm.x="A")*1, (_xlpm.x="GK")*1, (_xlpm.x="GA")*1)&gt;0, 3, 1))</f>
        <v>1</v>
      </c>
      <c r="Y72" s="25" cm="1">
        <f t="array" ref="Y72">_xlfn.LET(_xlpm.x, M72:M74, IF(SUM((_xlpm.x="K")*1, (_xlpm.x="A")*1, (_xlpm.x="GK")*1, (_xlpm.x="GA")*1)&gt;0, 3, 1))</f>
        <v>3</v>
      </c>
      <c r="Z72" s="25">
        <v>1</v>
      </c>
      <c r="AA72" s="25">
        <v>1</v>
      </c>
      <c r="AC72" s="138" t="str">
        <v>GQ</v>
      </c>
      <c r="AD72" s="99">
        <v>0</v>
      </c>
      <c r="AE72" s="99">
        <v>6</v>
      </c>
      <c r="AF72" s="99">
        <v>5</v>
      </c>
      <c r="AG72" s="99">
        <v>5</v>
      </c>
      <c r="AH72" s="99">
        <v>0</v>
      </c>
      <c r="AI72" s="5"/>
      <c r="AJ72" s="138" t="str">
        <v>GQ</v>
      </c>
      <c r="AK72" s="99">
        <v>0</v>
      </c>
      <c r="AL72" s="99">
        <v>6</v>
      </c>
      <c r="AM72" s="99">
        <v>5</v>
      </c>
      <c r="AN72" s="99">
        <v>5</v>
      </c>
      <c r="AO72" s="99">
        <v>0</v>
      </c>
    </row>
    <row r="73" spans="10:41" ht="16.5" customHeight="1" x14ac:dyDescent="0.3">
      <c r="J73" s="9">
        <v>69</v>
      </c>
      <c r="K73" s="16" t="s">
        <v>21</v>
      </c>
      <c r="L73" s="16" t="s">
        <v>29</v>
      </c>
      <c r="M73" s="16" t="s">
        <v>92</v>
      </c>
      <c r="N73" s="16" t="s">
        <v>21</v>
      </c>
      <c r="O73" s="16" t="s">
        <v>37</v>
      </c>
      <c r="Q73" s="9">
        <v>2</v>
      </c>
      <c r="R73" s="9">
        <v>5</v>
      </c>
      <c r="S73" s="9">
        <v>16</v>
      </c>
      <c r="T73" s="9">
        <v>2</v>
      </c>
      <c r="U73" s="9">
        <v>7</v>
      </c>
      <c r="W73" s="25" cm="1">
        <f t="array" ref="W73">_xlfn.LET(_xlpm.x, K73:K75, IF(SUM((_xlpm.x="K")*1, (_xlpm.x="A")*1, (_xlpm.x="GK")*1, (_xlpm.x="GA")*1)&gt;0, 3, 1))</f>
        <v>1</v>
      </c>
      <c r="X73" s="25" cm="1">
        <f t="array" ref="X73">_xlfn.LET(_xlpm.x, L73:L75, IF(SUM((_xlpm.x="K")*1, (_xlpm.x="A")*1, (_xlpm.x="GK")*1, (_xlpm.x="GA")*1)&gt;0, 3, 1))</f>
        <v>3</v>
      </c>
      <c r="Y73" s="25" cm="1">
        <f t="array" ref="Y73">_xlfn.LET(_xlpm.x, M73:M75, IF(SUM((_xlpm.x="K")*1, (_xlpm.x="A")*1, (_xlpm.x="GK")*1, (_xlpm.x="GA")*1)&gt;0, 3, 1))</f>
        <v>3</v>
      </c>
      <c r="Z73" s="25">
        <v>1</v>
      </c>
      <c r="AA73" s="25">
        <v>1</v>
      </c>
      <c r="AC73" s="138" t="str">
        <v>GJ</v>
      </c>
      <c r="AD73" s="99">
        <v>0</v>
      </c>
      <c r="AE73" s="99">
        <v>6</v>
      </c>
      <c r="AF73" s="99">
        <v>4</v>
      </c>
      <c r="AG73" s="99">
        <v>5</v>
      </c>
      <c r="AH73" s="99">
        <v>0</v>
      </c>
      <c r="AI73" s="5"/>
      <c r="AJ73" s="138" t="str">
        <v>GJ</v>
      </c>
      <c r="AK73" s="99">
        <v>0</v>
      </c>
      <c r="AL73" s="99">
        <v>6</v>
      </c>
      <c r="AM73" s="99">
        <v>4</v>
      </c>
      <c r="AN73" s="99">
        <v>5</v>
      </c>
      <c r="AO73" s="99">
        <v>0</v>
      </c>
    </row>
    <row r="74" spans="10:41" ht="16.5" customHeight="1" x14ac:dyDescent="0.3">
      <c r="J74" s="25">
        <v>70</v>
      </c>
      <c r="K74" s="16" t="s">
        <v>19</v>
      </c>
      <c r="L74" s="16" t="s">
        <v>29</v>
      </c>
      <c r="M74" s="16" t="s">
        <v>91</v>
      </c>
      <c r="N74" s="16" t="s">
        <v>37</v>
      </c>
      <c r="O74" s="16" t="s">
        <v>37</v>
      </c>
      <c r="Q74" s="9">
        <v>5</v>
      </c>
      <c r="R74" s="9">
        <v>5</v>
      </c>
      <c r="S74" s="9">
        <v>14</v>
      </c>
      <c r="T74" s="9">
        <v>7</v>
      </c>
      <c r="U74" s="9">
        <v>7</v>
      </c>
      <c r="W74" s="25" cm="1">
        <f t="array" ref="W74">_xlfn.LET(_xlpm.x, K74:K76, IF(SUM((_xlpm.x="K")*1, (_xlpm.x="A")*1, (_xlpm.x="GK")*1, (_xlpm.x="GA")*1)&gt;0, 3, 1))</f>
        <v>3</v>
      </c>
      <c r="X74" s="25" cm="1">
        <f t="array" ref="X74">_xlfn.LET(_xlpm.x, L74:L76, IF(SUM((_xlpm.x="K")*1, (_xlpm.x="A")*1, (_xlpm.x="GK")*1, (_xlpm.x="GA")*1)&gt;0, 3, 1))</f>
        <v>3</v>
      </c>
      <c r="Y74" s="25" cm="1">
        <f t="array" ref="Y74">_xlfn.LET(_xlpm.x, M74:M76, IF(SUM((_xlpm.x="K")*1, (_xlpm.x="A")*1, (_xlpm.x="GK")*1, (_xlpm.x="GA")*1)&gt;0, 3, 1))</f>
        <v>3</v>
      </c>
      <c r="Z74" s="25">
        <v>1</v>
      </c>
      <c r="AA74" s="25">
        <v>1</v>
      </c>
      <c r="AD74" s="113">
        <f>SUM(AD54:AD73)</f>
        <v>200</v>
      </c>
      <c r="AE74" s="113">
        <f>SUM(AE54:AE73)</f>
        <v>209</v>
      </c>
      <c r="AF74" s="113">
        <f>SUM(AF54:AF73)</f>
        <v>200</v>
      </c>
      <c r="AG74" s="113">
        <f>SUM(AG54:AG73)</f>
        <v>209</v>
      </c>
      <c r="AH74" s="113">
        <f>SUM(AH54:AH73)</f>
        <v>200</v>
      </c>
      <c r="AI74" s="5"/>
      <c r="AK74" s="113">
        <f>SUM(AK54:AK73)</f>
        <v>200</v>
      </c>
      <c r="AL74" s="113">
        <f>SUM(AL54:AL73)</f>
        <v>209</v>
      </c>
      <c r="AM74" s="113">
        <f>SUM(AM54:AM73)</f>
        <v>200</v>
      </c>
      <c r="AN74" s="113">
        <f>SUM(AN54:AN73)</f>
        <v>209</v>
      </c>
      <c r="AO74" s="113">
        <f>SUM(AO54:AO73)</f>
        <v>200</v>
      </c>
    </row>
    <row r="75" spans="10:41" ht="16.5" customHeight="1" x14ac:dyDescent="0.3">
      <c r="J75" s="9">
        <v>71</v>
      </c>
      <c r="K75" s="16" t="s">
        <v>125</v>
      </c>
      <c r="L75" s="16" t="s">
        <v>112</v>
      </c>
      <c r="M75" s="16" t="s">
        <v>92</v>
      </c>
      <c r="N75" s="16" t="s">
        <v>18</v>
      </c>
      <c r="O75" s="16" t="s">
        <v>22</v>
      </c>
      <c r="Q75" s="9">
        <v>6</v>
      </c>
      <c r="R75" s="9">
        <v>17</v>
      </c>
      <c r="S75" s="9">
        <v>16</v>
      </c>
      <c r="T75" s="9">
        <v>4</v>
      </c>
      <c r="U75" s="9">
        <v>3</v>
      </c>
      <c r="W75" s="25" cm="1">
        <f t="array" ref="W75">_xlfn.LET(_xlpm.x, K75:K77, IF(SUM((_xlpm.x="K")*1, (_xlpm.x="A")*1, (_xlpm.x="GK")*1, (_xlpm.x="GA")*1)&gt;0, 3, 1))</f>
        <v>3</v>
      </c>
      <c r="X75" s="25" cm="1">
        <f t="array" ref="X75">_xlfn.LET(_xlpm.x, L75:L77, IF(SUM((_xlpm.x="K")*1, (_xlpm.x="A")*1, (_xlpm.x="GK")*1, (_xlpm.x="GA")*1)&gt;0, 3, 1))</f>
        <v>3</v>
      </c>
      <c r="Y75" s="25" cm="1">
        <f t="array" ref="Y75">_xlfn.LET(_xlpm.x, M75:M77, IF(SUM((_xlpm.x="K")*1, (_xlpm.x="A")*1, (_xlpm.x="GK")*1, (_xlpm.x="GA")*1)&gt;0, 3, 1))</f>
        <v>3</v>
      </c>
      <c r="Z75" s="25">
        <v>1</v>
      </c>
      <c r="AA75" s="25">
        <v>1</v>
      </c>
      <c r="AH75" s="5"/>
      <c r="AI75" s="5"/>
      <c r="AO75" s="5"/>
    </row>
    <row r="76" spans="10:41" ht="16.5" customHeight="1" x14ac:dyDescent="0.3">
      <c r="J76" s="25">
        <v>72</v>
      </c>
      <c r="K76" s="16" t="s">
        <v>35</v>
      </c>
      <c r="L76" s="16" t="s">
        <v>37</v>
      </c>
      <c r="M76" s="16" t="s">
        <v>89</v>
      </c>
      <c r="N76" s="16" t="s">
        <v>21</v>
      </c>
      <c r="O76" s="16" t="s">
        <v>18</v>
      </c>
      <c r="Q76" s="9">
        <v>8</v>
      </c>
      <c r="R76" s="9">
        <v>7</v>
      </c>
      <c r="S76" s="9">
        <v>12</v>
      </c>
      <c r="T76" s="9">
        <v>2</v>
      </c>
      <c r="U76" s="9">
        <v>4</v>
      </c>
      <c r="W76" s="25" cm="1">
        <f t="array" ref="W76">_xlfn.LET(_xlpm.x, K76:K78, IF(SUM((_xlpm.x="K")*1, (_xlpm.x="A")*1, (_xlpm.x="GK")*1, (_xlpm.x="GA")*1)&gt;0, 3, 1))</f>
        <v>3</v>
      </c>
      <c r="X76" s="25" cm="1">
        <f t="array" ref="X76">_xlfn.LET(_xlpm.x, L76:L78, IF(SUM((_xlpm.x="K")*1, (_xlpm.x="A")*1, (_xlpm.x="GK")*1, (_xlpm.x="GA")*1)&gt;0, 3, 1))</f>
        <v>3</v>
      </c>
      <c r="Y76" s="25" cm="1">
        <f t="array" ref="Y76">_xlfn.LET(_xlpm.x, M76:M78, IF(SUM((_xlpm.x="K")*1, (_xlpm.x="A")*1, (_xlpm.x="GK")*1, (_xlpm.x="GA")*1)&gt;0, 3, 1))</f>
        <v>3</v>
      </c>
      <c r="Z76" s="25">
        <v>1</v>
      </c>
      <c r="AA76" s="25">
        <v>1</v>
      </c>
      <c r="AH76" s="5"/>
      <c r="AI76" s="5"/>
      <c r="AO76" s="5"/>
    </row>
    <row r="77" spans="10:41" ht="16.5" customHeight="1" x14ac:dyDescent="0.3">
      <c r="J77" s="9">
        <v>73</v>
      </c>
      <c r="K77" s="16" t="s">
        <v>35</v>
      </c>
      <c r="L77" s="16" t="s">
        <v>90</v>
      </c>
      <c r="M77" s="16" t="s">
        <v>112</v>
      </c>
      <c r="N77" s="16" t="s">
        <v>21</v>
      </c>
      <c r="O77" s="16" t="s">
        <v>125</v>
      </c>
      <c r="Q77" s="9">
        <v>8</v>
      </c>
      <c r="R77" s="9">
        <v>13</v>
      </c>
      <c r="S77" s="9">
        <v>17</v>
      </c>
      <c r="T77" s="9">
        <v>2</v>
      </c>
      <c r="U77" s="9">
        <v>6</v>
      </c>
      <c r="W77" s="25" cm="1">
        <f t="array" ref="W77">_xlfn.LET(_xlpm.x, K77:K79, IF(SUM((_xlpm.x="K")*1, (_xlpm.x="A")*1, (_xlpm.x="GK")*1, (_xlpm.x="GA")*1)&gt;0, 3, 1))</f>
        <v>3</v>
      </c>
      <c r="X77" s="25" cm="1">
        <f t="array" ref="X77">_xlfn.LET(_xlpm.x, L77:L79, IF(SUM((_xlpm.x="K")*1, (_xlpm.x="A")*1, (_xlpm.x="GK")*1, (_xlpm.x="GA")*1)&gt;0, 3, 1))</f>
        <v>1</v>
      </c>
      <c r="Y77" s="25" cm="1">
        <f t="array" ref="Y77">_xlfn.LET(_xlpm.x, M77:M79, IF(SUM((_xlpm.x="K")*1, (_xlpm.x="A")*1, (_xlpm.x="GK")*1, (_xlpm.x="GA")*1)&gt;0, 3, 1))</f>
        <v>3</v>
      </c>
      <c r="Z77" s="25">
        <v>1</v>
      </c>
      <c r="AA77" s="25">
        <v>1</v>
      </c>
      <c r="AH77" s="5"/>
      <c r="AI77" s="5"/>
      <c r="AO77" s="5"/>
    </row>
    <row r="78" spans="10:41" ht="16.5" customHeight="1" x14ac:dyDescent="0.3">
      <c r="J78" s="25">
        <v>74</v>
      </c>
      <c r="K78" s="16" t="s">
        <v>125</v>
      </c>
      <c r="L78" s="16" t="s">
        <v>19</v>
      </c>
      <c r="M78" s="16" t="s">
        <v>91</v>
      </c>
      <c r="N78" s="16" t="s">
        <v>20</v>
      </c>
      <c r="O78" s="16" t="s">
        <v>18</v>
      </c>
      <c r="Q78" s="9">
        <v>6</v>
      </c>
      <c r="R78" s="9">
        <v>5</v>
      </c>
      <c r="S78" s="9">
        <v>14</v>
      </c>
      <c r="T78" s="9">
        <v>1</v>
      </c>
      <c r="U78" s="9">
        <v>4</v>
      </c>
      <c r="W78" s="25" cm="1">
        <f t="array" ref="W78">_xlfn.LET(_xlpm.x, K78:K80, IF(SUM((_xlpm.x="K")*1, (_xlpm.x="A")*1, (_xlpm.x="GK")*1, (_xlpm.x="GA")*1)&gt;0, 3, 1))</f>
        <v>3</v>
      </c>
      <c r="X78" s="25" cm="1">
        <f t="array" ref="X78">_xlfn.LET(_xlpm.x, L78:L80, IF(SUM((_xlpm.x="K")*1, (_xlpm.x="A")*1, (_xlpm.x="GK")*1, (_xlpm.x="GA")*1)&gt;0, 3, 1))</f>
        <v>1</v>
      </c>
      <c r="Y78" s="25" cm="1">
        <f t="array" ref="Y78">_xlfn.LET(_xlpm.x, M78:M80, IF(SUM((_xlpm.x="K")*1, (_xlpm.x="A")*1, (_xlpm.x="GK")*1, (_xlpm.x="GA")*1)&gt;0, 3, 1))</f>
        <v>3</v>
      </c>
      <c r="Z78" s="25">
        <v>1</v>
      </c>
      <c r="AA78" s="25">
        <v>1</v>
      </c>
      <c r="AH78" s="5"/>
      <c r="AI78" s="5"/>
      <c r="AO78" s="5"/>
    </row>
    <row r="79" spans="10:41" ht="16.5" customHeight="1" x14ac:dyDescent="0.3">
      <c r="J79" s="9">
        <v>75</v>
      </c>
      <c r="K79" s="16" t="s">
        <v>125</v>
      </c>
      <c r="L79" s="16" t="s">
        <v>19</v>
      </c>
      <c r="M79" s="16" t="s">
        <v>126</v>
      </c>
      <c r="N79" s="16" t="s">
        <v>97</v>
      </c>
      <c r="O79" s="16" t="s">
        <v>36</v>
      </c>
      <c r="Q79" s="9">
        <v>6</v>
      </c>
      <c r="R79" s="9">
        <v>5</v>
      </c>
      <c r="S79" s="9">
        <v>15</v>
      </c>
      <c r="T79" s="9">
        <v>19</v>
      </c>
      <c r="U79" s="9">
        <v>10</v>
      </c>
      <c r="W79" s="25" cm="1">
        <f t="array" ref="W79">_xlfn.LET(_xlpm.x, K79:K81, IF(SUM((_xlpm.x="K")*1, (_xlpm.x="A")*1, (_xlpm.x="GK")*1, (_xlpm.x="GA")*1)&gt;0, 3, 1))</f>
        <v>3</v>
      </c>
      <c r="X79" s="25" cm="1">
        <f t="array" ref="X79">_xlfn.LET(_xlpm.x, L79:L81, IF(SUM((_xlpm.x="K")*1, (_xlpm.x="A")*1, (_xlpm.x="GK")*1, (_xlpm.x="GA")*1)&gt;0, 3, 1))</f>
        <v>1</v>
      </c>
      <c r="Y79" s="25" cm="1">
        <f t="array" ref="Y79">_xlfn.LET(_xlpm.x, M79:M81, IF(SUM((_xlpm.x="K")*1, (_xlpm.x="A")*1, (_xlpm.x="GK")*1, (_xlpm.x="GA")*1)&gt;0, 3, 1))</f>
        <v>3</v>
      </c>
      <c r="Z79" s="25">
        <v>1</v>
      </c>
      <c r="AA79" s="25">
        <v>1</v>
      </c>
      <c r="AH79" s="5"/>
      <c r="AI79" s="5"/>
      <c r="AO79" s="5"/>
    </row>
    <row r="80" spans="10:41" x14ac:dyDescent="0.3">
      <c r="J80" s="25">
        <v>76</v>
      </c>
      <c r="K80" s="16" t="s">
        <v>37</v>
      </c>
      <c r="L80" s="16" t="s">
        <v>91</v>
      </c>
      <c r="M80" s="16" t="s">
        <v>92</v>
      </c>
      <c r="N80" s="16" t="s">
        <v>34</v>
      </c>
      <c r="O80" s="16" t="s">
        <v>34</v>
      </c>
      <c r="Q80" s="9">
        <v>7</v>
      </c>
      <c r="R80" s="9">
        <v>14</v>
      </c>
      <c r="S80" s="9">
        <v>16</v>
      </c>
      <c r="T80" s="9">
        <v>9</v>
      </c>
      <c r="U80" s="9">
        <v>9</v>
      </c>
      <c r="W80" s="25" cm="1">
        <f t="array" ref="W80">_xlfn.LET(_xlpm.x, K80:K82, IF(SUM((_xlpm.x="K")*1, (_xlpm.x="A")*1, (_xlpm.x="GK")*1, (_xlpm.x="GA")*1)&gt;0, 3, 1))</f>
        <v>3</v>
      </c>
      <c r="X80" s="25" cm="1">
        <f t="array" ref="X80">_xlfn.LET(_xlpm.x, L80:L82, IF(SUM((_xlpm.x="K")*1, (_xlpm.x="A")*1, (_xlpm.x="GK")*1, (_xlpm.x="GA")*1)&gt;0, 3, 1))</f>
        <v>1</v>
      </c>
      <c r="Y80" s="25" cm="1">
        <f t="array" ref="Y80">_xlfn.LET(_xlpm.x, M80:M82, IF(SUM((_xlpm.x="K")*1, (_xlpm.x="A")*1, (_xlpm.x="GK")*1, (_xlpm.x="GA")*1)&gt;0, 3, 1))</f>
        <v>3</v>
      </c>
      <c r="Z80" s="25">
        <v>1</v>
      </c>
      <c r="AA80" s="25">
        <v>1</v>
      </c>
      <c r="AH80" s="5"/>
      <c r="AI80" s="5"/>
      <c r="AO80" s="5"/>
    </row>
    <row r="81" spans="10:41" x14ac:dyDescent="0.3">
      <c r="J81" s="9">
        <v>77</v>
      </c>
      <c r="K81" s="16" t="s">
        <v>35</v>
      </c>
      <c r="L81" s="16" t="s">
        <v>326</v>
      </c>
      <c r="M81" s="16" t="s">
        <v>91</v>
      </c>
      <c r="N81" s="16" t="s">
        <v>22</v>
      </c>
      <c r="O81" s="16" t="s">
        <v>34</v>
      </c>
      <c r="Q81" s="9">
        <v>8</v>
      </c>
      <c r="R81" s="9">
        <v>6</v>
      </c>
      <c r="S81" s="9">
        <v>14</v>
      </c>
      <c r="T81" s="9">
        <v>3</v>
      </c>
      <c r="U81" s="9">
        <v>9</v>
      </c>
      <c r="W81" s="25" cm="1">
        <f t="array" ref="W81">_xlfn.LET(_xlpm.x, K81:K83, IF(SUM((_xlpm.x="K")*1, (_xlpm.x="A")*1, (_xlpm.x="GK")*1, (_xlpm.x="GA")*1)&gt;0, 3, 1))</f>
        <v>3</v>
      </c>
      <c r="X81" s="25" cm="1">
        <f t="array" ref="X81">_xlfn.LET(_xlpm.x, L81:L83, IF(SUM((_xlpm.x="K")*1, (_xlpm.x="A")*1, (_xlpm.x="GK")*1, (_xlpm.x="GA")*1)&gt;0, 3, 1))</f>
        <v>1</v>
      </c>
      <c r="Y81" s="25" cm="1">
        <f t="array" ref="Y81">_xlfn.LET(_xlpm.x, M81:M83, IF(SUM((_xlpm.x="K")*1, (_xlpm.x="A")*1, (_xlpm.x="GK")*1, (_xlpm.x="GA")*1)&gt;0, 3, 1))</f>
        <v>3</v>
      </c>
      <c r="Z81" s="25">
        <v>1</v>
      </c>
      <c r="AA81" s="25">
        <v>1</v>
      </c>
      <c r="AH81" s="5"/>
      <c r="AI81" s="5"/>
      <c r="AO81" s="5"/>
    </row>
    <row r="82" spans="10:41" x14ac:dyDescent="0.3">
      <c r="J82" s="25">
        <v>78</v>
      </c>
      <c r="K82" s="16" t="s">
        <v>37</v>
      </c>
      <c r="L82" s="16" t="s">
        <v>326</v>
      </c>
      <c r="M82" s="16" t="s">
        <v>112</v>
      </c>
      <c r="N82" s="16" t="s">
        <v>19</v>
      </c>
      <c r="O82" s="16" t="s">
        <v>22</v>
      </c>
      <c r="Q82" s="9">
        <v>7</v>
      </c>
      <c r="R82" s="9">
        <v>6</v>
      </c>
      <c r="S82" s="9">
        <v>17</v>
      </c>
      <c r="T82" s="9">
        <v>5</v>
      </c>
      <c r="U82" s="9">
        <v>3</v>
      </c>
      <c r="W82" s="25" cm="1">
        <f t="array" ref="W82">_xlfn.LET(_xlpm.x, K82:K84, IF(SUM((_xlpm.x="K")*1, (_xlpm.x="A")*1, (_xlpm.x="GK")*1, (_xlpm.x="GA")*1)&gt;0, 3, 1))</f>
        <v>3</v>
      </c>
      <c r="X82" s="25" cm="1">
        <f t="array" ref="X82">_xlfn.LET(_xlpm.x, L82:L84, IF(SUM((_xlpm.x="K")*1, (_xlpm.x="A")*1, (_xlpm.x="GK")*1, (_xlpm.x="GA")*1)&gt;0, 3, 1))</f>
        <v>1</v>
      </c>
      <c r="Y82" s="25" cm="1">
        <f t="array" ref="Y82">_xlfn.LET(_xlpm.x, M82:M84, IF(SUM((_xlpm.x="K")*1, (_xlpm.x="A")*1, (_xlpm.x="GK")*1, (_xlpm.x="GA")*1)&gt;0, 3, 1))</f>
        <v>3</v>
      </c>
      <c r="Z82" s="25">
        <v>1</v>
      </c>
      <c r="AA82" s="25">
        <v>1</v>
      </c>
      <c r="AH82" s="5"/>
      <c r="AI82" s="5"/>
      <c r="AO82" s="5"/>
    </row>
    <row r="83" spans="10:41" x14ac:dyDescent="0.3">
      <c r="J83" s="9">
        <v>79</v>
      </c>
      <c r="K83" s="16" t="s">
        <v>36</v>
      </c>
      <c r="L83" s="16" t="s">
        <v>91</v>
      </c>
      <c r="M83" s="16" t="s">
        <v>92</v>
      </c>
      <c r="N83" s="16" t="s">
        <v>34</v>
      </c>
      <c r="O83" s="16" t="s">
        <v>34</v>
      </c>
      <c r="Q83" s="9">
        <v>10</v>
      </c>
      <c r="R83" s="9">
        <v>14</v>
      </c>
      <c r="S83" s="9">
        <v>16</v>
      </c>
      <c r="T83" s="9">
        <v>9</v>
      </c>
      <c r="U83" s="9">
        <v>9</v>
      </c>
      <c r="W83" s="25" cm="1">
        <f t="array" ref="W83">_xlfn.LET(_xlpm.x, K83:K85, IF(SUM((_xlpm.x="K")*1, (_xlpm.x="A")*1, (_xlpm.x="GK")*1, (_xlpm.x="GA")*1)&gt;0, 3, 1))</f>
        <v>3</v>
      </c>
      <c r="X83" s="25" cm="1">
        <f t="array" ref="X83">_xlfn.LET(_xlpm.x, L83:L85, IF(SUM((_xlpm.x="K")*1, (_xlpm.x="A")*1, (_xlpm.x="GK")*1, (_xlpm.x="GA")*1)&gt;0, 3, 1))</f>
        <v>1</v>
      </c>
      <c r="Y83" s="25" cm="1">
        <f t="array" ref="Y83">_xlfn.LET(_xlpm.x, M83:M85, IF(SUM((_xlpm.x="K")*1, (_xlpm.x="A")*1, (_xlpm.x="GK")*1, (_xlpm.x="GA")*1)&gt;0, 3, 1))</f>
        <v>3</v>
      </c>
      <c r="Z83" s="25">
        <v>1</v>
      </c>
      <c r="AA83" s="25">
        <v>1</v>
      </c>
      <c r="AH83" s="5"/>
      <c r="AI83" s="5"/>
      <c r="AO83" s="5"/>
    </row>
    <row r="84" spans="10:41" x14ac:dyDescent="0.3">
      <c r="J84" s="25">
        <v>80</v>
      </c>
      <c r="K84" s="16" t="s">
        <v>35</v>
      </c>
      <c r="L84" s="16" t="s">
        <v>125</v>
      </c>
      <c r="M84" s="16" t="s">
        <v>126</v>
      </c>
      <c r="N84" s="16" t="s">
        <v>34</v>
      </c>
      <c r="O84" s="16" t="s">
        <v>18</v>
      </c>
      <c r="Q84" s="9">
        <v>8</v>
      </c>
      <c r="R84" s="9">
        <v>6</v>
      </c>
      <c r="S84" s="9">
        <v>15</v>
      </c>
      <c r="T84" s="9">
        <v>9</v>
      </c>
      <c r="U84" s="9">
        <v>4</v>
      </c>
      <c r="W84" s="25" cm="1">
        <f t="array" ref="W84">_xlfn.LET(_xlpm.x, K84:K86, IF(SUM((_xlpm.x="K")*1, (_xlpm.x="A")*1, (_xlpm.x="GK")*1, (_xlpm.x="GA")*1)&gt;0, 3, 1))</f>
        <v>3</v>
      </c>
      <c r="X84" s="25" cm="1">
        <f t="array" ref="X84">_xlfn.LET(_xlpm.x, L84:L86, IF(SUM((_xlpm.x="K")*1, (_xlpm.x="A")*1, (_xlpm.x="GK")*1, (_xlpm.x="GA")*1)&gt;0, 3, 1))</f>
        <v>1</v>
      </c>
      <c r="Y84" s="25" cm="1">
        <f t="array" ref="Y84">_xlfn.LET(_xlpm.x, M84:M86, IF(SUM((_xlpm.x="K")*1, (_xlpm.x="A")*1, (_xlpm.x="GK")*1, (_xlpm.x="GA")*1)&gt;0, 3, 1))</f>
        <v>3</v>
      </c>
      <c r="Z84" s="25">
        <v>1</v>
      </c>
      <c r="AA84" s="25">
        <v>1</v>
      </c>
      <c r="AH84" s="5"/>
      <c r="AI84" s="5"/>
      <c r="AO84" s="5"/>
    </row>
    <row r="85" spans="10:41" x14ac:dyDescent="0.3">
      <c r="J85" s="9">
        <v>81</v>
      </c>
      <c r="K85" s="16" t="s">
        <v>125</v>
      </c>
      <c r="L85" s="16" t="s">
        <v>21</v>
      </c>
      <c r="M85" s="16" t="s">
        <v>92</v>
      </c>
      <c r="N85" s="16" t="s">
        <v>34</v>
      </c>
      <c r="O85" s="16" t="s">
        <v>36</v>
      </c>
      <c r="Q85" s="9">
        <v>6</v>
      </c>
      <c r="R85" s="9">
        <v>2</v>
      </c>
      <c r="S85" s="9">
        <v>16</v>
      </c>
      <c r="T85" s="9">
        <v>9</v>
      </c>
      <c r="U85" s="9">
        <v>10</v>
      </c>
      <c r="W85" s="25" cm="1">
        <f t="array" ref="W85">_xlfn.LET(_xlpm.x, K85:K87, IF(SUM((_xlpm.x="K")*1, (_xlpm.x="A")*1, (_xlpm.x="GK")*1, (_xlpm.x="GA")*1)&gt;0, 3, 1))</f>
        <v>1</v>
      </c>
      <c r="X85" s="25" cm="1">
        <f t="array" ref="X85">_xlfn.LET(_xlpm.x, L85:L87, IF(SUM((_xlpm.x="K")*1, (_xlpm.x="A")*1, (_xlpm.x="GK")*1, (_xlpm.x="GA")*1)&gt;0, 3, 1))</f>
        <v>3</v>
      </c>
      <c r="Y85" s="25" cm="1">
        <f t="array" ref="Y85">_xlfn.LET(_xlpm.x, M85:M87, IF(SUM((_xlpm.x="K")*1, (_xlpm.x="A")*1, (_xlpm.x="GK")*1, (_xlpm.x="GA")*1)&gt;0, 3, 1))</f>
        <v>3</v>
      </c>
      <c r="Z85" s="25">
        <v>1</v>
      </c>
      <c r="AA85" s="25">
        <v>1</v>
      </c>
      <c r="AH85" s="5"/>
      <c r="AI85" s="5"/>
      <c r="AO85" s="5"/>
    </row>
    <row r="86" spans="10:41" x14ac:dyDescent="0.3">
      <c r="J86" s="25">
        <v>82</v>
      </c>
      <c r="K86" s="16" t="s">
        <v>125</v>
      </c>
      <c r="L86" s="16" t="s">
        <v>126</v>
      </c>
      <c r="M86" s="16" t="s">
        <v>95</v>
      </c>
      <c r="N86" s="16" t="s">
        <v>21</v>
      </c>
      <c r="O86" s="16" t="s">
        <v>125</v>
      </c>
      <c r="Q86" s="9">
        <v>6</v>
      </c>
      <c r="R86" s="9">
        <v>15</v>
      </c>
      <c r="S86" s="9">
        <v>18</v>
      </c>
      <c r="T86" s="9">
        <v>2</v>
      </c>
      <c r="U86" s="9">
        <v>6</v>
      </c>
      <c r="W86" s="25" cm="1">
        <f t="array" ref="W86">_xlfn.LET(_xlpm.x, K86:K88, IF(SUM((_xlpm.x="K")*1, (_xlpm.x="A")*1, (_xlpm.x="GK")*1, (_xlpm.x="GA")*1)&gt;0, 3, 1))</f>
        <v>3</v>
      </c>
      <c r="X86" s="25" cm="1">
        <f t="array" ref="X86">_xlfn.LET(_xlpm.x, L86:L88, IF(SUM((_xlpm.x="K")*1, (_xlpm.x="A")*1, (_xlpm.x="GK")*1, (_xlpm.x="GA")*1)&gt;0, 3, 1))</f>
        <v>3</v>
      </c>
      <c r="Y86" s="25" cm="1">
        <f t="array" ref="Y86">_xlfn.LET(_xlpm.x, M86:M88, IF(SUM((_xlpm.x="K")*1, (_xlpm.x="A")*1, (_xlpm.x="GK")*1, (_xlpm.x="GA")*1)&gt;0, 3, 1))</f>
        <v>3</v>
      </c>
      <c r="Z86" s="25">
        <v>1</v>
      </c>
      <c r="AA86" s="25">
        <v>1</v>
      </c>
      <c r="AH86" s="5"/>
      <c r="AI86" s="5"/>
      <c r="AO86" s="5"/>
    </row>
    <row r="87" spans="10:41" x14ac:dyDescent="0.3">
      <c r="J87" s="9">
        <v>83</v>
      </c>
      <c r="K87" s="16" t="s">
        <v>125</v>
      </c>
      <c r="L87" s="16" t="s">
        <v>31</v>
      </c>
      <c r="M87" s="16" t="s">
        <v>91</v>
      </c>
      <c r="N87" s="16" t="s">
        <v>19</v>
      </c>
      <c r="O87" s="16" t="s">
        <v>22</v>
      </c>
      <c r="Q87" s="9">
        <v>6</v>
      </c>
      <c r="R87" s="9">
        <v>8</v>
      </c>
      <c r="S87" s="9">
        <v>14</v>
      </c>
      <c r="T87" s="9">
        <v>5</v>
      </c>
      <c r="U87" s="9">
        <v>3</v>
      </c>
      <c r="W87" s="25" cm="1">
        <f t="array" ref="W87">_xlfn.LET(_xlpm.x, K87:K89, IF(SUM((_xlpm.x="K")*1, (_xlpm.x="A")*1, (_xlpm.x="GK")*1, (_xlpm.x="GA")*1)&gt;0, 3, 1))</f>
        <v>3</v>
      </c>
      <c r="X87" s="25" cm="1">
        <f t="array" ref="X87">_xlfn.LET(_xlpm.x, L87:L89, IF(SUM((_xlpm.x="K")*1, (_xlpm.x="A")*1, (_xlpm.x="GK")*1, (_xlpm.x="GA")*1)&gt;0, 3, 1))</f>
        <v>3</v>
      </c>
      <c r="Y87" s="25" cm="1">
        <f t="array" ref="Y87">_xlfn.LET(_xlpm.x, M87:M89, IF(SUM((_xlpm.x="K")*1, (_xlpm.x="A")*1, (_xlpm.x="GK")*1, (_xlpm.x="GA")*1)&gt;0, 3, 1))</f>
        <v>3</v>
      </c>
      <c r="Z87" s="25">
        <v>1</v>
      </c>
      <c r="AA87" s="25">
        <v>1</v>
      </c>
      <c r="AH87" s="5"/>
      <c r="AI87" s="5"/>
      <c r="AO87" s="5"/>
    </row>
    <row r="88" spans="10:41" x14ac:dyDescent="0.3">
      <c r="J88" s="25">
        <v>84</v>
      </c>
      <c r="K88" s="16" t="s">
        <v>37</v>
      </c>
      <c r="L88" s="16" t="s">
        <v>91</v>
      </c>
      <c r="M88" s="16" t="s">
        <v>112</v>
      </c>
      <c r="N88" s="16" t="s">
        <v>88</v>
      </c>
      <c r="O88" s="16" t="s">
        <v>34</v>
      </c>
      <c r="Q88" s="9">
        <v>7</v>
      </c>
      <c r="R88" s="9">
        <v>14</v>
      </c>
      <c r="S88" s="9">
        <v>17</v>
      </c>
      <c r="T88" s="9">
        <v>11</v>
      </c>
      <c r="U88" s="9">
        <v>9</v>
      </c>
      <c r="W88" s="25" cm="1">
        <f t="array" ref="W88">_xlfn.LET(_xlpm.x, K88:K90, IF(SUM((_xlpm.x="K")*1, (_xlpm.x="A")*1, (_xlpm.x="GK")*1, (_xlpm.x="GA")*1)&gt;0, 3, 1))</f>
        <v>3</v>
      </c>
      <c r="X88" s="25" cm="1">
        <f t="array" ref="X88">_xlfn.LET(_xlpm.x, L88:L90, IF(SUM((_xlpm.x="K")*1, (_xlpm.x="A")*1, (_xlpm.x="GK")*1, (_xlpm.x="GA")*1)&gt;0, 3, 1))</f>
        <v>1</v>
      </c>
      <c r="Y88" s="25" cm="1">
        <f t="array" ref="Y88">_xlfn.LET(_xlpm.x, M88:M90, IF(SUM((_xlpm.x="K")*1, (_xlpm.x="A")*1, (_xlpm.x="GK")*1, (_xlpm.x="GA")*1)&gt;0, 3, 1))</f>
        <v>3</v>
      </c>
      <c r="Z88" s="25">
        <v>1</v>
      </c>
      <c r="AA88" s="25">
        <v>1</v>
      </c>
      <c r="AH88" s="5"/>
      <c r="AI88" s="5"/>
      <c r="AO88" s="5"/>
    </row>
    <row r="89" spans="10:41" x14ac:dyDescent="0.3">
      <c r="J89" s="9">
        <v>85</v>
      </c>
      <c r="K89" s="16" t="s">
        <v>37</v>
      </c>
      <c r="L89" s="16" t="s">
        <v>19</v>
      </c>
      <c r="M89" s="16" t="s">
        <v>126</v>
      </c>
      <c r="N89" s="16" t="s">
        <v>22</v>
      </c>
      <c r="O89" s="16" t="s">
        <v>125</v>
      </c>
      <c r="Q89" s="9">
        <v>7</v>
      </c>
      <c r="R89" s="9">
        <v>5</v>
      </c>
      <c r="S89" s="9">
        <v>15</v>
      </c>
      <c r="T89" s="9">
        <v>3</v>
      </c>
      <c r="U89" s="9">
        <v>6</v>
      </c>
      <c r="W89" s="25" cm="1">
        <f t="array" ref="W89">_xlfn.LET(_xlpm.x, K89:K91, IF(SUM((_xlpm.x="K")*1, (_xlpm.x="A")*1, (_xlpm.x="GK")*1, (_xlpm.x="GA")*1)&gt;0, 3, 1))</f>
        <v>3</v>
      </c>
      <c r="X89" s="25" cm="1">
        <f t="array" ref="X89">_xlfn.LET(_xlpm.x, L89:L91, IF(SUM((_xlpm.x="K")*1, (_xlpm.x="A")*1, (_xlpm.x="GK")*1, (_xlpm.x="GA")*1)&gt;0, 3, 1))</f>
        <v>1</v>
      </c>
      <c r="Y89" s="25" cm="1">
        <f t="array" ref="Y89">_xlfn.LET(_xlpm.x, M89:M91, IF(SUM((_xlpm.x="K")*1, (_xlpm.x="A")*1, (_xlpm.x="GK")*1, (_xlpm.x="GA")*1)&gt;0, 3, 1))</f>
        <v>3</v>
      </c>
      <c r="Z89" s="25">
        <v>1</v>
      </c>
      <c r="AA89" s="25">
        <v>1</v>
      </c>
      <c r="AH89" s="5"/>
      <c r="AI89" s="5"/>
      <c r="AO89" s="5"/>
    </row>
    <row r="90" spans="10:41" x14ac:dyDescent="0.3">
      <c r="J90" s="25">
        <v>86</v>
      </c>
      <c r="K90" s="16" t="s">
        <v>37</v>
      </c>
      <c r="L90" s="16" t="s">
        <v>19</v>
      </c>
      <c r="M90" s="16" t="s">
        <v>92</v>
      </c>
      <c r="N90" s="16" t="s">
        <v>19</v>
      </c>
      <c r="O90" s="16" t="s">
        <v>37</v>
      </c>
      <c r="Q90" s="9">
        <v>7</v>
      </c>
      <c r="R90" s="9">
        <v>5</v>
      </c>
      <c r="S90" s="9">
        <v>16</v>
      </c>
      <c r="T90" s="9">
        <v>5</v>
      </c>
      <c r="U90" s="9">
        <v>7</v>
      </c>
      <c r="W90" s="25" cm="1">
        <f t="array" ref="W90">_xlfn.LET(_xlpm.x, K90:K92, IF(SUM((_xlpm.x="K")*1, (_xlpm.x="A")*1, (_xlpm.x="GK")*1, (_xlpm.x="GA")*1)&gt;0, 3, 1))</f>
        <v>3</v>
      </c>
      <c r="X90" s="25" cm="1">
        <f t="array" ref="X90">_xlfn.LET(_xlpm.x, L90:L92, IF(SUM((_xlpm.x="K")*1, (_xlpm.x="A")*1, (_xlpm.x="GK")*1, (_xlpm.x="GA")*1)&gt;0, 3, 1))</f>
        <v>1</v>
      </c>
      <c r="Y90" s="25" cm="1">
        <f t="array" ref="Y90">_xlfn.LET(_xlpm.x, M90:M92, IF(SUM((_xlpm.x="K")*1, (_xlpm.x="A")*1, (_xlpm.x="GK")*1, (_xlpm.x="GA")*1)&gt;0, 3, 1))</f>
        <v>3</v>
      </c>
      <c r="Z90" s="25">
        <v>1</v>
      </c>
      <c r="AA90" s="25">
        <v>1</v>
      </c>
      <c r="AH90" s="5"/>
      <c r="AI90" s="5"/>
      <c r="AO90" s="5"/>
    </row>
    <row r="91" spans="10:41" x14ac:dyDescent="0.3">
      <c r="J91" s="9">
        <v>87</v>
      </c>
      <c r="K91" s="16" t="s">
        <v>35</v>
      </c>
      <c r="L91" s="16" t="s">
        <v>36</v>
      </c>
      <c r="M91" s="16" t="s">
        <v>91</v>
      </c>
      <c r="N91" s="16" t="s">
        <v>19</v>
      </c>
      <c r="O91" s="16" t="s">
        <v>34</v>
      </c>
      <c r="Q91" s="9">
        <v>8</v>
      </c>
      <c r="R91" s="9">
        <v>10</v>
      </c>
      <c r="S91" s="9">
        <v>14</v>
      </c>
      <c r="T91" s="9">
        <v>5</v>
      </c>
      <c r="U91" s="9">
        <v>9</v>
      </c>
      <c r="W91" s="25" cm="1">
        <f t="array" ref="W91">_xlfn.LET(_xlpm.x, K91:K93, IF(SUM((_xlpm.x="K")*1, (_xlpm.x="A")*1, (_xlpm.x="GK")*1, (_xlpm.x="GA")*1)&gt;0, 3, 1))</f>
        <v>3</v>
      </c>
      <c r="X91" s="25" cm="1">
        <f t="array" ref="X91">_xlfn.LET(_xlpm.x, L91:L93, IF(SUM((_xlpm.x="K")*1, (_xlpm.x="A")*1, (_xlpm.x="GK")*1, (_xlpm.x="GA")*1)&gt;0, 3, 1))</f>
        <v>1</v>
      </c>
      <c r="Y91" s="25" cm="1">
        <f t="array" ref="Y91">_xlfn.LET(_xlpm.x, M91:M93, IF(SUM((_xlpm.x="K")*1, (_xlpm.x="A")*1, (_xlpm.x="GK")*1, (_xlpm.x="GA")*1)&gt;0, 3, 1))</f>
        <v>3</v>
      </c>
      <c r="Z91" s="25">
        <v>1</v>
      </c>
      <c r="AA91" s="25">
        <v>1</v>
      </c>
      <c r="AH91" s="5"/>
      <c r="AI91" s="5"/>
      <c r="AO91" s="5"/>
    </row>
    <row r="92" spans="10:41" x14ac:dyDescent="0.3">
      <c r="J92" s="25">
        <v>88</v>
      </c>
      <c r="K92" s="16" t="s">
        <v>37</v>
      </c>
      <c r="L92" s="16" t="s">
        <v>126</v>
      </c>
      <c r="M92" s="16" t="s">
        <v>92</v>
      </c>
      <c r="N92" s="16" t="s">
        <v>20</v>
      </c>
      <c r="O92" s="16" t="s">
        <v>19</v>
      </c>
      <c r="Q92" s="9">
        <v>7</v>
      </c>
      <c r="R92" s="9">
        <v>15</v>
      </c>
      <c r="S92" s="9">
        <v>16</v>
      </c>
      <c r="T92" s="9">
        <v>1</v>
      </c>
      <c r="U92" s="9">
        <v>5</v>
      </c>
      <c r="W92" s="25" cm="1">
        <f t="array" ref="W92">_xlfn.LET(_xlpm.x, K92:K94, IF(SUM((_xlpm.x="K")*1, (_xlpm.x="A")*1, (_xlpm.x="GK")*1, (_xlpm.x="GA")*1)&gt;0, 3, 1))</f>
        <v>3</v>
      </c>
      <c r="X92" s="25" cm="1">
        <f t="array" ref="X92">_xlfn.LET(_xlpm.x, L92:L94, IF(SUM((_xlpm.x="K")*1, (_xlpm.x="A")*1, (_xlpm.x="GK")*1, (_xlpm.x="GA")*1)&gt;0, 3, 1))</f>
        <v>3</v>
      </c>
      <c r="Y92" s="25" cm="1">
        <f t="array" ref="Y92">_xlfn.LET(_xlpm.x, M92:M94, IF(SUM((_xlpm.x="K")*1, (_xlpm.x="A")*1, (_xlpm.x="GK")*1, (_xlpm.x="GA")*1)&gt;0, 3, 1))</f>
        <v>3</v>
      </c>
      <c r="Z92" s="25">
        <v>1</v>
      </c>
      <c r="AA92" s="25">
        <v>1</v>
      </c>
      <c r="AH92" s="5"/>
      <c r="AI92" s="5"/>
      <c r="AO92" s="5"/>
    </row>
    <row r="93" spans="10:41" x14ac:dyDescent="0.3">
      <c r="J93" s="9">
        <v>89</v>
      </c>
      <c r="K93" s="16" t="s">
        <v>18</v>
      </c>
      <c r="L93" s="16" t="s">
        <v>126</v>
      </c>
      <c r="M93" s="16" t="s">
        <v>112</v>
      </c>
      <c r="N93" s="16" t="s">
        <v>21</v>
      </c>
      <c r="O93" s="16" t="s">
        <v>34</v>
      </c>
      <c r="Q93" s="9">
        <v>4</v>
      </c>
      <c r="R93" s="9">
        <v>15</v>
      </c>
      <c r="S93" s="9">
        <v>17</v>
      </c>
      <c r="T93" s="9">
        <v>2</v>
      </c>
      <c r="U93" s="9">
        <v>9</v>
      </c>
      <c r="W93" s="25" cm="1">
        <f t="array" ref="W93">_xlfn.LET(_xlpm.x, K93:K95, IF(SUM((_xlpm.x="K")*1, (_xlpm.x="A")*1, (_xlpm.x="GK")*1, (_xlpm.x="GA")*1)&gt;0, 3, 1))</f>
        <v>1</v>
      </c>
      <c r="X93" s="25" cm="1">
        <f t="array" ref="X93">_xlfn.LET(_xlpm.x, L93:L95, IF(SUM((_xlpm.x="K")*1, (_xlpm.x="A")*1, (_xlpm.x="GK")*1, (_xlpm.x="GA")*1)&gt;0, 3, 1))</f>
        <v>3</v>
      </c>
      <c r="Y93" s="25" cm="1">
        <f t="array" ref="Y93">_xlfn.LET(_xlpm.x, M93:M95, IF(SUM((_xlpm.x="K")*1, (_xlpm.x="A")*1, (_xlpm.x="GK")*1, (_xlpm.x="GA")*1)&gt;0, 3, 1))</f>
        <v>3</v>
      </c>
      <c r="Z93" s="25">
        <v>1</v>
      </c>
      <c r="AA93" s="25">
        <v>1</v>
      </c>
      <c r="AH93" s="5"/>
      <c r="AI93" s="5"/>
      <c r="AO93" s="5"/>
    </row>
    <row r="94" spans="10:41" x14ac:dyDescent="0.3">
      <c r="J94" s="25">
        <v>90</v>
      </c>
      <c r="K94" s="16" t="s">
        <v>22</v>
      </c>
      <c r="L94" s="16" t="s">
        <v>35</v>
      </c>
      <c r="M94" s="16" t="s">
        <v>91</v>
      </c>
      <c r="N94" s="16" t="s">
        <v>22</v>
      </c>
      <c r="O94" s="16" t="s">
        <v>35</v>
      </c>
      <c r="Q94" s="9">
        <v>3</v>
      </c>
      <c r="R94" s="9">
        <v>8</v>
      </c>
      <c r="S94" s="9">
        <v>14</v>
      </c>
      <c r="T94" s="9">
        <v>3</v>
      </c>
      <c r="U94" s="9">
        <v>8</v>
      </c>
      <c r="W94" s="25" cm="1">
        <f t="array" ref="W94">_xlfn.LET(_xlpm.x, K94:K96, IF(SUM((_xlpm.x="K")*1, (_xlpm.x="A")*1, (_xlpm.x="GK")*1, (_xlpm.x="GA")*1)&gt;0, 3, 1))</f>
        <v>3</v>
      </c>
      <c r="X94" s="25" cm="1">
        <f t="array" ref="X94">_xlfn.LET(_xlpm.x, L94:L96, IF(SUM((_xlpm.x="K")*1, (_xlpm.x="A")*1, (_xlpm.x="GK")*1, (_xlpm.x="GA")*1)&gt;0, 3, 1))</f>
        <v>3</v>
      </c>
      <c r="Y94" s="25" cm="1">
        <f t="array" ref="Y94">_xlfn.LET(_xlpm.x, M94:M96, IF(SUM((_xlpm.x="K")*1, (_xlpm.x="A")*1, (_xlpm.x="GK")*1, (_xlpm.x="GA")*1)&gt;0, 3, 1))</f>
        <v>3</v>
      </c>
      <c r="Z94" s="25">
        <v>1</v>
      </c>
      <c r="AA94" s="25">
        <v>1</v>
      </c>
      <c r="AH94" s="5"/>
      <c r="AI94" s="5"/>
      <c r="AO94" s="5"/>
    </row>
    <row r="95" spans="10:41" x14ac:dyDescent="0.3">
      <c r="J95" s="9">
        <v>91</v>
      </c>
      <c r="K95" s="16" t="s">
        <v>19</v>
      </c>
      <c r="L95" s="16" t="s">
        <v>35</v>
      </c>
      <c r="M95" s="16" t="s">
        <v>112</v>
      </c>
      <c r="N95" s="16" t="s">
        <v>21</v>
      </c>
      <c r="O95" s="16" t="s">
        <v>22</v>
      </c>
      <c r="Q95" s="9">
        <v>5</v>
      </c>
      <c r="R95" s="9">
        <v>8</v>
      </c>
      <c r="S95" s="9">
        <v>17</v>
      </c>
      <c r="T95" s="9">
        <v>2</v>
      </c>
      <c r="U95" s="9">
        <v>3</v>
      </c>
      <c r="W95" s="25" cm="1">
        <f t="array" ref="W95">_xlfn.LET(_xlpm.x, K95:K97, IF(SUM((_xlpm.x="K")*1, (_xlpm.x="A")*1, (_xlpm.x="GK")*1, (_xlpm.x="GA")*1)&gt;0, 3, 1))</f>
        <v>3</v>
      </c>
      <c r="X95" s="25" cm="1">
        <f t="array" ref="X95">_xlfn.LET(_xlpm.x, L95:L97, IF(SUM((_xlpm.x="K")*1, (_xlpm.x="A")*1, (_xlpm.x="GK")*1, (_xlpm.x="GA")*1)&gt;0, 3, 1))</f>
        <v>3</v>
      </c>
      <c r="Y95" s="25" cm="1">
        <f t="array" ref="Y95">_xlfn.LET(_xlpm.x, M95:M97, IF(SUM((_xlpm.x="K")*1, (_xlpm.x="A")*1, (_xlpm.x="GK")*1, (_xlpm.x="GA")*1)&gt;0, 3, 1))</f>
        <v>3</v>
      </c>
      <c r="Z95" s="25">
        <v>1</v>
      </c>
      <c r="AA95" s="25">
        <v>1</v>
      </c>
      <c r="AH95" s="5"/>
      <c r="AI95" s="5"/>
      <c r="AO95" s="5"/>
    </row>
    <row r="96" spans="10:41" x14ac:dyDescent="0.3">
      <c r="J96" s="25">
        <v>92</v>
      </c>
      <c r="K96" s="16" t="s">
        <v>37</v>
      </c>
      <c r="L96" s="16" t="s">
        <v>92</v>
      </c>
      <c r="M96" s="16" t="s">
        <v>91</v>
      </c>
      <c r="N96" s="16" t="s">
        <v>21</v>
      </c>
      <c r="O96" s="16" t="s">
        <v>21</v>
      </c>
      <c r="Q96" s="9">
        <v>7</v>
      </c>
      <c r="R96" s="9">
        <v>16</v>
      </c>
      <c r="S96" s="9">
        <v>14</v>
      </c>
      <c r="T96" s="9">
        <v>2</v>
      </c>
      <c r="U96" s="9">
        <v>2</v>
      </c>
      <c r="W96" s="25" cm="1">
        <f t="array" ref="W96">_xlfn.LET(_xlpm.x, K96:K98, IF(SUM((_xlpm.x="K")*1, (_xlpm.x="A")*1, (_xlpm.x="GK")*1, (_xlpm.x="GA")*1)&gt;0, 3, 1))</f>
        <v>3</v>
      </c>
      <c r="X96" s="25" cm="1">
        <f t="array" ref="X96">_xlfn.LET(_xlpm.x, L96:L98, IF(SUM((_xlpm.x="K")*1, (_xlpm.x="A")*1, (_xlpm.x="GK")*1, (_xlpm.x="GA")*1)&gt;0, 3, 1))</f>
        <v>3</v>
      </c>
      <c r="Y96" s="25" cm="1">
        <f t="array" ref="Y96">_xlfn.LET(_xlpm.x, M96:M98, IF(SUM((_xlpm.x="K")*1, (_xlpm.x="A")*1, (_xlpm.x="GK")*1, (_xlpm.x="GA")*1)&gt;0, 3, 1))</f>
        <v>3</v>
      </c>
      <c r="Z96" s="25">
        <v>1</v>
      </c>
      <c r="AA96" s="25">
        <v>1</v>
      </c>
      <c r="AH96" s="5"/>
      <c r="AI96" s="5"/>
      <c r="AO96" s="5"/>
    </row>
    <row r="97" spans="10:41" x14ac:dyDescent="0.3">
      <c r="J97" s="9">
        <v>93</v>
      </c>
      <c r="K97" s="16" t="s">
        <v>19</v>
      </c>
      <c r="L97" s="16" t="s">
        <v>35</v>
      </c>
      <c r="M97" s="16" t="s">
        <v>92</v>
      </c>
      <c r="N97" s="16" t="s">
        <v>21</v>
      </c>
      <c r="O97" s="16" t="s">
        <v>36</v>
      </c>
      <c r="Q97" s="9">
        <v>5</v>
      </c>
      <c r="R97" s="9">
        <v>8</v>
      </c>
      <c r="S97" s="9">
        <v>16</v>
      </c>
      <c r="T97" s="9">
        <v>2</v>
      </c>
      <c r="U97" s="9">
        <v>10</v>
      </c>
      <c r="W97" s="25" cm="1">
        <f t="array" ref="W97">_xlfn.LET(_xlpm.x, K97:K99, IF(SUM((_xlpm.x="K")*1, (_xlpm.x="A")*1, (_xlpm.x="GK")*1, (_xlpm.x="GA")*1)&gt;0, 3, 1))</f>
        <v>3</v>
      </c>
      <c r="X97" s="25" cm="1">
        <f t="array" ref="X97">_xlfn.LET(_xlpm.x, L97:L99, IF(SUM((_xlpm.x="K")*1, (_xlpm.x="A")*1, (_xlpm.x="GK")*1, (_xlpm.x="GA")*1)&gt;0, 3, 1))</f>
        <v>3</v>
      </c>
      <c r="Y97" s="25" cm="1">
        <f t="array" ref="Y97">_xlfn.LET(_xlpm.x, M97:M99, IF(SUM((_xlpm.x="K")*1, (_xlpm.x="A")*1, (_xlpm.x="GK")*1, (_xlpm.x="GA")*1)&gt;0, 3, 1))</f>
        <v>3</v>
      </c>
      <c r="Z97" s="25">
        <v>1</v>
      </c>
      <c r="AA97" s="25">
        <v>1</v>
      </c>
      <c r="AH97" s="5"/>
      <c r="AI97" s="5"/>
      <c r="AO97" s="5"/>
    </row>
    <row r="98" spans="10:41" x14ac:dyDescent="0.3">
      <c r="J98" s="25">
        <v>94</v>
      </c>
      <c r="K98" s="16" t="s">
        <v>37</v>
      </c>
      <c r="L98" s="16" t="s">
        <v>37</v>
      </c>
      <c r="M98" s="16" t="s">
        <v>126</v>
      </c>
      <c r="N98" s="16" t="s">
        <v>88</v>
      </c>
      <c r="O98" s="16" t="s">
        <v>22</v>
      </c>
      <c r="Q98" s="9">
        <v>7</v>
      </c>
      <c r="R98" s="9">
        <v>7</v>
      </c>
      <c r="S98" s="9">
        <v>15</v>
      </c>
      <c r="T98" s="9">
        <v>11</v>
      </c>
      <c r="U98" s="9">
        <v>3</v>
      </c>
      <c r="W98" s="25" cm="1">
        <f t="array" ref="W98">_xlfn.LET(_xlpm.x, K98:K100, IF(SUM((_xlpm.x="K")*1, (_xlpm.x="A")*1, (_xlpm.x="GK")*1, (_xlpm.x="GA")*1)&gt;0, 3, 1))</f>
        <v>3</v>
      </c>
      <c r="X98" s="25" cm="1">
        <f t="array" ref="X98">_xlfn.LET(_xlpm.x, L98:L100, IF(SUM((_xlpm.x="K")*1, (_xlpm.x="A")*1, (_xlpm.x="GK")*1, (_xlpm.x="GA")*1)&gt;0, 3, 1))</f>
        <v>3</v>
      </c>
      <c r="Y98" s="25" cm="1">
        <f t="array" ref="Y98">_xlfn.LET(_xlpm.x, M98:M100, IF(SUM((_xlpm.x="K")*1, (_xlpm.x="A")*1, (_xlpm.x="GK")*1, (_xlpm.x="GA")*1)&gt;0, 3, 1))</f>
        <v>3</v>
      </c>
      <c r="Z98" s="25">
        <v>1</v>
      </c>
      <c r="AA98" s="25">
        <v>1</v>
      </c>
      <c r="AH98" s="5"/>
      <c r="AI98" s="5"/>
      <c r="AO98" s="5"/>
    </row>
    <row r="99" spans="10:41" x14ac:dyDescent="0.3">
      <c r="J99" s="9">
        <v>95</v>
      </c>
      <c r="K99" s="16" t="s">
        <v>19</v>
      </c>
      <c r="L99" s="16" t="s">
        <v>112</v>
      </c>
      <c r="M99" s="16" t="s">
        <v>112</v>
      </c>
      <c r="N99" s="16" t="s">
        <v>18</v>
      </c>
      <c r="O99" s="16" t="s">
        <v>35</v>
      </c>
      <c r="Q99" s="9">
        <v>5</v>
      </c>
      <c r="R99" s="9">
        <v>17</v>
      </c>
      <c r="S99" s="9">
        <v>17</v>
      </c>
      <c r="T99" s="9">
        <v>4</v>
      </c>
      <c r="U99" s="9">
        <v>8</v>
      </c>
      <c r="W99" s="25" cm="1">
        <f t="array" ref="W99">_xlfn.LET(_xlpm.x, K99:K101, IF(SUM((_xlpm.x="K")*1, (_xlpm.x="A")*1, (_xlpm.x="GK")*1, (_xlpm.x="GA")*1)&gt;0, 3, 1))</f>
        <v>1</v>
      </c>
      <c r="X99" s="25" cm="1">
        <f t="array" ref="X99">_xlfn.LET(_xlpm.x, L99:L101, IF(SUM((_xlpm.x="K")*1, (_xlpm.x="A")*1, (_xlpm.x="GK")*1, (_xlpm.x="GA")*1)&gt;0, 3, 1))</f>
        <v>3</v>
      </c>
      <c r="Y99" s="25" cm="1">
        <f t="array" ref="Y99">_xlfn.LET(_xlpm.x, M99:M101, IF(SUM((_xlpm.x="K")*1, (_xlpm.x="A")*1, (_xlpm.x="GK")*1, (_xlpm.x="GA")*1)&gt;0, 3, 1))</f>
        <v>3</v>
      </c>
      <c r="Z99" s="25">
        <v>1</v>
      </c>
      <c r="AA99" s="25">
        <v>1</v>
      </c>
      <c r="AH99" s="5"/>
      <c r="AI99" s="5"/>
      <c r="AO99" s="5"/>
    </row>
    <row r="100" spans="10:41" x14ac:dyDescent="0.3">
      <c r="J100" s="25">
        <v>96</v>
      </c>
      <c r="K100" s="16" t="s">
        <v>125</v>
      </c>
      <c r="L100" s="16" t="s">
        <v>31</v>
      </c>
      <c r="M100" s="16" t="s">
        <v>126</v>
      </c>
      <c r="N100" s="16" t="s">
        <v>35</v>
      </c>
      <c r="O100" s="16" t="s">
        <v>19</v>
      </c>
      <c r="Q100" s="9">
        <v>6</v>
      </c>
      <c r="R100" s="9">
        <v>8</v>
      </c>
      <c r="S100" s="9">
        <v>15</v>
      </c>
      <c r="T100" s="9">
        <v>8</v>
      </c>
      <c r="U100" s="9">
        <v>5</v>
      </c>
      <c r="W100" s="25" cm="1">
        <f t="array" ref="W100">_xlfn.LET(_xlpm.x, K100:K102, IF(SUM((_xlpm.x="K")*1, (_xlpm.x="A")*1, (_xlpm.x="GK")*1, (_xlpm.x="GA")*1)&gt;0, 3, 1))</f>
        <v>3</v>
      </c>
      <c r="X100" s="25" cm="1">
        <f t="array" ref="X100">_xlfn.LET(_xlpm.x, L100:L102, IF(SUM((_xlpm.x="K")*1, (_xlpm.x="A")*1, (_xlpm.x="GK")*1, (_xlpm.x="GA")*1)&gt;0, 3, 1))</f>
        <v>3</v>
      </c>
      <c r="Y100" s="25" cm="1">
        <f t="array" ref="Y100">_xlfn.LET(_xlpm.x, M100:M102, IF(SUM((_xlpm.x="K")*1, (_xlpm.x="A")*1, (_xlpm.x="GK")*1, (_xlpm.x="GA")*1)&gt;0, 3, 1))</f>
        <v>3</v>
      </c>
      <c r="Z100" s="25">
        <v>1</v>
      </c>
      <c r="AA100" s="25">
        <v>1</v>
      </c>
      <c r="AH100" s="5"/>
      <c r="AI100" s="5"/>
      <c r="AO100" s="5"/>
    </row>
    <row r="101" spans="10:41" x14ac:dyDescent="0.3">
      <c r="J101" s="9">
        <v>97</v>
      </c>
      <c r="K101" s="16" t="s">
        <v>19</v>
      </c>
      <c r="L101" s="16" t="s">
        <v>92</v>
      </c>
      <c r="M101" s="16" t="s">
        <v>92</v>
      </c>
      <c r="N101" s="16" t="s">
        <v>35</v>
      </c>
      <c r="O101" s="16" t="s">
        <v>18</v>
      </c>
      <c r="Q101" s="9">
        <v>5</v>
      </c>
      <c r="R101" s="9">
        <v>16</v>
      </c>
      <c r="S101" s="9">
        <v>16</v>
      </c>
      <c r="T101" s="9">
        <v>8</v>
      </c>
      <c r="U101" s="9">
        <v>4</v>
      </c>
      <c r="W101" s="25" cm="1">
        <f t="array" ref="W101">_xlfn.LET(_xlpm.x, K101:K103, IF(SUM((_xlpm.x="K")*1, (_xlpm.x="A")*1, (_xlpm.x="GK")*1, (_xlpm.x="GA")*1)&gt;0, 3, 1))</f>
        <v>3</v>
      </c>
      <c r="X101" s="25" cm="1">
        <f t="array" ref="X101">_xlfn.LET(_xlpm.x, L101:L103, IF(SUM((_xlpm.x="K")*1, (_xlpm.x="A")*1, (_xlpm.x="GK")*1, (_xlpm.x="GA")*1)&gt;0, 3, 1))</f>
        <v>3</v>
      </c>
      <c r="Y101" s="25" cm="1">
        <f t="array" ref="Y101">_xlfn.LET(_xlpm.x, M101:M103, IF(SUM((_xlpm.x="K")*1, (_xlpm.x="A")*1, (_xlpm.x="GK")*1, (_xlpm.x="GA")*1)&gt;0, 3, 1))</f>
        <v>3</v>
      </c>
      <c r="Z101" s="25">
        <v>1</v>
      </c>
      <c r="AA101" s="25">
        <v>1</v>
      </c>
      <c r="AH101" s="5"/>
      <c r="AI101" s="5"/>
      <c r="AO101" s="5"/>
    </row>
    <row r="102" spans="10:41" x14ac:dyDescent="0.3">
      <c r="J102" s="25">
        <v>98</v>
      </c>
      <c r="K102" s="16" t="s">
        <v>37</v>
      </c>
      <c r="L102" s="16" t="s">
        <v>21</v>
      </c>
      <c r="M102" s="16" t="s">
        <v>112</v>
      </c>
      <c r="N102" s="16" t="s">
        <v>18</v>
      </c>
      <c r="O102" s="16" t="s">
        <v>21</v>
      </c>
      <c r="Q102" s="9">
        <v>7</v>
      </c>
      <c r="R102" s="9">
        <v>2</v>
      </c>
      <c r="S102" s="9">
        <v>17</v>
      </c>
      <c r="T102" s="9">
        <v>4</v>
      </c>
      <c r="U102" s="9">
        <v>2</v>
      </c>
      <c r="W102" s="25" cm="1">
        <f t="array" ref="W102">_xlfn.LET(_xlpm.x, K102:K104, IF(SUM((_xlpm.x="K")*1, (_xlpm.x="A")*1, (_xlpm.x="GK")*1, (_xlpm.x="GA")*1)&gt;0, 3, 1))</f>
        <v>3</v>
      </c>
      <c r="X102" s="25" cm="1">
        <f t="array" ref="X102">_xlfn.LET(_xlpm.x, L102:L104, IF(SUM((_xlpm.x="K")*1, (_xlpm.x="A")*1, (_xlpm.x="GK")*1, (_xlpm.x="GA")*1)&gt;0, 3, 1))</f>
        <v>1</v>
      </c>
      <c r="Y102" s="25" cm="1">
        <f t="array" ref="Y102">_xlfn.LET(_xlpm.x, M102:M104, IF(SUM((_xlpm.x="K")*1, (_xlpm.x="A")*1, (_xlpm.x="GK")*1, (_xlpm.x="GA")*1)&gt;0, 3, 1))</f>
        <v>3</v>
      </c>
      <c r="Z102" s="25">
        <v>1</v>
      </c>
      <c r="AA102" s="25">
        <v>1</v>
      </c>
      <c r="AH102" s="5"/>
      <c r="AI102" s="5"/>
      <c r="AO102" s="5"/>
    </row>
    <row r="103" spans="10:41" x14ac:dyDescent="0.3">
      <c r="J103" s="9">
        <v>99</v>
      </c>
      <c r="K103" s="16" t="s">
        <v>35</v>
      </c>
      <c r="L103" s="16" t="s">
        <v>91</v>
      </c>
      <c r="M103" s="16" t="s">
        <v>88</v>
      </c>
      <c r="N103" s="16" t="s">
        <v>36</v>
      </c>
      <c r="O103" s="16" t="s">
        <v>21</v>
      </c>
      <c r="Q103" s="9">
        <v>8</v>
      </c>
      <c r="R103" s="9">
        <v>14</v>
      </c>
      <c r="S103" s="9">
        <v>11</v>
      </c>
      <c r="T103" s="9">
        <v>10</v>
      </c>
      <c r="U103" s="9">
        <v>2</v>
      </c>
      <c r="W103" s="25" cm="1">
        <f t="array" ref="W103">_xlfn.LET(_xlpm.x, K103:K105, IF(SUM((_xlpm.x="K")*1, (_xlpm.x="A")*1, (_xlpm.x="GK")*1, (_xlpm.x="GA")*1)&gt;0, 3, 1))</f>
        <v>3</v>
      </c>
      <c r="X103" s="25" cm="1">
        <f t="array" ref="X103">_xlfn.LET(_xlpm.x, L103:L105, IF(SUM((_xlpm.x="K")*1, (_xlpm.x="A")*1, (_xlpm.x="GK")*1, (_xlpm.x="GA")*1)&gt;0, 3, 1))</f>
        <v>1</v>
      </c>
      <c r="Y103" s="25" cm="1">
        <f t="array" ref="Y103">_xlfn.LET(_xlpm.x, M103:M105, IF(SUM((_xlpm.x="K")*1, (_xlpm.x="A")*1, (_xlpm.x="GK")*1, (_xlpm.x="GA")*1)&gt;0, 3, 1))</f>
        <v>3</v>
      </c>
      <c r="Z103" s="25">
        <v>1</v>
      </c>
      <c r="AA103" s="25">
        <v>1</v>
      </c>
      <c r="AH103" s="5"/>
      <c r="AI103" s="5"/>
      <c r="AO103" s="5"/>
    </row>
    <row r="104" spans="10:41" x14ac:dyDescent="0.3">
      <c r="J104" s="25">
        <v>100</v>
      </c>
      <c r="K104" s="16" t="s">
        <v>37</v>
      </c>
      <c r="L104" s="16" t="s">
        <v>20</v>
      </c>
      <c r="M104" s="16" t="s">
        <v>91</v>
      </c>
      <c r="N104" s="16" t="s">
        <v>22</v>
      </c>
      <c r="O104" s="16" t="s">
        <v>18</v>
      </c>
      <c r="Q104" s="9">
        <v>7</v>
      </c>
      <c r="R104" s="9">
        <v>1</v>
      </c>
      <c r="S104" s="9">
        <v>14</v>
      </c>
      <c r="T104" s="9">
        <v>3</v>
      </c>
      <c r="U104" s="9">
        <v>4</v>
      </c>
      <c r="W104" s="25" cm="1">
        <f t="array" ref="W104">_xlfn.LET(_xlpm.x, K104:K106, IF(SUM((_xlpm.x="K")*1, (_xlpm.x="A")*1, (_xlpm.x="GK")*1, (_xlpm.x="GA")*1)&gt;0, 3, 1))</f>
        <v>3</v>
      </c>
      <c r="X104" s="25" cm="1">
        <f t="array" ref="X104">_xlfn.LET(_xlpm.x, L104:L106, IF(SUM((_xlpm.x="K")*1, (_xlpm.x="A")*1, (_xlpm.x="GK")*1, (_xlpm.x="GA")*1)&gt;0, 3, 1))</f>
        <v>3</v>
      </c>
      <c r="Y104" s="25" cm="1">
        <f t="array" ref="Y104">_xlfn.LET(_xlpm.x, M104:M106, IF(SUM((_xlpm.x="K")*1, (_xlpm.x="A")*1, (_xlpm.x="GK")*1, (_xlpm.x="GA")*1)&gt;0, 3, 1))</f>
        <v>3</v>
      </c>
      <c r="Z104" s="25">
        <v>1</v>
      </c>
      <c r="AA104" s="25">
        <v>1</v>
      </c>
      <c r="AH104" s="5"/>
      <c r="AI104" s="5"/>
      <c r="AO104" s="5"/>
    </row>
    <row r="105" spans="10:41" x14ac:dyDescent="0.3">
      <c r="J105" s="25">
        <v>101</v>
      </c>
      <c r="K105" s="16" t="s">
        <v>35</v>
      </c>
      <c r="L105" s="16" t="s">
        <v>125</v>
      </c>
      <c r="M105" s="16" t="s">
        <v>112</v>
      </c>
      <c r="N105" s="16" t="s">
        <v>22</v>
      </c>
      <c r="O105" s="16" t="s">
        <v>36</v>
      </c>
      <c r="Q105" s="9">
        <v>8</v>
      </c>
      <c r="R105" s="9">
        <v>6</v>
      </c>
      <c r="S105" s="9">
        <v>17</v>
      </c>
      <c r="T105" s="9">
        <v>3</v>
      </c>
      <c r="U105" s="9">
        <v>10</v>
      </c>
      <c r="W105" s="25" cm="1">
        <f t="array" ref="W105">_xlfn.LET(_xlpm.x, K105:K107, IF(SUM((_xlpm.x="K")*1, (_xlpm.x="A")*1, (_xlpm.x="GK")*1, (_xlpm.x="GA")*1)&gt;0, 3, 1))</f>
        <v>3</v>
      </c>
      <c r="X105" s="25" cm="1">
        <f t="array" ref="X105">_xlfn.LET(_xlpm.x, L105:L107, IF(SUM((_xlpm.x="K")*1, (_xlpm.x="A")*1, (_xlpm.x="GK")*1, (_xlpm.x="GA")*1)&gt;0, 3, 1))</f>
        <v>3</v>
      </c>
      <c r="Y105" s="25" cm="1">
        <f t="array" ref="Y105">_xlfn.LET(_xlpm.x, M105:M107, IF(SUM((_xlpm.x="K")*1, (_xlpm.x="A")*1, (_xlpm.x="GK")*1, (_xlpm.x="GA")*1)&gt;0, 3, 1))</f>
        <v>3</v>
      </c>
      <c r="Z105" s="25">
        <v>1</v>
      </c>
      <c r="AA105" s="25">
        <v>1</v>
      </c>
      <c r="AH105" s="5"/>
      <c r="AI105" s="5"/>
      <c r="AO105" s="5"/>
    </row>
    <row r="106" spans="10:41" x14ac:dyDescent="0.3">
      <c r="J106" s="9">
        <v>102</v>
      </c>
      <c r="K106" s="16" t="s">
        <v>35</v>
      </c>
      <c r="L106" s="16" t="s">
        <v>31</v>
      </c>
      <c r="M106" s="16" t="s">
        <v>91</v>
      </c>
      <c r="N106" s="16" t="s">
        <v>21</v>
      </c>
      <c r="O106" s="16" t="s">
        <v>125</v>
      </c>
      <c r="Q106" s="9">
        <v>8</v>
      </c>
      <c r="R106" s="9">
        <v>8</v>
      </c>
      <c r="S106" s="9">
        <v>14</v>
      </c>
      <c r="T106" s="9">
        <v>2</v>
      </c>
      <c r="U106" s="9">
        <v>6</v>
      </c>
      <c r="W106" s="25" cm="1">
        <f t="array" ref="W106">_xlfn.LET(_xlpm.x, K106:K108, IF(SUM((_xlpm.x="K")*1, (_xlpm.x="A")*1, (_xlpm.x="GK")*1, (_xlpm.x="GA")*1)&gt;0, 3, 1))</f>
        <v>3</v>
      </c>
      <c r="X106" s="25" cm="1">
        <f t="array" ref="X106">_xlfn.LET(_xlpm.x, L106:L108, IF(SUM((_xlpm.x="K")*1, (_xlpm.x="A")*1, (_xlpm.x="GK")*1, (_xlpm.x="GA")*1)&gt;0, 3, 1))</f>
        <v>3</v>
      </c>
      <c r="Y106" s="25" cm="1">
        <f t="array" ref="Y106">_xlfn.LET(_xlpm.x, M106:M108, IF(SUM((_xlpm.x="K")*1, (_xlpm.x="A")*1, (_xlpm.x="GK")*1, (_xlpm.x="GA")*1)&gt;0, 3, 1))</f>
        <v>3</v>
      </c>
      <c r="Z106" s="25">
        <v>1</v>
      </c>
      <c r="AA106" s="25">
        <v>1</v>
      </c>
      <c r="AH106" s="5"/>
      <c r="AI106" s="5"/>
      <c r="AO106" s="5"/>
    </row>
    <row r="107" spans="10:41" x14ac:dyDescent="0.3">
      <c r="J107" s="25">
        <v>103</v>
      </c>
      <c r="K107" s="16" t="s">
        <v>37</v>
      </c>
      <c r="L107" s="16" t="s">
        <v>31</v>
      </c>
      <c r="M107" s="16" t="s">
        <v>126</v>
      </c>
      <c r="N107" s="16" t="s">
        <v>90</v>
      </c>
      <c r="O107" s="16" t="s">
        <v>34</v>
      </c>
      <c r="Q107" s="9">
        <v>7</v>
      </c>
      <c r="R107" s="9">
        <v>8</v>
      </c>
      <c r="S107" s="9">
        <v>15</v>
      </c>
      <c r="T107" s="9">
        <v>13</v>
      </c>
      <c r="U107" s="9">
        <v>9</v>
      </c>
      <c r="W107" s="25" cm="1">
        <f t="array" ref="W107">_xlfn.LET(_xlpm.x, K107:K109, IF(SUM((_xlpm.x="K")*1, (_xlpm.x="A")*1, (_xlpm.x="GK")*1, (_xlpm.x="GA")*1)&gt;0, 3, 1))</f>
        <v>3</v>
      </c>
      <c r="X107" s="25" cm="1">
        <f t="array" ref="X107">_xlfn.LET(_xlpm.x, L107:L109, IF(SUM((_xlpm.x="K")*1, (_xlpm.x="A")*1, (_xlpm.x="GK")*1, (_xlpm.x="GA")*1)&gt;0, 3, 1))</f>
        <v>3</v>
      </c>
      <c r="Y107" s="25" cm="1">
        <f t="array" ref="Y107">_xlfn.LET(_xlpm.x, M107:M109, IF(SUM((_xlpm.x="K")*1, (_xlpm.x="A")*1, (_xlpm.x="GK")*1, (_xlpm.x="GA")*1)&gt;0, 3, 1))</f>
        <v>3</v>
      </c>
      <c r="Z107" s="25">
        <v>1</v>
      </c>
      <c r="AA107" s="25">
        <v>1</v>
      </c>
      <c r="AH107" s="5"/>
      <c r="AI107" s="5"/>
      <c r="AO107" s="5"/>
    </row>
    <row r="108" spans="10:41" x14ac:dyDescent="0.3">
      <c r="J108" s="9">
        <v>104</v>
      </c>
      <c r="K108" s="16" t="s">
        <v>35</v>
      </c>
      <c r="L108" s="16" t="s">
        <v>91</v>
      </c>
      <c r="M108" s="16" t="s">
        <v>92</v>
      </c>
      <c r="N108" s="16" t="s">
        <v>22</v>
      </c>
      <c r="O108" s="16" t="s">
        <v>36</v>
      </c>
      <c r="Q108" s="9">
        <v>8</v>
      </c>
      <c r="R108" s="9">
        <v>14</v>
      </c>
      <c r="S108" s="9">
        <v>16</v>
      </c>
      <c r="T108" s="9">
        <v>3</v>
      </c>
      <c r="U108" s="9">
        <v>10</v>
      </c>
      <c r="W108" s="25" cm="1">
        <f t="array" ref="W108">_xlfn.LET(_xlpm.x, K108:K110, IF(SUM((_xlpm.x="K")*1, (_xlpm.x="A")*1, (_xlpm.x="GK")*1, (_xlpm.x="GA")*1)&gt;0, 3, 1))</f>
        <v>3</v>
      </c>
      <c r="X108" s="25" cm="1">
        <f t="array" ref="X108">_xlfn.LET(_xlpm.x, L108:L110, IF(SUM((_xlpm.x="K")*1, (_xlpm.x="A")*1, (_xlpm.x="GK")*1, (_xlpm.x="GA")*1)&gt;0, 3, 1))</f>
        <v>1</v>
      </c>
      <c r="Y108" s="25" cm="1">
        <f t="array" ref="Y108">_xlfn.LET(_xlpm.x, M108:M110, IF(SUM((_xlpm.x="K")*1, (_xlpm.x="A")*1, (_xlpm.x="GK")*1, (_xlpm.x="GA")*1)&gt;0, 3, 1))</f>
        <v>3</v>
      </c>
      <c r="Z108" s="25">
        <v>1</v>
      </c>
      <c r="AA108" s="25">
        <v>1</v>
      </c>
      <c r="AH108" s="5"/>
      <c r="AI108" s="5"/>
      <c r="AO108" s="5"/>
    </row>
    <row r="109" spans="10:41" x14ac:dyDescent="0.3">
      <c r="J109" s="25">
        <v>105</v>
      </c>
      <c r="K109" s="16" t="s">
        <v>35</v>
      </c>
      <c r="L109" s="16" t="s">
        <v>89</v>
      </c>
      <c r="M109" s="16" t="s">
        <v>126</v>
      </c>
      <c r="N109" s="16" t="s">
        <v>19</v>
      </c>
      <c r="O109" s="16" t="s">
        <v>36</v>
      </c>
      <c r="Q109" s="9">
        <v>8</v>
      </c>
      <c r="R109" s="9">
        <v>12</v>
      </c>
      <c r="S109" s="9">
        <v>15</v>
      </c>
      <c r="T109" s="9">
        <v>5</v>
      </c>
      <c r="U109" s="9">
        <v>10</v>
      </c>
      <c r="W109" s="25" cm="1">
        <f t="array" ref="W109">_xlfn.LET(_xlpm.x, K109:K111, IF(SUM((_xlpm.x="K")*1, (_xlpm.x="A")*1, (_xlpm.x="GK")*1, (_xlpm.x="GA")*1)&gt;0, 3, 1))</f>
        <v>3</v>
      </c>
      <c r="X109" s="25" cm="1">
        <f t="array" ref="X109">_xlfn.LET(_xlpm.x, L109:L111, IF(SUM((_xlpm.x="K")*1, (_xlpm.x="A")*1, (_xlpm.x="GK")*1, (_xlpm.x="GA")*1)&gt;0, 3, 1))</f>
        <v>1</v>
      </c>
      <c r="Y109" s="25" cm="1">
        <f t="array" ref="Y109">_xlfn.LET(_xlpm.x, M109:M111, IF(SUM((_xlpm.x="K")*1, (_xlpm.x="A")*1, (_xlpm.x="GK")*1, (_xlpm.x="GA")*1)&gt;0, 3, 1))</f>
        <v>3</v>
      </c>
      <c r="Z109" s="25">
        <v>1</v>
      </c>
      <c r="AA109" s="25">
        <v>1</v>
      </c>
      <c r="AH109" s="5"/>
      <c r="AI109" s="5"/>
      <c r="AO109" s="5"/>
    </row>
    <row r="110" spans="10:41" x14ac:dyDescent="0.3">
      <c r="J110" s="9">
        <v>106</v>
      </c>
      <c r="K110" s="16" t="s">
        <v>35</v>
      </c>
      <c r="L110" s="16" t="s">
        <v>22</v>
      </c>
      <c r="M110" s="16" t="s">
        <v>92</v>
      </c>
      <c r="N110" s="16" t="s">
        <v>88</v>
      </c>
      <c r="O110" s="16" t="s">
        <v>19</v>
      </c>
      <c r="Q110" s="9">
        <v>8</v>
      </c>
      <c r="R110" s="9">
        <v>3</v>
      </c>
      <c r="S110" s="9">
        <v>16</v>
      </c>
      <c r="T110" s="9">
        <v>11</v>
      </c>
      <c r="U110" s="9">
        <v>5</v>
      </c>
      <c r="W110" s="25" cm="1">
        <f t="array" ref="W110">_xlfn.LET(_xlpm.x, K110:K112, IF(SUM((_xlpm.x="K")*1, (_xlpm.x="A")*1, (_xlpm.x="GK")*1, (_xlpm.x="GA")*1)&gt;0, 3, 1))</f>
        <v>3</v>
      </c>
      <c r="X110" s="25" cm="1">
        <f t="array" ref="X110">_xlfn.LET(_xlpm.x, L110:L112, IF(SUM((_xlpm.x="K")*1, (_xlpm.x="A")*1, (_xlpm.x="GK")*1, (_xlpm.x="GA")*1)&gt;0, 3, 1))</f>
        <v>1</v>
      </c>
      <c r="Y110" s="25" cm="1">
        <f t="array" ref="Y110">_xlfn.LET(_xlpm.x, M110:M112, IF(SUM((_xlpm.x="K")*1, (_xlpm.x="A")*1, (_xlpm.x="GK")*1, (_xlpm.x="GA")*1)&gt;0, 3, 1))</f>
        <v>3</v>
      </c>
      <c r="Z110" s="25">
        <v>1</v>
      </c>
      <c r="AA110" s="25">
        <v>1</v>
      </c>
      <c r="AH110" s="5"/>
      <c r="AI110" s="5"/>
      <c r="AO110" s="5"/>
    </row>
    <row r="111" spans="10:41" x14ac:dyDescent="0.3">
      <c r="J111" s="25">
        <v>107</v>
      </c>
      <c r="K111" s="16" t="s">
        <v>37</v>
      </c>
      <c r="L111" s="16" t="s">
        <v>19</v>
      </c>
      <c r="M111" s="16" t="s">
        <v>126</v>
      </c>
      <c r="N111" s="16" t="s">
        <v>18</v>
      </c>
      <c r="O111" s="16" t="s">
        <v>19</v>
      </c>
      <c r="Q111" s="9">
        <v>7</v>
      </c>
      <c r="R111" s="9">
        <v>5</v>
      </c>
      <c r="S111" s="9">
        <v>15</v>
      </c>
      <c r="T111" s="9">
        <v>4</v>
      </c>
      <c r="U111" s="9">
        <v>5</v>
      </c>
      <c r="W111" s="25" cm="1">
        <f t="array" ref="W111">_xlfn.LET(_xlpm.x, K111:K113, IF(SUM((_xlpm.x="K")*1, (_xlpm.x="A")*1, (_xlpm.x="GK")*1, (_xlpm.x="GA")*1)&gt;0, 3, 1))</f>
        <v>3</v>
      </c>
      <c r="X111" s="25" cm="1">
        <f t="array" ref="X111">_xlfn.LET(_xlpm.x, L111:L113, IF(SUM((_xlpm.x="K")*1, (_xlpm.x="A")*1, (_xlpm.x="GK")*1, (_xlpm.x="GA")*1)&gt;0, 3, 1))</f>
        <v>1</v>
      </c>
      <c r="Y111" s="25" cm="1">
        <f t="array" ref="Y111">_xlfn.LET(_xlpm.x, M111:M113, IF(SUM((_xlpm.x="K")*1, (_xlpm.x="A")*1, (_xlpm.x="GK")*1, (_xlpm.x="GA")*1)&gt;0, 3, 1))</f>
        <v>1</v>
      </c>
      <c r="Z111" s="25">
        <v>1</v>
      </c>
      <c r="AA111" s="25">
        <v>1</v>
      </c>
      <c r="AH111" s="5"/>
      <c r="AI111" s="5"/>
      <c r="AO111" s="5"/>
    </row>
    <row r="112" spans="10:41" x14ac:dyDescent="0.3">
      <c r="J112" s="9">
        <v>108</v>
      </c>
      <c r="K112" s="16" t="s">
        <v>125</v>
      </c>
      <c r="L112" s="16" t="s">
        <v>89</v>
      </c>
      <c r="M112" s="16" t="s">
        <v>91</v>
      </c>
      <c r="N112" s="16" t="s">
        <v>34</v>
      </c>
      <c r="O112" s="16" t="s">
        <v>35</v>
      </c>
      <c r="Q112" s="9">
        <v>6</v>
      </c>
      <c r="R112" s="9">
        <v>12</v>
      </c>
      <c r="S112" s="9">
        <v>14</v>
      </c>
      <c r="T112" s="9">
        <v>9</v>
      </c>
      <c r="U112" s="9">
        <v>8</v>
      </c>
      <c r="W112" s="25" cm="1">
        <f t="array" ref="W112">_xlfn.LET(_xlpm.x, K112:K114, IF(SUM((_xlpm.x="K")*1, (_xlpm.x="A")*1, (_xlpm.x="GK")*1, (_xlpm.x="GA")*1)&gt;0, 3, 1))</f>
        <v>3</v>
      </c>
      <c r="X112" s="25" cm="1">
        <f t="array" ref="X112">_xlfn.LET(_xlpm.x, L112:L114, IF(SUM((_xlpm.x="K")*1, (_xlpm.x="A")*1, (_xlpm.x="GK")*1, (_xlpm.x="GA")*1)&gt;0, 3, 1))</f>
        <v>3</v>
      </c>
      <c r="Y112" s="25" cm="1">
        <f t="array" ref="Y112">_xlfn.LET(_xlpm.x, M112:M114, IF(SUM((_xlpm.x="K")*1, (_xlpm.x="A")*1, (_xlpm.x="GK")*1, (_xlpm.x="GA")*1)&gt;0, 3, 1))</f>
        <v>3</v>
      </c>
      <c r="Z112" s="25">
        <v>1</v>
      </c>
      <c r="AA112" s="25">
        <v>1</v>
      </c>
      <c r="AH112" s="5"/>
      <c r="AI112" s="5"/>
      <c r="AO112" s="5"/>
    </row>
    <row r="113" spans="10:41" x14ac:dyDescent="0.3">
      <c r="J113" s="25">
        <v>109</v>
      </c>
      <c r="K113" s="16" t="s">
        <v>35</v>
      </c>
      <c r="L113" s="16" t="s">
        <v>91</v>
      </c>
      <c r="M113" s="16" t="s">
        <v>126</v>
      </c>
      <c r="N113" s="16" t="s">
        <v>36</v>
      </c>
      <c r="O113" s="16" t="s">
        <v>36</v>
      </c>
      <c r="Q113" s="9">
        <v>8</v>
      </c>
      <c r="R113" s="9">
        <v>14</v>
      </c>
      <c r="S113" s="9">
        <v>15</v>
      </c>
      <c r="T113" s="9">
        <v>10</v>
      </c>
      <c r="U113" s="9">
        <v>10</v>
      </c>
      <c r="W113" s="25" cm="1">
        <f t="array" ref="W113">_xlfn.LET(_xlpm.x, K113:K115, IF(SUM((_xlpm.x="K")*1, (_xlpm.x="A")*1, (_xlpm.x="GK")*1, (_xlpm.x="GA")*1)&gt;0, 3, 1))</f>
        <v>3</v>
      </c>
      <c r="X113" s="25" cm="1">
        <f t="array" ref="X113">_xlfn.LET(_xlpm.x, L113:L115, IF(SUM((_xlpm.x="K")*1, (_xlpm.x="A")*1, (_xlpm.x="GK")*1, (_xlpm.x="GA")*1)&gt;0, 3, 1))</f>
        <v>3</v>
      </c>
      <c r="Y113" s="25" cm="1">
        <f t="array" ref="Y113">_xlfn.LET(_xlpm.x, M113:M115, IF(SUM((_xlpm.x="K")*1, (_xlpm.x="A")*1, (_xlpm.x="GK")*1, (_xlpm.x="GA")*1)&gt;0, 3, 1))</f>
        <v>3</v>
      </c>
      <c r="Z113" s="25">
        <v>1</v>
      </c>
      <c r="AA113" s="25">
        <v>1</v>
      </c>
      <c r="AH113" s="5"/>
      <c r="AI113" s="5"/>
      <c r="AO113" s="5"/>
    </row>
    <row r="114" spans="10:41" x14ac:dyDescent="0.3">
      <c r="J114" s="9">
        <v>110</v>
      </c>
      <c r="K114" s="16" t="s">
        <v>21</v>
      </c>
      <c r="L114" s="16" t="s">
        <v>37</v>
      </c>
      <c r="M114" s="16" t="s">
        <v>112</v>
      </c>
      <c r="N114" s="16" t="s">
        <v>37</v>
      </c>
      <c r="O114" s="16" t="s">
        <v>21</v>
      </c>
      <c r="Q114" s="9">
        <v>2</v>
      </c>
      <c r="R114" s="9">
        <v>7</v>
      </c>
      <c r="S114" s="9">
        <v>17</v>
      </c>
      <c r="T114" s="9">
        <v>7</v>
      </c>
      <c r="U114" s="9">
        <v>2</v>
      </c>
      <c r="W114" s="25" cm="1">
        <f t="array" ref="W114">_xlfn.LET(_xlpm.x, K114:K116, IF(SUM((_xlpm.x="K")*1, (_xlpm.x="A")*1, (_xlpm.x="GK")*1, (_xlpm.x="GA")*1)&gt;0, 3, 1))</f>
        <v>1</v>
      </c>
      <c r="X114" s="25" cm="1">
        <f t="array" ref="X114">_xlfn.LET(_xlpm.x, L114:L116, IF(SUM((_xlpm.x="K")*1, (_xlpm.x="A")*1, (_xlpm.x="GK")*1, (_xlpm.x="GA")*1)&gt;0, 3, 1))</f>
        <v>3</v>
      </c>
      <c r="Y114" s="25" cm="1">
        <f t="array" ref="Y114">_xlfn.LET(_xlpm.x, M114:M116, IF(SUM((_xlpm.x="K")*1, (_xlpm.x="A")*1, (_xlpm.x="GK")*1, (_xlpm.x="GA")*1)&gt;0, 3, 1))</f>
        <v>3</v>
      </c>
      <c r="Z114" s="25">
        <v>1</v>
      </c>
      <c r="AA114" s="25">
        <v>1</v>
      </c>
      <c r="AH114" s="5"/>
      <c r="AI114" s="5"/>
      <c r="AO114" s="5"/>
    </row>
    <row r="115" spans="10:41" x14ac:dyDescent="0.3">
      <c r="J115" s="25">
        <v>111</v>
      </c>
      <c r="K115" s="16" t="s">
        <v>34</v>
      </c>
      <c r="L115" s="16" t="s">
        <v>37</v>
      </c>
      <c r="M115" s="16" t="s">
        <v>91</v>
      </c>
      <c r="N115" s="16" t="s">
        <v>125</v>
      </c>
      <c r="O115" s="16" t="s">
        <v>18</v>
      </c>
      <c r="Q115" s="9">
        <v>9</v>
      </c>
      <c r="R115" s="9">
        <v>7</v>
      </c>
      <c r="S115" s="9">
        <v>14</v>
      </c>
      <c r="T115" s="9">
        <v>6</v>
      </c>
      <c r="U115" s="9">
        <v>4</v>
      </c>
      <c r="W115" s="25" cm="1">
        <f t="array" ref="W115">_xlfn.LET(_xlpm.x, K115:K117, IF(SUM((_xlpm.x="K")*1, (_xlpm.x="A")*1, (_xlpm.x="GK")*1, (_xlpm.x="GA")*1)&gt;0, 3, 1))</f>
        <v>3</v>
      </c>
      <c r="X115" s="25" cm="1">
        <f t="array" ref="X115">_xlfn.LET(_xlpm.x, L115:L117, IF(SUM((_xlpm.x="K")*1, (_xlpm.x="A")*1, (_xlpm.x="GK")*1, (_xlpm.x="GA")*1)&gt;0, 3, 1))</f>
        <v>3</v>
      </c>
      <c r="Y115" s="25" cm="1">
        <f t="array" ref="Y115">_xlfn.LET(_xlpm.x, M115:M117, IF(SUM((_xlpm.x="K")*1, (_xlpm.x="A")*1, (_xlpm.x="GK")*1, (_xlpm.x="GA")*1)&gt;0, 3, 1))</f>
        <v>3</v>
      </c>
      <c r="Z115" s="25">
        <v>1</v>
      </c>
      <c r="AA115" s="25">
        <v>1</v>
      </c>
      <c r="AH115" s="5"/>
      <c r="AI115" s="5"/>
      <c r="AO115" s="5"/>
    </row>
    <row r="116" spans="10:41" x14ac:dyDescent="0.3">
      <c r="J116" s="9">
        <v>112</v>
      </c>
      <c r="K116" s="16" t="s">
        <v>125</v>
      </c>
      <c r="L116" s="16" t="s">
        <v>91</v>
      </c>
      <c r="M116" s="16" t="s">
        <v>112</v>
      </c>
      <c r="N116" s="16" t="s">
        <v>18</v>
      </c>
      <c r="O116" s="16" t="s">
        <v>19</v>
      </c>
      <c r="Q116" s="9">
        <v>6</v>
      </c>
      <c r="R116" s="9">
        <v>14</v>
      </c>
      <c r="S116" s="9">
        <v>17</v>
      </c>
      <c r="T116" s="9">
        <v>4</v>
      </c>
      <c r="U116" s="9">
        <v>5</v>
      </c>
      <c r="W116" s="25" cm="1">
        <f t="array" ref="W116">_xlfn.LET(_xlpm.x, K116:K118, IF(SUM((_xlpm.x="K")*1, (_xlpm.x="A")*1, (_xlpm.x="GK")*1, (_xlpm.x="GA")*1)&gt;0, 3, 1))</f>
        <v>3</v>
      </c>
      <c r="X116" s="25" cm="1">
        <f t="array" ref="X116">_xlfn.LET(_xlpm.x, L116:L118, IF(SUM((_xlpm.x="K")*1, (_xlpm.x="A")*1, (_xlpm.x="GK")*1, (_xlpm.x="GA")*1)&gt;0, 3, 1))</f>
        <v>1</v>
      </c>
      <c r="Y116" s="25" cm="1">
        <f t="array" ref="Y116">_xlfn.LET(_xlpm.x, M116:M118, IF(SUM((_xlpm.x="K")*1, (_xlpm.x="A")*1, (_xlpm.x="GK")*1, (_xlpm.x="GA")*1)&gt;0, 3, 1))</f>
        <v>3</v>
      </c>
      <c r="Z116" s="25">
        <v>1</v>
      </c>
      <c r="AA116" s="25">
        <v>1</v>
      </c>
      <c r="AH116" s="5"/>
      <c r="AI116" s="5"/>
      <c r="AO116" s="5"/>
    </row>
    <row r="117" spans="10:41" x14ac:dyDescent="0.3">
      <c r="J117" s="25">
        <v>113</v>
      </c>
      <c r="K117" s="16" t="s">
        <v>35</v>
      </c>
      <c r="L117" s="16" t="s">
        <v>19</v>
      </c>
      <c r="M117" s="16" t="s">
        <v>126</v>
      </c>
      <c r="N117" s="16" t="s">
        <v>36</v>
      </c>
      <c r="O117" s="16" t="s">
        <v>19</v>
      </c>
      <c r="Q117" s="9">
        <v>8</v>
      </c>
      <c r="R117" s="9">
        <v>5</v>
      </c>
      <c r="S117" s="9">
        <v>15</v>
      </c>
      <c r="T117" s="9">
        <v>10</v>
      </c>
      <c r="U117" s="9">
        <v>5</v>
      </c>
      <c r="W117" s="25" cm="1">
        <f t="array" ref="W117">_xlfn.LET(_xlpm.x, K117:K119, IF(SUM((_xlpm.x="K")*1, (_xlpm.x="A")*1, (_xlpm.x="GK")*1, (_xlpm.x="GA")*1)&gt;0, 3, 1))</f>
        <v>3</v>
      </c>
      <c r="X117" s="25" cm="1">
        <f t="array" ref="X117">_xlfn.LET(_xlpm.x, L117:L119, IF(SUM((_xlpm.x="K")*1, (_xlpm.x="A")*1, (_xlpm.x="GK")*1, (_xlpm.x="GA")*1)&gt;0, 3, 1))</f>
        <v>1</v>
      </c>
      <c r="Y117" s="25" cm="1">
        <f t="array" ref="Y117">_xlfn.LET(_xlpm.x, M117:M119, IF(SUM((_xlpm.x="K")*1, (_xlpm.x="A")*1, (_xlpm.x="GK")*1, (_xlpm.x="GA")*1)&gt;0, 3, 1))</f>
        <v>3</v>
      </c>
      <c r="Z117" s="25">
        <v>1</v>
      </c>
      <c r="AA117" s="25">
        <v>1</v>
      </c>
      <c r="AH117" s="5"/>
      <c r="AI117" s="5"/>
      <c r="AO117" s="5"/>
    </row>
    <row r="118" spans="10:41" x14ac:dyDescent="0.3">
      <c r="J118" s="9">
        <v>114</v>
      </c>
      <c r="K118" s="16" t="s">
        <v>19</v>
      </c>
      <c r="L118" s="16" t="s">
        <v>19</v>
      </c>
      <c r="M118" s="16" t="s">
        <v>92</v>
      </c>
      <c r="N118" s="16" t="s">
        <v>125</v>
      </c>
      <c r="O118" s="16" t="s">
        <v>37</v>
      </c>
      <c r="Q118" s="9">
        <v>5</v>
      </c>
      <c r="R118" s="9">
        <v>5</v>
      </c>
      <c r="S118" s="9">
        <v>16</v>
      </c>
      <c r="T118" s="9">
        <v>6</v>
      </c>
      <c r="U118" s="9">
        <v>7</v>
      </c>
      <c r="W118" s="25" cm="1">
        <f t="array" ref="W118">_xlfn.LET(_xlpm.x, K118:K120, IF(SUM((_xlpm.x="K")*1, (_xlpm.x="A")*1, (_xlpm.x="GK")*1, (_xlpm.x="GA")*1)&gt;0, 3, 1))</f>
        <v>3</v>
      </c>
      <c r="X118" s="25" cm="1">
        <f t="array" ref="X118">_xlfn.LET(_xlpm.x, L118:L120, IF(SUM((_xlpm.x="K")*1, (_xlpm.x="A")*1, (_xlpm.x="GK")*1, (_xlpm.x="GA")*1)&gt;0, 3, 1))</f>
        <v>1</v>
      </c>
      <c r="Y118" s="25" cm="1">
        <f t="array" ref="Y118">_xlfn.LET(_xlpm.x, M118:M120, IF(SUM((_xlpm.x="K")*1, (_xlpm.x="A")*1, (_xlpm.x="GK")*1, (_xlpm.x="GA")*1)&gt;0, 3, 1))</f>
        <v>3</v>
      </c>
      <c r="Z118" s="25">
        <v>1</v>
      </c>
      <c r="AA118" s="25">
        <v>1</v>
      </c>
      <c r="AH118" s="5"/>
      <c r="AI118" s="5"/>
      <c r="AO118" s="5"/>
    </row>
    <row r="119" spans="10:41" x14ac:dyDescent="0.3">
      <c r="J119" s="25">
        <v>115</v>
      </c>
      <c r="K119" s="16" t="s">
        <v>35</v>
      </c>
      <c r="L119" s="16" t="s">
        <v>126</v>
      </c>
      <c r="M119" s="16" t="s">
        <v>112</v>
      </c>
      <c r="N119" s="16" t="s">
        <v>92</v>
      </c>
      <c r="O119" s="16" t="s">
        <v>22</v>
      </c>
      <c r="Q119" s="9">
        <v>8</v>
      </c>
      <c r="R119" s="9">
        <v>15</v>
      </c>
      <c r="S119" s="9">
        <v>17</v>
      </c>
      <c r="T119" s="9">
        <v>16</v>
      </c>
      <c r="U119" s="9">
        <v>3</v>
      </c>
      <c r="W119" s="25" cm="1">
        <f t="array" ref="W119">_xlfn.LET(_xlpm.x, K119:K121, IF(SUM((_xlpm.x="K")*1, (_xlpm.x="A")*1, (_xlpm.x="GK")*1, (_xlpm.x="GA")*1)&gt;0, 3, 1))</f>
        <v>3</v>
      </c>
      <c r="X119" s="25" cm="1">
        <f t="array" ref="X119">_xlfn.LET(_xlpm.x, L119:L121, IF(SUM((_xlpm.x="K")*1, (_xlpm.x="A")*1, (_xlpm.x="GK")*1, (_xlpm.x="GA")*1)&gt;0, 3, 1))</f>
        <v>3</v>
      </c>
      <c r="Y119" s="25" cm="1">
        <f t="array" ref="Y119">_xlfn.LET(_xlpm.x, M119:M121, IF(SUM((_xlpm.x="K")*1, (_xlpm.x="A")*1, (_xlpm.x="GK")*1, (_xlpm.x="GA")*1)&gt;0, 3, 1))</f>
        <v>3</v>
      </c>
      <c r="Z119" s="25">
        <v>1</v>
      </c>
      <c r="AA119" s="25">
        <v>1</v>
      </c>
      <c r="AH119" s="5"/>
      <c r="AI119" s="5"/>
      <c r="AO119" s="5"/>
    </row>
    <row r="120" spans="10:41" x14ac:dyDescent="0.3">
      <c r="J120" s="9">
        <v>116</v>
      </c>
      <c r="K120" s="16" t="s">
        <v>19</v>
      </c>
      <c r="L120" s="16" t="s">
        <v>125</v>
      </c>
      <c r="M120" s="16" t="s">
        <v>92</v>
      </c>
      <c r="N120" s="16" t="s">
        <v>125</v>
      </c>
      <c r="O120" s="16" t="s">
        <v>35</v>
      </c>
      <c r="Q120" s="9">
        <v>5</v>
      </c>
      <c r="R120" s="9">
        <v>6</v>
      </c>
      <c r="S120" s="9">
        <v>16</v>
      </c>
      <c r="T120" s="9">
        <v>6</v>
      </c>
      <c r="U120" s="9">
        <v>8</v>
      </c>
      <c r="W120" s="25" cm="1">
        <f t="array" ref="W120">_xlfn.LET(_xlpm.x, K120:K122, IF(SUM((_xlpm.x="K")*1, (_xlpm.x="A")*1, (_xlpm.x="GK")*1, (_xlpm.x="GA")*1)&gt;0, 3, 1))</f>
        <v>3</v>
      </c>
      <c r="X120" s="25" cm="1">
        <f t="array" ref="X120">_xlfn.LET(_xlpm.x, L120:L122, IF(SUM((_xlpm.x="K")*1, (_xlpm.x="A")*1, (_xlpm.x="GK")*1, (_xlpm.x="GA")*1)&gt;0, 3, 1))</f>
        <v>3</v>
      </c>
      <c r="Y120" s="25" cm="1">
        <f t="array" ref="Y120">_xlfn.LET(_xlpm.x, M120:M122, IF(SUM((_xlpm.x="K")*1, (_xlpm.x="A")*1, (_xlpm.x="GK")*1, (_xlpm.x="GA")*1)&gt;0, 3, 1))</f>
        <v>3</v>
      </c>
      <c r="Z120" s="25">
        <v>1</v>
      </c>
      <c r="AA120" s="25">
        <v>1</v>
      </c>
      <c r="AH120" s="5"/>
      <c r="AI120" s="5"/>
      <c r="AO120" s="5"/>
    </row>
    <row r="121" spans="10:41" x14ac:dyDescent="0.3">
      <c r="J121" s="25">
        <v>117</v>
      </c>
      <c r="K121" s="16" t="s">
        <v>19</v>
      </c>
      <c r="L121" s="16" t="s">
        <v>92</v>
      </c>
      <c r="M121" s="16" t="s">
        <v>126</v>
      </c>
      <c r="N121" s="16" t="s">
        <v>22</v>
      </c>
      <c r="O121" s="16" t="s">
        <v>22</v>
      </c>
      <c r="Q121" s="9">
        <v>5</v>
      </c>
      <c r="R121" s="9">
        <v>16</v>
      </c>
      <c r="S121" s="9">
        <v>15</v>
      </c>
      <c r="T121" s="9">
        <v>3</v>
      </c>
      <c r="U121" s="9">
        <v>3</v>
      </c>
      <c r="W121" s="25" cm="1">
        <f t="array" ref="W121">_xlfn.LET(_xlpm.x, K121:K123, IF(SUM((_xlpm.x="K")*1, (_xlpm.x="A")*1, (_xlpm.x="GK")*1, (_xlpm.x="GA")*1)&gt;0, 3, 1))</f>
        <v>3</v>
      </c>
      <c r="X121" s="25" cm="1">
        <f t="array" ref="X121">_xlfn.LET(_xlpm.x, L121:L123, IF(SUM((_xlpm.x="K")*1, (_xlpm.x="A")*1, (_xlpm.x="GK")*1, (_xlpm.x="GA")*1)&gt;0, 3, 1))</f>
        <v>3</v>
      </c>
      <c r="Y121" s="25" cm="1">
        <f t="array" ref="Y121">_xlfn.LET(_xlpm.x, M121:M123, IF(SUM((_xlpm.x="K")*1, (_xlpm.x="A")*1, (_xlpm.x="GK")*1, (_xlpm.x="GA")*1)&gt;0, 3, 1))</f>
        <v>1</v>
      </c>
      <c r="Z121" s="25">
        <v>1</v>
      </c>
      <c r="AA121" s="25">
        <v>1</v>
      </c>
      <c r="AH121" s="5"/>
      <c r="AI121" s="5"/>
      <c r="AO121" s="5"/>
    </row>
    <row r="122" spans="10:41" x14ac:dyDescent="0.3">
      <c r="J122" s="9">
        <v>118</v>
      </c>
      <c r="K122" s="16" t="s">
        <v>37</v>
      </c>
      <c r="L122" s="16" t="s">
        <v>31</v>
      </c>
      <c r="M122" s="16" t="s">
        <v>97</v>
      </c>
      <c r="N122" s="16" t="s">
        <v>37</v>
      </c>
      <c r="O122" s="16" t="s">
        <v>34</v>
      </c>
      <c r="Q122" s="9">
        <v>7</v>
      </c>
      <c r="R122" s="9">
        <v>8</v>
      </c>
      <c r="S122" s="9">
        <v>19</v>
      </c>
      <c r="T122" s="9">
        <v>7</v>
      </c>
      <c r="U122" s="9">
        <v>9</v>
      </c>
      <c r="W122" s="25" cm="1">
        <f t="array" ref="W122">_xlfn.LET(_xlpm.x, K122:K124, IF(SUM((_xlpm.x="K")*1, (_xlpm.x="A")*1, (_xlpm.x="GK")*1, (_xlpm.x="GA")*1)&gt;0, 3, 1))</f>
        <v>3</v>
      </c>
      <c r="X122" s="25" cm="1">
        <f t="array" ref="X122">_xlfn.LET(_xlpm.x, L122:L124, IF(SUM((_xlpm.x="K")*1, (_xlpm.x="A")*1, (_xlpm.x="GK")*1, (_xlpm.x="GA")*1)&gt;0, 3, 1))</f>
        <v>3</v>
      </c>
      <c r="Y122" s="25" cm="1">
        <f t="array" ref="Y122">_xlfn.LET(_xlpm.x, M122:M124, IF(SUM((_xlpm.x="K")*1, (_xlpm.x="A")*1, (_xlpm.x="GK")*1, (_xlpm.x="GA")*1)&gt;0, 3, 1))</f>
        <v>1</v>
      </c>
      <c r="Z122" s="25">
        <v>1</v>
      </c>
      <c r="AA122" s="25">
        <v>1</v>
      </c>
      <c r="AH122" s="5"/>
      <c r="AI122" s="5"/>
      <c r="AO122" s="5"/>
    </row>
    <row r="123" spans="10:41" x14ac:dyDescent="0.3">
      <c r="J123" s="25">
        <v>119</v>
      </c>
      <c r="K123" s="16" t="s">
        <v>35</v>
      </c>
      <c r="L123" s="16" t="s">
        <v>95</v>
      </c>
      <c r="M123" s="16" t="s">
        <v>126</v>
      </c>
      <c r="N123" s="16" t="s">
        <v>37</v>
      </c>
      <c r="O123" s="16" t="s">
        <v>35</v>
      </c>
      <c r="Q123" s="9">
        <v>8</v>
      </c>
      <c r="R123" s="9">
        <v>18</v>
      </c>
      <c r="S123" s="9">
        <v>15</v>
      </c>
      <c r="T123" s="9">
        <v>7</v>
      </c>
      <c r="U123" s="9">
        <v>8</v>
      </c>
      <c r="W123" s="25" cm="1">
        <f t="array" ref="W123">_xlfn.LET(_xlpm.x, K123:K125, IF(SUM((_xlpm.x="K")*1, (_xlpm.x="A")*1, (_xlpm.x="GK")*1, (_xlpm.x="GA")*1)&gt;0, 3, 1))</f>
        <v>3</v>
      </c>
      <c r="X123" s="25" cm="1">
        <f t="array" ref="X123">_xlfn.LET(_xlpm.x, L123:L125, IF(SUM((_xlpm.x="K")*1, (_xlpm.x="A")*1, (_xlpm.x="GK")*1, (_xlpm.x="GA")*1)&gt;0, 3, 1))</f>
        <v>1</v>
      </c>
      <c r="Y123" s="25" cm="1">
        <f t="array" ref="Y123">_xlfn.LET(_xlpm.x, M123:M125, IF(SUM((_xlpm.x="K")*1, (_xlpm.x="A")*1, (_xlpm.x="GK")*1, (_xlpm.x="GA")*1)&gt;0, 3, 1))</f>
        <v>3</v>
      </c>
      <c r="Z123" s="25">
        <v>1</v>
      </c>
      <c r="AA123" s="25">
        <v>1</v>
      </c>
      <c r="AH123" s="5"/>
      <c r="AI123" s="5"/>
      <c r="AO123" s="5"/>
    </row>
    <row r="124" spans="10:41" x14ac:dyDescent="0.3">
      <c r="J124" s="9">
        <v>120</v>
      </c>
      <c r="K124" s="16" t="s">
        <v>18</v>
      </c>
      <c r="L124" s="16" t="s">
        <v>91</v>
      </c>
      <c r="M124" s="16" t="s">
        <v>95</v>
      </c>
      <c r="N124" s="16" t="s">
        <v>20</v>
      </c>
      <c r="O124" s="16" t="s">
        <v>22</v>
      </c>
      <c r="Q124" s="9">
        <v>4</v>
      </c>
      <c r="R124" s="9">
        <v>14</v>
      </c>
      <c r="S124" s="9">
        <v>18</v>
      </c>
      <c r="T124" s="9">
        <v>1</v>
      </c>
      <c r="U124" s="9">
        <v>3</v>
      </c>
      <c r="W124" s="25" cm="1">
        <f t="array" ref="W124">_xlfn.LET(_xlpm.x, K124:K126, IF(SUM((_xlpm.x="K")*1, (_xlpm.x="A")*1, (_xlpm.x="GK")*1, (_xlpm.x="GA")*1)&gt;0, 3, 1))</f>
        <v>1</v>
      </c>
      <c r="X124" s="25" cm="1">
        <f t="array" ref="X124">_xlfn.LET(_xlpm.x, L124:L126, IF(SUM((_xlpm.x="K")*1, (_xlpm.x="A")*1, (_xlpm.x="GK")*1, (_xlpm.x="GA")*1)&gt;0, 3, 1))</f>
        <v>1</v>
      </c>
      <c r="Y124" s="25" cm="1">
        <f t="array" ref="Y124">_xlfn.LET(_xlpm.x, M124:M126, IF(SUM((_xlpm.x="K")*1, (_xlpm.x="A")*1, (_xlpm.x="GK")*1, (_xlpm.x="GA")*1)&gt;0, 3, 1))</f>
        <v>3</v>
      </c>
      <c r="Z124" s="25">
        <v>1</v>
      </c>
      <c r="AA124" s="25">
        <v>1</v>
      </c>
      <c r="AH124" s="5"/>
      <c r="AI124" s="5"/>
      <c r="AO124" s="5"/>
    </row>
    <row r="125" spans="10:41" x14ac:dyDescent="0.3">
      <c r="J125" s="25">
        <v>121</v>
      </c>
      <c r="K125" s="16" t="s">
        <v>125</v>
      </c>
      <c r="L125" s="16" t="s">
        <v>20</v>
      </c>
      <c r="M125" s="16" t="s">
        <v>112</v>
      </c>
      <c r="N125" s="16" t="s">
        <v>18</v>
      </c>
      <c r="O125" s="16" t="s">
        <v>34</v>
      </c>
      <c r="Q125" s="9">
        <v>6</v>
      </c>
      <c r="R125" s="9">
        <v>1</v>
      </c>
      <c r="S125" s="9">
        <v>17</v>
      </c>
      <c r="T125" s="9">
        <v>4</v>
      </c>
      <c r="U125" s="9">
        <v>9</v>
      </c>
      <c r="W125" s="25" cm="1">
        <f t="array" ref="W125">_xlfn.LET(_xlpm.x, K125:K127, IF(SUM((_xlpm.x="K")*1, (_xlpm.x="A")*1, (_xlpm.x="GK")*1, (_xlpm.x="GA")*1)&gt;0, 3, 1))</f>
        <v>1</v>
      </c>
      <c r="X125" s="25" cm="1">
        <f t="array" ref="X125">_xlfn.LET(_xlpm.x, L125:L127, IF(SUM((_xlpm.x="K")*1, (_xlpm.x="A")*1, (_xlpm.x="GK")*1, (_xlpm.x="GA")*1)&gt;0, 3, 1))</f>
        <v>1</v>
      </c>
      <c r="Y125" s="25" cm="1">
        <f t="array" ref="Y125">_xlfn.LET(_xlpm.x, M125:M127, IF(SUM((_xlpm.x="K")*1, (_xlpm.x="A")*1, (_xlpm.x="GK")*1, (_xlpm.x="GA")*1)&gt;0, 3, 1))</f>
        <v>3</v>
      </c>
      <c r="Z125" s="25">
        <v>1</v>
      </c>
      <c r="AA125" s="25">
        <v>1</v>
      </c>
      <c r="AH125" s="5"/>
      <c r="AI125" s="5"/>
      <c r="AO125" s="5"/>
    </row>
    <row r="126" spans="10:41" x14ac:dyDescent="0.3">
      <c r="J126" s="9">
        <v>122</v>
      </c>
      <c r="K126" s="16" t="s">
        <v>125</v>
      </c>
      <c r="L126" s="16" t="s">
        <v>22</v>
      </c>
      <c r="M126" s="16" t="s">
        <v>92</v>
      </c>
      <c r="N126" s="16" t="s">
        <v>22</v>
      </c>
      <c r="O126" s="16" t="s">
        <v>34</v>
      </c>
      <c r="Q126" s="9">
        <v>6</v>
      </c>
      <c r="R126" s="9">
        <v>3</v>
      </c>
      <c r="S126" s="9">
        <v>16</v>
      </c>
      <c r="T126" s="9">
        <v>3</v>
      </c>
      <c r="U126" s="9">
        <v>9</v>
      </c>
      <c r="W126" s="25" cm="1">
        <f t="array" ref="W126">_xlfn.LET(_xlpm.x, K126:K128, IF(SUM((_xlpm.x="K")*1, (_xlpm.x="A")*1, (_xlpm.x="GK")*1, (_xlpm.x="GA")*1)&gt;0, 3, 1))</f>
        <v>1</v>
      </c>
      <c r="X126" s="25" cm="1">
        <f t="array" ref="X126">_xlfn.LET(_xlpm.x, L126:L128, IF(SUM((_xlpm.x="K")*1, (_xlpm.x="A")*1, (_xlpm.x="GK")*1, (_xlpm.x="GA")*1)&gt;0, 3, 1))</f>
        <v>1</v>
      </c>
      <c r="Y126" s="25" cm="1">
        <f t="array" ref="Y126">_xlfn.LET(_xlpm.x, M126:M128, IF(SUM((_xlpm.x="K")*1, (_xlpm.x="A")*1, (_xlpm.x="GK")*1, (_xlpm.x="GA")*1)&gt;0, 3, 1))</f>
        <v>3</v>
      </c>
      <c r="Z126" s="25">
        <v>1</v>
      </c>
      <c r="AA126" s="25">
        <v>1</v>
      </c>
      <c r="AH126" s="5"/>
      <c r="AI126" s="5"/>
      <c r="AO126" s="5"/>
    </row>
    <row r="127" spans="10:41" x14ac:dyDescent="0.3">
      <c r="J127" s="25">
        <v>123</v>
      </c>
      <c r="K127" s="16" t="s">
        <v>19</v>
      </c>
      <c r="L127" s="16" t="s">
        <v>36</v>
      </c>
      <c r="M127" s="16" t="s">
        <v>91</v>
      </c>
      <c r="N127" s="16" t="s">
        <v>18</v>
      </c>
      <c r="O127" s="16" t="s">
        <v>22</v>
      </c>
      <c r="Q127" s="9">
        <v>5</v>
      </c>
      <c r="R127" s="9">
        <v>10</v>
      </c>
      <c r="S127" s="9">
        <v>14</v>
      </c>
      <c r="T127" s="9">
        <v>4</v>
      </c>
      <c r="U127" s="9">
        <v>3</v>
      </c>
      <c r="W127" s="25" cm="1">
        <f t="array" ref="W127">_xlfn.LET(_xlpm.x, K127:K129, IF(SUM((_xlpm.x="K")*1, (_xlpm.x="A")*1, (_xlpm.x="GK")*1, (_xlpm.x="GA")*1)&gt;0, 3, 1))</f>
        <v>3</v>
      </c>
      <c r="X127" s="25" cm="1">
        <f t="array" ref="X127">_xlfn.LET(_xlpm.x, L127:L129, IF(SUM((_xlpm.x="K")*1, (_xlpm.x="A")*1, (_xlpm.x="GK")*1, (_xlpm.x="GA")*1)&gt;0, 3, 1))</f>
        <v>1</v>
      </c>
      <c r="Y127" s="25" cm="1">
        <f t="array" ref="Y127">_xlfn.LET(_xlpm.x, M127:M129, IF(SUM((_xlpm.x="K")*1, (_xlpm.x="A")*1, (_xlpm.x="GK")*1, (_xlpm.x="GA")*1)&gt;0, 3, 1))</f>
        <v>1</v>
      </c>
      <c r="Z127" s="25">
        <v>1</v>
      </c>
      <c r="AA127" s="25">
        <v>1</v>
      </c>
      <c r="AH127" s="5"/>
      <c r="AI127" s="5"/>
      <c r="AO127" s="5"/>
    </row>
    <row r="128" spans="10:41" x14ac:dyDescent="0.3">
      <c r="J128" s="9">
        <v>124</v>
      </c>
      <c r="K128" s="16" t="s">
        <v>125</v>
      </c>
      <c r="L128" s="16" t="s">
        <v>126</v>
      </c>
      <c r="M128" s="16" t="s">
        <v>126</v>
      </c>
      <c r="N128" s="16" t="s">
        <v>18</v>
      </c>
      <c r="O128" s="16" t="s">
        <v>35</v>
      </c>
      <c r="Q128" s="9">
        <v>6</v>
      </c>
      <c r="R128" s="9">
        <v>15</v>
      </c>
      <c r="S128" s="9">
        <v>15</v>
      </c>
      <c r="T128" s="9">
        <v>4</v>
      </c>
      <c r="U128" s="9">
        <v>8</v>
      </c>
      <c r="W128" s="25" cm="1">
        <f t="array" ref="W128">_xlfn.LET(_xlpm.x, K128:K130, IF(SUM((_xlpm.x="K")*1, (_xlpm.x="A")*1, (_xlpm.x="GK")*1, (_xlpm.x="GA")*1)&gt;0, 3, 1))</f>
        <v>3</v>
      </c>
      <c r="X128" s="25" cm="1">
        <f t="array" ref="X128">_xlfn.LET(_xlpm.x, L128:L130, IF(SUM((_xlpm.x="K")*1, (_xlpm.x="A")*1, (_xlpm.x="GK")*1, (_xlpm.x="GA")*1)&gt;0, 3, 1))</f>
        <v>1</v>
      </c>
      <c r="Y128" s="25" cm="1">
        <f t="array" ref="Y128">_xlfn.LET(_xlpm.x, M128:M130, IF(SUM((_xlpm.x="K")*1, (_xlpm.x="A")*1, (_xlpm.x="GK")*1, (_xlpm.x="GA")*1)&gt;0, 3, 1))</f>
        <v>3</v>
      </c>
      <c r="Z128" s="25">
        <v>1</v>
      </c>
      <c r="AA128" s="25">
        <v>1</v>
      </c>
      <c r="AH128" s="5"/>
      <c r="AI128" s="5"/>
      <c r="AO128" s="5"/>
    </row>
    <row r="129" spans="10:41" x14ac:dyDescent="0.3">
      <c r="J129" s="25">
        <v>125</v>
      </c>
      <c r="K129" s="16" t="s">
        <v>35</v>
      </c>
      <c r="L129" s="16" t="s">
        <v>88</v>
      </c>
      <c r="M129" s="16" t="s">
        <v>89</v>
      </c>
      <c r="N129" s="16" t="s">
        <v>95</v>
      </c>
      <c r="O129" s="16" t="s">
        <v>35</v>
      </c>
      <c r="Q129" s="9">
        <v>8</v>
      </c>
      <c r="R129" s="9">
        <v>11</v>
      </c>
      <c r="S129" s="9">
        <v>12</v>
      </c>
      <c r="T129" s="9">
        <v>18</v>
      </c>
      <c r="U129" s="9">
        <v>8</v>
      </c>
      <c r="W129" s="25" cm="1">
        <f t="array" ref="W129">_xlfn.LET(_xlpm.x, K129:K131, IF(SUM((_xlpm.x="K")*1, (_xlpm.x="A")*1, (_xlpm.x="GK")*1, (_xlpm.x="GA")*1)&gt;0, 3, 1))</f>
        <v>3</v>
      </c>
      <c r="X129" s="25" cm="1">
        <f t="array" ref="X129">_xlfn.LET(_xlpm.x, L129:L131, IF(SUM((_xlpm.x="K")*1, (_xlpm.x="A")*1, (_xlpm.x="GK")*1, (_xlpm.x="GA")*1)&gt;0, 3, 1))</f>
        <v>3</v>
      </c>
      <c r="Y129" s="25" cm="1">
        <f t="array" ref="Y129">_xlfn.LET(_xlpm.x, M129:M131, IF(SUM((_xlpm.x="K")*1, (_xlpm.x="A")*1, (_xlpm.x="GK")*1, (_xlpm.x="GA")*1)&gt;0, 3, 1))</f>
        <v>3</v>
      </c>
      <c r="Z129" s="25">
        <v>1</v>
      </c>
      <c r="AA129" s="25">
        <v>1</v>
      </c>
      <c r="AH129" s="5"/>
      <c r="AI129" s="5"/>
      <c r="AO129" s="5"/>
    </row>
    <row r="130" spans="10:41" x14ac:dyDescent="0.3">
      <c r="J130" s="9">
        <v>126</v>
      </c>
      <c r="K130" s="16" t="s">
        <v>125</v>
      </c>
      <c r="L130" s="16" t="s">
        <v>34</v>
      </c>
      <c r="M130" s="16" t="s">
        <v>112</v>
      </c>
      <c r="N130" s="16" t="s">
        <v>125</v>
      </c>
      <c r="O130" s="16" t="s">
        <v>22</v>
      </c>
      <c r="Q130" s="9">
        <v>6</v>
      </c>
      <c r="R130" s="9">
        <v>9</v>
      </c>
      <c r="S130" s="9">
        <v>17</v>
      </c>
      <c r="T130" s="9">
        <v>6</v>
      </c>
      <c r="U130" s="9">
        <v>3</v>
      </c>
      <c r="W130" s="25" cm="1">
        <f t="array" ref="W130">_xlfn.LET(_xlpm.x, K130:K132, IF(SUM((_xlpm.x="K")*1, (_xlpm.x="A")*1, (_xlpm.x="GK")*1, (_xlpm.x="GA")*1)&gt;0, 3, 1))</f>
        <v>3</v>
      </c>
      <c r="X130" s="25" cm="1">
        <f t="array" ref="X130">_xlfn.LET(_xlpm.x, L130:L132, IF(SUM((_xlpm.x="K")*1, (_xlpm.x="A")*1, (_xlpm.x="GK")*1, (_xlpm.x="GA")*1)&gt;0, 3, 1))</f>
        <v>3</v>
      </c>
      <c r="Y130" s="25" cm="1">
        <f t="array" ref="Y130">_xlfn.LET(_xlpm.x, M130:M132, IF(SUM((_xlpm.x="K")*1, (_xlpm.x="A")*1, (_xlpm.x="GK")*1, (_xlpm.x="GA")*1)&gt;0, 3, 1))</f>
        <v>3</v>
      </c>
      <c r="Z130" s="25">
        <v>1</v>
      </c>
      <c r="AA130" s="25">
        <v>1</v>
      </c>
      <c r="AH130" s="5"/>
      <c r="AI130" s="5"/>
      <c r="AO130" s="5"/>
    </row>
    <row r="131" spans="10:41" x14ac:dyDescent="0.3">
      <c r="J131" s="25">
        <v>127</v>
      </c>
      <c r="K131" s="16" t="s">
        <v>35</v>
      </c>
      <c r="L131" s="16" t="s">
        <v>112</v>
      </c>
      <c r="M131" s="16" t="s">
        <v>91</v>
      </c>
      <c r="N131" s="16" t="s">
        <v>34</v>
      </c>
      <c r="O131" s="16" t="s">
        <v>34</v>
      </c>
      <c r="Q131" s="9">
        <v>8</v>
      </c>
      <c r="R131" s="9">
        <v>17</v>
      </c>
      <c r="S131" s="9">
        <v>14</v>
      </c>
      <c r="T131" s="9">
        <v>9</v>
      </c>
      <c r="U131" s="9">
        <v>9</v>
      </c>
      <c r="W131" s="25" cm="1">
        <f t="array" ref="W131">_xlfn.LET(_xlpm.x, K131:K133, IF(SUM((_xlpm.x="K")*1, (_xlpm.x="A")*1, (_xlpm.x="GK")*1, (_xlpm.x="GA")*1)&gt;0, 3, 1))</f>
        <v>3</v>
      </c>
      <c r="X131" s="25" cm="1">
        <f t="array" ref="X131">_xlfn.LET(_xlpm.x, L131:L133, IF(SUM((_xlpm.x="K")*1, (_xlpm.x="A")*1, (_xlpm.x="GK")*1, (_xlpm.x="GA")*1)&gt;0, 3, 1))</f>
        <v>3</v>
      </c>
      <c r="Y131" s="25" cm="1">
        <f t="array" ref="Y131">_xlfn.LET(_xlpm.x, M131:M133, IF(SUM((_xlpm.x="K")*1, (_xlpm.x="A")*1, (_xlpm.x="GK")*1, (_xlpm.x="GA")*1)&gt;0, 3, 1))</f>
        <v>3</v>
      </c>
      <c r="Z131" s="25">
        <v>1</v>
      </c>
      <c r="AA131" s="25">
        <v>1</v>
      </c>
      <c r="AH131" s="5"/>
      <c r="AI131" s="5"/>
      <c r="AO131" s="5"/>
    </row>
    <row r="132" spans="10:41" x14ac:dyDescent="0.3">
      <c r="J132" s="9">
        <v>128</v>
      </c>
      <c r="K132" s="16" t="s">
        <v>125</v>
      </c>
      <c r="L132" s="16" t="s">
        <v>20</v>
      </c>
      <c r="M132" s="16" t="s">
        <v>126</v>
      </c>
      <c r="N132" s="16" t="s">
        <v>18</v>
      </c>
      <c r="O132" s="16" t="s">
        <v>18</v>
      </c>
      <c r="Q132" s="9">
        <v>6</v>
      </c>
      <c r="R132" s="9">
        <v>1</v>
      </c>
      <c r="S132" s="9">
        <v>15</v>
      </c>
      <c r="T132" s="9">
        <v>4</v>
      </c>
      <c r="U132" s="9">
        <v>4</v>
      </c>
      <c r="W132" s="25" cm="1">
        <f t="array" ref="W132">_xlfn.LET(_xlpm.x, K132:K134, IF(SUM((_xlpm.x="K")*1, (_xlpm.x="A")*1, (_xlpm.x="GK")*1, (_xlpm.x="GA")*1)&gt;0, 3, 1))</f>
        <v>3</v>
      </c>
      <c r="X132" s="25" cm="1">
        <f t="array" ref="X132">_xlfn.LET(_xlpm.x, L132:L134, IF(SUM((_xlpm.x="K")*1, (_xlpm.x="A")*1, (_xlpm.x="GK")*1, (_xlpm.x="GA")*1)&gt;0, 3, 1))</f>
        <v>1</v>
      </c>
      <c r="Y132" s="25" cm="1">
        <f t="array" ref="Y132">_xlfn.LET(_xlpm.x, M132:M134, IF(SUM((_xlpm.x="K")*1, (_xlpm.x="A")*1, (_xlpm.x="GK")*1, (_xlpm.x="GA")*1)&gt;0, 3, 1))</f>
        <v>3</v>
      </c>
      <c r="Z132" s="25">
        <v>1</v>
      </c>
      <c r="AA132" s="25">
        <v>1</v>
      </c>
      <c r="AH132" s="5"/>
      <c r="AI132" s="5"/>
      <c r="AO132" s="5"/>
    </row>
    <row r="133" spans="10:41" x14ac:dyDescent="0.3">
      <c r="J133" s="25">
        <v>129</v>
      </c>
      <c r="K133" s="16" t="s">
        <v>35</v>
      </c>
      <c r="L133" s="16" t="s">
        <v>29</v>
      </c>
      <c r="M133" s="16" t="s">
        <v>112</v>
      </c>
      <c r="N133" s="16" t="s">
        <v>89</v>
      </c>
      <c r="O133" s="16" t="s">
        <v>21</v>
      </c>
      <c r="Q133" s="9">
        <v>8</v>
      </c>
      <c r="R133" s="9">
        <v>5</v>
      </c>
      <c r="S133" s="9">
        <v>17</v>
      </c>
      <c r="T133" s="9">
        <v>12</v>
      </c>
      <c r="U133" s="9">
        <v>2</v>
      </c>
      <c r="W133" s="25" cm="1">
        <f t="array" ref="W133">_xlfn.LET(_xlpm.x, K133:K135, IF(SUM((_xlpm.x="K")*1, (_xlpm.x="A")*1, (_xlpm.x="GK")*1, (_xlpm.x="GA")*1)&gt;0, 3, 1))</f>
        <v>3</v>
      </c>
      <c r="X133" s="25" cm="1">
        <f t="array" ref="X133">_xlfn.LET(_xlpm.x, L133:L135, IF(SUM((_xlpm.x="K")*1, (_xlpm.x="A")*1, (_xlpm.x="GK")*1, (_xlpm.x="GA")*1)&gt;0, 3, 1))</f>
        <v>1</v>
      </c>
      <c r="Y133" s="25" cm="1">
        <f t="array" ref="Y133">_xlfn.LET(_xlpm.x, M133:M135, IF(SUM((_xlpm.x="K")*1, (_xlpm.x="A")*1, (_xlpm.x="GK")*1, (_xlpm.x="GA")*1)&gt;0, 3, 1))</f>
        <v>3</v>
      </c>
      <c r="Z133" s="25">
        <v>1</v>
      </c>
      <c r="AA133" s="25">
        <v>1</v>
      </c>
      <c r="AH133" s="5"/>
      <c r="AI133" s="5"/>
      <c r="AO133" s="5"/>
    </row>
    <row r="134" spans="10:41" x14ac:dyDescent="0.3">
      <c r="J134" s="9">
        <v>130</v>
      </c>
      <c r="K134" s="16" t="s">
        <v>125</v>
      </c>
      <c r="L134" s="16" t="s">
        <v>95</v>
      </c>
      <c r="M134" s="16" t="s">
        <v>92</v>
      </c>
      <c r="N134" s="16" t="s">
        <v>97</v>
      </c>
      <c r="O134" s="16" t="s">
        <v>22</v>
      </c>
      <c r="Q134" s="9">
        <v>6</v>
      </c>
      <c r="R134" s="9">
        <v>18</v>
      </c>
      <c r="S134" s="9">
        <v>16</v>
      </c>
      <c r="T134" s="9">
        <v>19</v>
      </c>
      <c r="U134" s="9">
        <v>3</v>
      </c>
      <c r="W134" s="25" cm="1">
        <f t="array" ref="W134">_xlfn.LET(_xlpm.x, K134:K136, IF(SUM((_xlpm.x="K")*1, (_xlpm.x="A")*1, (_xlpm.x="GK")*1, (_xlpm.x="GA")*1)&gt;0, 3, 1))</f>
        <v>3</v>
      </c>
      <c r="X134" s="25" cm="1">
        <f t="array" ref="X134">_xlfn.LET(_xlpm.x, L134:L136, IF(SUM((_xlpm.x="K")*1, (_xlpm.x="A")*1, (_xlpm.x="GK")*1, (_xlpm.x="GA")*1)&gt;0, 3, 1))</f>
        <v>3</v>
      </c>
      <c r="Y134" s="25" cm="1">
        <f t="array" ref="Y134">_xlfn.LET(_xlpm.x, M134:M136, IF(SUM((_xlpm.x="K")*1, (_xlpm.x="A")*1, (_xlpm.x="GK")*1, (_xlpm.x="GA")*1)&gt;0, 3, 1))</f>
        <v>3</v>
      </c>
      <c r="Z134" s="25">
        <v>1</v>
      </c>
      <c r="AA134" s="25">
        <v>1</v>
      </c>
      <c r="AH134" s="5"/>
      <c r="AI134" s="5"/>
      <c r="AO134" s="5"/>
    </row>
    <row r="135" spans="10:41" x14ac:dyDescent="0.3">
      <c r="J135" s="25">
        <v>131</v>
      </c>
      <c r="K135" s="16" t="s">
        <v>37</v>
      </c>
      <c r="L135" s="16" t="s">
        <v>125</v>
      </c>
      <c r="M135" s="16" t="s">
        <v>112</v>
      </c>
      <c r="N135" s="16" t="s">
        <v>125</v>
      </c>
      <c r="O135" s="16" t="s">
        <v>37</v>
      </c>
      <c r="Q135" s="9">
        <v>7</v>
      </c>
      <c r="R135" s="9">
        <v>6</v>
      </c>
      <c r="S135" s="9">
        <v>17</v>
      </c>
      <c r="T135" s="9">
        <v>6</v>
      </c>
      <c r="U135" s="9">
        <v>7</v>
      </c>
      <c r="W135" s="25" cm="1">
        <f t="array" ref="W135">_xlfn.LET(_xlpm.x, K135:K137, IF(SUM((_xlpm.x="K")*1, (_xlpm.x="A")*1, (_xlpm.x="GK")*1, (_xlpm.x="GA")*1)&gt;0, 3, 1))</f>
        <v>3</v>
      </c>
      <c r="X135" s="25" cm="1">
        <f t="array" ref="X135">_xlfn.LET(_xlpm.x, L135:L137, IF(SUM((_xlpm.x="K")*1, (_xlpm.x="A")*1, (_xlpm.x="GK")*1, (_xlpm.x="GA")*1)&gt;0, 3, 1))</f>
        <v>3</v>
      </c>
      <c r="Y135" s="25" cm="1">
        <f t="array" ref="Y135">_xlfn.LET(_xlpm.x, M135:M137, IF(SUM((_xlpm.x="K")*1, (_xlpm.x="A")*1, (_xlpm.x="GK")*1, (_xlpm.x="GA")*1)&gt;0, 3, 1))</f>
        <v>3</v>
      </c>
      <c r="Z135" s="25">
        <v>1</v>
      </c>
      <c r="AA135" s="25">
        <v>1</v>
      </c>
      <c r="AH135" s="5"/>
      <c r="AI135" s="5"/>
      <c r="AO135" s="5"/>
    </row>
    <row r="136" spans="10:41" x14ac:dyDescent="0.3">
      <c r="J136" s="9">
        <v>132</v>
      </c>
      <c r="K136" s="16" t="s">
        <v>37</v>
      </c>
      <c r="L136" s="16" t="s">
        <v>35</v>
      </c>
      <c r="M136" s="16" t="s">
        <v>90</v>
      </c>
      <c r="N136" s="16" t="s">
        <v>35</v>
      </c>
      <c r="O136" s="16" t="s">
        <v>37</v>
      </c>
      <c r="Q136" s="9">
        <v>7</v>
      </c>
      <c r="R136" s="9">
        <v>8</v>
      </c>
      <c r="S136" s="9">
        <v>13</v>
      </c>
      <c r="T136" s="9">
        <v>8</v>
      </c>
      <c r="U136" s="9">
        <v>7</v>
      </c>
      <c r="W136" s="25" cm="1">
        <f t="array" ref="W136">_xlfn.LET(_xlpm.x, K136:K138, IF(SUM((_xlpm.x="K")*1, (_xlpm.x="A")*1, (_xlpm.x="GK")*1, (_xlpm.x="GA")*1)&gt;0, 3, 1))</f>
        <v>3</v>
      </c>
      <c r="X136" s="25" cm="1">
        <f t="array" ref="X136">_xlfn.LET(_xlpm.x, L136:L138, IF(SUM((_xlpm.x="K")*1, (_xlpm.x="A")*1, (_xlpm.x="GK")*1, (_xlpm.x="GA")*1)&gt;0, 3, 1))</f>
        <v>3</v>
      </c>
      <c r="Y136" s="25" cm="1">
        <f t="array" ref="Y136">_xlfn.LET(_xlpm.x, M136:M138, IF(SUM((_xlpm.x="K")*1, (_xlpm.x="A")*1, (_xlpm.x="GK")*1, (_xlpm.x="GA")*1)&gt;0, 3, 1))</f>
        <v>3</v>
      </c>
      <c r="Z136" s="25">
        <v>1</v>
      </c>
      <c r="AA136" s="25">
        <v>1</v>
      </c>
      <c r="AH136" s="5"/>
      <c r="AI136" s="5"/>
      <c r="AO136" s="5"/>
    </row>
    <row r="137" spans="10:41" x14ac:dyDescent="0.3">
      <c r="J137" s="25">
        <v>133</v>
      </c>
      <c r="K137" s="16" t="s">
        <v>125</v>
      </c>
      <c r="L137" s="16" t="s">
        <v>112</v>
      </c>
      <c r="M137" s="16" t="s">
        <v>92</v>
      </c>
      <c r="N137" s="16" t="s">
        <v>36</v>
      </c>
      <c r="O137" s="16" t="s">
        <v>21</v>
      </c>
      <c r="Q137" s="9">
        <v>6</v>
      </c>
      <c r="R137" s="9">
        <v>17</v>
      </c>
      <c r="S137" s="9">
        <v>16</v>
      </c>
      <c r="T137" s="9">
        <v>10</v>
      </c>
      <c r="U137" s="9">
        <v>2</v>
      </c>
      <c r="W137" s="25" cm="1">
        <f t="array" ref="W137">_xlfn.LET(_xlpm.x, K137:K139, IF(SUM((_xlpm.x="K")*1, (_xlpm.x="A")*1, (_xlpm.x="GK")*1, (_xlpm.x="GA")*1)&gt;0, 3, 1))</f>
        <v>3</v>
      </c>
      <c r="X137" s="25" cm="1">
        <f t="array" ref="X137">_xlfn.LET(_xlpm.x, L137:L139, IF(SUM((_xlpm.x="K")*1, (_xlpm.x="A")*1, (_xlpm.x="GK")*1, (_xlpm.x="GA")*1)&gt;0, 3, 1))</f>
        <v>3</v>
      </c>
      <c r="Y137" s="25" cm="1">
        <f t="array" ref="Y137">_xlfn.LET(_xlpm.x, M137:M139, IF(SUM((_xlpm.x="K")*1, (_xlpm.x="A")*1, (_xlpm.x="GK")*1, (_xlpm.x="GA")*1)&gt;0, 3, 1))</f>
        <v>3</v>
      </c>
      <c r="Z137" s="25">
        <v>1</v>
      </c>
      <c r="AA137" s="25">
        <v>1</v>
      </c>
      <c r="AH137" s="5"/>
      <c r="AI137" s="5"/>
      <c r="AO137" s="5"/>
    </row>
    <row r="138" spans="10:41" x14ac:dyDescent="0.3">
      <c r="J138" s="9">
        <v>134</v>
      </c>
      <c r="K138" s="16" t="s">
        <v>22</v>
      </c>
      <c r="L138" s="16" t="s">
        <v>35</v>
      </c>
      <c r="M138" s="16" t="s">
        <v>126</v>
      </c>
      <c r="N138" s="16" t="s">
        <v>97</v>
      </c>
      <c r="O138" s="16" t="s">
        <v>35</v>
      </c>
      <c r="Q138" s="9">
        <v>3</v>
      </c>
      <c r="R138" s="9">
        <v>8</v>
      </c>
      <c r="S138" s="9">
        <v>15</v>
      </c>
      <c r="T138" s="9">
        <v>19</v>
      </c>
      <c r="U138" s="9">
        <v>8</v>
      </c>
      <c r="W138" s="25" cm="1">
        <f t="array" ref="W138">_xlfn.LET(_xlpm.x, K138:K140, IF(SUM((_xlpm.x="K")*1, (_xlpm.x="A")*1, (_xlpm.x="GK")*1, (_xlpm.x="GA")*1)&gt;0, 3, 1))</f>
        <v>3</v>
      </c>
      <c r="X138" s="25" cm="1">
        <f t="array" ref="X138">_xlfn.LET(_xlpm.x, L138:L140, IF(SUM((_xlpm.x="K")*1, (_xlpm.x="A")*1, (_xlpm.x="GK")*1, (_xlpm.x="GA")*1)&gt;0, 3, 1))</f>
        <v>3</v>
      </c>
      <c r="Y138" s="25" cm="1">
        <f t="array" ref="Y138">_xlfn.LET(_xlpm.x, M138:M140, IF(SUM((_xlpm.x="K")*1, (_xlpm.x="A")*1, (_xlpm.x="GK")*1, (_xlpm.x="GA")*1)&gt;0, 3, 1))</f>
        <v>1</v>
      </c>
      <c r="Z138" s="25">
        <v>1</v>
      </c>
      <c r="AA138" s="25">
        <v>1</v>
      </c>
      <c r="AH138" s="5"/>
      <c r="AI138" s="5"/>
      <c r="AO138" s="5"/>
    </row>
    <row r="139" spans="10:41" x14ac:dyDescent="0.3">
      <c r="J139" s="25">
        <v>135</v>
      </c>
      <c r="K139" s="16" t="s">
        <v>35</v>
      </c>
      <c r="L139" s="16" t="s">
        <v>20</v>
      </c>
      <c r="M139" s="16" t="s">
        <v>91</v>
      </c>
      <c r="N139" s="16" t="s">
        <v>20</v>
      </c>
      <c r="O139" s="16" t="s">
        <v>21</v>
      </c>
      <c r="Q139" s="9">
        <v>8</v>
      </c>
      <c r="R139" s="9">
        <v>1</v>
      </c>
      <c r="S139" s="9">
        <v>14</v>
      </c>
      <c r="T139" s="9">
        <v>1</v>
      </c>
      <c r="U139" s="9">
        <v>2</v>
      </c>
      <c r="W139" s="25" cm="1">
        <f t="array" ref="W139">_xlfn.LET(_xlpm.x, K139:K141, IF(SUM((_xlpm.x="K")*1, (_xlpm.x="A")*1, (_xlpm.x="GK")*1, (_xlpm.x="GA")*1)&gt;0, 3, 1))</f>
        <v>3</v>
      </c>
      <c r="X139" s="25" cm="1">
        <f t="array" ref="X139">_xlfn.LET(_xlpm.x, L139:L141, IF(SUM((_xlpm.x="K")*1, (_xlpm.x="A")*1, (_xlpm.x="GK")*1, (_xlpm.x="GA")*1)&gt;0, 3, 1))</f>
        <v>3</v>
      </c>
      <c r="Y139" s="25" cm="1">
        <f t="array" ref="Y139">_xlfn.LET(_xlpm.x, M139:M141, IF(SUM((_xlpm.x="K")*1, (_xlpm.x="A")*1, (_xlpm.x="GK")*1, (_xlpm.x="GA")*1)&gt;0, 3, 1))</f>
        <v>1</v>
      </c>
      <c r="Z139" s="25">
        <v>1</v>
      </c>
      <c r="AA139" s="25">
        <v>1</v>
      </c>
      <c r="AH139" s="5"/>
      <c r="AI139" s="5"/>
      <c r="AO139" s="5"/>
    </row>
    <row r="140" spans="10:41" x14ac:dyDescent="0.3">
      <c r="J140" s="9">
        <v>136</v>
      </c>
      <c r="K140" s="16" t="s">
        <v>125</v>
      </c>
      <c r="L140" s="16" t="s">
        <v>93</v>
      </c>
      <c r="M140" s="16" t="s">
        <v>97</v>
      </c>
      <c r="N140" s="16" t="s">
        <v>37</v>
      </c>
      <c r="O140" s="16" t="s">
        <v>125</v>
      </c>
      <c r="Q140" s="9">
        <v>6</v>
      </c>
      <c r="R140" s="9">
        <v>16</v>
      </c>
      <c r="S140" s="9">
        <v>19</v>
      </c>
      <c r="T140" s="9">
        <v>7</v>
      </c>
      <c r="U140" s="9">
        <v>6</v>
      </c>
      <c r="W140" s="25" cm="1">
        <f t="array" ref="W140">_xlfn.LET(_xlpm.x, K140:K142, IF(SUM((_xlpm.x="K")*1, (_xlpm.x="A")*1, (_xlpm.x="GK")*1, (_xlpm.x="GA")*1)&gt;0, 3, 1))</f>
        <v>3</v>
      </c>
      <c r="X140" s="25" cm="1">
        <f t="array" ref="X140">_xlfn.LET(_xlpm.x, L140:L142, IF(SUM((_xlpm.x="K")*1, (_xlpm.x="A")*1, (_xlpm.x="GK")*1, (_xlpm.x="GA")*1)&gt;0, 3, 1))</f>
        <v>3</v>
      </c>
      <c r="Y140" s="25" cm="1">
        <f t="array" ref="Y140">_xlfn.LET(_xlpm.x, M140:M142, IF(SUM((_xlpm.x="K")*1, (_xlpm.x="A")*1, (_xlpm.x="GK")*1, (_xlpm.x="GA")*1)&gt;0, 3, 1))</f>
        <v>1</v>
      </c>
      <c r="Z140" s="25">
        <v>1</v>
      </c>
      <c r="AA140" s="25">
        <v>1</v>
      </c>
      <c r="AH140" s="5"/>
      <c r="AI140" s="5"/>
      <c r="AO140" s="5"/>
    </row>
    <row r="141" spans="10:41" x14ac:dyDescent="0.3">
      <c r="J141" s="25">
        <v>137</v>
      </c>
      <c r="K141" s="16" t="s">
        <v>35</v>
      </c>
      <c r="L141" s="16" t="s">
        <v>19</v>
      </c>
      <c r="M141" s="16" t="s">
        <v>91</v>
      </c>
      <c r="N141" s="16" t="s">
        <v>36</v>
      </c>
      <c r="O141" s="16" t="s">
        <v>36</v>
      </c>
      <c r="Q141" s="9">
        <v>8</v>
      </c>
      <c r="R141" s="9">
        <v>5</v>
      </c>
      <c r="S141" s="9">
        <v>14</v>
      </c>
      <c r="T141" s="9">
        <v>10</v>
      </c>
      <c r="U141" s="9">
        <v>10</v>
      </c>
      <c r="W141" s="25" cm="1">
        <f t="array" ref="W141">_xlfn.LET(_xlpm.x, K141:K143, IF(SUM((_xlpm.x="K")*1, (_xlpm.x="A")*1, (_xlpm.x="GK")*1, (_xlpm.x="GA")*1)&gt;0, 3, 1))</f>
        <v>3</v>
      </c>
      <c r="X141" s="25" cm="1">
        <f t="array" ref="X141">_xlfn.LET(_xlpm.x, L141:L143, IF(SUM((_xlpm.x="K")*1, (_xlpm.x="A")*1, (_xlpm.x="GK")*1, (_xlpm.x="GA")*1)&gt;0, 3, 1))</f>
        <v>3</v>
      </c>
      <c r="Y141" s="25" cm="1">
        <f t="array" ref="Y141">_xlfn.LET(_xlpm.x, M141:M143, IF(SUM((_xlpm.x="K")*1, (_xlpm.x="A")*1, (_xlpm.x="GK")*1, (_xlpm.x="GA")*1)&gt;0, 3, 1))</f>
        <v>1</v>
      </c>
      <c r="Z141" s="25">
        <v>1</v>
      </c>
      <c r="AA141" s="25">
        <v>1</v>
      </c>
      <c r="AH141" s="5"/>
      <c r="AI141" s="5"/>
      <c r="AO141" s="5"/>
    </row>
    <row r="142" spans="10:41" x14ac:dyDescent="0.3">
      <c r="J142" s="9">
        <v>138</v>
      </c>
      <c r="K142" s="16" t="s">
        <v>37</v>
      </c>
      <c r="L142" s="16" t="s">
        <v>35</v>
      </c>
      <c r="M142" s="16" t="s">
        <v>126</v>
      </c>
      <c r="N142" s="16" t="s">
        <v>36</v>
      </c>
      <c r="O142" s="16" t="s">
        <v>34</v>
      </c>
      <c r="Q142" s="9">
        <v>7</v>
      </c>
      <c r="R142" s="9">
        <v>8</v>
      </c>
      <c r="S142" s="9">
        <v>15</v>
      </c>
      <c r="T142" s="9">
        <v>10</v>
      </c>
      <c r="U142" s="9">
        <v>9</v>
      </c>
      <c r="W142" s="25" cm="1">
        <f t="array" ref="W142">_xlfn.LET(_xlpm.x, K142:K144, IF(SUM((_xlpm.x="K")*1, (_xlpm.x="A")*1, (_xlpm.x="GK")*1, (_xlpm.x="GA")*1)&gt;0, 3, 1))</f>
        <v>3</v>
      </c>
      <c r="X142" s="25" cm="1">
        <f t="array" ref="X142">_xlfn.LET(_xlpm.x, L142:L144, IF(SUM((_xlpm.x="K")*1, (_xlpm.x="A")*1, (_xlpm.x="GK")*1, (_xlpm.x="GA")*1)&gt;0, 3, 1))</f>
        <v>3</v>
      </c>
      <c r="Y142" s="25" cm="1">
        <f t="array" ref="Y142">_xlfn.LET(_xlpm.x, M142:M144, IF(SUM((_xlpm.x="K")*1, (_xlpm.x="A")*1, (_xlpm.x="GK")*1, (_xlpm.x="GA")*1)&gt;0, 3, 1))</f>
        <v>3</v>
      </c>
      <c r="Z142" s="25">
        <v>1</v>
      </c>
      <c r="AA142" s="25">
        <v>1</v>
      </c>
      <c r="AH142" s="5"/>
      <c r="AI142" s="5"/>
      <c r="AO142" s="5"/>
    </row>
    <row r="143" spans="10:41" x14ac:dyDescent="0.3">
      <c r="J143" s="25">
        <v>139</v>
      </c>
      <c r="K143" s="16" t="s">
        <v>22</v>
      </c>
      <c r="L143" s="16" t="s">
        <v>36</v>
      </c>
      <c r="M143" s="16" t="s">
        <v>91</v>
      </c>
      <c r="N143" s="16" t="s">
        <v>18</v>
      </c>
      <c r="O143" s="16" t="s">
        <v>37</v>
      </c>
      <c r="Q143" s="9">
        <v>3</v>
      </c>
      <c r="R143" s="9">
        <v>10</v>
      </c>
      <c r="S143" s="9">
        <v>14</v>
      </c>
      <c r="T143" s="9">
        <v>4</v>
      </c>
      <c r="U143" s="9">
        <v>7</v>
      </c>
      <c r="W143" s="25" cm="1">
        <f t="array" ref="W143">_xlfn.LET(_xlpm.x, K143:K145, IF(SUM((_xlpm.x="K")*1, (_xlpm.x="A")*1, (_xlpm.x="GK")*1, (_xlpm.x="GA")*1)&gt;0, 3, 1))</f>
        <v>3</v>
      </c>
      <c r="X143" s="25" cm="1">
        <f t="array" ref="X143">_xlfn.LET(_xlpm.x, L143:L145, IF(SUM((_xlpm.x="K")*1, (_xlpm.x="A")*1, (_xlpm.x="GK")*1, (_xlpm.x="GA")*1)&gt;0, 3, 1))</f>
        <v>3</v>
      </c>
      <c r="Y143" s="25" cm="1">
        <f t="array" ref="Y143">_xlfn.LET(_xlpm.x, M143:M145, IF(SUM((_xlpm.x="K")*1, (_xlpm.x="A")*1, (_xlpm.x="GK")*1, (_xlpm.x="GA")*1)&gt;0, 3, 1))</f>
        <v>3</v>
      </c>
      <c r="Z143" s="25">
        <v>1</v>
      </c>
      <c r="AA143" s="25">
        <v>1</v>
      </c>
      <c r="AH143" s="5"/>
      <c r="AI143" s="5"/>
      <c r="AO143" s="5"/>
    </row>
    <row r="144" spans="10:41" x14ac:dyDescent="0.3">
      <c r="J144" s="9">
        <v>140</v>
      </c>
      <c r="K144" s="16" t="s">
        <v>37</v>
      </c>
      <c r="L144" s="16" t="s">
        <v>112</v>
      </c>
      <c r="M144" s="16" t="s">
        <v>112</v>
      </c>
      <c r="N144" s="16" t="s">
        <v>36</v>
      </c>
      <c r="O144" s="16" t="s">
        <v>18</v>
      </c>
      <c r="Q144" s="9">
        <v>7</v>
      </c>
      <c r="R144" s="9">
        <v>17</v>
      </c>
      <c r="S144" s="9">
        <v>17</v>
      </c>
      <c r="T144" s="9">
        <v>10</v>
      </c>
      <c r="U144" s="9">
        <v>4</v>
      </c>
      <c r="W144" s="25" cm="1">
        <f t="array" ref="W144">_xlfn.LET(_xlpm.x, K144:K146, IF(SUM((_xlpm.x="K")*1, (_xlpm.x="A")*1, (_xlpm.x="GK")*1, (_xlpm.x="GA")*1)&gt;0, 3, 1))</f>
        <v>3</v>
      </c>
      <c r="X144" s="25" cm="1">
        <f t="array" ref="X144">_xlfn.LET(_xlpm.x, L144:L146, IF(SUM((_xlpm.x="K")*1, (_xlpm.x="A")*1, (_xlpm.x="GK")*1, (_xlpm.x="GA")*1)&gt;0, 3, 1))</f>
        <v>3</v>
      </c>
      <c r="Y144" s="25" cm="1">
        <f t="array" ref="Y144">_xlfn.LET(_xlpm.x, M144:M146, IF(SUM((_xlpm.x="K")*1, (_xlpm.x="A")*1, (_xlpm.x="GK")*1, (_xlpm.x="GA")*1)&gt;0, 3, 1))</f>
        <v>3</v>
      </c>
      <c r="Z144" s="25">
        <v>1</v>
      </c>
      <c r="AA144" s="25">
        <v>1</v>
      </c>
      <c r="AH144" s="5"/>
      <c r="AI144" s="5"/>
      <c r="AO144" s="5"/>
    </row>
    <row r="145" spans="10:41" x14ac:dyDescent="0.3">
      <c r="J145" s="25">
        <v>141</v>
      </c>
      <c r="K145" s="16" t="s">
        <v>36</v>
      </c>
      <c r="L145" s="16" t="s">
        <v>32</v>
      </c>
      <c r="M145" s="16" t="s">
        <v>92</v>
      </c>
      <c r="N145" s="16" t="s">
        <v>36</v>
      </c>
      <c r="O145" s="16" t="s">
        <v>18</v>
      </c>
      <c r="Q145" s="9">
        <v>10</v>
      </c>
      <c r="R145" s="9">
        <v>9</v>
      </c>
      <c r="S145" s="9">
        <v>16</v>
      </c>
      <c r="T145" s="9">
        <v>10</v>
      </c>
      <c r="U145" s="9">
        <v>4</v>
      </c>
      <c r="W145" s="25" cm="1">
        <f t="array" ref="W145">_xlfn.LET(_xlpm.x, K145:K147, IF(SUM((_xlpm.x="K")*1, (_xlpm.x="A")*1, (_xlpm.x="GK")*1, (_xlpm.x="GA")*1)&gt;0, 3, 1))</f>
        <v>3</v>
      </c>
      <c r="X145" s="25" cm="1">
        <f t="array" ref="X145">_xlfn.LET(_xlpm.x, L145:L147, IF(SUM((_xlpm.x="K")*1, (_xlpm.x="A")*1, (_xlpm.x="GK")*1, (_xlpm.x="GA")*1)&gt;0, 3, 1))</f>
        <v>3</v>
      </c>
      <c r="Y145" s="25" cm="1">
        <f t="array" ref="Y145">_xlfn.LET(_xlpm.x, M145:M147, IF(SUM((_xlpm.x="K")*1, (_xlpm.x="A")*1, (_xlpm.x="GK")*1, (_xlpm.x="GA")*1)&gt;0, 3, 1))</f>
        <v>3</v>
      </c>
      <c r="Z145" s="25">
        <v>1</v>
      </c>
      <c r="AA145" s="25">
        <v>1</v>
      </c>
      <c r="AH145" s="5"/>
      <c r="AI145" s="5"/>
      <c r="AO145" s="5"/>
    </row>
    <row r="146" spans="10:41" x14ac:dyDescent="0.3">
      <c r="J146" s="9">
        <v>142</v>
      </c>
      <c r="K146" s="16" t="s">
        <v>37</v>
      </c>
      <c r="L146" s="16" t="s">
        <v>92</v>
      </c>
      <c r="M146" s="16" t="s">
        <v>126</v>
      </c>
      <c r="N146" s="16" t="s">
        <v>36</v>
      </c>
      <c r="O146" s="16" t="s">
        <v>125</v>
      </c>
      <c r="Q146" s="9">
        <v>7</v>
      </c>
      <c r="R146" s="9">
        <v>16</v>
      </c>
      <c r="S146" s="9">
        <v>15</v>
      </c>
      <c r="T146" s="9">
        <v>10</v>
      </c>
      <c r="U146" s="9">
        <v>6</v>
      </c>
      <c r="W146" s="25" cm="1">
        <f t="array" ref="W146">_xlfn.LET(_xlpm.x, K146:K148, IF(SUM((_xlpm.x="K")*1, (_xlpm.x="A")*1, (_xlpm.x="GK")*1, (_xlpm.x="GA")*1)&gt;0, 3, 1))</f>
        <v>3</v>
      </c>
      <c r="X146" s="25" cm="1">
        <f t="array" ref="X146">_xlfn.LET(_xlpm.x, L146:L148, IF(SUM((_xlpm.x="K")*1, (_xlpm.x="A")*1, (_xlpm.x="GK")*1, (_xlpm.x="GA")*1)&gt;0, 3, 1))</f>
        <v>3</v>
      </c>
      <c r="Y146" s="25" cm="1">
        <f t="array" ref="Y146">_xlfn.LET(_xlpm.x, M146:M148, IF(SUM((_xlpm.x="K")*1, (_xlpm.x="A")*1, (_xlpm.x="GK")*1, (_xlpm.x="GA")*1)&gt;0, 3, 1))</f>
        <v>1</v>
      </c>
      <c r="Z146" s="25">
        <v>1</v>
      </c>
      <c r="AA146" s="25">
        <v>1</v>
      </c>
      <c r="AH146" s="5"/>
      <c r="AI146" s="5"/>
      <c r="AO146" s="5"/>
    </row>
    <row r="147" spans="10:41" x14ac:dyDescent="0.3">
      <c r="J147" s="25">
        <v>143</v>
      </c>
      <c r="K147" s="16" t="s">
        <v>37</v>
      </c>
      <c r="L147" s="16" t="s">
        <v>21</v>
      </c>
      <c r="M147" s="16" t="s">
        <v>91</v>
      </c>
      <c r="N147" s="16" t="s">
        <v>90</v>
      </c>
      <c r="O147" s="16" t="s">
        <v>18</v>
      </c>
      <c r="Q147" s="9">
        <v>7</v>
      </c>
      <c r="R147" s="9">
        <v>2</v>
      </c>
      <c r="S147" s="9">
        <v>14</v>
      </c>
      <c r="T147" s="9">
        <v>13</v>
      </c>
      <c r="U147" s="9">
        <v>4</v>
      </c>
      <c r="W147" s="25" cm="1">
        <f t="array" ref="W147">_xlfn.LET(_xlpm.x, K147:K149, IF(SUM((_xlpm.x="K")*1, (_xlpm.x="A")*1, (_xlpm.x="GK")*1, (_xlpm.x="GA")*1)&gt;0, 3, 1))</f>
        <v>3</v>
      </c>
      <c r="X147" s="25" cm="1">
        <f t="array" ref="X147">_xlfn.LET(_xlpm.x, L147:L149, IF(SUM((_xlpm.x="K")*1, (_xlpm.x="A")*1, (_xlpm.x="GK")*1, (_xlpm.x="GA")*1)&gt;0, 3, 1))</f>
        <v>1</v>
      </c>
      <c r="Y147" s="25" cm="1">
        <f t="array" ref="Y147">_xlfn.LET(_xlpm.x, M147:M149, IF(SUM((_xlpm.x="K")*1, (_xlpm.x="A")*1, (_xlpm.x="GK")*1, (_xlpm.x="GA")*1)&gt;0, 3, 1))</f>
        <v>1</v>
      </c>
      <c r="Z147" s="25">
        <v>1</v>
      </c>
      <c r="AA147" s="25">
        <v>1</v>
      </c>
      <c r="AH147" s="5"/>
      <c r="AI147" s="5"/>
      <c r="AO147" s="5"/>
    </row>
    <row r="148" spans="10:41" x14ac:dyDescent="0.3">
      <c r="J148" s="9">
        <v>144</v>
      </c>
      <c r="K148" s="16" t="s">
        <v>19</v>
      </c>
      <c r="L148" s="16" t="s">
        <v>22</v>
      </c>
      <c r="M148" s="16" t="s">
        <v>126</v>
      </c>
      <c r="N148" s="16" t="s">
        <v>126</v>
      </c>
      <c r="O148" s="16" t="s">
        <v>21</v>
      </c>
      <c r="Q148" s="9">
        <v>5</v>
      </c>
      <c r="R148" s="9">
        <v>3</v>
      </c>
      <c r="S148" s="9">
        <v>15</v>
      </c>
      <c r="T148" s="9">
        <v>15</v>
      </c>
      <c r="U148" s="9">
        <v>2</v>
      </c>
      <c r="W148" s="25" cm="1">
        <f t="array" ref="W148">_xlfn.LET(_xlpm.x, K148:K150, IF(SUM((_xlpm.x="K")*1, (_xlpm.x="A")*1, (_xlpm.x="GK")*1, (_xlpm.x="GA")*1)&gt;0, 3, 1))</f>
        <v>3</v>
      </c>
      <c r="X148" s="25" cm="1">
        <f t="array" ref="X148">_xlfn.LET(_xlpm.x, L148:L150, IF(SUM((_xlpm.x="K")*1, (_xlpm.x="A")*1, (_xlpm.x="GK")*1, (_xlpm.x="GA")*1)&gt;0, 3, 1))</f>
        <v>3</v>
      </c>
      <c r="Y148" s="25" cm="1">
        <f t="array" ref="Y148">_xlfn.LET(_xlpm.x, M148:M150, IF(SUM((_xlpm.x="K")*1, (_xlpm.x="A")*1, (_xlpm.x="GK")*1, (_xlpm.x="GA")*1)&gt;0, 3, 1))</f>
        <v>1</v>
      </c>
      <c r="Z148" s="25">
        <v>1</v>
      </c>
      <c r="AA148" s="25">
        <v>1</v>
      </c>
      <c r="AH148" s="5"/>
      <c r="AI148" s="5"/>
      <c r="AO148" s="5"/>
    </row>
    <row r="149" spans="10:41" x14ac:dyDescent="0.3">
      <c r="J149" s="25">
        <v>145</v>
      </c>
      <c r="K149" s="16" t="s">
        <v>37</v>
      </c>
      <c r="L149" s="16" t="s">
        <v>89</v>
      </c>
      <c r="M149" s="16" t="s">
        <v>91</v>
      </c>
      <c r="N149" s="16" t="s">
        <v>112</v>
      </c>
      <c r="O149" s="16" t="s">
        <v>21</v>
      </c>
      <c r="Q149" s="9">
        <v>7</v>
      </c>
      <c r="R149" s="9">
        <v>12</v>
      </c>
      <c r="S149" s="9">
        <v>14</v>
      </c>
      <c r="T149" s="9">
        <v>17</v>
      </c>
      <c r="U149" s="9">
        <v>2</v>
      </c>
      <c r="W149" s="25" cm="1">
        <f t="array" ref="W149">_xlfn.LET(_xlpm.x, K149:K151, IF(SUM((_xlpm.x="K")*1, (_xlpm.x="A")*1, (_xlpm.x="GK")*1, (_xlpm.x="GA")*1)&gt;0, 3, 1))</f>
        <v>3</v>
      </c>
      <c r="X149" s="25" cm="1">
        <f t="array" ref="X149">_xlfn.LET(_xlpm.x, L149:L151, IF(SUM((_xlpm.x="K")*1, (_xlpm.x="A")*1, (_xlpm.x="GK")*1, (_xlpm.x="GA")*1)&gt;0, 3, 1))</f>
        <v>3</v>
      </c>
      <c r="Y149" s="25" cm="1">
        <f t="array" ref="Y149">_xlfn.LET(_xlpm.x, M149:M151, IF(SUM((_xlpm.x="K")*1, (_xlpm.x="A")*1, (_xlpm.x="GK")*1, (_xlpm.x="GA")*1)&gt;0, 3, 1))</f>
        <v>1</v>
      </c>
      <c r="Z149" s="25">
        <v>1</v>
      </c>
      <c r="AA149" s="25">
        <v>1</v>
      </c>
      <c r="AH149" s="5"/>
      <c r="AI149" s="5"/>
      <c r="AO149" s="5"/>
    </row>
    <row r="150" spans="10:41" x14ac:dyDescent="0.3">
      <c r="J150" s="9">
        <v>146</v>
      </c>
      <c r="K150" s="16" t="s">
        <v>125</v>
      </c>
      <c r="L150" s="16" t="s">
        <v>37</v>
      </c>
      <c r="M150" s="16" t="s">
        <v>126</v>
      </c>
      <c r="N150" s="16" t="s">
        <v>18</v>
      </c>
      <c r="O150" s="16" t="s">
        <v>36</v>
      </c>
      <c r="Q150" s="9">
        <v>6</v>
      </c>
      <c r="R150" s="9">
        <v>7</v>
      </c>
      <c r="S150" s="9">
        <v>15</v>
      </c>
      <c r="T150" s="9">
        <v>4</v>
      </c>
      <c r="U150" s="9">
        <v>10</v>
      </c>
      <c r="W150" s="25" cm="1">
        <f t="array" ref="W150">_xlfn.LET(_xlpm.x, K150:K152, IF(SUM((_xlpm.x="K")*1, (_xlpm.x="A")*1, (_xlpm.x="GK")*1, (_xlpm.x="GA")*1)&gt;0, 3, 1))</f>
        <v>3</v>
      </c>
      <c r="X150" s="25" cm="1">
        <f t="array" ref="X150">_xlfn.LET(_xlpm.x, L150:L152, IF(SUM((_xlpm.x="K")*1, (_xlpm.x="A")*1, (_xlpm.x="GK")*1, (_xlpm.x="GA")*1)&gt;0, 3, 1))</f>
        <v>3</v>
      </c>
      <c r="Y150" s="25" cm="1">
        <f t="array" ref="Y150">_xlfn.LET(_xlpm.x, M150:M152, IF(SUM((_xlpm.x="K")*1, (_xlpm.x="A")*1, (_xlpm.x="GK")*1, (_xlpm.x="GA")*1)&gt;0, 3, 1))</f>
        <v>3</v>
      </c>
      <c r="Z150" s="25">
        <v>1</v>
      </c>
      <c r="AA150" s="25">
        <v>1</v>
      </c>
      <c r="AH150" s="5"/>
      <c r="AI150" s="5"/>
      <c r="AO150" s="5"/>
    </row>
    <row r="151" spans="10:41" x14ac:dyDescent="0.3">
      <c r="J151" s="25">
        <v>147</v>
      </c>
      <c r="K151" s="16" t="s">
        <v>37</v>
      </c>
      <c r="L151" s="16" t="s">
        <v>36</v>
      </c>
      <c r="M151" s="16" t="s">
        <v>91</v>
      </c>
      <c r="N151" s="16" t="s">
        <v>89</v>
      </c>
      <c r="O151" s="16" t="s">
        <v>34</v>
      </c>
      <c r="Q151" s="9">
        <v>7</v>
      </c>
      <c r="R151" s="9">
        <v>10</v>
      </c>
      <c r="S151" s="9">
        <v>14</v>
      </c>
      <c r="T151" s="9">
        <v>12</v>
      </c>
      <c r="U151" s="9">
        <v>9</v>
      </c>
      <c r="W151" s="25" cm="1">
        <f t="array" ref="W151">_xlfn.LET(_xlpm.x, K151:K153, IF(SUM((_xlpm.x="K")*1, (_xlpm.x="A")*1, (_xlpm.x="GK")*1, (_xlpm.x="GA")*1)&gt;0, 3, 1))</f>
        <v>3</v>
      </c>
      <c r="X151" s="25" cm="1">
        <f t="array" ref="X151">_xlfn.LET(_xlpm.x, L151:L153, IF(SUM((_xlpm.x="K")*1, (_xlpm.x="A")*1, (_xlpm.x="GK")*1, (_xlpm.x="GA")*1)&gt;0, 3, 1))</f>
        <v>1</v>
      </c>
      <c r="Y151" s="25" cm="1">
        <f t="array" ref="Y151">_xlfn.LET(_xlpm.x, M151:M153, IF(SUM((_xlpm.x="K")*1, (_xlpm.x="A")*1, (_xlpm.x="GK")*1, (_xlpm.x="GA")*1)&gt;0, 3, 1))</f>
        <v>3</v>
      </c>
      <c r="Z151" s="25">
        <v>1</v>
      </c>
      <c r="AA151" s="25">
        <v>1</v>
      </c>
      <c r="AH151" s="5"/>
      <c r="AI151" s="5"/>
      <c r="AO151" s="5"/>
    </row>
    <row r="152" spans="10:41" x14ac:dyDescent="0.3">
      <c r="J152" s="9">
        <v>148</v>
      </c>
      <c r="K152" s="16" t="s">
        <v>37</v>
      </c>
      <c r="L152" s="16" t="s">
        <v>95</v>
      </c>
      <c r="M152" s="16" t="s">
        <v>92</v>
      </c>
      <c r="N152" s="16" t="s">
        <v>36</v>
      </c>
      <c r="O152" s="16" t="s">
        <v>18</v>
      </c>
      <c r="Q152" s="9">
        <v>7</v>
      </c>
      <c r="R152" s="9">
        <v>18</v>
      </c>
      <c r="S152" s="9">
        <v>16</v>
      </c>
      <c r="T152" s="9">
        <v>10</v>
      </c>
      <c r="U152" s="9">
        <v>4</v>
      </c>
      <c r="W152" s="25" cm="1">
        <f t="array" ref="W152">_xlfn.LET(_xlpm.x, K152:K154, IF(SUM((_xlpm.x="K")*1, (_xlpm.x="A")*1, (_xlpm.x="GK")*1, (_xlpm.x="GA")*1)&gt;0, 3, 1))</f>
        <v>3</v>
      </c>
      <c r="X152" s="25" cm="1">
        <f t="array" ref="X152">_xlfn.LET(_xlpm.x, L152:L154, IF(SUM((_xlpm.x="K")*1, (_xlpm.x="A")*1, (_xlpm.x="GK")*1, (_xlpm.x="GA")*1)&gt;0, 3, 1))</f>
        <v>3</v>
      </c>
      <c r="Y152" s="25" cm="1">
        <f t="array" ref="Y152">_xlfn.LET(_xlpm.x, M152:M154, IF(SUM((_xlpm.x="K")*1, (_xlpm.x="A")*1, (_xlpm.x="GK")*1, (_xlpm.x="GA")*1)&gt;0, 3, 1))</f>
        <v>3</v>
      </c>
      <c r="Z152" s="25">
        <v>1</v>
      </c>
      <c r="AA152" s="25">
        <v>1</v>
      </c>
      <c r="AH152" s="5"/>
      <c r="AI152" s="5"/>
      <c r="AO152" s="5"/>
    </row>
    <row r="153" spans="10:41" x14ac:dyDescent="0.3">
      <c r="J153" s="25">
        <v>149</v>
      </c>
      <c r="K153" s="16" t="s">
        <v>125</v>
      </c>
      <c r="L153" s="16" t="s">
        <v>126</v>
      </c>
      <c r="M153" s="16" t="s">
        <v>126</v>
      </c>
      <c r="N153" s="16" t="s">
        <v>37</v>
      </c>
      <c r="O153" s="16" t="s">
        <v>21</v>
      </c>
      <c r="Q153" s="9">
        <v>6</v>
      </c>
      <c r="R153" s="9">
        <v>15</v>
      </c>
      <c r="S153" s="9">
        <v>15</v>
      </c>
      <c r="T153" s="9">
        <v>7</v>
      </c>
      <c r="U153" s="9">
        <v>2</v>
      </c>
      <c r="W153" s="25" cm="1">
        <f t="array" ref="W153">_xlfn.LET(_xlpm.x, K153:K155, IF(SUM((_xlpm.x="K")*1, (_xlpm.x="A")*1, (_xlpm.x="GK")*1, (_xlpm.x="GA")*1)&gt;0, 3, 1))</f>
        <v>3</v>
      </c>
      <c r="X153" s="25" cm="1">
        <f t="array" ref="X153">_xlfn.LET(_xlpm.x, L153:L155, IF(SUM((_xlpm.x="K")*1, (_xlpm.x="A")*1, (_xlpm.x="GK")*1, (_xlpm.x="GA")*1)&gt;0, 3, 1))</f>
        <v>3</v>
      </c>
      <c r="Y153" s="25" cm="1">
        <f t="array" ref="Y153">_xlfn.LET(_xlpm.x, M153:M155, IF(SUM((_xlpm.x="K")*1, (_xlpm.x="A")*1, (_xlpm.x="GK")*1, (_xlpm.x="GA")*1)&gt;0, 3, 1))</f>
        <v>3</v>
      </c>
      <c r="Z153" s="25">
        <v>1</v>
      </c>
      <c r="AA153" s="25">
        <v>1</v>
      </c>
      <c r="AH153" s="5"/>
      <c r="AI153" s="5"/>
      <c r="AO153" s="5"/>
    </row>
    <row r="154" spans="10:41" x14ac:dyDescent="0.3">
      <c r="J154" s="9">
        <v>150</v>
      </c>
      <c r="K154" s="16" t="s">
        <v>37</v>
      </c>
      <c r="L154" s="16" t="s">
        <v>23</v>
      </c>
      <c r="M154" s="16" t="s">
        <v>112</v>
      </c>
      <c r="N154" s="16" t="s">
        <v>34</v>
      </c>
      <c r="O154" s="16" t="s">
        <v>22</v>
      </c>
      <c r="Q154" s="9">
        <v>7</v>
      </c>
      <c r="R154" s="9">
        <v>7</v>
      </c>
      <c r="S154" s="9">
        <v>17</v>
      </c>
      <c r="T154" s="9">
        <v>9</v>
      </c>
      <c r="U154" s="9">
        <v>3</v>
      </c>
      <c r="W154" s="25" cm="1">
        <f t="array" ref="W154">_xlfn.LET(_xlpm.x, K154:K156, IF(SUM((_xlpm.x="K")*1, (_xlpm.x="A")*1, (_xlpm.x="GK")*1, (_xlpm.x="GA")*1)&gt;0, 3, 1))</f>
        <v>3</v>
      </c>
      <c r="X154" s="25" cm="1">
        <f t="array" ref="X154">_xlfn.LET(_xlpm.x, L154:L156, IF(SUM((_xlpm.x="K")*1, (_xlpm.x="A")*1, (_xlpm.x="GK")*1, (_xlpm.x="GA")*1)&gt;0, 3, 1))</f>
        <v>3</v>
      </c>
      <c r="Y154" s="25" cm="1">
        <f t="array" ref="Y154">_xlfn.LET(_xlpm.x, M154:M156, IF(SUM((_xlpm.x="K")*1, (_xlpm.x="A")*1, (_xlpm.x="GK")*1, (_xlpm.x="GA")*1)&gt;0, 3, 1))</f>
        <v>3</v>
      </c>
      <c r="Z154" s="25">
        <v>1</v>
      </c>
      <c r="AA154" s="25">
        <v>1</v>
      </c>
      <c r="AH154" s="5"/>
      <c r="AI154" s="5"/>
      <c r="AO154" s="5"/>
    </row>
    <row r="155" spans="10:41" x14ac:dyDescent="0.3">
      <c r="J155" s="25">
        <v>151</v>
      </c>
      <c r="K155" s="16" t="s">
        <v>19</v>
      </c>
      <c r="L155" s="16" t="s">
        <v>35</v>
      </c>
      <c r="M155" s="16" t="s">
        <v>126</v>
      </c>
      <c r="N155" s="16" t="s">
        <v>21</v>
      </c>
      <c r="O155" s="16" t="s">
        <v>36</v>
      </c>
      <c r="Q155" s="9">
        <v>5</v>
      </c>
      <c r="R155" s="9">
        <v>8</v>
      </c>
      <c r="S155" s="9">
        <v>15</v>
      </c>
      <c r="T155" s="9">
        <v>2</v>
      </c>
      <c r="U155" s="9">
        <v>10</v>
      </c>
      <c r="W155" s="25" cm="1">
        <f t="array" ref="W155">_xlfn.LET(_xlpm.x, K155:K157, IF(SUM((_xlpm.x="K")*1, (_xlpm.x="A")*1, (_xlpm.x="GK")*1, (_xlpm.x="GA")*1)&gt;0, 3, 1))</f>
        <v>3</v>
      </c>
      <c r="X155" s="25" cm="1">
        <f t="array" ref="X155">_xlfn.LET(_xlpm.x, L155:L157, IF(SUM((_xlpm.x="K")*1, (_xlpm.x="A")*1, (_xlpm.x="GK")*1, (_xlpm.x="GA")*1)&gt;0, 3, 1))</f>
        <v>3</v>
      </c>
      <c r="Y155" s="25" cm="1">
        <f t="array" ref="Y155">_xlfn.LET(_xlpm.x, M155:M157, IF(SUM((_xlpm.x="K")*1, (_xlpm.x="A")*1, (_xlpm.x="GK")*1, (_xlpm.x="GA")*1)&gt;0, 3, 1))</f>
        <v>3</v>
      </c>
      <c r="Z155" s="25">
        <v>1</v>
      </c>
      <c r="AA155" s="25">
        <v>1</v>
      </c>
      <c r="AH155" s="5"/>
      <c r="AI155" s="5"/>
      <c r="AO155" s="5"/>
    </row>
    <row r="156" spans="10:41" x14ac:dyDescent="0.3">
      <c r="J156" s="9">
        <v>152</v>
      </c>
      <c r="K156" s="16" t="s">
        <v>37</v>
      </c>
      <c r="L156" s="16" t="s">
        <v>88</v>
      </c>
      <c r="M156" s="16" t="s">
        <v>112</v>
      </c>
      <c r="N156" s="16" t="s">
        <v>20</v>
      </c>
      <c r="O156" s="16" t="s">
        <v>34</v>
      </c>
      <c r="Q156" s="9">
        <v>7</v>
      </c>
      <c r="R156" s="9">
        <v>11</v>
      </c>
      <c r="S156" s="9">
        <v>17</v>
      </c>
      <c r="T156" s="9">
        <v>1</v>
      </c>
      <c r="U156" s="9">
        <v>9</v>
      </c>
      <c r="W156" s="25" cm="1">
        <f t="array" ref="W156">_xlfn.LET(_xlpm.x, K156:K158, IF(SUM((_xlpm.x="K")*1, (_xlpm.x="A")*1, (_xlpm.x="GK")*1, (_xlpm.x="GA")*1)&gt;0, 3, 1))</f>
        <v>3</v>
      </c>
      <c r="X156" s="25" cm="1">
        <f t="array" ref="X156">_xlfn.LET(_xlpm.x, L156:L158, IF(SUM((_xlpm.x="K")*1, (_xlpm.x="A")*1, (_xlpm.x="GK")*1, (_xlpm.x="GA")*1)&gt;0, 3, 1))</f>
        <v>3</v>
      </c>
      <c r="Y156" s="25" cm="1">
        <f t="array" ref="Y156">_xlfn.LET(_xlpm.x, M156:M158, IF(SUM((_xlpm.x="K")*1, (_xlpm.x="A")*1, (_xlpm.x="GK")*1, (_xlpm.x="GA")*1)&gt;0, 3, 1))</f>
        <v>3</v>
      </c>
      <c r="Z156" s="25">
        <v>1</v>
      </c>
      <c r="AA156" s="25">
        <v>1</v>
      </c>
      <c r="AH156" s="5"/>
      <c r="AI156" s="5"/>
      <c r="AO156" s="5"/>
    </row>
    <row r="157" spans="10:41" x14ac:dyDescent="0.3">
      <c r="J157" s="25">
        <v>153</v>
      </c>
      <c r="K157" s="16" t="s">
        <v>125</v>
      </c>
      <c r="L157" s="16" t="s">
        <v>37</v>
      </c>
      <c r="M157" s="16" t="s">
        <v>126</v>
      </c>
      <c r="N157" s="16" t="s">
        <v>22</v>
      </c>
      <c r="O157" s="16" t="s">
        <v>18</v>
      </c>
      <c r="Q157" s="9">
        <v>6</v>
      </c>
      <c r="R157" s="9">
        <v>7</v>
      </c>
      <c r="S157" s="9">
        <v>15</v>
      </c>
      <c r="T157" s="9">
        <v>3</v>
      </c>
      <c r="U157" s="9">
        <v>4</v>
      </c>
      <c r="W157" s="25" cm="1">
        <f t="array" ref="W157">_xlfn.LET(_xlpm.x, K157:K159, IF(SUM((_xlpm.x="K")*1, (_xlpm.x="A")*1, (_xlpm.x="GK")*1, (_xlpm.x="GA")*1)&gt;0, 3, 1))</f>
        <v>3</v>
      </c>
      <c r="X157" s="25" cm="1">
        <f t="array" ref="X157">_xlfn.LET(_xlpm.x, L157:L159, IF(SUM((_xlpm.x="K")*1, (_xlpm.x="A")*1, (_xlpm.x="GK")*1, (_xlpm.x="GA")*1)&gt;0, 3, 1))</f>
        <v>3</v>
      </c>
      <c r="Y157" s="25" cm="1">
        <f t="array" ref="Y157">_xlfn.LET(_xlpm.x, M157:M159, IF(SUM((_xlpm.x="K")*1, (_xlpm.x="A")*1, (_xlpm.x="GK")*1, (_xlpm.x="GA")*1)&gt;0, 3, 1))</f>
        <v>3</v>
      </c>
      <c r="Z157" s="25">
        <v>1</v>
      </c>
      <c r="AA157" s="25">
        <v>1</v>
      </c>
      <c r="AH157" s="5"/>
      <c r="AI157" s="5"/>
      <c r="AO157" s="5"/>
    </row>
    <row r="158" spans="10:41" x14ac:dyDescent="0.3">
      <c r="J158" s="9">
        <v>154</v>
      </c>
      <c r="K158" s="16" t="s">
        <v>19</v>
      </c>
      <c r="L158" s="16" t="s">
        <v>125</v>
      </c>
      <c r="M158" s="16" t="s">
        <v>92</v>
      </c>
      <c r="N158" s="16" t="s">
        <v>19</v>
      </c>
      <c r="O158" s="16" t="s">
        <v>125</v>
      </c>
      <c r="Q158" s="9">
        <v>5</v>
      </c>
      <c r="R158" s="9">
        <v>6</v>
      </c>
      <c r="S158" s="9">
        <v>16</v>
      </c>
      <c r="T158" s="9">
        <v>5</v>
      </c>
      <c r="U158" s="9">
        <v>6</v>
      </c>
      <c r="W158" s="25" cm="1">
        <f t="array" ref="W158">_xlfn.LET(_xlpm.x, K158:K160, IF(SUM((_xlpm.x="K")*1, (_xlpm.x="A")*1, (_xlpm.x="GK")*1, (_xlpm.x="GA")*1)&gt;0, 3, 1))</f>
        <v>3</v>
      </c>
      <c r="X158" s="25" cm="1">
        <f t="array" ref="X158">_xlfn.LET(_xlpm.x, L158:L160, IF(SUM((_xlpm.x="K")*1, (_xlpm.x="A")*1, (_xlpm.x="GK")*1, (_xlpm.x="GA")*1)&gt;0, 3, 1))</f>
        <v>3</v>
      </c>
      <c r="Y158" s="25" cm="1">
        <f t="array" ref="Y158">_xlfn.LET(_xlpm.x, M158:M160, IF(SUM((_xlpm.x="K")*1, (_xlpm.x="A")*1, (_xlpm.x="GK")*1, (_xlpm.x="GA")*1)&gt;0, 3, 1))</f>
        <v>3</v>
      </c>
      <c r="Z158" s="25">
        <v>1</v>
      </c>
      <c r="AA158" s="25">
        <v>1</v>
      </c>
      <c r="AH158" s="5"/>
      <c r="AI158" s="5"/>
      <c r="AO158" s="5"/>
    </row>
    <row r="159" spans="10:41" x14ac:dyDescent="0.3">
      <c r="J159" s="25">
        <v>155</v>
      </c>
      <c r="K159" s="16" t="s">
        <v>35</v>
      </c>
      <c r="L159" s="16" t="s">
        <v>95</v>
      </c>
      <c r="M159" s="16" t="s">
        <v>112</v>
      </c>
      <c r="N159" s="16" t="s">
        <v>34</v>
      </c>
      <c r="O159" s="16" t="s">
        <v>21</v>
      </c>
      <c r="Q159" s="9">
        <v>8</v>
      </c>
      <c r="R159" s="9">
        <v>18</v>
      </c>
      <c r="S159" s="9">
        <v>17</v>
      </c>
      <c r="T159" s="9">
        <v>9</v>
      </c>
      <c r="U159" s="9">
        <v>2</v>
      </c>
      <c r="W159" s="25" cm="1">
        <f t="array" ref="W159">_xlfn.LET(_xlpm.x, K159:K161, IF(SUM((_xlpm.x="K")*1, (_xlpm.x="A")*1, (_xlpm.x="GK")*1, (_xlpm.x="GA")*1)&gt;0, 3, 1))</f>
        <v>3</v>
      </c>
      <c r="X159" s="25" cm="1">
        <f t="array" ref="X159">_xlfn.LET(_xlpm.x, L159:L161, IF(SUM((_xlpm.x="K")*1, (_xlpm.x="A")*1, (_xlpm.x="GK")*1, (_xlpm.x="GA")*1)&gt;0, 3, 1))</f>
        <v>3</v>
      </c>
      <c r="Y159" s="25" cm="1">
        <f t="array" ref="Y159">_xlfn.LET(_xlpm.x, M159:M161, IF(SUM((_xlpm.x="K")*1, (_xlpm.x="A")*1, (_xlpm.x="GK")*1, (_xlpm.x="GA")*1)&gt;0, 3, 1))</f>
        <v>3</v>
      </c>
      <c r="Z159" s="25">
        <v>1</v>
      </c>
      <c r="AA159" s="25">
        <v>1</v>
      </c>
      <c r="AH159" s="5"/>
      <c r="AI159" s="5"/>
      <c r="AO159" s="5"/>
    </row>
    <row r="160" spans="10:41" x14ac:dyDescent="0.3">
      <c r="J160" s="9">
        <v>156</v>
      </c>
      <c r="K160" s="16" t="s">
        <v>19</v>
      </c>
      <c r="L160" s="16" t="s">
        <v>112</v>
      </c>
      <c r="M160" s="16" t="s">
        <v>92</v>
      </c>
      <c r="N160" s="16" t="s">
        <v>34</v>
      </c>
      <c r="O160" s="16" t="s">
        <v>125</v>
      </c>
      <c r="Q160" s="9">
        <v>5</v>
      </c>
      <c r="R160" s="9">
        <v>17</v>
      </c>
      <c r="S160" s="9">
        <v>16</v>
      </c>
      <c r="T160" s="9">
        <v>9</v>
      </c>
      <c r="U160" s="9">
        <v>6</v>
      </c>
      <c r="W160" s="25" cm="1">
        <f t="array" ref="W160">_xlfn.LET(_xlpm.x, K160:K162, IF(SUM((_xlpm.x="K")*1, (_xlpm.x="A")*1, (_xlpm.x="GK")*1, (_xlpm.x="GA")*1)&gt;0, 3, 1))</f>
        <v>3</v>
      </c>
      <c r="X160" s="25" cm="1">
        <f t="array" ref="X160">_xlfn.LET(_xlpm.x, L160:L162, IF(SUM((_xlpm.x="K")*1, (_xlpm.x="A")*1, (_xlpm.x="GK")*1, (_xlpm.x="GA")*1)&gt;0, 3, 1))</f>
        <v>3</v>
      </c>
      <c r="Y160" s="25" cm="1">
        <f t="array" ref="Y160">_xlfn.LET(_xlpm.x, M160:M162, IF(SUM((_xlpm.x="K")*1, (_xlpm.x="A")*1, (_xlpm.x="GK")*1, (_xlpm.x="GA")*1)&gt;0, 3, 1))</f>
        <v>3</v>
      </c>
      <c r="Z160" s="25">
        <v>1</v>
      </c>
      <c r="AA160" s="25">
        <v>1</v>
      </c>
      <c r="AH160" s="5"/>
      <c r="AI160" s="5"/>
      <c r="AO160" s="5"/>
    </row>
    <row r="161" spans="10:41" x14ac:dyDescent="0.3">
      <c r="J161" s="25">
        <v>157</v>
      </c>
      <c r="K161" s="16" t="s">
        <v>35</v>
      </c>
      <c r="L161" s="16" t="s">
        <v>326</v>
      </c>
      <c r="M161" s="16" t="s">
        <v>112</v>
      </c>
      <c r="N161" s="16" t="s">
        <v>18</v>
      </c>
      <c r="O161" s="16" t="s">
        <v>19</v>
      </c>
      <c r="Q161" s="9">
        <v>8</v>
      </c>
      <c r="R161" s="9">
        <v>6</v>
      </c>
      <c r="S161" s="9">
        <v>17</v>
      </c>
      <c r="T161" s="9">
        <v>4</v>
      </c>
      <c r="U161" s="9">
        <v>5</v>
      </c>
      <c r="W161" s="25" cm="1">
        <f t="array" ref="W161">_xlfn.LET(_xlpm.x, K161:K163, IF(SUM((_xlpm.x="K")*1, (_xlpm.x="A")*1, (_xlpm.x="GK")*1, (_xlpm.x="GA")*1)&gt;0, 3, 1))</f>
        <v>3</v>
      </c>
      <c r="X161" s="25" cm="1">
        <f t="array" ref="X161">_xlfn.LET(_xlpm.x, L161:L163, IF(SUM((_xlpm.x="K")*1, (_xlpm.x="A")*1, (_xlpm.x="GK")*1, (_xlpm.x="GA")*1)&gt;0, 3, 1))</f>
        <v>3</v>
      </c>
      <c r="Y161" s="25" cm="1">
        <f t="array" ref="Y161">_xlfn.LET(_xlpm.x, M161:M163, IF(SUM((_xlpm.x="K")*1, (_xlpm.x="A")*1, (_xlpm.x="GK")*1, (_xlpm.x="GA")*1)&gt;0, 3, 1))</f>
        <v>3</v>
      </c>
      <c r="Z161" s="25">
        <v>1</v>
      </c>
      <c r="AA161" s="25">
        <v>1</v>
      </c>
      <c r="AH161" s="5"/>
      <c r="AI161" s="5"/>
      <c r="AO161" s="5"/>
    </row>
    <row r="162" spans="10:41" x14ac:dyDescent="0.3">
      <c r="J162" s="9">
        <v>158</v>
      </c>
      <c r="K162" s="16" t="s">
        <v>37</v>
      </c>
      <c r="L162" s="16" t="s">
        <v>37</v>
      </c>
      <c r="M162" s="16" t="s">
        <v>92</v>
      </c>
      <c r="N162" s="16" t="s">
        <v>89</v>
      </c>
      <c r="O162" s="16" t="s">
        <v>19</v>
      </c>
      <c r="Q162" s="9">
        <v>7</v>
      </c>
      <c r="R162" s="9">
        <v>7</v>
      </c>
      <c r="S162" s="9">
        <v>16</v>
      </c>
      <c r="T162" s="9">
        <v>12</v>
      </c>
      <c r="U162" s="9">
        <v>5</v>
      </c>
      <c r="W162" s="25" cm="1">
        <f t="array" ref="W162">_xlfn.LET(_xlpm.x, K162:K164, IF(SUM((_xlpm.x="K")*1, (_xlpm.x="A")*1, (_xlpm.x="GK")*1, (_xlpm.x="GA")*1)&gt;0, 3, 1))</f>
        <v>3</v>
      </c>
      <c r="X162" s="25" cm="1">
        <f t="array" ref="X162">_xlfn.LET(_xlpm.x, L162:L164, IF(SUM((_xlpm.x="K")*1, (_xlpm.x="A")*1, (_xlpm.x="GK")*1, (_xlpm.x="GA")*1)&gt;0, 3, 1))</f>
        <v>3</v>
      </c>
      <c r="Y162" s="25" cm="1">
        <f t="array" ref="Y162">_xlfn.LET(_xlpm.x, M162:M164, IF(SUM((_xlpm.x="K")*1, (_xlpm.x="A")*1, (_xlpm.x="GK")*1, (_xlpm.x="GA")*1)&gt;0, 3, 1))</f>
        <v>3</v>
      </c>
      <c r="Z162" s="25">
        <v>1</v>
      </c>
      <c r="AA162" s="25">
        <v>1</v>
      </c>
      <c r="AH162" s="5"/>
      <c r="AI162" s="5"/>
      <c r="AO162" s="5"/>
    </row>
    <row r="163" spans="10:41" x14ac:dyDescent="0.3">
      <c r="J163" s="25">
        <v>159</v>
      </c>
      <c r="K163" s="16" t="s">
        <v>125</v>
      </c>
      <c r="L163" s="16" t="s">
        <v>92</v>
      </c>
      <c r="M163" s="16" t="s">
        <v>112</v>
      </c>
      <c r="N163" s="16" t="s">
        <v>19</v>
      </c>
      <c r="O163" s="16" t="s">
        <v>36</v>
      </c>
      <c r="Q163" s="9">
        <v>6</v>
      </c>
      <c r="R163" s="9">
        <v>16</v>
      </c>
      <c r="S163" s="9">
        <v>17</v>
      </c>
      <c r="T163" s="9">
        <v>5</v>
      </c>
      <c r="U163" s="9">
        <v>10</v>
      </c>
      <c r="W163" s="25" cm="1">
        <f t="array" ref="W163">_xlfn.LET(_xlpm.x, K163:K165, IF(SUM((_xlpm.x="K")*1, (_xlpm.x="A")*1, (_xlpm.x="GK")*1, (_xlpm.x="GA")*1)&gt;0, 3, 1))</f>
        <v>3</v>
      </c>
      <c r="X163" s="25" cm="1">
        <f t="array" ref="X163">_xlfn.LET(_xlpm.x, L163:L165, IF(SUM((_xlpm.x="K")*1, (_xlpm.x="A")*1, (_xlpm.x="GK")*1, (_xlpm.x="GA")*1)&gt;0, 3, 1))</f>
        <v>3</v>
      </c>
      <c r="Y163" s="25" cm="1">
        <f t="array" ref="Y163">_xlfn.LET(_xlpm.x, M163:M165, IF(SUM((_xlpm.x="K")*1, (_xlpm.x="A")*1, (_xlpm.x="GK")*1, (_xlpm.x="GA")*1)&gt;0, 3, 1))</f>
        <v>3</v>
      </c>
      <c r="Z163" s="25">
        <v>1</v>
      </c>
      <c r="AA163" s="25">
        <v>1</v>
      </c>
      <c r="AH163" s="5"/>
      <c r="AI163" s="5"/>
      <c r="AO163" s="5"/>
    </row>
    <row r="164" spans="10:41" x14ac:dyDescent="0.3">
      <c r="J164" s="9">
        <v>160</v>
      </c>
      <c r="K164" s="16" t="s">
        <v>19</v>
      </c>
      <c r="L164" s="16" t="s">
        <v>37</v>
      </c>
      <c r="M164" s="16" t="s">
        <v>91</v>
      </c>
      <c r="N164" s="16" t="s">
        <v>21</v>
      </c>
      <c r="O164" s="16" t="s">
        <v>22</v>
      </c>
      <c r="Q164" s="9">
        <v>5</v>
      </c>
      <c r="R164" s="9">
        <v>7</v>
      </c>
      <c r="S164" s="9">
        <v>14</v>
      </c>
      <c r="T164" s="9">
        <v>2</v>
      </c>
      <c r="U164" s="9">
        <v>3</v>
      </c>
      <c r="W164" s="25" cm="1">
        <f t="array" ref="W164">_xlfn.LET(_xlpm.x, K164:K166, IF(SUM((_xlpm.x="K")*1, (_xlpm.x="A")*1, (_xlpm.x="GK")*1, (_xlpm.x="GA")*1)&gt;0, 3, 1))</f>
        <v>3</v>
      </c>
      <c r="X164" s="25" cm="1">
        <f t="array" ref="X164">_xlfn.LET(_xlpm.x, L164:L166, IF(SUM((_xlpm.x="K")*1, (_xlpm.x="A")*1, (_xlpm.x="GK")*1, (_xlpm.x="GA")*1)&gt;0, 3, 1))</f>
        <v>3</v>
      </c>
      <c r="Y164" s="25" cm="1">
        <f t="array" ref="Y164">_xlfn.LET(_xlpm.x, M164:M166, IF(SUM((_xlpm.x="K")*1, (_xlpm.x="A")*1, (_xlpm.x="GK")*1, (_xlpm.x="GA")*1)&gt;0, 3, 1))</f>
        <v>3</v>
      </c>
      <c r="Z164" s="25">
        <v>1</v>
      </c>
      <c r="AA164" s="25">
        <v>1</v>
      </c>
      <c r="AH164" s="5"/>
      <c r="AI164" s="5"/>
      <c r="AO164" s="5"/>
    </row>
    <row r="165" spans="10:41" x14ac:dyDescent="0.3">
      <c r="J165" s="25">
        <v>161</v>
      </c>
      <c r="K165" s="16" t="s">
        <v>35</v>
      </c>
      <c r="L165" s="16" t="s">
        <v>327</v>
      </c>
      <c r="M165" s="16" t="s">
        <v>112</v>
      </c>
      <c r="N165" s="16" t="s">
        <v>35</v>
      </c>
      <c r="O165" s="16" t="s">
        <v>35</v>
      </c>
      <c r="Q165" s="9">
        <v>8</v>
      </c>
      <c r="R165" s="9">
        <v>11</v>
      </c>
      <c r="S165" s="9">
        <v>17</v>
      </c>
      <c r="T165" s="9">
        <v>8</v>
      </c>
      <c r="U165" s="9">
        <v>8</v>
      </c>
      <c r="W165" s="25" cm="1">
        <f t="array" ref="W165">_xlfn.LET(_xlpm.x, K165:K167, IF(SUM((_xlpm.x="K")*1, (_xlpm.x="A")*1, (_xlpm.x="GK")*1, (_xlpm.x="GA")*1)&gt;0, 3, 1))</f>
        <v>3</v>
      </c>
      <c r="X165" s="25" cm="1">
        <f t="array" ref="X165">_xlfn.LET(_xlpm.x, L165:L167, IF(SUM((_xlpm.x="K")*1, (_xlpm.x="A")*1, (_xlpm.x="GK")*1, (_xlpm.x="GA")*1)&gt;0, 3, 1))</f>
        <v>3</v>
      </c>
      <c r="Y165" s="25" cm="1">
        <f t="array" ref="Y165">_xlfn.LET(_xlpm.x, M165:M167, IF(SUM((_xlpm.x="K")*1, (_xlpm.x="A")*1, (_xlpm.x="GK")*1, (_xlpm.x="GA")*1)&gt;0, 3, 1))</f>
        <v>3</v>
      </c>
      <c r="Z165" s="25">
        <v>1</v>
      </c>
      <c r="AA165" s="25">
        <v>1</v>
      </c>
      <c r="AH165" s="5"/>
      <c r="AI165" s="5"/>
      <c r="AO165" s="5"/>
    </row>
    <row r="166" spans="10:41" x14ac:dyDescent="0.3">
      <c r="J166" s="9">
        <v>162</v>
      </c>
      <c r="K166" s="16" t="s">
        <v>37</v>
      </c>
      <c r="L166" s="16" t="s">
        <v>32</v>
      </c>
      <c r="M166" s="16" t="s">
        <v>91</v>
      </c>
      <c r="N166" s="16" t="s">
        <v>22</v>
      </c>
      <c r="O166" s="16" t="s">
        <v>22</v>
      </c>
      <c r="Q166" s="9">
        <v>7</v>
      </c>
      <c r="R166" s="9">
        <v>9</v>
      </c>
      <c r="S166" s="9">
        <v>14</v>
      </c>
      <c r="T166" s="9">
        <v>3</v>
      </c>
      <c r="U166" s="9">
        <v>3</v>
      </c>
      <c r="W166" s="25" cm="1">
        <f t="array" ref="W166">_xlfn.LET(_xlpm.x, K166:K168, IF(SUM((_xlpm.x="K")*1, (_xlpm.x="A")*1, (_xlpm.x="GK")*1, (_xlpm.x="GA")*1)&gt;0, 3, 1))</f>
        <v>3</v>
      </c>
      <c r="X166" s="25" cm="1">
        <f t="array" ref="X166">_xlfn.LET(_xlpm.x, L166:L168, IF(SUM((_xlpm.x="K")*1, (_xlpm.x="A")*1, (_xlpm.x="GK")*1, (_xlpm.x="GA")*1)&gt;0, 3, 1))</f>
        <v>3</v>
      </c>
      <c r="Y166" s="25" cm="1">
        <f t="array" ref="Y166">_xlfn.LET(_xlpm.x, M166:M168, IF(SUM((_xlpm.x="K")*1, (_xlpm.x="A")*1, (_xlpm.x="GK")*1, (_xlpm.x="GA")*1)&gt;0, 3, 1))</f>
        <v>3</v>
      </c>
      <c r="Z166" s="25">
        <v>1</v>
      </c>
      <c r="AA166" s="25">
        <v>1</v>
      </c>
      <c r="AH166" s="5"/>
      <c r="AI166" s="5"/>
      <c r="AO166" s="5"/>
    </row>
    <row r="167" spans="10:41" x14ac:dyDescent="0.3">
      <c r="J167" s="25">
        <v>163</v>
      </c>
      <c r="K167" s="16" t="s">
        <v>35</v>
      </c>
      <c r="L167" s="16" t="s">
        <v>35</v>
      </c>
      <c r="M167" s="16" t="s">
        <v>92</v>
      </c>
      <c r="N167" s="16" t="s">
        <v>19</v>
      </c>
      <c r="O167" s="16" t="s">
        <v>22</v>
      </c>
      <c r="Q167" s="9">
        <v>8</v>
      </c>
      <c r="R167" s="9">
        <v>8</v>
      </c>
      <c r="S167" s="9">
        <v>16</v>
      </c>
      <c r="T167" s="9">
        <v>5</v>
      </c>
      <c r="U167" s="9">
        <v>3</v>
      </c>
      <c r="W167" s="25" cm="1">
        <f t="array" ref="W167">_xlfn.LET(_xlpm.x, K167:K169, IF(SUM((_xlpm.x="K")*1, (_xlpm.x="A")*1, (_xlpm.x="GK")*1, (_xlpm.x="GA")*1)&gt;0, 3, 1))</f>
        <v>3</v>
      </c>
      <c r="X167" s="25" cm="1">
        <f t="array" ref="X167">_xlfn.LET(_xlpm.x, L167:L169, IF(SUM((_xlpm.x="K")*1, (_xlpm.x="A")*1, (_xlpm.x="GK")*1, (_xlpm.x="GA")*1)&gt;0, 3, 1))</f>
        <v>3</v>
      </c>
      <c r="Y167" s="25" cm="1">
        <f t="array" ref="Y167">_xlfn.LET(_xlpm.x, M167:M169, IF(SUM((_xlpm.x="K")*1, (_xlpm.x="A")*1, (_xlpm.x="GK")*1, (_xlpm.x="GA")*1)&gt;0, 3, 1))</f>
        <v>3</v>
      </c>
      <c r="Z167" s="25">
        <v>1</v>
      </c>
      <c r="AA167" s="25">
        <v>1</v>
      </c>
      <c r="AH167" s="5"/>
      <c r="AI167" s="5"/>
      <c r="AO167" s="5"/>
    </row>
    <row r="168" spans="10:41" x14ac:dyDescent="0.3">
      <c r="J168" s="9">
        <v>164</v>
      </c>
      <c r="K168" s="16" t="s">
        <v>19</v>
      </c>
      <c r="L168" s="16" t="s">
        <v>91</v>
      </c>
      <c r="M168" s="16" t="s">
        <v>112</v>
      </c>
      <c r="N168" s="16" t="s">
        <v>91</v>
      </c>
      <c r="O168" s="16" t="s">
        <v>36</v>
      </c>
      <c r="Q168" s="9">
        <v>5</v>
      </c>
      <c r="R168" s="9">
        <v>14</v>
      </c>
      <c r="S168" s="9">
        <v>17</v>
      </c>
      <c r="T168" s="9">
        <v>14</v>
      </c>
      <c r="U168" s="9">
        <v>10</v>
      </c>
      <c r="W168" s="25" cm="1">
        <f t="array" ref="W168">_xlfn.LET(_xlpm.x, K168:K170, IF(SUM((_xlpm.x="K")*1, (_xlpm.x="A")*1, (_xlpm.x="GK")*1, (_xlpm.x="GA")*1)&gt;0, 3, 1))</f>
        <v>1</v>
      </c>
      <c r="X168" s="25" cm="1">
        <f t="array" ref="X168">_xlfn.LET(_xlpm.x, L168:L170, IF(SUM((_xlpm.x="K")*1, (_xlpm.x="A")*1, (_xlpm.x="GK")*1, (_xlpm.x="GA")*1)&gt;0, 3, 1))</f>
        <v>3</v>
      </c>
      <c r="Y168" s="25" cm="1">
        <f t="array" ref="Y168">_xlfn.LET(_xlpm.x, M168:M170, IF(SUM((_xlpm.x="K")*1, (_xlpm.x="A")*1, (_xlpm.x="GK")*1, (_xlpm.x="GA")*1)&gt;0, 3, 1))</f>
        <v>3</v>
      </c>
      <c r="Z168" s="25">
        <v>1</v>
      </c>
      <c r="AA168" s="25">
        <v>1</v>
      </c>
      <c r="AH168" s="5"/>
      <c r="AI168" s="5"/>
      <c r="AO168" s="5"/>
    </row>
    <row r="169" spans="10:41" x14ac:dyDescent="0.3">
      <c r="J169" s="25">
        <v>165</v>
      </c>
      <c r="K169" s="16" t="s">
        <v>19</v>
      </c>
      <c r="L169" s="16" t="s">
        <v>37</v>
      </c>
      <c r="M169" s="16" t="s">
        <v>92</v>
      </c>
      <c r="N169" s="16" t="s">
        <v>36</v>
      </c>
      <c r="O169" s="16" t="s">
        <v>22</v>
      </c>
      <c r="Q169" s="9">
        <v>5</v>
      </c>
      <c r="R169" s="9">
        <v>7</v>
      </c>
      <c r="S169" s="9">
        <v>16</v>
      </c>
      <c r="T169" s="9">
        <v>10</v>
      </c>
      <c r="U169" s="9">
        <v>3</v>
      </c>
      <c r="W169" s="25" cm="1">
        <f t="array" ref="W169">_xlfn.LET(_xlpm.x, K169:K171, IF(SUM((_xlpm.x="K")*1, (_xlpm.x="A")*1, (_xlpm.x="GK")*1, (_xlpm.x="GA")*1)&gt;0, 3, 1))</f>
        <v>3</v>
      </c>
      <c r="X169" s="25" cm="1">
        <f t="array" ref="X169">_xlfn.LET(_xlpm.x, L169:L171, IF(SUM((_xlpm.x="K")*1, (_xlpm.x="A")*1, (_xlpm.x="GK")*1, (_xlpm.x="GA")*1)&gt;0, 3, 1))</f>
        <v>3</v>
      </c>
      <c r="Y169" s="25" cm="1">
        <f t="array" ref="Y169">_xlfn.LET(_xlpm.x, M169:M171, IF(SUM((_xlpm.x="K")*1, (_xlpm.x="A")*1, (_xlpm.x="GK")*1, (_xlpm.x="GA")*1)&gt;0, 3, 1))</f>
        <v>3</v>
      </c>
      <c r="Z169" s="25">
        <v>1</v>
      </c>
      <c r="AA169" s="25">
        <v>1</v>
      </c>
      <c r="AH169" s="5"/>
      <c r="AI169" s="5"/>
      <c r="AO169" s="5"/>
    </row>
    <row r="170" spans="10:41" x14ac:dyDescent="0.3">
      <c r="J170" s="9">
        <v>166</v>
      </c>
      <c r="K170" s="16" t="s">
        <v>125</v>
      </c>
      <c r="L170" s="16" t="s">
        <v>112</v>
      </c>
      <c r="M170" s="16" t="s">
        <v>91</v>
      </c>
      <c r="N170" s="16" t="s">
        <v>92</v>
      </c>
      <c r="O170" s="16" t="s">
        <v>125</v>
      </c>
      <c r="Q170" s="9">
        <v>6</v>
      </c>
      <c r="R170" s="9">
        <v>17</v>
      </c>
      <c r="S170" s="9">
        <v>14</v>
      </c>
      <c r="T170" s="9">
        <v>16</v>
      </c>
      <c r="U170" s="9">
        <v>6</v>
      </c>
      <c r="W170" s="25" cm="1">
        <f t="array" ref="W170">_xlfn.LET(_xlpm.x, K170:K172, IF(SUM((_xlpm.x="K")*1, (_xlpm.x="A")*1, (_xlpm.x="GK")*1, (_xlpm.x="GA")*1)&gt;0, 3, 1))</f>
        <v>3</v>
      </c>
      <c r="X170" s="25" cm="1">
        <f t="array" ref="X170">_xlfn.LET(_xlpm.x, L170:L172, IF(SUM((_xlpm.x="K")*1, (_xlpm.x="A")*1, (_xlpm.x="GK")*1, (_xlpm.x="GA")*1)&gt;0, 3, 1))</f>
        <v>3</v>
      </c>
      <c r="Y170" s="25" cm="1">
        <f t="array" ref="Y170">_xlfn.LET(_xlpm.x, M170:M172, IF(SUM((_xlpm.x="K")*1, (_xlpm.x="A")*1, (_xlpm.x="GK")*1, (_xlpm.x="GA")*1)&gt;0, 3, 1))</f>
        <v>3</v>
      </c>
      <c r="Z170" s="25">
        <v>1</v>
      </c>
      <c r="AA170" s="25">
        <v>1</v>
      </c>
      <c r="AH170" s="5"/>
      <c r="AI170" s="5"/>
      <c r="AO170" s="5"/>
    </row>
    <row r="171" spans="10:41" x14ac:dyDescent="0.3">
      <c r="J171" s="25">
        <v>167</v>
      </c>
      <c r="K171" s="16" t="s">
        <v>35</v>
      </c>
      <c r="L171" s="16" t="s">
        <v>35</v>
      </c>
      <c r="M171" s="16" t="s">
        <v>92</v>
      </c>
      <c r="N171" s="16" t="s">
        <v>34</v>
      </c>
      <c r="O171" s="16" t="s">
        <v>18</v>
      </c>
      <c r="Q171" s="9">
        <v>8</v>
      </c>
      <c r="R171" s="9">
        <v>8</v>
      </c>
      <c r="S171" s="9">
        <v>16</v>
      </c>
      <c r="T171" s="9">
        <v>9</v>
      </c>
      <c r="U171" s="9">
        <v>4</v>
      </c>
      <c r="W171" s="25" cm="1">
        <f t="array" ref="W171">_xlfn.LET(_xlpm.x, K171:K173, IF(SUM((_xlpm.x="K")*1, (_xlpm.x="A")*1, (_xlpm.x="GK")*1, (_xlpm.x="GA")*1)&gt;0, 3, 1))</f>
        <v>3</v>
      </c>
      <c r="X171" s="25" cm="1">
        <f t="array" ref="X171">_xlfn.LET(_xlpm.x, L171:L173, IF(SUM((_xlpm.x="K")*1, (_xlpm.x="A")*1, (_xlpm.x="GK")*1, (_xlpm.x="GA")*1)&gt;0, 3, 1))</f>
        <v>3</v>
      </c>
      <c r="Y171" s="25" cm="1">
        <f t="array" ref="Y171">_xlfn.LET(_xlpm.x, M171:M173, IF(SUM((_xlpm.x="K")*1, (_xlpm.x="A")*1, (_xlpm.x="GK")*1, (_xlpm.x="GA")*1)&gt;0, 3, 1))</f>
        <v>3</v>
      </c>
      <c r="Z171" s="25">
        <v>1</v>
      </c>
      <c r="AA171" s="25">
        <v>1</v>
      </c>
      <c r="AH171" s="5"/>
      <c r="AI171" s="5"/>
      <c r="AO171" s="5"/>
    </row>
    <row r="172" spans="10:41" x14ac:dyDescent="0.3">
      <c r="J172" s="9">
        <v>168</v>
      </c>
      <c r="K172" s="16" t="s">
        <v>125</v>
      </c>
      <c r="L172" s="16" t="s">
        <v>28</v>
      </c>
      <c r="M172" s="16" t="s">
        <v>112</v>
      </c>
      <c r="N172" s="16" t="s">
        <v>21</v>
      </c>
      <c r="O172" s="16" t="s">
        <v>34</v>
      </c>
      <c r="Q172" s="9">
        <v>6</v>
      </c>
      <c r="R172" s="9">
        <v>4</v>
      </c>
      <c r="S172" s="9">
        <v>17</v>
      </c>
      <c r="T172" s="9">
        <v>2</v>
      </c>
      <c r="U172" s="9">
        <v>9</v>
      </c>
      <c r="W172" s="25" cm="1">
        <f t="array" ref="W172">_xlfn.LET(_xlpm.x, K172:K174, IF(SUM((_xlpm.x="K")*1, (_xlpm.x="A")*1, (_xlpm.x="GK")*1, (_xlpm.x="GA")*1)&gt;0, 3, 1))</f>
        <v>3</v>
      </c>
      <c r="X172" s="25" cm="1">
        <f t="array" ref="X172">_xlfn.LET(_xlpm.x, L172:L174, IF(SUM((_xlpm.x="K")*1, (_xlpm.x="A")*1, (_xlpm.x="GK")*1, (_xlpm.x="GA")*1)&gt;0, 3, 1))</f>
        <v>1</v>
      </c>
      <c r="Y172" s="25" cm="1">
        <f t="array" ref="Y172">_xlfn.LET(_xlpm.x, M172:M174, IF(SUM((_xlpm.x="K")*1, (_xlpm.x="A")*1, (_xlpm.x="GK")*1, (_xlpm.x="GA")*1)&gt;0, 3, 1))</f>
        <v>3</v>
      </c>
      <c r="Z172" s="25">
        <v>1</v>
      </c>
      <c r="AA172" s="25">
        <v>1</v>
      </c>
      <c r="AH172" s="5"/>
      <c r="AI172" s="5"/>
      <c r="AO172" s="5"/>
    </row>
    <row r="173" spans="10:41" x14ac:dyDescent="0.3">
      <c r="J173" s="25">
        <v>169</v>
      </c>
      <c r="K173" s="16" t="s">
        <v>125</v>
      </c>
      <c r="L173" s="16" t="s">
        <v>125</v>
      </c>
      <c r="M173" s="16" t="s">
        <v>126</v>
      </c>
      <c r="N173" s="16" t="s">
        <v>34</v>
      </c>
      <c r="O173" s="16" t="s">
        <v>18</v>
      </c>
      <c r="Q173" s="9">
        <v>6</v>
      </c>
      <c r="R173" s="9">
        <v>6</v>
      </c>
      <c r="S173" s="9">
        <v>15</v>
      </c>
      <c r="T173" s="9">
        <v>9</v>
      </c>
      <c r="U173" s="9">
        <v>4</v>
      </c>
      <c r="W173" s="25" cm="1">
        <f t="array" ref="W173">_xlfn.LET(_xlpm.x, K173:K175, IF(SUM((_xlpm.x="K")*1, (_xlpm.x="A")*1, (_xlpm.x="GK")*1, (_xlpm.x="GA")*1)&gt;0, 3, 1))</f>
        <v>3</v>
      </c>
      <c r="X173" s="25" cm="1">
        <f t="array" ref="X173">_xlfn.LET(_xlpm.x, L173:L175, IF(SUM((_xlpm.x="K")*1, (_xlpm.x="A")*1, (_xlpm.x="GK")*1, (_xlpm.x="GA")*1)&gt;0, 3, 1))</f>
        <v>3</v>
      </c>
      <c r="Y173" s="25" cm="1">
        <f t="array" ref="Y173">_xlfn.LET(_xlpm.x, M173:M175, IF(SUM((_xlpm.x="K")*1, (_xlpm.x="A")*1, (_xlpm.x="GK")*1, (_xlpm.x="GA")*1)&gt;0, 3, 1))</f>
        <v>3</v>
      </c>
      <c r="Z173" s="25">
        <v>1</v>
      </c>
      <c r="AA173" s="25">
        <v>1</v>
      </c>
      <c r="AH173" s="5"/>
      <c r="AI173" s="5"/>
      <c r="AO173" s="5"/>
    </row>
    <row r="174" spans="10:41" x14ac:dyDescent="0.3">
      <c r="J174" s="9">
        <v>170</v>
      </c>
      <c r="K174" s="16" t="s">
        <v>35</v>
      </c>
      <c r="L174" s="16" t="s">
        <v>90</v>
      </c>
      <c r="M174" s="16" t="s">
        <v>112</v>
      </c>
      <c r="N174" s="16" t="s">
        <v>36</v>
      </c>
      <c r="O174" s="16" t="s">
        <v>37</v>
      </c>
      <c r="Q174" s="9">
        <v>8</v>
      </c>
      <c r="R174" s="9">
        <v>13</v>
      </c>
      <c r="S174" s="9">
        <v>17</v>
      </c>
      <c r="T174" s="9">
        <v>10</v>
      </c>
      <c r="U174" s="9">
        <v>7</v>
      </c>
      <c r="W174" s="25" cm="1">
        <f t="array" ref="W174">_xlfn.LET(_xlpm.x, K174:K176, IF(SUM((_xlpm.x="K")*1, (_xlpm.x="A")*1, (_xlpm.x="GK")*1, (_xlpm.x="GA")*1)&gt;0, 3, 1))</f>
        <v>3</v>
      </c>
      <c r="X174" s="25" cm="1">
        <f t="array" ref="X174">_xlfn.LET(_xlpm.x, L174:L176, IF(SUM((_xlpm.x="K")*1, (_xlpm.x="A")*1, (_xlpm.x="GK")*1, (_xlpm.x="GA")*1)&gt;0, 3, 1))</f>
        <v>3</v>
      </c>
      <c r="Y174" s="25" cm="1">
        <f t="array" ref="Y174">_xlfn.LET(_xlpm.x, M174:M176, IF(SUM((_xlpm.x="K")*1, (_xlpm.x="A")*1, (_xlpm.x="GK")*1, (_xlpm.x="GA")*1)&gt;0, 3, 1))</f>
        <v>3</v>
      </c>
      <c r="Z174" s="25">
        <v>1</v>
      </c>
      <c r="AA174" s="25">
        <v>1</v>
      </c>
      <c r="AH174" s="5"/>
      <c r="AI174" s="5"/>
      <c r="AO174" s="5"/>
    </row>
    <row r="175" spans="10:41" x14ac:dyDescent="0.3">
      <c r="J175" s="25">
        <v>171</v>
      </c>
      <c r="K175" s="16" t="s">
        <v>35</v>
      </c>
      <c r="L175" s="16" t="s">
        <v>112</v>
      </c>
      <c r="M175" s="16" t="s">
        <v>91</v>
      </c>
      <c r="N175" s="16" t="s">
        <v>18</v>
      </c>
      <c r="O175" s="16" t="s">
        <v>21</v>
      </c>
      <c r="Q175" s="9">
        <v>8</v>
      </c>
      <c r="R175" s="9">
        <v>17</v>
      </c>
      <c r="S175" s="9">
        <v>14</v>
      </c>
      <c r="T175" s="9">
        <v>4</v>
      </c>
      <c r="U175" s="9">
        <v>2</v>
      </c>
      <c r="W175" s="25" cm="1">
        <f t="array" ref="W175">_xlfn.LET(_xlpm.x, K175:K177, IF(SUM((_xlpm.x="K")*1, (_xlpm.x="A")*1, (_xlpm.x="GK")*1, (_xlpm.x="GA")*1)&gt;0, 3, 1))</f>
        <v>3</v>
      </c>
      <c r="X175" s="25" cm="1">
        <f t="array" ref="X175">_xlfn.LET(_xlpm.x, L175:L177, IF(SUM((_xlpm.x="K")*1, (_xlpm.x="A")*1, (_xlpm.x="GK")*1, (_xlpm.x="GA")*1)&gt;0, 3, 1))</f>
        <v>3</v>
      </c>
      <c r="Y175" s="25" cm="1">
        <f t="array" ref="Y175">_xlfn.LET(_xlpm.x, M175:M177, IF(SUM((_xlpm.x="K")*1, (_xlpm.x="A")*1, (_xlpm.x="GK")*1, (_xlpm.x="GA")*1)&gt;0, 3, 1))</f>
        <v>3</v>
      </c>
      <c r="Z175" s="25">
        <v>1</v>
      </c>
      <c r="AA175" s="25">
        <v>1</v>
      </c>
      <c r="AH175" s="5"/>
      <c r="AI175" s="5"/>
      <c r="AO175" s="5"/>
    </row>
    <row r="176" spans="10:41" x14ac:dyDescent="0.3">
      <c r="J176" s="9">
        <v>172</v>
      </c>
      <c r="K176" s="16" t="s">
        <v>35</v>
      </c>
      <c r="L176" s="16" t="s">
        <v>125</v>
      </c>
      <c r="M176" s="16" t="s">
        <v>112</v>
      </c>
      <c r="N176" s="16" t="s">
        <v>95</v>
      </c>
      <c r="O176" s="16" t="s">
        <v>34</v>
      </c>
      <c r="Q176" s="9">
        <v>8</v>
      </c>
      <c r="R176" s="9">
        <v>6</v>
      </c>
      <c r="S176" s="9">
        <v>17</v>
      </c>
      <c r="T176" s="9">
        <v>18</v>
      </c>
      <c r="U176" s="9">
        <v>9</v>
      </c>
      <c r="W176" s="25" cm="1">
        <f t="array" ref="W176">_xlfn.LET(_xlpm.x, K176:K178, IF(SUM((_xlpm.x="K")*1, (_xlpm.x="A")*1, (_xlpm.x="GK")*1, (_xlpm.x="GA")*1)&gt;0, 3, 1))</f>
        <v>3</v>
      </c>
      <c r="X176" s="25" cm="1">
        <f t="array" ref="X176">_xlfn.LET(_xlpm.x, L176:L178, IF(SUM((_xlpm.x="K")*1, (_xlpm.x="A")*1, (_xlpm.x="GK")*1, (_xlpm.x="GA")*1)&gt;0, 3, 1))</f>
        <v>1</v>
      </c>
      <c r="Y176" s="25" cm="1">
        <f t="array" ref="Y176">_xlfn.LET(_xlpm.x, M176:M178, IF(SUM((_xlpm.x="K")*1, (_xlpm.x="A")*1, (_xlpm.x="GK")*1, (_xlpm.x="GA")*1)&gt;0, 3, 1))</f>
        <v>3</v>
      </c>
      <c r="Z176" s="25">
        <v>1</v>
      </c>
      <c r="AA176" s="25">
        <v>1</v>
      </c>
      <c r="AH176" s="5"/>
      <c r="AI176" s="5"/>
      <c r="AO176" s="5"/>
    </row>
    <row r="177" spans="10:41" x14ac:dyDescent="0.3">
      <c r="J177" s="25">
        <v>173</v>
      </c>
      <c r="K177" s="16" t="s">
        <v>37</v>
      </c>
      <c r="L177" s="16" t="s">
        <v>21</v>
      </c>
      <c r="M177" s="16" t="s">
        <v>126</v>
      </c>
      <c r="N177" s="16" t="s">
        <v>22</v>
      </c>
      <c r="O177" s="16" t="s">
        <v>125</v>
      </c>
      <c r="Q177" s="9">
        <v>7</v>
      </c>
      <c r="R177" s="9">
        <v>2</v>
      </c>
      <c r="S177" s="9">
        <v>15</v>
      </c>
      <c r="T177" s="9">
        <v>3</v>
      </c>
      <c r="U177" s="9">
        <v>6</v>
      </c>
      <c r="W177" s="25" cm="1">
        <f t="array" ref="W177">_xlfn.LET(_xlpm.x, K177:K179, IF(SUM((_xlpm.x="K")*1, (_xlpm.x="A")*1, (_xlpm.x="GK")*1, (_xlpm.x="GA")*1)&gt;0, 3, 1))</f>
        <v>3</v>
      </c>
      <c r="X177" s="25" cm="1">
        <f t="array" ref="X177">_xlfn.LET(_xlpm.x, L177:L179, IF(SUM((_xlpm.x="K")*1, (_xlpm.x="A")*1, (_xlpm.x="GK")*1, (_xlpm.x="GA")*1)&gt;0, 3, 1))</f>
        <v>3</v>
      </c>
      <c r="Y177" s="25" cm="1">
        <f t="array" ref="Y177">_xlfn.LET(_xlpm.x, M177:M179, IF(SUM((_xlpm.x="K")*1, (_xlpm.x="A")*1, (_xlpm.x="GK")*1, (_xlpm.x="GA")*1)&gt;0, 3, 1))</f>
        <v>3</v>
      </c>
      <c r="Z177" s="25">
        <v>1</v>
      </c>
      <c r="AA177" s="25">
        <v>1</v>
      </c>
      <c r="AH177" s="5"/>
      <c r="AI177" s="5"/>
      <c r="AO177" s="5"/>
    </row>
    <row r="178" spans="10:41" x14ac:dyDescent="0.3">
      <c r="J178" s="9">
        <v>174</v>
      </c>
      <c r="K178" s="16" t="s">
        <v>37</v>
      </c>
      <c r="L178" s="16" t="s">
        <v>91</v>
      </c>
      <c r="M178" s="16" t="s">
        <v>92</v>
      </c>
      <c r="N178" s="16" t="s">
        <v>34</v>
      </c>
      <c r="O178" s="16" t="s">
        <v>125</v>
      </c>
      <c r="Q178" s="9">
        <v>7</v>
      </c>
      <c r="R178" s="9">
        <v>14</v>
      </c>
      <c r="S178" s="9">
        <v>16</v>
      </c>
      <c r="T178" s="9">
        <v>9</v>
      </c>
      <c r="U178" s="9">
        <v>6</v>
      </c>
      <c r="W178" s="25" cm="1">
        <f t="array" ref="W178">_xlfn.LET(_xlpm.x, K178:K180, IF(SUM((_xlpm.x="K")*1, (_xlpm.x="A")*1, (_xlpm.x="GK")*1, (_xlpm.x="GA")*1)&gt;0, 3, 1))</f>
        <v>3</v>
      </c>
      <c r="X178" s="25" cm="1">
        <f t="array" ref="X178">_xlfn.LET(_xlpm.x, L178:L180, IF(SUM((_xlpm.x="K")*1, (_xlpm.x="A")*1, (_xlpm.x="GK")*1, (_xlpm.x="GA")*1)&gt;0, 3, 1))</f>
        <v>3</v>
      </c>
      <c r="Y178" s="25" cm="1">
        <f t="array" ref="Y178">_xlfn.LET(_xlpm.x, M178:M180, IF(SUM((_xlpm.x="K")*1, (_xlpm.x="A")*1, (_xlpm.x="GK")*1, (_xlpm.x="GA")*1)&gt;0, 3, 1))</f>
        <v>3</v>
      </c>
      <c r="Z178" s="25">
        <v>1</v>
      </c>
      <c r="AA178" s="25">
        <v>1</v>
      </c>
      <c r="AH178" s="5"/>
      <c r="AI178" s="5"/>
      <c r="AO178" s="5"/>
    </row>
    <row r="179" spans="10:41" x14ac:dyDescent="0.3">
      <c r="J179" s="25">
        <v>175</v>
      </c>
      <c r="K179" s="16" t="s">
        <v>125</v>
      </c>
      <c r="L179" s="16" t="s">
        <v>37</v>
      </c>
      <c r="M179" s="16" t="s">
        <v>90</v>
      </c>
      <c r="N179" s="16" t="s">
        <v>21</v>
      </c>
      <c r="O179" s="16" t="s">
        <v>18</v>
      </c>
      <c r="Q179" s="9">
        <v>6</v>
      </c>
      <c r="R179" s="9">
        <v>7</v>
      </c>
      <c r="S179" s="9">
        <v>13</v>
      </c>
      <c r="T179" s="9">
        <v>2</v>
      </c>
      <c r="U179" s="9">
        <v>4</v>
      </c>
      <c r="W179" s="25" cm="1">
        <f t="array" ref="W179">_xlfn.LET(_xlpm.x, K179:K181, IF(SUM((_xlpm.x="K")*1, (_xlpm.x="A")*1, (_xlpm.x="GK")*1, (_xlpm.x="GA")*1)&gt;0, 3, 1))</f>
        <v>1</v>
      </c>
      <c r="X179" s="25" cm="1">
        <f t="array" ref="X179">_xlfn.LET(_xlpm.x, L179:L181, IF(SUM((_xlpm.x="K")*1, (_xlpm.x="A")*1, (_xlpm.x="GK")*1, (_xlpm.x="GA")*1)&gt;0, 3, 1))</f>
        <v>3</v>
      </c>
      <c r="Y179" s="25" cm="1">
        <f t="array" ref="Y179">_xlfn.LET(_xlpm.x, M179:M181, IF(SUM((_xlpm.x="K")*1, (_xlpm.x="A")*1, (_xlpm.x="GK")*1, (_xlpm.x="GA")*1)&gt;0, 3, 1))</f>
        <v>3</v>
      </c>
      <c r="Z179" s="25">
        <v>1</v>
      </c>
      <c r="AA179" s="25">
        <v>1</v>
      </c>
      <c r="AH179" s="5"/>
      <c r="AI179" s="5"/>
      <c r="AO179" s="5"/>
    </row>
    <row r="180" spans="10:41" x14ac:dyDescent="0.3">
      <c r="J180" s="9">
        <v>176</v>
      </c>
      <c r="K180" s="16" t="s">
        <v>125</v>
      </c>
      <c r="L180" s="16" t="s">
        <v>35</v>
      </c>
      <c r="M180" s="16" t="s">
        <v>112</v>
      </c>
      <c r="N180" s="16" t="s">
        <v>34</v>
      </c>
      <c r="O180" s="16" t="s">
        <v>18</v>
      </c>
      <c r="Q180" s="9">
        <v>6</v>
      </c>
      <c r="R180" s="9">
        <v>8</v>
      </c>
      <c r="S180" s="9">
        <v>17</v>
      </c>
      <c r="T180" s="9">
        <v>9</v>
      </c>
      <c r="U180" s="9">
        <v>4</v>
      </c>
      <c r="W180" s="25" cm="1">
        <f t="array" ref="W180">_xlfn.LET(_xlpm.x, K180:K182, IF(SUM((_xlpm.x="K")*1, (_xlpm.x="A")*1, (_xlpm.x="GK")*1, (_xlpm.x="GA")*1)&gt;0, 3, 1))</f>
        <v>3</v>
      </c>
      <c r="X180" s="25" cm="1">
        <f t="array" ref="X180">_xlfn.LET(_xlpm.x, L180:L182, IF(SUM((_xlpm.x="K")*1, (_xlpm.x="A")*1, (_xlpm.x="GK")*1, (_xlpm.x="GA")*1)&gt;0, 3, 1))</f>
        <v>3</v>
      </c>
      <c r="Y180" s="25" cm="1">
        <f t="array" ref="Y180">_xlfn.LET(_xlpm.x, M180:M182, IF(SUM((_xlpm.x="K")*1, (_xlpm.x="A")*1, (_xlpm.x="GK")*1, (_xlpm.x="GA")*1)&gt;0, 3, 1))</f>
        <v>3</v>
      </c>
      <c r="Z180" s="25">
        <v>1</v>
      </c>
      <c r="AA180" s="25">
        <v>1</v>
      </c>
      <c r="AH180" s="5"/>
      <c r="AI180" s="5"/>
      <c r="AO180" s="5"/>
    </row>
    <row r="181" spans="10:41" x14ac:dyDescent="0.3">
      <c r="J181" s="25">
        <v>177</v>
      </c>
      <c r="K181" s="16" t="s">
        <v>19</v>
      </c>
      <c r="L181" s="16" t="s">
        <v>95</v>
      </c>
      <c r="M181" s="16" t="s">
        <v>89</v>
      </c>
      <c r="N181" s="16" t="s">
        <v>35</v>
      </c>
      <c r="O181" s="16" t="s">
        <v>35</v>
      </c>
      <c r="Q181" s="9">
        <v>5</v>
      </c>
      <c r="R181" s="9">
        <v>18</v>
      </c>
      <c r="S181" s="9">
        <v>12</v>
      </c>
      <c r="T181" s="9">
        <v>8</v>
      </c>
      <c r="U181" s="9">
        <v>8</v>
      </c>
      <c r="W181" s="25" cm="1">
        <f t="array" ref="W181">_xlfn.LET(_xlpm.x, K181:K183, IF(SUM((_xlpm.x="K")*1, (_xlpm.x="A")*1, (_xlpm.x="GK")*1, (_xlpm.x="GA")*1)&gt;0, 3, 1))</f>
        <v>3</v>
      </c>
      <c r="X181" s="25" cm="1">
        <f t="array" ref="X181">_xlfn.LET(_xlpm.x, L181:L183, IF(SUM((_xlpm.x="K")*1, (_xlpm.x="A")*1, (_xlpm.x="GK")*1, (_xlpm.x="GA")*1)&gt;0, 3, 1))</f>
        <v>3</v>
      </c>
      <c r="Y181" s="25" cm="1">
        <f t="array" ref="Y181">_xlfn.LET(_xlpm.x, M181:M183, IF(SUM((_xlpm.x="K")*1, (_xlpm.x="A")*1, (_xlpm.x="GK")*1, (_xlpm.x="GA")*1)&gt;0, 3, 1))</f>
        <v>1</v>
      </c>
      <c r="Z181" s="25">
        <v>1</v>
      </c>
      <c r="AA181" s="25">
        <v>1</v>
      </c>
      <c r="AH181" s="5"/>
      <c r="AI181" s="5"/>
      <c r="AO181" s="5"/>
    </row>
    <row r="182" spans="10:41" x14ac:dyDescent="0.3">
      <c r="J182" s="9">
        <v>178</v>
      </c>
      <c r="K182" s="16" t="s">
        <v>37</v>
      </c>
      <c r="L182" s="16" t="s">
        <v>35</v>
      </c>
      <c r="M182" s="16" t="s">
        <v>91</v>
      </c>
      <c r="N182" s="16" t="s">
        <v>35</v>
      </c>
      <c r="O182" s="16" t="s">
        <v>36</v>
      </c>
      <c r="Q182" s="9">
        <v>7</v>
      </c>
      <c r="R182" s="9">
        <v>8</v>
      </c>
      <c r="S182" s="9">
        <v>14</v>
      </c>
      <c r="T182" s="9">
        <v>8</v>
      </c>
      <c r="U182" s="9">
        <v>10</v>
      </c>
      <c r="W182" s="25" cm="1">
        <f t="array" ref="W182">_xlfn.LET(_xlpm.x, K182:K184, IF(SUM((_xlpm.x="K")*1, (_xlpm.x="A")*1, (_xlpm.x="GK")*1, (_xlpm.x="GA")*1)&gt;0, 3, 1))</f>
        <v>3</v>
      </c>
      <c r="X182" s="25" cm="1">
        <f t="array" ref="X182">_xlfn.LET(_xlpm.x, L182:L184, IF(SUM((_xlpm.x="K")*1, (_xlpm.x="A")*1, (_xlpm.x="GK")*1, (_xlpm.x="GA")*1)&gt;0, 3, 1))</f>
        <v>3</v>
      </c>
      <c r="Y182" s="25" cm="1">
        <f t="array" ref="Y182">_xlfn.LET(_xlpm.x, M182:M184, IF(SUM((_xlpm.x="K")*1, (_xlpm.x="A")*1, (_xlpm.x="GK")*1, (_xlpm.x="GA")*1)&gt;0, 3, 1))</f>
        <v>3</v>
      </c>
      <c r="Z182" s="25">
        <v>1</v>
      </c>
      <c r="AA182" s="25">
        <v>1</v>
      </c>
      <c r="AH182" s="5"/>
      <c r="AI182" s="5"/>
      <c r="AO182" s="5"/>
    </row>
    <row r="183" spans="10:41" x14ac:dyDescent="0.3">
      <c r="J183" s="25">
        <v>179</v>
      </c>
      <c r="K183" s="16" t="s">
        <v>125</v>
      </c>
      <c r="L183" s="16" t="s">
        <v>19</v>
      </c>
      <c r="M183" s="16" t="s">
        <v>126</v>
      </c>
      <c r="N183" s="16" t="s">
        <v>19</v>
      </c>
      <c r="O183" s="16" t="s">
        <v>21</v>
      </c>
      <c r="Q183" s="9">
        <v>6</v>
      </c>
      <c r="R183" s="9">
        <v>5</v>
      </c>
      <c r="S183" s="9">
        <v>15</v>
      </c>
      <c r="T183" s="9">
        <v>5</v>
      </c>
      <c r="U183" s="9">
        <v>2</v>
      </c>
      <c r="W183" s="25" cm="1">
        <f t="array" ref="W183">_xlfn.LET(_xlpm.x, K183:K185, IF(SUM((_xlpm.x="K")*1, (_xlpm.x="A")*1, (_xlpm.x="GK")*1, (_xlpm.x="GA")*1)&gt;0, 3, 1))</f>
        <v>3</v>
      </c>
      <c r="X183" s="25" cm="1">
        <f t="array" ref="X183">_xlfn.LET(_xlpm.x, L183:L185, IF(SUM((_xlpm.x="K")*1, (_xlpm.x="A")*1, (_xlpm.x="GK")*1, (_xlpm.x="GA")*1)&gt;0, 3, 1))</f>
        <v>3</v>
      </c>
      <c r="Y183" s="25" cm="1">
        <f t="array" ref="Y183">_xlfn.LET(_xlpm.x, M183:M185, IF(SUM((_xlpm.x="K")*1, (_xlpm.x="A")*1, (_xlpm.x="GK")*1, (_xlpm.x="GA")*1)&gt;0, 3, 1))</f>
        <v>3</v>
      </c>
      <c r="Z183" s="25">
        <v>1</v>
      </c>
      <c r="AA183" s="25">
        <v>1</v>
      </c>
      <c r="AH183" s="5"/>
      <c r="AI183" s="5"/>
      <c r="AO183" s="5"/>
    </row>
    <row r="184" spans="10:41" x14ac:dyDescent="0.3">
      <c r="J184" s="9">
        <v>180</v>
      </c>
      <c r="K184" s="16" t="s">
        <v>37</v>
      </c>
      <c r="L184" s="16" t="s">
        <v>112</v>
      </c>
      <c r="M184" s="16" t="s">
        <v>112</v>
      </c>
      <c r="N184" s="16" t="s">
        <v>18</v>
      </c>
      <c r="O184" s="16" t="s">
        <v>18</v>
      </c>
      <c r="Q184" s="9">
        <v>7</v>
      </c>
      <c r="R184" s="9">
        <v>17</v>
      </c>
      <c r="S184" s="9">
        <v>17</v>
      </c>
      <c r="T184" s="9">
        <v>4</v>
      </c>
      <c r="U184" s="9">
        <v>4</v>
      </c>
      <c r="W184" s="25" cm="1">
        <f t="array" ref="W184">_xlfn.LET(_xlpm.x, K184:K186, IF(SUM((_xlpm.x="K")*1, (_xlpm.x="A")*1, (_xlpm.x="GK")*1, (_xlpm.x="GA")*1)&gt;0, 3, 1))</f>
        <v>3</v>
      </c>
      <c r="X184" s="25" cm="1">
        <f t="array" ref="X184">_xlfn.LET(_xlpm.x, L184:L186, IF(SUM((_xlpm.x="K")*1, (_xlpm.x="A")*1, (_xlpm.x="GK")*1, (_xlpm.x="GA")*1)&gt;0, 3, 1))</f>
        <v>3</v>
      </c>
      <c r="Y184" s="25" cm="1">
        <f t="array" ref="Y184">_xlfn.LET(_xlpm.x, M184:M186, IF(SUM((_xlpm.x="K")*1, (_xlpm.x="A")*1, (_xlpm.x="GK")*1, (_xlpm.x="GA")*1)&gt;0, 3, 1))</f>
        <v>3</v>
      </c>
      <c r="Z184" s="25">
        <v>1</v>
      </c>
      <c r="AA184" s="25">
        <v>1</v>
      </c>
      <c r="AH184" s="5"/>
      <c r="AI184" s="5"/>
      <c r="AO184" s="5"/>
    </row>
    <row r="185" spans="10:41" x14ac:dyDescent="0.3">
      <c r="J185" s="25">
        <v>181</v>
      </c>
      <c r="K185" s="16" t="s">
        <v>19</v>
      </c>
      <c r="L185" s="16" t="s">
        <v>90</v>
      </c>
      <c r="M185" s="16" t="s">
        <v>92</v>
      </c>
      <c r="N185" s="16" t="s">
        <v>21</v>
      </c>
      <c r="O185" s="16" t="s">
        <v>36</v>
      </c>
      <c r="Q185" s="9">
        <v>5</v>
      </c>
      <c r="R185" s="9">
        <v>13</v>
      </c>
      <c r="S185" s="9">
        <v>16</v>
      </c>
      <c r="T185" s="9">
        <v>2</v>
      </c>
      <c r="U185" s="9">
        <v>10</v>
      </c>
      <c r="W185" s="25" cm="1">
        <f t="array" ref="W185">_xlfn.LET(_xlpm.x, K185:K187, IF(SUM((_xlpm.x="K")*1, (_xlpm.x="A")*1, (_xlpm.x="GK")*1, (_xlpm.x="GA")*1)&gt;0, 3, 1))</f>
        <v>3</v>
      </c>
      <c r="X185" s="25" cm="1">
        <f t="array" ref="X185">_xlfn.LET(_xlpm.x, L185:L187, IF(SUM((_xlpm.x="K")*1, (_xlpm.x="A")*1, (_xlpm.x="GK")*1, (_xlpm.x="GA")*1)&gt;0, 3, 1))</f>
        <v>1</v>
      </c>
      <c r="Y185" s="25" cm="1">
        <f t="array" ref="Y185">_xlfn.LET(_xlpm.x, M185:M187, IF(SUM((_xlpm.x="K")*1, (_xlpm.x="A")*1, (_xlpm.x="GK")*1, (_xlpm.x="GA")*1)&gt;0, 3, 1))</f>
        <v>3</v>
      </c>
      <c r="Z185" s="25">
        <v>1</v>
      </c>
      <c r="AA185" s="25">
        <v>1</v>
      </c>
      <c r="AH185" s="5"/>
      <c r="AI185" s="5"/>
      <c r="AO185" s="5"/>
    </row>
    <row r="186" spans="10:41" x14ac:dyDescent="0.3">
      <c r="J186" s="9">
        <v>182</v>
      </c>
      <c r="K186" s="16" t="s">
        <v>37</v>
      </c>
      <c r="L186" s="16" t="s">
        <v>125</v>
      </c>
      <c r="M186" s="16" t="s">
        <v>91</v>
      </c>
      <c r="N186" s="16" t="s">
        <v>21</v>
      </c>
      <c r="O186" s="16" t="s">
        <v>36</v>
      </c>
      <c r="Q186" s="9">
        <v>7</v>
      </c>
      <c r="R186" s="9">
        <v>6</v>
      </c>
      <c r="S186" s="9">
        <v>14</v>
      </c>
      <c r="T186" s="9">
        <v>2</v>
      </c>
      <c r="U186" s="9">
        <v>10</v>
      </c>
      <c r="W186" s="25" cm="1">
        <f t="array" ref="W186">_xlfn.LET(_xlpm.x, K186:K188, IF(SUM((_xlpm.x="K")*1, (_xlpm.x="A")*1, (_xlpm.x="GK")*1, (_xlpm.x="GA")*1)&gt;0, 3, 1))</f>
        <v>3</v>
      </c>
      <c r="X186" s="25" cm="1">
        <f t="array" ref="X186">_xlfn.LET(_xlpm.x, L186:L188, IF(SUM((_xlpm.x="K")*1, (_xlpm.x="A")*1, (_xlpm.x="GK")*1, (_xlpm.x="GA")*1)&gt;0, 3, 1))</f>
        <v>1</v>
      </c>
      <c r="Y186" s="25" cm="1">
        <f t="array" ref="Y186">_xlfn.LET(_xlpm.x, M186:M188, IF(SUM((_xlpm.x="K")*1, (_xlpm.x="A")*1, (_xlpm.x="GK")*1, (_xlpm.x="GA")*1)&gt;0, 3, 1))</f>
        <v>3</v>
      </c>
      <c r="Z186" s="25">
        <v>1</v>
      </c>
      <c r="AA186" s="25">
        <v>1</v>
      </c>
      <c r="AH186" s="5"/>
      <c r="AI186" s="5"/>
      <c r="AO186" s="5"/>
    </row>
    <row r="187" spans="10:41" x14ac:dyDescent="0.3">
      <c r="J187" s="25">
        <v>183</v>
      </c>
      <c r="K187" s="16" t="s">
        <v>125</v>
      </c>
      <c r="L187" s="16" t="s">
        <v>21</v>
      </c>
      <c r="M187" s="16" t="s">
        <v>126</v>
      </c>
      <c r="N187" s="16" t="s">
        <v>18</v>
      </c>
      <c r="O187" s="16" t="s">
        <v>34</v>
      </c>
      <c r="Q187" s="9">
        <v>6</v>
      </c>
      <c r="R187" s="9">
        <v>2</v>
      </c>
      <c r="S187" s="9">
        <v>15</v>
      </c>
      <c r="T187" s="9">
        <v>4</v>
      </c>
      <c r="U187" s="9">
        <v>9</v>
      </c>
      <c r="W187" s="25" cm="1">
        <f t="array" ref="W187">_xlfn.LET(_xlpm.x, K187:K189, IF(SUM((_xlpm.x="K")*1, (_xlpm.x="A")*1, (_xlpm.x="GK")*1, (_xlpm.x="GA")*1)&gt;0, 3, 1))</f>
        <v>3</v>
      </c>
      <c r="X187" s="25" cm="1">
        <f t="array" ref="X187">_xlfn.LET(_xlpm.x, L187:L189, IF(SUM((_xlpm.x="K")*1, (_xlpm.x="A")*1, (_xlpm.x="GK")*1, (_xlpm.x="GA")*1)&gt;0, 3, 1))</f>
        <v>1</v>
      </c>
      <c r="Y187" s="25" cm="1">
        <f t="array" ref="Y187">_xlfn.LET(_xlpm.x, M187:M189, IF(SUM((_xlpm.x="K")*1, (_xlpm.x="A")*1, (_xlpm.x="GK")*1, (_xlpm.x="GA")*1)&gt;0, 3, 1))</f>
        <v>3</v>
      </c>
      <c r="Z187" s="25">
        <v>1</v>
      </c>
      <c r="AA187" s="25">
        <v>1</v>
      </c>
      <c r="AH187" s="5"/>
      <c r="AI187" s="5"/>
      <c r="AO187" s="5"/>
    </row>
    <row r="188" spans="10:41" x14ac:dyDescent="0.3">
      <c r="J188" s="9">
        <v>184</v>
      </c>
      <c r="K188" s="16" t="s">
        <v>19</v>
      </c>
      <c r="L188" s="16" t="s">
        <v>126</v>
      </c>
      <c r="M188" s="16" t="s">
        <v>92</v>
      </c>
      <c r="N188" s="16" t="s">
        <v>18</v>
      </c>
      <c r="O188" s="16" t="s">
        <v>36</v>
      </c>
      <c r="Q188" s="9">
        <v>5</v>
      </c>
      <c r="R188" s="9">
        <v>15</v>
      </c>
      <c r="S188" s="9">
        <v>16</v>
      </c>
      <c r="T188" s="9">
        <v>4</v>
      </c>
      <c r="U188" s="9">
        <v>10</v>
      </c>
      <c r="W188" s="25" cm="1">
        <f t="array" ref="W188">_xlfn.LET(_xlpm.x, K188:K190, IF(SUM((_xlpm.x="K")*1, (_xlpm.x="A")*1, (_xlpm.x="GK")*1, (_xlpm.x="GA")*1)&gt;0, 3, 1))</f>
        <v>3</v>
      </c>
      <c r="X188" s="25" cm="1">
        <f t="array" ref="X188">_xlfn.LET(_xlpm.x, L188:L190, IF(SUM((_xlpm.x="K")*1, (_xlpm.x="A")*1, (_xlpm.x="GK")*1, (_xlpm.x="GA")*1)&gt;0, 3, 1))</f>
        <v>1</v>
      </c>
      <c r="Y188" s="25" cm="1">
        <f t="array" ref="Y188">_xlfn.LET(_xlpm.x, M188:M190, IF(SUM((_xlpm.x="K")*1, (_xlpm.x="A")*1, (_xlpm.x="GK")*1, (_xlpm.x="GA")*1)&gt;0, 3, 1))</f>
        <v>3</v>
      </c>
      <c r="Z188" s="25">
        <v>1</v>
      </c>
      <c r="AA188" s="25">
        <v>1</v>
      </c>
      <c r="AH188" s="5"/>
      <c r="AI188" s="5"/>
      <c r="AO188" s="5"/>
    </row>
    <row r="189" spans="10:41" x14ac:dyDescent="0.3">
      <c r="J189" s="25">
        <v>185</v>
      </c>
      <c r="K189" s="16" t="s">
        <v>35</v>
      </c>
      <c r="L189" s="16" t="s">
        <v>125</v>
      </c>
      <c r="M189" s="16" t="s">
        <v>126</v>
      </c>
      <c r="N189" s="16" t="s">
        <v>18</v>
      </c>
      <c r="O189" s="16" t="s">
        <v>18</v>
      </c>
      <c r="Q189" s="9">
        <v>8</v>
      </c>
      <c r="R189" s="9">
        <v>6</v>
      </c>
      <c r="S189" s="9">
        <v>15</v>
      </c>
      <c r="T189" s="9">
        <v>4</v>
      </c>
      <c r="U189" s="9">
        <v>4</v>
      </c>
      <c r="W189" s="25" cm="1">
        <f t="array" ref="W189">_xlfn.LET(_xlpm.x, K189:K191, IF(SUM((_xlpm.x="K")*1, (_xlpm.x="A")*1, (_xlpm.x="GK")*1, (_xlpm.x="GA")*1)&gt;0, 3, 1))</f>
        <v>3</v>
      </c>
      <c r="X189" s="25" cm="1">
        <f t="array" ref="X189">_xlfn.LET(_xlpm.x, L189:L191, IF(SUM((_xlpm.x="K")*1, (_xlpm.x="A")*1, (_xlpm.x="GK")*1, (_xlpm.x="GA")*1)&gt;0, 3, 1))</f>
        <v>3</v>
      </c>
      <c r="Y189" s="25" cm="1">
        <f t="array" ref="Y189">_xlfn.LET(_xlpm.x, M189:M191, IF(SUM((_xlpm.x="K")*1, (_xlpm.x="A")*1, (_xlpm.x="GK")*1, (_xlpm.x="GA")*1)&gt;0, 3, 1))</f>
        <v>3</v>
      </c>
      <c r="Z189" s="25">
        <v>1</v>
      </c>
      <c r="AA189" s="25">
        <v>1</v>
      </c>
      <c r="AH189" s="5"/>
      <c r="AI189" s="5"/>
      <c r="AO189" s="5"/>
    </row>
    <row r="190" spans="10:41" x14ac:dyDescent="0.3">
      <c r="J190" s="9">
        <v>186</v>
      </c>
      <c r="K190" s="16" t="s">
        <v>37</v>
      </c>
      <c r="L190" s="16" t="s">
        <v>125</v>
      </c>
      <c r="M190" s="16" t="s">
        <v>91</v>
      </c>
      <c r="N190" s="16" t="s">
        <v>36</v>
      </c>
      <c r="O190" s="16" t="s">
        <v>18</v>
      </c>
      <c r="Q190" s="9">
        <v>7</v>
      </c>
      <c r="R190" s="9">
        <v>6</v>
      </c>
      <c r="S190" s="9">
        <v>14</v>
      </c>
      <c r="T190" s="9">
        <v>10</v>
      </c>
      <c r="U190" s="9">
        <v>4</v>
      </c>
      <c r="W190" s="25" cm="1">
        <f t="array" ref="W190">_xlfn.LET(_xlpm.x, K190:K192, IF(SUM((_xlpm.x="K")*1, (_xlpm.x="A")*1, (_xlpm.x="GK")*1, (_xlpm.x="GA")*1)&gt;0, 3, 1))</f>
        <v>3</v>
      </c>
      <c r="X190" s="25" cm="1">
        <f t="array" ref="X190">_xlfn.LET(_xlpm.x, L190:L192, IF(SUM((_xlpm.x="K")*1, (_xlpm.x="A")*1, (_xlpm.x="GK")*1, (_xlpm.x="GA")*1)&gt;0, 3, 1))</f>
        <v>3</v>
      </c>
      <c r="Y190" s="25" cm="1">
        <f t="array" ref="Y190">_xlfn.LET(_xlpm.x, M190:M192, IF(SUM((_xlpm.x="K")*1, (_xlpm.x="A")*1, (_xlpm.x="GK")*1, (_xlpm.x="GA")*1)&gt;0, 3, 1))</f>
        <v>3</v>
      </c>
      <c r="Z190" s="25">
        <v>1</v>
      </c>
      <c r="AA190" s="25">
        <v>1</v>
      </c>
      <c r="AH190" s="5"/>
      <c r="AI190" s="5"/>
      <c r="AO190" s="5"/>
    </row>
    <row r="191" spans="10:41" x14ac:dyDescent="0.3">
      <c r="J191" s="25">
        <v>187</v>
      </c>
      <c r="K191" s="16" t="s">
        <v>35</v>
      </c>
      <c r="L191" s="16" t="s">
        <v>37</v>
      </c>
      <c r="M191" s="16" t="s">
        <v>112</v>
      </c>
      <c r="N191" s="16" t="s">
        <v>37</v>
      </c>
      <c r="O191" s="16" t="s">
        <v>19</v>
      </c>
      <c r="Q191" s="9">
        <v>8</v>
      </c>
      <c r="R191" s="9">
        <v>7</v>
      </c>
      <c r="S191" s="9">
        <v>17</v>
      </c>
      <c r="T191" s="9">
        <v>7</v>
      </c>
      <c r="U191" s="9">
        <v>5</v>
      </c>
      <c r="W191" s="25" cm="1">
        <f t="array" ref="W191">_xlfn.LET(_xlpm.x, K191:K193, IF(SUM((_xlpm.x="K")*1, (_xlpm.x="A")*1, (_xlpm.x="GK")*1, (_xlpm.x="GA")*1)&gt;0, 3, 1))</f>
        <v>3</v>
      </c>
      <c r="X191" s="25" cm="1">
        <f t="array" ref="X191">_xlfn.LET(_xlpm.x, L191:L193, IF(SUM((_xlpm.x="K")*1, (_xlpm.x="A")*1, (_xlpm.x="GK")*1, (_xlpm.x="GA")*1)&gt;0, 3, 1))</f>
        <v>3</v>
      </c>
      <c r="Y191" s="25" cm="1">
        <f t="array" ref="Y191">_xlfn.LET(_xlpm.x, M191:M193, IF(SUM((_xlpm.x="K")*1, (_xlpm.x="A")*1, (_xlpm.x="GK")*1, (_xlpm.x="GA")*1)&gt;0, 3, 1))</f>
        <v>3</v>
      </c>
      <c r="Z191" s="25">
        <v>1</v>
      </c>
      <c r="AA191" s="25">
        <v>1</v>
      </c>
      <c r="AH191" s="5"/>
      <c r="AI191" s="5"/>
      <c r="AO191" s="5"/>
    </row>
    <row r="192" spans="10:41" x14ac:dyDescent="0.3">
      <c r="J192" s="9">
        <v>188</v>
      </c>
      <c r="K192" s="16" t="s">
        <v>19</v>
      </c>
      <c r="L192" s="16" t="s">
        <v>92</v>
      </c>
      <c r="M192" s="16" t="s">
        <v>91</v>
      </c>
      <c r="N192" s="16" t="s">
        <v>21</v>
      </c>
      <c r="O192" s="16" t="s">
        <v>37</v>
      </c>
      <c r="Q192" s="9">
        <v>5</v>
      </c>
      <c r="R192" s="9">
        <v>16</v>
      </c>
      <c r="S192" s="9">
        <v>14</v>
      </c>
      <c r="T192" s="9">
        <v>2</v>
      </c>
      <c r="U192" s="9">
        <v>7</v>
      </c>
      <c r="W192" s="25" cm="1">
        <f t="array" ref="W192">_xlfn.LET(_xlpm.x, K192:K194, IF(SUM((_xlpm.x="K")*1, (_xlpm.x="A")*1, (_xlpm.x="GK")*1, (_xlpm.x="GA")*1)&gt;0, 3, 1))</f>
        <v>3</v>
      </c>
      <c r="X192" s="25" cm="1">
        <f t="array" ref="X192">_xlfn.LET(_xlpm.x, L192:L194, IF(SUM((_xlpm.x="K")*1, (_xlpm.x="A")*1, (_xlpm.x="GK")*1, (_xlpm.x="GA")*1)&gt;0, 3, 1))</f>
        <v>3</v>
      </c>
      <c r="Y192" s="25" cm="1">
        <f t="array" ref="Y192">_xlfn.LET(_xlpm.x, M192:M194, IF(SUM((_xlpm.x="K")*1, (_xlpm.x="A")*1, (_xlpm.x="GK")*1, (_xlpm.x="GA")*1)&gt;0, 3, 1))</f>
        <v>3</v>
      </c>
      <c r="Z192" s="25">
        <v>1</v>
      </c>
      <c r="AA192" s="25">
        <v>1</v>
      </c>
      <c r="AH192" s="5"/>
      <c r="AI192" s="5"/>
      <c r="AO192" s="5"/>
    </row>
    <row r="193" spans="10:41" x14ac:dyDescent="0.3">
      <c r="J193" s="25">
        <v>189</v>
      </c>
      <c r="K193" s="16" t="s">
        <v>19</v>
      </c>
      <c r="L193" s="16" t="s">
        <v>31</v>
      </c>
      <c r="M193" s="16" t="s">
        <v>126</v>
      </c>
      <c r="N193" s="16" t="s">
        <v>34</v>
      </c>
      <c r="O193" s="16" t="s">
        <v>18</v>
      </c>
      <c r="Q193" s="9">
        <v>5</v>
      </c>
      <c r="R193" s="9">
        <v>8</v>
      </c>
      <c r="S193" s="9">
        <v>15</v>
      </c>
      <c r="T193" s="9">
        <v>9</v>
      </c>
      <c r="U193" s="9">
        <v>4</v>
      </c>
      <c r="W193" s="25" cm="1">
        <f t="array" ref="W193">_xlfn.LET(_xlpm.x, K193:K195, IF(SUM((_xlpm.x="K")*1, (_xlpm.x="A")*1, (_xlpm.x="GK")*1, (_xlpm.x="GA")*1)&gt;0, 3, 1))</f>
        <v>3</v>
      </c>
      <c r="X193" s="25" cm="1">
        <f t="array" ref="X193">_xlfn.LET(_xlpm.x, L193:L195, IF(SUM((_xlpm.x="K")*1, (_xlpm.x="A")*1, (_xlpm.x="GK")*1, (_xlpm.x="GA")*1)&gt;0, 3, 1))</f>
        <v>3</v>
      </c>
      <c r="Y193" s="25" cm="1">
        <f t="array" ref="Y193">_xlfn.LET(_xlpm.x, M193:M195, IF(SUM((_xlpm.x="K")*1, (_xlpm.x="A")*1, (_xlpm.x="GK")*1, (_xlpm.x="GA")*1)&gt;0, 3, 1))</f>
        <v>3</v>
      </c>
      <c r="Z193" s="25">
        <v>1</v>
      </c>
      <c r="AA193" s="25">
        <v>1</v>
      </c>
      <c r="AH193" s="5"/>
      <c r="AI193" s="5"/>
      <c r="AO193" s="5"/>
    </row>
    <row r="194" spans="10:41" x14ac:dyDescent="0.3">
      <c r="J194" s="9">
        <v>190</v>
      </c>
      <c r="K194" s="16" t="s">
        <v>35</v>
      </c>
      <c r="L194" s="16" t="s">
        <v>31</v>
      </c>
      <c r="M194" s="16" t="s">
        <v>92</v>
      </c>
      <c r="N194" s="16" t="s">
        <v>35</v>
      </c>
      <c r="O194" s="16" t="s">
        <v>36</v>
      </c>
      <c r="Q194" s="9">
        <v>8</v>
      </c>
      <c r="R194" s="9">
        <v>8</v>
      </c>
      <c r="S194" s="9">
        <v>16</v>
      </c>
      <c r="T194" s="9">
        <v>8</v>
      </c>
      <c r="U194" s="9">
        <v>10</v>
      </c>
      <c r="W194" s="25" cm="1">
        <f t="array" ref="W194">_xlfn.LET(_xlpm.x, K194:K196, IF(SUM((_xlpm.x="K")*1, (_xlpm.x="A")*1, (_xlpm.x="GK")*1, (_xlpm.x="GA")*1)&gt;0, 3, 1))</f>
        <v>3</v>
      </c>
      <c r="X194" s="25" cm="1">
        <f t="array" ref="X194">_xlfn.LET(_xlpm.x, L194:L196, IF(SUM((_xlpm.x="K")*1, (_xlpm.x="A")*1, (_xlpm.x="GK")*1, (_xlpm.x="GA")*1)&gt;0, 3, 1))</f>
        <v>3</v>
      </c>
      <c r="Y194" s="25" cm="1">
        <f t="array" ref="Y194">_xlfn.LET(_xlpm.x, M194:M196, IF(SUM((_xlpm.x="K")*1, (_xlpm.x="A")*1, (_xlpm.x="GK")*1, (_xlpm.x="GA")*1)&gt;0, 3, 1))</f>
        <v>3</v>
      </c>
      <c r="Z194" s="25">
        <v>1</v>
      </c>
      <c r="AA194" s="25">
        <v>1</v>
      </c>
      <c r="AH194" s="5"/>
      <c r="AI194" s="5"/>
      <c r="AO194" s="5"/>
    </row>
    <row r="195" spans="10:41" x14ac:dyDescent="0.3">
      <c r="J195" s="25">
        <v>191</v>
      </c>
      <c r="K195" s="16" t="s">
        <v>37</v>
      </c>
      <c r="L195" s="16" t="s">
        <v>112</v>
      </c>
      <c r="M195" s="16" t="s">
        <v>91</v>
      </c>
      <c r="N195" s="16" t="s">
        <v>22</v>
      </c>
      <c r="O195" s="16" t="s">
        <v>36</v>
      </c>
      <c r="Q195" s="9">
        <v>7</v>
      </c>
      <c r="R195" s="9">
        <v>17</v>
      </c>
      <c r="S195" s="9">
        <v>14</v>
      </c>
      <c r="T195" s="9">
        <v>3</v>
      </c>
      <c r="U195" s="9">
        <v>10</v>
      </c>
      <c r="W195" s="25" cm="1">
        <f t="array" ref="W195">_xlfn.LET(_xlpm.x, K195:K197, IF(SUM((_xlpm.x="K")*1, (_xlpm.x="A")*1, (_xlpm.x="GK")*1, (_xlpm.x="GA")*1)&gt;0, 3, 1))</f>
        <v>3</v>
      </c>
      <c r="X195" s="25" cm="1">
        <f t="array" ref="X195">_xlfn.LET(_xlpm.x, L195:L197, IF(SUM((_xlpm.x="K")*1, (_xlpm.x="A")*1, (_xlpm.x="GK")*1, (_xlpm.x="GA")*1)&gt;0, 3, 1))</f>
        <v>3</v>
      </c>
      <c r="Y195" s="25" cm="1">
        <f t="array" ref="Y195">_xlfn.LET(_xlpm.x, M195:M197, IF(SUM((_xlpm.x="K")*1, (_xlpm.x="A")*1, (_xlpm.x="GK")*1, (_xlpm.x="GA")*1)&gt;0, 3, 1))</f>
        <v>3</v>
      </c>
      <c r="Z195" s="25">
        <v>1</v>
      </c>
      <c r="AA195" s="25">
        <v>1</v>
      </c>
      <c r="AH195" s="5"/>
      <c r="AI195" s="5"/>
      <c r="AO195" s="5"/>
    </row>
    <row r="196" spans="10:41" x14ac:dyDescent="0.3">
      <c r="J196" s="9">
        <v>192</v>
      </c>
      <c r="K196" s="16" t="s">
        <v>125</v>
      </c>
      <c r="L196" s="16" t="s">
        <v>89</v>
      </c>
      <c r="M196" s="16" t="s">
        <v>112</v>
      </c>
      <c r="N196" s="16" t="s">
        <v>36</v>
      </c>
      <c r="O196" s="16" t="s">
        <v>34</v>
      </c>
      <c r="Q196" s="9">
        <v>6</v>
      </c>
      <c r="R196" s="9">
        <v>12</v>
      </c>
      <c r="S196" s="9">
        <v>17</v>
      </c>
      <c r="T196" s="9">
        <v>10</v>
      </c>
      <c r="U196" s="9">
        <v>9</v>
      </c>
      <c r="W196" s="25" cm="1">
        <f t="array" ref="W196">_xlfn.LET(_xlpm.x, K196:K198, IF(SUM((_xlpm.x="K")*1, (_xlpm.x="A")*1, (_xlpm.x="GK")*1, (_xlpm.x="GA")*1)&gt;0, 3, 1))</f>
        <v>1</v>
      </c>
      <c r="X196" s="25" cm="1">
        <f t="array" ref="X196">_xlfn.LET(_xlpm.x, L196:L198, IF(SUM((_xlpm.x="K")*1, (_xlpm.x="A")*1, (_xlpm.x="GK")*1, (_xlpm.x="GA")*1)&gt;0, 3, 1))</f>
        <v>1</v>
      </c>
      <c r="Y196" s="25" cm="1">
        <f t="array" ref="Y196">_xlfn.LET(_xlpm.x, M196:M198, IF(SUM((_xlpm.x="K")*1, (_xlpm.x="A")*1, (_xlpm.x="GK")*1, (_xlpm.x="GA")*1)&gt;0, 3, 1))</f>
        <v>3</v>
      </c>
      <c r="Z196" s="25">
        <v>1</v>
      </c>
      <c r="AA196" s="25">
        <v>1</v>
      </c>
      <c r="AH196" s="5"/>
      <c r="AI196" s="5"/>
      <c r="AO196" s="5"/>
    </row>
    <row r="197" spans="10:41" x14ac:dyDescent="0.3">
      <c r="J197" s="25">
        <v>193</v>
      </c>
      <c r="K197" s="16" t="s">
        <v>19</v>
      </c>
      <c r="L197" s="16" t="s">
        <v>20</v>
      </c>
      <c r="M197" s="16" t="s">
        <v>88</v>
      </c>
      <c r="N197" s="16" t="s">
        <v>34</v>
      </c>
      <c r="O197" s="16" t="s">
        <v>18</v>
      </c>
      <c r="Q197" s="9">
        <v>5</v>
      </c>
      <c r="R197" s="9">
        <v>1</v>
      </c>
      <c r="S197" s="9">
        <v>11</v>
      </c>
      <c r="T197" s="9">
        <v>9</v>
      </c>
      <c r="U197" s="9">
        <v>4</v>
      </c>
      <c r="W197" s="25" cm="1">
        <f t="array" ref="W197">_xlfn.LET(_xlpm.x, K197:K199, IF(SUM((_xlpm.x="K")*1, (_xlpm.x="A")*1, (_xlpm.x="GK")*1, (_xlpm.x="GA")*1)&gt;0, 3, 1))</f>
        <v>3</v>
      </c>
      <c r="X197" s="25" cm="1">
        <f t="array" ref="X197">_xlfn.LET(_xlpm.x, L197:L199, IF(SUM((_xlpm.x="K")*1, (_xlpm.x="A")*1, (_xlpm.x="GK")*1, (_xlpm.x="GA")*1)&gt;0, 3, 1))</f>
        <v>1</v>
      </c>
      <c r="Y197" s="25" cm="1">
        <f t="array" ref="Y197">_xlfn.LET(_xlpm.x, M197:M199, IF(SUM((_xlpm.x="K")*1, (_xlpm.x="A")*1, (_xlpm.x="GK")*1, (_xlpm.x="GA")*1)&gt;0, 3, 1))</f>
        <v>3</v>
      </c>
      <c r="Z197" s="25">
        <v>1</v>
      </c>
      <c r="AA197" s="25">
        <v>1</v>
      </c>
      <c r="AH197" s="5"/>
      <c r="AI197" s="5"/>
      <c r="AO197" s="5"/>
    </row>
    <row r="198" spans="10:41" x14ac:dyDescent="0.3">
      <c r="J198" s="9">
        <v>194</v>
      </c>
      <c r="K198" s="16" t="s">
        <v>19</v>
      </c>
      <c r="L198" s="16" t="s">
        <v>125</v>
      </c>
      <c r="M198" s="16" t="s">
        <v>126</v>
      </c>
      <c r="N198" s="16" t="s">
        <v>36</v>
      </c>
      <c r="O198" s="16" t="s">
        <v>34</v>
      </c>
      <c r="Q198" s="9">
        <v>5</v>
      </c>
      <c r="R198" s="9">
        <v>6</v>
      </c>
      <c r="S198" s="9">
        <v>15</v>
      </c>
      <c r="T198" s="9">
        <v>10</v>
      </c>
      <c r="U198" s="9">
        <v>9</v>
      </c>
      <c r="W198" s="25" cm="1">
        <f t="array" ref="W198">_xlfn.LET(_xlpm.x, K198:K200, IF(SUM((_xlpm.x="K")*1, (_xlpm.x="A")*1, (_xlpm.x="GK")*1, (_xlpm.x="GA")*1)&gt;0, 3, 1))</f>
        <v>3</v>
      </c>
      <c r="X198" s="25" cm="1">
        <f t="array" ref="X198">_xlfn.LET(_xlpm.x, L198:L200, IF(SUM((_xlpm.x="K")*1, (_xlpm.x="A")*1, (_xlpm.x="GK")*1, (_xlpm.x="GA")*1)&gt;0, 3, 1))</f>
        <v>1</v>
      </c>
      <c r="Y198" s="25" cm="1">
        <f t="array" ref="Y198">_xlfn.LET(_xlpm.x, M198:M200, IF(SUM((_xlpm.x="K")*1, (_xlpm.x="A")*1, (_xlpm.x="GK")*1, (_xlpm.x="GA")*1)&gt;0, 3, 1))</f>
        <v>3</v>
      </c>
      <c r="Z198" s="25">
        <v>1</v>
      </c>
      <c r="AA198" s="25">
        <v>1</v>
      </c>
      <c r="AH198" s="5"/>
      <c r="AI198" s="5"/>
      <c r="AO198" s="5"/>
    </row>
    <row r="199" spans="10:41" x14ac:dyDescent="0.3">
      <c r="J199" s="25">
        <v>195</v>
      </c>
      <c r="K199" s="16" t="s">
        <v>37</v>
      </c>
      <c r="L199" s="16" t="s">
        <v>91</v>
      </c>
      <c r="M199" s="16" t="s">
        <v>92</v>
      </c>
      <c r="N199" s="16" t="s">
        <v>20</v>
      </c>
      <c r="O199" s="16" t="s">
        <v>34</v>
      </c>
      <c r="Q199" s="9">
        <v>7</v>
      </c>
      <c r="R199" s="9">
        <v>14</v>
      </c>
      <c r="S199" s="9">
        <v>16</v>
      </c>
      <c r="T199" s="9">
        <v>1</v>
      </c>
      <c r="U199" s="9">
        <v>9</v>
      </c>
      <c r="W199" s="25" cm="1">
        <f t="array" ref="W199">_xlfn.LET(_xlpm.x, K199:K201, IF(SUM((_xlpm.x="K")*1, (_xlpm.x="A")*1, (_xlpm.x="GK")*1, (_xlpm.x="GA")*1)&gt;0, 3, 1))</f>
        <v>3</v>
      </c>
      <c r="X199" s="25" cm="1">
        <f t="array" ref="X199">_xlfn.LET(_xlpm.x, L199:L201, IF(SUM((_xlpm.x="K")*1, (_xlpm.x="A")*1, (_xlpm.x="GK")*1, (_xlpm.x="GA")*1)&gt;0, 3, 1))</f>
        <v>1</v>
      </c>
      <c r="Y199" s="25" cm="1">
        <f t="array" ref="Y199">_xlfn.LET(_xlpm.x, M199:M201, IF(SUM((_xlpm.x="K")*1, (_xlpm.x="A")*1, (_xlpm.x="GK")*1, (_xlpm.x="GA")*1)&gt;0, 3, 1))</f>
        <v>3</v>
      </c>
      <c r="Z199" s="25">
        <v>1</v>
      </c>
      <c r="AA199" s="25">
        <v>1</v>
      </c>
      <c r="AH199" s="5"/>
      <c r="AI199" s="5"/>
      <c r="AO199" s="5"/>
    </row>
    <row r="200" spans="10:41" x14ac:dyDescent="0.3">
      <c r="J200" s="9">
        <v>196</v>
      </c>
      <c r="K200" s="16" t="s">
        <v>19</v>
      </c>
      <c r="L200" s="16" t="s">
        <v>18</v>
      </c>
      <c r="M200" s="16" t="s">
        <v>126</v>
      </c>
      <c r="N200" s="16" t="s">
        <v>19</v>
      </c>
      <c r="O200" s="16" t="s">
        <v>37</v>
      </c>
      <c r="Q200" s="9">
        <v>5</v>
      </c>
      <c r="R200" s="9">
        <v>4</v>
      </c>
      <c r="S200" s="9">
        <v>15</v>
      </c>
      <c r="T200" s="9">
        <v>5</v>
      </c>
      <c r="U200" s="9">
        <v>7</v>
      </c>
      <c r="W200" s="25" cm="1">
        <f t="array" ref="W200">_xlfn.LET(_xlpm.x, K200:K202, IF(SUM((_xlpm.x="K")*1, (_xlpm.x="A")*1, (_xlpm.x="GK")*1, (_xlpm.x="GA")*1)&gt;0, 3, 1))</f>
        <v>3</v>
      </c>
      <c r="X200" s="25" cm="1">
        <f t="array" ref="X200">_xlfn.LET(_xlpm.x, L200:L202, IF(SUM((_xlpm.x="K")*1, (_xlpm.x="A")*1, (_xlpm.x="GK")*1, (_xlpm.x="GA")*1)&gt;0, 3, 1))</f>
        <v>1</v>
      </c>
      <c r="Y200" s="25" cm="1">
        <f t="array" ref="Y200">_xlfn.LET(_xlpm.x, M200:M202, IF(SUM((_xlpm.x="K")*1, (_xlpm.x="A")*1, (_xlpm.x="GK")*1, (_xlpm.x="GA")*1)&gt;0, 3, 1))</f>
        <v>3</v>
      </c>
      <c r="Z200" s="25">
        <v>1</v>
      </c>
      <c r="AA200" s="25">
        <v>1</v>
      </c>
      <c r="AH200" s="5"/>
      <c r="AI200" s="5"/>
      <c r="AO200" s="5"/>
    </row>
    <row r="201" spans="10:41" x14ac:dyDescent="0.3">
      <c r="J201" s="25">
        <v>197</v>
      </c>
      <c r="K201" s="16" t="s">
        <v>37</v>
      </c>
      <c r="L201" s="16" t="s">
        <v>18</v>
      </c>
      <c r="M201" s="16" t="s">
        <v>92</v>
      </c>
      <c r="N201" s="16" t="s">
        <v>35</v>
      </c>
      <c r="O201" s="16" t="s">
        <v>21</v>
      </c>
      <c r="Q201" s="9">
        <v>7</v>
      </c>
      <c r="R201" s="9">
        <v>4</v>
      </c>
      <c r="S201" s="9">
        <v>16</v>
      </c>
      <c r="T201" s="9">
        <v>8</v>
      </c>
      <c r="U201" s="9">
        <v>2</v>
      </c>
      <c r="W201" s="25" cm="1">
        <f t="array" ref="W201">_xlfn.LET(_xlpm.x, K201:K203, IF(SUM((_xlpm.x="K")*1, (_xlpm.x="A")*1, (_xlpm.x="GK")*1, (_xlpm.x="GA")*1)&gt;0, 3, 1))</f>
        <v>3</v>
      </c>
      <c r="X201" s="25" cm="1">
        <f t="array" ref="X201">_xlfn.LET(_xlpm.x, L201:L203, IF(SUM((_xlpm.x="K")*1, (_xlpm.x="A")*1, (_xlpm.x="GK")*1, (_xlpm.x="GA")*1)&gt;0, 3, 1))</f>
        <v>1</v>
      </c>
      <c r="Y201" s="25" cm="1">
        <f t="array" ref="Y201">_xlfn.LET(_xlpm.x, M201:M203, IF(SUM((_xlpm.x="K")*1, (_xlpm.x="A")*1, (_xlpm.x="GK")*1, (_xlpm.x="GA")*1)&gt;0, 3, 1))</f>
        <v>3</v>
      </c>
      <c r="Z201" s="25">
        <v>1</v>
      </c>
      <c r="AA201" s="25">
        <v>1</v>
      </c>
      <c r="AH201" s="5"/>
      <c r="AI201" s="5"/>
      <c r="AO201" s="5"/>
    </row>
    <row r="202" spans="10:41" x14ac:dyDescent="0.3">
      <c r="J202" s="9">
        <v>198</v>
      </c>
      <c r="K202" s="16" t="s">
        <v>19</v>
      </c>
      <c r="L202" s="16" t="s">
        <v>91</v>
      </c>
      <c r="M202" s="16" t="s">
        <v>126</v>
      </c>
      <c r="N202" s="16" t="s">
        <v>126</v>
      </c>
      <c r="O202" s="16" t="s">
        <v>19</v>
      </c>
      <c r="Q202" s="9">
        <v>5</v>
      </c>
      <c r="R202" s="9">
        <v>14</v>
      </c>
      <c r="S202" s="9">
        <v>15</v>
      </c>
      <c r="T202" s="9">
        <v>15</v>
      </c>
      <c r="U202" s="9">
        <v>5</v>
      </c>
      <c r="W202" s="25" cm="1">
        <f t="array" ref="W202">_xlfn.LET(_xlpm.x, K202:K204, IF(SUM((_xlpm.x="K")*1, (_xlpm.x="A")*1, (_xlpm.x="GK")*1, (_xlpm.x="GA")*1)&gt;0, 3, 1))</f>
        <v>3</v>
      </c>
      <c r="X202" s="25" cm="1">
        <f t="array" ref="X202">_xlfn.LET(_xlpm.x, L202:L204, IF(SUM((_xlpm.x="K")*1, (_xlpm.x="A")*1, (_xlpm.x="GK")*1, (_xlpm.x="GA")*1)&gt;0, 3, 1))</f>
        <v>1</v>
      </c>
      <c r="Y202" s="25" cm="1">
        <f t="array" ref="Y202">_xlfn.LET(_xlpm.x, M202:M204, IF(SUM((_xlpm.x="K")*1, (_xlpm.x="A")*1, (_xlpm.x="GK")*1, (_xlpm.x="GA")*1)&gt;0, 3, 1))</f>
        <v>3</v>
      </c>
      <c r="Z202" s="25">
        <v>1</v>
      </c>
      <c r="AA202" s="25">
        <v>1</v>
      </c>
      <c r="AH202" s="5"/>
      <c r="AI202" s="5"/>
      <c r="AO202" s="5"/>
    </row>
    <row r="203" spans="10:41" x14ac:dyDescent="0.3">
      <c r="J203" s="25">
        <v>199</v>
      </c>
      <c r="K203" s="16" t="s">
        <v>37</v>
      </c>
      <c r="L203" s="16" t="s">
        <v>125</v>
      </c>
      <c r="M203" s="16" t="s">
        <v>92</v>
      </c>
      <c r="N203" s="16" t="s">
        <v>35</v>
      </c>
      <c r="O203" s="16" t="s">
        <v>36</v>
      </c>
      <c r="Q203" s="9">
        <v>7</v>
      </c>
      <c r="R203" s="9">
        <v>6</v>
      </c>
      <c r="S203" s="9">
        <v>16</v>
      </c>
      <c r="T203" s="9">
        <v>8</v>
      </c>
      <c r="U203" s="9">
        <v>10</v>
      </c>
      <c r="W203" s="25" cm="1">
        <f t="array" ref="W203">_xlfn.LET(_xlpm.x, K203:K205, IF(SUM((_xlpm.x="K")*1, (_xlpm.x="A")*1, (_xlpm.x="GK")*1, (_xlpm.x="GA")*1)&gt;0, 3, 1))</f>
        <v>3</v>
      </c>
      <c r="X203" s="25" cm="1">
        <f t="array" ref="X203">_xlfn.LET(_xlpm.x, L203:L205, IF(SUM((_xlpm.x="K")*1, (_xlpm.x="A")*1, (_xlpm.x="GK")*1, (_xlpm.x="GA")*1)&gt;0, 3, 1))</f>
        <v>1</v>
      </c>
      <c r="Y203" s="25" cm="1">
        <f t="array" ref="Y203">_xlfn.LET(_xlpm.x, M203:M205, IF(SUM((_xlpm.x="K")*1, (_xlpm.x="A")*1, (_xlpm.x="GK")*1, (_xlpm.x="GA")*1)&gt;0, 3, 1))</f>
        <v>3</v>
      </c>
      <c r="Z203" s="25">
        <v>1</v>
      </c>
      <c r="AA203" s="25">
        <v>1</v>
      </c>
      <c r="AH203" s="5"/>
      <c r="AI203" s="5"/>
      <c r="AO203" s="5"/>
    </row>
    <row r="204" spans="10:41" x14ac:dyDescent="0.3">
      <c r="J204" s="9"/>
      <c r="K204" s="16"/>
      <c r="L204" s="16"/>
      <c r="M204" s="16"/>
      <c r="N204" s="16"/>
      <c r="O204" s="16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5"/>
      <c r="X204" s="25"/>
      <c r="Y204" s="25"/>
      <c r="Z204" s="25"/>
      <c r="AA204" s="25"/>
      <c r="AH204" s="5"/>
      <c r="AI204" s="5"/>
      <c r="AO204" s="5"/>
    </row>
    <row r="205" spans="10:41" x14ac:dyDescent="0.3">
      <c r="J205" s="25"/>
      <c r="K205" s="16"/>
      <c r="L205" s="16"/>
      <c r="M205" s="16"/>
      <c r="N205" s="16"/>
      <c r="O205" s="16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5"/>
      <c r="X205" s="25"/>
      <c r="Y205" s="25"/>
      <c r="Z205" s="25"/>
      <c r="AA205" s="25"/>
      <c r="AH205" s="5"/>
      <c r="AI205" s="5"/>
      <c r="AO205" s="5"/>
    </row>
    <row r="206" spans="10:41" x14ac:dyDescent="0.3">
      <c r="J206" s="25"/>
      <c r="K206" s="16"/>
      <c r="L206" s="16"/>
      <c r="M206" s="16"/>
      <c r="N206" s="16"/>
      <c r="O206" s="16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5"/>
      <c r="X206" s="25"/>
      <c r="Y206" s="25"/>
      <c r="Z206" s="25"/>
      <c r="AA206" s="25"/>
      <c r="AH206" s="5"/>
      <c r="AI206" s="5"/>
      <c r="AO206" s="5"/>
    </row>
    <row r="207" spans="10:41" x14ac:dyDescent="0.3">
      <c r="J207" s="9"/>
      <c r="K207" s="16"/>
      <c r="L207" s="16"/>
      <c r="M207" s="16"/>
      <c r="N207" s="16"/>
      <c r="O207" s="16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5"/>
      <c r="X207" s="25"/>
      <c r="Y207" s="25"/>
      <c r="Z207" s="25"/>
      <c r="AA207" s="25"/>
      <c r="AH207" s="5"/>
      <c r="AI207" s="5"/>
      <c r="AO207" s="5"/>
    </row>
    <row r="208" spans="10:41" x14ac:dyDescent="0.3">
      <c r="J208" s="25"/>
      <c r="K208" s="16"/>
      <c r="L208" s="16"/>
      <c r="M208" s="16"/>
      <c r="N208" s="16"/>
      <c r="O208" s="16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5"/>
      <c r="X208" s="25"/>
      <c r="Y208" s="25"/>
      <c r="Z208" s="25"/>
      <c r="AA208" s="25"/>
      <c r="AH208" s="5"/>
      <c r="AI208" s="5"/>
      <c r="AO208" s="5"/>
    </row>
    <row r="209" spans="10:41" x14ac:dyDescent="0.3">
      <c r="J209" s="9"/>
      <c r="K209" s="16"/>
      <c r="L209" s="16"/>
      <c r="M209" s="16"/>
      <c r="N209" s="16"/>
      <c r="O209" s="16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5"/>
      <c r="X209" s="25"/>
      <c r="Y209" s="25"/>
      <c r="Z209" s="25"/>
      <c r="AA209" s="25"/>
      <c r="AH209" s="5"/>
      <c r="AI209" s="5"/>
      <c r="AO209" s="5"/>
    </row>
    <row r="210" spans="10:41" x14ac:dyDescent="0.3">
      <c r="J210" s="25"/>
      <c r="K210" s="16"/>
      <c r="L210" s="16"/>
      <c r="M210" s="16"/>
      <c r="N210" s="16"/>
      <c r="O210" s="16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5"/>
      <c r="X210" s="25"/>
      <c r="Y210" s="25"/>
      <c r="Z210" s="25"/>
      <c r="AA210" s="25"/>
      <c r="AH210" s="5"/>
      <c r="AI210" s="5"/>
      <c r="AO210" s="5"/>
    </row>
    <row r="211" spans="10:41" x14ac:dyDescent="0.3">
      <c r="J211" s="9"/>
      <c r="K211" s="16"/>
      <c r="L211" s="16"/>
      <c r="M211" s="16"/>
      <c r="N211" s="16"/>
      <c r="O211" s="16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5"/>
      <c r="X211" s="25"/>
      <c r="Y211" s="25"/>
      <c r="Z211" s="25"/>
      <c r="AA211" s="25"/>
      <c r="AH211" s="5"/>
      <c r="AI211" s="5"/>
      <c r="AO211" s="5"/>
    </row>
    <row r="212" spans="10:41" x14ac:dyDescent="0.3">
      <c r="J212" s="25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5"/>
      <c r="X212" s="25"/>
      <c r="Y212" s="25"/>
      <c r="Z212" s="25"/>
      <c r="AA212" s="25"/>
      <c r="AH212" s="5"/>
      <c r="AI212" s="5"/>
      <c r="AO212" s="5"/>
    </row>
    <row r="213" spans="10:41" x14ac:dyDescent="0.3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5"/>
      <c r="X213" s="25"/>
      <c r="Y213" s="25"/>
      <c r="Z213" s="25"/>
      <c r="AA213" s="25"/>
      <c r="AH213" s="5"/>
      <c r="AI213" s="5"/>
      <c r="AO213" s="5"/>
    </row>
    <row r="214" spans="10:41" x14ac:dyDescent="0.3">
      <c r="J214" s="25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5"/>
      <c r="X214" s="25"/>
      <c r="Y214" s="25"/>
      <c r="Z214" s="25"/>
      <c r="AA214" s="25"/>
      <c r="AH214" s="5"/>
      <c r="AI214" s="5"/>
      <c r="AO214" s="5"/>
    </row>
    <row r="215" spans="10:41" x14ac:dyDescent="0.3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5"/>
      <c r="X215" s="25"/>
      <c r="Y215" s="25"/>
      <c r="Z215" s="25"/>
      <c r="AA215" s="25"/>
      <c r="AH215" s="5"/>
      <c r="AI215" s="5"/>
      <c r="AO215" s="5"/>
    </row>
    <row r="216" spans="10:41" x14ac:dyDescent="0.3">
      <c r="J216" s="25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5"/>
      <c r="X216" s="25"/>
      <c r="Y216" s="25"/>
      <c r="Z216" s="25"/>
      <c r="AA216" s="25"/>
      <c r="AH216" s="5"/>
      <c r="AI216" s="5"/>
      <c r="AO216" s="5"/>
    </row>
    <row r="217" spans="10:41" x14ac:dyDescent="0.3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5"/>
      <c r="X217" s="25"/>
      <c r="Y217" s="25"/>
      <c r="Z217" s="25"/>
      <c r="AA217" s="25"/>
      <c r="AH217" s="5"/>
      <c r="AI217" s="5"/>
      <c r="AO217" s="5"/>
    </row>
    <row r="218" spans="10:41" x14ac:dyDescent="0.3">
      <c r="J218" s="25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5"/>
      <c r="X218" s="25"/>
      <c r="Y218" s="25"/>
      <c r="Z218" s="25"/>
      <c r="AA218" s="25"/>
      <c r="AH218" s="5"/>
      <c r="AI218" s="5"/>
      <c r="AO218" s="5"/>
    </row>
    <row r="219" spans="10:41" x14ac:dyDescent="0.3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5"/>
      <c r="X219" s="25"/>
      <c r="Y219" s="25"/>
      <c r="Z219" s="25"/>
      <c r="AA219" s="25"/>
      <c r="AH219" s="5"/>
      <c r="AI219" s="5"/>
      <c r="AO219" s="5"/>
    </row>
    <row r="220" spans="10:41" x14ac:dyDescent="0.3">
      <c r="J220" s="25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5"/>
      <c r="X220" s="25"/>
      <c r="Y220" s="25"/>
      <c r="Z220" s="25"/>
      <c r="AA220" s="25"/>
      <c r="AH220" s="5"/>
      <c r="AI220" s="5"/>
      <c r="AO220" s="5"/>
    </row>
    <row r="221" spans="10:41" x14ac:dyDescent="0.3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5"/>
      <c r="X221" s="25"/>
      <c r="Y221" s="25"/>
      <c r="Z221" s="25"/>
      <c r="AA221" s="25"/>
      <c r="AH221" s="5"/>
      <c r="AI221" s="5"/>
      <c r="AO221" s="5"/>
    </row>
    <row r="222" spans="10:41" x14ac:dyDescent="0.3">
      <c r="J222" s="25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5"/>
      <c r="X222" s="25"/>
      <c r="Y222" s="25"/>
      <c r="Z222" s="25"/>
      <c r="AA222" s="25"/>
      <c r="AH222" s="5"/>
      <c r="AI222" s="5"/>
      <c r="AO222" s="5"/>
    </row>
    <row r="223" spans="10:41" x14ac:dyDescent="0.3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5"/>
      <c r="X223" s="25"/>
      <c r="Y223" s="25"/>
      <c r="Z223" s="25"/>
      <c r="AA223" s="25"/>
      <c r="AH223" s="5"/>
      <c r="AI223" s="5"/>
      <c r="AO223" s="5"/>
    </row>
    <row r="224" spans="10:41" x14ac:dyDescent="0.3">
      <c r="J224" s="25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5"/>
      <c r="X224" s="25"/>
      <c r="Y224" s="25"/>
      <c r="Z224" s="25"/>
      <c r="AA224" s="25"/>
      <c r="AH224" s="5"/>
      <c r="AI224" s="5"/>
      <c r="AO224" s="5"/>
    </row>
    <row r="225" spans="10:41" x14ac:dyDescent="0.3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5"/>
      <c r="X225" s="25"/>
      <c r="Y225" s="25"/>
      <c r="Z225" s="25"/>
      <c r="AA225" s="25"/>
      <c r="AH225" s="5"/>
      <c r="AI225" s="5"/>
      <c r="AO225" s="5"/>
    </row>
    <row r="226" spans="10:41" x14ac:dyDescent="0.3">
      <c r="J226" s="25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5"/>
      <c r="X226" s="25"/>
      <c r="Y226" s="25"/>
      <c r="Z226" s="25"/>
      <c r="AA226" s="25"/>
      <c r="AH226" s="5"/>
      <c r="AI226" s="5"/>
      <c r="AO226" s="5"/>
    </row>
    <row r="227" spans="10:41" x14ac:dyDescent="0.3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5"/>
      <c r="X227" s="25"/>
      <c r="Y227" s="25"/>
      <c r="Z227" s="25"/>
      <c r="AA227" s="25"/>
      <c r="AH227" s="5"/>
      <c r="AI227" s="5"/>
      <c r="AO227" s="5"/>
    </row>
    <row r="228" spans="10:41" x14ac:dyDescent="0.3">
      <c r="J228" s="25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5"/>
      <c r="X228" s="25"/>
      <c r="Y228" s="25"/>
      <c r="Z228" s="25"/>
      <c r="AA228" s="25"/>
      <c r="AH228" s="5"/>
      <c r="AI228" s="5"/>
      <c r="AO228" s="5"/>
    </row>
    <row r="229" spans="10:41" x14ac:dyDescent="0.3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5"/>
      <c r="X229" s="25"/>
      <c r="Y229" s="25"/>
      <c r="Z229" s="25"/>
      <c r="AA229" s="25"/>
      <c r="AH229" s="5"/>
      <c r="AI229" s="5"/>
      <c r="AO229" s="5"/>
    </row>
    <row r="230" spans="10:41" x14ac:dyDescent="0.3">
      <c r="J230" s="25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5"/>
      <c r="X230" s="25"/>
      <c r="Y230" s="25"/>
      <c r="Z230" s="25"/>
      <c r="AA230" s="25"/>
      <c r="AH230" s="5"/>
      <c r="AI230" s="5"/>
      <c r="AO230" s="5"/>
    </row>
    <row r="231" spans="10:41" x14ac:dyDescent="0.3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5"/>
      <c r="X231" s="25"/>
      <c r="Y231" s="25"/>
      <c r="Z231" s="25"/>
      <c r="AA231" s="25"/>
      <c r="AH231" s="5"/>
      <c r="AI231" s="5"/>
      <c r="AO231" s="5"/>
    </row>
    <row r="232" spans="10:41" x14ac:dyDescent="0.3">
      <c r="J232" s="25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5"/>
      <c r="X232" s="25"/>
      <c r="Y232" s="25"/>
      <c r="Z232" s="25"/>
      <c r="AA232" s="25"/>
      <c r="AH232" s="5"/>
      <c r="AI232" s="5"/>
      <c r="AO232" s="5"/>
    </row>
    <row r="233" spans="10:41" x14ac:dyDescent="0.3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5"/>
      <c r="X233" s="25"/>
      <c r="Y233" s="25"/>
      <c r="Z233" s="25"/>
      <c r="AA233" s="25"/>
      <c r="AH233" s="5"/>
      <c r="AI233" s="5"/>
      <c r="AO233" s="5"/>
    </row>
    <row r="234" spans="10:41" x14ac:dyDescent="0.3">
      <c r="J234" s="25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5"/>
      <c r="X234" s="25"/>
      <c r="Y234" s="25"/>
      <c r="Z234" s="25"/>
      <c r="AA234" s="25"/>
      <c r="AH234" s="5"/>
      <c r="AI234" s="5"/>
      <c r="AO234" s="5"/>
    </row>
    <row r="235" spans="10:41" x14ac:dyDescent="0.3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5"/>
      <c r="X235" s="25"/>
      <c r="Y235" s="25"/>
      <c r="Z235" s="25"/>
      <c r="AA235" s="25"/>
      <c r="AH235" s="5"/>
      <c r="AI235" s="5"/>
      <c r="AO235" s="5"/>
    </row>
    <row r="236" spans="10:41" x14ac:dyDescent="0.3">
      <c r="J236" s="25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5"/>
      <c r="X236" s="25"/>
      <c r="Y236" s="25"/>
      <c r="Z236" s="25"/>
      <c r="AA236" s="25"/>
      <c r="AH236" s="5"/>
      <c r="AI236" s="5"/>
      <c r="AO236" s="5"/>
    </row>
    <row r="237" spans="10:41" x14ac:dyDescent="0.3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5"/>
      <c r="X237" s="25"/>
      <c r="Y237" s="25"/>
      <c r="Z237" s="25"/>
      <c r="AA237" s="25"/>
      <c r="AH237" s="5"/>
      <c r="AI237" s="5"/>
      <c r="AO237" s="5"/>
    </row>
    <row r="238" spans="10:41" x14ac:dyDescent="0.3">
      <c r="J238" s="25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5"/>
      <c r="X238" s="25"/>
      <c r="Y238" s="25"/>
      <c r="Z238" s="25"/>
      <c r="AA238" s="25"/>
      <c r="AH238" s="5"/>
      <c r="AI238" s="5"/>
      <c r="AO238" s="5"/>
    </row>
    <row r="239" spans="10:41" x14ac:dyDescent="0.3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5"/>
      <c r="X239" s="25"/>
      <c r="Y239" s="25"/>
      <c r="Z239" s="25"/>
      <c r="AA239" s="25"/>
      <c r="AH239" s="5"/>
      <c r="AI239" s="5"/>
      <c r="AO239" s="5"/>
    </row>
    <row r="240" spans="10:41" x14ac:dyDescent="0.3">
      <c r="J240" s="25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5"/>
      <c r="X240" s="25"/>
      <c r="Y240" s="25"/>
      <c r="Z240" s="25"/>
      <c r="AA240" s="25"/>
      <c r="AH240" s="5"/>
      <c r="AI240" s="5"/>
      <c r="AO240" s="5"/>
    </row>
    <row r="241" spans="10:41" x14ac:dyDescent="0.3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5"/>
      <c r="X241" s="25"/>
      <c r="Y241" s="25"/>
      <c r="Z241" s="25"/>
      <c r="AA241" s="25"/>
      <c r="AH241" s="5"/>
      <c r="AI241" s="5"/>
      <c r="AO241" s="5"/>
    </row>
    <row r="242" spans="10:41" x14ac:dyDescent="0.3">
      <c r="J242" s="25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5"/>
      <c r="X242" s="25"/>
      <c r="Y242" s="25"/>
      <c r="Z242" s="25"/>
      <c r="AA242" s="25"/>
      <c r="AH242" s="5"/>
      <c r="AI242" s="5"/>
      <c r="AO242" s="5"/>
    </row>
    <row r="243" spans="10:41" x14ac:dyDescent="0.3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5"/>
      <c r="X243" s="25"/>
      <c r="Y243" s="25"/>
      <c r="Z243" s="25"/>
      <c r="AA243" s="25"/>
      <c r="AH243" s="5"/>
      <c r="AI243" s="5"/>
      <c r="AO243" s="5"/>
    </row>
    <row r="244" spans="10:41" x14ac:dyDescent="0.3">
      <c r="J244" s="25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5"/>
      <c r="X244" s="25"/>
      <c r="Y244" s="25"/>
      <c r="Z244" s="25"/>
      <c r="AA244" s="25"/>
      <c r="AH244" s="5"/>
      <c r="AI244" s="5"/>
      <c r="AO244" s="5"/>
    </row>
    <row r="245" spans="10:41" x14ac:dyDescent="0.3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5"/>
      <c r="X245" s="25"/>
      <c r="Y245" s="25"/>
      <c r="Z245" s="25"/>
      <c r="AA245" s="25"/>
      <c r="AH245" s="5"/>
      <c r="AI245" s="5"/>
      <c r="AO245" s="5"/>
    </row>
    <row r="246" spans="10:41" x14ac:dyDescent="0.3">
      <c r="J246" s="25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5"/>
      <c r="X246" s="25"/>
      <c r="Y246" s="25"/>
      <c r="Z246" s="25"/>
      <c r="AA246" s="25"/>
      <c r="AH246" s="5"/>
      <c r="AI246" s="5"/>
      <c r="AO246" s="5"/>
    </row>
    <row r="247" spans="10:41" x14ac:dyDescent="0.3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5"/>
      <c r="X247" s="25"/>
      <c r="Y247" s="25"/>
      <c r="Z247" s="25"/>
      <c r="AA247" s="25"/>
      <c r="AH247" s="5"/>
      <c r="AI247" s="5"/>
      <c r="AO247" s="5"/>
    </row>
    <row r="248" spans="10:41" x14ac:dyDescent="0.3">
      <c r="J248" s="25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5"/>
      <c r="X248" s="25"/>
      <c r="Y248" s="25"/>
      <c r="Z248" s="25"/>
      <c r="AA248" s="25"/>
      <c r="AH248" s="5"/>
      <c r="AI248" s="5"/>
      <c r="AO248" s="5"/>
    </row>
    <row r="249" spans="10:41" x14ac:dyDescent="0.3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5"/>
      <c r="X249" s="25"/>
      <c r="Y249" s="25"/>
      <c r="Z249" s="25"/>
      <c r="AA249" s="25"/>
      <c r="AH249" s="5"/>
      <c r="AI249" s="5"/>
      <c r="AO249" s="5"/>
    </row>
    <row r="250" spans="10:41" x14ac:dyDescent="0.3">
      <c r="J250" s="25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5"/>
      <c r="X250" s="25"/>
      <c r="Y250" s="25"/>
      <c r="Z250" s="25"/>
      <c r="AA250" s="25"/>
      <c r="AH250" s="5"/>
      <c r="AI250" s="5"/>
      <c r="AO250" s="5"/>
    </row>
    <row r="251" spans="10:41" x14ac:dyDescent="0.3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5"/>
      <c r="X251" s="25"/>
      <c r="Y251" s="25"/>
      <c r="Z251" s="25"/>
      <c r="AA251" s="25"/>
      <c r="AH251" s="5"/>
      <c r="AI251" s="5"/>
      <c r="AO251" s="5"/>
    </row>
    <row r="252" spans="10:41" x14ac:dyDescent="0.3">
      <c r="J252" s="25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5"/>
      <c r="X252" s="25"/>
      <c r="Y252" s="25"/>
      <c r="Z252" s="25"/>
      <c r="AA252" s="25"/>
      <c r="AH252" s="5"/>
      <c r="AI252" s="5"/>
      <c r="AO252" s="5"/>
    </row>
    <row r="253" spans="10:41" x14ac:dyDescent="0.3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5"/>
      <c r="X253" s="25"/>
      <c r="Y253" s="25"/>
      <c r="Z253" s="25"/>
      <c r="AA253" s="25"/>
      <c r="AH253" s="5"/>
      <c r="AI253" s="5"/>
      <c r="AO253" s="5"/>
    </row>
    <row r="254" spans="10:41" x14ac:dyDescent="0.3">
      <c r="J254" s="25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5"/>
      <c r="X254" s="25"/>
      <c r="Y254" s="25"/>
      <c r="Z254" s="25"/>
      <c r="AA254" s="25"/>
      <c r="AH254" s="5"/>
      <c r="AI254" s="5"/>
      <c r="AO254" s="5"/>
    </row>
    <row r="255" spans="10:41" x14ac:dyDescent="0.3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5"/>
      <c r="X255" s="25"/>
      <c r="Y255" s="25"/>
      <c r="Z255" s="25"/>
      <c r="AA255" s="25"/>
      <c r="AH255" s="5"/>
      <c r="AI255" s="5"/>
      <c r="AO255" s="5"/>
    </row>
    <row r="256" spans="10:41" x14ac:dyDescent="0.3">
      <c r="J256" s="25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5"/>
      <c r="X256" s="25"/>
      <c r="Y256" s="25"/>
      <c r="Z256" s="25"/>
      <c r="AA256" s="25"/>
      <c r="AH256" s="5"/>
      <c r="AI256" s="5"/>
      <c r="AO256" s="5"/>
    </row>
    <row r="257" spans="10:41" x14ac:dyDescent="0.3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5"/>
      <c r="X257" s="25"/>
      <c r="Y257" s="25"/>
      <c r="Z257" s="25"/>
      <c r="AA257" s="25"/>
      <c r="AH257" s="5"/>
      <c r="AI257" s="5"/>
      <c r="AO257" s="5"/>
    </row>
    <row r="258" spans="10:41" x14ac:dyDescent="0.3">
      <c r="J258" s="25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5"/>
      <c r="X258" s="25"/>
      <c r="Y258" s="25"/>
      <c r="Z258" s="25"/>
      <c r="AA258" s="25"/>
      <c r="AH258" s="5"/>
      <c r="AI258" s="5"/>
      <c r="AO258" s="5"/>
    </row>
    <row r="259" spans="10:41" x14ac:dyDescent="0.3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5"/>
      <c r="X259" s="25"/>
      <c r="Y259" s="25"/>
      <c r="Z259" s="25"/>
      <c r="AA259" s="25"/>
      <c r="AH259" s="5"/>
      <c r="AI259" s="5"/>
      <c r="AO259" s="5"/>
    </row>
    <row r="260" spans="10:41" x14ac:dyDescent="0.3">
      <c r="J260" s="25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5"/>
      <c r="X260" s="25"/>
      <c r="Y260" s="25"/>
      <c r="Z260" s="25"/>
      <c r="AA260" s="25"/>
      <c r="AH260" s="5"/>
      <c r="AI260" s="5"/>
      <c r="AO260" s="5"/>
    </row>
    <row r="261" spans="10:41" x14ac:dyDescent="0.3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5"/>
      <c r="X261" s="25"/>
      <c r="Y261" s="25"/>
      <c r="Z261" s="25"/>
      <c r="AA261" s="25"/>
      <c r="AH261" s="5"/>
      <c r="AI261" s="5"/>
      <c r="AO261" s="5"/>
    </row>
    <row r="262" spans="10:41" x14ac:dyDescent="0.3">
      <c r="J262" s="25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5"/>
      <c r="X262" s="25"/>
      <c r="Y262" s="25"/>
      <c r="Z262" s="25"/>
      <c r="AA262" s="25"/>
      <c r="AH262" s="5"/>
      <c r="AI262" s="5"/>
      <c r="AO262" s="5"/>
    </row>
    <row r="263" spans="10:41" x14ac:dyDescent="0.3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5"/>
      <c r="X263" s="25"/>
      <c r="Y263" s="25"/>
      <c r="Z263" s="25"/>
      <c r="AA263" s="25"/>
      <c r="AH263" s="5"/>
      <c r="AI263" s="5"/>
      <c r="AO263" s="5"/>
    </row>
    <row r="264" spans="10:41" x14ac:dyDescent="0.3">
      <c r="J264" s="25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5"/>
      <c r="X264" s="25"/>
      <c r="Y264" s="25"/>
      <c r="Z264" s="25"/>
      <c r="AA264" s="25"/>
      <c r="AH264" s="5"/>
      <c r="AI264" s="5"/>
      <c r="AO264" s="5"/>
    </row>
    <row r="265" spans="10:41" x14ac:dyDescent="0.3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5"/>
      <c r="X265" s="25"/>
      <c r="Y265" s="25"/>
      <c r="Z265" s="25"/>
      <c r="AA265" s="25"/>
      <c r="AH265" s="5"/>
      <c r="AI265" s="5"/>
      <c r="AO265" s="5"/>
    </row>
    <row r="266" spans="10:41" x14ac:dyDescent="0.3">
      <c r="J266" s="25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5"/>
      <c r="X266" s="25"/>
      <c r="Y266" s="25"/>
      <c r="Z266" s="25"/>
      <c r="AA266" s="25"/>
      <c r="AH266" s="5"/>
      <c r="AI266" s="5"/>
      <c r="AO266" s="5"/>
    </row>
    <row r="267" spans="10:41" x14ac:dyDescent="0.3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5"/>
      <c r="X267" s="25"/>
      <c r="Y267" s="25"/>
      <c r="Z267" s="25"/>
      <c r="AA267" s="25"/>
      <c r="AH267" s="5"/>
      <c r="AI267" s="5"/>
      <c r="AO267" s="5"/>
    </row>
    <row r="268" spans="10:41" x14ac:dyDescent="0.3">
      <c r="J268" s="25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5"/>
      <c r="X268" s="25"/>
      <c r="Y268" s="25"/>
      <c r="Z268" s="25"/>
      <c r="AA268" s="25"/>
      <c r="AH268" s="5"/>
      <c r="AI268" s="5"/>
      <c r="AO268" s="5"/>
    </row>
    <row r="269" spans="10:41" x14ac:dyDescent="0.3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5"/>
      <c r="X269" s="25"/>
      <c r="Y269" s="25"/>
      <c r="Z269" s="25"/>
      <c r="AA269" s="25"/>
      <c r="AH269" s="5"/>
      <c r="AI269" s="5"/>
      <c r="AO269" s="5"/>
    </row>
    <row r="270" spans="10:41" x14ac:dyDescent="0.3">
      <c r="J270" s="25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5"/>
      <c r="X270" s="25"/>
      <c r="Y270" s="25"/>
      <c r="Z270" s="25"/>
      <c r="AA270" s="25"/>
      <c r="AH270" s="5"/>
      <c r="AI270" s="5"/>
      <c r="AO270" s="5"/>
    </row>
    <row r="271" spans="10:41" x14ac:dyDescent="0.3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5"/>
      <c r="X271" s="25"/>
      <c r="Y271" s="25"/>
      <c r="Z271" s="25"/>
      <c r="AA271" s="25"/>
      <c r="AH271" s="5"/>
      <c r="AI271" s="5"/>
      <c r="AO271" s="5"/>
    </row>
    <row r="272" spans="10:41" x14ac:dyDescent="0.3">
      <c r="J272" s="25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5"/>
      <c r="X272" s="25"/>
      <c r="Y272" s="25"/>
      <c r="Z272" s="25"/>
      <c r="AA272" s="25"/>
      <c r="AH272" s="5"/>
      <c r="AI272" s="5"/>
      <c r="AO272" s="5"/>
    </row>
    <row r="273" spans="10:41" x14ac:dyDescent="0.3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5"/>
      <c r="X273" s="25"/>
      <c r="Y273" s="25"/>
      <c r="Z273" s="25"/>
      <c r="AA273" s="25"/>
      <c r="AH273" s="5"/>
      <c r="AI273" s="5"/>
      <c r="AO273" s="5"/>
    </row>
    <row r="274" spans="10:41" x14ac:dyDescent="0.3">
      <c r="J274" s="25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5"/>
      <c r="X274" s="25"/>
      <c r="Y274" s="25"/>
      <c r="Z274" s="25"/>
      <c r="AA274" s="25"/>
      <c r="AH274" s="5"/>
      <c r="AI274" s="5"/>
      <c r="AO274" s="5"/>
    </row>
    <row r="275" spans="10:41" x14ac:dyDescent="0.3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5"/>
      <c r="X275" s="25"/>
      <c r="Y275" s="25"/>
      <c r="Z275" s="25"/>
      <c r="AA275" s="25"/>
      <c r="AH275" s="5"/>
      <c r="AI275" s="5"/>
      <c r="AO275" s="5"/>
    </row>
    <row r="276" spans="10:41" x14ac:dyDescent="0.3">
      <c r="J276" s="25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5"/>
      <c r="X276" s="25"/>
      <c r="Y276" s="25"/>
      <c r="Z276" s="25"/>
      <c r="AA276" s="25"/>
      <c r="AH276" s="5"/>
      <c r="AI276" s="5"/>
      <c r="AO276" s="5"/>
    </row>
    <row r="277" spans="10:41" x14ac:dyDescent="0.3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5"/>
      <c r="X277" s="25"/>
      <c r="Y277" s="25"/>
      <c r="Z277" s="25"/>
      <c r="AA277" s="25"/>
      <c r="AH277" s="5"/>
      <c r="AI277" s="5"/>
      <c r="AO277" s="5"/>
    </row>
    <row r="278" spans="10:41" x14ac:dyDescent="0.3">
      <c r="J278" s="25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5"/>
      <c r="X278" s="25"/>
      <c r="Y278" s="25"/>
      <c r="Z278" s="25"/>
      <c r="AA278" s="25"/>
      <c r="AH278" s="5"/>
      <c r="AI278" s="5"/>
      <c r="AO278" s="5"/>
    </row>
    <row r="279" spans="10:41" x14ac:dyDescent="0.3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5"/>
      <c r="X279" s="25"/>
      <c r="Y279" s="25"/>
      <c r="Z279" s="25"/>
      <c r="AA279" s="25"/>
      <c r="AH279" s="5"/>
      <c r="AI279" s="5"/>
      <c r="AO279" s="5"/>
    </row>
    <row r="280" spans="10:41" x14ac:dyDescent="0.3">
      <c r="J280" s="25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5"/>
      <c r="X280" s="25"/>
      <c r="Y280" s="25"/>
      <c r="Z280" s="25"/>
      <c r="AA280" s="25"/>
      <c r="AH280" s="5"/>
      <c r="AI280" s="5"/>
      <c r="AO280" s="5"/>
    </row>
    <row r="281" spans="10:41" x14ac:dyDescent="0.3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5"/>
      <c r="X281" s="25"/>
      <c r="Y281" s="25"/>
      <c r="Z281" s="25"/>
      <c r="AA281" s="25"/>
      <c r="AH281" s="5"/>
      <c r="AI281" s="5"/>
      <c r="AO281" s="5"/>
    </row>
    <row r="282" spans="10:41" x14ac:dyDescent="0.3">
      <c r="J282" s="25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5"/>
      <c r="X282" s="25"/>
      <c r="Y282" s="25"/>
      <c r="Z282" s="25"/>
      <c r="AA282" s="25"/>
      <c r="AH282" s="5"/>
      <c r="AI282" s="5"/>
      <c r="AO282" s="5"/>
    </row>
    <row r="283" spans="10:41" x14ac:dyDescent="0.3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5"/>
      <c r="X283" s="25"/>
      <c r="Y283" s="25"/>
      <c r="Z283" s="25"/>
      <c r="AA283" s="25"/>
      <c r="AH283" s="5"/>
      <c r="AI283" s="5"/>
      <c r="AO283" s="5"/>
    </row>
    <row r="284" spans="10:41" x14ac:dyDescent="0.3">
      <c r="J284" s="25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5"/>
      <c r="X284" s="25"/>
      <c r="Y284" s="25"/>
      <c r="Z284" s="25"/>
      <c r="AA284" s="25"/>
      <c r="AH284" s="5"/>
      <c r="AI284" s="5"/>
      <c r="AO284" s="5"/>
    </row>
    <row r="285" spans="10:41" x14ac:dyDescent="0.3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5"/>
      <c r="X285" s="25"/>
      <c r="Y285" s="25"/>
      <c r="Z285" s="25"/>
      <c r="AA285" s="25"/>
      <c r="AH285" s="5"/>
      <c r="AI285" s="5"/>
      <c r="AO285" s="5"/>
    </row>
    <row r="286" spans="10:41" x14ac:dyDescent="0.3">
      <c r="J286" s="25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5"/>
      <c r="X286" s="25"/>
      <c r="Y286" s="25"/>
      <c r="Z286" s="25"/>
      <c r="AA286" s="25"/>
      <c r="AH286" s="5"/>
      <c r="AI286" s="5"/>
      <c r="AO286" s="5"/>
    </row>
    <row r="287" spans="10:41" x14ac:dyDescent="0.3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5"/>
      <c r="X287" s="25"/>
      <c r="Y287" s="25"/>
      <c r="Z287" s="25"/>
      <c r="AA287" s="25"/>
      <c r="AH287" s="5"/>
      <c r="AI287" s="5"/>
      <c r="AO287" s="5"/>
    </row>
    <row r="288" spans="10:41" x14ac:dyDescent="0.3">
      <c r="J288" s="25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5"/>
      <c r="X288" s="25"/>
      <c r="Y288" s="25"/>
      <c r="Z288" s="25"/>
      <c r="AA288" s="25"/>
      <c r="AH288" s="5"/>
      <c r="AI288" s="5"/>
      <c r="AO288" s="5"/>
    </row>
    <row r="289" spans="10:41" x14ac:dyDescent="0.3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5"/>
      <c r="X289" s="25"/>
      <c r="Y289" s="25"/>
      <c r="Z289" s="25"/>
      <c r="AA289" s="25"/>
      <c r="AH289" s="5"/>
      <c r="AI289" s="5"/>
      <c r="AO289" s="5"/>
    </row>
    <row r="290" spans="10:41" x14ac:dyDescent="0.3">
      <c r="J290" s="25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5"/>
      <c r="X290" s="25"/>
      <c r="Y290" s="25"/>
      <c r="Z290" s="25"/>
      <c r="AA290" s="25"/>
      <c r="AH290" s="5"/>
      <c r="AI290" s="5"/>
      <c r="AO290" s="5"/>
    </row>
    <row r="291" spans="10:41" x14ac:dyDescent="0.3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5"/>
      <c r="X291" s="25"/>
      <c r="Y291" s="25"/>
      <c r="Z291" s="25"/>
      <c r="AA291" s="25"/>
      <c r="AH291" s="5"/>
      <c r="AI291" s="5"/>
      <c r="AO291" s="5"/>
    </row>
    <row r="292" spans="10:41" x14ac:dyDescent="0.3">
      <c r="J292" s="25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5"/>
      <c r="X292" s="25"/>
      <c r="Y292" s="25"/>
      <c r="Z292" s="25"/>
      <c r="AA292" s="25"/>
      <c r="AH292" s="5"/>
      <c r="AI292" s="5"/>
      <c r="AO292" s="5"/>
    </row>
    <row r="293" spans="10:41" x14ac:dyDescent="0.3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5"/>
      <c r="X293" s="25"/>
      <c r="Y293" s="25"/>
      <c r="Z293" s="25"/>
      <c r="AA293" s="25"/>
      <c r="AH293" s="5"/>
      <c r="AI293" s="5"/>
      <c r="AO293" s="5"/>
    </row>
    <row r="294" spans="10:41" x14ac:dyDescent="0.3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5"/>
      <c r="X294" s="25"/>
      <c r="Y294" s="25"/>
      <c r="Z294" s="25"/>
      <c r="AA294" s="25"/>
      <c r="AH294" s="5"/>
      <c r="AI294" s="5"/>
      <c r="AO294" s="5"/>
    </row>
    <row r="295" spans="10:41" x14ac:dyDescent="0.3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5"/>
      <c r="X295" s="25"/>
      <c r="Y295" s="25"/>
      <c r="Z295" s="25"/>
      <c r="AA295" s="25"/>
      <c r="AH295" s="5"/>
      <c r="AI295" s="5"/>
      <c r="AO295" s="5"/>
    </row>
    <row r="296" spans="10:41" x14ac:dyDescent="0.3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5"/>
      <c r="X296" s="25"/>
      <c r="Y296" s="25"/>
      <c r="Z296" s="25"/>
      <c r="AA296" s="25"/>
      <c r="AH296" s="5"/>
      <c r="AI296" s="5"/>
      <c r="AO296" s="5"/>
    </row>
    <row r="297" spans="10:41" x14ac:dyDescent="0.3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5"/>
      <c r="X297" s="25"/>
      <c r="Y297" s="25"/>
      <c r="Z297" s="25"/>
      <c r="AA297" s="25"/>
      <c r="AH297" s="5"/>
      <c r="AI297" s="5"/>
      <c r="AO297" s="5"/>
    </row>
    <row r="298" spans="10:41" x14ac:dyDescent="0.3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5"/>
      <c r="X298" s="25"/>
      <c r="Y298" s="25"/>
      <c r="Z298" s="25"/>
      <c r="AA298" s="25"/>
      <c r="AH298" s="5"/>
      <c r="AI298" s="5"/>
      <c r="AO298" s="5"/>
    </row>
    <row r="299" spans="10:41" x14ac:dyDescent="0.3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5"/>
      <c r="X299" s="25"/>
      <c r="Y299" s="25"/>
      <c r="Z299" s="25"/>
      <c r="AA299" s="25"/>
      <c r="AH299" s="5"/>
      <c r="AI299" s="5"/>
      <c r="AO299" s="5"/>
    </row>
    <row r="300" spans="10:41" x14ac:dyDescent="0.3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5"/>
      <c r="X300" s="25"/>
      <c r="Y300" s="25"/>
      <c r="Z300" s="25"/>
      <c r="AA300" s="25"/>
      <c r="AH300" s="5"/>
      <c r="AI300" s="5"/>
      <c r="AO300" s="5"/>
    </row>
    <row r="301" spans="10:41" x14ac:dyDescent="0.3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5"/>
      <c r="X301" s="25"/>
      <c r="Y301" s="25"/>
      <c r="Z301" s="25"/>
      <c r="AA301" s="25"/>
      <c r="AH301" s="5"/>
      <c r="AI301" s="5"/>
      <c r="AO301" s="5"/>
    </row>
    <row r="302" spans="10:41" x14ac:dyDescent="0.3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5"/>
      <c r="X302" s="25"/>
      <c r="Y302" s="25"/>
      <c r="Z302" s="25"/>
      <c r="AA302" s="25"/>
      <c r="AH302" s="5"/>
      <c r="AI302" s="5"/>
      <c r="AO302" s="5"/>
    </row>
    <row r="303" spans="10:41" x14ac:dyDescent="0.3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5"/>
      <c r="X303" s="25"/>
      <c r="Y303" s="25"/>
      <c r="Z303" s="25"/>
      <c r="AA303" s="25"/>
      <c r="AH303" s="5"/>
      <c r="AI303" s="5"/>
      <c r="AO303" s="5"/>
    </row>
    <row r="304" spans="10:41" x14ac:dyDescent="0.3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5"/>
      <c r="X304" s="25"/>
      <c r="Y304" s="25"/>
      <c r="Z304" s="25"/>
      <c r="AA304" s="25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W5:AA304 X4:AA4">
    <cfRule type="expression" dxfId="133" priority="56">
      <formula>_xlfn.LET(_xlpm.x, W4, AND(NOT(_xlfn.ISFORMULA(_xlpm.x)), _xlpm.x&lt;&gt;""))</formula>
    </cfRule>
  </conditionalFormatting>
  <conditionalFormatting sqref="W5:AA203 X4:AA4">
    <cfRule type="expression" dxfId="132" priority="51">
      <formula>_xlfn.LET(_xlpm.x, W4, AND(NOT(_xlfn.ISFORMULA(_xlpm.x)), _xlpm.x&lt;&gt;""))</formula>
    </cfRule>
  </conditionalFormatting>
  <conditionalFormatting sqref="K1:K1048576">
    <cfRule type="cellIs" dxfId="131" priority="35" operator="equal">
      <formula>"C1"</formula>
    </cfRule>
    <cfRule type="cellIs" dxfId="130" priority="36" operator="between">
      <formula>"G1"</formula>
      <formula>"G5"</formula>
    </cfRule>
    <cfRule type="cellIs" dxfId="129" priority="38" operator="between">
      <formula>"M1"</formula>
      <formula>"M5"</formula>
    </cfRule>
  </conditionalFormatting>
  <conditionalFormatting sqref="L1:O1048576">
    <cfRule type="cellIs" dxfId="128" priority="31" operator="equal">
      <formula>"C1"</formula>
    </cfRule>
    <cfRule type="cellIs" dxfId="127" priority="32" operator="between">
      <formula>"G1"</formula>
      <formula>"G5"</formula>
    </cfRule>
    <cfRule type="cellIs" dxfId="126" priority="34" operator="between">
      <formula>"M1"</formula>
      <formula>"M5"</formula>
    </cfRule>
  </conditionalFormatting>
  <conditionalFormatting sqref="C28:G28 D27:G27 C29 C31:G46 G29:G30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{EDA4504F-D820-4308-95F6-297CD50D0C8A}</x14:id>
        </ext>
      </extLst>
    </cfRule>
  </conditionalFormatting>
  <conditionalFormatting sqref="D52:D54">
    <cfRule type="cellIs" dxfId="125" priority="11" operator="equal">
      <formula>"C1"</formula>
    </cfRule>
    <cfRule type="cellIs" dxfId="124" priority="12" operator="between">
      <formula>"G1"</formula>
      <formula>"G4"</formula>
    </cfRule>
    <cfRule type="cellIs" dxfId="123" priority="13" operator="between">
      <formula>"GA"</formula>
      <formula>"GQ"</formula>
    </cfRule>
    <cfRule type="cellIs" dxfId="122" priority="14" operator="between">
      <formula>"M1"</formula>
      <formula>"M4"</formula>
    </cfRule>
  </conditionalFormatting>
  <conditionalFormatting sqref="E52:E54">
    <cfRule type="cellIs" dxfId="121" priority="7" operator="equal">
      <formula>"C1"</formula>
    </cfRule>
    <cfRule type="cellIs" dxfId="120" priority="8" operator="between">
      <formula>"G1"</formula>
      <formula>"G4"</formula>
    </cfRule>
    <cfRule type="cellIs" dxfId="119" priority="9" operator="between">
      <formula>"GA"</formula>
      <formula>"GQ"</formula>
    </cfRule>
    <cfRule type="cellIs" dxfId="118" priority="10" operator="between">
      <formula>"M1"</formula>
      <formula>"M4"</formula>
    </cfRule>
  </conditionalFormatting>
  <conditionalFormatting sqref="F52:F54">
    <cfRule type="cellIs" dxfId="117" priority="3" operator="equal">
      <formula>"C1"</formula>
    </cfRule>
    <cfRule type="cellIs" dxfId="116" priority="4" operator="between">
      <formula>"G1"</formula>
      <formula>"G4"</formula>
    </cfRule>
    <cfRule type="cellIs" dxfId="115" priority="5" operator="between">
      <formula>"GA"</formula>
      <formula>"GQ"</formula>
    </cfRule>
    <cfRule type="cellIs" dxfId="114" priority="6" operator="between">
      <formula>"M1"</formula>
      <formula>"M4"</formula>
    </cfRule>
  </conditionalFormatting>
  <conditionalFormatting sqref="D29:F30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{2B6593A0-5BC5-49E4-902A-D44EC86B98D3}</x14:id>
        </ext>
      </extLst>
    </cfRule>
  </conditionalFormatting>
  <conditionalFormatting sqref="W4:AA203">
    <cfRule type="expression" dxfId="113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A4504F-D820-4308-95F6-297CD50D0C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C29 C31:G46 G29:G30</xm:sqref>
        </x14:conditionalFormatting>
        <x14:conditionalFormatting xmlns:xm="http://schemas.microsoft.com/office/excel/2006/main">
          <x14:cfRule type="dataBar" id="{2B6593A0-5BC5-49E4-902A-D44EC86B98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37" operator="containsText" id="{11E252AE-C834-47E3-A875-D94289C40F20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33" operator="containsText" id="{6459DEBE-91DF-4AD5-B0B9-438EBD30833D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L1:O1048576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258E-CA4D-4058-A4E8-6B15DA33B470}">
  <sheetPr codeName="工作表8">
    <tabColor theme="3" tint="0.59999389629810485"/>
  </sheetPr>
  <dimension ref="A1:AO305"/>
  <sheetViews>
    <sheetView topLeftCell="E1" workbookViewId="0"/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I1" s="5"/>
    </row>
    <row r="2" spans="1:41" ht="15.9" customHeight="1" x14ac:dyDescent="0.3">
      <c r="I2" s="15"/>
      <c r="J2" s="27" t="s">
        <v>133</v>
      </c>
      <c r="Q2" s="27" t="s">
        <v>134</v>
      </c>
      <c r="W2" s="27" t="s">
        <v>135</v>
      </c>
      <c r="AC2" s="27" t="s">
        <v>147</v>
      </c>
      <c r="AH2" s="5"/>
      <c r="AI2" s="5"/>
      <c r="AJ2" s="27" t="s">
        <v>111</v>
      </c>
      <c r="AO2" s="5"/>
    </row>
    <row r="3" spans="1:41" ht="15.9" customHeight="1" x14ac:dyDescent="0.3">
      <c r="A3" s="20" t="s">
        <v>5</v>
      </c>
      <c r="B3" s="20" t="s">
        <v>12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20" t="s">
        <v>11</v>
      </c>
      <c r="I3" s="15"/>
      <c r="J3" s="20"/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Q3" s="20" t="s">
        <v>13</v>
      </c>
      <c r="R3" s="20" t="s">
        <v>14</v>
      </c>
      <c r="S3" s="20" t="s">
        <v>15</v>
      </c>
      <c r="T3" s="20" t="s">
        <v>16</v>
      </c>
      <c r="U3" s="20" t="s">
        <v>17</v>
      </c>
      <c r="W3" s="20" t="s">
        <v>6</v>
      </c>
      <c r="X3" s="20" t="s">
        <v>14</v>
      </c>
      <c r="Y3" s="20" t="s">
        <v>15</v>
      </c>
      <c r="Z3" s="20" t="s">
        <v>16</v>
      </c>
      <c r="AA3" s="20" t="s">
        <v>17</v>
      </c>
      <c r="AO3" s="5"/>
    </row>
    <row r="4" spans="1:41" ht="15.9" customHeight="1" x14ac:dyDescent="0.3">
      <c r="A4" s="29" t="str" cm="1">
        <f t="array" ref="A4:B23">Overview!A38:B57</f>
        <v>WW</v>
      </c>
      <c r="B4" s="8" t="str">
        <v>Wild</v>
      </c>
      <c r="C4" s="99">
        <f t="shared" ref="C4:G23" si="0">COUNTIF(K:K, $A4)</f>
        <v>0</v>
      </c>
      <c r="D4" s="99">
        <f t="shared" si="0"/>
        <v>0</v>
      </c>
      <c r="E4" s="99">
        <f t="shared" si="0"/>
        <v>0</v>
      </c>
      <c r="F4" s="99">
        <f t="shared" si="0"/>
        <v>0</v>
      </c>
      <c r="G4" s="99">
        <f t="shared" si="0"/>
        <v>0</v>
      </c>
      <c r="H4" s="8" cm="1">
        <f t="array" ref="H4:H23">Overview!F38:F57</f>
        <v>0</v>
      </c>
      <c r="I4" s="87"/>
      <c r="J4" s="25" cm="1">
        <f t="array" ref="J4:J203">_xlfn.SEQUENCE(MAX(COUNTA(K:K), COUNTA(L:L), COUNTA(M:M), COUNTA(N:N), COUNTA(O:O))-1,,0)</f>
        <v>0</v>
      </c>
      <c r="K4" s="26" t="s">
        <v>22</v>
      </c>
      <c r="L4" s="26" t="s">
        <v>18</v>
      </c>
      <c r="M4" s="26" t="s">
        <v>18</v>
      </c>
      <c r="N4" s="26" t="s">
        <v>125</v>
      </c>
      <c r="O4" s="26" t="s">
        <v>35</v>
      </c>
      <c r="Q4" s="25" cm="1">
        <f t="array" ref="Q4:U304">_xlfn.LET(_xlpm.x, K4:O304, IF(_xlpm.x="", "", _xlfn.XLOOKUP(_xlpm.x, $A$4:$A$23,_xlfn.ANCHORARRAY( H4))))</f>
        <v>3</v>
      </c>
      <c r="R4" s="25">
        <v>4</v>
      </c>
      <c r="S4" s="25">
        <v>4</v>
      </c>
      <c r="T4" s="25">
        <v>6</v>
      </c>
      <c r="U4" s="25">
        <v>8</v>
      </c>
      <c r="W4" s="25" cm="1">
        <f t="array" ref="W4">_xlfn.LET(_xlpm.x, K4:K6, IF(SUM((_xlpm.x="C1")*1)=1, 3, 1))</f>
        <v>1</v>
      </c>
      <c r="X4" s="25" cm="1">
        <f t="array" ref="X4">_xlfn.LET(_xlpm.x, L4:L6, IF(SUM((_xlpm.x="C1")*1)=1, 3, 1))</f>
        <v>1</v>
      </c>
      <c r="Y4" s="25" cm="1">
        <f t="array" ref="Y4">_xlfn.LET(_xlpm.x, M4:M6, IF(SUM((_xlpm.x="C1")*1)=1, 3, 1))</f>
        <v>3</v>
      </c>
      <c r="Z4" s="25" cm="1">
        <f t="array" ref="Z4">_xlfn.LET(_xlpm.x, N4:N6, IF(SUM((_xlpm.x="C1")*1)=1, 3, 1))</f>
        <v>1</v>
      </c>
      <c r="AA4" s="25" cm="1">
        <f t="array" ref="AA4">_xlfn.LET(_xlpm.x, O4:O6, IF(SUM((_xlpm.x="C1")*1)=1, 3, 1))</f>
        <v>3</v>
      </c>
      <c r="AB4" s="43"/>
      <c r="AC4" s="27" t="s">
        <v>131</v>
      </c>
      <c r="AH4" s="5"/>
      <c r="AI4" s="5"/>
      <c r="AJ4" s="27" t="s">
        <v>131</v>
      </c>
      <c r="AO4" s="5"/>
    </row>
    <row r="5" spans="1:41" ht="15.9" customHeight="1" x14ac:dyDescent="0.3">
      <c r="A5" s="29" t="str">
        <v>C1</v>
      </c>
      <c r="B5" s="8" t="str">
        <v>Scatter</v>
      </c>
      <c r="C5" s="99">
        <f t="shared" si="0"/>
        <v>6</v>
      </c>
      <c r="D5" s="99">
        <f t="shared" si="0"/>
        <v>6</v>
      </c>
      <c r="E5" s="99">
        <f t="shared" si="0"/>
        <v>6</v>
      </c>
      <c r="F5" s="99">
        <f t="shared" si="0"/>
        <v>9</v>
      </c>
      <c r="G5" s="99">
        <f t="shared" si="0"/>
        <v>9</v>
      </c>
      <c r="H5" s="8">
        <v>1</v>
      </c>
      <c r="I5" s="87"/>
      <c r="J5" s="9">
        <v>1</v>
      </c>
      <c r="K5" s="16" t="s">
        <v>35</v>
      </c>
      <c r="L5" s="16" t="s">
        <v>97</v>
      </c>
      <c r="M5" s="16" t="s">
        <v>22</v>
      </c>
      <c r="N5" s="16" t="s">
        <v>37</v>
      </c>
      <c r="O5" s="16" t="s">
        <v>36</v>
      </c>
      <c r="Q5" s="9">
        <v>8</v>
      </c>
      <c r="R5" s="9">
        <v>19</v>
      </c>
      <c r="S5" s="9">
        <v>3</v>
      </c>
      <c r="T5" s="9">
        <v>7</v>
      </c>
      <c r="U5" s="9">
        <v>10</v>
      </c>
      <c r="W5" s="25" cm="1">
        <f t="array" ref="W5">_xlfn.LET(_xlpm.x, K5:K7, IF(SUM((_xlpm.x="C1")*1)=1, 3, 1))</f>
        <v>1</v>
      </c>
      <c r="X5" s="25" cm="1">
        <f t="array" ref="X5">_xlfn.LET(_xlpm.x, L5:L7, IF(SUM((_xlpm.x="C1")*1)=1, 3, 1))</f>
        <v>1</v>
      </c>
      <c r="Y5" s="25" cm="1">
        <f t="array" ref="Y5">_xlfn.LET(_xlpm.x, M5:M7, IF(SUM((_xlpm.x="C1")*1)=1, 3, 1))</f>
        <v>3</v>
      </c>
      <c r="Z5" s="25" cm="1">
        <f t="array" ref="Z5">_xlfn.LET(_xlpm.x, N5:N7, IF(SUM((_xlpm.x="C1")*1)=1, 3, 1))</f>
        <v>1</v>
      </c>
      <c r="AA5" s="25" cm="1">
        <f t="array" ref="AA5">_xlfn.LET(_xlpm.x, O5:O7, IF(SUM((_xlpm.x="C1")*1)=1, 3, 1))</f>
        <v>3</v>
      </c>
      <c r="AC5" s="135" t="s">
        <v>42</v>
      </c>
      <c r="AD5" s="135" t="s">
        <v>13</v>
      </c>
      <c r="AE5" s="135" t="s">
        <v>14</v>
      </c>
      <c r="AF5" s="135" t="s">
        <v>15</v>
      </c>
      <c r="AG5" s="135" t="s">
        <v>16</v>
      </c>
      <c r="AH5" s="135" t="s">
        <v>17</v>
      </c>
      <c r="AI5" s="5"/>
      <c r="AJ5" s="135" t="s">
        <v>42</v>
      </c>
      <c r="AK5" s="135" t="s">
        <v>13</v>
      </c>
      <c r="AL5" s="135" t="s">
        <v>14</v>
      </c>
      <c r="AM5" s="135" t="s">
        <v>15</v>
      </c>
      <c r="AN5" s="135" t="s">
        <v>16</v>
      </c>
      <c r="AO5" s="135" t="s">
        <v>17</v>
      </c>
    </row>
    <row r="6" spans="1:41" ht="15.9" customHeight="1" x14ac:dyDescent="0.3">
      <c r="A6" s="133" t="str">
        <v>M1</v>
      </c>
      <c r="B6" s="112" t="str">
        <v>M1</v>
      </c>
      <c r="C6" s="133">
        <f t="shared" si="0"/>
        <v>4</v>
      </c>
      <c r="D6" s="133">
        <f t="shared" si="0"/>
        <v>14</v>
      </c>
      <c r="E6" s="133">
        <f t="shared" si="0"/>
        <v>4</v>
      </c>
      <c r="F6" s="133">
        <f t="shared" si="0"/>
        <v>21</v>
      </c>
      <c r="G6" s="133">
        <f t="shared" si="0"/>
        <v>22</v>
      </c>
      <c r="H6" s="112">
        <v>2</v>
      </c>
      <c r="I6" s="87"/>
      <c r="J6" s="25">
        <v>2</v>
      </c>
      <c r="K6" s="16" t="s">
        <v>35</v>
      </c>
      <c r="L6" s="16" t="s">
        <v>89</v>
      </c>
      <c r="M6" s="16" t="s">
        <v>20</v>
      </c>
      <c r="N6" s="16" t="s">
        <v>36</v>
      </c>
      <c r="O6" s="16" t="s">
        <v>20</v>
      </c>
      <c r="Q6" s="9">
        <v>8</v>
      </c>
      <c r="R6" s="9">
        <v>12</v>
      </c>
      <c r="S6" s="9">
        <v>1</v>
      </c>
      <c r="T6" s="9">
        <v>10</v>
      </c>
      <c r="U6" s="9">
        <v>1</v>
      </c>
      <c r="W6" s="25" cm="1">
        <f t="array" ref="W6">_xlfn.LET(_xlpm.x, K6:K8, IF(SUM((_xlpm.x="C1")*1)=1, 3, 1))</f>
        <v>1</v>
      </c>
      <c r="X6" s="25" cm="1">
        <f t="array" ref="X6">_xlfn.LET(_xlpm.x, L6:L8, IF(SUM((_xlpm.x="C1")*1)=1, 3, 1))</f>
        <v>1</v>
      </c>
      <c r="Y6" s="25" cm="1">
        <f t="array" ref="Y6">_xlfn.LET(_xlpm.x, M6:M8, IF(SUM((_xlpm.x="C1")*1)=1, 3, 1))</f>
        <v>3</v>
      </c>
      <c r="Z6" s="25" cm="1">
        <f t="array" ref="Z6">_xlfn.LET(_xlpm.x, N6:N8, IF(SUM((_xlpm.x="C1")*1)=1, 3, 1))</f>
        <v>1</v>
      </c>
      <c r="AA6" s="25" cm="1">
        <f t="array" ref="AA6">_xlfn.LET(_xlpm.x, O6:O8, IF(SUM((_xlpm.x="C1")*1)=1, 3, 1))</f>
        <v>3</v>
      </c>
      <c r="AC6" s="138" t="str" cm="1">
        <f t="array" ref="AC6:AC25">$A$4:$A$23</f>
        <v>WW</v>
      </c>
      <c r="AD6" s="139">
        <v>0</v>
      </c>
      <c r="AE6" s="139">
        <v>0</v>
      </c>
      <c r="AF6" s="139">
        <v>0</v>
      </c>
      <c r="AG6" s="139">
        <v>0</v>
      </c>
      <c r="AH6" s="139">
        <v>0</v>
      </c>
      <c r="AI6" s="5"/>
      <c r="AJ6" s="138" t="str" cm="1">
        <f t="array" ref="AJ6:AJ25">$A$4:$A$23</f>
        <v>WW</v>
      </c>
      <c r="AK6" s="139">
        <v>0</v>
      </c>
      <c r="AL6" s="139">
        <v>0</v>
      </c>
      <c r="AM6" s="139">
        <v>0</v>
      </c>
      <c r="AN6" s="139">
        <v>0</v>
      </c>
      <c r="AO6" s="139">
        <v>0</v>
      </c>
    </row>
    <row r="7" spans="1:41" ht="15.9" customHeight="1" x14ac:dyDescent="0.3">
      <c r="A7" s="133" t="str">
        <v>M2</v>
      </c>
      <c r="B7" s="112" t="str">
        <v>M2</v>
      </c>
      <c r="C7" s="133">
        <f t="shared" si="0"/>
        <v>4</v>
      </c>
      <c r="D7" s="133">
        <f t="shared" si="0"/>
        <v>13</v>
      </c>
      <c r="E7" s="133">
        <f t="shared" si="0"/>
        <v>4</v>
      </c>
      <c r="F7" s="133">
        <f t="shared" si="0"/>
        <v>20</v>
      </c>
      <c r="G7" s="133">
        <f t="shared" si="0"/>
        <v>22</v>
      </c>
      <c r="H7" s="112">
        <v>3</v>
      </c>
      <c r="I7" s="87"/>
      <c r="J7" s="9">
        <v>3</v>
      </c>
      <c r="K7" s="16" t="s">
        <v>125</v>
      </c>
      <c r="L7" s="26" t="s">
        <v>326</v>
      </c>
      <c r="M7" s="16" t="s">
        <v>35</v>
      </c>
      <c r="N7" s="16" t="s">
        <v>22</v>
      </c>
      <c r="O7" s="16" t="s">
        <v>22</v>
      </c>
      <c r="Q7" s="9">
        <v>6</v>
      </c>
      <c r="R7" s="9">
        <v>6</v>
      </c>
      <c r="S7" s="9">
        <v>8</v>
      </c>
      <c r="T7" s="9">
        <v>3</v>
      </c>
      <c r="U7" s="9">
        <v>3</v>
      </c>
      <c r="W7" s="25" cm="1">
        <f t="array" ref="W7">_xlfn.LET(_xlpm.x, K7:K9, IF(SUM((_xlpm.x="C1")*1)=1, 3, 1))</f>
        <v>1</v>
      </c>
      <c r="X7" s="25" cm="1">
        <f t="array" ref="X7">_xlfn.LET(_xlpm.x, L7:L9, IF(SUM((_xlpm.x="C1")*1)=1, 3, 1))</f>
        <v>1</v>
      </c>
      <c r="Y7" s="25" cm="1">
        <f t="array" ref="Y7">_xlfn.LET(_xlpm.x, M7:M9, IF(SUM((_xlpm.x="C1")*1)=1, 3, 1))</f>
        <v>1</v>
      </c>
      <c r="Z7" s="25" cm="1">
        <f t="array" ref="Z7">_xlfn.LET(_xlpm.x, N7:N9, IF(SUM((_xlpm.x="C1")*1)=1, 3, 1))</f>
        <v>1</v>
      </c>
      <c r="AA7" s="25" cm="1">
        <f t="array" ref="AA7">_xlfn.LET(_xlpm.x, O7:O9, IF(SUM((_xlpm.x="C1")*1)=1, 3, 1))</f>
        <v>1</v>
      </c>
      <c r="AC7" s="138" t="str">
        <v>C1</v>
      </c>
      <c r="AD7" s="138">
        <v>6</v>
      </c>
      <c r="AE7" s="138">
        <v>6</v>
      </c>
      <c r="AF7" s="138">
        <v>6</v>
      </c>
      <c r="AG7" s="138">
        <v>9</v>
      </c>
      <c r="AH7" s="138">
        <v>9</v>
      </c>
      <c r="AI7" s="5"/>
      <c r="AJ7" s="138" t="str">
        <v>C1</v>
      </c>
      <c r="AK7" s="138">
        <v>6</v>
      </c>
      <c r="AL7" s="138">
        <v>6</v>
      </c>
      <c r="AM7" s="138">
        <v>6</v>
      </c>
      <c r="AN7" s="138">
        <v>9</v>
      </c>
      <c r="AO7" s="138">
        <v>9</v>
      </c>
    </row>
    <row r="8" spans="1:41" ht="15.9" customHeight="1" x14ac:dyDescent="0.3">
      <c r="A8" s="133" t="str">
        <v>M3</v>
      </c>
      <c r="B8" s="112" t="str">
        <v>M3</v>
      </c>
      <c r="C8" s="133">
        <f t="shared" si="0"/>
        <v>4</v>
      </c>
      <c r="D8" s="133">
        <f t="shared" si="0"/>
        <v>13</v>
      </c>
      <c r="E8" s="133">
        <f t="shared" si="0"/>
        <v>4</v>
      </c>
      <c r="F8" s="133">
        <f t="shared" si="0"/>
        <v>20</v>
      </c>
      <c r="G8" s="133">
        <f t="shared" si="0"/>
        <v>21</v>
      </c>
      <c r="H8" s="112">
        <v>4</v>
      </c>
      <c r="I8" s="87"/>
      <c r="J8" s="25">
        <v>4</v>
      </c>
      <c r="K8" s="16" t="s">
        <v>35</v>
      </c>
      <c r="L8" s="16" t="s">
        <v>326</v>
      </c>
      <c r="M8" s="16" t="s">
        <v>19</v>
      </c>
      <c r="N8" s="16" t="s">
        <v>90</v>
      </c>
      <c r="O8" s="16" t="s">
        <v>22</v>
      </c>
      <c r="Q8" s="9">
        <v>8</v>
      </c>
      <c r="R8" s="9">
        <v>6</v>
      </c>
      <c r="S8" s="9">
        <v>5</v>
      </c>
      <c r="T8" s="9">
        <v>13</v>
      </c>
      <c r="U8" s="9">
        <v>3</v>
      </c>
      <c r="W8" s="25" cm="1">
        <f t="array" ref="W8">_xlfn.LET(_xlpm.x, K8:K10, IF(SUM((_xlpm.x="C1")*1)=1, 3, 1))</f>
        <v>1</v>
      </c>
      <c r="X8" s="25" cm="1">
        <f t="array" ref="X8">_xlfn.LET(_xlpm.x, L8:L10, IF(SUM((_xlpm.x="C1")*1)=1, 3, 1))</f>
        <v>1</v>
      </c>
      <c r="Y8" s="25" cm="1">
        <f t="array" ref="Y8">_xlfn.LET(_xlpm.x, M8:M10, IF(SUM((_xlpm.x="C1")*1)=1, 3, 1))</f>
        <v>1</v>
      </c>
      <c r="Z8" s="25" cm="1">
        <f t="array" ref="Z8">_xlfn.LET(_xlpm.x, N8:N10, IF(SUM((_xlpm.x="C1")*1)=1, 3, 1))</f>
        <v>1</v>
      </c>
      <c r="AA8" s="25" cm="1">
        <f t="array" ref="AA8">_xlfn.LET(_xlpm.x, O8:O10, IF(SUM((_xlpm.x="C1")*1)=1, 3, 1))</f>
        <v>1</v>
      </c>
      <c r="AC8" s="154" t="str">
        <v>M1</v>
      </c>
      <c r="AD8" s="133">
        <v>4</v>
      </c>
      <c r="AE8" s="133">
        <v>17</v>
      </c>
      <c r="AF8" s="133">
        <v>4</v>
      </c>
      <c r="AG8" s="133">
        <v>21</v>
      </c>
      <c r="AH8" s="133">
        <v>22</v>
      </c>
      <c r="AI8" s="5"/>
      <c r="AJ8" s="154" t="str">
        <v>M1</v>
      </c>
      <c r="AK8" s="133">
        <v>4</v>
      </c>
      <c r="AL8" s="133">
        <v>17</v>
      </c>
      <c r="AM8" s="133">
        <v>4</v>
      </c>
      <c r="AN8" s="133">
        <v>21</v>
      </c>
      <c r="AO8" s="133">
        <v>22</v>
      </c>
    </row>
    <row r="9" spans="1:41" ht="15.9" customHeight="1" x14ac:dyDescent="0.3">
      <c r="A9" s="133" t="str">
        <v>M4</v>
      </c>
      <c r="B9" s="112" t="str">
        <v>M4</v>
      </c>
      <c r="C9" s="133">
        <f t="shared" si="0"/>
        <v>40</v>
      </c>
      <c r="D9" s="133">
        <f t="shared" si="0"/>
        <v>9</v>
      </c>
      <c r="E9" s="133">
        <f t="shared" si="0"/>
        <v>41</v>
      </c>
      <c r="F9" s="133">
        <f t="shared" si="0"/>
        <v>14</v>
      </c>
      <c r="G9" s="133">
        <f t="shared" si="0"/>
        <v>21</v>
      </c>
      <c r="H9" s="112">
        <v>5</v>
      </c>
      <c r="I9" s="87"/>
      <c r="J9" s="9">
        <v>5</v>
      </c>
      <c r="K9" s="16" t="s">
        <v>37</v>
      </c>
      <c r="L9" s="16" t="s">
        <v>112</v>
      </c>
      <c r="M9" s="16" t="s">
        <v>37</v>
      </c>
      <c r="N9" s="16" t="s">
        <v>36</v>
      </c>
      <c r="O9" s="16" t="s">
        <v>36</v>
      </c>
      <c r="Q9" s="9">
        <v>7</v>
      </c>
      <c r="R9" s="9">
        <v>17</v>
      </c>
      <c r="S9" s="9">
        <v>7</v>
      </c>
      <c r="T9" s="9">
        <v>10</v>
      </c>
      <c r="U9" s="9">
        <v>10</v>
      </c>
      <c r="W9" s="25" cm="1">
        <f t="array" ref="W9">_xlfn.LET(_xlpm.x, K9:K11, IF(SUM((_xlpm.x="C1")*1)=1, 3, 1))</f>
        <v>1</v>
      </c>
      <c r="X9" s="25" cm="1">
        <f t="array" ref="X9">_xlfn.LET(_xlpm.x, L9:L11, IF(SUM((_xlpm.x="C1")*1)=1, 3, 1))</f>
        <v>1</v>
      </c>
      <c r="Y9" s="25" cm="1">
        <f t="array" ref="Y9">_xlfn.LET(_xlpm.x, M9:M11, IF(SUM((_xlpm.x="C1")*1)=1, 3, 1))</f>
        <v>1</v>
      </c>
      <c r="Z9" s="25" cm="1">
        <f t="array" ref="Z9">_xlfn.LET(_xlpm.x, N9:N11, IF(SUM((_xlpm.x="C1")*1)=1, 3, 1))</f>
        <v>1</v>
      </c>
      <c r="AA9" s="25" cm="1">
        <f t="array" ref="AA9">_xlfn.LET(_xlpm.x, O9:O11, IF(SUM((_xlpm.x="C1")*1)=1, 3, 1))</f>
        <v>1</v>
      </c>
      <c r="AC9" s="154" t="str">
        <v>M2</v>
      </c>
      <c r="AD9" s="133">
        <v>4</v>
      </c>
      <c r="AE9" s="133">
        <v>18</v>
      </c>
      <c r="AF9" s="133">
        <v>4</v>
      </c>
      <c r="AG9" s="133">
        <v>20</v>
      </c>
      <c r="AH9" s="133">
        <v>22</v>
      </c>
      <c r="AI9" s="5"/>
      <c r="AJ9" s="154" t="str">
        <v>M2</v>
      </c>
      <c r="AK9" s="133">
        <v>4</v>
      </c>
      <c r="AL9" s="133">
        <v>18</v>
      </c>
      <c r="AM9" s="133">
        <v>4</v>
      </c>
      <c r="AN9" s="133">
        <v>20</v>
      </c>
      <c r="AO9" s="133">
        <v>22</v>
      </c>
    </row>
    <row r="10" spans="1:41" ht="15.9" customHeight="1" x14ac:dyDescent="0.3">
      <c r="A10" s="133" t="str">
        <v>M5</v>
      </c>
      <c r="B10" s="112" t="str">
        <v>M5</v>
      </c>
      <c r="C10" s="133">
        <f t="shared" si="0"/>
        <v>40</v>
      </c>
      <c r="D10" s="133">
        <f t="shared" si="0"/>
        <v>13</v>
      </c>
      <c r="E10" s="133">
        <f t="shared" si="0"/>
        <v>41</v>
      </c>
      <c r="F10" s="133">
        <f t="shared" si="0"/>
        <v>14</v>
      </c>
      <c r="G10" s="133">
        <f t="shared" si="0"/>
        <v>21</v>
      </c>
      <c r="H10" s="112">
        <v>6</v>
      </c>
      <c r="I10" s="87"/>
      <c r="J10" s="25">
        <v>6</v>
      </c>
      <c r="K10" s="16" t="s">
        <v>125</v>
      </c>
      <c r="L10" s="16" t="s">
        <v>125</v>
      </c>
      <c r="M10" s="16" t="s">
        <v>19</v>
      </c>
      <c r="N10" s="16" t="s">
        <v>36</v>
      </c>
      <c r="O10" s="16" t="s">
        <v>19</v>
      </c>
      <c r="Q10" s="9">
        <v>6</v>
      </c>
      <c r="R10" s="9">
        <v>6</v>
      </c>
      <c r="S10" s="9">
        <v>5</v>
      </c>
      <c r="T10" s="9">
        <v>10</v>
      </c>
      <c r="U10" s="9">
        <v>5</v>
      </c>
      <c r="W10" s="25" cm="1">
        <f t="array" ref="W10">_xlfn.LET(_xlpm.x, K10:K12, IF(SUM((_xlpm.x="C1")*1)=1, 3, 1))</f>
        <v>1</v>
      </c>
      <c r="X10" s="25" cm="1">
        <f t="array" ref="X10">_xlfn.LET(_xlpm.x, L10:L12, IF(SUM((_xlpm.x="C1")*1)=1, 3, 1))</f>
        <v>1</v>
      </c>
      <c r="Y10" s="25" cm="1">
        <f t="array" ref="Y10">_xlfn.LET(_xlpm.x, M10:M12, IF(SUM((_xlpm.x="C1")*1)=1, 3, 1))</f>
        <v>1</v>
      </c>
      <c r="Z10" s="25" cm="1">
        <f t="array" ref="Z10">_xlfn.LET(_xlpm.x, N10:N12, IF(SUM((_xlpm.x="C1")*1)=1, 3, 1))</f>
        <v>1</v>
      </c>
      <c r="AA10" s="25" cm="1">
        <f t="array" ref="AA10">_xlfn.LET(_xlpm.x, O10:O12, IF(SUM((_xlpm.x="C1")*1)=1, 3, 1))</f>
        <v>1</v>
      </c>
      <c r="AC10" s="154" t="str">
        <v>M3</v>
      </c>
      <c r="AD10" s="133">
        <v>4</v>
      </c>
      <c r="AE10" s="133">
        <v>18</v>
      </c>
      <c r="AF10" s="133">
        <v>4</v>
      </c>
      <c r="AG10" s="133">
        <v>20</v>
      </c>
      <c r="AH10" s="133">
        <v>21</v>
      </c>
      <c r="AI10" s="5"/>
      <c r="AJ10" s="154" t="str">
        <v>M3</v>
      </c>
      <c r="AK10" s="133">
        <v>4</v>
      </c>
      <c r="AL10" s="133">
        <v>18</v>
      </c>
      <c r="AM10" s="133">
        <v>4</v>
      </c>
      <c r="AN10" s="133">
        <v>20</v>
      </c>
      <c r="AO10" s="133">
        <v>21</v>
      </c>
    </row>
    <row r="11" spans="1:41" ht="15.9" customHeight="1" x14ac:dyDescent="0.3">
      <c r="A11" s="133" t="str">
        <v>A</v>
      </c>
      <c r="B11" s="112" t="str">
        <v>A</v>
      </c>
      <c r="C11" s="133">
        <f t="shared" si="0"/>
        <v>47</v>
      </c>
      <c r="D11" s="133">
        <f t="shared" si="0"/>
        <v>10</v>
      </c>
      <c r="E11" s="133">
        <f t="shared" si="0"/>
        <v>41</v>
      </c>
      <c r="F11" s="133">
        <f t="shared" si="0"/>
        <v>14</v>
      </c>
      <c r="G11" s="133">
        <f t="shared" si="0"/>
        <v>21</v>
      </c>
      <c r="H11" s="112">
        <v>7</v>
      </c>
      <c r="I11" s="87"/>
      <c r="J11" s="9">
        <v>7</v>
      </c>
      <c r="K11" s="16" t="s">
        <v>125</v>
      </c>
      <c r="L11" s="16" t="s">
        <v>125</v>
      </c>
      <c r="M11" s="16" t="s">
        <v>37</v>
      </c>
      <c r="N11" s="16" t="s">
        <v>37</v>
      </c>
      <c r="O11" s="16" t="s">
        <v>125</v>
      </c>
      <c r="Q11" s="9">
        <v>6</v>
      </c>
      <c r="R11" s="9">
        <v>6</v>
      </c>
      <c r="S11" s="9">
        <v>7</v>
      </c>
      <c r="T11" s="9">
        <v>7</v>
      </c>
      <c r="U11" s="9">
        <v>6</v>
      </c>
      <c r="W11" s="25" cm="1">
        <f t="array" ref="W11">_xlfn.LET(_xlpm.x, K11:K13, IF(SUM((_xlpm.x="C1")*1)=1, 3, 1))</f>
        <v>1</v>
      </c>
      <c r="X11" s="25" cm="1">
        <f t="array" ref="X11">_xlfn.LET(_xlpm.x, L11:L13, IF(SUM((_xlpm.x="C1")*1)=1, 3, 1))</f>
        <v>3</v>
      </c>
      <c r="Y11" s="25" cm="1">
        <f t="array" ref="Y11">_xlfn.LET(_xlpm.x, M11:M13, IF(SUM((_xlpm.x="C1")*1)=1, 3, 1))</f>
        <v>1</v>
      </c>
      <c r="Z11" s="25" cm="1">
        <f t="array" ref="Z11">_xlfn.LET(_xlpm.x, N11:N13, IF(SUM((_xlpm.x="C1")*1)=1, 3, 1))</f>
        <v>1</v>
      </c>
      <c r="AA11" s="25" cm="1">
        <f t="array" ref="AA11">_xlfn.LET(_xlpm.x, O11:O13, IF(SUM((_xlpm.x="C1")*1)=1, 3, 1))</f>
        <v>1</v>
      </c>
      <c r="AC11" s="154" t="str">
        <v>M4</v>
      </c>
      <c r="AD11" s="133">
        <v>40</v>
      </c>
      <c r="AE11" s="133">
        <v>14</v>
      </c>
      <c r="AF11" s="133">
        <v>41</v>
      </c>
      <c r="AG11" s="133">
        <v>14</v>
      </c>
      <c r="AH11" s="133">
        <v>21</v>
      </c>
      <c r="AI11" s="5"/>
      <c r="AJ11" s="154" t="str">
        <v>M4</v>
      </c>
      <c r="AK11" s="133">
        <v>40</v>
      </c>
      <c r="AL11" s="133">
        <v>14</v>
      </c>
      <c r="AM11" s="133">
        <v>41</v>
      </c>
      <c r="AN11" s="133">
        <v>14</v>
      </c>
      <c r="AO11" s="133">
        <v>21</v>
      </c>
    </row>
    <row r="12" spans="1:41" ht="15.9" customHeight="1" x14ac:dyDescent="0.3">
      <c r="A12" s="133" t="str">
        <v>K</v>
      </c>
      <c r="B12" s="112" t="str">
        <v>K</v>
      </c>
      <c r="C12" s="133">
        <f t="shared" si="0"/>
        <v>47</v>
      </c>
      <c r="D12" s="133">
        <f t="shared" si="0"/>
        <v>10</v>
      </c>
      <c r="E12" s="133">
        <f t="shared" si="0"/>
        <v>41</v>
      </c>
      <c r="F12" s="133">
        <f t="shared" si="0"/>
        <v>14</v>
      </c>
      <c r="G12" s="133">
        <f t="shared" si="0"/>
        <v>21</v>
      </c>
      <c r="H12" s="112">
        <v>8</v>
      </c>
      <c r="I12" s="87"/>
      <c r="J12" s="25">
        <v>8</v>
      </c>
      <c r="K12" s="16" t="s">
        <v>37</v>
      </c>
      <c r="L12" s="16" t="s">
        <v>89</v>
      </c>
      <c r="M12" s="16" t="s">
        <v>126</v>
      </c>
      <c r="N12" s="16" t="s">
        <v>18</v>
      </c>
      <c r="O12" s="16" t="s">
        <v>34</v>
      </c>
      <c r="Q12" s="9">
        <v>7</v>
      </c>
      <c r="R12" s="9">
        <v>12</v>
      </c>
      <c r="S12" s="9">
        <v>15</v>
      </c>
      <c r="T12" s="9">
        <v>4</v>
      </c>
      <c r="U12" s="9">
        <v>9</v>
      </c>
      <c r="W12" s="25" cm="1">
        <f t="array" ref="W12">_xlfn.LET(_xlpm.x, K12:K14, IF(SUM((_xlpm.x="C1")*1)=1, 3, 1))</f>
        <v>1</v>
      </c>
      <c r="X12" s="25" cm="1">
        <f t="array" ref="X12">_xlfn.LET(_xlpm.x, L12:L14, IF(SUM((_xlpm.x="C1")*1)=1, 3, 1))</f>
        <v>3</v>
      </c>
      <c r="Y12" s="25" cm="1">
        <f t="array" ref="Y12">_xlfn.LET(_xlpm.x, M12:M14, IF(SUM((_xlpm.x="C1")*1)=1, 3, 1))</f>
        <v>1</v>
      </c>
      <c r="Z12" s="25" cm="1">
        <f t="array" ref="Z12">_xlfn.LET(_xlpm.x, N12:N14, IF(SUM((_xlpm.x="C1")*1)=1, 3, 1))</f>
        <v>1</v>
      </c>
      <c r="AA12" s="25" cm="1">
        <f t="array" ref="AA12">_xlfn.LET(_xlpm.x, O12:O14, IF(SUM((_xlpm.x="C1")*1)=1, 3, 1))</f>
        <v>1</v>
      </c>
      <c r="AC12" s="154" t="str">
        <v>M5</v>
      </c>
      <c r="AD12" s="133">
        <v>40</v>
      </c>
      <c r="AE12" s="133">
        <v>14</v>
      </c>
      <c r="AF12" s="133">
        <v>41</v>
      </c>
      <c r="AG12" s="133">
        <v>14</v>
      </c>
      <c r="AH12" s="133">
        <v>21</v>
      </c>
      <c r="AI12" s="5"/>
      <c r="AJ12" s="154" t="str">
        <v>M5</v>
      </c>
      <c r="AK12" s="133">
        <v>40</v>
      </c>
      <c r="AL12" s="133">
        <v>14</v>
      </c>
      <c r="AM12" s="133">
        <v>41</v>
      </c>
      <c r="AN12" s="133">
        <v>14</v>
      </c>
      <c r="AO12" s="133">
        <v>21</v>
      </c>
    </row>
    <row r="13" spans="1:41" ht="15.9" customHeight="1" x14ac:dyDescent="0.3">
      <c r="A13" s="133" t="str">
        <v>Q</v>
      </c>
      <c r="B13" s="112" t="str">
        <v>Q</v>
      </c>
      <c r="C13" s="133">
        <f t="shared" si="0"/>
        <v>4</v>
      </c>
      <c r="D13" s="133">
        <f t="shared" si="0"/>
        <v>15</v>
      </c>
      <c r="E13" s="133">
        <f t="shared" si="0"/>
        <v>3</v>
      </c>
      <c r="F13" s="133">
        <f t="shared" si="0"/>
        <v>21</v>
      </c>
      <c r="G13" s="133">
        <f t="shared" si="0"/>
        <v>21</v>
      </c>
      <c r="H13" s="112">
        <v>9</v>
      </c>
      <c r="I13" s="87"/>
      <c r="J13" s="9">
        <v>9</v>
      </c>
      <c r="K13" s="16" t="s">
        <v>125</v>
      </c>
      <c r="L13" s="16" t="s">
        <v>20</v>
      </c>
      <c r="M13" s="16" t="s">
        <v>37</v>
      </c>
      <c r="N13" s="16" t="s">
        <v>125</v>
      </c>
      <c r="O13" s="16" t="s">
        <v>34</v>
      </c>
      <c r="Q13" s="9">
        <v>6</v>
      </c>
      <c r="R13" s="9">
        <v>1</v>
      </c>
      <c r="S13" s="9">
        <v>7</v>
      </c>
      <c r="T13" s="9">
        <v>6</v>
      </c>
      <c r="U13" s="9">
        <v>9</v>
      </c>
      <c r="W13" s="25" cm="1">
        <f t="array" ref="W13">_xlfn.LET(_xlpm.x, K13:K15, IF(SUM((_xlpm.x="C1")*1)=1, 3, 1))</f>
        <v>1</v>
      </c>
      <c r="X13" s="25" cm="1">
        <f t="array" ref="X13">_xlfn.LET(_xlpm.x, L13:L15, IF(SUM((_xlpm.x="C1")*1)=1, 3, 1))</f>
        <v>3</v>
      </c>
      <c r="Y13" s="25" cm="1">
        <f t="array" ref="Y13">_xlfn.LET(_xlpm.x, M13:M15, IF(SUM((_xlpm.x="C1")*1)=1, 3, 1))</f>
        <v>1</v>
      </c>
      <c r="Z13" s="25" cm="1">
        <f t="array" ref="Z13">_xlfn.LET(_xlpm.x, N13:N15, IF(SUM((_xlpm.x="C1")*1)=1, 3, 1))</f>
        <v>1</v>
      </c>
      <c r="AA13" s="25" cm="1">
        <f t="array" ref="AA13">_xlfn.LET(_xlpm.x, O13:O15, IF(SUM((_xlpm.x="C1")*1)=1, 3, 1))</f>
        <v>1</v>
      </c>
      <c r="AC13" s="154" t="str">
        <v>A</v>
      </c>
      <c r="AD13" s="133">
        <v>47</v>
      </c>
      <c r="AE13" s="133">
        <v>13</v>
      </c>
      <c r="AF13" s="133">
        <v>41</v>
      </c>
      <c r="AG13" s="133">
        <v>14</v>
      </c>
      <c r="AH13" s="133">
        <v>21</v>
      </c>
      <c r="AI13" s="5"/>
      <c r="AJ13" s="154" t="str">
        <v>A</v>
      </c>
      <c r="AK13" s="133">
        <v>47</v>
      </c>
      <c r="AL13" s="133">
        <v>13</v>
      </c>
      <c r="AM13" s="133">
        <v>41</v>
      </c>
      <c r="AN13" s="133">
        <v>14</v>
      </c>
      <c r="AO13" s="133">
        <v>21</v>
      </c>
    </row>
    <row r="14" spans="1:41" ht="15.9" customHeight="1" x14ac:dyDescent="0.3">
      <c r="A14" s="133" t="str">
        <v>J</v>
      </c>
      <c r="B14" s="112" t="str">
        <v>J</v>
      </c>
      <c r="C14" s="133">
        <f t="shared" si="0"/>
        <v>4</v>
      </c>
      <c r="D14" s="133">
        <f t="shared" si="0"/>
        <v>17</v>
      </c>
      <c r="E14" s="133">
        <f t="shared" si="0"/>
        <v>3</v>
      </c>
      <c r="F14" s="133">
        <f t="shared" si="0"/>
        <v>21</v>
      </c>
      <c r="G14" s="133">
        <f t="shared" si="0"/>
        <v>21</v>
      </c>
      <c r="H14" s="112">
        <v>10</v>
      </c>
      <c r="I14" s="87"/>
      <c r="J14" s="25">
        <v>10</v>
      </c>
      <c r="K14" s="16" t="s">
        <v>35</v>
      </c>
      <c r="L14" s="16" t="s">
        <v>37</v>
      </c>
      <c r="M14" s="16" t="s">
        <v>35</v>
      </c>
      <c r="N14" s="16" t="s">
        <v>22</v>
      </c>
      <c r="O14" s="16" t="s">
        <v>21</v>
      </c>
      <c r="Q14" s="9">
        <v>8</v>
      </c>
      <c r="R14" s="9">
        <v>7</v>
      </c>
      <c r="S14" s="9">
        <v>8</v>
      </c>
      <c r="T14" s="9">
        <v>3</v>
      </c>
      <c r="U14" s="9">
        <v>2</v>
      </c>
      <c r="W14" s="25" cm="1">
        <f t="array" ref="W14">_xlfn.LET(_xlpm.x, K14:K16, IF(SUM((_xlpm.x="C1")*1)=1, 3, 1))</f>
        <v>1</v>
      </c>
      <c r="X14" s="25" cm="1">
        <f t="array" ref="X14">_xlfn.LET(_xlpm.x, L14:L16, IF(SUM((_xlpm.x="C1")*1)=1, 3, 1))</f>
        <v>1</v>
      </c>
      <c r="Y14" s="25" cm="1">
        <f t="array" ref="Y14">_xlfn.LET(_xlpm.x, M14:M16, IF(SUM((_xlpm.x="C1")*1)=1, 3, 1))</f>
        <v>1</v>
      </c>
      <c r="Z14" s="25" cm="1">
        <f t="array" ref="Z14">_xlfn.LET(_xlpm.x, N14:N16, IF(SUM((_xlpm.x="C1")*1)=1, 3, 1))</f>
        <v>1</v>
      </c>
      <c r="AA14" s="25" cm="1">
        <f t="array" ref="AA14">_xlfn.LET(_xlpm.x, O14:O16, IF(SUM((_xlpm.x="C1")*1)=1, 3, 1))</f>
        <v>1</v>
      </c>
      <c r="AC14" s="154" t="str">
        <v>K</v>
      </c>
      <c r="AD14" s="133">
        <v>47</v>
      </c>
      <c r="AE14" s="133">
        <v>13</v>
      </c>
      <c r="AF14" s="133">
        <v>41</v>
      </c>
      <c r="AG14" s="133">
        <v>14</v>
      </c>
      <c r="AH14" s="133">
        <v>21</v>
      </c>
      <c r="AI14" s="5"/>
      <c r="AJ14" s="154" t="str">
        <v>K</v>
      </c>
      <c r="AK14" s="133">
        <v>47</v>
      </c>
      <c r="AL14" s="133">
        <v>13</v>
      </c>
      <c r="AM14" s="133">
        <v>41</v>
      </c>
      <c r="AN14" s="133">
        <v>14</v>
      </c>
      <c r="AO14" s="133">
        <v>21</v>
      </c>
    </row>
    <row r="15" spans="1:41" ht="15.9" customHeight="1" x14ac:dyDescent="0.3">
      <c r="A15" s="29" t="str">
        <v>G1</v>
      </c>
      <c r="B15" s="8" t="str">
        <v>Gold M1</v>
      </c>
      <c r="C15" s="99">
        <f t="shared" si="0"/>
        <v>0</v>
      </c>
      <c r="D15" s="99">
        <f t="shared" si="0"/>
        <v>10</v>
      </c>
      <c r="E15" s="99">
        <f t="shared" si="0"/>
        <v>0</v>
      </c>
      <c r="F15" s="99">
        <f t="shared" si="0"/>
        <v>4</v>
      </c>
      <c r="G15" s="99">
        <f t="shared" si="0"/>
        <v>0</v>
      </c>
      <c r="H15" s="8">
        <v>11</v>
      </c>
      <c r="I15" s="87"/>
      <c r="J15" s="9">
        <v>11</v>
      </c>
      <c r="K15" s="16" t="s">
        <v>125</v>
      </c>
      <c r="L15" s="16" t="s">
        <v>97</v>
      </c>
      <c r="M15" s="16" t="s">
        <v>125</v>
      </c>
      <c r="N15" s="16" t="s">
        <v>18</v>
      </c>
      <c r="O15" s="16" t="s">
        <v>18</v>
      </c>
      <c r="Q15" s="9">
        <v>6</v>
      </c>
      <c r="R15" s="9">
        <v>19</v>
      </c>
      <c r="S15" s="9">
        <v>6</v>
      </c>
      <c r="T15" s="9">
        <v>4</v>
      </c>
      <c r="U15" s="9">
        <v>4</v>
      </c>
      <c r="W15" s="25" cm="1">
        <f t="array" ref="W15">_xlfn.LET(_xlpm.x, K15:K17, IF(SUM((_xlpm.x="C1")*1)=1, 3, 1))</f>
        <v>1</v>
      </c>
      <c r="X15" s="25" cm="1">
        <f t="array" ref="X15">_xlfn.LET(_xlpm.x, L15:L17, IF(SUM((_xlpm.x="C1")*1)=1, 3, 1))</f>
        <v>1</v>
      </c>
      <c r="Y15" s="25" cm="1">
        <f t="array" ref="Y15">_xlfn.LET(_xlpm.x, M15:M17, IF(SUM((_xlpm.x="C1")*1)=1, 3, 1))</f>
        <v>1</v>
      </c>
      <c r="Z15" s="25" cm="1">
        <f t="array" ref="Z15">_xlfn.LET(_xlpm.x, N15:N17, IF(SUM((_xlpm.x="C1")*1)=1, 3, 1))</f>
        <v>1</v>
      </c>
      <c r="AA15" s="25" cm="1">
        <f t="array" ref="AA15">_xlfn.LET(_xlpm.x, O15:O17, IF(SUM((_xlpm.x="C1")*1)=1, 3, 1))</f>
        <v>1</v>
      </c>
      <c r="AC15" s="154" t="str">
        <v>Q</v>
      </c>
      <c r="AD15" s="133">
        <v>4</v>
      </c>
      <c r="AE15" s="133">
        <v>17</v>
      </c>
      <c r="AF15" s="133">
        <v>3</v>
      </c>
      <c r="AG15" s="133">
        <v>21</v>
      </c>
      <c r="AH15" s="133">
        <v>21</v>
      </c>
      <c r="AI15" s="5"/>
      <c r="AJ15" s="154" t="str">
        <v>Q</v>
      </c>
      <c r="AK15" s="133">
        <v>4</v>
      </c>
      <c r="AL15" s="133">
        <v>17</v>
      </c>
      <c r="AM15" s="133">
        <v>3</v>
      </c>
      <c r="AN15" s="133">
        <v>21</v>
      </c>
      <c r="AO15" s="133">
        <v>21</v>
      </c>
    </row>
    <row r="16" spans="1:41" ht="15.9" customHeight="1" x14ac:dyDescent="0.3">
      <c r="A16" s="29" t="str">
        <v>G2</v>
      </c>
      <c r="B16" s="8" t="str">
        <v>Gold M2</v>
      </c>
      <c r="C16" s="99">
        <f t="shared" si="0"/>
        <v>0</v>
      </c>
      <c r="D16" s="99">
        <f t="shared" si="0"/>
        <v>12</v>
      </c>
      <c r="E16" s="99">
        <f t="shared" si="0"/>
        <v>0</v>
      </c>
      <c r="F16" s="99">
        <f t="shared" si="0"/>
        <v>4</v>
      </c>
      <c r="G16" s="99">
        <f t="shared" si="0"/>
        <v>0</v>
      </c>
      <c r="H16" s="8">
        <v>12</v>
      </c>
      <c r="I16" s="87"/>
      <c r="J16" s="25">
        <v>12</v>
      </c>
      <c r="K16" s="16" t="s">
        <v>19</v>
      </c>
      <c r="L16" s="16" t="s">
        <v>95</v>
      </c>
      <c r="M16" s="16" t="s">
        <v>125</v>
      </c>
      <c r="N16" s="16" t="s">
        <v>36</v>
      </c>
      <c r="O16" s="16" t="s">
        <v>18</v>
      </c>
      <c r="Q16" s="9">
        <v>5</v>
      </c>
      <c r="R16" s="9">
        <v>18</v>
      </c>
      <c r="S16" s="9">
        <v>6</v>
      </c>
      <c r="T16" s="9">
        <v>10</v>
      </c>
      <c r="U16" s="9">
        <v>4</v>
      </c>
      <c r="W16" s="25" cm="1">
        <f t="array" ref="W16">_xlfn.LET(_xlpm.x, K16:K18, IF(SUM((_xlpm.x="C1")*1)=1, 3, 1))</f>
        <v>1</v>
      </c>
      <c r="X16" s="25" cm="1">
        <f t="array" ref="X16">_xlfn.LET(_xlpm.x, L16:L18, IF(SUM((_xlpm.x="C1")*1)=1, 3, 1))</f>
        <v>1</v>
      </c>
      <c r="Y16" s="25" cm="1">
        <f t="array" ref="Y16">_xlfn.LET(_xlpm.x, M16:M18, IF(SUM((_xlpm.x="C1")*1)=1, 3, 1))</f>
        <v>1</v>
      </c>
      <c r="Z16" s="25" cm="1">
        <f t="array" ref="Z16">_xlfn.LET(_xlpm.x, N16:N18, IF(SUM((_xlpm.x="C1")*1)=1, 3, 1))</f>
        <v>1</v>
      </c>
      <c r="AA16" s="25" cm="1">
        <f t="array" ref="AA16">_xlfn.LET(_xlpm.x, O16:O18, IF(SUM((_xlpm.x="C1")*1)=1, 3, 1))</f>
        <v>1</v>
      </c>
      <c r="AC16" s="154" t="str">
        <v>J</v>
      </c>
      <c r="AD16" s="133">
        <v>4</v>
      </c>
      <c r="AE16" s="133">
        <v>17</v>
      </c>
      <c r="AF16" s="133">
        <v>3</v>
      </c>
      <c r="AG16" s="133">
        <v>21</v>
      </c>
      <c r="AH16" s="133">
        <v>21</v>
      </c>
      <c r="AI16" s="5"/>
      <c r="AJ16" s="154" t="str">
        <v>J</v>
      </c>
      <c r="AK16" s="133">
        <v>4</v>
      </c>
      <c r="AL16" s="133">
        <v>17</v>
      </c>
      <c r="AM16" s="133">
        <v>3</v>
      </c>
      <c r="AN16" s="133">
        <v>21</v>
      </c>
      <c r="AO16" s="133">
        <v>21</v>
      </c>
    </row>
    <row r="17" spans="1:41" ht="15.9" customHeight="1" x14ac:dyDescent="0.3">
      <c r="A17" s="29" t="str">
        <v>G3</v>
      </c>
      <c r="B17" s="8" t="str">
        <v>Gold M3</v>
      </c>
      <c r="C17" s="99">
        <f t="shared" si="0"/>
        <v>0</v>
      </c>
      <c r="D17" s="99">
        <f t="shared" si="0"/>
        <v>12</v>
      </c>
      <c r="E17" s="99">
        <f t="shared" si="0"/>
        <v>0</v>
      </c>
      <c r="F17" s="99">
        <f t="shared" si="0"/>
        <v>4</v>
      </c>
      <c r="G17" s="99">
        <f t="shared" si="0"/>
        <v>0</v>
      </c>
      <c r="H17" s="8">
        <v>13</v>
      </c>
      <c r="I17" s="87"/>
      <c r="J17" s="9">
        <v>13</v>
      </c>
      <c r="K17" s="16" t="s">
        <v>19</v>
      </c>
      <c r="L17" s="16" t="s">
        <v>125</v>
      </c>
      <c r="M17" s="16" t="s">
        <v>21</v>
      </c>
      <c r="N17" s="16" t="s">
        <v>36</v>
      </c>
      <c r="O17" s="16" t="s">
        <v>22</v>
      </c>
      <c r="Q17" s="9">
        <v>5</v>
      </c>
      <c r="R17" s="9">
        <v>6</v>
      </c>
      <c r="S17" s="9">
        <v>2</v>
      </c>
      <c r="T17" s="9">
        <v>10</v>
      </c>
      <c r="U17" s="9">
        <v>3</v>
      </c>
      <c r="W17" s="25" cm="1">
        <f t="array" ref="W17">_xlfn.LET(_xlpm.x, K17:K19, IF(SUM((_xlpm.x="C1")*1)=1, 3, 1))</f>
        <v>1</v>
      </c>
      <c r="X17" s="25" cm="1">
        <f t="array" ref="X17">_xlfn.LET(_xlpm.x, L17:L19, IF(SUM((_xlpm.x="C1")*1)=1, 3, 1))</f>
        <v>1</v>
      </c>
      <c r="Y17" s="25" cm="1">
        <f t="array" ref="Y17">_xlfn.LET(_xlpm.x, M17:M19, IF(SUM((_xlpm.x="C1")*1)=1, 3, 1))</f>
        <v>1</v>
      </c>
      <c r="Z17" s="25" cm="1">
        <f t="array" ref="Z17">_xlfn.LET(_xlpm.x, N17:N19, IF(SUM((_xlpm.x="C1")*1)=1, 3, 1))</f>
        <v>1</v>
      </c>
      <c r="AA17" s="25" cm="1">
        <f t="array" ref="AA17">_xlfn.LET(_xlpm.x, O17:O19, IF(SUM((_xlpm.x="C1")*1)=1, 3, 1))</f>
        <v>1</v>
      </c>
      <c r="AC17" s="138" t="str">
        <v>G1</v>
      </c>
      <c r="AD17" s="99">
        <v>0</v>
      </c>
      <c r="AE17" s="99">
        <v>8</v>
      </c>
      <c r="AF17" s="99">
        <v>1</v>
      </c>
      <c r="AG17" s="99">
        <v>5</v>
      </c>
      <c r="AH17" s="99">
        <v>0</v>
      </c>
      <c r="AI17" s="5"/>
      <c r="AJ17" s="138" t="str">
        <v>G1</v>
      </c>
      <c r="AK17" s="99">
        <v>0</v>
      </c>
      <c r="AL17" s="99">
        <v>8</v>
      </c>
      <c r="AM17" s="99">
        <v>1</v>
      </c>
      <c r="AN17" s="99">
        <v>5</v>
      </c>
      <c r="AO17" s="99">
        <v>0</v>
      </c>
    </row>
    <row r="18" spans="1:41" ht="15.9" customHeight="1" x14ac:dyDescent="0.3">
      <c r="A18" s="29" t="str">
        <v>G4</v>
      </c>
      <c r="B18" s="8" t="str">
        <v>Gold M4</v>
      </c>
      <c r="C18" s="99">
        <f t="shared" si="0"/>
        <v>0</v>
      </c>
      <c r="D18" s="99">
        <f t="shared" si="0"/>
        <v>9</v>
      </c>
      <c r="E18" s="99">
        <f t="shared" si="0"/>
        <v>3</v>
      </c>
      <c r="F18" s="99">
        <f t="shared" si="0"/>
        <v>3</v>
      </c>
      <c r="G18" s="99">
        <f t="shared" si="0"/>
        <v>0</v>
      </c>
      <c r="H18" s="8">
        <v>14</v>
      </c>
      <c r="I18" s="87"/>
      <c r="J18" s="25">
        <v>14</v>
      </c>
      <c r="K18" s="16" t="s">
        <v>125</v>
      </c>
      <c r="L18" s="16" t="s">
        <v>88</v>
      </c>
      <c r="M18" s="16" t="s">
        <v>35</v>
      </c>
      <c r="N18" s="16" t="s">
        <v>35</v>
      </c>
      <c r="O18" s="16" t="s">
        <v>22</v>
      </c>
      <c r="Q18" s="9">
        <v>6</v>
      </c>
      <c r="R18" s="9">
        <v>11</v>
      </c>
      <c r="S18" s="9">
        <v>8</v>
      </c>
      <c r="T18" s="9">
        <v>8</v>
      </c>
      <c r="U18" s="9">
        <v>3</v>
      </c>
      <c r="W18" s="25" cm="1">
        <f t="array" ref="W18">_xlfn.LET(_xlpm.x, K18:K20, IF(SUM((_xlpm.x="C1")*1)=1, 3, 1))</f>
        <v>1</v>
      </c>
      <c r="X18" s="25" cm="1">
        <f t="array" ref="X18">_xlfn.LET(_xlpm.x, L18:L20, IF(SUM((_xlpm.x="C1")*1)=1, 3, 1))</f>
        <v>1</v>
      </c>
      <c r="Y18" s="25" cm="1">
        <f t="array" ref="Y18">_xlfn.LET(_xlpm.x, M18:M20, IF(SUM((_xlpm.x="C1")*1)=1, 3, 1))</f>
        <v>1</v>
      </c>
      <c r="Z18" s="25" cm="1">
        <f t="array" ref="Z18">_xlfn.LET(_xlpm.x, N18:N20, IF(SUM((_xlpm.x="C1")*1)=1, 3, 1))</f>
        <v>1</v>
      </c>
      <c r="AA18" s="25" cm="1">
        <f t="array" ref="AA18">_xlfn.LET(_xlpm.x, O18:O20, IF(SUM((_xlpm.x="C1")*1)=1, 3, 1))</f>
        <v>1</v>
      </c>
      <c r="AC18" s="138" t="str">
        <v>G2</v>
      </c>
      <c r="AD18" s="99">
        <v>0</v>
      </c>
      <c r="AE18" s="99">
        <v>8</v>
      </c>
      <c r="AF18" s="99">
        <v>1</v>
      </c>
      <c r="AG18" s="99">
        <v>5</v>
      </c>
      <c r="AH18" s="99">
        <v>0</v>
      </c>
      <c r="AI18" s="5"/>
      <c r="AJ18" s="138" t="str">
        <v>G2</v>
      </c>
      <c r="AK18" s="99">
        <v>0</v>
      </c>
      <c r="AL18" s="99">
        <v>8</v>
      </c>
      <c r="AM18" s="99">
        <v>1</v>
      </c>
      <c r="AN18" s="99">
        <v>5</v>
      </c>
      <c r="AO18" s="99">
        <v>0</v>
      </c>
    </row>
    <row r="19" spans="1:41" ht="15.9" customHeight="1" x14ac:dyDescent="0.3">
      <c r="A19" s="29" t="str">
        <v>G5</v>
      </c>
      <c r="B19" s="8" t="str">
        <v>Gold M5</v>
      </c>
      <c r="C19" s="99">
        <f t="shared" si="0"/>
        <v>0</v>
      </c>
      <c r="D19" s="99">
        <f t="shared" si="0"/>
        <v>5</v>
      </c>
      <c r="E19" s="99">
        <f t="shared" si="0"/>
        <v>3</v>
      </c>
      <c r="F19" s="99">
        <f t="shared" si="0"/>
        <v>3</v>
      </c>
      <c r="G19" s="99">
        <f t="shared" si="0"/>
        <v>0</v>
      </c>
      <c r="H19" s="8">
        <v>15</v>
      </c>
      <c r="I19" s="87"/>
      <c r="J19" s="9">
        <v>15</v>
      </c>
      <c r="K19" s="16" t="s">
        <v>37</v>
      </c>
      <c r="L19" s="16" t="s">
        <v>22</v>
      </c>
      <c r="M19" s="16" t="s">
        <v>37</v>
      </c>
      <c r="N19" s="16" t="s">
        <v>21</v>
      </c>
      <c r="O19" s="16" t="s">
        <v>37</v>
      </c>
      <c r="Q19" s="9">
        <v>7</v>
      </c>
      <c r="R19" s="9">
        <v>3</v>
      </c>
      <c r="S19" s="9">
        <v>7</v>
      </c>
      <c r="T19" s="9">
        <v>2</v>
      </c>
      <c r="U19" s="9">
        <v>7</v>
      </c>
      <c r="W19" s="25" cm="1">
        <f t="array" ref="W19">_xlfn.LET(_xlpm.x, K19:K21, IF(SUM((_xlpm.x="C1")*1)=1, 3, 1))</f>
        <v>1</v>
      </c>
      <c r="X19" s="25" cm="1">
        <f t="array" ref="X19">_xlfn.LET(_xlpm.x, L19:L21, IF(SUM((_xlpm.x="C1")*1)=1, 3, 1))</f>
        <v>1</v>
      </c>
      <c r="Y19" s="25" cm="1">
        <f t="array" ref="Y19">_xlfn.LET(_xlpm.x, M19:M21, IF(SUM((_xlpm.x="C1")*1)=1, 3, 1))</f>
        <v>1</v>
      </c>
      <c r="Z19" s="25" cm="1">
        <f t="array" ref="Z19">_xlfn.LET(_xlpm.x, N19:N21, IF(SUM((_xlpm.x="C1")*1)=1, 3, 1))</f>
        <v>1</v>
      </c>
      <c r="AA19" s="25" cm="1">
        <f t="array" ref="AA19">_xlfn.LET(_xlpm.x, O19:O21, IF(SUM((_xlpm.x="C1")*1)=1, 3, 1))</f>
        <v>1</v>
      </c>
      <c r="AC19" s="138" t="str">
        <v>G3</v>
      </c>
      <c r="AD19" s="99">
        <v>0</v>
      </c>
      <c r="AE19" s="99">
        <v>8</v>
      </c>
      <c r="AF19" s="99">
        <v>1</v>
      </c>
      <c r="AG19" s="99">
        <v>5</v>
      </c>
      <c r="AH19" s="99">
        <v>0</v>
      </c>
      <c r="AI19" s="5"/>
      <c r="AJ19" s="138" t="str">
        <v>G3</v>
      </c>
      <c r="AK19" s="99">
        <v>0</v>
      </c>
      <c r="AL19" s="99">
        <v>8</v>
      </c>
      <c r="AM19" s="99">
        <v>1</v>
      </c>
      <c r="AN19" s="99">
        <v>5</v>
      </c>
      <c r="AO19" s="99">
        <v>0</v>
      </c>
    </row>
    <row r="20" spans="1:41" ht="15.9" customHeight="1" x14ac:dyDescent="0.3">
      <c r="A20" s="29" t="str">
        <v>GA</v>
      </c>
      <c r="B20" s="8" t="str">
        <v>Gold A</v>
      </c>
      <c r="C20" s="99">
        <f t="shared" si="0"/>
        <v>0</v>
      </c>
      <c r="D20" s="99">
        <f t="shared" si="0"/>
        <v>7</v>
      </c>
      <c r="E20" s="99">
        <f t="shared" si="0"/>
        <v>3</v>
      </c>
      <c r="F20" s="99">
        <f t="shared" si="0"/>
        <v>3</v>
      </c>
      <c r="G20" s="99">
        <f t="shared" si="0"/>
        <v>0</v>
      </c>
      <c r="H20" s="8">
        <v>16</v>
      </c>
      <c r="I20" s="87"/>
      <c r="J20" s="25">
        <v>16</v>
      </c>
      <c r="K20" s="16" t="s">
        <v>22</v>
      </c>
      <c r="L20" s="16" t="s">
        <v>88</v>
      </c>
      <c r="M20" s="16" t="s">
        <v>21</v>
      </c>
      <c r="N20" s="16" t="s">
        <v>95</v>
      </c>
      <c r="O20" s="16" t="s">
        <v>19</v>
      </c>
      <c r="Q20" s="9">
        <v>3</v>
      </c>
      <c r="R20" s="9">
        <v>11</v>
      </c>
      <c r="S20" s="9">
        <v>2</v>
      </c>
      <c r="T20" s="9">
        <v>18</v>
      </c>
      <c r="U20" s="9">
        <v>5</v>
      </c>
      <c r="W20" s="25" cm="1">
        <f t="array" ref="W20">_xlfn.LET(_xlpm.x, K20:K22, IF(SUM((_xlpm.x="C1")*1)=1, 3, 1))</f>
        <v>1</v>
      </c>
      <c r="X20" s="25" cm="1">
        <f t="array" ref="X20">_xlfn.LET(_xlpm.x, L20:L22, IF(SUM((_xlpm.x="C1")*1)=1, 3, 1))</f>
        <v>1</v>
      </c>
      <c r="Y20" s="25" cm="1">
        <f t="array" ref="Y20">_xlfn.LET(_xlpm.x, M20:M22, IF(SUM((_xlpm.x="C1")*1)=1, 3, 1))</f>
        <v>1</v>
      </c>
      <c r="Z20" s="25" cm="1">
        <f t="array" ref="Z20">_xlfn.LET(_xlpm.x, N20:N22, IF(SUM((_xlpm.x="C1")*1)=1, 3, 1))</f>
        <v>1</v>
      </c>
      <c r="AA20" s="25" cm="1">
        <f t="array" ref="AA20">_xlfn.LET(_xlpm.x, O20:O22, IF(SUM((_xlpm.x="C1")*1)=1, 3, 1))</f>
        <v>1</v>
      </c>
      <c r="AC20" s="138" t="str">
        <v>G4</v>
      </c>
      <c r="AD20" s="99">
        <v>0</v>
      </c>
      <c r="AE20" s="99">
        <v>5</v>
      </c>
      <c r="AF20" s="99">
        <v>4</v>
      </c>
      <c r="AG20" s="99">
        <v>4</v>
      </c>
      <c r="AH20" s="99">
        <v>0</v>
      </c>
      <c r="AI20" s="5"/>
      <c r="AJ20" s="138" t="str">
        <v>G4</v>
      </c>
      <c r="AK20" s="99">
        <v>0</v>
      </c>
      <c r="AL20" s="99">
        <v>5</v>
      </c>
      <c r="AM20" s="99">
        <v>4</v>
      </c>
      <c r="AN20" s="99">
        <v>4</v>
      </c>
      <c r="AO20" s="99">
        <v>0</v>
      </c>
    </row>
    <row r="21" spans="1:41" ht="15.9" customHeight="1" x14ac:dyDescent="0.3">
      <c r="A21" s="29" t="str">
        <v>GK</v>
      </c>
      <c r="B21" s="8" t="str">
        <v>Gold K</v>
      </c>
      <c r="C21" s="99">
        <f t="shared" si="0"/>
        <v>0</v>
      </c>
      <c r="D21" s="99">
        <f t="shared" si="0"/>
        <v>7</v>
      </c>
      <c r="E21" s="99">
        <f t="shared" si="0"/>
        <v>3</v>
      </c>
      <c r="F21" s="99">
        <f t="shared" si="0"/>
        <v>3</v>
      </c>
      <c r="G21" s="99">
        <f t="shared" si="0"/>
        <v>0</v>
      </c>
      <c r="H21" s="8">
        <v>17</v>
      </c>
      <c r="I21" s="87"/>
      <c r="J21" s="9">
        <v>17</v>
      </c>
      <c r="K21" s="16" t="s">
        <v>37</v>
      </c>
      <c r="L21" s="16" t="s">
        <v>126</v>
      </c>
      <c r="M21" s="16" t="s">
        <v>36</v>
      </c>
      <c r="N21" s="16" t="s">
        <v>34</v>
      </c>
      <c r="O21" s="16" t="s">
        <v>125</v>
      </c>
      <c r="Q21" s="9">
        <v>7</v>
      </c>
      <c r="R21" s="9">
        <v>15</v>
      </c>
      <c r="S21" s="9">
        <v>10</v>
      </c>
      <c r="T21" s="9">
        <v>9</v>
      </c>
      <c r="U21" s="9">
        <v>6</v>
      </c>
      <c r="W21" s="25" cm="1">
        <f t="array" ref="W21">_xlfn.LET(_xlpm.x, K21:K23, IF(SUM((_xlpm.x="C1")*1)=1, 3, 1))</f>
        <v>1</v>
      </c>
      <c r="X21" s="25" cm="1">
        <f t="array" ref="X21">_xlfn.LET(_xlpm.x, L21:L23, IF(SUM((_xlpm.x="C1")*1)=1, 3, 1))</f>
        <v>1</v>
      </c>
      <c r="Y21" s="25" cm="1">
        <f t="array" ref="Y21">_xlfn.LET(_xlpm.x, M21:M23, IF(SUM((_xlpm.x="C1")*1)=1, 3, 1))</f>
        <v>1</v>
      </c>
      <c r="Z21" s="25" cm="1">
        <f t="array" ref="Z21">_xlfn.LET(_xlpm.x, N21:N23, IF(SUM((_xlpm.x="C1")*1)=1, 3, 1))</f>
        <v>1</v>
      </c>
      <c r="AA21" s="25" cm="1">
        <f t="array" ref="AA21">_xlfn.LET(_xlpm.x, O21:O23, IF(SUM((_xlpm.x="C1")*1)=1, 3, 1))</f>
        <v>1</v>
      </c>
      <c r="AC21" s="138" t="str">
        <v>G5</v>
      </c>
      <c r="AD21" s="99">
        <v>0</v>
      </c>
      <c r="AE21" s="99">
        <v>5</v>
      </c>
      <c r="AF21" s="99">
        <v>4</v>
      </c>
      <c r="AG21" s="99">
        <v>4</v>
      </c>
      <c r="AH21" s="99">
        <v>0</v>
      </c>
      <c r="AI21" s="5"/>
      <c r="AJ21" s="138" t="str">
        <v>G5</v>
      </c>
      <c r="AK21" s="99">
        <v>0</v>
      </c>
      <c r="AL21" s="99">
        <v>5</v>
      </c>
      <c r="AM21" s="99">
        <v>4</v>
      </c>
      <c r="AN21" s="99">
        <v>4</v>
      </c>
      <c r="AO21" s="99">
        <v>0</v>
      </c>
    </row>
    <row r="22" spans="1:41" ht="15.9" customHeight="1" x14ac:dyDescent="0.3">
      <c r="A22" s="29" t="str">
        <v>GQ</v>
      </c>
      <c r="B22" s="8" t="str">
        <v>Gold Q</v>
      </c>
      <c r="C22" s="99">
        <f t="shared" si="0"/>
        <v>0</v>
      </c>
      <c r="D22" s="99">
        <f t="shared" si="0"/>
        <v>10</v>
      </c>
      <c r="E22" s="99">
        <f t="shared" si="0"/>
        <v>0</v>
      </c>
      <c r="F22" s="99">
        <f t="shared" si="0"/>
        <v>4</v>
      </c>
      <c r="G22" s="99">
        <f t="shared" si="0"/>
        <v>0</v>
      </c>
      <c r="H22" s="8">
        <v>18</v>
      </c>
      <c r="I22" s="87"/>
      <c r="J22" s="25">
        <v>18</v>
      </c>
      <c r="K22" s="16" t="s">
        <v>35</v>
      </c>
      <c r="L22" s="16" t="s">
        <v>125</v>
      </c>
      <c r="M22" s="16" t="s">
        <v>35</v>
      </c>
      <c r="N22" s="16" t="s">
        <v>18</v>
      </c>
      <c r="O22" s="16" t="s">
        <v>21</v>
      </c>
      <c r="Q22" s="9">
        <v>8</v>
      </c>
      <c r="R22" s="9">
        <v>6</v>
      </c>
      <c r="S22" s="9">
        <v>8</v>
      </c>
      <c r="T22" s="9">
        <v>4</v>
      </c>
      <c r="U22" s="9">
        <v>2</v>
      </c>
      <c r="W22" s="25" cm="1">
        <f t="array" ref="W22">_xlfn.LET(_xlpm.x, K22:K24, IF(SUM((_xlpm.x="C1")*1)=1, 3, 1))</f>
        <v>1</v>
      </c>
      <c r="X22" s="25" cm="1">
        <f t="array" ref="X22">_xlfn.LET(_xlpm.x, L22:L24, IF(SUM((_xlpm.x="C1")*1)=1, 3, 1))</f>
        <v>1</v>
      </c>
      <c r="Y22" s="25" cm="1">
        <f t="array" ref="Y22">_xlfn.LET(_xlpm.x, M22:M24, IF(SUM((_xlpm.x="C1")*1)=1, 3, 1))</f>
        <v>1</v>
      </c>
      <c r="Z22" s="25" cm="1">
        <f t="array" ref="Z22">_xlfn.LET(_xlpm.x, N22:N24, IF(SUM((_xlpm.x="C1")*1)=1, 3, 1))</f>
        <v>1</v>
      </c>
      <c r="AA22" s="25" cm="1">
        <f t="array" ref="AA22">_xlfn.LET(_xlpm.x, O22:O24, IF(SUM((_xlpm.x="C1")*1)=1, 3, 1))</f>
        <v>1</v>
      </c>
      <c r="AC22" s="138" t="str">
        <v>GA</v>
      </c>
      <c r="AD22" s="99">
        <v>0</v>
      </c>
      <c r="AE22" s="99">
        <v>5</v>
      </c>
      <c r="AF22" s="99">
        <v>4</v>
      </c>
      <c r="AG22" s="99">
        <v>4</v>
      </c>
      <c r="AH22" s="99">
        <v>0</v>
      </c>
      <c r="AI22" s="5"/>
      <c r="AJ22" s="138" t="str">
        <v>GA</v>
      </c>
      <c r="AK22" s="99">
        <v>0</v>
      </c>
      <c r="AL22" s="99">
        <v>5</v>
      </c>
      <c r="AM22" s="99">
        <v>4</v>
      </c>
      <c r="AN22" s="99">
        <v>4</v>
      </c>
      <c r="AO22" s="99">
        <v>0</v>
      </c>
    </row>
    <row r="23" spans="1:41" ht="15.9" customHeight="1" x14ac:dyDescent="0.3">
      <c r="A23" s="29" t="str">
        <v>GJ</v>
      </c>
      <c r="B23" s="8" t="str">
        <v>Gold J</v>
      </c>
      <c r="C23" s="99">
        <f t="shared" si="0"/>
        <v>0</v>
      </c>
      <c r="D23" s="99">
        <f t="shared" si="0"/>
        <v>8</v>
      </c>
      <c r="E23" s="99">
        <f t="shared" si="0"/>
        <v>0</v>
      </c>
      <c r="F23" s="99">
        <f t="shared" si="0"/>
        <v>4</v>
      </c>
      <c r="G23" s="99">
        <f t="shared" si="0"/>
        <v>0</v>
      </c>
      <c r="H23" s="8">
        <v>19</v>
      </c>
      <c r="I23" s="87"/>
      <c r="J23" s="9">
        <v>19</v>
      </c>
      <c r="K23" s="16" t="s">
        <v>125</v>
      </c>
      <c r="L23" s="16" t="s">
        <v>19</v>
      </c>
      <c r="M23" s="16" t="s">
        <v>125</v>
      </c>
      <c r="N23" s="16" t="s">
        <v>92</v>
      </c>
      <c r="O23" s="16" t="s">
        <v>21</v>
      </c>
      <c r="Q23" s="9">
        <v>6</v>
      </c>
      <c r="R23" s="9">
        <v>5</v>
      </c>
      <c r="S23" s="9">
        <v>6</v>
      </c>
      <c r="T23" s="9">
        <v>16</v>
      </c>
      <c r="U23" s="9">
        <v>2</v>
      </c>
      <c r="W23" s="25" cm="1">
        <f t="array" ref="W23">_xlfn.LET(_xlpm.x, K23:K25, IF(SUM((_xlpm.x="C1")*1)=1, 3, 1))</f>
        <v>1</v>
      </c>
      <c r="X23" s="25" cm="1">
        <f t="array" ref="X23">_xlfn.LET(_xlpm.x, L23:L25, IF(SUM((_xlpm.x="C1")*1)=1, 3, 1))</f>
        <v>1</v>
      </c>
      <c r="Y23" s="25" cm="1">
        <f t="array" ref="Y23">_xlfn.LET(_xlpm.x, M23:M25, IF(SUM((_xlpm.x="C1")*1)=1, 3, 1))</f>
        <v>1</v>
      </c>
      <c r="Z23" s="25" cm="1">
        <f t="array" ref="Z23">_xlfn.LET(_xlpm.x, N23:N25, IF(SUM((_xlpm.x="C1")*1)=1, 3, 1))</f>
        <v>1</v>
      </c>
      <c r="AA23" s="25" cm="1">
        <f t="array" ref="AA23">_xlfn.LET(_xlpm.x, O23:O25, IF(SUM((_xlpm.x="C1")*1)=1, 3, 1))</f>
        <v>1</v>
      </c>
      <c r="AC23" s="138" t="str">
        <v>GK</v>
      </c>
      <c r="AD23" s="99">
        <v>0</v>
      </c>
      <c r="AE23" s="99">
        <v>5</v>
      </c>
      <c r="AF23" s="99">
        <v>4</v>
      </c>
      <c r="AG23" s="99">
        <v>4</v>
      </c>
      <c r="AH23" s="99">
        <v>0</v>
      </c>
      <c r="AI23" s="5"/>
      <c r="AJ23" s="138" t="str">
        <v>GK</v>
      </c>
      <c r="AK23" s="99">
        <v>0</v>
      </c>
      <c r="AL23" s="99">
        <v>5</v>
      </c>
      <c r="AM23" s="99">
        <v>4</v>
      </c>
      <c r="AN23" s="99">
        <v>4</v>
      </c>
      <c r="AO23" s="99">
        <v>0</v>
      </c>
    </row>
    <row r="24" spans="1:41" ht="15.9" customHeight="1" x14ac:dyDescent="0.3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87"/>
      <c r="J24" s="25">
        <v>20</v>
      </c>
      <c r="K24" s="16" t="s">
        <v>37</v>
      </c>
      <c r="L24" s="16" t="s">
        <v>112</v>
      </c>
      <c r="M24" s="16" t="s">
        <v>37</v>
      </c>
      <c r="N24" s="16" t="s">
        <v>34</v>
      </c>
      <c r="O24" s="16" t="s">
        <v>19</v>
      </c>
      <c r="Q24" s="9">
        <v>7</v>
      </c>
      <c r="R24" s="9">
        <v>17</v>
      </c>
      <c r="S24" s="9">
        <v>7</v>
      </c>
      <c r="T24" s="9">
        <v>9</v>
      </c>
      <c r="U24" s="9">
        <v>5</v>
      </c>
      <c r="W24" s="25" cm="1">
        <f t="array" ref="W24">_xlfn.LET(_xlpm.x, K24:K26, IF(SUM((_xlpm.x="C1")*1)=1, 3, 1))</f>
        <v>1</v>
      </c>
      <c r="X24" s="25" cm="1">
        <f t="array" ref="X24">_xlfn.LET(_xlpm.x, L24:L26, IF(SUM((_xlpm.x="C1")*1)=1, 3, 1))</f>
        <v>1</v>
      </c>
      <c r="Y24" s="25" cm="1">
        <f t="array" ref="Y24">_xlfn.LET(_xlpm.x, M24:M26, IF(SUM((_xlpm.x="C1")*1)=1, 3, 1))</f>
        <v>1</v>
      </c>
      <c r="Z24" s="25" cm="1">
        <f t="array" ref="Z24">_xlfn.LET(_xlpm.x, N24:N26, IF(SUM((_xlpm.x="C1")*1)=1, 3, 1))</f>
        <v>1</v>
      </c>
      <c r="AA24" s="25" cm="1">
        <f t="array" ref="AA24">_xlfn.LET(_xlpm.x, O24:O26, IF(SUM((_xlpm.x="C1")*1)=1, 3, 1))</f>
        <v>1</v>
      </c>
      <c r="AC24" s="138" t="str">
        <v>GQ</v>
      </c>
      <c r="AD24" s="99">
        <v>0</v>
      </c>
      <c r="AE24" s="99">
        <v>9</v>
      </c>
      <c r="AF24" s="99">
        <v>1</v>
      </c>
      <c r="AG24" s="99">
        <v>5</v>
      </c>
      <c r="AH24" s="99">
        <v>0</v>
      </c>
      <c r="AI24" s="5"/>
      <c r="AJ24" s="138" t="str">
        <v>GQ</v>
      </c>
      <c r="AK24" s="99">
        <v>0</v>
      </c>
      <c r="AL24" s="99">
        <v>9</v>
      </c>
      <c r="AM24" s="99">
        <v>1</v>
      </c>
      <c r="AN24" s="99">
        <v>5</v>
      </c>
      <c r="AO24" s="99">
        <v>0</v>
      </c>
    </row>
    <row r="25" spans="1:41" ht="16.5" customHeight="1" x14ac:dyDescent="0.3">
      <c r="I25" s="87"/>
      <c r="J25" s="9">
        <v>21</v>
      </c>
      <c r="K25" s="16" t="s">
        <v>35</v>
      </c>
      <c r="L25" s="16" t="s">
        <v>112</v>
      </c>
      <c r="M25" s="16" t="s">
        <v>18</v>
      </c>
      <c r="N25" s="16" t="s">
        <v>21</v>
      </c>
      <c r="O25" s="16" t="s">
        <v>21</v>
      </c>
      <c r="Q25" s="9">
        <v>8</v>
      </c>
      <c r="R25" s="9">
        <v>17</v>
      </c>
      <c r="S25" s="9">
        <v>4</v>
      </c>
      <c r="T25" s="9">
        <v>2</v>
      </c>
      <c r="U25" s="9">
        <v>2</v>
      </c>
      <c r="W25" s="25" cm="1">
        <f t="array" ref="W25">_xlfn.LET(_xlpm.x, K25:K27, IF(SUM((_xlpm.x="C1")*1)=1, 3, 1))</f>
        <v>1</v>
      </c>
      <c r="X25" s="25" cm="1">
        <f t="array" ref="X25">_xlfn.LET(_xlpm.x, L25:L27, IF(SUM((_xlpm.x="C1")*1)=1, 3, 1))</f>
        <v>1</v>
      </c>
      <c r="Y25" s="25" cm="1">
        <f t="array" ref="Y25">_xlfn.LET(_xlpm.x, M25:M27, IF(SUM((_xlpm.x="C1")*1)=1, 3, 1))</f>
        <v>1</v>
      </c>
      <c r="Z25" s="25" cm="1">
        <f t="array" ref="Z25">_xlfn.LET(_xlpm.x, N25:N27, IF(SUM((_xlpm.x="C1")*1)=1, 3, 1))</f>
        <v>3</v>
      </c>
      <c r="AA25" s="25" cm="1">
        <f t="array" ref="AA25">_xlfn.LET(_xlpm.x, O25:O27, IF(SUM((_xlpm.x="C1")*1)=1, 3, 1))</f>
        <v>1</v>
      </c>
      <c r="AC25" s="138" t="str">
        <v>GJ</v>
      </c>
      <c r="AD25" s="99">
        <v>0</v>
      </c>
      <c r="AE25" s="99">
        <v>9</v>
      </c>
      <c r="AF25" s="99">
        <v>1</v>
      </c>
      <c r="AG25" s="99">
        <v>5</v>
      </c>
      <c r="AH25" s="99">
        <v>0</v>
      </c>
      <c r="AI25" s="5"/>
      <c r="AJ25" s="138" t="str">
        <v>GJ</v>
      </c>
      <c r="AK25" s="99">
        <v>0</v>
      </c>
      <c r="AL25" s="99">
        <v>9</v>
      </c>
      <c r="AM25" s="99">
        <v>1</v>
      </c>
      <c r="AN25" s="99">
        <v>5</v>
      </c>
      <c r="AO25" s="99">
        <v>0</v>
      </c>
    </row>
    <row r="26" spans="1:41" ht="16.5" customHeight="1" x14ac:dyDescent="0.3">
      <c r="B26" s="5" t="s">
        <v>244</v>
      </c>
      <c r="C26" s="5">
        <f>SUM(C4:C14)/C24</f>
        <v>1</v>
      </c>
      <c r="D26" s="181">
        <f t="shared" ref="D26:G26" si="1">SUM(D4:D14)/D24</f>
        <v>0.6</v>
      </c>
      <c r="E26" s="181">
        <f t="shared" si="1"/>
        <v>0.94</v>
      </c>
      <c r="F26" s="181">
        <f t="shared" si="1"/>
        <v>0.84</v>
      </c>
      <c r="G26" s="5">
        <f t="shared" si="1"/>
        <v>1</v>
      </c>
      <c r="I26" s="87"/>
      <c r="J26" s="25">
        <v>22</v>
      </c>
      <c r="K26" s="16" t="s">
        <v>35</v>
      </c>
      <c r="L26" s="16" t="s">
        <v>22</v>
      </c>
      <c r="M26" s="16" t="s">
        <v>35</v>
      </c>
      <c r="N26" s="16" t="s">
        <v>37</v>
      </c>
      <c r="O26" s="16" t="s">
        <v>19</v>
      </c>
      <c r="Q26" s="9">
        <v>8</v>
      </c>
      <c r="R26" s="9">
        <v>3</v>
      </c>
      <c r="S26" s="9">
        <v>8</v>
      </c>
      <c r="T26" s="9">
        <v>7</v>
      </c>
      <c r="U26" s="9">
        <v>5</v>
      </c>
      <c r="W26" s="25" cm="1">
        <f t="array" ref="W26">_xlfn.LET(_xlpm.x, K26:K28, IF(SUM((_xlpm.x="C1")*1)=1, 3, 1))</f>
        <v>1</v>
      </c>
      <c r="X26" s="25" cm="1">
        <f t="array" ref="X26">_xlfn.LET(_xlpm.x, L26:L28, IF(SUM((_xlpm.x="C1")*1)=1, 3, 1))</f>
        <v>1</v>
      </c>
      <c r="Y26" s="25" cm="1">
        <f t="array" ref="Y26">_xlfn.LET(_xlpm.x, M26:M28, IF(SUM((_xlpm.x="C1")*1)=1, 3, 1))</f>
        <v>1</v>
      </c>
      <c r="Z26" s="25" cm="1">
        <f t="array" ref="Z26">_xlfn.LET(_xlpm.x, N26:N28, IF(SUM((_xlpm.x="C1")*1)=1, 3, 1))</f>
        <v>3</v>
      </c>
      <c r="AA26" s="25" cm="1">
        <f t="array" ref="AA26">_xlfn.LET(_xlpm.x, O26:O28, IF(SUM((_xlpm.x="C1")*1)=1, 3, 1))</f>
        <v>1</v>
      </c>
      <c r="AD26" s="113">
        <f>SUM(AD6:AD25)</f>
        <v>200</v>
      </c>
      <c r="AE26" s="113">
        <f>SUM(AE6:AE25)</f>
        <v>209</v>
      </c>
      <c r="AF26" s="113">
        <f>SUM(AF6:AF25)</f>
        <v>209</v>
      </c>
      <c r="AG26" s="113">
        <f>SUM(AG6:AG25)</f>
        <v>209</v>
      </c>
      <c r="AH26" s="113">
        <f>SUM(AH6:AH25)</f>
        <v>200</v>
      </c>
      <c r="AI26" s="5"/>
      <c r="AK26" s="113">
        <f>SUM(AK6:AK25)</f>
        <v>200</v>
      </c>
      <c r="AL26" s="113">
        <f>SUM(AL6:AL25)</f>
        <v>209</v>
      </c>
      <c r="AM26" s="113">
        <f>SUM(AM6:AM25)</f>
        <v>209</v>
      </c>
      <c r="AN26" s="113">
        <f>SUM(AN6:AN25)</f>
        <v>209</v>
      </c>
      <c r="AO26" s="113">
        <f>SUM(AO6:AO25)</f>
        <v>200</v>
      </c>
    </row>
    <row r="27" spans="1:41" ht="16.5" customHeight="1" x14ac:dyDescent="0.3">
      <c r="B27" s="5" t="s">
        <v>245</v>
      </c>
      <c r="C27" s="5">
        <f>SUM(C15:C23)/C24</f>
        <v>0</v>
      </c>
      <c r="D27" s="181">
        <f t="shared" ref="D27:G27" si="2">SUM(D15:D23)/D24</f>
        <v>0.4</v>
      </c>
      <c r="E27" s="181">
        <f t="shared" si="2"/>
        <v>0.06</v>
      </c>
      <c r="F27" s="181">
        <f t="shared" si="2"/>
        <v>0.16</v>
      </c>
      <c r="G27" s="5">
        <f t="shared" si="2"/>
        <v>0</v>
      </c>
      <c r="I27" s="87"/>
      <c r="J27" s="9">
        <v>23</v>
      </c>
      <c r="K27" s="16" t="s">
        <v>35</v>
      </c>
      <c r="L27" s="16" t="s">
        <v>18</v>
      </c>
      <c r="M27" s="16" t="s">
        <v>125</v>
      </c>
      <c r="N27" s="16" t="s">
        <v>20</v>
      </c>
      <c r="O27" s="16" t="s">
        <v>125</v>
      </c>
      <c r="Q27" s="9">
        <v>8</v>
      </c>
      <c r="R27" s="9">
        <v>4</v>
      </c>
      <c r="S27" s="9">
        <v>6</v>
      </c>
      <c r="T27" s="9">
        <v>1</v>
      </c>
      <c r="U27" s="9">
        <v>6</v>
      </c>
      <c r="W27" s="25" cm="1">
        <f t="array" ref="W27">_xlfn.LET(_xlpm.x, K27:K29, IF(SUM((_xlpm.x="C1")*1)=1, 3, 1))</f>
        <v>1</v>
      </c>
      <c r="X27" s="25" cm="1">
        <f t="array" ref="X27">_xlfn.LET(_xlpm.x, L27:L29, IF(SUM((_xlpm.x="C1")*1)=1, 3, 1))</f>
        <v>1</v>
      </c>
      <c r="Y27" s="25" cm="1">
        <f t="array" ref="Y27">_xlfn.LET(_xlpm.x, M27:M29, IF(SUM((_xlpm.x="C1")*1)=1, 3, 1))</f>
        <v>1</v>
      </c>
      <c r="Z27" s="25" cm="1">
        <f t="array" ref="Z27">_xlfn.LET(_xlpm.x, N27:N29, IF(SUM((_xlpm.x="C1")*1)=1, 3, 1))</f>
        <v>3</v>
      </c>
      <c r="AA27" s="25" cm="1">
        <f t="array" ref="AA27">_xlfn.LET(_xlpm.x, O27:O29, IF(SUM((_xlpm.x="C1")*1)=1, 3, 1))</f>
        <v>1</v>
      </c>
      <c r="AH27" s="5"/>
      <c r="AI27" s="5"/>
      <c r="AO27" s="5"/>
    </row>
    <row r="28" spans="1:41" ht="16.5" customHeight="1" x14ac:dyDescent="0.3">
      <c r="I28" s="87"/>
      <c r="J28" s="25">
        <v>24</v>
      </c>
      <c r="K28" s="16" t="s">
        <v>19</v>
      </c>
      <c r="L28" s="16" t="s">
        <v>90</v>
      </c>
      <c r="M28" s="16" t="s">
        <v>34</v>
      </c>
      <c r="N28" s="16" t="s">
        <v>97</v>
      </c>
      <c r="O28" s="16" t="s">
        <v>35</v>
      </c>
      <c r="Q28" s="9">
        <v>5</v>
      </c>
      <c r="R28" s="9">
        <v>13</v>
      </c>
      <c r="S28" s="9">
        <v>9</v>
      </c>
      <c r="T28" s="9">
        <v>19</v>
      </c>
      <c r="U28" s="9">
        <v>8</v>
      </c>
      <c r="W28" s="25" cm="1">
        <f t="array" ref="W28">_xlfn.LET(_xlpm.x, K28:K30, IF(SUM((_xlpm.x="C1")*1)=1, 3, 1))</f>
        <v>1</v>
      </c>
      <c r="X28" s="25" cm="1">
        <f t="array" ref="X28">_xlfn.LET(_xlpm.x, L28:L30, IF(SUM((_xlpm.x="C1")*1)=1, 3, 1))</f>
        <v>1</v>
      </c>
      <c r="Y28" s="25" cm="1">
        <f t="array" ref="Y28">_xlfn.LET(_xlpm.x, M28:M30, IF(SUM((_xlpm.x="C1")*1)=1, 3, 1))</f>
        <v>1</v>
      </c>
      <c r="Z28" s="25" cm="1">
        <f t="array" ref="Z28">_xlfn.LET(_xlpm.x, N28:N30, IF(SUM((_xlpm.x="C1")*1)=1, 3, 1))</f>
        <v>1</v>
      </c>
      <c r="AA28" s="25" cm="1">
        <f t="array" ref="AA28">_xlfn.LET(_xlpm.x, O28:O30, IF(SUM((_xlpm.x="C1")*1)=1, 3, 1))</f>
        <v>1</v>
      </c>
      <c r="AC28" s="27" t="s">
        <v>132</v>
      </c>
      <c r="AH28" s="5"/>
      <c r="AI28" s="5"/>
      <c r="AJ28" s="27" t="s">
        <v>132</v>
      </c>
      <c r="AO28" s="5"/>
    </row>
    <row r="29" spans="1:41" ht="16.5" customHeight="1" x14ac:dyDescent="0.3">
      <c r="I29" s="87"/>
      <c r="J29" s="9">
        <v>25</v>
      </c>
      <c r="K29" s="16" t="s">
        <v>35</v>
      </c>
      <c r="L29" s="16" t="s">
        <v>35</v>
      </c>
      <c r="M29" s="16" t="s">
        <v>35</v>
      </c>
      <c r="N29" s="16" t="s">
        <v>18</v>
      </c>
      <c r="O29" s="16" t="s">
        <v>18</v>
      </c>
      <c r="Q29" s="9">
        <v>8</v>
      </c>
      <c r="R29" s="9">
        <v>8</v>
      </c>
      <c r="S29" s="9">
        <v>8</v>
      </c>
      <c r="T29" s="9">
        <v>4</v>
      </c>
      <c r="U29" s="9">
        <v>4</v>
      </c>
      <c r="W29" s="25" cm="1">
        <f t="array" ref="W29">_xlfn.LET(_xlpm.x, K29:K31, IF(SUM((_xlpm.x="C1")*1)=1, 3, 1))</f>
        <v>1</v>
      </c>
      <c r="X29" s="25" cm="1">
        <f t="array" ref="X29">_xlfn.LET(_xlpm.x, L29:L31, IF(SUM((_xlpm.x="C1")*1)=1, 3, 1))</f>
        <v>1</v>
      </c>
      <c r="Y29" s="25" cm="1">
        <f t="array" ref="Y29">_xlfn.LET(_xlpm.x, M29:M31, IF(SUM((_xlpm.x="C1")*1)=1, 3, 1))</f>
        <v>1</v>
      </c>
      <c r="Z29" s="25" cm="1">
        <f t="array" ref="Z29">_xlfn.LET(_xlpm.x, N29:N31, IF(SUM((_xlpm.x="C1")*1)=1, 3, 1))</f>
        <v>1</v>
      </c>
      <c r="AA29" s="25" cm="1">
        <f t="array" ref="AA29">_xlfn.LET(_xlpm.x, O29:O31, IF(SUM((_xlpm.x="C1")*1)=1, 3, 1))</f>
        <v>1</v>
      </c>
      <c r="AC29" s="135" t="s">
        <v>42</v>
      </c>
      <c r="AD29" s="135" t="s">
        <v>13</v>
      </c>
      <c r="AE29" s="135" t="s">
        <v>14</v>
      </c>
      <c r="AF29" s="135" t="s">
        <v>15</v>
      </c>
      <c r="AG29" s="135" t="s">
        <v>16</v>
      </c>
      <c r="AH29" s="135" t="s">
        <v>17</v>
      </c>
      <c r="AI29" s="5"/>
      <c r="AJ29" s="135" t="s">
        <v>42</v>
      </c>
      <c r="AK29" s="135" t="s">
        <v>13</v>
      </c>
      <c r="AL29" s="135" t="s">
        <v>14</v>
      </c>
      <c r="AM29" s="135" t="s">
        <v>15</v>
      </c>
      <c r="AN29" s="135" t="s">
        <v>16</v>
      </c>
      <c r="AO29" s="135" t="s">
        <v>17</v>
      </c>
    </row>
    <row r="30" spans="1:41" ht="16.5" customHeight="1" x14ac:dyDescent="0.3">
      <c r="I30" s="87"/>
      <c r="J30" s="25">
        <v>26</v>
      </c>
      <c r="K30" s="16" t="s">
        <v>37</v>
      </c>
      <c r="L30" s="16" t="s">
        <v>35</v>
      </c>
      <c r="M30" s="16" t="s">
        <v>125</v>
      </c>
      <c r="N30" s="16" t="s">
        <v>36</v>
      </c>
      <c r="O30" s="16" t="s">
        <v>125</v>
      </c>
      <c r="Q30" s="9">
        <v>7</v>
      </c>
      <c r="R30" s="9">
        <v>8</v>
      </c>
      <c r="S30" s="9">
        <v>6</v>
      </c>
      <c r="T30" s="9">
        <v>10</v>
      </c>
      <c r="U30" s="9">
        <v>6</v>
      </c>
      <c r="W30" s="25" cm="1">
        <f t="array" ref="W30">_xlfn.LET(_xlpm.x, K30:K32, IF(SUM((_xlpm.x="C1")*1)=1, 3, 1))</f>
        <v>1</v>
      </c>
      <c r="X30" s="25" cm="1">
        <f t="array" ref="X30">_xlfn.LET(_xlpm.x, L30:L32, IF(SUM((_xlpm.x="C1")*1)=1, 3, 1))</f>
        <v>1</v>
      </c>
      <c r="Y30" s="25" cm="1">
        <f t="array" ref="Y30">_xlfn.LET(_xlpm.x, M30:M32, IF(SUM((_xlpm.x="C1")*1)=1, 3, 1))</f>
        <v>1</v>
      </c>
      <c r="Z30" s="25" cm="1">
        <f t="array" ref="Z30">_xlfn.LET(_xlpm.x, N30:N32, IF(SUM((_xlpm.x="C1")*1)=1, 3, 1))</f>
        <v>1</v>
      </c>
      <c r="AA30" s="25" cm="1">
        <f t="array" ref="AA30">_xlfn.LET(_xlpm.x, O30:O32, IF(SUM((_xlpm.x="C1")*1)=1, 3, 1))</f>
        <v>1</v>
      </c>
      <c r="AC30" s="138" t="str" cm="1">
        <f t="array" ref="AC30:AC49">$A$4:$A$23</f>
        <v>WW</v>
      </c>
      <c r="AD30" s="139">
        <v>0</v>
      </c>
      <c r="AE30" s="139">
        <v>0</v>
      </c>
      <c r="AF30" s="139">
        <v>0</v>
      </c>
      <c r="AG30" s="139">
        <v>0</v>
      </c>
      <c r="AH30" s="139">
        <v>0</v>
      </c>
      <c r="AI30" s="5"/>
      <c r="AJ30" s="138" t="str" cm="1">
        <f t="array" ref="AJ30:AJ49">$A$4:$A$23</f>
        <v>WW</v>
      </c>
      <c r="AK30" s="139">
        <v>0</v>
      </c>
      <c r="AL30" s="139">
        <v>0</v>
      </c>
      <c r="AM30" s="139">
        <v>0</v>
      </c>
      <c r="AN30" s="139">
        <v>0</v>
      </c>
      <c r="AO30" s="139">
        <v>0</v>
      </c>
    </row>
    <row r="31" spans="1:41" ht="16.5" customHeight="1" x14ac:dyDescent="0.3">
      <c r="I31" s="87"/>
      <c r="J31" s="9">
        <v>27</v>
      </c>
      <c r="K31" s="16" t="s">
        <v>19</v>
      </c>
      <c r="L31" s="16" t="s">
        <v>95</v>
      </c>
      <c r="M31" s="16" t="s">
        <v>37</v>
      </c>
      <c r="N31" s="16" t="s">
        <v>97</v>
      </c>
      <c r="O31" s="16" t="s">
        <v>34</v>
      </c>
      <c r="Q31" s="9">
        <v>5</v>
      </c>
      <c r="R31" s="9">
        <v>18</v>
      </c>
      <c r="S31" s="9">
        <v>7</v>
      </c>
      <c r="T31" s="9">
        <v>19</v>
      </c>
      <c r="U31" s="9">
        <v>9</v>
      </c>
      <c r="W31" s="25" cm="1">
        <f t="array" ref="W31">_xlfn.LET(_xlpm.x, K31:K33, IF(SUM((_xlpm.x="C1")*1)=1, 3, 1))</f>
        <v>1</v>
      </c>
      <c r="X31" s="25" cm="1">
        <f t="array" ref="X31">_xlfn.LET(_xlpm.x, L31:L33, IF(SUM((_xlpm.x="C1")*1)=1, 3, 1))</f>
        <v>1</v>
      </c>
      <c r="Y31" s="25" cm="1">
        <f t="array" ref="Y31">_xlfn.LET(_xlpm.x, M31:M33, IF(SUM((_xlpm.x="C1")*1)=1, 3, 1))</f>
        <v>1</v>
      </c>
      <c r="Z31" s="25" cm="1">
        <f t="array" ref="Z31">_xlfn.LET(_xlpm.x, N31:N33, IF(SUM((_xlpm.x="C1")*1)=1, 3, 1))</f>
        <v>1</v>
      </c>
      <c r="AA31" s="25" cm="1">
        <f t="array" ref="AA31">_xlfn.LET(_xlpm.x, O31:O33, IF(SUM((_xlpm.x="C1")*1)=1, 3, 1))</f>
        <v>1</v>
      </c>
      <c r="AC31" s="138" t="str">
        <v>C1</v>
      </c>
      <c r="AD31" s="138">
        <v>3</v>
      </c>
      <c r="AE31" s="138">
        <v>3</v>
      </c>
      <c r="AF31" s="138">
        <v>3</v>
      </c>
      <c r="AG31" s="138">
        <v>6</v>
      </c>
      <c r="AH31" s="138">
        <v>6</v>
      </c>
      <c r="AI31" s="5"/>
      <c r="AJ31" s="138" t="str">
        <v>C1</v>
      </c>
      <c r="AK31" s="138">
        <v>3</v>
      </c>
      <c r="AL31" s="138">
        <v>3</v>
      </c>
      <c r="AM31" s="138">
        <v>3</v>
      </c>
      <c r="AN31" s="138">
        <v>6</v>
      </c>
      <c r="AO31" s="138">
        <v>6</v>
      </c>
    </row>
    <row r="32" spans="1:41" ht="16.5" customHeight="1" x14ac:dyDescent="0.3">
      <c r="J32" s="25">
        <v>28</v>
      </c>
      <c r="K32" s="16" t="s">
        <v>35</v>
      </c>
      <c r="L32" s="16" t="s">
        <v>91</v>
      </c>
      <c r="M32" s="16" t="s">
        <v>125</v>
      </c>
      <c r="N32" s="16" t="s">
        <v>88</v>
      </c>
      <c r="O32" s="16" t="s">
        <v>34</v>
      </c>
      <c r="Q32" s="9">
        <v>8</v>
      </c>
      <c r="R32" s="9">
        <v>14</v>
      </c>
      <c r="S32" s="9">
        <v>6</v>
      </c>
      <c r="T32" s="9">
        <v>11</v>
      </c>
      <c r="U32" s="9">
        <v>9</v>
      </c>
      <c r="W32" s="25" cm="1">
        <f t="array" ref="W32">_xlfn.LET(_xlpm.x, K32:K34, IF(SUM((_xlpm.x="C1")*1)=1, 3, 1))</f>
        <v>1</v>
      </c>
      <c r="X32" s="25" cm="1">
        <f t="array" ref="X32">_xlfn.LET(_xlpm.x, L32:L34, IF(SUM((_xlpm.x="C1")*1)=1, 3, 1))</f>
        <v>1</v>
      </c>
      <c r="Y32" s="25" cm="1">
        <f t="array" ref="Y32">_xlfn.LET(_xlpm.x, M32:M34, IF(SUM((_xlpm.x="C1")*1)=1, 3, 1))</f>
        <v>1</v>
      </c>
      <c r="Z32" s="25" cm="1">
        <f t="array" ref="Z32">_xlfn.LET(_xlpm.x, N32:N34, IF(SUM((_xlpm.x="C1")*1)=1, 3, 1))</f>
        <v>1</v>
      </c>
      <c r="AA32" s="25" cm="1">
        <f t="array" ref="AA32">_xlfn.LET(_xlpm.x, O32:O34, IF(SUM((_xlpm.x="C1")*1)=1, 3, 1))</f>
        <v>1</v>
      </c>
      <c r="AC32" s="154" t="str">
        <v>M1</v>
      </c>
      <c r="AD32" s="133">
        <v>4</v>
      </c>
      <c r="AE32" s="133">
        <v>17</v>
      </c>
      <c r="AF32" s="133">
        <v>4</v>
      </c>
      <c r="AG32" s="133">
        <v>21</v>
      </c>
      <c r="AH32" s="133">
        <v>22</v>
      </c>
      <c r="AI32" s="5"/>
      <c r="AJ32" s="154" t="str">
        <v>M1</v>
      </c>
      <c r="AK32" s="133">
        <v>4</v>
      </c>
      <c r="AL32" s="133">
        <v>17</v>
      </c>
      <c r="AM32" s="133">
        <v>4</v>
      </c>
      <c r="AN32" s="133">
        <v>21</v>
      </c>
      <c r="AO32" s="133">
        <v>22</v>
      </c>
    </row>
    <row r="33" spans="10:41" ht="16.5" customHeight="1" x14ac:dyDescent="0.3">
      <c r="J33" s="9">
        <v>29</v>
      </c>
      <c r="K33" s="16" t="s">
        <v>21</v>
      </c>
      <c r="L33" s="16" t="s">
        <v>90</v>
      </c>
      <c r="M33" s="16" t="s">
        <v>19</v>
      </c>
      <c r="N33" s="16" t="s">
        <v>22</v>
      </c>
      <c r="O33" s="16" t="s">
        <v>21</v>
      </c>
      <c r="Q33" s="9">
        <v>2</v>
      </c>
      <c r="R33" s="9">
        <v>13</v>
      </c>
      <c r="S33" s="9">
        <v>5</v>
      </c>
      <c r="T33" s="9">
        <v>3</v>
      </c>
      <c r="U33" s="9">
        <v>2</v>
      </c>
      <c r="W33" s="25" cm="1">
        <f t="array" ref="W33">_xlfn.LET(_xlpm.x, K33:K35, IF(SUM((_xlpm.x="C1")*1)=1, 3, 1))</f>
        <v>1</v>
      </c>
      <c r="X33" s="25" cm="1">
        <f t="array" ref="X33">_xlfn.LET(_xlpm.x, L33:L35, IF(SUM((_xlpm.x="C1")*1)=1, 3, 1))</f>
        <v>1</v>
      </c>
      <c r="Y33" s="25" cm="1">
        <f t="array" ref="Y33">_xlfn.LET(_xlpm.x, M33:M35, IF(SUM((_xlpm.x="C1")*1)=1, 3, 1))</f>
        <v>1</v>
      </c>
      <c r="Z33" s="25" cm="1">
        <f t="array" ref="Z33">_xlfn.LET(_xlpm.x, N33:N35, IF(SUM((_xlpm.x="C1")*1)=1, 3, 1))</f>
        <v>1</v>
      </c>
      <c r="AA33" s="25" cm="1">
        <f t="array" ref="AA33">_xlfn.LET(_xlpm.x, O33:O35, IF(SUM((_xlpm.x="C1")*1)=1, 3, 1))</f>
        <v>3</v>
      </c>
      <c r="AC33" s="154" t="str">
        <v>M2</v>
      </c>
      <c r="AD33" s="133">
        <v>4</v>
      </c>
      <c r="AE33" s="133">
        <v>18</v>
      </c>
      <c r="AF33" s="133">
        <v>4</v>
      </c>
      <c r="AG33" s="133">
        <v>20</v>
      </c>
      <c r="AH33" s="133">
        <v>22</v>
      </c>
      <c r="AI33" s="5"/>
      <c r="AJ33" s="154" t="str">
        <v>M2</v>
      </c>
      <c r="AK33" s="133">
        <v>4</v>
      </c>
      <c r="AL33" s="133">
        <v>18</v>
      </c>
      <c r="AM33" s="133">
        <v>4</v>
      </c>
      <c r="AN33" s="133">
        <v>20</v>
      </c>
      <c r="AO33" s="133">
        <v>22</v>
      </c>
    </row>
    <row r="34" spans="10:41" ht="16.5" customHeight="1" x14ac:dyDescent="0.3">
      <c r="J34" s="25">
        <v>30</v>
      </c>
      <c r="K34" s="16" t="s">
        <v>35</v>
      </c>
      <c r="L34" s="16" t="s">
        <v>36</v>
      </c>
      <c r="M34" s="16" t="s">
        <v>35</v>
      </c>
      <c r="N34" s="16" t="s">
        <v>21</v>
      </c>
      <c r="O34" s="16" t="s">
        <v>21</v>
      </c>
      <c r="Q34" s="9">
        <v>8</v>
      </c>
      <c r="R34" s="9">
        <v>10</v>
      </c>
      <c r="S34" s="9">
        <v>8</v>
      </c>
      <c r="T34" s="9">
        <v>2</v>
      </c>
      <c r="U34" s="9">
        <v>2</v>
      </c>
      <c r="W34" s="25" cm="1">
        <f t="array" ref="W34">_xlfn.LET(_xlpm.x, K34:K36, IF(SUM((_xlpm.x="C1")*1)=1, 3, 1))</f>
        <v>1</v>
      </c>
      <c r="X34" s="25" cm="1">
        <f t="array" ref="X34">_xlfn.LET(_xlpm.x, L34:L36, IF(SUM((_xlpm.x="C1")*1)=1, 3, 1))</f>
        <v>1</v>
      </c>
      <c r="Y34" s="25" cm="1">
        <f t="array" ref="Y34">_xlfn.LET(_xlpm.x, M34:M36, IF(SUM((_xlpm.x="C1")*1)=1, 3, 1))</f>
        <v>1</v>
      </c>
      <c r="Z34" s="25" cm="1">
        <f t="array" ref="Z34">_xlfn.LET(_xlpm.x, N34:N36, IF(SUM((_xlpm.x="C1")*1)=1, 3, 1))</f>
        <v>1</v>
      </c>
      <c r="AA34" s="25" cm="1">
        <f t="array" ref="AA34">_xlfn.LET(_xlpm.x, O34:O36, IF(SUM((_xlpm.x="C1")*1)=1, 3, 1))</f>
        <v>3</v>
      </c>
      <c r="AC34" s="154" t="str">
        <v>M3</v>
      </c>
      <c r="AD34" s="133">
        <v>4</v>
      </c>
      <c r="AE34" s="133">
        <v>18</v>
      </c>
      <c r="AF34" s="133">
        <v>4</v>
      </c>
      <c r="AG34" s="133">
        <v>20</v>
      </c>
      <c r="AH34" s="133">
        <v>21</v>
      </c>
      <c r="AI34" s="5"/>
      <c r="AJ34" s="154" t="str">
        <v>M3</v>
      </c>
      <c r="AK34" s="133">
        <v>4</v>
      </c>
      <c r="AL34" s="133">
        <v>18</v>
      </c>
      <c r="AM34" s="133">
        <v>4</v>
      </c>
      <c r="AN34" s="133">
        <v>20</v>
      </c>
      <c r="AO34" s="133">
        <v>21</v>
      </c>
    </row>
    <row r="35" spans="10:41" ht="16.5" customHeight="1" x14ac:dyDescent="0.3">
      <c r="J35" s="9">
        <v>31</v>
      </c>
      <c r="K35" s="16" t="s">
        <v>19</v>
      </c>
      <c r="L35" s="16" t="s">
        <v>36</v>
      </c>
      <c r="M35" s="16" t="s">
        <v>37</v>
      </c>
      <c r="N35" s="16" t="s">
        <v>125</v>
      </c>
      <c r="O35" s="16" t="s">
        <v>20</v>
      </c>
      <c r="Q35" s="9">
        <v>5</v>
      </c>
      <c r="R35" s="9">
        <v>10</v>
      </c>
      <c r="S35" s="9">
        <v>7</v>
      </c>
      <c r="T35" s="9">
        <v>6</v>
      </c>
      <c r="U35" s="9">
        <v>1</v>
      </c>
      <c r="W35" s="25" cm="1">
        <f t="array" ref="W35">_xlfn.LET(_xlpm.x, K35:K37, IF(SUM((_xlpm.x="C1")*1)=1, 3, 1))</f>
        <v>1</v>
      </c>
      <c r="X35" s="25" cm="1">
        <f t="array" ref="X35">_xlfn.LET(_xlpm.x, L35:L37, IF(SUM((_xlpm.x="C1")*1)=1, 3, 1))</f>
        <v>1</v>
      </c>
      <c r="Y35" s="25" cm="1">
        <f t="array" ref="Y35">_xlfn.LET(_xlpm.x, M35:M37, IF(SUM((_xlpm.x="C1")*1)=1, 3, 1))</f>
        <v>1</v>
      </c>
      <c r="Z35" s="25" cm="1">
        <f t="array" ref="Z35">_xlfn.LET(_xlpm.x, N35:N37, IF(SUM((_xlpm.x="C1")*1)=1, 3, 1))</f>
        <v>1</v>
      </c>
      <c r="AA35" s="25" cm="1">
        <f t="array" ref="AA35">_xlfn.LET(_xlpm.x, O35:O37, IF(SUM((_xlpm.x="C1")*1)=1, 3, 1))</f>
        <v>3</v>
      </c>
      <c r="AC35" s="154" t="str">
        <v>M4</v>
      </c>
      <c r="AD35" s="133">
        <v>40</v>
      </c>
      <c r="AE35" s="133">
        <v>14</v>
      </c>
      <c r="AF35" s="133">
        <v>41</v>
      </c>
      <c r="AG35" s="133">
        <v>14</v>
      </c>
      <c r="AH35" s="133">
        <v>21</v>
      </c>
      <c r="AI35" s="5"/>
      <c r="AJ35" s="154" t="str">
        <v>M4</v>
      </c>
      <c r="AK35" s="133">
        <v>40</v>
      </c>
      <c r="AL35" s="133">
        <v>14</v>
      </c>
      <c r="AM35" s="133">
        <v>41</v>
      </c>
      <c r="AN35" s="133">
        <v>14</v>
      </c>
      <c r="AO35" s="133">
        <v>21</v>
      </c>
    </row>
    <row r="36" spans="10:41" ht="16.5" customHeight="1" x14ac:dyDescent="0.3">
      <c r="J36" s="25">
        <v>32</v>
      </c>
      <c r="K36" s="16" t="s">
        <v>37</v>
      </c>
      <c r="L36" s="16" t="s">
        <v>19</v>
      </c>
      <c r="M36" s="16" t="s">
        <v>18</v>
      </c>
      <c r="N36" s="16" t="s">
        <v>125</v>
      </c>
      <c r="O36" s="16" t="s">
        <v>34</v>
      </c>
      <c r="Q36" s="9">
        <v>7</v>
      </c>
      <c r="R36" s="9">
        <v>5</v>
      </c>
      <c r="S36" s="9">
        <v>4</v>
      </c>
      <c r="T36" s="9">
        <v>6</v>
      </c>
      <c r="U36" s="9">
        <v>9</v>
      </c>
      <c r="W36" s="25" cm="1">
        <f t="array" ref="W36">_xlfn.LET(_xlpm.x, K36:K38, IF(SUM((_xlpm.x="C1")*1)=1, 3, 1))</f>
        <v>1</v>
      </c>
      <c r="X36" s="25" cm="1">
        <f t="array" ref="X36">_xlfn.LET(_xlpm.x, L36:L38, IF(SUM((_xlpm.x="C1")*1)=1, 3, 1))</f>
        <v>1</v>
      </c>
      <c r="Y36" s="25" cm="1">
        <f t="array" ref="Y36">_xlfn.LET(_xlpm.x, M36:M38, IF(SUM((_xlpm.x="C1")*1)=1, 3, 1))</f>
        <v>1</v>
      </c>
      <c r="Z36" s="25" cm="1">
        <f t="array" ref="Z36">_xlfn.LET(_xlpm.x, N36:N38, IF(SUM((_xlpm.x="C1")*1)=1, 3, 1))</f>
        <v>1</v>
      </c>
      <c r="AA36" s="25" cm="1">
        <f t="array" ref="AA36">_xlfn.LET(_xlpm.x, O36:O38, IF(SUM((_xlpm.x="C1")*1)=1, 3, 1))</f>
        <v>1</v>
      </c>
      <c r="AC36" s="154" t="str">
        <v>M5</v>
      </c>
      <c r="AD36" s="133">
        <v>40</v>
      </c>
      <c r="AE36" s="133">
        <v>14</v>
      </c>
      <c r="AF36" s="133">
        <v>41</v>
      </c>
      <c r="AG36" s="133">
        <v>14</v>
      </c>
      <c r="AH36" s="133">
        <v>21</v>
      </c>
      <c r="AI36" s="5"/>
      <c r="AJ36" s="154" t="str">
        <v>M5</v>
      </c>
      <c r="AK36" s="133">
        <v>40</v>
      </c>
      <c r="AL36" s="133">
        <v>14</v>
      </c>
      <c r="AM36" s="133">
        <v>41</v>
      </c>
      <c r="AN36" s="133">
        <v>14</v>
      </c>
      <c r="AO36" s="133">
        <v>21</v>
      </c>
    </row>
    <row r="37" spans="10:41" ht="16.5" customHeight="1" x14ac:dyDescent="0.3">
      <c r="J37" s="9">
        <v>33</v>
      </c>
      <c r="K37" s="16" t="s">
        <v>19</v>
      </c>
      <c r="L37" s="16" t="s">
        <v>112</v>
      </c>
      <c r="M37" s="16" t="s">
        <v>35</v>
      </c>
      <c r="N37" s="16" t="s">
        <v>92</v>
      </c>
      <c r="O37" s="16" t="s">
        <v>35</v>
      </c>
      <c r="Q37" s="9">
        <v>5</v>
      </c>
      <c r="R37" s="9">
        <v>17</v>
      </c>
      <c r="S37" s="9">
        <v>8</v>
      </c>
      <c r="T37" s="9">
        <v>16</v>
      </c>
      <c r="U37" s="9">
        <v>8</v>
      </c>
      <c r="W37" s="25" cm="1">
        <f t="array" ref="W37">_xlfn.LET(_xlpm.x, K37:K39, IF(SUM((_xlpm.x="C1")*1)=1, 3, 1))</f>
        <v>1</v>
      </c>
      <c r="X37" s="25" cm="1">
        <f t="array" ref="X37">_xlfn.LET(_xlpm.x, L37:L39, IF(SUM((_xlpm.x="C1")*1)=1, 3, 1))</f>
        <v>1</v>
      </c>
      <c r="Y37" s="25" cm="1">
        <f t="array" ref="Y37">_xlfn.LET(_xlpm.x, M37:M39, IF(SUM((_xlpm.x="C1")*1)=1, 3, 1))</f>
        <v>1</v>
      </c>
      <c r="Z37" s="25" cm="1">
        <f t="array" ref="Z37">_xlfn.LET(_xlpm.x, N37:N39, IF(SUM((_xlpm.x="C1")*1)=1, 3, 1))</f>
        <v>1</v>
      </c>
      <c r="AA37" s="25" cm="1">
        <f t="array" ref="AA37">_xlfn.LET(_xlpm.x, O37:O39, IF(SUM((_xlpm.x="C1")*1)=1, 3, 1))</f>
        <v>1</v>
      </c>
      <c r="AC37" s="154" t="str">
        <v>A</v>
      </c>
      <c r="AD37" s="133">
        <v>47</v>
      </c>
      <c r="AE37" s="133">
        <v>13</v>
      </c>
      <c r="AF37" s="133">
        <v>41</v>
      </c>
      <c r="AG37" s="133">
        <v>14</v>
      </c>
      <c r="AH37" s="133">
        <v>21</v>
      </c>
      <c r="AI37" s="5"/>
      <c r="AJ37" s="154" t="str">
        <v>A</v>
      </c>
      <c r="AK37" s="133">
        <v>47</v>
      </c>
      <c r="AL37" s="133">
        <v>13</v>
      </c>
      <c r="AM37" s="133">
        <v>41</v>
      </c>
      <c r="AN37" s="133">
        <v>14</v>
      </c>
      <c r="AO37" s="133">
        <v>21</v>
      </c>
    </row>
    <row r="38" spans="10:41" ht="16.5" customHeight="1" x14ac:dyDescent="0.3">
      <c r="J38" s="25">
        <v>34</v>
      </c>
      <c r="K38" s="16" t="s">
        <v>125</v>
      </c>
      <c r="L38" s="16" t="s">
        <v>89</v>
      </c>
      <c r="M38" s="16" t="s">
        <v>19</v>
      </c>
      <c r="N38" s="16" t="s">
        <v>35</v>
      </c>
      <c r="O38" s="16" t="s">
        <v>22</v>
      </c>
      <c r="Q38" s="9">
        <v>6</v>
      </c>
      <c r="R38" s="9">
        <v>12</v>
      </c>
      <c r="S38" s="9">
        <v>5</v>
      </c>
      <c r="T38" s="9">
        <v>8</v>
      </c>
      <c r="U38" s="9">
        <v>3</v>
      </c>
      <c r="W38" s="25" cm="1">
        <f t="array" ref="W38">_xlfn.LET(_xlpm.x, K38:K40, IF(SUM((_xlpm.x="C1")*1)=1, 3, 1))</f>
        <v>1</v>
      </c>
      <c r="X38" s="25" cm="1">
        <f t="array" ref="X38">_xlfn.LET(_xlpm.x, L38:L40, IF(SUM((_xlpm.x="C1")*1)=1, 3, 1))</f>
        <v>1</v>
      </c>
      <c r="Y38" s="25" cm="1">
        <f t="array" ref="Y38">_xlfn.LET(_xlpm.x, M38:M40, IF(SUM((_xlpm.x="C1")*1)=1, 3, 1))</f>
        <v>1</v>
      </c>
      <c r="Z38" s="25" cm="1">
        <f t="array" ref="Z38">_xlfn.LET(_xlpm.x, N38:N40, IF(SUM((_xlpm.x="C1")*1)=1, 3, 1))</f>
        <v>1</v>
      </c>
      <c r="AA38" s="25" cm="1">
        <f t="array" ref="AA38">_xlfn.LET(_xlpm.x, O38:O40, IF(SUM((_xlpm.x="C1")*1)=1, 3, 1))</f>
        <v>1</v>
      </c>
      <c r="AC38" s="154" t="str">
        <v>K</v>
      </c>
      <c r="AD38" s="133">
        <v>47</v>
      </c>
      <c r="AE38" s="133">
        <v>13</v>
      </c>
      <c r="AF38" s="133">
        <v>41</v>
      </c>
      <c r="AG38" s="133">
        <v>14</v>
      </c>
      <c r="AH38" s="133">
        <v>21</v>
      </c>
      <c r="AI38" s="5"/>
      <c r="AJ38" s="154" t="str">
        <v>K</v>
      </c>
      <c r="AK38" s="133">
        <v>47</v>
      </c>
      <c r="AL38" s="133">
        <v>13</v>
      </c>
      <c r="AM38" s="133">
        <v>41</v>
      </c>
      <c r="AN38" s="133">
        <v>14</v>
      </c>
      <c r="AO38" s="133">
        <v>21</v>
      </c>
    </row>
    <row r="39" spans="10:41" ht="16.5" customHeight="1" x14ac:dyDescent="0.3">
      <c r="J39" s="9">
        <v>35</v>
      </c>
      <c r="K39" s="16" t="s">
        <v>125</v>
      </c>
      <c r="L39" s="16" t="s">
        <v>37</v>
      </c>
      <c r="M39" s="16" t="s">
        <v>125</v>
      </c>
      <c r="N39" s="16" t="s">
        <v>21</v>
      </c>
      <c r="O39" s="16" t="s">
        <v>36</v>
      </c>
      <c r="Q39" s="9">
        <v>6</v>
      </c>
      <c r="R39" s="9">
        <v>7</v>
      </c>
      <c r="S39" s="9">
        <v>6</v>
      </c>
      <c r="T39" s="9">
        <v>2</v>
      </c>
      <c r="U39" s="9">
        <v>10</v>
      </c>
      <c r="W39" s="25" cm="1">
        <f t="array" ref="W39">_xlfn.LET(_xlpm.x, K39:K41, IF(SUM((_xlpm.x="C1")*1)=1, 3, 1))</f>
        <v>1</v>
      </c>
      <c r="X39" s="25" cm="1">
        <f t="array" ref="X39">_xlfn.LET(_xlpm.x, L39:L41, IF(SUM((_xlpm.x="C1")*1)=1, 3, 1))</f>
        <v>1</v>
      </c>
      <c r="Y39" s="25" cm="1">
        <f t="array" ref="Y39">_xlfn.LET(_xlpm.x, M39:M41, IF(SUM((_xlpm.x="C1")*1)=1, 3, 1))</f>
        <v>1</v>
      </c>
      <c r="Z39" s="25" cm="1">
        <f t="array" ref="Z39">_xlfn.LET(_xlpm.x, N39:N41, IF(SUM((_xlpm.x="C1")*1)=1, 3, 1))</f>
        <v>3</v>
      </c>
      <c r="AA39" s="25" cm="1">
        <f t="array" ref="AA39">_xlfn.LET(_xlpm.x, O39:O41, IF(SUM((_xlpm.x="C1")*1)=1, 3, 1))</f>
        <v>1</v>
      </c>
      <c r="AC39" s="154" t="str">
        <v>Q</v>
      </c>
      <c r="AD39" s="133">
        <v>4</v>
      </c>
      <c r="AE39" s="133">
        <v>17</v>
      </c>
      <c r="AF39" s="133">
        <v>3</v>
      </c>
      <c r="AG39" s="133">
        <v>21</v>
      </c>
      <c r="AH39" s="133">
        <v>21</v>
      </c>
      <c r="AI39" s="5"/>
      <c r="AJ39" s="154" t="str">
        <v>Q</v>
      </c>
      <c r="AK39" s="133">
        <v>4</v>
      </c>
      <c r="AL39" s="133">
        <v>17</v>
      </c>
      <c r="AM39" s="133">
        <v>3</v>
      </c>
      <c r="AN39" s="133">
        <v>21</v>
      </c>
      <c r="AO39" s="133">
        <v>21</v>
      </c>
    </row>
    <row r="40" spans="10:41" ht="16.5" customHeight="1" x14ac:dyDescent="0.3">
      <c r="J40" s="25">
        <v>36</v>
      </c>
      <c r="K40" s="16" t="s">
        <v>37</v>
      </c>
      <c r="L40" s="16" t="s">
        <v>92</v>
      </c>
      <c r="M40" s="16" t="s">
        <v>35</v>
      </c>
      <c r="N40" s="16" t="s">
        <v>91</v>
      </c>
      <c r="O40" s="16" t="s">
        <v>21</v>
      </c>
      <c r="Q40" s="9">
        <v>7</v>
      </c>
      <c r="R40" s="9">
        <v>16</v>
      </c>
      <c r="S40" s="9">
        <v>8</v>
      </c>
      <c r="T40" s="9">
        <v>14</v>
      </c>
      <c r="U40" s="9">
        <v>2</v>
      </c>
      <c r="W40" s="25" cm="1">
        <f t="array" ref="W40">_xlfn.LET(_xlpm.x, K40:K42, IF(SUM((_xlpm.x="C1")*1)=1, 3, 1))</f>
        <v>1</v>
      </c>
      <c r="X40" s="25" cm="1">
        <f t="array" ref="X40">_xlfn.LET(_xlpm.x, L40:L42, IF(SUM((_xlpm.x="C1")*1)=1, 3, 1))</f>
        <v>1</v>
      </c>
      <c r="Y40" s="25" cm="1">
        <f t="array" ref="Y40">_xlfn.LET(_xlpm.x, M40:M42, IF(SUM((_xlpm.x="C1")*1)=1, 3, 1))</f>
        <v>1</v>
      </c>
      <c r="Z40" s="25" cm="1">
        <f t="array" ref="Z40">_xlfn.LET(_xlpm.x, N40:N42, IF(SUM((_xlpm.x="C1")*1)=1, 3, 1))</f>
        <v>3</v>
      </c>
      <c r="AA40" s="25" cm="1">
        <f t="array" ref="AA40">_xlfn.LET(_xlpm.x, O40:O42, IF(SUM((_xlpm.x="C1")*1)=1, 3, 1))</f>
        <v>1</v>
      </c>
      <c r="AC40" s="154" t="str">
        <v>J</v>
      </c>
      <c r="AD40" s="133">
        <v>4</v>
      </c>
      <c r="AE40" s="133">
        <v>17</v>
      </c>
      <c r="AF40" s="133">
        <v>3</v>
      </c>
      <c r="AG40" s="133">
        <v>21</v>
      </c>
      <c r="AH40" s="133">
        <v>21</v>
      </c>
      <c r="AI40" s="5"/>
      <c r="AJ40" s="154" t="str">
        <v>J</v>
      </c>
      <c r="AK40" s="133">
        <v>4</v>
      </c>
      <c r="AL40" s="133">
        <v>17</v>
      </c>
      <c r="AM40" s="133">
        <v>3</v>
      </c>
      <c r="AN40" s="133">
        <v>21</v>
      </c>
      <c r="AO40" s="133">
        <v>21</v>
      </c>
    </row>
    <row r="41" spans="10:41" ht="16.5" customHeight="1" x14ac:dyDescent="0.3">
      <c r="J41" s="9">
        <v>37</v>
      </c>
      <c r="K41" s="16" t="s">
        <v>19</v>
      </c>
      <c r="L41" s="16" t="s">
        <v>92</v>
      </c>
      <c r="M41" s="16" t="s">
        <v>37</v>
      </c>
      <c r="N41" s="16" t="s">
        <v>20</v>
      </c>
      <c r="O41" s="16" t="s">
        <v>34</v>
      </c>
      <c r="Q41" s="9">
        <v>5</v>
      </c>
      <c r="R41" s="9">
        <v>16</v>
      </c>
      <c r="S41" s="9">
        <v>7</v>
      </c>
      <c r="T41" s="9">
        <v>1</v>
      </c>
      <c r="U41" s="9">
        <v>9</v>
      </c>
      <c r="W41" s="25" cm="1">
        <f t="array" ref="W41">_xlfn.LET(_xlpm.x, K41:K43, IF(SUM((_xlpm.x="C1")*1)=1, 3, 1))</f>
        <v>1</v>
      </c>
      <c r="X41" s="25" cm="1">
        <f t="array" ref="X41">_xlfn.LET(_xlpm.x, L41:L43, IF(SUM((_xlpm.x="C1")*1)=1, 3, 1))</f>
        <v>1</v>
      </c>
      <c r="Y41" s="25" cm="1">
        <f t="array" ref="Y41">_xlfn.LET(_xlpm.x, M41:M43, IF(SUM((_xlpm.x="C1")*1)=1, 3, 1))</f>
        <v>1</v>
      </c>
      <c r="Z41" s="25" cm="1">
        <f t="array" ref="Z41">_xlfn.LET(_xlpm.x, N41:N43, IF(SUM((_xlpm.x="C1")*1)=1, 3, 1))</f>
        <v>3</v>
      </c>
      <c r="AA41" s="25" cm="1">
        <f t="array" ref="AA41">_xlfn.LET(_xlpm.x, O41:O43, IF(SUM((_xlpm.x="C1")*1)=1, 3, 1))</f>
        <v>1</v>
      </c>
      <c r="AC41" s="138" t="str">
        <v>G1</v>
      </c>
      <c r="AD41" s="99">
        <v>0</v>
      </c>
      <c r="AE41" s="99">
        <v>8</v>
      </c>
      <c r="AF41" s="99">
        <v>1</v>
      </c>
      <c r="AG41" s="99">
        <v>5</v>
      </c>
      <c r="AH41" s="99">
        <v>0</v>
      </c>
      <c r="AI41" s="5"/>
      <c r="AJ41" s="138" t="str">
        <v>G1</v>
      </c>
      <c r="AK41" s="99">
        <v>0</v>
      </c>
      <c r="AL41" s="99">
        <v>8</v>
      </c>
      <c r="AM41" s="99">
        <v>1</v>
      </c>
      <c r="AN41" s="99">
        <v>5</v>
      </c>
      <c r="AO41" s="99">
        <v>0</v>
      </c>
    </row>
    <row r="42" spans="10:41" ht="16.5" customHeight="1" x14ac:dyDescent="0.3">
      <c r="J42" s="25">
        <v>38</v>
      </c>
      <c r="K42" s="16" t="s">
        <v>19</v>
      </c>
      <c r="L42" s="16" t="s">
        <v>36</v>
      </c>
      <c r="M42" s="16" t="s">
        <v>36</v>
      </c>
      <c r="N42" s="16" t="s">
        <v>125</v>
      </c>
      <c r="O42" s="16" t="s">
        <v>19</v>
      </c>
      <c r="Q42" s="9">
        <v>5</v>
      </c>
      <c r="R42" s="9">
        <v>10</v>
      </c>
      <c r="S42" s="9">
        <v>10</v>
      </c>
      <c r="T42" s="9">
        <v>6</v>
      </c>
      <c r="U42" s="9">
        <v>5</v>
      </c>
      <c r="W42" s="25" cm="1">
        <f t="array" ref="W42">_xlfn.LET(_xlpm.x, K42:K44, IF(SUM((_xlpm.x="C1")*1)=1, 3, 1))</f>
        <v>1</v>
      </c>
      <c r="X42" s="25" cm="1">
        <f t="array" ref="X42">_xlfn.LET(_xlpm.x, L42:L44, IF(SUM((_xlpm.x="C1")*1)=1, 3, 1))</f>
        <v>1</v>
      </c>
      <c r="Y42" s="25" cm="1">
        <f t="array" ref="Y42">_xlfn.LET(_xlpm.x, M42:M44, IF(SUM((_xlpm.x="C1")*1)=1, 3, 1))</f>
        <v>1</v>
      </c>
      <c r="Z42" s="25" cm="1">
        <f t="array" ref="Z42">_xlfn.LET(_xlpm.x, N42:N44, IF(SUM((_xlpm.x="C1")*1)=1, 3, 1))</f>
        <v>1</v>
      </c>
      <c r="AA42" s="25" cm="1">
        <f t="array" ref="AA42">_xlfn.LET(_xlpm.x, O42:O44, IF(SUM((_xlpm.x="C1")*1)=1, 3, 1))</f>
        <v>1</v>
      </c>
      <c r="AC42" s="138" t="str">
        <v>G2</v>
      </c>
      <c r="AD42" s="99">
        <v>0</v>
      </c>
      <c r="AE42" s="99">
        <v>8</v>
      </c>
      <c r="AF42" s="99">
        <v>1</v>
      </c>
      <c r="AG42" s="99">
        <v>5</v>
      </c>
      <c r="AH42" s="99">
        <v>0</v>
      </c>
      <c r="AI42" s="5"/>
      <c r="AJ42" s="138" t="str">
        <v>G2</v>
      </c>
      <c r="AK42" s="99">
        <v>0</v>
      </c>
      <c r="AL42" s="99">
        <v>8</v>
      </c>
      <c r="AM42" s="99">
        <v>1</v>
      </c>
      <c r="AN42" s="99">
        <v>5</v>
      </c>
      <c r="AO42" s="99">
        <v>0</v>
      </c>
    </row>
    <row r="43" spans="10:41" ht="16.5" customHeight="1" x14ac:dyDescent="0.3">
      <c r="J43" s="9">
        <v>39</v>
      </c>
      <c r="K43" s="16" t="s">
        <v>19</v>
      </c>
      <c r="L43" s="16" t="s">
        <v>19</v>
      </c>
      <c r="M43" s="16" t="s">
        <v>37</v>
      </c>
      <c r="N43" s="16" t="s">
        <v>125</v>
      </c>
      <c r="O43" s="16" t="s">
        <v>19</v>
      </c>
      <c r="Q43" s="9">
        <v>5</v>
      </c>
      <c r="R43" s="9">
        <v>5</v>
      </c>
      <c r="S43" s="9">
        <v>7</v>
      </c>
      <c r="T43" s="9">
        <v>6</v>
      </c>
      <c r="U43" s="9">
        <v>5</v>
      </c>
      <c r="W43" s="25" cm="1">
        <f t="array" ref="W43">_xlfn.LET(_xlpm.x, K43:K45, IF(SUM((_xlpm.x="C1")*1)=1, 3, 1))</f>
        <v>1</v>
      </c>
      <c r="X43" s="25" cm="1">
        <f t="array" ref="X43">_xlfn.LET(_xlpm.x, L43:L45, IF(SUM((_xlpm.x="C1")*1)=1, 3, 1))</f>
        <v>1</v>
      </c>
      <c r="Y43" s="25" cm="1">
        <f t="array" ref="Y43">_xlfn.LET(_xlpm.x, M43:M45, IF(SUM((_xlpm.x="C1")*1)=1, 3, 1))</f>
        <v>1</v>
      </c>
      <c r="Z43" s="25" cm="1">
        <f t="array" ref="Z43">_xlfn.LET(_xlpm.x, N43:N45, IF(SUM((_xlpm.x="C1")*1)=1, 3, 1))</f>
        <v>1</v>
      </c>
      <c r="AA43" s="25" cm="1">
        <f t="array" ref="AA43">_xlfn.LET(_xlpm.x, O43:O45, IF(SUM((_xlpm.x="C1")*1)=1, 3, 1))</f>
        <v>1</v>
      </c>
      <c r="AC43" s="138" t="str">
        <v>G3</v>
      </c>
      <c r="AD43" s="99">
        <v>0</v>
      </c>
      <c r="AE43" s="99">
        <v>8</v>
      </c>
      <c r="AF43" s="99">
        <v>1</v>
      </c>
      <c r="AG43" s="99">
        <v>5</v>
      </c>
      <c r="AH43" s="99">
        <v>0</v>
      </c>
      <c r="AI43" s="5"/>
      <c r="AJ43" s="138" t="str">
        <v>G3</v>
      </c>
      <c r="AK43" s="99">
        <v>0</v>
      </c>
      <c r="AL43" s="99">
        <v>8</v>
      </c>
      <c r="AM43" s="99">
        <v>1</v>
      </c>
      <c r="AN43" s="99">
        <v>5</v>
      </c>
      <c r="AO43" s="99">
        <v>0</v>
      </c>
    </row>
    <row r="44" spans="10:41" ht="16.5" customHeight="1" x14ac:dyDescent="0.3">
      <c r="J44" s="25">
        <v>40</v>
      </c>
      <c r="K44" s="16" t="s">
        <v>35</v>
      </c>
      <c r="L44" s="16" t="s">
        <v>89</v>
      </c>
      <c r="M44" s="16" t="s">
        <v>19</v>
      </c>
      <c r="N44" s="16" t="s">
        <v>112</v>
      </c>
      <c r="O44" s="16" t="s">
        <v>37</v>
      </c>
      <c r="Q44" s="9">
        <v>8</v>
      </c>
      <c r="R44" s="9">
        <v>12</v>
      </c>
      <c r="S44" s="9">
        <v>5</v>
      </c>
      <c r="T44" s="9">
        <v>17</v>
      </c>
      <c r="U44" s="9">
        <v>7</v>
      </c>
      <c r="W44" s="25" cm="1">
        <f t="array" ref="W44">_xlfn.LET(_xlpm.x, K44:K46, IF(SUM((_xlpm.x="C1")*1)=1, 3, 1))</f>
        <v>1</v>
      </c>
      <c r="X44" s="25" cm="1">
        <f t="array" ref="X44">_xlfn.LET(_xlpm.x, L44:L46, IF(SUM((_xlpm.x="C1")*1)=1, 3, 1))</f>
        <v>1</v>
      </c>
      <c r="Y44" s="25" cm="1">
        <f t="array" ref="Y44">_xlfn.LET(_xlpm.x, M44:M46, IF(SUM((_xlpm.x="C1")*1)=1, 3, 1))</f>
        <v>1</v>
      </c>
      <c r="Z44" s="25" cm="1">
        <f t="array" ref="Z44">_xlfn.LET(_xlpm.x, N44:N46, IF(SUM((_xlpm.x="C1")*1)=1, 3, 1))</f>
        <v>1</v>
      </c>
      <c r="AA44" s="25" cm="1">
        <f t="array" ref="AA44">_xlfn.LET(_xlpm.x, O44:O46, IF(SUM((_xlpm.x="C1")*1)=1, 3, 1))</f>
        <v>1</v>
      </c>
      <c r="AC44" s="138" t="str">
        <v>G4</v>
      </c>
      <c r="AD44" s="99">
        <v>0</v>
      </c>
      <c r="AE44" s="99">
        <v>5</v>
      </c>
      <c r="AF44" s="99">
        <v>4</v>
      </c>
      <c r="AG44" s="99">
        <v>4</v>
      </c>
      <c r="AH44" s="99">
        <v>0</v>
      </c>
      <c r="AI44" s="5"/>
      <c r="AJ44" s="138" t="str">
        <v>G4</v>
      </c>
      <c r="AK44" s="99">
        <v>0</v>
      </c>
      <c r="AL44" s="99">
        <v>5</v>
      </c>
      <c r="AM44" s="99">
        <v>4</v>
      </c>
      <c r="AN44" s="99">
        <v>4</v>
      </c>
      <c r="AO44" s="99">
        <v>0</v>
      </c>
    </row>
    <row r="45" spans="10:41" ht="16.5" customHeight="1" x14ac:dyDescent="0.3">
      <c r="J45" s="9">
        <v>41</v>
      </c>
      <c r="K45" s="16" t="s">
        <v>125</v>
      </c>
      <c r="L45" s="16" t="s">
        <v>36</v>
      </c>
      <c r="M45" s="16" t="s">
        <v>125</v>
      </c>
      <c r="N45" s="16" t="s">
        <v>21</v>
      </c>
      <c r="O45" s="16" t="s">
        <v>19</v>
      </c>
      <c r="Q45" s="9">
        <v>6</v>
      </c>
      <c r="R45" s="9">
        <v>10</v>
      </c>
      <c r="S45" s="9">
        <v>6</v>
      </c>
      <c r="T45" s="9">
        <v>2</v>
      </c>
      <c r="U45" s="9">
        <v>5</v>
      </c>
      <c r="W45" s="25" cm="1">
        <f t="array" ref="W45">_xlfn.LET(_xlpm.x, K45:K47, IF(SUM((_xlpm.x="C1")*1)=1, 3, 1))</f>
        <v>1</v>
      </c>
      <c r="X45" s="25" cm="1">
        <f t="array" ref="X45">_xlfn.LET(_xlpm.x, L45:L47, IF(SUM((_xlpm.x="C1")*1)=1, 3, 1))</f>
        <v>1</v>
      </c>
      <c r="Y45" s="25" cm="1">
        <f t="array" ref="Y45">_xlfn.LET(_xlpm.x, M45:M47, IF(SUM((_xlpm.x="C1")*1)=1, 3, 1))</f>
        <v>1</v>
      </c>
      <c r="Z45" s="25" cm="1">
        <f t="array" ref="Z45">_xlfn.LET(_xlpm.x, N45:N47, IF(SUM((_xlpm.x="C1")*1)=1, 3, 1))</f>
        <v>1</v>
      </c>
      <c r="AA45" s="25" cm="1">
        <f t="array" ref="AA45">_xlfn.LET(_xlpm.x, O45:O47, IF(SUM((_xlpm.x="C1")*1)=1, 3, 1))</f>
        <v>3</v>
      </c>
      <c r="AC45" s="138" t="str">
        <v>G5</v>
      </c>
      <c r="AD45" s="99">
        <v>0</v>
      </c>
      <c r="AE45" s="99">
        <v>5</v>
      </c>
      <c r="AF45" s="99">
        <v>4</v>
      </c>
      <c r="AG45" s="99">
        <v>4</v>
      </c>
      <c r="AH45" s="99">
        <v>0</v>
      </c>
      <c r="AI45" s="5"/>
      <c r="AJ45" s="138" t="str">
        <v>G5</v>
      </c>
      <c r="AK45" s="99">
        <v>0</v>
      </c>
      <c r="AL45" s="99">
        <v>5</v>
      </c>
      <c r="AM45" s="99">
        <v>4</v>
      </c>
      <c r="AN45" s="99">
        <v>4</v>
      </c>
      <c r="AO45" s="99">
        <v>0</v>
      </c>
    </row>
    <row r="46" spans="10:41" ht="16.5" customHeight="1" x14ac:dyDescent="0.3">
      <c r="J46" s="25">
        <v>42</v>
      </c>
      <c r="K46" s="16" t="s">
        <v>125</v>
      </c>
      <c r="L46" s="16" t="s">
        <v>125</v>
      </c>
      <c r="M46" s="16" t="s">
        <v>37</v>
      </c>
      <c r="N46" s="16" t="s">
        <v>22</v>
      </c>
      <c r="O46" s="16" t="s">
        <v>36</v>
      </c>
      <c r="Q46" s="9">
        <v>6</v>
      </c>
      <c r="R46" s="9">
        <v>6</v>
      </c>
      <c r="S46" s="9">
        <v>7</v>
      </c>
      <c r="T46" s="9">
        <v>3</v>
      </c>
      <c r="U46" s="9">
        <v>10</v>
      </c>
      <c r="W46" s="25" cm="1">
        <f t="array" ref="W46">_xlfn.LET(_xlpm.x, K46:K48, IF(SUM((_xlpm.x="C1")*1)=1, 3, 1))</f>
        <v>1</v>
      </c>
      <c r="X46" s="25" cm="1">
        <f t="array" ref="X46">_xlfn.LET(_xlpm.x, L46:L48, IF(SUM((_xlpm.x="C1")*1)=1, 3, 1))</f>
        <v>3</v>
      </c>
      <c r="Y46" s="25" cm="1">
        <f t="array" ref="Y46">_xlfn.LET(_xlpm.x, M46:M48, IF(SUM((_xlpm.x="C1")*1)=1, 3, 1))</f>
        <v>1</v>
      </c>
      <c r="Z46" s="25" cm="1">
        <f t="array" ref="Z46">_xlfn.LET(_xlpm.x, N46:N48, IF(SUM((_xlpm.x="C1")*1)=1, 3, 1))</f>
        <v>1</v>
      </c>
      <c r="AA46" s="25" cm="1">
        <f t="array" ref="AA46">_xlfn.LET(_xlpm.x, O46:O48, IF(SUM((_xlpm.x="C1")*1)=1, 3, 1))</f>
        <v>3</v>
      </c>
      <c r="AC46" s="138" t="str">
        <v>GA</v>
      </c>
      <c r="AD46" s="99">
        <v>0</v>
      </c>
      <c r="AE46" s="99">
        <v>5</v>
      </c>
      <c r="AF46" s="99">
        <v>4</v>
      </c>
      <c r="AG46" s="99">
        <v>4</v>
      </c>
      <c r="AH46" s="99">
        <v>0</v>
      </c>
      <c r="AI46" s="5"/>
      <c r="AJ46" s="138" t="str">
        <v>GA</v>
      </c>
      <c r="AK46" s="99">
        <v>0</v>
      </c>
      <c r="AL46" s="99">
        <v>5</v>
      </c>
      <c r="AM46" s="99">
        <v>4</v>
      </c>
      <c r="AN46" s="99">
        <v>4</v>
      </c>
      <c r="AO46" s="99">
        <v>0</v>
      </c>
    </row>
    <row r="47" spans="10:41" ht="16.5" customHeight="1" x14ac:dyDescent="0.3">
      <c r="J47" s="9">
        <v>43</v>
      </c>
      <c r="K47" s="16" t="s">
        <v>125</v>
      </c>
      <c r="L47" s="16" t="s">
        <v>95</v>
      </c>
      <c r="M47" s="16" t="s">
        <v>35</v>
      </c>
      <c r="N47" s="16" t="s">
        <v>22</v>
      </c>
      <c r="O47" s="16" t="s">
        <v>20</v>
      </c>
      <c r="Q47" s="9">
        <v>6</v>
      </c>
      <c r="R47" s="9">
        <v>18</v>
      </c>
      <c r="S47" s="9">
        <v>8</v>
      </c>
      <c r="T47" s="9">
        <v>3</v>
      </c>
      <c r="U47" s="9">
        <v>1</v>
      </c>
      <c r="W47" s="25" cm="1">
        <f t="array" ref="W47">_xlfn.LET(_xlpm.x, K47:K49, IF(SUM((_xlpm.x="C1")*1)=1, 3, 1))</f>
        <v>1</v>
      </c>
      <c r="X47" s="25" cm="1">
        <f t="array" ref="X47">_xlfn.LET(_xlpm.x, L47:L49, IF(SUM((_xlpm.x="C1")*1)=1, 3, 1))</f>
        <v>3</v>
      </c>
      <c r="Y47" s="25" cm="1">
        <f t="array" ref="Y47">_xlfn.LET(_xlpm.x, M47:M49, IF(SUM((_xlpm.x="C1")*1)=1, 3, 1))</f>
        <v>1</v>
      </c>
      <c r="Z47" s="25" cm="1">
        <f t="array" ref="Z47">_xlfn.LET(_xlpm.x, N47:N49, IF(SUM((_xlpm.x="C1")*1)=1, 3, 1))</f>
        <v>1</v>
      </c>
      <c r="AA47" s="25" cm="1">
        <f t="array" ref="AA47">_xlfn.LET(_xlpm.x, O47:O49, IF(SUM((_xlpm.x="C1")*1)=1, 3, 1))</f>
        <v>3</v>
      </c>
      <c r="AC47" s="138" t="str">
        <v>GK</v>
      </c>
      <c r="AD47" s="99">
        <v>0</v>
      </c>
      <c r="AE47" s="99">
        <v>5</v>
      </c>
      <c r="AF47" s="99">
        <v>4</v>
      </c>
      <c r="AG47" s="99">
        <v>4</v>
      </c>
      <c r="AH47" s="99">
        <v>0</v>
      </c>
      <c r="AI47" s="5"/>
      <c r="AJ47" s="138" t="str">
        <v>GK</v>
      </c>
      <c r="AK47" s="99">
        <v>0</v>
      </c>
      <c r="AL47" s="99">
        <v>5</v>
      </c>
      <c r="AM47" s="99">
        <v>4</v>
      </c>
      <c r="AN47" s="99">
        <v>4</v>
      </c>
      <c r="AO47" s="99">
        <v>0</v>
      </c>
    </row>
    <row r="48" spans="10:41" ht="16.5" customHeight="1" x14ac:dyDescent="0.3">
      <c r="J48" s="25">
        <v>44</v>
      </c>
      <c r="K48" s="16" t="s">
        <v>19</v>
      </c>
      <c r="L48" s="16" t="s">
        <v>20</v>
      </c>
      <c r="M48" s="16" t="s">
        <v>37</v>
      </c>
      <c r="N48" s="16" t="s">
        <v>21</v>
      </c>
      <c r="O48" s="16" t="s">
        <v>19</v>
      </c>
      <c r="Q48" s="9">
        <v>5</v>
      </c>
      <c r="R48" s="9">
        <v>1</v>
      </c>
      <c r="S48" s="9">
        <v>7</v>
      </c>
      <c r="T48" s="9">
        <v>2</v>
      </c>
      <c r="U48" s="9">
        <v>5</v>
      </c>
      <c r="W48" s="25" cm="1">
        <f t="array" ref="W48">_xlfn.LET(_xlpm.x, K48:K50, IF(SUM((_xlpm.x="C1")*1)=1, 3, 1))</f>
        <v>1</v>
      </c>
      <c r="X48" s="25" cm="1">
        <f t="array" ref="X48">_xlfn.LET(_xlpm.x, L48:L50, IF(SUM((_xlpm.x="C1")*1)=1, 3, 1))</f>
        <v>3</v>
      </c>
      <c r="Y48" s="25" cm="1">
        <f t="array" ref="Y48">_xlfn.LET(_xlpm.x, M48:M50, IF(SUM((_xlpm.x="C1")*1)=1, 3, 1))</f>
        <v>1</v>
      </c>
      <c r="Z48" s="25" cm="1">
        <f t="array" ref="Z48">_xlfn.LET(_xlpm.x, N48:N50, IF(SUM((_xlpm.x="C1")*1)=1, 3, 1))</f>
        <v>1</v>
      </c>
      <c r="AA48" s="25" cm="1">
        <f t="array" ref="AA48">_xlfn.LET(_xlpm.x, O48:O50, IF(SUM((_xlpm.x="C1")*1)=1, 3, 1))</f>
        <v>1</v>
      </c>
      <c r="AC48" s="138" t="str">
        <v>GQ</v>
      </c>
      <c r="AD48" s="99">
        <v>0</v>
      </c>
      <c r="AE48" s="99">
        <v>9</v>
      </c>
      <c r="AF48" s="99">
        <v>1</v>
      </c>
      <c r="AG48" s="99">
        <v>5</v>
      </c>
      <c r="AH48" s="99">
        <v>0</v>
      </c>
      <c r="AI48" s="5"/>
      <c r="AJ48" s="138" t="str">
        <v>GQ</v>
      </c>
      <c r="AK48" s="99">
        <v>0</v>
      </c>
      <c r="AL48" s="99">
        <v>9</v>
      </c>
      <c r="AM48" s="99">
        <v>1</v>
      </c>
      <c r="AN48" s="99">
        <v>5</v>
      </c>
      <c r="AO48" s="99">
        <v>0</v>
      </c>
    </row>
    <row r="49" spans="10:41" ht="16.5" customHeight="1" x14ac:dyDescent="0.3">
      <c r="J49" s="9">
        <v>45</v>
      </c>
      <c r="K49" s="16" t="s">
        <v>35</v>
      </c>
      <c r="L49" s="16" t="s">
        <v>18</v>
      </c>
      <c r="M49" s="16" t="s">
        <v>125</v>
      </c>
      <c r="N49" s="16" t="s">
        <v>36</v>
      </c>
      <c r="O49" s="16" t="s">
        <v>18</v>
      </c>
      <c r="Q49" s="9">
        <v>8</v>
      </c>
      <c r="R49" s="9">
        <v>4</v>
      </c>
      <c r="S49" s="9">
        <v>6</v>
      </c>
      <c r="T49" s="9">
        <v>10</v>
      </c>
      <c r="U49" s="9">
        <v>4</v>
      </c>
      <c r="W49" s="25" cm="1">
        <f t="array" ref="W49">_xlfn.LET(_xlpm.x, K49:K51, IF(SUM((_xlpm.x="C1")*1)=1, 3, 1))</f>
        <v>3</v>
      </c>
      <c r="X49" s="25" cm="1">
        <f t="array" ref="X49">_xlfn.LET(_xlpm.x, L49:L51, IF(SUM((_xlpm.x="C1")*1)=1, 3, 1))</f>
        <v>1</v>
      </c>
      <c r="Y49" s="25" cm="1">
        <f t="array" ref="Y49">_xlfn.LET(_xlpm.x, M49:M51, IF(SUM((_xlpm.x="C1")*1)=1, 3, 1))</f>
        <v>1</v>
      </c>
      <c r="Z49" s="25" cm="1">
        <f t="array" ref="Z49">_xlfn.LET(_xlpm.x, N49:N51, IF(SUM((_xlpm.x="C1")*1)=1, 3, 1))</f>
        <v>1</v>
      </c>
      <c r="AA49" s="25" cm="1">
        <f t="array" ref="AA49">_xlfn.LET(_xlpm.x, O49:O51, IF(SUM((_xlpm.x="C1")*1)=1, 3, 1))</f>
        <v>1</v>
      </c>
      <c r="AC49" s="138" t="str">
        <v>GJ</v>
      </c>
      <c r="AD49" s="99">
        <v>0</v>
      </c>
      <c r="AE49" s="99">
        <v>9</v>
      </c>
      <c r="AF49" s="99">
        <v>1</v>
      </c>
      <c r="AG49" s="99">
        <v>5</v>
      </c>
      <c r="AH49" s="99">
        <v>0</v>
      </c>
      <c r="AI49" s="5"/>
      <c r="AJ49" s="138" t="str">
        <v>GJ</v>
      </c>
      <c r="AK49" s="99">
        <v>0</v>
      </c>
      <c r="AL49" s="99">
        <v>9</v>
      </c>
      <c r="AM49" s="99">
        <v>1</v>
      </c>
      <c r="AN49" s="99">
        <v>5</v>
      </c>
      <c r="AO49" s="99">
        <v>0</v>
      </c>
    </row>
    <row r="50" spans="10:41" ht="16.5" customHeight="1" x14ac:dyDescent="0.3">
      <c r="J50" s="25">
        <v>46</v>
      </c>
      <c r="K50" s="16" t="s">
        <v>37</v>
      </c>
      <c r="L50" s="16" t="s">
        <v>21</v>
      </c>
      <c r="M50" s="16" t="s">
        <v>37</v>
      </c>
      <c r="N50" s="16" t="s">
        <v>22</v>
      </c>
      <c r="O50" s="16" t="s">
        <v>36</v>
      </c>
      <c r="Q50" s="9">
        <v>7</v>
      </c>
      <c r="R50" s="9">
        <v>2</v>
      </c>
      <c r="S50" s="9">
        <v>7</v>
      </c>
      <c r="T50" s="9">
        <v>3</v>
      </c>
      <c r="U50" s="9">
        <v>10</v>
      </c>
      <c r="W50" s="25" cm="1">
        <f t="array" ref="W50">_xlfn.LET(_xlpm.x, K50:K52, IF(SUM((_xlpm.x="C1")*1)=1, 3, 1))</f>
        <v>3</v>
      </c>
      <c r="X50" s="25" cm="1">
        <f t="array" ref="X50">_xlfn.LET(_xlpm.x, L50:L52, IF(SUM((_xlpm.x="C1")*1)=1, 3, 1))</f>
        <v>1</v>
      </c>
      <c r="Y50" s="25" cm="1">
        <f t="array" ref="Y50">_xlfn.LET(_xlpm.x, M50:M52, IF(SUM((_xlpm.x="C1")*1)=1, 3, 1))</f>
        <v>1</v>
      </c>
      <c r="Z50" s="25" cm="1">
        <f t="array" ref="Z50">_xlfn.LET(_xlpm.x, N50:N52, IF(SUM((_xlpm.x="C1")*1)=1, 3, 1))</f>
        <v>1</v>
      </c>
      <c r="AA50" s="25" cm="1">
        <f t="array" ref="AA50">_xlfn.LET(_xlpm.x, O50:O52, IF(SUM((_xlpm.x="C1")*1)=1, 3, 1))</f>
        <v>1</v>
      </c>
      <c r="AD50" s="113">
        <f>SUM(AD30:AD49)</f>
        <v>197</v>
      </c>
      <c r="AE50" s="113">
        <f>SUM(AE30:AE49)</f>
        <v>206</v>
      </c>
      <c r="AF50" s="113">
        <f>SUM(AF30:AF49)</f>
        <v>206</v>
      </c>
      <c r="AG50" s="113">
        <f>SUM(AG30:AG49)</f>
        <v>206</v>
      </c>
      <c r="AH50" s="113">
        <f>SUM(AH30:AH49)</f>
        <v>197</v>
      </c>
      <c r="AI50" s="5"/>
      <c r="AK50" s="113">
        <f>SUM(AK30:AK49)</f>
        <v>197</v>
      </c>
      <c r="AL50" s="113">
        <f>SUM(AL30:AL49)</f>
        <v>206</v>
      </c>
      <c r="AM50" s="113">
        <f>SUM(AM30:AM49)</f>
        <v>206</v>
      </c>
      <c r="AN50" s="113">
        <f>SUM(AN30:AN49)</f>
        <v>206</v>
      </c>
      <c r="AO50" s="113">
        <f>SUM(AO30:AO49)</f>
        <v>197</v>
      </c>
    </row>
    <row r="51" spans="10:41" ht="16.5" customHeight="1" x14ac:dyDescent="0.3">
      <c r="J51" s="9">
        <v>47</v>
      </c>
      <c r="K51" s="16" t="s">
        <v>20</v>
      </c>
      <c r="L51" s="16" t="s">
        <v>88</v>
      </c>
      <c r="M51" s="16" t="s">
        <v>22</v>
      </c>
      <c r="N51" s="16" t="s">
        <v>21</v>
      </c>
      <c r="O51" s="16" t="s">
        <v>34</v>
      </c>
      <c r="Q51" s="9">
        <v>1</v>
      </c>
      <c r="R51" s="9">
        <v>11</v>
      </c>
      <c r="S51" s="9">
        <v>3</v>
      </c>
      <c r="T51" s="9">
        <v>2</v>
      </c>
      <c r="U51" s="9">
        <v>9</v>
      </c>
      <c r="W51" s="25" cm="1">
        <f t="array" ref="W51">_xlfn.LET(_xlpm.x, K51:K53, IF(SUM((_xlpm.x="C1")*1)=1, 3, 1))</f>
        <v>3</v>
      </c>
      <c r="X51" s="25" cm="1">
        <f t="array" ref="X51">_xlfn.LET(_xlpm.x, L51:L53, IF(SUM((_xlpm.x="C1")*1)=1, 3, 1))</f>
        <v>1</v>
      </c>
      <c r="Y51" s="25" cm="1">
        <f t="array" ref="Y51">_xlfn.LET(_xlpm.x, M51:M53, IF(SUM((_xlpm.x="C1")*1)=1, 3, 1))</f>
        <v>1</v>
      </c>
      <c r="Z51" s="25" cm="1">
        <f t="array" ref="Z51">_xlfn.LET(_xlpm.x, N51:N53, IF(SUM((_xlpm.x="C1")*1)=1, 3, 1))</f>
        <v>1</v>
      </c>
      <c r="AA51" s="25" cm="1">
        <f t="array" ref="AA51">_xlfn.LET(_xlpm.x, O51:O53, IF(SUM((_xlpm.x="C1")*1)=1, 3, 1))</f>
        <v>1</v>
      </c>
      <c r="AH51" s="5"/>
      <c r="AI51" s="5"/>
      <c r="AO51" s="5"/>
    </row>
    <row r="52" spans="10:41" ht="16.5" customHeight="1" x14ac:dyDescent="0.3">
      <c r="J52" s="25">
        <v>48</v>
      </c>
      <c r="K52" s="16" t="s">
        <v>35</v>
      </c>
      <c r="L52" s="16" t="s">
        <v>91</v>
      </c>
      <c r="M52" s="16" t="s">
        <v>37</v>
      </c>
      <c r="N52" s="16" t="s">
        <v>37</v>
      </c>
      <c r="O52" s="16" t="s">
        <v>21</v>
      </c>
      <c r="Q52" s="9">
        <v>8</v>
      </c>
      <c r="R52" s="9">
        <v>14</v>
      </c>
      <c r="S52" s="9">
        <v>7</v>
      </c>
      <c r="T52" s="9">
        <v>7</v>
      </c>
      <c r="U52" s="9">
        <v>2</v>
      </c>
      <c r="W52" s="25" cm="1">
        <f t="array" ref="W52">_xlfn.LET(_xlpm.x, K52:K54, IF(SUM((_xlpm.x="C1")*1)=1, 3, 1))</f>
        <v>1</v>
      </c>
      <c r="X52" s="25" cm="1">
        <f t="array" ref="X52">_xlfn.LET(_xlpm.x, L52:L54, IF(SUM((_xlpm.x="C1")*1)=1, 3, 1))</f>
        <v>1</v>
      </c>
      <c r="Y52" s="25" cm="1">
        <f t="array" ref="Y52">_xlfn.LET(_xlpm.x, M52:M54, IF(SUM((_xlpm.x="C1")*1)=1, 3, 1))</f>
        <v>1</v>
      </c>
      <c r="Z52" s="25" cm="1">
        <f t="array" ref="Z52">_xlfn.LET(_xlpm.x, N52:N54, IF(SUM((_xlpm.x="C1")*1)=1, 3, 1))</f>
        <v>1</v>
      </c>
      <c r="AA52" s="25" cm="1">
        <f t="array" ref="AA52">_xlfn.LET(_xlpm.x, O52:O54, IF(SUM((_xlpm.x="C1")*1)=1, 3, 1))</f>
        <v>1</v>
      </c>
      <c r="AC52" s="27" t="s">
        <v>130</v>
      </c>
      <c r="AH52" s="5"/>
      <c r="AI52" s="5"/>
      <c r="AJ52" s="27" t="s">
        <v>130</v>
      </c>
      <c r="AO52" s="5"/>
    </row>
    <row r="53" spans="10:41" ht="16.5" customHeight="1" x14ac:dyDescent="0.3">
      <c r="J53" s="9">
        <v>49</v>
      </c>
      <c r="K53" s="16" t="s">
        <v>37</v>
      </c>
      <c r="L53" s="16" t="s">
        <v>35</v>
      </c>
      <c r="M53" s="16" t="s">
        <v>37</v>
      </c>
      <c r="N53" s="16" t="s">
        <v>34</v>
      </c>
      <c r="O53" s="16" t="s">
        <v>37</v>
      </c>
      <c r="Q53" s="9">
        <v>7</v>
      </c>
      <c r="R53" s="9">
        <v>8</v>
      </c>
      <c r="S53" s="9">
        <v>7</v>
      </c>
      <c r="T53" s="9">
        <v>9</v>
      </c>
      <c r="U53" s="9">
        <v>7</v>
      </c>
      <c r="W53" s="25" cm="1">
        <f t="array" ref="W53">_xlfn.LET(_xlpm.x, K53:K55, IF(SUM((_xlpm.x="C1")*1)=1, 3, 1))</f>
        <v>1</v>
      </c>
      <c r="X53" s="25" cm="1">
        <f t="array" ref="X53">_xlfn.LET(_xlpm.x, L53:L55, IF(SUM((_xlpm.x="C1")*1)=1, 3, 1))</f>
        <v>1</v>
      </c>
      <c r="Y53" s="25" cm="1">
        <f t="array" ref="Y53">_xlfn.LET(_xlpm.x, M53:M55, IF(SUM((_xlpm.x="C1")*1)=1, 3, 1))</f>
        <v>1</v>
      </c>
      <c r="Z53" s="25" cm="1">
        <f t="array" ref="Z53">_xlfn.LET(_xlpm.x, N53:N55, IF(SUM((_xlpm.x="C1")*1)=1, 3, 1))</f>
        <v>1</v>
      </c>
      <c r="AA53" s="25" cm="1">
        <f t="array" ref="AA53">_xlfn.LET(_xlpm.x, O53:O55, IF(SUM((_xlpm.x="C1")*1)=1, 3, 1))</f>
        <v>1</v>
      </c>
      <c r="AC53" s="135" t="s">
        <v>42</v>
      </c>
      <c r="AD53" s="135" t="s">
        <v>13</v>
      </c>
      <c r="AE53" s="135" t="s">
        <v>14</v>
      </c>
      <c r="AF53" s="135" t="s">
        <v>15</v>
      </c>
      <c r="AG53" s="135" t="s">
        <v>16</v>
      </c>
      <c r="AH53" s="135" t="s">
        <v>17</v>
      </c>
      <c r="AI53" s="5"/>
      <c r="AJ53" s="135" t="s">
        <v>42</v>
      </c>
      <c r="AK53" s="135" t="s">
        <v>13</v>
      </c>
      <c r="AL53" s="135" t="s">
        <v>14</v>
      </c>
      <c r="AM53" s="135" t="s">
        <v>15</v>
      </c>
      <c r="AN53" s="135" t="s">
        <v>16</v>
      </c>
      <c r="AO53" s="135" t="s">
        <v>17</v>
      </c>
    </row>
    <row r="54" spans="10:41" ht="16.5" customHeight="1" x14ac:dyDescent="0.3">
      <c r="J54" s="25">
        <v>50</v>
      </c>
      <c r="K54" s="16" t="s">
        <v>37</v>
      </c>
      <c r="L54" s="16" t="s">
        <v>35</v>
      </c>
      <c r="M54" s="16" t="s">
        <v>37</v>
      </c>
      <c r="N54" s="16" t="s">
        <v>34</v>
      </c>
      <c r="O54" s="16" t="s">
        <v>18</v>
      </c>
      <c r="Q54" s="9">
        <v>7</v>
      </c>
      <c r="R54" s="9">
        <v>8</v>
      </c>
      <c r="S54" s="9">
        <v>7</v>
      </c>
      <c r="T54" s="9">
        <v>9</v>
      </c>
      <c r="U54" s="9">
        <v>4</v>
      </c>
      <c r="W54" s="25" cm="1">
        <f t="array" ref="W54">_xlfn.LET(_xlpm.x, K54:K56, IF(SUM((_xlpm.x="C1")*1)=1, 3, 1))</f>
        <v>1</v>
      </c>
      <c r="X54" s="25" cm="1">
        <f t="array" ref="X54">_xlfn.LET(_xlpm.x, L54:L56, IF(SUM((_xlpm.x="C1")*1)=1, 3, 1))</f>
        <v>1</v>
      </c>
      <c r="Y54" s="25" cm="1">
        <f t="array" ref="Y54">_xlfn.LET(_xlpm.x, M54:M56, IF(SUM((_xlpm.x="C1")*1)=1, 3, 1))</f>
        <v>1</v>
      </c>
      <c r="Z54" s="25" cm="1">
        <f t="array" ref="Z54">_xlfn.LET(_xlpm.x, N54:N56, IF(SUM((_xlpm.x="C1")*1)=1, 3, 1))</f>
        <v>1</v>
      </c>
      <c r="AA54" s="25" cm="1">
        <f t="array" ref="AA54">_xlfn.LET(_xlpm.x, O54:O56, IF(SUM((_xlpm.x="C1")*1)=1, 3, 1))</f>
        <v>1</v>
      </c>
      <c r="AC54" s="138" t="str" cm="1">
        <f t="array" ref="AC54:AC73">$A$4:$A$23</f>
        <v>WW</v>
      </c>
      <c r="AD54" s="139">
        <v>0</v>
      </c>
      <c r="AE54" s="139">
        <v>0</v>
      </c>
      <c r="AF54" s="139">
        <v>0</v>
      </c>
      <c r="AG54" s="139">
        <v>0</v>
      </c>
      <c r="AH54" s="139">
        <v>0</v>
      </c>
      <c r="AI54" s="5"/>
      <c r="AJ54" s="138" t="str" cm="1">
        <f t="array" ref="AJ54:AJ73">$A$4:$A$23</f>
        <v>WW</v>
      </c>
      <c r="AK54" s="139">
        <v>0</v>
      </c>
      <c r="AL54" s="139">
        <v>0</v>
      </c>
      <c r="AM54" s="139">
        <v>0</v>
      </c>
      <c r="AN54" s="139">
        <v>0</v>
      </c>
      <c r="AO54" s="139">
        <v>0</v>
      </c>
    </row>
    <row r="55" spans="10:41" ht="16.5" customHeight="1" x14ac:dyDescent="0.3">
      <c r="J55" s="9">
        <v>51</v>
      </c>
      <c r="K55" s="16" t="s">
        <v>125</v>
      </c>
      <c r="L55" s="16" t="s">
        <v>112</v>
      </c>
      <c r="M55" s="16" t="s">
        <v>35</v>
      </c>
      <c r="N55" s="16" t="s">
        <v>91</v>
      </c>
      <c r="O55" s="16" t="s">
        <v>21</v>
      </c>
      <c r="Q55" s="9">
        <v>6</v>
      </c>
      <c r="R55" s="9">
        <v>17</v>
      </c>
      <c r="S55" s="9">
        <v>8</v>
      </c>
      <c r="T55" s="9">
        <v>14</v>
      </c>
      <c r="U55" s="9">
        <v>2</v>
      </c>
      <c r="W55" s="25" cm="1">
        <f t="array" ref="W55">_xlfn.LET(_xlpm.x, K55:K57, IF(SUM((_xlpm.x="C1")*1)=1, 3, 1))</f>
        <v>1</v>
      </c>
      <c r="X55" s="25" cm="1">
        <f t="array" ref="X55">_xlfn.LET(_xlpm.x, L55:L57, IF(SUM((_xlpm.x="C1")*1)=1, 3, 1))</f>
        <v>1</v>
      </c>
      <c r="Y55" s="25" cm="1">
        <f t="array" ref="Y55">_xlfn.LET(_xlpm.x, M55:M57, IF(SUM((_xlpm.x="C1")*1)=1, 3, 1))</f>
        <v>1</v>
      </c>
      <c r="Z55" s="25" cm="1">
        <f t="array" ref="Z55">_xlfn.LET(_xlpm.x, N55:N57, IF(SUM((_xlpm.x="C1")*1)=1, 3, 1))</f>
        <v>1</v>
      </c>
      <c r="AA55" s="25" cm="1">
        <f t="array" ref="AA55">_xlfn.LET(_xlpm.x, O55:O57, IF(SUM((_xlpm.x="C1")*1)=1, 3, 1))</f>
        <v>1</v>
      </c>
      <c r="AC55" s="138" t="str">
        <v>C1</v>
      </c>
      <c r="AD55" s="138">
        <v>1</v>
      </c>
      <c r="AE55" s="138">
        <v>1</v>
      </c>
      <c r="AF55" s="138">
        <v>1</v>
      </c>
      <c r="AG55" s="138">
        <v>3</v>
      </c>
      <c r="AH55" s="138">
        <v>3</v>
      </c>
      <c r="AI55" s="5"/>
      <c r="AJ55" s="138" t="str">
        <v>C1</v>
      </c>
      <c r="AK55" s="138">
        <v>1</v>
      </c>
      <c r="AL55" s="138">
        <v>1</v>
      </c>
      <c r="AM55" s="138">
        <v>1</v>
      </c>
      <c r="AN55" s="138">
        <v>3</v>
      </c>
      <c r="AO55" s="138">
        <v>3</v>
      </c>
    </row>
    <row r="56" spans="10:41" ht="16.5" customHeight="1" x14ac:dyDescent="0.3">
      <c r="J56" s="25">
        <v>52</v>
      </c>
      <c r="K56" s="16" t="s">
        <v>35</v>
      </c>
      <c r="L56" s="16" t="s">
        <v>34</v>
      </c>
      <c r="M56" s="16" t="s">
        <v>37</v>
      </c>
      <c r="N56" s="16" t="s">
        <v>18</v>
      </c>
      <c r="O56" s="16" t="s">
        <v>19</v>
      </c>
      <c r="Q56" s="9">
        <v>8</v>
      </c>
      <c r="R56" s="9">
        <v>9</v>
      </c>
      <c r="S56" s="9">
        <v>7</v>
      </c>
      <c r="T56" s="9">
        <v>4</v>
      </c>
      <c r="U56" s="9">
        <v>5</v>
      </c>
      <c r="W56" s="25" cm="1">
        <f t="array" ref="W56">_xlfn.LET(_xlpm.x, K56:K58, IF(SUM((_xlpm.x="C1")*1)=1, 3, 1))</f>
        <v>1</v>
      </c>
      <c r="X56" s="25" cm="1">
        <f t="array" ref="X56">_xlfn.LET(_xlpm.x, L56:L58, IF(SUM((_xlpm.x="C1")*1)=1, 3, 1))</f>
        <v>1</v>
      </c>
      <c r="Y56" s="25" cm="1">
        <f t="array" ref="Y56">_xlfn.LET(_xlpm.x, M56:M58, IF(SUM((_xlpm.x="C1")*1)=1, 3, 1))</f>
        <v>1</v>
      </c>
      <c r="Z56" s="25" cm="1">
        <f t="array" ref="Z56">_xlfn.LET(_xlpm.x, N56:N58, IF(SUM((_xlpm.x="C1")*1)=1, 3, 1))</f>
        <v>1</v>
      </c>
      <c r="AA56" s="25" cm="1">
        <f t="array" ref="AA56">_xlfn.LET(_xlpm.x, O56:O58, IF(SUM((_xlpm.x="C1")*1)=1, 3, 1))</f>
        <v>1</v>
      </c>
      <c r="AC56" s="154" t="str">
        <v>M1</v>
      </c>
      <c r="AD56" s="133">
        <v>4</v>
      </c>
      <c r="AE56" s="133">
        <v>17</v>
      </c>
      <c r="AF56" s="133">
        <v>4</v>
      </c>
      <c r="AG56" s="133">
        <v>21</v>
      </c>
      <c r="AH56" s="133">
        <v>22</v>
      </c>
      <c r="AI56" s="5"/>
      <c r="AJ56" s="154" t="str">
        <v>M1</v>
      </c>
      <c r="AK56" s="133">
        <v>4</v>
      </c>
      <c r="AL56" s="133">
        <v>17</v>
      </c>
      <c r="AM56" s="133">
        <v>4</v>
      </c>
      <c r="AN56" s="133">
        <v>21</v>
      </c>
      <c r="AO56" s="133">
        <v>22</v>
      </c>
    </row>
    <row r="57" spans="10:41" ht="16.5" customHeight="1" x14ac:dyDescent="0.3">
      <c r="J57" s="9">
        <v>53</v>
      </c>
      <c r="K57" s="16" t="s">
        <v>37</v>
      </c>
      <c r="L57" s="16" t="s">
        <v>34</v>
      </c>
      <c r="M57" s="16" t="s">
        <v>125</v>
      </c>
      <c r="N57" s="16" t="s">
        <v>18</v>
      </c>
      <c r="O57" s="16" t="s">
        <v>22</v>
      </c>
      <c r="Q57" s="9">
        <v>7</v>
      </c>
      <c r="R57" s="9">
        <v>9</v>
      </c>
      <c r="S57" s="9">
        <v>6</v>
      </c>
      <c r="T57" s="9">
        <v>4</v>
      </c>
      <c r="U57" s="9">
        <v>3</v>
      </c>
      <c r="W57" s="25" cm="1">
        <f t="array" ref="W57">_xlfn.LET(_xlpm.x, K57:K59, IF(SUM((_xlpm.x="C1")*1)=1, 3, 1))</f>
        <v>1</v>
      </c>
      <c r="X57" s="25" cm="1">
        <f t="array" ref="X57">_xlfn.LET(_xlpm.x, L57:L59, IF(SUM((_xlpm.x="C1")*1)=1, 3, 1))</f>
        <v>1</v>
      </c>
      <c r="Y57" s="25" cm="1">
        <f t="array" ref="Y57">_xlfn.LET(_xlpm.x, M57:M59, IF(SUM((_xlpm.x="C1")*1)=1, 3, 1))</f>
        <v>1</v>
      </c>
      <c r="Z57" s="25" cm="1">
        <f t="array" ref="Z57">_xlfn.LET(_xlpm.x, N57:N59, IF(SUM((_xlpm.x="C1")*1)=1, 3, 1))</f>
        <v>1</v>
      </c>
      <c r="AA57" s="25" cm="1">
        <f t="array" ref="AA57">_xlfn.LET(_xlpm.x, O57:O59, IF(SUM((_xlpm.x="C1")*1)=1, 3, 1))</f>
        <v>1</v>
      </c>
      <c r="AC57" s="154" t="str">
        <v>M2</v>
      </c>
      <c r="AD57" s="133">
        <v>4</v>
      </c>
      <c r="AE57" s="133">
        <v>18</v>
      </c>
      <c r="AF57" s="133">
        <v>4</v>
      </c>
      <c r="AG57" s="133">
        <v>20</v>
      </c>
      <c r="AH57" s="133">
        <v>22</v>
      </c>
      <c r="AI57" s="5"/>
      <c r="AJ57" s="154" t="str">
        <v>M2</v>
      </c>
      <c r="AK57" s="133">
        <v>4</v>
      </c>
      <c r="AL57" s="133">
        <v>18</v>
      </c>
      <c r="AM57" s="133">
        <v>4</v>
      </c>
      <c r="AN57" s="133">
        <v>20</v>
      </c>
      <c r="AO57" s="133">
        <v>22</v>
      </c>
    </row>
    <row r="58" spans="10:41" ht="16.5" customHeight="1" x14ac:dyDescent="0.3">
      <c r="J58" s="25">
        <v>54</v>
      </c>
      <c r="K58" s="16" t="s">
        <v>37</v>
      </c>
      <c r="L58" s="16" t="s">
        <v>90</v>
      </c>
      <c r="M58" s="16" t="s">
        <v>35</v>
      </c>
      <c r="N58" s="16" t="s">
        <v>88</v>
      </c>
      <c r="O58" s="16" t="s">
        <v>21</v>
      </c>
      <c r="Q58" s="9">
        <v>7</v>
      </c>
      <c r="R58" s="9">
        <v>13</v>
      </c>
      <c r="S58" s="9">
        <v>8</v>
      </c>
      <c r="T58" s="9">
        <v>11</v>
      </c>
      <c r="U58" s="9">
        <v>2</v>
      </c>
      <c r="W58" s="25" cm="1">
        <f t="array" ref="W58">_xlfn.LET(_xlpm.x, K58:K60, IF(SUM((_xlpm.x="C1")*1)=1, 3, 1))</f>
        <v>1</v>
      </c>
      <c r="X58" s="25" cm="1">
        <f t="array" ref="X58">_xlfn.LET(_xlpm.x, L58:L60, IF(SUM((_xlpm.x="C1")*1)=1, 3, 1))</f>
        <v>1</v>
      </c>
      <c r="Y58" s="25" cm="1">
        <f t="array" ref="Y58">_xlfn.LET(_xlpm.x, M58:M60, IF(SUM((_xlpm.x="C1")*1)=1, 3, 1))</f>
        <v>1</v>
      </c>
      <c r="Z58" s="25" cm="1">
        <f t="array" ref="Z58">_xlfn.LET(_xlpm.x, N58:N60, IF(SUM((_xlpm.x="C1")*1)=1, 3, 1))</f>
        <v>1</v>
      </c>
      <c r="AA58" s="25" cm="1">
        <f t="array" ref="AA58">_xlfn.LET(_xlpm.x, O58:O60, IF(SUM((_xlpm.x="C1")*1)=1, 3, 1))</f>
        <v>1</v>
      </c>
      <c r="AC58" s="154" t="str">
        <v>M3</v>
      </c>
      <c r="AD58" s="133">
        <v>4</v>
      </c>
      <c r="AE58" s="133">
        <v>18</v>
      </c>
      <c r="AF58" s="133">
        <v>4</v>
      </c>
      <c r="AG58" s="133">
        <v>20</v>
      </c>
      <c r="AH58" s="133">
        <v>21</v>
      </c>
      <c r="AI58" s="5"/>
      <c r="AJ58" s="154" t="str">
        <v>M3</v>
      </c>
      <c r="AK58" s="133">
        <v>4</v>
      </c>
      <c r="AL58" s="133">
        <v>18</v>
      </c>
      <c r="AM58" s="133">
        <v>4</v>
      </c>
      <c r="AN58" s="133">
        <v>20</v>
      </c>
      <c r="AO58" s="133">
        <v>21</v>
      </c>
    </row>
    <row r="59" spans="10:41" ht="16.5" customHeight="1" x14ac:dyDescent="0.3">
      <c r="J59" s="9">
        <v>55</v>
      </c>
      <c r="K59" s="16" t="s">
        <v>37</v>
      </c>
      <c r="L59" s="16" t="s">
        <v>18</v>
      </c>
      <c r="M59" s="16" t="s">
        <v>35</v>
      </c>
      <c r="N59" s="16" t="s">
        <v>18</v>
      </c>
      <c r="O59" s="16" t="s">
        <v>35</v>
      </c>
      <c r="Q59" s="9">
        <v>7</v>
      </c>
      <c r="R59" s="9">
        <v>4</v>
      </c>
      <c r="S59" s="9">
        <v>8</v>
      </c>
      <c r="T59" s="9">
        <v>4</v>
      </c>
      <c r="U59" s="9">
        <v>8</v>
      </c>
      <c r="W59" s="25" cm="1">
        <f t="array" ref="W59">_xlfn.LET(_xlpm.x, K59:K61, IF(SUM((_xlpm.x="C1")*1)=1, 3, 1))</f>
        <v>1</v>
      </c>
      <c r="X59" s="25" cm="1">
        <f t="array" ref="X59">_xlfn.LET(_xlpm.x, L59:L61, IF(SUM((_xlpm.x="C1")*1)=1, 3, 1))</f>
        <v>1</v>
      </c>
      <c r="Y59" s="25" cm="1">
        <f t="array" ref="Y59">_xlfn.LET(_xlpm.x, M59:M61, IF(SUM((_xlpm.x="C1")*1)=1, 3, 1))</f>
        <v>1</v>
      </c>
      <c r="Z59" s="25" cm="1">
        <f t="array" ref="Z59">_xlfn.LET(_xlpm.x, N59:N61, IF(SUM((_xlpm.x="C1")*1)=1, 3, 1))</f>
        <v>1</v>
      </c>
      <c r="AA59" s="25" cm="1">
        <f t="array" ref="AA59">_xlfn.LET(_xlpm.x, O59:O61, IF(SUM((_xlpm.x="C1")*1)=1, 3, 1))</f>
        <v>1</v>
      </c>
      <c r="AC59" s="154" t="str">
        <v>M4</v>
      </c>
      <c r="AD59" s="133">
        <v>40</v>
      </c>
      <c r="AE59" s="133">
        <v>14</v>
      </c>
      <c r="AF59" s="133">
        <v>41</v>
      </c>
      <c r="AG59" s="133">
        <v>14</v>
      </c>
      <c r="AH59" s="133">
        <v>21</v>
      </c>
      <c r="AI59" s="5"/>
      <c r="AJ59" s="154" t="str">
        <v>M4</v>
      </c>
      <c r="AK59" s="133">
        <v>40</v>
      </c>
      <c r="AL59" s="133">
        <v>14</v>
      </c>
      <c r="AM59" s="133">
        <v>41</v>
      </c>
      <c r="AN59" s="133">
        <v>14</v>
      </c>
      <c r="AO59" s="133">
        <v>21</v>
      </c>
    </row>
    <row r="60" spans="10:41" ht="16.5" customHeight="1" x14ac:dyDescent="0.3">
      <c r="J60" s="25">
        <v>56</v>
      </c>
      <c r="K60" s="16" t="s">
        <v>19</v>
      </c>
      <c r="L60" s="16" t="s">
        <v>91</v>
      </c>
      <c r="M60" s="16" t="s">
        <v>35</v>
      </c>
      <c r="N60" s="16" t="s">
        <v>35</v>
      </c>
      <c r="O60" s="16" t="s">
        <v>36</v>
      </c>
      <c r="Q60" s="9">
        <v>5</v>
      </c>
      <c r="R60" s="9">
        <v>14</v>
      </c>
      <c r="S60" s="9">
        <v>8</v>
      </c>
      <c r="T60" s="9">
        <v>8</v>
      </c>
      <c r="U60" s="9">
        <v>10</v>
      </c>
      <c r="W60" s="25" cm="1">
        <f t="array" ref="W60">_xlfn.LET(_xlpm.x, K60:K62, IF(SUM((_xlpm.x="C1")*1)=1, 3, 1))</f>
        <v>1</v>
      </c>
      <c r="X60" s="25" cm="1">
        <f t="array" ref="X60">_xlfn.LET(_xlpm.x, L60:L62, IF(SUM((_xlpm.x="C1")*1)=1, 3, 1))</f>
        <v>1</v>
      </c>
      <c r="Y60" s="25" cm="1">
        <f t="array" ref="Y60">_xlfn.LET(_xlpm.x, M60:M62, IF(SUM((_xlpm.x="C1")*1)=1, 3, 1))</f>
        <v>1</v>
      </c>
      <c r="Z60" s="25" cm="1">
        <f t="array" ref="Z60">_xlfn.LET(_xlpm.x, N60:N62, IF(SUM((_xlpm.x="C1")*1)=1, 3, 1))</f>
        <v>1</v>
      </c>
      <c r="AA60" s="25" cm="1">
        <f t="array" ref="AA60">_xlfn.LET(_xlpm.x, O60:O62, IF(SUM((_xlpm.x="C1")*1)=1, 3, 1))</f>
        <v>1</v>
      </c>
      <c r="AC60" s="154" t="str">
        <v>M5</v>
      </c>
      <c r="AD60" s="133">
        <v>40</v>
      </c>
      <c r="AE60" s="133">
        <v>14</v>
      </c>
      <c r="AF60" s="133">
        <v>41</v>
      </c>
      <c r="AG60" s="133">
        <v>14</v>
      </c>
      <c r="AH60" s="133">
        <v>21</v>
      </c>
      <c r="AI60" s="5"/>
      <c r="AJ60" s="154" t="str">
        <v>M5</v>
      </c>
      <c r="AK60" s="133">
        <v>40</v>
      </c>
      <c r="AL60" s="133">
        <v>14</v>
      </c>
      <c r="AM60" s="133">
        <v>41</v>
      </c>
      <c r="AN60" s="133">
        <v>14</v>
      </c>
      <c r="AO60" s="133">
        <v>21</v>
      </c>
    </row>
    <row r="61" spans="10:41" x14ac:dyDescent="0.3">
      <c r="J61" s="9">
        <v>57</v>
      </c>
      <c r="K61" s="16" t="s">
        <v>125</v>
      </c>
      <c r="L61" s="16" t="s">
        <v>91</v>
      </c>
      <c r="M61" s="16" t="s">
        <v>125</v>
      </c>
      <c r="N61" s="16" t="s">
        <v>18</v>
      </c>
      <c r="O61" s="16" t="s">
        <v>36</v>
      </c>
      <c r="Q61" s="9">
        <v>6</v>
      </c>
      <c r="R61" s="9">
        <v>14</v>
      </c>
      <c r="S61" s="9">
        <v>6</v>
      </c>
      <c r="T61" s="9">
        <v>4</v>
      </c>
      <c r="U61" s="9">
        <v>10</v>
      </c>
      <c r="W61" s="25" cm="1">
        <f t="array" ref="W61">_xlfn.LET(_xlpm.x, K61:K63, IF(SUM((_xlpm.x="C1")*1)=1, 3, 1))</f>
        <v>1</v>
      </c>
      <c r="X61" s="25" cm="1">
        <f t="array" ref="X61">_xlfn.LET(_xlpm.x, L61:L63, IF(SUM((_xlpm.x="C1")*1)=1, 3, 1))</f>
        <v>1</v>
      </c>
      <c r="Y61" s="25" cm="1">
        <f t="array" ref="Y61">_xlfn.LET(_xlpm.x, M61:M63, IF(SUM((_xlpm.x="C1")*1)=1, 3, 1))</f>
        <v>3</v>
      </c>
      <c r="Z61" s="25" cm="1">
        <f t="array" ref="Z61">_xlfn.LET(_xlpm.x, N61:N63, IF(SUM((_xlpm.x="C1")*1)=1, 3, 1))</f>
        <v>1</v>
      </c>
      <c r="AA61" s="25" cm="1">
        <f t="array" ref="AA61">_xlfn.LET(_xlpm.x, O61:O63, IF(SUM((_xlpm.x="C1")*1)=1, 3, 1))</f>
        <v>1</v>
      </c>
      <c r="AC61" s="154" t="str">
        <v>A</v>
      </c>
      <c r="AD61" s="133">
        <v>47</v>
      </c>
      <c r="AE61" s="133">
        <v>13</v>
      </c>
      <c r="AF61" s="133">
        <v>41</v>
      </c>
      <c r="AG61" s="133">
        <v>14</v>
      </c>
      <c r="AH61" s="133">
        <v>21</v>
      </c>
      <c r="AI61" s="5"/>
      <c r="AJ61" s="154" t="str">
        <v>A</v>
      </c>
      <c r="AK61" s="133">
        <v>47</v>
      </c>
      <c r="AL61" s="133">
        <v>13</v>
      </c>
      <c r="AM61" s="133">
        <v>41</v>
      </c>
      <c r="AN61" s="133">
        <v>14</v>
      </c>
      <c r="AO61" s="133">
        <v>21</v>
      </c>
    </row>
    <row r="62" spans="10:41" x14ac:dyDescent="0.3">
      <c r="J62" s="25">
        <v>58</v>
      </c>
      <c r="K62" s="16" t="s">
        <v>36</v>
      </c>
      <c r="L62" s="16" t="s">
        <v>34</v>
      </c>
      <c r="M62" s="16" t="s">
        <v>125</v>
      </c>
      <c r="N62" s="16" t="s">
        <v>112</v>
      </c>
      <c r="O62" s="16" t="s">
        <v>22</v>
      </c>
      <c r="Q62" s="9">
        <v>10</v>
      </c>
      <c r="R62" s="9">
        <v>9</v>
      </c>
      <c r="S62" s="9">
        <v>6</v>
      </c>
      <c r="T62" s="9">
        <v>17</v>
      </c>
      <c r="U62" s="9">
        <v>3</v>
      </c>
      <c r="W62" s="25" cm="1">
        <f t="array" ref="W62">_xlfn.LET(_xlpm.x, K62:K64, IF(SUM((_xlpm.x="C1")*1)=1, 3, 1))</f>
        <v>1</v>
      </c>
      <c r="X62" s="25" cm="1">
        <f t="array" ref="X62">_xlfn.LET(_xlpm.x, L62:L64, IF(SUM((_xlpm.x="C1")*1)=1, 3, 1))</f>
        <v>1</v>
      </c>
      <c r="Y62" s="25" cm="1">
        <f t="array" ref="Y62">_xlfn.LET(_xlpm.x, M62:M64, IF(SUM((_xlpm.x="C1")*1)=1, 3, 1))</f>
        <v>3</v>
      </c>
      <c r="Z62" s="25" cm="1">
        <f t="array" ref="Z62">_xlfn.LET(_xlpm.x, N62:N64, IF(SUM((_xlpm.x="C1")*1)=1, 3, 1))</f>
        <v>1</v>
      </c>
      <c r="AA62" s="25" cm="1">
        <f t="array" ref="AA62">_xlfn.LET(_xlpm.x, O62:O64, IF(SUM((_xlpm.x="C1")*1)=1, 3, 1))</f>
        <v>1</v>
      </c>
      <c r="AC62" s="154" t="str">
        <v>K</v>
      </c>
      <c r="AD62" s="133">
        <v>47</v>
      </c>
      <c r="AE62" s="133">
        <v>13</v>
      </c>
      <c r="AF62" s="133">
        <v>41</v>
      </c>
      <c r="AG62" s="133">
        <v>14</v>
      </c>
      <c r="AH62" s="133">
        <v>21</v>
      </c>
      <c r="AI62" s="5"/>
      <c r="AJ62" s="154" t="str">
        <v>K</v>
      </c>
      <c r="AK62" s="133">
        <v>47</v>
      </c>
      <c r="AL62" s="133">
        <v>13</v>
      </c>
      <c r="AM62" s="133">
        <v>41</v>
      </c>
      <c r="AN62" s="133">
        <v>14</v>
      </c>
      <c r="AO62" s="133">
        <v>21</v>
      </c>
    </row>
    <row r="63" spans="10:41" ht="16.5" customHeight="1" x14ac:dyDescent="0.3">
      <c r="J63" s="9">
        <v>59</v>
      </c>
      <c r="K63" s="16" t="s">
        <v>35</v>
      </c>
      <c r="L63" s="16" t="s">
        <v>90</v>
      </c>
      <c r="M63" s="16" t="s">
        <v>20</v>
      </c>
      <c r="N63" s="16" t="s">
        <v>95</v>
      </c>
      <c r="O63" s="16" t="s">
        <v>19</v>
      </c>
      <c r="Q63" s="9">
        <v>8</v>
      </c>
      <c r="R63" s="9">
        <v>13</v>
      </c>
      <c r="S63" s="9">
        <v>1</v>
      </c>
      <c r="T63" s="9">
        <v>18</v>
      </c>
      <c r="U63" s="9">
        <v>5</v>
      </c>
      <c r="W63" s="25" cm="1">
        <f t="array" ref="W63">_xlfn.LET(_xlpm.x, K63:K65, IF(SUM((_xlpm.x="C1")*1)=1, 3, 1))</f>
        <v>1</v>
      </c>
      <c r="X63" s="25" cm="1">
        <f t="array" ref="X63">_xlfn.LET(_xlpm.x, L63:L65, IF(SUM((_xlpm.x="C1")*1)=1, 3, 1))</f>
        <v>1</v>
      </c>
      <c r="Y63" s="25" cm="1">
        <f t="array" ref="Y63">_xlfn.LET(_xlpm.x, M63:M65, IF(SUM((_xlpm.x="C1")*1)=1, 3, 1))</f>
        <v>3</v>
      </c>
      <c r="Z63" s="25" cm="1">
        <f t="array" ref="Z63">_xlfn.LET(_xlpm.x, N63:N65, IF(SUM((_xlpm.x="C1")*1)=1, 3, 1))</f>
        <v>1</v>
      </c>
      <c r="AA63" s="25" cm="1">
        <f t="array" ref="AA63">_xlfn.LET(_xlpm.x, O63:O65, IF(SUM((_xlpm.x="C1")*1)=1, 3, 1))</f>
        <v>1</v>
      </c>
      <c r="AC63" s="154" t="str">
        <v>Q</v>
      </c>
      <c r="AD63" s="133">
        <v>4</v>
      </c>
      <c r="AE63" s="133">
        <v>17</v>
      </c>
      <c r="AF63" s="133">
        <v>3</v>
      </c>
      <c r="AG63" s="133">
        <v>21</v>
      </c>
      <c r="AH63" s="133">
        <v>21</v>
      </c>
      <c r="AI63" s="5"/>
      <c r="AJ63" s="154" t="str">
        <v>Q</v>
      </c>
      <c r="AK63" s="133">
        <v>4</v>
      </c>
      <c r="AL63" s="133">
        <v>17</v>
      </c>
      <c r="AM63" s="133">
        <v>3</v>
      </c>
      <c r="AN63" s="133">
        <v>21</v>
      </c>
      <c r="AO63" s="133">
        <v>21</v>
      </c>
    </row>
    <row r="64" spans="10:41" ht="16.5" customHeight="1" x14ac:dyDescent="0.3">
      <c r="J64" s="25">
        <v>60</v>
      </c>
      <c r="K64" s="16" t="s">
        <v>125</v>
      </c>
      <c r="L64" s="16" t="s">
        <v>34</v>
      </c>
      <c r="M64" s="16" t="s">
        <v>19</v>
      </c>
      <c r="N64" s="16" t="s">
        <v>18</v>
      </c>
      <c r="O64" s="16" t="s">
        <v>34</v>
      </c>
      <c r="Q64" s="9">
        <v>6</v>
      </c>
      <c r="R64" s="9">
        <v>9</v>
      </c>
      <c r="S64" s="9">
        <v>5</v>
      </c>
      <c r="T64" s="9">
        <v>4</v>
      </c>
      <c r="U64" s="9">
        <v>9</v>
      </c>
      <c r="W64" s="25" cm="1">
        <f t="array" ref="W64">_xlfn.LET(_xlpm.x, K64:K66, IF(SUM((_xlpm.x="C1")*1)=1, 3, 1))</f>
        <v>1</v>
      </c>
      <c r="X64" s="25" cm="1">
        <f t="array" ref="X64">_xlfn.LET(_xlpm.x, L64:L66, IF(SUM((_xlpm.x="C1")*1)=1, 3, 1))</f>
        <v>1</v>
      </c>
      <c r="Y64" s="25" cm="1">
        <f t="array" ref="Y64">_xlfn.LET(_xlpm.x, M64:M66, IF(SUM((_xlpm.x="C1")*1)=1, 3, 1))</f>
        <v>1</v>
      </c>
      <c r="Z64" s="25" cm="1">
        <f t="array" ref="Z64">_xlfn.LET(_xlpm.x, N64:N66, IF(SUM((_xlpm.x="C1")*1)=1, 3, 1))</f>
        <v>1</v>
      </c>
      <c r="AA64" s="25" cm="1">
        <f t="array" ref="AA64">_xlfn.LET(_xlpm.x, O64:O66, IF(SUM((_xlpm.x="C1")*1)=1, 3, 1))</f>
        <v>1</v>
      </c>
      <c r="AC64" s="154" t="str">
        <v>J</v>
      </c>
      <c r="AD64" s="133">
        <v>4</v>
      </c>
      <c r="AE64" s="133">
        <v>17</v>
      </c>
      <c r="AF64" s="133">
        <v>3</v>
      </c>
      <c r="AG64" s="133">
        <v>21</v>
      </c>
      <c r="AH64" s="133">
        <v>21</v>
      </c>
      <c r="AI64" s="5"/>
      <c r="AJ64" s="154" t="str">
        <v>J</v>
      </c>
      <c r="AK64" s="133">
        <v>4</v>
      </c>
      <c r="AL64" s="133">
        <v>17</v>
      </c>
      <c r="AM64" s="133">
        <v>3</v>
      </c>
      <c r="AN64" s="133">
        <v>21</v>
      </c>
      <c r="AO64" s="133">
        <v>21</v>
      </c>
    </row>
    <row r="65" spans="10:41" ht="16.5" customHeight="1" x14ac:dyDescent="0.3">
      <c r="J65" s="9">
        <v>61</v>
      </c>
      <c r="K65" s="16" t="s">
        <v>37</v>
      </c>
      <c r="L65" s="16" t="s">
        <v>36</v>
      </c>
      <c r="M65" s="16" t="s">
        <v>91</v>
      </c>
      <c r="N65" s="16" t="s">
        <v>22</v>
      </c>
      <c r="O65" s="16" t="s">
        <v>35</v>
      </c>
      <c r="Q65" s="9">
        <v>7</v>
      </c>
      <c r="R65" s="9">
        <v>10</v>
      </c>
      <c r="S65" s="9">
        <v>14</v>
      </c>
      <c r="T65" s="9">
        <v>3</v>
      </c>
      <c r="U65" s="9">
        <v>8</v>
      </c>
      <c r="W65" s="25" cm="1">
        <f t="array" ref="W65">_xlfn.LET(_xlpm.x, K65:K67, IF(SUM((_xlpm.x="C1")*1)=1, 3, 1))</f>
        <v>1</v>
      </c>
      <c r="X65" s="25" cm="1">
        <f t="array" ref="X65">_xlfn.LET(_xlpm.x, L65:L67, IF(SUM((_xlpm.x="C1")*1)=1, 3, 1))</f>
        <v>1</v>
      </c>
      <c r="Y65" s="25" cm="1">
        <f t="array" ref="Y65">_xlfn.LET(_xlpm.x, M65:M67, IF(SUM((_xlpm.x="C1")*1)=1, 3, 1))</f>
        <v>1</v>
      </c>
      <c r="Z65" s="25" cm="1">
        <f t="array" ref="Z65">_xlfn.LET(_xlpm.x, N65:N67, IF(SUM((_xlpm.x="C1")*1)=1, 3, 1))</f>
        <v>1</v>
      </c>
      <c r="AA65" s="25" cm="1">
        <f t="array" ref="AA65">_xlfn.LET(_xlpm.x, O65:O67, IF(SUM((_xlpm.x="C1")*1)=1, 3, 1))</f>
        <v>1</v>
      </c>
      <c r="AC65" s="138" t="str">
        <v>G1</v>
      </c>
      <c r="AD65" s="99">
        <v>0</v>
      </c>
      <c r="AE65" s="99">
        <v>8</v>
      </c>
      <c r="AF65" s="99">
        <v>1</v>
      </c>
      <c r="AG65" s="99">
        <v>5</v>
      </c>
      <c r="AH65" s="99">
        <v>0</v>
      </c>
      <c r="AI65" s="5"/>
      <c r="AJ65" s="138" t="str">
        <v>G1</v>
      </c>
      <c r="AK65" s="99">
        <v>0</v>
      </c>
      <c r="AL65" s="99">
        <v>8</v>
      </c>
      <c r="AM65" s="99">
        <v>1</v>
      </c>
      <c r="AN65" s="99">
        <v>5</v>
      </c>
      <c r="AO65" s="99">
        <v>0</v>
      </c>
    </row>
    <row r="66" spans="10:41" ht="16.5" customHeight="1" x14ac:dyDescent="0.3">
      <c r="J66" s="25">
        <v>62</v>
      </c>
      <c r="K66" s="16" t="s">
        <v>21</v>
      </c>
      <c r="L66" s="16" t="s">
        <v>89</v>
      </c>
      <c r="M66" s="16" t="s">
        <v>19</v>
      </c>
      <c r="N66" s="16" t="s">
        <v>34</v>
      </c>
      <c r="O66" s="16" t="s">
        <v>34</v>
      </c>
      <c r="Q66" s="9">
        <v>2</v>
      </c>
      <c r="R66" s="9">
        <v>12</v>
      </c>
      <c r="S66" s="9">
        <v>5</v>
      </c>
      <c r="T66" s="9">
        <v>9</v>
      </c>
      <c r="U66" s="9">
        <v>9</v>
      </c>
      <c r="W66" s="25" cm="1">
        <f t="array" ref="W66">_xlfn.LET(_xlpm.x, K66:K68, IF(SUM((_xlpm.x="C1")*1)=1, 3, 1))</f>
        <v>1</v>
      </c>
      <c r="X66" s="25" cm="1">
        <f t="array" ref="X66">_xlfn.LET(_xlpm.x, L66:L68, IF(SUM((_xlpm.x="C1")*1)=1, 3, 1))</f>
        <v>1</v>
      </c>
      <c r="Y66" s="25" cm="1">
        <f t="array" ref="Y66">_xlfn.LET(_xlpm.x, M66:M68, IF(SUM((_xlpm.x="C1")*1)=1, 3, 1))</f>
        <v>1</v>
      </c>
      <c r="Z66" s="25" cm="1">
        <f t="array" ref="Z66">_xlfn.LET(_xlpm.x, N66:N68, IF(SUM((_xlpm.x="C1")*1)=1, 3, 1))</f>
        <v>1</v>
      </c>
      <c r="AA66" s="25" cm="1">
        <f t="array" ref="AA66">_xlfn.LET(_xlpm.x, O66:O68, IF(SUM((_xlpm.x="C1")*1)=1, 3, 1))</f>
        <v>1</v>
      </c>
      <c r="AC66" s="138" t="str">
        <v>G2</v>
      </c>
      <c r="AD66" s="99">
        <v>0</v>
      </c>
      <c r="AE66" s="99">
        <v>8</v>
      </c>
      <c r="AF66" s="99">
        <v>1</v>
      </c>
      <c r="AG66" s="99">
        <v>5</v>
      </c>
      <c r="AH66" s="99">
        <v>0</v>
      </c>
      <c r="AI66" s="5"/>
      <c r="AJ66" s="138" t="str">
        <v>G2</v>
      </c>
      <c r="AK66" s="99">
        <v>0</v>
      </c>
      <c r="AL66" s="99">
        <v>8</v>
      </c>
      <c r="AM66" s="99">
        <v>1</v>
      </c>
      <c r="AN66" s="99">
        <v>5</v>
      </c>
      <c r="AO66" s="99">
        <v>0</v>
      </c>
    </row>
    <row r="67" spans="10:41" ht="16.5" customHeight="1" x14ac:dyDescent="0.3">
      <c r="J67" s="9">
        <v>63</v>
      </c>
      <c r="K67" s="16" t="s">
        <v>37</v>
      </c>
      <c r="L67" s="16" t="s">
        <v>95</v>
      </c>
      <c r="M67" s="16" t="s">
        <v>125</v>
      </c>
      <c r="N67" s="16" t="s">
        <v>126</v>
      </c>
      <c r="O67" s="16" t="s">
        <v>22</v>
      </c>
      <c r="Q67" s="9">
        <v>7</v>
      </c>
      <c r="R67" s="9">
        <v>18</v>
      </c>
      <c r="S67" s="9">
        <v>6</v>
      </c>
      <c r="T67" s="9">
        <v>15</v>
      </c>
      <c r="U67" s="9">
        <v>3</v>
      </c>
      <c r="W67" s="25" cm="1">
        <f t="array" ref="W67">_xlfn.LET(_xlpm.x, K67:K69, IF(SUM((_xlpm.x="C1")*1)=1, 3, 1))</f>
        <v>3</v>
      </c>
      <c r="X67" s="25" cm="1">
        <f t="array" ref="X67">_xlfn.LET(_xlpm.x, L67:L69, IF(SUM((_xlpm.x="C1")*1)=1, 3, 1))</f>
        <v>1</v>
      </c>
      <c r="Y67" s="25" cm="1">
        <f t="array" ref="Y67">_xlfn.LET(_xlpm.x, M67:M69, IF(SUM((_xlpm.x="C1")*1)=1, 3, 1))</f>
        <v>1</v>
      </c>
      <c r="Z67" s="25" cm="1">
        <f t="array" ref="Z67">_xlfn.LET(_xlpm.x, N67:N69, IF(SUM((_xlpm.x="C1")*1)=1, 3, 1))</f>
        <v>1</v>
      </c>
      <c r="AA67" s="25" cm="1">
        <f t="array" ref="AA67">_xlfn.LET(_xlpm.x, O67:O69, IF(SUM((_xlpm.x="C1")*1)=1, 3, 1))</f>
        <v>1</v>
      </c>
      <c r="AC67" s="138" t="str">
        <v>G3</v>
      </c>
      <c r="AD67" s="99">
        <v>0</v>
      </c>
      <c r="AE67" s="99">
        <v>8</v>
      </c>
      <c r="AF67" s="99">
        <v>1</v>
      </c>
      <c r="AG67" s="99">
        <v>5</v>
      </c>
      <c r="AH67" s="99">
        <v>0</v>
      </c>
      <c r="AI67" s="5"/>
      <c r="AJ67" s="138" t="str">
        <v>G3</v>
      </c>
      <c r="AK67" s="99">
        <v>0</v>
      </c>
      <c r="AL67" s="99">
        <v>8</v>
      </c>
      <c r="AM67" s="99">
        <v>1</v>
      </c>
      <c r="AN67" s="99">
        <v>5</v>
      </c>
      <c r="AO67" s="99">
        <v>0</v>
      </c>
    </row>
    <row r="68" spans="10:41" ht="16.5" customHeight="1" x14ac:dyDescent="0.3">
      <c r="J68" s="25">
        <v>64</v>
      </c>
      <c r="K68" s="16" t="s">
        <v>125</v>
      </c>
      <c r="L68" s="16" t="s">
        <v>22</v>
      </c>
      <c r="M68" s="16" t="s">
        <v>19</v>
      </c>
      <c r="N68" s="16" t="s">
        <v>35</v>
      </c>
      <c r="O68" s="16" t="s">
        <v>36</v>
      </c>
      <c r="Q68" s="9">
        <v>6</v>
      </c>
      <c r="R68" s="9">
        <v>3</v>
      </c>
      <c r="S68" s="9">
        <v>5</v>
      </c>
      <c r="T68" s="9">
        <v>8</v>
      </c>
      <c r="U68" s="9">
        <v>10</v>
      </c>
      <c r="W68" s="25" cm="1">
        <f t="array" ref="W68">_xlfn.LET(_xlpm.x, K68:K70, IF(SUM((_xlpm.x="C1")*1)=1, 3, 1))</f>
        <v>3</v>
      </c>
      <c r="X68" s="25" cm="1">
        <f t="array" ref="X68">_xlfn.LET(_xlpm.x, L68:L70, IF(SUM((_xlpm.x="C1")*1)=1, 3, 1))</f>
        <v>1</v>
      </c>
      <c r="Y68" s="25" cm="1">
        <f t="array" ref="Y68">_xlfn.LET(_xlpm.x, M68:M70, IF(SUM((_xlpm.x="C1")*1)=1, 3, 1))</f>
        <v>1</v>
      </c>
      <c r="Z68" s="25" cm="1">
        <f t="array" ref="Z68">_xlfn.LET(_xlpm.x, N68:N70, IF(SUM((_xlpm.x="C1")*1)=1, 3, 1))</f>
        <v>1</v>
      </c>
      <c r="AA68" s="25" cm="1">
        <f t="array" ref="AA68">_xlfn.LET(_xlpm.x, O68:O70, IF(SUM((_xlpm.x="C1")*1)=1, 3, 1))</f>
        <v>1</v>
      </c>
      <c r="AC68" s="138" t="str">
        <v>G4</v>
      </c>
      <c r="AD68" s="99">
        <v>0</v>
      </c>
      <c r="AE68" s="99">
        <v>5</v>
      </c>
      <c r="AF68" s="99">
        <v>4</v>
      </c>
      <c r="AG68" s="99">
        <v>4</v>
      </c>
      <c r="AH68" s="99">
        <v>0</v>
      </c>
      <c r="AI68" s="5"/>
      <c r="AJ68" s="138" t="str">
        <v>G4</v>
      </c>
      <c r="AK68" s="99">
        <v>0</v>
      </c>
      <c r="AL68" s="99">
        <v>5</v>
      </c>
      <c r="AM68" s="99">
        <v>4</v>
      </c>
      <c r="AN68" s="99">
        <v>4</v>
      </c>
      <c r="AO68" s="99">
        <v>0</v>
      </c>
    </row>
    <row r="69" spans="10:41" ht="16.5" customHeight="1" x14ac:dyDescent="0.3">
      <c r="J69" s="9">
        <v>65</v>
      </c>
      <c r="K69" s="16" t="s">
        <v>20</v>
      </c>
      <c r="L69" s="16" t="s">
        <v>22</v>
      </c>
      <c r="M69" s="16" t="s">
        <v>125</v>
      </c>
      <c r="N69" s="16" t="s">
        <v>22</v>
      </c>
      <c r="O69" s="16" t="s">
        <v>34</v>
      </c>
      <c r="Q69" s="9">
        <v>1</v>
      </c>
      <c r="R69" s="9">
        <v>3</v>
      </c>
      <c r="S69" s="9">
        <v>6</v>
      </c>
      <c r="T69" s="9">
        <v>3</v>
      </c>
      <c r="U69" s="9">
        <v>9</v>
      </c>
      <c r="W69" s="25" cm="1">
        <f t="array" ref="W69">_xlfn.LET(_xlpm.x, K69:K71, IF(SUM((_xlpm.x="C1")*1)=1, 3, 1))</f>
        <v>3</v>
      </c>
      <c r="X69" s="25" cm="1">
        <f t="array" ref="X69">_xlfn.LET(_xlpm.x, L69:L71, IF(SUM((_xlpm.x="C1")*1)=1, 3, 1))</f>
        <v>1</v>
      </c>
      <c r="Y69" s="25" cm="1">
        <f t="array" ref="Y69">_xlfn.LET(_xlpm.x, M69:M71, IF(SUM((_xlpm.x="C1")*1)=1, 3, 1))</f>
        <v>1</v>
      </c>
      <c r="Z69" s="25" cm="1">
        <f t="array" ref="Z69">_xlfn.LET(_xlpm.x, N69:N71, IF(SUM((_xlpm.x="C1")*1)=1, 3, 1))</f>
        <v>1</v>
      </c>
      <c r="AA69" s="25" cm="1">
        <f t="array" ref="AA69">_xlfn.LET(_xlpm.x, O69:O71, IF(SUM((_xlpm.x="C1")*1)=1, 3, 1))</f>
        <v>1</v>
      </c>
      <c r="AC69" s="138" t="str">
        <v>G5</v>
      </c>
      <c r="AD69" s="99">
        <v>0</v>
      </c>
      <c r="AE69" s="99">
        <v>5</v>
      </c>
      <c r="AF69" s="99">
        <v>4</v>
      </c>
      <c r="AG69" s="99">
        <v>4</v>
      </c>
      <c r="AH69" s="99">
        <v>0</v>
      </c>
      <c r="AI69" s="5"/>
      <c r="AJ69" s="138" t="str">
        <v>G5</v>
      </c>
      <c r="AK69" s="99">
        <v>0</v>
      </c>
      <c r="AL69" s="99">
        <v>5</v>
      </c>
      <c r="AM69" s="99">
        <v>4</v>
      </c>
      <c r="AN69" s="99">
        <v>4</v>
      </c>
      <c r="AO69" s="99">
        <v>0</v>
      </c>
    </row>
    <row r="70" spans="10:41" ht="16.5" customHeight="1" x14ac:dyDescent="0.3">
      <c r="J70" s="25">
        <v>66</v>
      </c>
      <c r="K70" s="16" t="s">
        <v>37</v>
      </c>
      <c r="L70" s="16" t="s">
        <v>35</v>
      </c>
      <c r="M70" s="16" t="s">
        <v>126</v>
      </c>
      <c r="N70" s="16" t="s">
        <v>36</v>
      </c>
      <c r="O70" s="16" t="s">
        <v>125</v>
      </c>
      <c r="Q70" s="9">
        <v>7</v>
      </c>
      <c r="R70" s="9">
        <v>8</v>
      </c>
      <c r="S70" s="9">
        <v>15</v>
      </c>
      <c r="T70" s="9">
        <v>10</v>
      </c>
      <c r="U70" s="9">
        <v>6</v>
      </c>
      <c r="W70" s="25" cm="1">
        <f t="array" ref="W70">_xlfn.LET(_xlpm.x, K70:K72, IF(SUM((_xlpm.x="C1")*1)=1, 3, 1))</f>
        <v>1</v>
      </c>
      <c r="X70" s="25" cm="1">
        <f t="array" ref="X70">_xlfn.LET(_xlpm.x, L70:L72, IF(SUM((_xlpm.x="C1")*1)=1, 3, 1))</f>
        <v>3</v>
      </c>
      <c r="Y70" s="25" cm="1">
        <f t="array" ref="Y70">_xlfn.LET(_xlpm.x, M70:M72, IF(SUM((_xlpm.x="C1")*1)=1, 3, 1))</f>
        <v>1</v>
      </c>
      <c r="Z70" s="25" cm="1">
        <f t="array" ref="Z70">_xlfn.LET(_xlpm.x, N70:N72, IF(SUM((_xlpm.x="C1")*1)=1, 3, 1))</f>
        <v>1</v>
      </c>
      <c r="AA70" s="25" cm="1">
        <f t="array" ref="AA70">_xlfn.LET(_xlpm.x, O70:O72, IF(SUM((_xlpm.x="C1")*1)=1, 3, 1))</f>
        <v>1</v>
      </c>
      <c r="AC70" s="138" t="str">
        <v>GA</v>
      </c>
      <c r="AD70" s="99">
        <v>0</v>
      </c>
      <c r="AE70" s="99">
        <v>5</v>
      </c>
      <c r="AF70" s="99">
        <v>4</v>
      </c>
      <c r="AG70" s="99">
        <v>4</v>
      </c>
      <c r="AH70" s="99">
        <v>0</v>
      </c>
      <c r="AI70" s="5"/>
      <c r="AJ70" s="138" t="str">
        <v>GA</v>
      </c>
      <c r="AK70" s="99">
        <v>0</v>
      </c>
      <c r="AL70" s="99">
        <v>5</v>
      </c>
      <c r="AM70" s="99">
        <v>4</v>
      </c>
      <c r="AN70" s="99">
        <v>4</v>
      </c>
      <c r="AO70" s="99">
        <v>0</v>
      </c>
    </row>
    <row r="71" spans="10:41" ht="16.5" customHeight="1" x14ac:dyDescent="0.3">
      <c r="J71" s="9">
        <v>67</v>
      </c>
      <c r="K71" s="16" t="s">
        <v>36</v>
      </c>
      <c r="L71" s="16" t="s">
        <v>88</v>
      </c>
      <c r="M71" s="16" t="s">
        <v>125</v>
      </c>
      <c r="N71" s="16" t="s">
        <v>88</v>
      </c>
      <c r="O71" s="16" t="s">
        <v>21</v>
      </c>
      <c r="Q71" s="9">
        <v>10</v>
      </c>
      <c r="R71" s="9">
        <v>11</v>
      </c>
      <c r="S71" s="9">
        <v>6</v>
      </c>
      <c r="T71" s="9">
        <v>11</v>
      </c>
      <c r="U71" s="9">
        <v>2</v>
      </c>
      <c r="W71" s="25" cm="1">
        <f t="array" ref="W71">_xlfn.LET(_xlpm.x, K71:K73, IF(SUM((_xlpm.x="C1")*1)=1, 3, 1))</f>
        <v>1</v>
      </c>
      <c r="X71" s="25" cm="1">
        <f t="array" ref="X71">_xlfn.LET(_xlpm.x, L71:L73, IF(SUM((_xlpm.x="C1")*1)=1, 3, 1))</f>
        <v>3</v>
      </c>
      <c r="Y71" s="25" cm="1">
        <f t="array" ref="Y71">_xlfn.LET(_xlpm.x, M71:M73, IF(SUM((_xlpm.x="C1")*1)=1, 3, 1))</f>
        <v>1</v>
      </c>
      <c r="Z71" s="25" cm="1">
        <f t="array" ref="Z71">_xlfn.LET(_xlpm.x, N71:N73, IF(SUM((_xlpm.x="C1")*1)=1, 3, 1))</f>
        <v>1</v>
      </c>
      <c r="AA71" s="25" cm="1">
        <f t="array" ref="AA71">_xlfn.LET(_xlpm.x, O71:O73, IF(SUM((_xlpm.x="C1")*1)=1, 3, 1))</f>
        <v>1</v>
      </c>
      <c r="AC71" s="138" t="str">
        <v>GK</v>
      </c>
      <c r="AD71" s="99">
        <v>0</v>
      </c>
      <c r="AE71" s="99">
        <v>5</v>
      </c>
      <c r="AF71" s="99">
        <v>4</v>
      </c>
      <c r="AG71" s="99">
        <v>4</v>
      </c>
      <c r="AH71" s="99">
        <v>0</v>
      </c>
      <c r="AI71" s="5"/>
      <c r="AJ71" s="138" t="str">
        <v>GK</v>
      </c>
      <c r="AK71" s="99">
        <v>0</v>
      </c>
      <c r="AL71" s="99">
        <v>5</v>
      </c>
      <c r="AM71" s="99">
        <v>4</v>
      </c>
      <c r="AN71" s="99">
        <v>4</v>
      </c>
      <c r="AO71" s="99">
        <v>0</v>
      </c>
    </row>
    <row r="72" spans="10:41" ht="16.5" customHeight="1" x14ac:dyDescent="0.3">
      <c r="J72" s="25">
        <v>68</v>
      </c>
      <c r="K72" s="16" t="s">
        <v>125</v>
      </c>
      <c r="L72" s="16" t="s">
        <v>20</v>
      </c>
      <c r="M72" s="16" t="s">
        <v>35</v>
      </c>
      <c r="N72" s="16" t="s">
        <v>36</v>
      </c>
      <c r="O72" s="16" t="s">
        <v>125</v>
      </c>
      <c r="Q72" s="9">
        <v>6</v>
      </c>
      <c r="R72" s="9">
        <v>1</v>
      </c>
      <c r="S72" s="9">
        <v>8</v>
      </c>
      <c r="T72" s="9">
        <v>10</v>
      </c>
      <c r="U72" s="9">
        <v>6</v>
      </c>
      <c r="W72" s="25" cm="1">
        <f t="array" ref="W72">_xlfn.LET(_xlpm.x, K72:K74, IF(SUM((_xlpm.x="C1")*1)=1, 3, 1))</f>
        <v>1</v>
      </c>
      <c r="X72" s="25" cm="1">
        <f t="array" ref="X72">_xlfn.LET(_xlpm.x, L72:L74, IF(SUM((_xlpm.x="C1")*1)=1, 3, 1))</f>
        <v>3</v>
      </c>
      <c r="Y72" s="25" cm="1">
        <f t="array" ref="Y72">_xlfn.LET(_xlpm.x, M72:M74, IF(SUM((_xlpm.x="C1")*1)=1, 3, 1))</f>
        <v>1</v>
      </c>
      <c r="Z72" s="25" cm="1">
        <f t="array" ref="Z72">_xlfn.LET(_xlpm.x, N72:N74, IF(SUM((_xlpm.x="C1")*1)=1, 3, 1))</f>
        <v>1</v>
      </c>
      <c r="AA72" s="25" cm="1">
        <f t="array" ref="AA72">_xlfn.LET(_xlpm.x, O72:O74, IF(SUM((_xlpm.x="C1")*1)=1, 3, 1))</f>
        <v>1</v>
      </c>
      <c r="AC72" s="138" t="str">
        <v>GQ</v>
      </c>
      <c r="AD72" s="99">
        <v>0</v>
      </c>
      <c r="AE72" s="99">
        <v>9</v>
      </c>
      <c r="AF72" s="99">
        <v>1</v>
      </c>
      <c r="AG72" s="99">
        <v>5</v>
      </c>
      <c r="AH72" s="99">
        <v>0</v>
      </c>
      <c r="AI72" s="5"/>
      <c r="AJ72" s="138" t="str">
        <v>GQ</v>
      </c>
      <c r="AK72" s="99">
        <v>0</v>
      </c>
      <c r="AL72" s="99">
        <v>9</v>
      </c>
      <c r="AM72" s="99">
        <v>1</v>
      </c>
      <c r="AN72" s="99">
        <v>5</v>
      </c>
      <c r="AO72" s="99">
        <v>0</v>
      </c>
    </row>
    <row r="73" spans="10:41" ht="16.5" customHeight="1" x14ac:dyDescent="0.3">
      <c r="J73" s="9">
        <v>69</v>
      </c>
      <c r="K73" s="16" t="s">
        <v>36</v>
      </c>
      <c r="L73" s="16" t="s">
        <v>97</v>
      </c>
      <c r="M73" s="16" t="s">
        <v>125</v>
      </c>
      <c r="N73" s="16" t="s">
        <v>125</v>
      </c>
      <c r="O73" s="16" t="s">
        <v>37</v>
      </c>
      <c r="Q73" s="9">
        <v>10</v>
      </c>
      <c r="R73" s="9">
        <v>19</v>
      </c>
      <c r="S73" s="9">
        <v>6</v>
      </c>
      <c r="T73" s="9">
        <v>6</v>
      </c>
      <c r="U73" s="9">
        <v>7</v>
      </c>
      <c r="W73" s="25" cm="1">
        <f t="array" ref="W73">_xlfn.LET(_xlpm.x, K73:K75, IF(SUM((_xlpm.x="C1")*1)=1, 3, 1))</f>
        <v>1</v>
      </c>
      <c r="X73" s="25" cm="1">
        <f t="array" ref="X73">_xlfn.LET(_xlpm.x, L73:L75, IF(SUM((_xlpm.x="C1")*1)=1, 3, 1))</f>
        <v>1</v>
      </c>
      <c r="Y73" s="25" cm="1">
        <f t="array" ref="Y73">_xlfn.LET(_xlpm.x, M73:M75, IF(SUM((_xlpm.x="C1")*1)=1, 3, 1))</f>
        <v>1</v>
      </c>
      <c r="Z73" s="25" cm="1">
        <f t="array" ref="Z73">_xlfn.LET(_xlpm.x, N73:N75, IF(SUM((_xlpm.x="C1")*1)=1, 3, 1))</f>
        <v>3</v>
      </c>
      <c r="AA73" s="25" cm="1">
        <f t="array" ref="AA73">_xlfn.LET(_xlpm.x, O73:O75, IF(SUM((_xlpm.x="C1")*1)=1, 3, 1))</f>
        <v>1</v>
      </c>
      <c r="AC73" s="138" t="str">
        <v>GJ</v>
      </c>
      <c r="AD73" s="99">
        <v>0</v>
      </c>
      <c r="AE73" s="99">
        <v>9</v>
      </c>
      <c r="AF73" s="99">
        <v>1</v>
      </c>
      <c r="AG73" s="99">
        <v>5</v>
      </c>
      <c r="AH73" s="99">
        <v>0</v>
      </c>
      <c r="AI73" s="5"/>
      <c r="AJ73" s="138" t="str">
        <v>GJ</v>
      </c>
      <c r="AK73" s="99">
        <v>0</v>
      </c>
      <c r="AL73" s="99">
        <v>9</v>
      </c>
      <c r="AM73" s="99">
        <v>1</v>
      </c>
      <c r="AN73" s="99">
        <v>5</v>
      </c>
      <c r="AO73" s="99">
        <v>0</v>
      </c>
    </row>
    <row r="74" spans="10:41" ht="16.5" customHeight="1" x14ac:dyDescent="0.3">
      <c r="J74" s="25">
        <v>70</v>
      </c>
      <c r="K74" s="16" t="s">
        <v>35</v>
      </c>
      <c r="L74" s="16" t="s">
        <v>34</v>
      </c>
      <c r="M74" s="16" t="s">
        <v>37</v>
      </c>
      <c r="N74" s="16" t="s">
        <v>22</v>
      </c>
      <c r="O74" s="16" t="s">
        <v>18</v>
      </c>
      <c r="Q74" s="9">
        <v>8</v>
      </c>
      <c r="R74" s="9">
        <v>9</v>
      </c>
      <c r="S74" s="9">
        <v>7</v>
      </c>
      <c r="T74" s="9">
        <v>3</v>
      </c>
      <c r="U74" s="9">
        <v>4</v>
      </c>
      <c r="W74" s="25" cm="1">
        <f t="array" ref="W74">_xlfn.LET(_xlpm.x, K74:K76, IF(SUM((_xlpm.x="C1")*1)=1, 3, 1))</f>
        <v>1</v>
      </c>
      <c r="X74" s="25" cm="1">
        <f t="array" ref="X74">_xlfn.LET(_xlpm.x, L74:L76, IF(SUM((_xlpm.x="C1")*1)=1, 3, 1))</f>
        <v>1</v>
      </c>
      <c r="Y74" s="25" cm="1">
        <f t="array" ref="Y74">_xlfn.LET(_xlpm.x, M74:M76, IF(SUM((_xlpm.x="C1")*1)=1, 3, 1))</f>
        <v>1</v>
      </c>
      <c r="Z74" s="25" cm="1">
        <f t="array" ref="Z74">_xlfn.LET(_xlpm.x, N74:N76, IF(SUM((_xlpm.x="C1")*1)=1, 3, 1))</f>
        <v>3</v>
      </c>
      <c r="AA74" s="25" cm="1">
        <f t="array" ref="AA74">_xlfn.LET(_xlpm.x, O74:O76, IF(SUM((_xlpm.x="C1")*1)=1, 3, 1))</f>
        <v>1</v>
      </c>
      <c r="AD74" s="113">
        <f>SUM(AD54:AD73)</f>
        <v>195</v>
      </c>
      <c r="AE74" s="113">
        <f>SUM(AE54:AE73)</f>
        <v>204</v>
      </c>
      <c r="AF74" s="113">
        <f>SUM(AF54:AF73)</f>
        <v>204</v>
      </c>
      <c r="AG74" s="113">
        <f>SUM(AG54:AG73)</f>
        <v>203</v>
      </c>
      <c r="AH74" s="113">
        <f>SUM(AH54:AH73)</f>
        <v>194</v>
      </c>
      <c r="AI74" s="5"/>
      <c r="AK74" s="113">
        <f>SUM(AK54:AK73)</f>
        <v>195</v>
      </c>
      <c r="AL74" s="113">
        <f>SUM(AL54:AL73)</f>
        <v>204</v>
      </c>
      <c r="AM74" s="113">
        <f>SUM(AM54:AM73)</f>
        <v>204</v>
      </c>
      <c r="AN74" s="113">
        <f>SUM(AN54:AN73)</f>
        <v>203</v>
      </c>
      <c r="AO74" s="113">
        <f>SUM(AO54:AO73)</f>
        <v>194</v>
      </c>
    </row>
    <row r="75" spans="10:41" ht="16.5" customHeight="1" x14ac:dyDescent="0.3">
      <c r="J75" s="9">
        <v>71</v>
      </c>
      <c r="K75" s="16" t="s">
        <v>19</v>
      </c>
      <c r="L75" s="16" t="s">
        <v>22</v>
      </c>
      <c r="M75" s="16" t="s">
        <v>125</v>
      </c>
      <c r="N75" s="16" t="s">
        <v>20</v>
      </c>
      <c r="O75" s="16" t="s">
        <v>36</v>
      </c>
      <c r="Q75" s="9">
        <v>5</v>
      </c>
      <c r="R75" s="9">
        <v>3</v>
      </c>
      <c r="S75" s="9">
        <v>6</v>
      </c>
      <c r="T75" s="9">
        <v>1</v>
      </c>
      <c r="U75" s="9">
        <v>10</v>
      </c>
      <c r="W75" s="25" cm="1">
        <f t="array" ref="W75">_xlfn.LET(_xlpm.x, K75:K77, IF(SUM((_xlpm.x="C1")*1)=1, 3, 1))</f>
        <v>1</v>
      </c>
      <c r="X75" s="25" cm="1">
        <f t="array" ref="X75">_xlfn.LET(_xlpm.x, L75:L77, IF(SUM((_xlpm.x="C1")*1)=1, 3, 1))</f>
        <v>1</v>
      </c>
      <c r="Y75" s="25" cm="1">
        <f t="array" ref="Y75">_xlfn.LET(_xlpm.x, M75:M77, IF(SUM((_xlpm.x="C1")*1)=1, 3, 1))</f>
        <v>1</v>
      </c>
      <c r="Z75" s="25" cm="1">
        <f t="array" ref="Z75">_xlfn.LET(_xlpm.x, N75:N77, IF(SUM((_xlpm.x="C1")*1)=1, 3, 1))</f>
        <v>3</v>
      </c>
      <c r="AA75" s="25" cm="1">
        <f t="array" ref="AA75">_xlfn.LET(_xlpm.x, O75:O77, IF(SUM((_xlpm.x="C1")*1)=1, 3, 1))</f>
        <v>1</v>
      </c>
      <c r="AH75" s="5"/>
      <c r="AI75" s="5"/>
      <c r="AO75" s="5"/>
    </row>
    <row r="76" spans="10:41" ht="16.5" customHeight="1" x14ac:dyDescent="0.3">
      <c r="J76" s="25">
        <v>72</v>
      </c>
      <c r="K76" s="16" t="s">
        <v>34</v>
      </c>
      <c r="L76" s="16" t="s">
        <v>89</v>
      </c>
      <c r="M76" s="16" t="s">
        <v>91</v>
      </c>
      <c r="N76" s="16" t="s">
        <v>88</v>
      </c>
      <c r="O76" s="16" t="s">
        <v>37</v>
      </c>
      <c r="Q76" s="9">
        <v>9</v>
      </c>
      <c r="R76" s="9">
        <v>12</v>
      </c>
      <c r="S76" s="9">
        <v>14</v>
      </c>
      <c r="T76" s="9">
        <v>11</v>
      </c>
      <c r="U76" s="9">
        <v>7</v>
      </c>
      <c r="W76" s="25" cm="1">
        <f t="array" ref="W76">_xlfn.LET(_xlpm.x, K76:K78, IF(SUM((_xlpm.x="C1")*1)=1, 3, 1))</f>
        <v>1</v>
      </c>
      <c r="X76" s="25" cm="1">
        <f t="array" ref="X76">_xlfn.LET(_xlpm.x, L76:L78, IF(SUM((_xlpm.x="C1")*1)=1, 3, 1))</f>
        <v>1</v>
      </c>
      <c r="Y76" s="25" cm="1">
        <f t="array" ref="Y76">_xlfn.LET(_xlpm.x, M76:M78, IF(SUM((_xlpm.x="C1")*1)=1, 3, 1))</f>
        <v>1</v>
      </c>
      <c r="Z76" s="25" cm="1">
        <f t="array" ref="Z76">_xlfn.LET(_xlpm.x, N76:N78, IF(SUM((_xlpm.x="C1")*1)=1, 3, 1))</f>
        <v>1</v>
      </c>
      <c r="AA76" s="25" cm="1">
        <f t="array" ref="AA76">_xlfn.LET(_xlpm.x, O76:O78, IF(SUM((_xlpm.x="C1")*1)=1, 3, 1))</f>
        <v>1</v>
      </c>
      <c r="AH76" s="5"/>
      <c r="AI76" s="5"/>
      <c r="AO76" s="5"/>
    </row>
    <row r="77" spans="10:41" ht="16.5" customHeight="1" x14ac:dyDescent="0.3">
      <c r="J77" s="9">
        <v>73</v>
      </c>
      <c r="K77" s="16" t="s">
        <v>19</v>
      </c>
      <c r="L77" s="16" t="s">
        <v>91</v>
      </c>
      <c r="M77" s="16" t="s">
        <v>19</v>
      </c>
      <c r="N77" s="16" t="s">
        <v>21</v>
      </c>
      <c r="O77" s="16" t="s">
        <v>18</v>
      </c>
      <c r="Q77" s="9">
        <v>5</v>
      </c>
      <c r="R77" s="9">
        <v>14</v>
      </c>
      <c r="S77" s="9">
        <v>5</v>
      </c>
      <c r="T77" s="9">
        <v>2</v>
      </c>
      <c r="U77" s="9">
        <v>4</v>
      </c>
      <c r="W77" s="25" cm="1">
        <f t="array" ref="W77">_xlfn.LET(_xlpm.x, K77:K79, IF(SUM((_xlpm.x="C1")*1)=1, 3, 1))</f>
        <v>1</v>
      </c>
      <c r="X77" s="25" cm="1">
        <f t="array" ref="X77">_xlfn.LET(_xlpm.x, L77:L79, IF(SUM((_xlpm.x="C1")*1)=1, 3, 1))</f>
        <v>1</v>
      </c>
      <c r="Y77" s="25" cm="1">
        <f t="array" ref="Y77">_xlfn.LET(_xlpm.x, M77:M79, IF(SUM((_xlpm.x="C1")*1)=1, 3, 1))</f>
        <v>1</v>
      </c>
      <c r="Z77" s="25" cm="1">
        <f t="array" ref="Z77">_xlfn.LET(_xlpm.x, N77:N79, IF(SUM((_xlpm.x="C1")*1)=1, 3, 1))</f>
        <v>1</v>
      </c>
      <c r="AA77" s="25" cm="1">
        <f t="array" ref="AA77">_xlfn.LET(_xlpm.x, O77:O79, IF(SUM((_xlpm.x="C1")*1)=1, 3, 1))</f>
        <v>1</v>
      </c>
      <c r="AH77" s="5"/>
      <c r="AI77" s="5"/>
      <c r="AO77" s="5"/>
    </row>
    <row r="78" spans="10:41" ht="16.5" customHeight="1" x14ac:dyDescent="0.3">
      <c r="J78" s="25">
        <v>74</v>
      </c>
      <c r="K78" s="16" t="s">
        <v>37</v>
      </c>
      <c r="L78" s="16" t="s">
        <v>21</v>
      </c>
      <c r="M78" s="16" t="s">
        <v>125</v>
      </c>
      <c r="N78" s="16" t="s">
        <v>34</v>
      </c>
      <c r="O78" s="16" t="s">
        <v>36</v>
      </c>
      <c r="Q78" s="9">
        <v>7</v>
      </c>
      <c r="R78" s="9">
        <v>2</v>
      </c>
      <c r="S78" s="9">
        <v>6</v>
      </c>
      <c r="T78" s="9">
        <v>9</v>
      </c>
      <c r="U78" s="9">
        <v>10</v>
      </c>
      <c r="W78" s="25" cm="1">
        <f t="array" ref="W78">_xlfn.LET(_xlpm.x, K78:K80, IF(SUM((_xlpm.x="C1")*1)=1, 3, 1))</f>
        <v>1</v>
      </c>
      <c r="X78" s="25" cm="1">
        <f t="array" ref="X78">_xlfn.LET(_xlpm.x, L78:L80, IF(SUM((_xlpm.x="C1")*1)=1, 3, 1))</f>
        <v>1</v>
      </c>
      <c r="Y78" s="25" cm="1">
        <f t="array" ref="Y78">_xlfn.LET(_xlpm.x, M78:M80, IF(SUM((_xlpm.x="C1")*1)=1, 3, 1))</f>
        <v>1</v>
      </c>
      <c r="Z78" s="25" cm="1">
        <f t="array" ref="Z78">_xlfn.LET(_xlpm.x, N78:N80, IF(SUM((_xlpm.x="C1")*1)=1, 3, 1))</f>
        <v>1</v>
      </c>
      <c r="AA78" s="25" cm="1">
        <f t="array" ref="AA78">_xlfn.LET(_xlpm.x, O78:O80, IF(SUM((_xlpm.x="C1")*1)=1, 3, 1))</f>
        <v>1</v>
      </c>
      <c r="AH78" s="5"/>
      <c r="AI78" s="5"/>
      <c r="AO78" s="5"/>
    </row>
    <row r="79" spans="10:41" ht="16.5" customHeight="1" x14ac:dyDescent="0.3">
      <c r="J79" s="9">
        <v>75</v>
      </c>
      <c r="K79" s="16" t="s">
        <v>37</v>
      </c>
      <c r="L79" s="16" t="s">
        <v>36</v>
      </c>
      <c r="M79" s="16" t="s">
        <v>37</v>
      </c>
      <c r="N79" s="16" t="s">
        <v>90</v>
      </c>
      <c r="O79" s="16" t="s">
        <v>37</v>
      </c>
      <c r="Q79" s="9">
        <v>7</v>
      </c>
      <c r="R79" s="9">
        <v>10</v>
      </c>
      <c r="S79" s="9">
        <v>7</v>
      </c>
      <c r="T79" s="9">
        <v>13</v>
      </c>
      <c r="U79" s="9">
        <v>7</v>
      </c>
      <c r="W79" s="25" cm="1">
        <f t="array" ref="W79">_xlfn.LET(_xlpm.x, K79:K81, IF(SUM((_xlpm.x="C1")*1)=1, 3, 1))</f>
        <v>1</v>
      </c>
      <c r="X79" s="25" cm="1">
        <f t="array" ref="X79">_xlfn.LET(_xlpm.x, L79:L81, IF(SUM((_xlpm.x="C1")*1)=1, 3, 1))</f>
        <v>1</v>
      </c>
      <c r="Y79" s="25" cm="1">
        <f t="array" ref="Y79">_xlfn.LET(_xlpm.x, M79:M81, IF(SUM((_xlpm.x="C1")*1)=1, 3, 1))</f>
        <v>1</v>
      </c>
      <c r="Z79" s="25" cm="1">
        <f t="array" ref="Z79">_xlfn.LET(_xlpm.x, N79:N81, IF(SUM((_xlpm.x="C1")*1)=1, 3, 1))</f>
        <v>1</v>
      </c>
      <c r="AA79" s="25" cm="1">
        <f t="array" ref="AA79">_xlfn.LET(_xlpm.x, O79:O81, IF(SUM((_xlpm.x="C1")*1)=1, 3, 1))</f>
        <v>1</v>
      </c>
      <c r="AH79" s="5"/>
      <c r="AI79" s="5"/>
      <c r="AO79" s="5"/>
    </row>
    <row r="80" spans="10:41" x14ac:dyDescent="0.3">
      <c r="J80" s="25">
        <v>76</v>
      </c>
      <c r="K80" s="16" t="s">
        <v>35</v>
      </c>
      <c r="L80" s="16" t="s">
        <v>88</v>
      </c>
      <c r="M80" s="16" t="s">
        <v>36</v>
      </c>
      <c r="N80" s="16" t="s">
        <v>37</v>
      </c>
      <c r="O80" s="16" t="s">
        <v>19</v>
      </c>
      <c r="Q80" s="9">
        <v>8</v>
      </c>
      <c r="R80" s="9">
        <v>11</v>
      </c>
      <c r="S80" s="9">
        <v>10</v>
      </c>
      <c r="T80" s="9">
        <v>7</v>
      </c>
      <c r="U80" s="9">
        <v>5</v>
      </c>
      <c r="W80" s="25" cm="1">
        <f t="array" ref="W80">_xlfn.LET(_xlpm.x, K80:K82, IF(SUM((_xlpm.x="C1")*1)=1, 3, 1))</f>
        <v>1</v>
      </c>
      <c r="X80" s="25" cm="1">
        <f t="array" ref="X80">_xlfn.LET(_xlpm.x, L80:L82, IF(SUM((_xlpm.x="C1")*1)=1, 3, 1))</f>
        <v>1</v>
      </c>
      <c r="Y80" s="25" cm="1">
        <f t="array" ref="Y80">_xlfn.LET(_xlpm.x, M80:M82, IF(SUM((_xlpm.x="C1")*1)=1, 3, 1))</f>
        <v>1</v>
      </c>
      <c r="Z80" s="25" cm="1">
        <f t="array" ref="Z80">_xlfn.LET(_xlpm.x, N80:N82, IF(SUM((_xlpm.x="C1")*1)=1, 3, 1))</f>
        <v>1</v>
      </c>
      <c r="AA80" s="25" cm="1">
        <f t="array" ref="AA80">_xlfn.LET(_xlpm.x, O80:O82, IF(SUM((_xlpm.x="C1")*1)=1, 3, 1))</f>
        <v>1</v>
      </c>
      <c r="AH80" s="5"/>
      <c r="AI80" s="5"/>
      <c r="AO80" s="5"/>
    </row>
    <row r="81" spans="10:41" x14ac:dyDescent="0.3">
      <c r="J81" s="9">
        <v>77</v>
      </c>
      <c r="K81" s="16" t="s">
        <v>37</v>
      </c>
      <c r="L81" s="16" t="s">
        <v>125</v>
      </c>
      <c r="M81" s="16" t="s">
        <v>19</v>
      </c>
      <c r="N81" s="16" t="s">
        <v>35</v>
      </c>
      <c r="O81" s="16" t="s">
        <v>37</v>
      </c>
      <c r="Q81" s="9">
        <v>7</v>
      </c>
      <c r="R81" s="9">
        <v>6</v>
      </c>
      <c r="S81" s="9">
        <v>5</v>
      </c>
      <c r="T81" s="9">
        <v>8</v>
      </c>
      <c r="U81" s="9">
        <v>7</v>
      </c>
      <c r="W81" s="25" cm="1">
        <f t="array" ref="W81">_xlfn.LET(_xlpm.x, K81:K83, IF(SUM((_xlpm.x="C1")*1)=1, 3, 1))</f>
        <v>1</v>
      </c>
      <c r="X81" s="25" cm="1">
        <f t="array" ref="X81">_xlfn.LET(_xlpm.x, L81:L83, IF(SUM((_xlpm.x="C1")*1)=1, 3, 1))</f>
        <v>1</v>
      </c>
      <c r="Y81" s="25" cm="1">
        <f t="array" ref="Y81">_xlfn.LET(_xlpm.x, M81:M83, IF(SUM((_xlpm.x="C1")*1)=1, 3, 1))</f>
        <v>1</v>
      </c>
      <c r="Z81" s="25" cm="1">
        <f t="array" ref="Z81">_xlfn.LET(_xlpm.x, N81:N83, IF(SUM((_xlpm.x="C1")*1)=1, 3, 1))</f>
        <v>1</v>
      </c>
      <c r="AA81" s="25" cm="1">
        <f t="array" ref="AA81">_xlfn.LET(_xlpm.x, O81:O83, IF(SUM((_xlpm.x="C1")*1)=1, 3, 1))</f>
        <v>1</v>
      </c>
      <c r="AH81" s="5"/>
      <c r="AI81" s="5"/>
      <c r="AO81" s="5"/>
    </row>
    <row r="82" spans="10:41" x14ac:dyDescent="0.3">
      <c r="J82" s="25">
        <v>78</v>
      </c>
      <c r="K82" s="16" t="s">
        <v>19</v>
      </c>
      <c r="L82" s="16" t="s">
        <v>89</v>
      </c>
      <c r="M82" s="16" t="s">
        <v>35</v>
      </c>
      <c r="N82" s="16" t="s">
        <v>18</v>
      </c>
      <c r="O82" s="16" t="s">
        <v>19</v>
      </c>
      <c r="Q82" s="9">
        <v>5</v>
      </c>
      <c r="R82" s="9">
        <v>12</v>
      </c>
      <c r="S82" s="9">
        <v>8</v>
      </c>
      <c r="T82" s="9">
        <v>4</v>
      </c>
      <c r="U82" s="9">
        <v>5</v>
      </c>
      <c r="W82" s="25" cm="1">
        <f t="array" ref="W82">_xlfn.LET(_xlpm.x, K82:K84, IF(SUM((_xlpm.x="C1")*1)=1, 3, 1))</f>
        <v>1</v>
      </c>
      <c r="X82" s="25" cm="1">
        <f t="array" ref="X82">_xlfn.LET(_xlpm.x, L82:L84, IF(SUM((_xlpm.x="C1")*1)=1, 3, 1))</f>
        <v>1</v>
      </c>
      <c r="Y82" s="25" cm="1">
        <f t="array" ref="Y82">_xlfn.LET(_xlpm.x, M82:M84, IF(SUM((_xlpm.x="C1")*1)=1, 3, 1))</f>
        <v>1</v>
      </c>
      <c r="Z82" s="25" cm="1">
        <f t="array" ref="Z82">_xlfn.LET(_xlpm.x, N82:N84, IF(SUM((_xlpm.x="C1")*1)=1, 3, 1))</f>
        <v>3</v>
      </c>
      <c r="AA82" s="25" cm="1">
        <f t="array" ref="AA82">_xlfn.LET(_xlpm.x, O82:O84, IF(SUM((_xlpm.x="C1")*1)=1, 3, 1))</f>
        <v>1</v>
      </c>
      <c r="AH82" s="5"/>
      <c r="AI82" s="5"/>
      <c r="AO82" s="5"/>
    </row>
    <row r="83" spans="10:41" x14ac:dyDescent="0.3">
      <c r="J83" s="9">
        <v>79</v>
      </c>
      <c r="K83" s="16" t="s">
        <v>125</v>
      </c>
      <c r="L83" s="16" t="s">
        <v>36</v>
      </c>
      <c r="M83" s="16" t="s">
        <v>125</v>
      </c>
      <c r="N83" s="16" t="s">
        <v>22</v>
      </c>
      <c r="O83" s="16" t="s">
        <v>21</v>
      </c>
      <c r="Q83" s="9">
        <v>6</v>
      </c>
      <c r="R83" s="9">
        <v>10</v>
      </c>
      <c r="S83" s="9">
        <v>6</v>
      </c>
      <c r="T83" s="9">
        <v>3</v>
      </c>
      <c r="U83" s="9">
        <v>2</v>
      </c>
      <c r="W83" s="25" cm="1">
        <f t="array" ref="W83">_xlfn.LET(_xlpm.x, K83:K85, IF(SUM((_xlpm.x="C1")*1)=1, 3, 1))</f>
        <v>1</v>
      </c>
      <c r="X83" s="25" cm="1">
        <f t="array" ref="X83">_xlfn.LET(_xlpm.x, L83:L85, IF(SUM((_xlpm.x="C1")*1)=1, 3, 1))</f>
        <v>1</v>
      </c>
      <c r="Y83" s="25" cm="1">
        <f t="array" ref="Y83">_xlfn.LET(_xlpm.x, M83:M85, IF(SUM((_xlpm.x="C1")*1)=1, 3, 1))</f>
        <v>1</v>
      </c>
      <c r="Z83" s="25" cm="1">
        <f t="array" ref="Z83">_xlfn.LET(_xlpm.x, N83:N85, IF(SUM((_xlpm.x="C1")*1)=1, 3, 1))</f>
        <v>3</v>
      </c>
      <c r="AA83" s="25" cm="1">
        <f t="array" ref="AA83">_xlfn.LET(_xlpm.x, O83:O85, IF(SUM((_xlpm.x="C1")*1)=1, 3, 1))</f>
        <v>1</v>
      </c>
      <c r="AH83" s="5"/>
      <c r="AI83" s="5"/>
      <c r="AO83" s="5"/>
    </row>
    <row r="84" spans="10:41" x14ac:dyDescent="0.3">
      <c r="J84" s="25">
        <v>80</v>
      </c>
      <c r="K84" s="16" t="s">
        <v>35</v>
      </c>
      <c r="L84" s="16" t="s">
        <v>36</v>
      </c>
      <c r="M84" s="16" t="s">
        <v>112</v>
      </c>
      <c r="N84" s="16" t="s">
        <v>20</v>
      </c>
      <c r="O84" s="16" t="s">
        <v>36</v>
      </c>
      <c r="Q84" s="9">
        <v>8</v>
      </c>
      <c r="R84" s="9">
        <v>10</v>
      </c>
      <c r="S84" s="9">
        <v>17</v>
      </c>
      <c r="T84" s="9">
        <v>1</v>
      </c>
      <c r="U84" s="9">
        <v>10</v>
      </c>
      <c r="W84" s="25" cm="1">
        <f t="array" ref="W84">_xlfn.LET(_xlpm.x, K84:K86, IF(SUM((_xlpm.x="C1")*1)=1, 3, 1))</f>
        <v>1</v>
      </c>
      <c r="X84" s="25" cm="1">
        <f t="array" ref="X84">_xlfn.LET(_xlpm.x, L84:L86, IF(SUM((_xlpm.x="C1")*1)=1, 3, 1))</f>
        <v>1</v>
      </c>
      <c r="Y84" s="25" cm="1">
        <f t="array" ref="Y84">_xlfn.LET(_xlpm.x, M84:M86, IF(SUM((_xlpm.x="C1")*1)=1, 3, 1))</f>
        <v>1</v>
      </c>
      <c r="Z84" s="25" cm="1">
        <f t="array" ref="Z84">_xlfn.LET(_xlpm.x, N84:N86, IF(SUM((_xlpm.x="C1")*1)=1, 3, 1))</f>
        <v>3</v>
      </c>
      <c r="AA84" s="25" cm="1">
        <f t="array" ref="AA84">_xlfn.LET(_xlpm.x, O84:O86, IF(SUM((_xlpm.x="C1")*1)=1, 3, 1))</f>
        <v>1</v>
      </c>
      <c r="AH84" s="5"/>
      <c r="AI84" s="5"/>
      <c r="AO84" s="5"/>
    </row>
    <row r="85" spans="10:41" x14ac:dyDescent="0.3">
      <c r="J85" s="9">
        <v>81</v>
      </c>
      <c r="K85" s="16" t="s">
        <v>37</v>
      </c>
      <c r="L85" s="16" t="s">
        <v>92</v>
      </c>
      <c r="M85" s="16" t="s">
        <v>37</v>
      </c>
      <c r="N85" s="16" t="s">
        <v>37</v>
      </c>
      <c r="O85" s="16" t="s">
        <v>35</v>
      </c>
      <c r="Q85" s="9">
        <v>7</v>
      </c>
      <c r="R85" s="9">
        <v>16</v>
      </c>
      <c r="S85" s="9">
        <v>7</v>
      </c>
      <c r="T85" s="9">
        <v>7</v>
      </c>
      <c r="U85" s="9">
        <v>8</v>
      </c>
      <c r="W85" s="25" cm="1">
        <f t="array" ref="W85">_xlfn.LET(_xlpm.x, K85:K87, IF(SUM((_xlpm.x="C1")*1)=1, 3, 1))</f>
        <v>1</v>
      </c>
      <c r="X85" s="25" cm="1">
        <f t="array" ref="X85">_xlfn.LET(_xlpm.x, L85:L87, IF(SUM((_xlpm.x="C1")*1)=1, 3, 1))</f>
        <v>1</v>
      </c>
      <c r="Y85" s="25" cm="1">
        <f t="array" ref="Y85">_xlfn.LET(_xlpm.x, M85:M87, IF(SUM((_xlpm.x="C1")*1)=1, 3, 1))</f>
        <v>1</v>
      </c>
      <c r="Z85" s="25" cm="1">
        <f t="array" ref="Z85">_xlfn.LET(_xlpm.x, N85:N87, IF(SUM((_xlpm.x="C1")*1)=1, 3, 1))</f>
        <v>1</v>
      </c>
      <c r="AA85" s="25" cm="1">
        <f t="array" ref="AA85">_xlfn.LET(_xlpm.x, O85:O87, IF(SUM((_xlpm.x="C1")*1)=1, 3, 1))</f>
        <v>1</v>
      </c>
      <c r="AH85" s="5"/>
      <c r="AI85" s="5"/>
      <c r="AO85" s="5"/>
    </row>
    <row r="86" spans="10:41" x14ac:dyDescent="0.3">
      <c r="J86" s="25">
        <v>82</v>
      </c>
      <c r="K86" s="16" t="s">
        <v>18</v>
      </c>
      <c r="L86" s="16" t="s">
        <v>91</v>
      </c>
      <c r="M86" s="16" t="s">
        <v>18</v>
      </c>
      <c r="N86" s="16" t="s">
        <v>37</v>
      </c>
      <c r="O86" s="16" t="s">
        <v>21</v>
      </c>
      <c r="Q86" s="9">
        <v>4</v>
      </c>
      <c r="R86" s="9">
        <v>14</v>
      </c>
      <c r="S86" s="9">
        <v>4</v>
      </c>
      <c r="T86" s="9">
        <v>7</v>
      </c>
      <c r="U86" s="9">
        <v>2</v>
      </c>
      <c r="W86" s="25" cm="1">
        <f t="array" ref="W86">_xlfn.LET(_xlpm.x, K86:K88, IF(SUM((_xlpm.x="C1")*1)=1, 3, 1))</f>
        <v>1</v>
      </c>
      <c r="X86" s="25" cm="1">
        <f t="array" ref="X86">_xlfn.LET(_xlpm.x, L86:L88, IF(SUM((_xlpm.x="C1")*1)=1, 3, 1))</f>
        <v>1</v>
      </c>
      <c r="Y86" s="25" cm="1">
        <f t="array" ref="Y86">_xlfn.LET(_xlpm.x, M86:M88, IF(SUM((_xlpm.x="C1")*1)=1, 3, 1))</f>
        <v>1</v>
      </c>
      <c r="Z86" s="25" cm="1">
        <f t="array" ref="Z86">_xlfn.LET(_xlpm.x, N86:N88, IF(SUM((_xlpm.x="C1")*1)=1, 3, 1))</f>
        <v>1</v>
      </c>
      <c r="AA86" s="25" cm="1">
        <f t="array" ref="AA86">_xlfn.LET(_xlpm.x, O86:O88, IF(SUM((_xlpm.x="C1")*1)=1, 3, 1))</f>
        <v>1</v>
      </c>
      <c r="AH86" s="5"/>
      <c r="AI86" s="5"/>
      <c r="AO86" s="5"/>
    </row>
    <row r="87" spans="10:41" x14ac:dyDescent="0.3">
      <c r="J87" s="9">
        <v>83</v>
      </c>
      <c r="K87" s="16" t="s">
        <v>125</v>
      </c>
      <c r="L87" s="16" t="s">
        <v>22</v>
      </c>
      <c r="M87" s="16" t="s">
        <v>19</v>
      </c>
      <c r="N87" s="16" t="s">
        <v>19</v>
      </c>
      <c r="O87" s="16" t="s">
        <v>22</v>
      </c>
      <c r="Q87" s="9">
        <v>6</v>
      </c>
      <c r="R87" s="9">
        <v>3</v>
      </c>
      <c r="S87" s="9">
        <v>5</v>
      </c>
      <c r="T87" s="9">
        <v>5</v>
      </c>
      <c r="U87" s="9">
        <v>3</v>
      </c>
      <c r="W87" s="25" cm="1">
        <f t="array" ref="W87">_xlfn.LET(_xlpm.x, K87:K89, IF(SUM((_xlpm.x="C1")*1)=1, 3, 1))</f>
        <v>3</v>
      </c>
      <c r="X87" s="25" cm="1">
        <f t="array" ref="X87">_xlfn.LET(_xlpm.x, L87:L89, IF(SUM((_xlpm.x="C1")*1)=1, 3, 1))</f>
        <v>1</v>
      </c>
      <c r="Y87" s="25" cm="1">
        <f t="array" ref="Y87">_xlfn.LET(_xlpm.x, M87:M89, IF(SUM((_xlpm.x="C1")*1)=1, 3, 1))</f>
        <v>1</v>
      </c>
      <c r="Z87" s="25" cm="1">
        <f t="array" ref="Z87">_xlfn.LET(_xlpm.x, N87:N89, IF(SUM((_xlpm.x="C1")*1)=1, 3, 1))</f>
        <v>1</v>
      </c>
      <c r="AA87" s="25" cm="1">
        <f t="array" ref="AA87">_xlfn.LET(_xlpm.x, O87:O89, IF(SUM((_xlpm.x="C1")*1)=1, 3, 1))</f>
        <v>1</v>
      </c>
      <c r="AH87" s="5"/>
      <c r="AI87" s="5"/>
      <c r="AO87" s="5"/>
    </row>
    <row r="88" spans="10:41" x14ac:dyDescent="0.3">
      <c r="J88" s="25">
        <v>84</v>
      </c>
      <c r="K88" s="16" t="s">
        <v>125</v>
      </c>
      <c r="L88" s="16" t="s">
        <v>34</v>
      </c>
      <c r="M88" s="16" t="s">
        <v>35</v>
      </c>
      <c r="N88" s="16" t="s">
        <v>22</v>
      </c>
      <c r="O88" s="16" t="s">
        <v>18</v>
      </c>
      <c r="Q88" s="9">
        <v>6</v>
      </c>
      <c r="R88" s="9">
        <v>9</v>
      </c>
      <c r="S88" s="9">
        <v>8</v>
      </c>
      <c r="T88" s="9">
        <v>3</v>
      </c>
      <c r="U88" s="9">
        <v>4</v>
      </c>
      <c r="W88" s="25" cm="1">
        <f t="array" ref="W88">_xlfn.LET(_xlpm.x, K88:K90, IF(SUM((_xlpm.x="C1")*1)=1, 3, 1))</f>
        <v>3</v>
      </c>
      <c r="X88" s="25" cm="1">
        <f t="array" ref="X88">_xlfn.LET(_xlpm.x, L88:L90, IF(SUM((_xlpm.x="C1")*1)=1, 3, 1))</f>
        <v>1</v>
      </c>
      <c r="Y88" s="25" cm="1">
        <f t="array" ref="Y88">_xlfn.LET(_xlpm.x, M88:M90, IF(SUM((_xlpm.x="C1")*1)=1, 3, 1))</f>
        <v>1</v>
      </c>
      <c r="Z88" s="25" cm="1">
        <f t="array" ref="Z88">_xlfn.LET(_xlpm.x, N88:N90, IF(SUM((_xlpm.x="C1")*1)=1, 3, 1))</f>
        <v>1</v>
      </c>
      <c r="AA88" s="25" cm="1">
        <f t="array" ref="AA88">_xlfn.LET(_xlpm.x, O88:O90, IF(SUM((_xlpm.x="C1")*1)=1, 3, 1))</f>
        <v>1</v>
      </c>
      <c r="AH88" s="5"/>
      <c r="AI88" s="5"/>
      <c r="AO88" s="5"/>
    </row>
    <row r="89" spans="10:41" x14ac:dyDescent="0.3">
      <c r="J89" s="9">
        <v>85</v>
      </c>
      <c r="K89" s="16" t="s">
        <v>20</v>
      </c>
      <c r="L89" s="16" t="s">
        <v>88</v>
      </c>
      <c r="M89" s="16" t="s">
        <v>35</v>
      </c>
      <c r="N89" s="16" t="s">
        <v>22</v>
      </c>
      <c r="O89" s="16" t="s">
        <v>35</v>
      </c>
      <c r="Q89" s="9">
        <v>1</v>
      </c>
      <c r="R89" s="9">
        <v>11</v>
      </c>
      <c r="S89" s="9">
        <v>8</v>
      </c>
      <c r="T89" s="9">
        <v>3</v>
      </c>
      <c r="U89" s="9">
        <v>8</v>
      </c>
      <c r="W89" s="25" cm="1">
        <f t="array" ref="W89">_xlfn.LET(_xlpm.x, K89:K91, IF(SUM((_xlpm.x="C1")*1)=1, 3, 1))</f>
        <v>3</v>
      </c>
      <c r="X89" s="25" cm="1">
        <f t="array" ref="X89">_xlfn.LET(_xlpm.x, L89:L91, IF(SUM((_xlpm.x="C1")*1)=1, 3, 1))</f>
        <v>3</v>
      </c>
      <c r="Y89" s="25" cm="1">
        <f t="array" ref="Y89">_xlfn.LET(_xlpm.x, M89:M91, IF(SUM((_xlpm.x="C1")*1)=1, 3, 1))</f>
        <v>1</v>
      </c>
      <c r="Z89" s="25" cm="1">
        <f t="array" ref="Z89">_xlfn.LET(_xlpm.x, N89:N91, IF(SUM((_xlpm.x="C1")*1)=1, 3, 1))</f>
        <v>1</v>
      </c>
      <c r="AA89" s="25" cm="1">
        <f t="array" ref="AA89">_xlfn.LET(_xlpm.x, O89:O91, IF(SUM((_xlpm.x="C1")*1)=1, 3, 1))</f>
        <v>1</v>
      </c>
      <c r="AH89" s="5"/>
      <c r="AI89" s="5"/>
      <c r="AO89" s="5"/>
    </row>
    <row r="90" spans="10:41" x14ac:dyDescent="0.3">
      <c r="J90" s="25">
        <v>86</v>
      </c>
      <c r="K90" s="16" t="s">
        <v>35</v>
      </c>
      <c r="L90" s="16" t="s">
        <v>22</v>
      </c>
      <c r="M90" s="16" t="s">
        <v>35</v>
      </c>
      <c r="N90" s="16" t="s">
        <v>22</v>
      </c>
      <c r="O90" s="16" t="s">
        <v>18</v>
      </c>
      <c r="Q90" s="9">
        <v>8</v>
      </c>
      <c r="R90" s="9">
        <v>3</v>
      </c>
      <c r="S90" s="9">
        <v>8</v>
      </c>
      <c r="T90" s="9">
        <v>3</v>
      </c>
      <c r="U90" s="9">
        <v>4</v>
      </c>
      <c r="W90" s="25" cm="1">
        <f t="array" ref="W90">_xlfn.LET(_xlpm.x, K90:K92, IF(SUM((_xlpm.x="C1")*1)=1, 3, 1))</f>
        <v>1</v>
      </c>
      <c r="X90" s="25" cm="1">
        <f t="array" ref="X90">_xlfn.LET(_xlpm.x, L90:L92, IF(SUM((_xlpm.x="C1")*1)=1, 3, 1))</f>
        <v>3</v>
      </c>
      <c r="Y90" s="25" cm="1">
        <f t="array" ref="Y90">_xlfn.LET(_xlpm.x, M90:M92, IF(SUM((_xlpm.x="C1")*1)=1, 3, 1))</f>
        <v>1</v>
      </c>
      <c r="Z90" s="25" cm="1">
        <f t="array" ref="Z90">_xlfn.LET(_xlpm.x, N90:N92, IF(SUM((_xlpm.x="C1")*1)=1, 3, 1))</f>
        <v>1</v>
      </c>
      <c r="AA90" s="25" cm="1">
        <f t="array" ref="AA90">_xlfn.LET(_xlpm.x, O90:O92, IF(SUM((_xlpm.x="C1")*1)=1, 3, 1))</f>
        <v>1</v>
      </c>
      <c r="AH90" s="5"/>
      <c r="AI90" s="5"/>
      <c r="AO90" s="5"/>
    </row>
    <row r="91" spans="10:41" x14ac:dyDescent="0.3">
      <c r="J91" s="9">
        <v>87</v>
      </c>
      <c r="K91" s="16" t="s">
        <v>37</v>
      </c>
      <c r="L91" s="16" t="s">
        <v>20</v>
      </c>
      <c r="M91" s="16" t="s">
        <v>37</v>
      </c>
      <c r="N91" s="16" t="s">
        <v>89</v>
      </c>
      <c r="O91" s="16" t="s">
        <v>18</v>
      </c>
      <c r="Q91" s="9">
        <v>7</v>
      </c>
      <c r="R91" s="9">
        <v>1</v>
      </c>
      <c r="S91" s="9">
        <v>7</v>
      </c>
      <c r="T91" s="9">
        <v>12</v>
      </c>
      <c r="U91" s="9">
        <v>4</v>
      </c>
      <c r="W91" s="25" cm="1">
        <f t="array" ref="W91">_xlfn.LET(_xlpm.x, K91:K93, IF(SUM((_xlpm.x="C1")*1)=1, 3, 1))</f>
        <v>1</v>
      </c>
      <c r="X91" s="25" cm="1">
        <f t="array" ref="X91">_xlfn.LET(_xlpm.x, L91:L93, IF(SUM((_xlpm.x="C1")*1)=1, 3, 1))</f>
        <v>3</v>
      </c>
      <c r="Y91" s="25" cm="1">
        <f t="array" ref="Y91">_xlfn.LET(_xlpm.x, M91:M93, IF(SUM((_xlpm.x="C1")*1)=1, 3, 1))</f>
        <v>3</v>
      </c>
      <c r="Z91" s="25" cm="1">
        <f t="array" ref="Z91">_xlfn.LET(_xlpm.x, N91:N93, IF(SUM((_xlpm.x="C1")*1)=1, 3, 1))</f>
        <v>1</v>
      </c>
      <c r="AA91" s="25" cm="1">
        <f t="array" ref="AA91">_xlfn.LET(_xlpm.x, O91:O93, IF(SUM((_xlpm.x="C1")*1)=1, 3, 1))</f>
        <v>1</v>
      </c>
      <c r="AH91" s="5"/>
      <c r="AI91" s="5"/>
      <c r="AO91" s="5"/>
    </row>
    <row r="92" spans="10:41" x14ac:dyDescent="0.3">
      <c r="J92" s="25">
        <v>88</v>
      </c>
      <c r="K92" s="16" t="s">
        <v>19</v>
      </c>
      <c r="L92" s="16" t="s">
        <v>91</v>
      </c>
      <c r="M92" s="16" t="s">
        <v>125</v>
      </c>
      <c r="N92" s="16" t="s">
        <v>34</v>
      </c>
      <c r="O92" s="16" t="s">
        <v>19</v>
      </c>
      <c r="Q92" s="9">
        <v>5</v>
      </c>
      <c r="R92" s="9">
        <v>14</v>
      </c>
      <c r="S92" s="9">
        <v>6</v>
      </c>
      <c r="T92" s="9">
        <v>9</v>
      </c>
      <c r="U92" s="9">
        <v>5</v>
      </c>
      <c r="W92" s="25" cm="1">
        <f t="array" ref="W92">_xlfn.LET(_xlpm.x, K92:K94, IF(SUM((_xlpm.x="C1")*1)=1, 3, 1))</f>
        <v>1</v>
      </c>
      <c r="X92" s="25" cm="1">
        <f t="array" ref="X92">_xlfn.LET(_xlpm.x, L92:L94, IF(SUM((_xlpm.x="C1")*1)=1, 3, 1))</f>
        <v>1</v>
      </c>
      <c r="Y92" s="25" cm="1">
        <f t="array" ref="Y92">_xlfn.LET(_xlpm.x, M92:M94, IF(SUM((_xlpm.x="C1")*1)=1, 3, 1))</f>
        <v>3</v>
      </c>
      <c r="Z92" s="25" cm="1">
        <f t="array" ref="Z92">_xlfn.LET(_xlpm.x, N92:N94, IF(SUM((_xlpm.x="C1")*1)=1, 3, 1))</f>
        <v>1</v>
      </c>
      <c r="AA92" s="25" cm="1">
        <f t="array" ref="AA92">_xlfn.LET(_xlpm.x, O92:O94, IF(SUM((_xlpm.x="C1")*1)=1, 3, 1))</f>
        <v>3</v>
      </c>
      <c r="AH92" s="5"/>
      <c r="AI92" s="5"/>
      <c r="AO92" s="5"/>
    </row>
    <row r="93" spans="10:41" x14ac:dyDescent="0.3">
      <c r="J93" s="9">
        <v>89</v>
      </c>
      <c r="K93" s="16" t="s">
        <v>19</v>
      </c>
      <c r="L93" s="16" t="s">
        <v>19</v>
      </c>
      <c r="M93" s="16" t="s">
        <v>20</v>
      </c>
      <c r="N93" s="16" t="s">
        <v>36</v>
      </c>
      <c r="O93" s="16" t="s">
        <v>19</v>
      </c>
      <c r="Q93" s="9">
        <v>5</v>
      </c>
      <c r="R93" s="9">
        <v>5</v>
      </c>
      <c r="S93" s="9">
        <v>1</v>
      </c>
      <c r="T93" s="9">
        <v>10</v>
      </c>
      <c r="U93" s="9">
        <v>5</v>
      </c>
      <c r="W93" s="25" cm="1">
        <f t="array" ref="W93">_xlfn.LET(_xlpm.x, K93:K95, IF(SUM((_xlpm.x="C1")*1)=1, 3, 1))</f>
        <v>1</v>
      </c>
      <c r="X93" s="25" cm="1">
        <f t="array" ref="X93">_xlfn.LET(_xlpm.x, L93:L95, IF(SUM((_xlpm.x="C1")*1)=1, 3, 1))</f>
        <v>1</v>
      </c>
      <c r="Y93" s="25" cm="1">
        <f t="array" ref="Y93">_xlfn.LET(_xlpm.x, M93:M95, IF(SUM((_xlpm.x="C1")*1)=1, 3, 1))</f>
        <v>3</v>
      </c>
      <c r="Z93" s="25" cm="1">
        <f t="array" ref="Z93">_xlfn.LET(_xlpm.x, N93:N95, IF(SUM((_xlpm.x="C1")*1)=1, 3, 1))</f>
        <v>1</v>
      </c>
      <c r="AA93" s="25" cm="1">
        <f t="array" ref="AA93">_xlfn.LET(_xlpm.x, O93:O95, IF(SUM((_xlpm.x="C1")*1)=1, 3, 1))</f>
        <v>3</v>
      </c>
      <c r="AH93" s="5"/>
      <c r="AI93" s="5"/>
      <c r="AO93" s="5"/>
    </row>
    <row r="94" spans="10:41" x14ac:dyDescent="0.3">
      <c r="J94" s="25">
        <v>90</v>
      </c>
      <c r="K94" s="16" t="s">
        <v>125</v>
      </c>
      <c r="L94" s="16" t="s">
        <v>36</v>
      </c>
      <c r="M94" s="16" t="s">
        <v>92</v>
      </c>
      <c r="N94" s="16" t="s">
        <v>18</v>
      </c>
      <c r="O94" s="16" t="s">
        <v>20</v>
      </c>
      <c r="Q94" s="9">
        <v>6</v>
      </c>
      <c r="R94" s="9">
        <v>10</v>
      </c>
      <c r="S94" s="9">
        <v>16</v>
      </c>
      <c r="T94" s="9">
        <v>4</v>
      </c>
      <c r="U94" s="9">
        <v>1</v>
      </c>
      <c r="W94" s="25" cm="1">
        <f t="array" ref="W94">_xlfn.LET(_xlpm.x, K94:K96, IF(SUM((_xlpm.x="C1")*1)=1, 3, 1))</f>
        <v>1</v>
      </c>
      <c r="X94" s="25" cm="1">
        <f t="array" ref="X94">_xlfn.LET(_xlpm.x, L94:L96, IF(SUM((_xlpm.x="C1")*1)=1, 3, 1))</f>
        <v>1</v>
      </c>
      <c r="Y94" s="25" cm="1">
        <f t="array" ref="Y94">_xlfn.LET(_xlpm.x, M94:M96, IF(SUM((_xlpm.x="C1")*1)=1, 3, 1))</f>
        <v>1</v>
      </c>
      <c r="Z94" s="25" cm="1">
        <f t="array" ref="Z94">_xlfn.LET(_xlpm.x, N94:N96, IF(SUM((_xlpm.x="C1")*1)=1, 3, 1))</f>
        <v>1</v>
      </c>
      <c r="AA94" s="25" cm="1">
        <f t="array" ref="AA94">_xlfn.LET(_xlpm.x, O94:O96, IF(SUM((_xlpm.x="C1")*1)=1, 3, 1))</f>
        <v>3</v>
      </c>
      <c r="AH94" s="5"/>
      <c r="AI94" s="5"/>
      <c r="AO94" s="5"/>
    </row>
    <row r="95" spans="10:41" x14ac:dyDescent="0.3">
      <c r="J95" s="9">
        <v>91</v>
      </c>
      <c r="K95" s="16" t="s">
        <v>19</v>
      </c>
      <c r="L95" s="16" t="s">
        <v>22</v>
      </c>
      <c r="M95" s="16" t="s">
        <v>35</v>
      </c>
      <c r="N95" s="16" t="s">
        <v>18</v>
      </c>
      <c r="O95" s="16" t="s">
        <v>22</v>
      </c>
      <c r="Q95" s="9">
        <v>5</v>
      </c>
      <c r="R95" s="9">
        <v>3</v>
      </c>
      <c r="S95" s="9">
        <v>8</v>
      </c>
      <c r="T95" s="9">
        <v>4</v>
      </c>
      <c r="U95" s="9">
        <v>3</v>
      </c>
      <c r="W95" s="25" cm="1">
        <f t="array" ref="W95">_xlfn.LET(_xlpm.x, K95:K97, IF(SUM((_xlpm.x="C1")*1)=1, 3, 1))</f>
        <v>1</v>
      </c>
      <c r="X95" s="25" cm="1">
        <f t="array" ref="X95">_xlfn.LET(_xlpm.x, L95:L97, IF(SUM((_xlpm.x="C1")*1)=1, 3, 1))</f>
        <v>1</v>
      </c>
      <c r="Y95" s="25" cm="1">
        <f t="array" ref="Y95">_xlfn.LET(_xlpm.x, M95:M97, IF(SUM((_xlpm.x="C1")*1)=1, 3, 1))</f>
        <v>1</v>
      </c>
      <c r="Z95" s="25" cm="1">
        <f t="array" ref="Z95">_xlfn.LET(_xlpm.x, N95:N97, IF(SUM((_xlpm.x="C1")*1)=1, 3, 1))</f>
        <v>1</v>
      </c>
      <c r="AA95" s="25" cm="1">
        <f t="array" ref="AA95">_xlfn.LET(_xlpm.x, O95:O97, IF(SUM((_xlpm.x="C1")*1)=1, 3, 1))</f>
        <v>1</v>
      </c>
      <c r="AH95" s="5"/>
      <c r="AI95" s="5"/>
      <c r="AO95" s="5"/>
    </row>
    <row r="96" spans="10:41" x14ac:dyDescent="0.3">
      <c r="J96" s="25">
        <v>92</v>
      </c>
      <c r="K96" s="16" t="s">
        <v>35</v>
      </c>
      <c r="L96" s="16" t="s">
        <v>88</v>
      </c>
      <c r="M96" s="16" t="s">
        <v>125</v>
      </c>
      <c r="N96" s="16" t="s">
        <v>34</v>
      </c>
      <c r="O96" s="16" t="s">
        <v>22</v>
      </c>
      <c r="Q96" s="9">
        <v>8</v>
      </c>
      <c r="R96" s="9">
        <v>11</v>
      </c>
      <c r="S96" s="9">
        <v>6</v>
      </c>
      <c r="T96" s="9">
        <v>9</v>
      </c>
      <c r="U96" s="9">
        <v>3</v>
      </c>
      <c r="W96" s="25" cm="1">
        <f t="array" ref="W96">_xlfn.LET(_xlpm.x, K96:K98, IF(SUM((_xlpm.x="C1")*1)=1, 3, 1))</f>
        <v>1</v>
      </c>
      <c r="X96" s="25" cm="1">
        <f t="array" ref="X96">_xlfn.LET(_xlpm.x, L96:L98, IF(SUM((_xlpm.x="C1")*1)=1, 3, 1))</f>
        <v>1</v>
      </c>
      <c r="Y96" s="25" cm="1">
        <f t="array" ref="Y96">_xlfn.LET(_xlpm.x, M96:M98, IF(SUM((_xlpm.x="C1")*1)=1, 3, 1))</f>
        <v>1</v>
      </c>
      <c r="Z96" s="25" cm="1">
        <f t="array" ref="Z96">_xlfn.LET(_xlpm.x, N96:N98, IF(SUM((_xlpm.x="C1")*1)=1, 3, 1))</f>
        <v>1</v>
      </c>
      <c r="AA96" s="25" cm="1">
        <f t="array" ref="AA96">_xlfn.LET(_xlpm.x, O96:O98, IF(SUM((_xlpm.x="C1")*1)=1, 3, 1))</f>
        <v>1</v>
      </c>
      <c r="AH96" s="5"/>
      <c r="AI96" s="5"/>
      <c r="AO96" s="5"/>
    </row>
    <row r="97" spans="10:41" x14ac:dyDescent="0.3">
      <c r="J97" s="9">
        <v>93</v>
      </c>
      <c r="K97" s="16" t="s">
        <v>21</v>
      </c>
      <c r="L97" s="16" t="s">
        <v>36</v>
      </c>
      <c r="M97" s="16" t="s">
        <v>37</v>
      </c>
      <c r="N97" s="16" t="s">
        <v>112</v>
      </c>
      <c r="O97" s="16" t="s">
        <v>37</v>
      </c>
      <c r="Q97" s="9">
        <v>2</v>
      </c>
      <c r="R97" s="9">
        <v>10</v>
      </c>
      <c r="S97" s="9">
        <v>7</v>
      </c>
      <c r="T97" s="9">
        <v>17</v>
      </c>
      <c r="U97" s="9">
        <v>7</v>
      </c>
      <c r="W97" s="25" cm="1">
        <f t="array" ref="W97">_xlfn.LET(_xlpm.x, K97:K99, IF(SUM((_xlpm.x="C1")*1)=1, 3, 1))</f>
        <v>1</v>
      </c>
      <c r="X97" s="25" cm="1">
        <f t="array" ref="X97">_xlfn.LET(_xlpm.x, L97:L99, IF(SUM((_xlpm.x="C1")*1)=1, 3, 1))</f>
        <v>1</v>
      </c>
      <c r="Y97" s="25" cm="1">
        <f t="array" ref="Y97">_xlfn.LET(_xlpm.x, M97:M99, IF(SUM((_xlpm.x="C1")*1)=1, 3, 1))</f>
        <v>1</v>
      </c>
      <c r="Z97" s="25" cm="1">
        <f t="array" ref="Z97">_xlfn.LET(_xlpm.x, N97:N99, IF(SUM((_xlpm.x="C1")*1)=1, 3, 1))</f>
        <v>1</v>
      </c>
      <c r="AA97" s="25" cm="1">
        <f t="array" ref="AA97">_xlfn.LET(_xlpm.x, O97:O99, IF(SUM((_xlpm.x="C1")*1)=1, 3, 1))</f>
        <v>1</v>
      </c>
      <c r="AH97" s="5"/>
      <c r="AI97" s="5"/>
      <c r="AO97" s="5"/>
    </row>
    <row r="98" spans="10:41" x14ac:dyDescent="0.3">
      <c r="J98" s="25">
        <v>94</v>
      </c>
      <c r="K98" s="16" t="s">
        <v>19</v>
      </c>
      <c r="L98" s="16" t="s">
        <v>89</v>
      </c>
      <c r="M98" s="16" t="s">
        <v>19</v>
      </c>
      <c r="N98" s="16" t="s">
        <v>21</v>
      </c>
      <c r="O98" s="16" t="s">
        <v>36</v>
      </c>
      <c r="Q98" s="9">
        <v>5</v>
      </c>
      <c r="R98" s="9">
        <v>12</v>
      </c>
      <c r="S98" s="9">
        <v>5</v>
      </c>
      <c r="T98" s="9">
        <v>2</v>
      </c>
      <c r="U98" s="9">
        <v>10</v>
      </c>
      <c r="W98" s="25" cm="1">
        <f t="array" ref="W98">_xlfn.LET(_xlpm.x, K98:K100, IF(SUM((_xlpm.x="C1")*1)=1, 3, 1))</f>
        <v>1</v>
      </c>
      <c r="X98" s="25" cm="1">
        <f t="array" ref="X98">_xlfn.LET(_xlpm.x, L98:L100, IF(SUM((_xlpm.x="C1")*1)=1, 3, 1))</f>
        <v>1</v>
      </c>
      <c r="Y98" s="25" cm="1">
        <f t="array" ref="Y98">_xlfn.LET(_xlpm.x, M98:M100, IF(SUM((_xlpm.x="C1")*1)=1, 3, 1))</f>
        <v>1</v>
      </c>
      <c r="Z98" s="25" cm="1">
        <f t="array" ref="Z98">_xlfn.LET(_xlpm.x, N98:N100, IF(SUM((_xlpm.x="C1")*1)=1, 3, 1))</f>
        <v>1</v>
      </c>
      <c r="AA98" s="25" cm="1">
        <f t="array" ref="AA98">_xlfn.LET(_xlpm.x, O98:O100, IF(SUM((_xlpm.x="C1")*1)=1, 3, 1))</f>
        <v>1</v>
      </c>
      <c r="AH98" s="5"/>
      <c r="AI98" s="5"/>
      <c r="AO98" s="5"/>
    </row>
    <row r="99" spans="10:41" x14ac:dyDescent="0.3">
      <c r="J99" s="9">
        <v>95</v>
      </c>
      <c r="K99" s="16" t="s">
        <v>19</v>
      </c>
      <c r="L99" s="16" t="s">
        <v>21</v>
      </c>
      <c r="M99" s="16" t="s">
        <v>34</v>
      </c>
      <c r="N99" s="16" t="s">
        <v>36</v>
      </c>
      <c r="O99" s="16" t="s">
        <v>19</v>
      </c>
      <c r="Q99" s="9">
        <v>5</v>
      </c>
      <c r="R99" s="9">
        <v>2</v>
      </c>
      <c r="S99" s="9">
        <v>9</v>
      </c>
      <c r="T99" s="9">
        <v>10</v>
      </c>
      <c r="U99" s="9">
        <v>5</v>
      </c>
      <c r="W99" s="25" cm="1">
        <f t="array" ref="W99">_xlfn.LET(_xlpm.x, K99:K101, IF(SUM((_xlpm.x="C1")*1)=1, 3, 1))</f>
        <v>1</v>
      </c>
      <c r="X99" s="25" cm="1">
        <f t="array" ref="X99">_xlfn.LET(_xlpm.x, L99:L101, IF(SUM((_xlpm.x="C1")*1)=1, 3, 1))</f>
        <v>1</v>
      </c>
      <c r="Y99" s="25" cm="1">
        <f t="array" ref="Y99">_xlfn.LET(_xlpm.x, M99:M101, IF(SUM((_xlpm.x="C1")*1)=1, 3, 1))</f>
        <v>1</v>
      </c>
      <c r="Z99" s="25" cm="1">
        <f t="array" ref="Z99">_xlfn.LET(_xlpm.x, N99:N101, IF(SUM((_xlpm.x="C1")*1)=1, 3, 1))</f>
        <v>1</v>
      </c>
      <c r="AA99" s="25" cm="1">
        <f t="array" ref="AA99">_xlfn.LET(_xlpm.x, O99:O101, IF(SUM((_xlpm.x="C1")*1)=1, 3, 1))</f>
        <v>1</v>
      </c>
      <c r="AH99" s="5"/>
      <c r="AI99" s="5"/>
      <c r="AO99" s="5"/>
    </row>
    <row r="100" spans="10:41" x14ac:dyDescent="0.3">
      <c r="J100" s="25">
        <v>96</v>
      </c>
      <c r="K100" s="16" t="s">
        <v>37</v>
      </c>
      <c r="L100" s="16" t="s">
        <v>19</v>
      </c>
      <c r="M100" s="16" t="s">
        <v>35</v>
      </c>
      <c r="N100" s="16" t="s">
        <v>21</v>
      </c>
      <c r="O100" s="16" t="s">
        <v>21</v>
      </c>
      <c r="Q100" s="9">
        <v>7</v>
      </c>
      <c r="R100" s="9">
        <v>5</v>
      </c>
      <c r="S100" s="9">
        <v>8</v>
      </c>
      <c r="T100" s="9">
        <v>2</v>
      </c>
      <c r="U100" s="9">
        <v>2</v>
      </c>
      <c r="W100" s="25" cm="1">
        <f t="array" ref="W100">_xlfn.LET(_xlpm.x, K100:K102, IF(SUM((_xlpm.x="C1")*1)=1, 3, 1))</f>
        <v>3</v>
      </c>
      <c r="X100" s="25" cm="1">
        <f t="array" ref="X100">_xlfn.LET(_xlpm.x, L100:L102, IF(SUM((_xlpm.x="C1")*1)=1, 3, 1))</f>
        <v>1</v>
      </c>
      <c r="Y100" s="25" cm="1">
        <f t="array" ref="Y100">_xlfn.LET(_xlpm.x, M100:M102, IF(SUM((_xlpm.x="C1")*1)=1, 3, 1))</f>
        <v>1</v>
      </c>
      <c r="Z100" s="25" cm="1">
        <f t="array" ref="Z100">_xlfn.LET(_xlpm.x, N100:N102, IF(SUM((_xlpm.x="C1")*1)=1, 3, 1))</f>
        <v>1</v>
      </c>
      <c r="AA100" s="25" cm="1">
        <f t="array" ref="AA100">_xlfn.LET(_xlpm.x, O100:O102, IF(SUM((_xlpm.x="C1")*1)=1, 3, 1))</f>
        <v>1</v>
      </c>
      <c r="AH100" s="5"/>
      <c r="AI100" s="5"/>
      <c r="AO100" s="5"/>
    </row>
    <row r="101" spans="10:41" x14ac:dyDescent="0.3">
      <c r="J101" s="9">
        <v>97</v>
      </c>
      <c r="K101" s="16" t="s">
        <v>35</v>
      </c>
      <c r="L101" s="16" t="s">
        <v>19</v>
      </c>
      <c r="M101" s="16" t="s">
        <v>19</v>
      </c>
      <c r="N101" s="16" t="s">
        <v>21</v>
      </c>
      <c r="O101" s="16" t="s">
        <v>21</v>
      </c>
      <c r="Q101" s="9">
        <v>8</v>
      </c>
      <c r="R101" s="9">
        <v>5</v>
      </c>
      <c r="S101" s="9">
        <v>5</v>
      </c>
      <c r="T101" s="9">
        <v>2</v>
      </c>
      <c r="U101" s="9">
        <v>2</v>
      </c>
      <c r="W101" s="25" cm="1">
        <f t="array" ref="W101">_xlfn.LET(_xlpm.x, K101:K103, IF(SUM((_xlpm.x="C1")*1)=1, 3, 1))</f>
        <v>3</v>
      </c>
      <c r="X101" s="25" cm="1">
        <f t="array" ref="X101">_xlfn.LET(_xlpm.x, L101:L103, IF(SUM((_xlpm.x="C1")*1)=1, 3, 1))</f>
        <v>1</v>
      </c>
      <c r="Y101" s="25" cm="1">
        <f t="array" ref="Y101">_xlfn.LET(_xlpm.x, M101:M103, IF(SUM((_xlpm.x="C1")*1)=1, 3, 1))</f>
        <v>1</v>
      </c>
      <c r="Z101" s="25" cm="1">
        <f t="array" ref="Z101">_xlfn.LET(_xlpm.x, N101:N103, IF(SUM((_xlpm.x="C1")*1)=1, 3, 1))</f>
        <v>1</v>
      </c>
      <c r="AA101" s="25" cm="1">
        <f t="array" ref="AA101">_xlfn.LET(_xlpm.x, O101:O103, IF(SUM((_xlpm.x="C1")*1)=1, 3, 1))</f>
        <v>1</v>
      </c>
      <c r="AH101" s="5"/>
      <c r="AI101" s="5"/>
      <c r="AO101" s="5"/>
    </row>
    <row r="102" spans="10:41" x14ac:dyDescent="0.3">
      <c r="J102" s="25">
        <v>98</v>
      </c>
      <c r="K102" s="16" t="s">
        <v>20</v>
      </c>
      <c r="L102" s="16" t="s">
        <v>88</v>
      </c>
      <c r="M102" s="16" t="s">
        <v>19</v>
      </c>
      <c r="N102" s="16" t="s">
        <v>19</v>
      </c>
      <c r="O102" s="16" t="s">
        <v>125</v>
      </c>
      <c r="Q102" s="9">
        <v>1</v>
      </c>
      <c r="R102" s="9">
        <v>11</v>
      </c>
      <c r="S102" s="9">
        <v>5</v>
      </c>
      <c r="T102" s="9">
        <v>5</v>
      </c>
      <c r="U102" s="9">
        <v>6</v>
      </c>
      <c r="W102" s="25" cm="1">
        <f t="array" ref="W102">_xlfn.LET(_xlpm.x, K102:K104, IF(SUM((_xlpm.x="C1")*1)=1, 3, 1))</f>
        <v>3</v>
      </c>
      <c r="X102" s="25" cm="1">
        <f t="array" ref="X102">_xlfn.LET(_xlpm.x, L102:L104, IF(SUM((_xlpm.x="C1")*1)=1, 3, 1))</f>
        <v>1</v>
      </c>
      <c r="Y102" s="25" cm="1">
        <f t="array" ref="Y102">_xlfn.LET(_xlpm.x, M102:M104, IF(SUM((_xlpm.x="C1")*1)=1, 3, 1))</f>
        <v>1</v>
      </c>
      <c r="Z102" s="25" cm="1">
        <f t="array" ref="Z102">_xlfn.LET(_xlpm.x, N102:N104, IF(SUM((_xlpm.x="C1")*1)=1, 3, 1))</f>
        <v>1</v>
      </c>
      <c r="AA102" s="25" cm="1">
        <f t="array" ref="AA102">_xlfn.LET(_xlpm.x, O102:O104, IF(SUM((_xlpm.x="C1")*1)=1, 3, 1))</f>
        <v>1</v>
      </c>
      <c r="AH102" s="5"/>
      <c r="AI102" s="5"/>
      <c r="AO102" s="5"/>
    </row>
    <row r="103" spans="10:41" x14ac:dyDescent="0.3">
      <c r="J103" s="9">
        <v>99</v>
      </c>
      <c r="K103" s="16" t="s">
        <v>21</v>
      </c>
      <c r="L103" s="16" t="s">
        <v>126</v>
      </c>
      <c r="M103" s="16" t="s">
        <v>35</v>
      </c>
      <c r="N103" s="16" t="s">
        <v>34</v>
      </c>
      <c r="O103" s="16" t="s">
        <v>34</v>
      </c>
      <c r="Q103" s="9">
        <v>2</v>
      </c>
      <c r="R103" s="9">
        <v>15</v>
      </c>
      <c r="S103" s="9">
        <v>8</v>
      </c>
      <c r="T103" s="9">
        <v>9</v>
      </c>
      <c r="U103" s="9">
        <v>9</v>
      </c>
      <c r="W103" s="25" cm="1">
        <f t="array" ref="W103">_xlfn.LET(_xlpm.x, K103:K105, IF(SUM((_xlpm.x="C1")*1)=1, 3, 1))</f>
        <v>1</v>
      </c>
      <c r="X103" s="25" cm="1">
        <f t="array" ref="X103">_xlfn.LET(_xlpm.x, L103:L105, IF(SUM((_xlpm.x="C1")*1)=1, 3, 1))</f>
        <v>1</v>
      </c>
      <c r="Y103" s="25" cm="1">
        <f t="array" ref="Y103">_xlfn.LET(_xlpm.x, M103:M105, IF(SUM((_xlpm.x="C1")*1)=1, 3, 1))</f>
        <v>1</v>
      </c>
      <c r="Z103" s="25" cm="1">
        <f t="array" ref="Z103">_xlfn.LET(_xlpm.x, N103:N105, IF(SUM((_xlpm.x="C1")*1)=1, 3, 1))</f>
        <v>1</v>
      </c>
      <c r="AA103" s="25" cm="1">
        <f t="array" ref="AA103">_xlfn.LET(_xlpm.x, O103:O105, IF(SUM((_xlpm.x="C1")*1)=1, 3, 1))</f>
        <v>1</v>
      </c>
      <c r="AH103" s="5"/>
      <c r="AI103" s="5"/>
      <c r="AO103" s="5"/>
    </row>
    <row r="104" spans="10:41" x14ac:dyDescent="0.3">
      <c r="J104" s="25">
        <v>100</v>
      </c>
      <c r="K104" s="16" t="s">
        <v>22</v>
      </c>
      <c r="L104" s="16" t="s">
        <v>18</v>
      </c>
      <c r="M104" s="16" t="s">
        <v>37</v>
      </c>
      <c r="N104" s="16" t="s">
        <v>37</v>
      </c>
      <c r="O104" s="16" t="s">
        <v>18</v>
      </c>
      <c r="Q104" s="9">
        <v>3</v>
      </c>
      <c r="R104" s="9">
        <v>4</v>
      </c>
      <c r="S104" s="9">
        <v>7</v>
      </c>
      <c r="T104" s="9">
        <v>7</v>
      </c>
      <c r="U104" s="9">
        <v>4</v>
      </c>
      <c r="W104" s="25" cm="1">
        <f t="array" ref="W104">_xlfn.LET(_xlpm.x, K104:K106, IF(SUM((_xlpm.x="C1")*1)=1, 3, 1))</f>
        <v>1</v>
      </c>
      <c r="X104" s="25" cm="1">
        <f t="array" ref="X104">_xlfn.LET(_xlpm.x, L104:L106, IF(SUM((_xlpm.x="C1")*1)=1, 3, 1))</f>
        <v>1</v>
      </c>
      <c r="Y104" s="25" cm="1">
        <f t="array" ref="Y104">_xlfn.LET(_xlpm.x, M104:M106, IF(SUM((_xlpm.x="C1")*1)=1, 3, 1))</f>
        <v>1</v>
      </c>
      <c r="Z104" s="25" cm="1">
        <f t="array" ref="Z104">_xlfn.LET(_xlpm.x, N104:N106, IF(SUM((_xlpm.x="C1")*1)=1, 3, 1))</f>
        <v>1</v>
      </c>
      <c r="AA104" s="25" cm="1">
        <f t="array" ref="AA104">_xlfn.LET(_xlpm.x, O104:O106, IF(SUM((_xlpm.x="C1")*1)=1, 3, 1))</f>
        <v>1</v>
      </c>
      <c r="AH104" s="5"/>
      <c r="AI104" s="5"/>
      <c r="AO104" s="5"/>
    </row>
    <row r="105" spans="10:41" x14ac:dyDescent="0.3">
      <c r="J105" s="25">
        <v>101</v>
      </c>
      <c r="K105" s="16" t="s">
        <v>34</v>
      </c>
      <c r="L105" s="16" t="s">
        <v>125</v>
      </c>
      <c r="M105" s="16" t="s">
        <v>37</v>
      </c>
      <c r="N105" s="16" t="s">
        <v>35</v>
      </c>
      <c r="O105" s="16" t="s">
        <v>19</v>
      </c>
      <c r="Q105" s="9">
        <v>9</v>
      </c>
      <c r="R105" s="9">
        <v>6</v>
      </c>
      <c r="S105" s="9">
        <v>7</v>
      </c>
      <c r="T105" s="9">
        <v>8</v>
      </c>
      <c r="U105" s="9">
        <v>5</v>
      </c>
      <c r="W105" s="25" cm="1">
        <f t="array" ref="W105">_xlfn.LET(_xlpm.x, K105:K107, IF(SUM((_xlpm.x="C1")*1)=1, 3, 1))</f>
        <v>1</v>
      </c>
      <c r="X105" s="25" cm="1">
        <f t="array" ref="X105">_xlfn.LET(_xlpm.x, L105:L107, IF(SUM((_xlpm.x="C1")*1)=1, 3, 1))</f>
        <v>1</v>
      </c>
      <c r="Y105" s="25" cm="1">
        <f t="array" ref="Y105">_xlfn.LET(_xlpm.x, M105:M107, IF(SUM((_xlpm.x="C1")*1)=1, 3, 1))</f>
        <v>1</v>
      </c>
      <c r="Z105" s="25" cm="1">
        <f t="array" ref="Z105">_xlfn.LET(_xlpm.x, N105:N107, IF(SUM((_xlpm.x="C1")*1)=1, 3, 1))</f>
        <v>1</v>
      </c>
      <c r="AA105" s="25" cm="1">
        <f t="array" ref="AA105">_xlfn.LET(_xlpm.x, O105:O107, IF(SUM((_xlpm.x="C1")*1)=1, 3, 1))</f>
        <v>1</v>
      </c>
      <c r="AH105" s="5"/>
      <c r="AI105" s="5"/>
      <c r="AO105" s="5"/>
    </row>
    <row r="106" spans="10:41" x14ac:dyDescent="0.3">
      <c r="J106" s="9">
        <v>102</v>
      </c>
      <c r="K106" s="16" t="s">
        <v>18</v>
      </c>
      <c r="L106" s="16" t="s">
        <v>125</v>
      </c>
      <c r="M106" s="16" t="s">
        <v>125</v>
      </c>
      <c r="N106" s="16" t="s">
        <v>35</v>
      </c>
      <c r="O106" s="16" t="s">
        <v>34</v>
      </c>
      <c r="Q106" s="9">
        <v>4</v>
      </c>
      <c r="R106" s="9">
        <v>6</v>
      </c>
      <c r="S106" s="9">
        <v>6</v>
      </c>
      <c r="T106" s="9">
        <v>8</v>
      </c>
      <c r="U106" s="9">
        <v>9</v>
      </c>
      <c r="W106" s="25" cm="1">
        <f t="array" ref="W106">_xlfn.LET(_xlpm.x, K106:K108, IF(SUM((_xlpm.x="C1")*1)=1, 3, 1))</f>
        <v>1</v>
      </c>
      <c r="X106" s="25" cm="1">
        <f t="array" ref="X106">_xlfn.LET(_xlpm.x, L106:L108, IF(SUM((_xlpm.x="C1")*1)=1, 3, 1))</f>
        <v>1</v>
      </c>
      <c r="Y106" s="25" cm="1">
        <f t="array" ref="Y106">_xlfn.LET(_xlpm.x, M106:M108, IF(SUM((_xlpm.x="C1")*1)=1, 3, 1))</f>
        <v>1</v>
      </c>
      <c r="Z106" s="25" cm="1">
        <f t="array" ref="Z106">_xlfn.LET(_xlpm.x, N106:N108, IF(SUM((_xlpm.x="C1")*1)=1, 3, 1))</f>
        <v>1</v>
      </c>
      <c r="AA106" s="25" cm="1">
        <f t="array" ref="AA106">_xlfn.LET(_xlpm.x, O106:O108, IF(SUM((_xlpm.x="C1")*1)=1, 3, 1))</f>
        <v>1</v>
      </c>
      <c r="AH106" s="5"/>
      <c r="AI106" s="5"/>
      <c r="AO106" s="5"/>
    </row>
    <row r="107" spans="10:41" x14ac:dyDescent="0.3">
      <c r="J107" s="25">
        <v>103</v>
      </c>
      <c r="K107" s="16" t="s">
        <v>35</v>
      </c>
      <c r="L107" s="16" t="s">
        <v>126</v>
      </c>
      <c r="M107" s="16" t="s">
        <v>22</v>
      </c>
      <c r="N107" s="16" t="s">
        <v>19</v>
      </c>
      <c r="O107" s="16" t="s">
        <v>36</v>
      </c>
      <c r="Q107" s="9">
        <v>8</v>
      </c>
      <c r="R107" s="9">
        <v>15</v>
      </c>
      <c r="S107" s="9">
        <v>3</v>
      </c>
      <c r="T107" s="9">
        <v>5</v>
      </c>
      <c r="U107" s="9">
        <v>10</v>
      </c>
      <c r="W107" s="25" cm="1">
        <f t="array" ref="W107">_xlfn.LET(_xlpm.x, K107:K109, IF(SUM((_xlpm.x="C1")*1)=1, 3, 1))</f>
        <v>1</v>
      </c>
      <c r="X107" s="25" cm="1">
        <f t="array" ref="X107">_xlfn.LET(_xlpm.x, L107:L109, IF(SUM((_xlpm.x="C1")*1)=1, 3, 1))</f>
        <v>1</v>
      </c>
      <c r="Y107" s="25" cm="1">
        <f t="array" ref="Y107">_xlfn.LET(_xlpm.x, M107:M109, IF(SUM((_xlpm.x="C1")*1)=1, 3, 1))</f>
        <v>1</v>
      </c>
      <c r="Z107" s="25" cm="1">
        <f t="array" ref="Z107">_xlfn.LET(_xlpm.x, N107:N109, IF(SUM((_xlpm.x="C1")*1)=1, 3, 1))</f>
        <v>1</v>
      </c>
      <c r="AA107" s="25" cm="1">
        <f t="array" ref="AA107">_xlfn.LET(_xlpm.x, O107:O109, IF(SUM((_xlpm.x="C1")*1)=1, 3, 1))</f>
        <v>1</v>
      </c>
      <c r="AH107" s="5"/>
      <c r="AI107" s="5"/>
      <c r="AO107" s="5"/>
    </row>
    <row r="108" spans="10:41" x14ac:dyDescent="0.3">
      <c r="J108" s="9">
        <v>104</v>
      </c>
      <c r="K108" s="16" t="s">
        <v>19</v>
      </c>
      <c r="L108" s="16" t="s">
        <v>36</v>
      </c>
      <c r="M108" s="16" t="s">
        <v>35</v>
      </c>
      <c r="N108" s="16" t="s">
        <v>36</v>
      </c>
      <c r="O108" s="16" t="s">
        <v>36</v>
      </c>
      <c r="Q108" s="9">
        <v>5</v>
      </c>
      <c r="R108" s="9">
        <v>10</v>
      </c>
      <c r="S108" s="9">
        <v>8</v>
      </c>
      <c r="T108" s="9">
        <v>10</v>
      </c>
      <c r="U108" s="9">
        <v>10</v>
      </c>
      <c r="W108" s="25" cm="1">
        <f t="array" ref="W108">_xlfn.LET(_xlpm.x, K108:K110, IF(SUM((_xlpm.x="C1")*1)=1, 3, 1))</f>
        <v>1</v>
      </c>
      <c r="X108" s="25" cm="1">
        <f t="array" ref="X108">_xlfn.LET(_xlpm.x, L108:L110, IF(SUM((_xlpm.x="C1")*1)=1, 3, 1))</f>
        <v>1</v>
      </c>
      <c r="Y108" s="25" cm="1">
        <f t="array" ref="Y108">_xlfn.LET(_xlpm.x, M108:M110, IF(SUM((_xlpm.x="C1")*1)=1, 3, 1))</f>
        <v>1</v>
      </c>
      <c r="Z108" s="25" cm="1">
        <f t="array" ref="Z108">_xlfn.LET(_xlpm.x, N108:N110, IF(SUM((_xlpm.x="C1")*1)=1, 3, 1))</f>
        <v>3</v>
      </c>
      <c r="AA108" s="25" cm="1">
        <f t="array" ref="AA108">_xlfn.LET(_xlpm.x, O108:O110, IF(SUM((_xlpm.x="C1")*1)=1, 3, 1))</f>
        <v>1</v>
      </c>
      <c r="AH108" s="5"/>
      <c r="AI108" s="5"/>
      <c r="AO108" s="5"/>
    </row>
    <row r="109" spans="10:41" x14ac:dyDescent="0.3">
      <c r="J109" s="25">
        <v>105</v>
      </c>
      <c r="K109" s="16" t="s">
        <v>36</v>
      </c>
      <c r="L109" s="16" t="s">
        <v>89</v>
      </c>
      <c r="M109" s="16" t="s">
        <v>37</v>
      </c>
      <c r="N109" s="16" t="s">
        <v>34</v>
      </c>
      <c r="O109" s="16" t="s">
        <v>22</v>
      </c>
      <c r="Q109" s="9">
        <v>10</v>
      </c>
      <c r="R109" s="9">
        <v>12</v>
      </c>
      <c r="S109" s="9">
        <v>7</v>
      </c>
      <c r="T109" s="9">
        <v>9</v>
      </c>
      <c r="U109" s="9">
        <v>3</v>
      </c>
      <c r="W109" s="25" cm="1">
        <f t="array" ref="W109">_xlfn.LET(_xlpm.x, K109:K111, IF(SUM((_xlpm.x="C1")*1)=1, 3, 1))</f>
        <v>1</v>
      </c>
      <c r="X109" s="25" cm="1">
        <f t="array" ref="X109">_xlfn.LET(_xlpm.x, L109:L111, IF(SUM((_xlpm.x="C1")*1)=1, 3, 1))</f>
        <v>1</v>
      </c>
      <c r="Y109" s="25" cm="1">
        <f t="array" ref="Y109">_xlfn.LET(_xlpm.x, M109:M111, IF(SUM((_xlpm.x="C1")*1)=1, 3, 1))</f>
        <v>3</v>
      </c>
      <c r="Z109" s="25" cm="1">
        <f t="array" ref="Z109">_xlfn.LET(_xlpm.x, N109:N111, IF(SUM((_xlpm.x="C1")*1)=1, 3, 1))</f>
        <v>3</v>
      </c>
      <c r="AA109" s="25" cm="1">
        <f t="array" ref="AA109">_xlfn.LET(_xlpm.x, O109:O111, IF(SUM((_xlpm.x="C1")*1)=1, 3, 1))</f>
        <v>1</v>
      </c>
      <c r="AH109" s="5"/>
      <c r="AI109" s="5"/>
      <c r="AO109" s="5"/>
    </row>
    <row r="110" spans="10:41" x14ac:dyDescent="0.3">
      <c r="J110" s="9">
        <v>106</v>
      </c>
      <c r="K110" s="16" t="s">
        <v>35</v>
      </c>
      <c r="L110" s="16" t="s">
        <v>18</v>
      </c>
      <c r="M110" s="16" t="s">
        <v>19</v>
      </c>
      <c r="N110" s="16" t="s">
        <v>20</v>
      </c>
      <c r="O110" s="16" t="s">
        <v>34</v>
      </c>
      <c r="Q110" s="9">
        <v>8</v>
      </c>
      <c r="R110" s="9">
        <v>4</v>
      </c>
      <c r="S110" s="9">
        <v>5</v>
      </c>
      <c r="T110" s="9">
        <v>1</v>
      </c>
      <c r="U110" s="9">
        <v>9</v>
      </c>
      <c r="W110" s="25" cm="1">
        <f t="array" ref="W110">_xlfn.LET(_xlpm.x, K110:K112, IF(SUM((_xlpm.x="C1")*1)=1, 3, 1))</f>
        <v>1</v>
      </c>
      <c r="X110" s="25" cm="1">
        <f t="array" ref="X110">_xlfn.LET(_xlpm.x, L110:L112, IF(SUM((_xlpm.x="C1")*1)=1, 3, 1))</f>
        <v>1</v>
      </c>
      <c r="Y110" s="25" cm="1">
        <f t="array" ref="Y110">_xlfn.LET(_xlpm.x, M110:M112, IF(SUM((_xlpm.x="C1")*1)=1, 3, 1))</f>
        <v>3</v>
      </c>
      <c r="Z110" s="25" cm="1">
        <f t="array" ref="Z110">_xlfn.LET(_xlpm.x, N110:N112, IF(SUM((_xlpm.x="C1")*1)=1, 3, 1))</f>
        <v>3</v>
      </c>
      <c r="AA110" s="25" cm="1">
        <f t="array" ref="AA110">_xlfn.LET(_xlpm.x, O110:O112, IF(SUM((_xlpm.x="C1")*1)=1, 3, 1))</f>
        <v>1</v>
      </c>
      <c r="AH110" s="5"/>
      <c r="AI110" s="5"/>
      <c r="AO110" s="5"/>
    </row>
    <row r="111" spans="10:41" x14ac:dyDescent="0.3">
      <c r="J111" s="25">
        <v>107</v>
      </c>
      <c r="K111" s="16" t="s">
        <v>35</v>
      </c>
      <c r="L111" s="16" t="s">
        <v>97</v>
      </c>
      <c r="M111" s="16" t="s">
        <v>20</v>
      </c>
      <c r="N111" s="16" t="s">
        <v>125</v>
      </c>
      <c r="O111" s="16" t="s">
        <v>18</v>
      </c>
      <c r="Q111" s="9">
        <v>8</v>
      </c>
      <c r="R111" s="9">
        <v>19</v>
      </c>
      <c r="S111" s="9">
        <v>1</v>
      </c>
      <c r="T111" s="9">
        <v>6</v>
      </c>
      <c r="U111" s="9">
        <v>4</v>
      </c>
      <c r="W111" s="25" cm="1">
        <f t="array" ref="W111">_xlfn.LET(_xlpm.x, K111:K113, IF(SUM((_xlpm.x="C1")*1)=1, 3, 1))</f>
        <v>1</v>
      </c>
      <c r="X111" s="25" cm="1">
        <f t="array" ref="X111">_xlfn.LET(_xlpm.x, L111:L113, IF(SUM((_xlpm.x="C1")*1)=1, 3, 1))</f>
        <v>1</v>
      </c>
      <c r="Y111" s="25" cm="1">
        <f t="array" ref="Y111">_xlfn.LET(_xlpm.x, M111:M113, IF(SUM((_xlpm.x="C1")*1)=1, 3, 1))</f>
        <v>3</v>
      </c>
      <c r="Z111" s="25" cm="1">
        <f t="array" ref="Z111">_xlfn.LET(_xlpm.x, N111:N113, IF(SUM((_xlpm.x="C1")*1)=1, 3, 1))</f>
        <v>1</v>
      </c>
      <c r="AA111" s="25" cm="1">
        <f t="array" ref="AA111">_xlfn.LET(_xlpm.x, O111:O113, IF(SUM((_xlpm.x="C1")*1)=1, 3, 1))</f>
        <v>1</v>
      </c>
      <c r="AH111" s="5"/>
      <c r="AI111" s="5"/>
      <c r="AO111" s="5"/>
    </row>
    <row r="112" spans="10:41" x14ac:dyDescent="0.3">
      <c r="J112" s="9">
        <v>108</v>
      </c>
      <c r="K112" s="16" t="s">
        <v>35</v>
      </c>
      <c r="L112" s="16" t="s">
        <v>95</v>
      </c>
      <c r="M112" s="16" t="s">
        <v>126</v>
      </c>
      <c r="N112" s="16" t="s">
        <v>21</v>
      </c>
      <c r="O112" s="16" t="s">
        <v>22</v>
      </c>
      <c r="Q112" s="9">
        <v>8</v>
      </c>
      <c r="R112" s="9">
        <v>18</v>
      </c>
      <c r="S112" s="9">
        <v>15</v>
      </c>
      <c r="T112" s="9">
        <v>2</v>
      </c>
      <c r="U112" s="9">
        <v>3</v>
      </c>
      <c r="W112" s="25" cm="1">
        <f t="array" ref="W112">_xlfn.LET(_xlpm.x, K112:K114, IF(SUM((_xlpm.x="C1")*1)=1, 3, 1))</f>
        <v>1</v>
      </c>
      <c r="X112" s="25" cm="1">
        <f t="array" ref="X112">_xlfn.LET(_xlpm.x, L112:L114, IF(SUM((_xlpm.x="C1")*1)=1, 3, 1))</f>
        <v>1</v>
      </c>
      <c r="Y112" s="25" cm="1">
        <f t="array" ref="Y112">_xlfn.LET(_xlpm.x, M112:M114, IF(SUM((_xlpm.x="C1")*1)=1, 3, 1))</f>
        <v>1</v>
      </c>
      <c r="Z112" s="25" cm="1">
        <f t="array" ref="Z112">_xlfn.LET(_xlpm.x, N112:N114, IF(SUM((_xlpm.x="C1")*1)=1, 3, 1))</f>
        <v>1</v>
      </c>
      <c r="AA112" s="25" cm="1">
        <f t="array" ref="AA112">_xlfn.LET(_xlpm.x, O112:O114, IF(SUM((_xlpm.x="C1")*1)=1, 3, 1))</f>
        <v>1</v>
      </c>
      <c r="AH112" s="5"/>
      <c r="AI112" s="5"/>
      <c r="AO112" s="5"/>
    </row>
    <row r="113" spans="10:41" x14ac:dyDescent="0.3">
      <c r="J113" s="25">
        <v>109</v>
      </c>
      <c r="K113" s="16" t="s">
        <v>37</v>
      </c>
      <c r="L113" s="16" t="s">
        <v>125</v>
      </c>
      <c r="M113" s="16" t="s">
        <v>92</v>
      </c>
      <c r="N113" s="16" t="s">
        <v>21</v>
      </c>
      <c r="O113" s="16" t="s">
        <v>21</v>
      </c>
      <c r="Q113" s="9">
        <v>7</v>
      </c>
      <c r="R113" s="9">
        <v>6</v>
      </c>
      <c r="S113" s="9">
        <v>16</v>
      </c>
      <c r="T113" s="9">
        <v>2</v>
      </c>
      <c r="U113" s="9">
        <v>2</v>
      </c>
      <c r="W113" s="25" cm="1">
        <f t="array" ref="W113">_xlfn.LET(_xlpm.x, K113:K115, IF(SUM((_xlpm.x="C1")*1)=1, 3, 1))</f>
        <v>1</v>
      </c>
      <c r="X113" s="25" cm="1">
        <f t="array" ref="X113">_xlfn.LET(_xlpm.x, L113:L115, IF(SUM((_xlpm.x="C1")*1)=1, 3, 1))</f>
        <v>1</v>
      </c>
      <c r="Y113" s="25" cm="1">
        <f t="array" ref="Y113">_xlfn.LET(_xlpm.x, M113:M115, IF(SUM((_xlpm.x="C1")*1)=1, 3, 1))</f>
        <v>1</v>
      </c>
      <c r="Z113" s="25" cm="1">
        <f t="array" ref="Z113">_xlfn.LET(_xlpm.x, N113:N115, IF(SUM((_xlpm.x="C1")*1)=1, 3, 1))</f>
        <v>1</v>
      </c>
      <c r="AA113" s="25" cm="1">
        <f t="array" ref="AA113">_xlfn.LET(_xlpm.x, O113:O115, IF(SUM((_xlpm.x="C1")*1)=1, 3, 1))</f>
        <v>1</v>
      </c>
      <c r="AH113" s="5"/>
      <c r="AI113" s="5"/>
      <c r="AO113" s="5"/>
    </row>
    <row r="114" spans="10:41" x14ac:dyDescent="0.3">
      <c r="J114" s="9">
        <v>110</v>
      </c>
      <c r="K114" s="16" t="s">
        <v>125</v>
      </c>
      <c r="L114" s="16" t="s">
        <v>112</v>
      </c>
      <c r="M114" s="16" t="s">
        <v>35</v>
      </c>
      <c r="N114" s="16" t="s">
        <v>21</v>
      </c>
      <c r="O114" s="16" t="s">
        <v>19</v>
      </c>
      <c r="Q114" s="9">
        <v>6</v>
      </c>
      <c r="R114" s="9">
        <v>17</v>
      </c>
      <c r="S114" s="9">
        <v>8</v>
      </c>
      <c r="T114" s="9">
        <v>2</v>
      </c>
      <c r="U114" s="9">
        <v>5</v>
      </c>
      <c r="W114" s="25" cm="1">
        <f t="array" ref="W114">_xlfn.LET(_xlpm.x, K114:K116, IF(SUM((_xlpm.x="C1")*1)=1, 3, 1))</f>
        <v>1</v>
      </c>
      <c r="X114" s="25" cm="1">
        <f t="array" ref="X114">_xlfn.LET(_xlpm.x, L114:L116, IF(SUM((_xlpm.x="C1")*1)=1, 3, 1))</f>
        <v>1</v>
      </c>
      <c r="Y114" s="25" cm="1">
        <f t="array" ref="Y114">_xlfn.LET(_xlpm.x, M114:M116, IF(SUM((_xlpm.x="C1")*1)=1, 3, 1))</f>
        <v>1</v>
      </c>
      <c r="Z114" s="25" cm="1">
        <f t="array" ref="Z114">_xlfn.LET(_xlpm.x, N114:N116, IF(SUM((_xlpm.x="C1")*1)=1, 3, 1))</f>
        <v>1</v>
      </c>
      <c r="AA114" s="25" cm="1">
        <f t="array" ref="AA114">_xlfn.LET(_xlpm.x, O114:O116, IF(SUM((_xlpm.x="C1")*1)=1, 3, 1))</f>
        <v>1</v>
      </c>
      <c r="AH114" s="5"/>
      <c r="AI114" s="5"/>
      <c r="AO114" s="5"/>
    </row>
    <row r="115" spans="10:41" x14ac:dyDescent="0.3">
      <c r="J115" s="25">
        <v>111</v>
      </c>
      <c r="K115" s="16" t="s">
        <v>19</v>
      </c>
      <c r="L115" s="16" t="s">
        <v>35</v>
      </c>
      <c r="M115" s="16" t="s">
        <v>19</v>
      </c>
      <c r="N115" s="16" t="s">
        <v>36</v>
      </c>
      <c r="O115" s="16" t="s">
        <v>19</v>
      </c>
      <c r="Q115" s="9">
        <v>5</v>
      </c>
      <c r="R115" s="9">
        <v>8</v>
      </c>
      <c r="S115" s="9">
        <v>5</v>
      </c>
      <c r="T115" s="9">
        <v>10</v>
      </c>
      <c r="U115" s="9">
        <v>5</v>
      </c>
      <c r="W115" s="25" cm="1">
        <f t="array" ref="W115">_xlfn.LET(_xlpm.x, K115:K117, IF(SUM((_xlpm.x="C1")*1)=1, 3, 1))</f>
        <v>1</v>
      </c>
      <c r="X115" s="25" cm="1">
        <f t="array" ref="X115">_xlfn.LET(_xlpm.x, L115:L117, IF(SUM((_xlpm.x="C1")*1)=1, 3, 1))</f>
        <v>1</v>
      </c>
      <c r="Y115" s="25" cm="1">
        <f t="array" ref="Y115">_xlfn.LET(_xlpm.x, M115:M117, IF(SUM((_xlpm.x="C1")*1)=1, 3, 1))</f>
        <v>1</v>
      </c>
      <c r="Z115" s="25" cm="1">
        <f t="array" ref="Z115">_xlfn.LET(_xlpm.x, N115:N117, IF(SUM((_xlpm.x="C1")*1)=1, 3, 1))</f>
        <v>1</v>
      </c>
      <c r="AA115" s="25" cm="1">
        <f t="array" ref="AA115">_xlfn.LET(_xlpm.x, O115:O117, IF(SUM((_xlpm.x="C1")*1)=1, 3, 1))</f>
        <v>1</v>
      </c>
      <c r="AH115" s="5"/>
      <c r="AI115" s="5"/>
      <c r="AO115" s="5"/>
    </row>
    <row r="116" spans="10:41" x14ac:dyDescent="0.3">
      <c r="J116" s="9">
        <v>112</v>
      </c>
      <c r="K116" s="16" t="s">
        <v>37</v>
      </c>
      <c r="L116" s="16" t="s">
        <v>34</v>
      </c>
      <c r="M116" s="16" t="s">
        <v>125</v>
      </c>
      <c r="N116" s="16" t="s">
        <v>35</v>
      </c>
      <c r="O116" s="16" t="s">
        <v>37</v>
      </c>
      <c r="Q116" s="9">
        <v>7</v>
      </c>
      <c r="R116" s="9">
        <v>9</v>
      </c>
      <c r="S116" s="9">
        <v>6</v>
      </c>
      <c r="T116" s="9">
        <v>8</v>
      </c>
      <c r="U116" s="9">
        <v>7</v>
      </c>
      <c r="W116" s="25" cm="1">
        <f t="array" ref="W116">_xlfn.LET(_xlpm.x, K116:K118, IF(SUM((_xlpm.x="C1")*1)=1, 3, 1))</f>
        <v>1</v>
      </c>
      <c r="X116" s="25" cm="1">
        <f t="array" ref="X116">_xlfn.LET(_xlpm.x, L116:L118, IF(SUM((_xlpm.x="C1")*1)=1, 3, 1))</f>
        <v>1</v>
      </c>
      <c r="Y116" s="25" cm="1">
        <f t="array" ref="Y116">_xlfn.LET(_xlpm.x, M116:M118, IF(SUM((_xlpm.x="C1")*1)=1, 3, 1))</f>
        <v>1</v>
      </c>
      <c r="Z116" s="25" cm="1">
        <f t="array" ref="Z116">_xlfn.LET(_xlpm.x, N116:N118, IF(SUM((_xlpm.x="C1")*1)=1, 3, 1))</f>
        <v>1</v>
      </c>
      <c r="AA116" s="25" cm="1">
        <f t="array" ref="AA116">_xlfn.LET(_xlpm.x, O116:O118, IF(SUM((_xlpm.x="C1")*1)=1, 3, 1))</f>
        <v>1</v>
      </c>
      <c r="AH116" s="5"/>
      <c r="AI116" s="5"/>
      <c r="AO116" s="5"/>
    </row>
    <row r="117" spans="10:41" x14ac:dyDescent="0.3">
      <c r="J117" s="25">
        <v>113</v>
      </c>
      <c r="K117" s="16" t="s">
        <v>125</v>
      </c>
      <c r="L117" s="16" t="s">
        <v>95</v>
      </c>
      <c r="M117" s="16" t="s">
        <v>112</v>
      </c>
      <c r="N117" s="16" t="s">
        <v>36</v>
      </c>
      <c r="O117" s="16" t="s">
        <v>22</v>
      </c>
      <c r="Q117" s="9">
        <v>6</v>
      </c>
      <c r="R117" s="9">
        <v>18</v>
      </c>
      <c r="S117" s="9">
        <v>17</v>
      </c>
      <c r="T117" s="9">
        <v>10</v>
      </c>
      <c r="U117" s="9">
        <v>3</v>
      </c>
      <c r="W117" s="25" cm="1">
        <f t="array" ref="W117">_xlfn.LET(_xlpm.x, K117:K119, IF(SUM((_xlpm.x="C1")*1)=1, 3, 1))</f>
        <v>1</v>
      </c>
      <c r="X117" s="25" cm="1">
        <f t="array" ref="X117">_xlfn.LET(_xlpm.x, L117:L119, IF(SUM((_xlpm.x="C1")*1)=1, 3, 1))</f>
        <v>1</v>
      </c>
      <c r="Y117" s="25" cm="1">
        <f t="array" ref="Y117">_xlfn.LET(_xlpm.x, M117:M119, IF(SUM((_xlpm.x="C1")*1)=1, 3, 1))</f>
        <v>1</v>
      </c>
      <c r="Z117" s="25" cm="1">
        <f t="array" ref="Z117">_xlfn.LET(_xlpm.x, N117:N119, IF(SUM((_xlpm.x="C1")*1)=1, 3, 1))</f>
        <v>1</v>
      </c>
      <c r="AA117" s="25" cm="1">
        <f t="array" ref="AA117">_xlfn.LET(_xlpm.x, O117:O119, IF(SUM((_xlpm.x="C1")*1)=1, 3, 1))</f>
        <v>3</v>
      </c>
      <c r="AH117" s="5"/>
      <c r="AI117" s="5"/>
      <c r="AO117" s="5"/>
    </row>
    <row r="118" spans="10:41" x14ac:dyDescent="0.3">
      <c r="J118" s="9">
        <v>114</v>
      </c>
      <c r="K118" s="16" t="s">
        <v>35</v>
      </c>
      <c r="L118" s="16" t="s">
        <v>90</v>
      </c>
      <c r="M118" s="16" t="s">
        <v>37</v>
      </c>
      <c r="N118" s="16" t="s">
        <v>22</v>
      </c>
      <c r="O118" s="16" t="s">
        <v>125</v>
      </c>
      <c r="Q118" s="9">
        <v>8</v>
      </c>
      <c r="R118" s="9">
        <v>13</v>
      </c>
      <c r="S118" s="9">
        <v>7</v>
      </c>
      <c r="T118" s="9">
        <v>3</v>
      </c>
      <c r="U118" s="9">
        <v>6</v>
      </c>
      <c r="W118" s="25" cm="1">
        <f t="array" ref="W118">_xlfn.LET(_xlpm.x, K118:K120, IF(SUM((_xlpm.x="C1")*1)=1, 3, 1))</f>
        <v>1</v>
      </c>
      <c r="X118" s="25" cm="1">
        <f t="array" ref="X118">_xlfn.LET(_xlpm.x, L118:L120, IF(SUM((_xlpm.x="C1")*1)=1, 3, 1))</f>
        <v>1</v>
      </c>
      <c r="Y118" s="25" cm="1">
        <f t="array" ref="Y118">_xlfn.LET(_xlpm.x, M118:M120, IF(SUM((_xlpm.x="C1")*1)=1, 3, 1))</f>
        <v>1</v>
      </c>
      <c r="Z118" s="25" cm="1">
        <f t="array" ref="Z118">_xlfn.LET(_xlpm.x, N118:N120, IF(SUM((_xlpm.x="C1")*1)=1, 3, 1))</f>
        <v>3</v>
      </c>
      <c r="AA118" s="25" cm="1">
        <f t="array" ref="AA118">_xlfn.LET(_xlpm.x, O118:O120, IF(SUM((_xlpm.x="C1")*1)=1, 3, 1))</f>
        <v>3</v>
      </c>
      <c r="AH118" s="5"/>
      <c r="AI118" s="5"/>
      <c r="AO118" s="5"/>
    </row>
    <row r="119" spans="10:41" x14ac:dyDescent="0.3">
      <c r="J119" s="25">
        <v>115</v>
      </c>
      <c r="K119" s="16" t="s">
        <v>37</v>
      </c>
      <c r="L119" s="16" t="s">
        <v>35</v>
      </c>
      <c r="M119" s="16" t="s">
        <v>125</v>
      </c>
      <c r="N119" s="16" t="s">
        <v>19</v>
      </c>
      <c r="O119" s="16" t="s">
        <v>20</v>
      </c>
      <c r="Q119" s="9">
        <v>7</v>
      </c>
      <c r="R119" s="9">
        <v>8</v>
      </c>
      <c r="S119" s="9">
        <v>6</v>
      </c>
      <c r="T119" s="9">
        <v>5</v>
      </c>
      <c r="U119" s="9">
        <v>1</v>
      </c>
      <c r="W119" s="25" cm="1">
        <f t="array" ref="W119">_xlfn.LET(_xlpm.x, K119:K121, IF(SUM((_xlpm.x="C1")*1)=1, 3, 1))</f>
        <v>1</v>
      </c>
      <c r="X119" s="25" cm="1">
        <f t="array" ref="X119">_xlfn.LET(_xlpm.x, L119:L121, IF(SUM((_xlpm.x="C1")*1)=1, 3, 1))</f>
        <v>1</v>
      </c>
      <c r="Y119" s="25" cm="1">
        <f t="array" ref="Y119">_xlfn.LET(_xlpm.x, M119:M121, IF(SUM((_xlpm.x="C1")*1)=1, 3, 1))</f>
        <v>1</v>
      </c>
      <c r="Z119" s="25" cm="1">
        <f t="array" ref="Z119">_xlfn.LET(_xlpm.x, N119:N121, IF(SUM((_xlpm.x="C1")*1)=1, 3, 1))</f>
        <v>3</v>
      </c>
      <c r="AA119" s="25" cm="1">
        <f t="array" ref="AA119">_xlfn.LET(_xlpm.x, O119:O121, IF(SUM((_xlpm.x="C1")*1)=1, 3, 1))</f>
        <v>3</v>
      </c>
      <c r="AH119" s="5"/>
      <c r="AI119" s="5"/>
      <c r="AO119" s="5"/>
    </row>
    <row r="120" spans="10:41" x14ac:dyDescent="0.3">
      <c r="J120" s="9">
        <v>116</v>
      </c>
      <c r="K120" s="16" t="s">
        <v>19</v>
      </c>
      <c r="L120" s="16" t="s">
        <v>35</v>
      </c>
      <c r="M120" s="16" t="s">
        <v>91</v>
      </c>
      <c r="N120" s="16" t="s">
        <v>20</v>
      </c>
      <c r="O120" s="16" t="s">
        <v>37</v>
      </c>
      <c r="Q120" s="9">
        <v>5</v>
      </c>
      <c r="R120" s="9">
        <v>8</v>
      </c>
      <c r="S120" s="9">
        <v>14</v>
      </c>
      <c r="T120" s="9">
        <v>1</v>
      </c>
      <c r="U120" s="9">
        <v>7</v>
      </c>
      <c r="W120" s="25" cm="1">
        <f t="array" ref="W120">_xlfn.LET(_xlpm.x, K120:K122, IF(SUM((_xlpm.x="C1")*1)=1, 3, 1))</f>
        <v>1</v>
      </c>
      <c r="X120" s="25" cm="1">
        <f t="array" ref="X120">_xlfn.LET(_xlpm.x, L120:L122, IF(SUM((_xlpm.x="C1")*1)=1, 3, 1))</f>
        <v>1</v>
      </c>
      <c r="Y120" s="25" cm="1">
        <f t="array" ref="Y120">_xlfn.LET(_xlpm.x, M120:M122, IF(SUM((_xlpm.x="C1")*1)=1, 3, 1))</f>
        <v>1</v>
      </c>
      <c r="Z120" s="25" cm="1">
        <f t="array" ref="Z120">_xlfn.LET(_xlpm.x, N120:N122, IF(SUM((_xlpm.x="C1")*1)=1, 3, 1))</f>
        <v>3</v>
      </c>
      <c r="AA120" s="25" cm="1">
        <f t="array" ref="AA120">_xlfn.LET(_xlpm.x, O120:O122, IF(SUM((_xlpm.x="C1")*1)=1, 3, 1))</f>
        <v>1</v>
      </c>
      <c r="AH120" s="5"/>
      <c r="AI120" s="5"/>
      <c r="AO120" s="5"/>
    </row>
    <row r="121" spans="10:41" x14ac:dyDescent="0.3">
      <c r="J121" s="25">
        <v>117</v>
      </c>
      <c r="K121" s="16" t="s">
        <v>37</v>
      </c>
      <c r="L121" s="16" t="s">
        <v>19</v>
      </c>
      <c r="M121" s="16" t="s">
        <v>125</v>
      </c>
      <c r="N121" s="16" t="s">
        <v>18</v>
      </c>
      <c r="O121" s="16" t="s">
        <v>22</v>
      </c>
      <c r="Q121" s="9">
        <v>7</v>
      </c>
      <c r="R121" s="9">
        <v>5</v>
      </c>
      <c r="S121" s="9">
        <v>6</v>
      </c>
      <c r="T121" s="9">
        <v>4</v>
      </c>
      <c r="U121" s="9">
        <v>3</v>
      </c>
      <c r="W121" s="25" cm="1">
        <f t="array" ref="W121">_xlfn.LET(_xlpm.x, K121:K123, IF(SUM((_xlpm.x="C1")*1)=1, 3, 1))</f>
        <v>1</v>
      </c>
      <c r="X121" s="25" cm="1">
        <f t="array" ref="X121">_xlfn.LET(_xlpm.x, L121:L123, IF(SUM((_xlpm.x="C1")*1)=1, 3, 1))</f>
        <v>1</v>
      </c>
      <c r="Y121" s="25" cm="1">
        <f t="array" ref="Y121">_xlfn.LET(_xlpm.x, M121:M123, IF(SUM((_xlpm.x="C1")*1)=1, 3, 1))</f>
        <v>1</v>
      </c>
      <c r="Z121" s="25" cm="1">
        <f t="array" ref="Z121">_xlfn.LET(_xlpm.x, N121:N123, IF(SUM((_xlpm.x="C1")*1)=1, 3, 1))</f>
        <v>1</v>
      </c>
      <c r="AA121" s="25" cm="1">
        <f t="array" ref="AA121">_xlfn.LET(_xlpm.x, O121:O123, IF(SUM((_xlpm.x="C1")*1)=1, 3, 1))</f>
        <v>1</v>
      </c>
      <c r="AH121" s="5"/>
      <c r="AI121" s="5"/>
      <c r="AO121" s="5"/>
    </row>
    <row r="122" spans="10:41" x14ac:dyDescent="0.3">
      <c r="J122" s="9">
        <v>118</v>
      </c>
      <c r="K122" s="16" t="s">
        <v>37</v>
      </c>
      <c r="L122" s="16" t="s">
        <v>91</v>
      </c>
      <c r="M122" s="16" t="s">
        <v>37</v>
      </c>
      <c r="N122" s="16" t="s">
        <v>37</v>
      </c>
      <c r="O122" s="16" t="s">
        <v>21</v>
      </c>
      <c r="Q122" s="9">
        <v>7</v>
      </c>
      <c r="R122" s="9">
        <v>14</v>
      </c>
      <c r="S122" s="9">
        <v>7</v>
      </c>
      <c r="T122" s="9">
        <v>7</v>
      </c>
      <c r="U122" s="9">
        <v>2</v>
      </c>
      <c r="W122" s="25" cm="1">
        <f t="array" ref="W122">_xlfn.LET(_xlpm.x, K122:K124, IF(SUM((_xlpm.x="C1")*1)=1, 3, 1))</f>
        <v>1</v>
      </c>
      <c r="X122" s="25" cm="1">
        <f t="array" ref="X122">_xlfn.LET(_xlpm.x, L122:L124, IF(SUM((_xlpm.x="C1")*1)=1, 3, 1))</f>
        <v>1</v>
      </c>
      <c r="Y122" s="25" cm="1">
        <f t="array" ref="Y122">_xlfn.LET(_xlpm.x, M122:M124, IF(SUM((_xlpm.x="C1")*1)=1, 3, 1))</f>
        <v>1</v>
      </c>
      <c r="Z122" s="25" cm="1">
        <f t="array" ref="Z122">_xlfn.LET(_xlpm.x, N122:N124, IF(SUM((_xlpm.x="C1")*1)=1, 3, 1))</f>
        <v>1</v>
      </c>
      <c r="AA122" s="25" cm="1">
        <f t="array" ref="AA122">_xlfn.LET(_xlpm.x, O122:O124, IF(SUM((_xlpm.x="C1")*1)=1, 3, 1))</f>
        <v>1</v>
      </c>
      <c r="AH122" s="5"/>
      <c r="AI122" s="5"/>
      <c r="AO122" s="5"/>
    </row>
    <row r="123" spans="10:41" x14ac:dyDescent="0.3">
      <c r="J123" s="25">
        <v>119</v>
      </c>
      <c r="K123" s="16" t="s">
        <v>19</v>
      </c>
      <c r="L123" s="16" t="s">
        <v>19</v>
      </c>
      <c r="M123" s="16" t="s">
        <v>37</v>
      </c>
      <c r="N123" s="16" t="s">
        <v>37</v>
      </c>
      <c r="O123" s="16" t="s">
        <v>22</v>
      </c>
      <c r="Q123" s="9">
        <v>5</v>
      </c>
      <c r="R123" s="9">
        <v>5</v>
      </c>
      <c r="S123" s="9">
        <v>7</v>
      </c>
      <c r="T123" s="9">
        <v>7</v>
      </c>
      <c r="U123" s="9">
        <v>3</v>
      </c>
      <c r="W123" s="25" cm="1">
        <f t="array" ref="W123">_xlfn.LET(_xlpm.x, K123:K125, IF(SUM((_xlpm.x="C1")*1)=1, 3, 1))</f>
        <v>1</v>
      </c>
      <c r="X123" s="25" cm="1">
        <f t="array" ref="X123">_xlfn.LET(_xlpm.x, L123:L125, IF(SUM((_xlpm.x="C1")*1)=1, 3, 1))</f>
        <v>1</v>
      </c>
      <c r="Y123" s="25" cm="1">
        <f t="array" ref="Y123">_xlfn.LET(_xlpm.x, M123:M125, IF(SUM((_xlpm.x="C1")*1)=1, 3, 1))</f>
        <v>1</v>
      </c>
      <c r="Z123" s="25" cm="1">
        <f t="array" ref="Z123">_xlfn.LET(_xlpm.x, N123:N125, IF(SUM((_xlpm.x="C1")*1)=1, 3, 1))</f>
        <v>1</v>
      </c>
      <c r="AA123" s="25" cm="1">
        <f t="array" ref="AA123">_xlfn.LET(_xlpm.x, O123:O125, IF(SUM((_xlpm.x="C1")*1)=1, 3, 1))</f>
        <v>1</v>
      </c>
      <c r="AH123" s="5"/>
      <c r="AI123" s="5"/>
      <c r="AO123" s="5"/>
    </row>
    <row r="124" spans="10:41" x14ac:dyDescent="0.3">
      <c r="J124" s="9">
        <v>120</v>
      </c>
      <c r="K124" s="16" t="s">
        <v>19</v>
      </c>
      <c r="L124" s="16" t="s">
        <v>36</v>
      </c>
      <c r="M124" s="16" t="s">
        <v>125</v>
      </c>
      <c r="N124" s="16" t="s">
        <v>34</v>
      </c>
      <c r="O124" s="16" t="s">
        <v>18</v>
      </c>
      <c r="Q124" s="9">
        <v>5</v>
      </c>
      <c r="R124" s="9">
        <v>10</v>
      </c>
      <c r="S124" s="9">
        <v>6</v>
      </c>
      <c r="T124" s="9">
        <v>9</v>
      </c>
      <c r="U124" s="9">
        <v>4</v>
      </c>
      <c r="W124" s="25" cm="1">
        <f t="array" ref="W124">_xlfn.LET(_xlpm.x, K124:K126, IF(SUM((_xlpm.x="C1")*1)=1, 3, 1))</f>
        <v>1</v>
      </c>
      <c r="X124" s="25" cm="1">
        <f t="array" ref="X124">_xlfn.LET(_xlpm.x, L124:L126, IF(SUM((_xlpm.x="C1")*1)=1, 3, 1))</f>
        <v>1</v>
      </c>
      <c r="Y124" s="25" cm="1">
        <f t="array" ref="Y124">_xlfn.LET(_xlpm.x, M124:M126, IF(SUM((_xlpm.x="C1")*1)=1, 3, 1))</f>
        <v>3</v>
      </c>
      <c r="Z124" s="25" cm="1">
        <f t="array" ref="Z124">_xlfn.LET(_xlpm.x, N124:N126, IF(SUM((_xlpm.x="C1")*1)=1, 3, 1))</f>
        <v>1</v>
      </c>
      <c r="AA124" s="25" cm="1">
        <f t="array" ref="AA124">_xlfn.LET(_xlpm.x, O124:O126, IF(SUM((_xlpm.x="C1")*1)=1, 3, 1))</f>
        <v>1</v>
      </c>
      <c r="AH124" s="5"/>
      <c r="AI124" s="5"/>
      <c r="AO124" s="5"/>
    </row>
    <row r="125" spans="10:41" x14ac:dyDescent="0.3">
      <c r="J125" s="25">
        <v>121</v>
      </c>
      <c r="K125" s="16" t="s">
        <v>37</v>
      </c>
      <c r="L125" s="16" t="s">
        <v>22</v>
      </c>
      <c r="M125" s="16" t="s">
        <v>125</v>
      </c>
      <c r="N125" s="16" t="s">
        <v>22</v>
      </c>
      <c r="O125" s="16" t="s">
        <v>19</v>
      </c>
      <c r="Q125" s="9">
        <v>7</v>
      </c>
      <c r="R125" s="9">
        <v>3</v>
      </c>
      <c r="S125" s="9">
        <v>6</v>
      </c>
      <c r="T125" s="9">
        <v>3</v>
      </c>
      <c r="U125" s="9">
        <v>5</v>
      </c>
      <c r="W125" s="25" cm="1">
        <f t="array" ref="W125">_xlfn.LET(_xlpm.x, K125:K127, IF(SUM((_xlpm.x="C1")*1)=1, 3, 1))</f>
        <v>1</v>
      </c>
      <c r="X125" s="25" cm="1">
        <f t="array" ref="X125">_xlfn.LET(_xlpm.x, L125:L127, IF(SUM((_xlpm.x="C1")*1)=1, 3, 1))</f>
        <v>1</v>
      </c>
      <c r="Y125" s="25" cm="1">
        <f t="array" ref="Y125">_xlfn.LET(_xlpm.x, M125:M127, IF(SUM((_xlpm.x="C1")*1)=1, 3, 1))</f>
        <v>3</v>
      </c>
      <c r="Z125" s="25" cm="1">
        <f t="array" ref="Z125">_xlfn.LET(_xlpm.x, N125:N127, IF(SUM((_xlpm.x="C1")*1)=1, 3, 1))</f>
        <v>1</v>
      </c>
      <c r="AA125" s="25" cm="1">
        <f t="array" ref="AA125">_xlfn.LET(_xlpm.x, O125:O127, IF(SUM((_xlpm.x="C1")*1)=1, 3, 1))</f>
        <v>1</v>
      </c>
      <c r="AH125" s="5"/>
      <c r="AI125" s="5"/>
      <c r="AO125" s="5"/>
    </row>
    <row r="126" spans="10:41" x14ac:dyDescent="0.3">
      <c r="J126" s="9">
        <v>122</v>
      </c>
      <c r="K126" s="16" t="s">
        <v>125</v>
      </c>
      <c r="L126" s="16" t="s">
        <v>95</v>
      </c>
      <c r="M126" s="16" t="s">
        <v>20</v>
      </c>
      <c r="N126" s="16" t="s">
        <v>90</v>
      </c>
      <c r="O126" s="16" t="s">
        <v>34</v>
      </c>
      <c r="Q126" s="9">
        <v>6</v>
      </c>
      <c r="R126" s="9">
        <v>18</v>
      </c>
      <c r="S126" s="9">
        <v>1</v>
      </c>
      <c r="T126" s="9">
        <v>13</v>
      </c>
      <c r="U126" s="9">
        <v>9</v>
      </c>
      <c r="W126" s="25" cm="1">
        <f t="array" ref="W126">_xlfn.LET(_xlpm.x, K126:K128, IF(SUM((_xlpm.x="C1")*1)=1, 3, 1))</f>
        <v>1</v>
      </c>
      <c r="X126" s="25" cm="1">
        <f t="array" ref="X126">_xlfn.LET(_xlpm.x, L126:L128, IF(SUM((_xlpm.x="C1")*1)=1, 3, 1))</f>
        <v>1</v>
      </c>
      <c r="Y126" s="25" cm="1">
        <f t="array" ref="Y126">_xlfn.LET(_xlpm.x, M126:M128, IF(SUM((_xlpm.x="C1")*1)=1, 3, 1))</f>
        <v>3</v>
      </c>
      <c r="Z126" s="25" cm="1">
        <f t="array" ref="Z126">_xlfn.LET(_xlpm.x, N126:N128, IF(SUM((_xlpm.x="C1")*1)=1, 3, 1))</f>
        <v>1</v>
      </c>
      <c r="AA126" s="25" cm="1">
        <f t="array" ref="AA126">_xlfn.LET(_xlpm.x, O126:O128, IF(SUM((_xlpm.x="C1")*1)=1, 3, 1))</f>
        <v>1</v>
      </c>
      <c r="AH126" s="5"/>
      <c r="AI126" s="5"/>
      <c r="AO126" s="5"/>
    </row>
    <row r="127" spans="10:41" x14ac:dyDescent="0.3">
      <c r="J127" s="25">
        <v>123</v>
      </c>
      <c r="K127" s="16" t="s">
        <v>35</v>
      </c>
      <c r="L127" s="16" t="s">
        <v>36</v>
      </c>
      <c r="M127" s="16" t="s">
        <v>35</v>
      </c>
      <c r="N127" s="16" t="s">
        <v>89</v>
      </c>
      <c r="O127" s="16" t="s">
        <v>22</v>
      </c>
      <c r="Q127" s="9">
        <v>8</v>
      </c>
      <c r="R127" s="9">
        <v>10</v>
      </c>
      <c r="S127" s="9">
        <v>8</v>
      </c>
      <c r="T127" s="9">
        <v>12</v>
      </c>
      <c r="U127" s="9">
        <v>3</v>
      </c>
      <c r="W127" s="25" cm="1">
        <f t="array" ref="W127">_xlfn.LET(_xlpm.x, K127:K129, IF(SUM((_xlpm.x="C1")*1)=1, 3, 1))</f>
        <v>1</v>
      </c>
      <c r="X127" s="25" cm="1">
        <f t="array" ref="X127">_xlfn.LET(_xlpm.x, L127:L129, IF(SUM((_xlpm.x="C1")*1)=1, 3, 1))</f>
        <v>1</v>
      </c>
      <c r="Y127" s="25" cm="1">
        <f t="array" ref="Y127">_xlfn.LET(_xlpm.x, M127:M129, IF(SUM((_xlpm.x="C1")*1)=1, 3, 1))</f>
        <v>1</v>
      </c>
      <c r="Z127" s="25" cm="1">
        <f t="array" ref="Z127">_xlfn.LET(_xlpm.x, N127:N129, IF(SUM((_xlpm.x="C1")*1)=1, 3, 1))</f>
        <v>1</v>
      </c>
      <c r="AA127" s="25" cm="1">
        <f t="array" ref="AA127">_xlfn.LET(_xlpm.x, O127:O129, IF(SUM((_xlpm.x="C1")*1)=1, 3, 1))</f>
        <v>1</v>
      </c>
      <c r="AH127" s="5"/>
      <c r="AI127" s="5"/>
      <c r="AO127" s="5"/>
    </row>
    <row r="128" spans="10:41" x14ac:dyDescent="0.3">
      <c r="J128" s="9">
        <v>124</v>
      </c>
      <c r="K128" s="16" t="s">
        <v>19</v>
      </c>
      <c r="L128" s="16" t="s">
        <v>97</v>
      </c>
      <c r="M128" s="16" t="s">
        <v>21</v>
      </c>
      <c r="N128" s="16" t="s">
        <v>36</v>
      </c>
      <c r="O128" s="16" t="s">
        <v>36</v>
      </c>
      <c r="Q128" s="9">
        <v>5</v>
      </c>
      <c r="R128" s="9">
        <v>19</v>
      </c>
      <c r="S128" s="9">
        <v>2</v>
      </c>
      <c r="T128" s="9">
        <v>10</v>
      </c>
      <c r="U128" s="9">
        <v>10</v>
      </c>
      <c r="W128" s="25" cm="1">
        <f t="array" ref="W128">_xlfn.LET(_xlpm.x, K128:K130, IF(SUM((_xlpm.x="C1")*1)=1, 3, 1))</f>
        <v>1</v>
      </c>
      <c r="X128" s="25" cm="1">
        <f t="array" ref="X128">_xlfn.LET(_xlpm.x, L128:L130, IF(SUM((_xlpm.x="C1")*1)=1, 3, 1))</f>
        <v>1</v>
      </c>
      <c r="Y128" s="25" cm="1">
        <f t="array" ref="Y128">_xlfn.LET(_xlpm.x, M128:M130, IF(SUM((_xlpm.x="C1")*1)=1, 3, 1))</f>
        <v>1</v>
      </c>
      <c r="Z128" s="25" cm="1">
        <f t="array" ref="Z128">_xlfn.LET(_xlpm.x, N128:N130, IF(SUM((_xlpm.x="C1")*1)=1, 3, 1))</f>
        <v>1</v>
      </c>
      <c r="AA128" s="25" cm="1">
        <f t="array" ref="AA128">_xlfn.LET(_xlpm.x, O128:O130, IF(SUM((_xlpm.x="C1")*1)=1, 3, 1))</f>
        <v>1</v>
      </c>
      <c r="AH128" s="5"/>
      <c r="AI128" s="5"/>
      <c r="AO128" s="5"/>
    </row>
    <row r="129" spans="10:41" x14ac:dyDescent="0.3">
      <c r="J129" s="25">
        <v>125</v>
      </c>
      <c r="K129" s="16" t="s">
        <v>37</v>
      </c>
      <c r="L129" s="16" t="s">
        <v>21</v>
      </c>
      <c r="M129" s="16" t="s">
        <v>19</v>
      </c>
      <c r="N129" s="16" t="s">
        <v>36</v>
      </c>
      <c r="O129" s="16" t="s">
        <v>22</v>
      </c>
      <c r="Q129" s="9">
        <v>7</v>
      </c>
      <c r="R129" s="9">
        <v>2</v>
      </c>
      <c r="S129" s="9">
        <v>5</v>
      </c>
      <c r="T129" s="9">
        <v>10</v>
      </c>
      <c r="U129" s="9">
        <v>3</v>
      </c>
      <c r="W129" s="25" cm="1">
        <f t="array" ref="W129">_xlfn.LET(_xlpm.x, K129:K131, IF(SUM((_xlpm.x="C1")*1)=1, 3, 1))</f>
        <v>1</v>
      </c>
      <c r="X129" s="25" cm="1">
        <f t="array" ref="X129">_xlfn.LET(_xlpm.x, L129:L131, IF(SUM((_xlpm.x="C1")*1)=1, 3, 1))</f>
        <v>1</v>
      </c>
      <c r="Y129" s="25" cm="1">
        <f t="array" ref="Y129">_xlfn.LET(_xlpm.x, M129:M131, IF(SUM((_xlpm.x="C1")*1)=1, 3, 1))</f>
        <v>1</v>
      </c>
      <c r="Z129" s="25" cm="1">
        <f t="array" ref="Z129">_xlfn.LET(_xlpm.x, N129:N131, IF(SUM((_xlpm.x="C1")*1)=1, 3, 1))</f>
        <v>1</v>
      </c>
      <c r="AA129" s="25" cm="1">
        <f t="array" ref="AA129">_xlfn.LET(_xlpm.x, O129:O131, IF(SUM((_xlpm.x="C1")*1)=1, 3, 1))</f>
        <v>1</v>
      </c>
      <c r="AH129" s="5"/>
      <c r="AI129" s="5"/>
      <c r="AO129" s="5"/>
    </row>
    <row r="130" spans="10:41" x14ac:dyDescent="0.3">
      <c r="J130" s="9">
        <v>126</v>
      </c>
      <c r="K130" s="16" t="s">
        <v>35</v>
      </c>
      <c r="L130" s="16" t="s">
        <v>95</v>
      </c>
      <c r="M130" s="16" t="s">
        <v>35</v>
      </c>
      <c r="N130" s="16" t="s">
        <v>36</v>
      </c>
      <c r="O130" s="16" t="s">
        <v>21</v>
      </c>
      <c r="Q130" s="9">
        <v>8</v>
      </c>
      <c r="R130" s="9">
        <v>18</v>
      </c>
      <c r="S130" s="9">
        <v>8</v>
      </c>
      <c r="T130" s="9">
        <v>10</v>
      </c>
      <c r="U130" s="9">
        <v>2</v>
      </c>
      <c r="W130" s="25" cm="1">
        <f t="array" ref="W130">_xlfn.LET(_xlpm.x, K130:K132, IF(SUM((_xlpm.x="C1")*1)=1, 3, 1))</f>
        <v>1</v>
      </c>
      <c r="X130" s="25" cm="1">
        <f t="array" ref="X130">_xlfn.LET(_xlpm.x, L130:L132, IF(SUM((_xlpm.x="C1")*1)=1, 3, 1))</f>
        <v>1</v>
      </c>
      <c r="Y130" s="25" cm="1">
        <f t="array" ref="Y130">_xlfn.LET(_xlpm.x, M130:M132, IF(SUM((_xlpm.x="C1")*1)=1, 3, 1))</f>
        <v>1</v>
      </c>
      <c r="Z130" s="25" cm="1">
        <f t="array" ref="Z130">_xlfn.LET(_xlpm.x, N130:N132, IF(SUM((_xlpm.x="C1")*1)=1, 3, 1))</f>
        <v>1</v>
      </c>
      <c r="AA130" s="25" cm="1">
        <f t="array" ref="AA130">_xlfn.LET(_xlpm.x, O130:O132, IF(SUM((_xlpm.x="C1")*1)=1, 3, 1))</f>
        <v>1</v>
      </c>
      <c r="AH130" s="5"/>
      <c r="AI130" s="5"/>
      <c r="AO130" s="5"/>
    </row>
    <row r="131" spans="10:41" x14ac:dyDescent="0.3">
      <c r="J131" s="25">
        <v>127</v>
      </c>
      <c r="K131" s="16" t="s">
        <v>125</v>
      </c>
      <c r="L131" s="16" t="s">
        <v>18</v>
      </c>
      <c r="M131" s="16" t="s">
        <v>37</v>
      </c>
      <c r="N131" s="16" t="s">
        <v>18</v>
      </c>
      <c r="O131" s="16" t="s">
        <v>18</v>
      </c>
      <c r="Q131" s="9">
        <v>6</v>
      </c>
      <c r="R131" s="9">
        <v>4</v>
      </c>
      <c r="S131" s="9">
        <v>7</v>
      </c>
      <c r="T131" s="9">
        <v>4</v>
      </c>
      <c r="U131" s="9">
        <v>4</v>
      </c>
      <c r="W131" s="25" cm="1">
        <f t="array" ref="W131">_xlfn.LET(_xlpm.x, K131:K133, IF(SUM((_xlpm.x="C1")*1)=1, 3, 1))</f>
        <v>1</v>
      </c>
      <c r="X131" s="25" cm="1">
        <f t="array" ref="X131">_xlfn.LET(_xlpm.x, L131:L133, IF(SUM((_xlpm.x="C1")*1)=1, 3, 1))</f>
        <v>1</v>
      </c>
      <c r="Y131" s="25" cm="1">
        <f t="array" ref="Y131">_xlfn.LET(_xlpm.x, M131:M133, IF(SUM((_xlpm.x="C1")*1)=1, 3, 1))</f>
        <v>1</v>
      </c>
      <c r="Z131" s="25" cm="1">
        <f t="array" ref="Z131">_xlfn.LET(_xlpm.x, N131:N133, IF(SUM((_xlpm.x="C1")*1)=1, 3, 1))</f>
        <v>1</v>
      </c>
      <c r="AA131" s="25" cm="1">
        <f t="array" ref="AA131">_xlfn.LET(_xlpm.x, O131:O133, IF(SUM((_xlpm.x="C1")*1)=1, 3, 1))</f>
        <v>1</v>
      </c>
      <c r="AH131" s="5"/>
      <c r="AI131" s="5"/>
      <c r="AO131" s="5"/>
    </row>
    <row r="132" spans="10:41" x14ac:dyDescent="0.3">
      <c r="J132" s="9">
        <v>128</v>
      </c>
      <c r="K132" s="16" t="s">
        <v>125</v>
      </c>
      <c r="L132" s="16" t="s">
        <v>97</v>
      </c>
      <c r="M132" s="16" t="s">
        <v>37</v>
      </c>
      <c r="N132" s="16" t="s">
        <v>125</v>
      </c>
      <c r="O132" s="16" t="s">
        <v>18</v>
      </c>
      <c r="Q132" s="9">
        <v>6</v>
      </c>
      <c r="R132" s="9">
        <v>19</v>
      </c>
      <c r="S132" s="9">
        <v>7</v>
      </c>
      <c r="T132" s="9">
        <v>6</v>
      </c>
      <c r="U132" s="9">
        <v>4</v>
      </c>
      <c r="W132" s="25" cm="1">
        <f t="array" ref="W132">_xlfn.LET(_xlpm.x, K132:K134, IF(SUM((_xlpm.x="C1")*1)=1, 3, 1))</f>
        <v>1</v>
      </c>
      <c r="X132" s="25" cm="1">
        <f t="array" ref="X132">_xlfn.LET(_xlpm.x, L132:L134, IF(SUM((_xlpm.x="C1")*1)=1, 3, 1))</f>
        <v>1</v>
      </c>
      <c r="Y132" s="25" cm="1">
        <f t="array" ref="Y132">_xlfn.LET(_xlpm.x, M132:M134, IF(SUM((_xlpm.x="C1")*1)=1, 3, 1))</f>
        <v>1</v>
      </c>
      <c r="Z132" s="25" cm="1">
        <f t="array" ref="Z132">_xlfn.LET(_xlpm.x, N132:N134, IF(SUM((_xlpm.x="C1")*1)=1, 3, 1))</f>
        <v>1</v>
      </c>
      <c r="AA132" s="25" cm="1">
        <f t="array" ref="AA132">_xlfn.LET(_xlpm.x, O132:O134, IF(SUM((_xlpm.x="C1")*1)=1, 3, 1))</f>
        <v>1</v>
      </c>
      <c r="AH132" s="5"/>
      <c r="AI132" s="5"/>
      <c r="AO132" s="5"/>
    </row>
    <row r="133" spans="10:41" x14ac:dyDescent="0.3">
      <c r="J133" s="25">
        <v>129</v>
      </c>
      <c r="K133" s="16" t="s">
        <v>19</v>
      </c>
      <c r="L133" s="16" t="s">
        <v>97</v>
      </c>
      <c r="M133" s="16" t="s">
        <v>19</v>
      </c>
      <c r="N133" s="16" t="s">
        <v>36</v>
      </c>
      <c r="O133" s="16" t="s">
        <v>36</v>
      </c>
      <c r="Q133" s="9">
        <v>5</v>
      </c>
      <c r="R133" s="9">
        <v>19</v>
      </c>
      <c r="S133" s="9">
        <v>5</v>
      </c>
      <c r="T133" s="9">
        <v>10</v>
      </c>
      <c r="U133" s="9">
        <v>10</v>
      </c>
      <c r="W133" s="25" cm="1">
        <f t="array" ref="W133">_xlfn.LET(_xlpm.x, K133:K135, IF(SUM((_xlpm.x="C1")*1)=1, 3, 1))</f>
        <v>1</v>
      </c>
      <c r="X133" s="25" cm="1">
        <f t="array" ref="X133">_xlfn.LET(_xlpm.x, L133:L135, IF(SUM((_xlpm.x="C1")*1)=1, 3, 1))</f>
        <v>1</v>
      </c>
      <c r="Y133" s="25" cm="1">
        <f t="array" ref="Y133">_xlfn.LET(_xlpm.x, M133:M135, IF(SUM((_xlpm.x="C1")*1)=1, 3, 1))</f>
        <v>1</v>
      </c>
      <c r="Z133" s="25" cm="1">
        <f t="array" ref="Z133">_xlfn.LET(_xlpm.x, N133:N135, IF(SUM((_xlpm.x="C1")*1)=1, 3, 1))</f>
        <v>1</v>
      </c>
      <c r="AA133" s="25" cm="1">
        <f t="array" ref="AA133">_xlfn.LET(_xlpm.x, O133:O135, IF(SUM((_xlpm.x="C1")*1)=1, 3, 1))</f>
        <v>1</v>
      </c>
      <c r="AH133" s="5"/>
      <c r="AI133" s="5"/>
      <c r="AO133" s="5"/>
    </row>
    <row r="134" spans="10:41" x14ac:dyDescent="0.3">
      <c r="J134" s="9">
        <v>130</v>
      </c>
      <c r="K134" s="16" t="s">
        <v>35</v>
      </c>
      <c r="L134" s="16" t="s">
        <v>21</v>
      </c>
      <c r="M134" s="16" t="s">
        <v>19</v>
      </c>
      <c r="N134" s="16" t="s">
        <v>18</v>
      </c>
      <c r="O134" s="16" t="s">
        <v>34</v>
      </c>
      <c r="Q134" s="9">
        <v>8</v>
      </c>
      <c r="R134" s="9">
        <v>2</v>
      </c>
      <c r="S134" s="9">
        <v>5</v>
      </c>
      <c r="T134" s="9">
        <v>4</v>
      </c>
      <c r="U134" s="9">
        <v>9</v>
      </c>
      <c r="W134" s="25" cm="1">
        <f t="array" ref="W134">_xlfn.LET(_xlpm.x, K134:K136, IF(SUM((_xlpm.x="C1")*1)=1, 3, 1))</f>
        <v>1</v>
      </c>
      <c r="X134" s="25" cm="1">
        <f t="array" ref="X134">_xlfn.LET(_xlpm.x, L134:L136, IF(SUM((_xlpm.x="C1")*1)=1, 3, 1))</f>
        <v>1</v>
      </c>
      <c r="Y134" s="25" cm="1">
        <f t="array" ref="Y134">_xlfn.LET(_xlpm.x, M134:M136, IF(SUM((_xlpm.x="C1")*1)=1, 3, 1))</f>
        <v>1</v>
      </c>
      <c r="Z134" s="25" cm="1">
        <f t="array" ref="Z134">_xlfn.LET(_xlpm.x, N134:N136, IF(SUM((_xlpm.x="C1")*1)=1, 3, 1))</f>
        <v>1</v>
      </c>
      <c r="AA134" s="25" cm="1">
        <f t="array" ref="AA134">_xlfn.LET(_xlpm.x, O134:O136, IF(SUM((_xlpm.x="C1")*1)=1, 3, 1))</f>
        <v>1</v>
      </c>
      <c r="AH134" s="5"/>
      <c r="AI134" s="5"/>
      <c r="AO134" s="5"/>
    </row>
    <row r="135" spans="10:41" x14ac:dyDescent="0.3">
      <c r="J135" s="25">
        <v>131</v>
      </c>
      <c r="K135" s="16" t="s">
        <v>35</v>
      </c>
      <c r="L135" s="16" t="s">
        <v>90</v>
      </c>
      <c r="M135" s="16" t="s">
        <v>37</v>
      </c>
      <c r="N135" s="16" t="s">
        <v>19</v>
      </c>
      <c r="O135" s="16" t="s">
        <v>125</v>
      </c>
      <c r="Q135" s="9">
        <v>8</v>
      </c>
      <c r="R135" s="9">
        <v>13</v>
      </c>
      <c r="S135" s="9">
        <v>7</v>
      </c>
      <c r="T135" s="9">
        <v>5</v>
      </c>
      <c r="U135" s="9">
        <v>6</v>
      </c>
      <c r="W135" s="25" cm="1">
        <f t="array" ref="W135">_xlfn.LET(_xlpm.x, K135:K137, IF(SUM((_xlpm.x="C1")*1)=1, 3, 1))</f>
        <v>1</v>
      </c>
      <c r="X135" s="25" cm="1">
        <f t="array" ref="X135">_xlfn.LET(_xlpm.x, L135:L137, IF(SUM((_xlpm.x="C1")*1)=1, 3, 1))</f>
        <v>1</v>
      </c>
      <c r="Y135" s="25" cm="1">
        <f t="array" ref="Y135">_xlfn.LET(_xlpm.x, M135:M137, IF(SUM((_xlpm.x="C1")*1)=1, 3, 1))</f>
        <v>1</v>
      </c>
      <c r="Z135" s="25" cm="1">
        <f t="array" ref="Z135">_xlfn.LET(_xlpm.x, N135:N137, IF(SUM((_xlpm.x="C1")*1)=1, 3, 1))</f>
        <v>1</v>
      </c>
      <c r="AA135" s="25" cm="1">
        <f t="array" ref="AA135">_xlfn.LET(_xlpm.x, O135:O137, IF(SUM((_xlpm.x="C1")*1)=1, 3, 1))</f>
        <v>1</v>
      </c>
      <c r="AH135" s="5"/>
      <c r="AI135" s="5"/>
      <c r="AO135" s="5"/>
    </row>
    <row r="136" spans="10:41" x14ac:dyDescent="0.3">
      <c r="J136" s="9">
        <v>132</v>
      </c>
      <c r="K136" s="16" t="s">
        <v>37</v>
      </c>
      <c r="L136" s="16" t="s">
        <v>35</v>
      </c>
      <c r="M136" s="16" t="s">
        <v>92</v>
      </c>
      <c r="N136" s="16" t="s">
        <v>89</v>
      </c>
      <c r="O136" s="16" t="s">
        <v>21</v>
      </c>
      <c r="Q136" s="9">
        <v>7</v>
      </c>
      <c r="R136" s="9">
        <v>8</v>
      </c>
      <c r="S136" s="9">
        <v>16</v>
      </c>
      <c r="T136" s="9">
        <v>12</v>
      </c>
      <c r="U136" s="9">
        <v>2</v>
      </c>
      <c r="W136" s="25" cm="1">
        <f t="array" ref="W136">_xlfn.LET(_xlpm.x, K136:K138, IF(SUM((_xlpm.x="C1")*1)=1, 3, 1))</f>
        <v>1</v>
      </c>
      <c r="X136" s="25" cm="1">
        <f t="array" ref="X136">_xlfn.LET(_xlpm.x, L136:L138, IF(SUM((_xlpm.x="C1")*1)=1, 3, 1))</f>
        <v>1</v>
      </c>
      <c r="Y136" s="25" cm="1">
        <f t="array" ref="Y136">_xlfn.LET(_xlpm.x, M136:M138, IF(SUM((_xlpm.x="C1")*1)=1, 3, 1))</f>
        <v>1</v>
      </c>
      <c r="Z136" s="25" cm="1">
        <f t="array" ref="Z136">_xlfn.LET(_xlpm.x, N136:N138, IF(SUM((_xlpm.x="C1")*1)=1, 3, 1))</f>
        <v>1</v>
      </c>
      <c r="AA136" s="25" cm="1">
        <f t="array" ref="AA136">_xlfn.LET(_xlpm.x, O136:O138, IF(SUM((_xlpm.x="C1")*1)=1, 3, 1))</f>
        <v>1</v>
      </c>
      <c r="AH136" s="5"/>
      <c r="AI136" s="5"/>
      <c r="AO136" s="5"/>
    </row>
    <row r="137" spans="10:41" x14ac:dyDescent="0.3">
      <c r="J137" s="25">
        <v>133</v>
      </c>
      <c r="K137" s="16" t="s">
        <v>125</v>
      </c>
      <c r="L137" s="16" t="s">
        <v>18</v>
      </c>
      <c r="M137" s="16" t="s">
        <v>37</v>
      </c>
      <c r="N137" s="16" t="s">
        <v>21</v>
      </c>
      <c r="O137" s="16" t="s">
        <v>19</v>
      </c>
      <c r="Q137" s="9">
        <v>6</v>
      </c>
      <c r="R137" s="9">
        <v>4</v>
      </c>
      <c r="S137" s="9">
        <v>7</v>
      </c>
      <c r="T137" s="9">
        <v>2</v>
      </c>
      <c r="U137" s="9">
        <v>5</v>
      </c>
      <c r="W137" s="25" cm="1">
        <f t="array" ref="W137">_xlfn.LET(_xlpm.x, K137:K139, IF(SUM((_xlpm.x="C1")*1)=1, 3, 1))</f>
        <v>1</v>
      </c>
      <c r="X137" s="25" cm="1">
        <f t="array" ref="X137">_xlfn.LET(_xlpm.x, L137:L139, IF(SUM((_xlpm.x="C1")*1)=1, 3, 1))</f>
        <v>1</v>
      </c>
      <c r="Y137" s="25" cm="1">
        <f t="array" ref="Y137">_xlfn.LET(_xlpm.x, M137:M139, IF(SUM((_xlpm.x="C1")*1)=1, 3, 1))</f>
        <v>1</v>
      </c>
      <c r="Z137" s="25" cm="1">
        <f t="array" ref="Z137">_xlfn.LET(_xlpm.x, N137:N139, IF(SUM((_xlpm.x="C1")*1)=1, 3, 1))</f>
        <v>1</v>
      </c>
      <c r="AA137" s="25" cm="1">
        <f t="array" ref="AA137">_xlfn.LET(_xlpm.x, O137:O139, IF(SUM((_xlpm.x="C1")*1)=1, 3, 1))</f>
        <v>1</v>
      </c>
      <c r="AH137" s="5"/>
      <c r="AI137" s="5"/>
      <c r="AO137" s="5"/>
    </row>
    <row r="138" spans="10:41" x14ac:dyDescent="0.3">
      <c r="J138" s="9">
        <v>134</v>
      </c>
      <c r="K138" s="16" t="s">
        <v>35</v>
      </c>
      <c r="L138" s="16" t="s">
        <v>91</v>
      </c>
      <c r="M138" s="16" t="s">
        <v>19</v>
      </c>
      <c r="N138" s="16" t="s">
        <v>34</v>
      </c>
      <c r="O138" s="16" t="s">
        <v>22</v>
      </c>
      <c r="Q138" s="9">
        <v>8</v>
      </c>
      <c r="R138" s="9">
        <v>14</v>
      </c>
      <c r="S138" s="9">
        <v>5</v>
      </c>
      <c r="T138" s="9">
        <v>9</v>
      </c>
      <c r="U138" s="9">
        <v>3</v>
      </c>
      <c r="W138" s="25" cm="1">
        <f t="array" ref="W138">_xlfn.LET(_xlpm.x, K138:K140, IF(SUM((_xlpm.x="C1")*1)=1, 3, 1))</f>
        <v>1</v>
      </c>
      <c r="X138" s="25" cm="1">
        <f t="array" ref="X138">_xlfn.LET(_xlpm.x, L138:L140, IF(SUM((_xlpm.x="C1")*1)=1, 3, 1))</f>
        <v>1</v>
      </c>
      <c r="Y138" s="25" cm="1">
        <f t="array" ref="Y138">_xlfn.LET(_xlpm.x, M138:M140, IF(SUM((_xlpm.x="C1")*1)=1, 3, 1))</f>
        <v>1</v>
      </c>
      <c r="Z138" s="25" cm="1">
        <f t="array" ref="Z138">_xlfn.LET(_xlpm.x, N138:N140, IF(SUM((_xlpm.x="C1")*1)=1, 3, 1))</f>
        <v>1</v>
      </c>
      <c r="AA138" s="25" cm="1">
        <f t="array" ref="AA138">_xlfn.LET(_xlpm.x, O138:O140, IF(SUM((_xlpm.x="C1")*1)=1, 3, 1))</f>
        <v>1</v>
      </c>
      <c r="AH138" s="5"/>
      <c r="AI138" s="5"/>
      <c r="AO138" s="5"/>
    </row>
    <row r="139" spans="10:41" x14ac:dyDescent="0.3">
      <c r="J139" s="25">
        <v>135</v>
      </c>
      <c r="K139" s="16" t="s">
        <v>37</v>
      </c>
      <c r="L139" s="16" t="s">
        <v>21</v>
      </c>
      <c r="M139" s="16" t="s">
        <v>35</v>
      </c>
      <c r="N139" s="16" t="s">
        <v>95</v>
      </c>
      <c r="O139" s="16" t="s">
        <v>36</v>
      </c>
      <c r="Q139" s="9">
        <v>7</v>
      </c>
      <c r="R139" s="9">
        <v>2</v>
      </c>
      <c r="S139" s="9">
        <v>8</v>
      </c>
      <c r="T139" s="9">
        <v>18</v>
      </c>
      <c r="U139" s="9">
        <v>10</v>
      </c>
      <c r="W139" s="25" cm="1">
        <f t="array" ref="W139">_xlfn.LET(_xlpm.x, K139:K141, IF(SUM((_xlpm.x="C1")*1)=1, 3, 1))</f>
        <v>1</v>
      </c>
      <c r="X139" s="25" cm="1">
        <f t="array" ref="X139">_xlfn.LET(_xlpm.x, L139:L141, IF(SUM((_xlpm.x="C1")*1)=1, 3, 1))</f>
        <v>1</v>
      </c>
      <c r="Y139" s="25" cm="1">
        <f t="array" ref="Y139">_xlfn.LET(_xlpm.x, M139:M141, IF(SUM((_xlpm.x="C1")*1)=1, 3, 1))</f>
        <v>1</v>
      </c>
      <c r="Z139" s="25" cm="1">
        <f t="array" ref="Z139">_xlfn.LET(_xlpm.x, N139:N141, IF(SUM((_xlpm.x="C1")*1)=1, 3, 1))</f>
        <v>1</v>
      </c>
      <c r="AA139" s="25" cm="1">
        <f t="array" ref="AA139">_xlfn.LET(_xlpm.x, O139:O141, IF(SUM((_xlpm.x="C1")*1)=1, 3, 1))</f>
        <v>1</v>
      </c>
      <c r="AH139" s="5"/>
      <c r="AI139" s="5"/>
      <c r="AO139" s="5"/>
    </row>
    <row r="140" spans="10:41" x14ac:dyDescent="0.3">
      <c r="J140" s="9">
        <v>136</v>
      </c>
      <c r="K140" s="16" t="s">
        <v>19</v>
      </c>
      <c r="L140" s="16" t="s">
        <v>37</v>
      </c>
      <c r="M140" s="16" t="s">
        <v>19</v>
      </c>
      <c r="N140" s="16" t="s">
        <v>34</v>
      </c>
      <c r="O140" s="16" t="s">
        <v>37</v>
      </c>
      <c r="Q140" s="9">
        <v>5</v>
      </c>
      <c r="R140" s="9">
        <v>7</v>
      </c>
      <c r="S140" s="9">
        <v>5</v>
      </c>
      <c r="T140" s="9">
        <v>9</v>
      </c>
      <c r="U140" s="9">
        <v>7</v>
      </c>
      <c r="W140" s="25" cm="1">
        <f t="array" ref="W140">_xlfn.LET(_xlpm.x, K140:K142, IF(SUM((_xlpm.x="C1")*1)=1, 3, 1))</f>
        <v>1</v>
      </c>
      <c r="X140" s="25" cm="1">
        <f t="array" ref="X140">_xlfn.LET(_xlpm.x, L140:L142, IF(SUM((_xlpm.x="C1")*1)=1, 3, 1))</f>
        <v>1</v>
      </c>
      <c r="Y140" s="25" cm="1">
        <f t="array" ref="Y140">_xlfn.LET(_xlpm.x, M140:M142, IF(SUM((_xlpm.x="C1")*1)=1, 3, 1))</f>
        <v>1</v>
      </c>
      <c r="Z140" s="25" cm="1">
        <f t="array" ref="Z140">_xlfn.LET(_xlpm.x, N140:N142, IF(SUM((_xlpm.x="C1")*1)=1, 3, 1))</f>
        <v>1</v>
      </c>
      <c r="AA140" s="25" cm="1">
        <f t="array" ref="AA140">_xlfn.LET(_xlpm.x, O140:O142, IF(SUM((_xlpm.x="C1")*1)=1, 3, 1))</f>
        <v>1</v>
      </c>
      <c r="AH140" s="5"/>
      <c r="AI140" s="5"/>
      <c r="AO140" s="5"/>
    </row>
    <row r="141" spans="10:41" x14ac:dyDescent="0.3">
      <c r="J141" s="25">
        <v>137</v>
      </c>
      <c r="K141" s="16" t="s">
        <v>35</v>
      </c>
      <c r="L141" s="16" t="s">
        <v>92</v>
      </c>
      <c r="M141" s="16" t="s">
        <v>125</v>
      </c>
      <c r="N141" s="16" t="s">
        <v>21</v>
      </c>
      <c r="O141" s="16" t="s">
        <v>34</v>
      </c>
      <c r="Q141" s="9">
        <v>8</v>
      </c>
      <c r="R141" s="9">
        <v>16</v>
      </c>
      <c r="S141" s="9">
        <v>6</v>
      </c>
      <c r="T141" s="9">
        <v>2</v>
      </c>
      <c r="U141" s="9">
        <v>9</v>
      </c>
      <c r="W141" s="25" cm="1">
        <f t="array" ref="W141">_xlfn.LET(_xlpm.x, K141:K143, IF(SUM((_xlpm.x="C1")*1)=1, 3, 1))</f>
        <v>1</v>
      </c>
      <c r="X141" s="25" cm="1">
        <f t="array" ref="X141">_xlfn.LET(_xlpm.x, L141:L143, IF(SUM((_xlpm.x="C1")*1)=1, 3, 1))</f>
        <v>1</v>
      </c>
      <c r="Y141" s="25" cm="1">
        <f t="array" ref="Y141">_xlfn.LET(_xlpm.x, M141:M143, IF(SUM((_xlpm.x="C1")*1)=1, 3, 1))</f>
        <v>1</v>
      </c>
      <c r="Z141" s="25" cm="1">
        <f t="array" ref="Z141">_xlfn.LET(_xlpm.x, N141:N143, IF(SUM((_xlpm.x="C1")*1)=1, 3, 1))</f>
        <v>1</v>
      </c>
      <c r="AA141" s="25" cm="1">
        <f t="array" ref="AA141">_xlfn.LET(_xlpm.x, O141:O143, IF(SUM((_xlpm.x="C1")*1)=1, 3, 1))</f>
        <v>1</v>
      </c>
      <c r="AH141" s="5"/>
      <c r="AI141" s="5"/>
      <c r="AO141" s="5"/>
    </row>
    <row r="142" spans="10:41" x14ac:dyDescent="0.3">
      <c r="J142" s="9">
        <v>138</v>
      </c>
      <c r="K142" s="16" t="s">
        <v>37</v>
      </c>
      <c r="L142" s="16" t="s">
        <v>37</v>
      </c>
      <c r="M142" s="16" t="s">
        <v>112</v>
      </c>
      <c r="N142" s="16" t="s">
        <v>125</v>
      </c>
      <c r="O142" s="16" t="s">
        <v>18</v>
      </c>
      <c r="Q142" s="9">
        <v>7</v>
      </c>
      <c r="R142" s="9">
        <v>7</v>
      </c>
      <c r="S142" s="9">
        <v>17</v>
      </c>
      <c r="T142" s="9">
        <v>6</v>
      </c>
      <c r="U142" s="9">
        <v>4</v>
      </c>
      <c r="W142" s="25" cm="1">
        <f t="array" ref="W142">_xlfn.LET(_xlpm.x, K142:K144, IF(SUM((_xlpm.x="C1")*1)=1, 3, 1))</f>
        <v>1</v>
      </c>
      <c r="X142" s="25" cm="1">
        <f t="array" ref="X142">_xlfn.LET(_xlpm.x, L142:L144, IF(SUM((_xlpm.x="C1")*1)=1, 3, 1))</f>
        <v>1</v>
      </c>
      <c r="Y142" s="25" cm="1">
        <f t="array" ref="Y142">_xlfn.LET(_xlpm.x, M142:M144, IF(SUM((_xlpm.x="C1")*1)=1, 3, 1))</f>
        <v>1</v>
      </c>
      <c r="Z142" s="25" cm="1">
        <f t="array" ref="Z142">_xlfn.LET(_xlpm.x, N142:N144, IF(SUM((_xlpm.x="C1")*1)=1, 3, 1))</f>
        <v>1</v>
      </c>
      <c r="AA142" s="25" cm="1">
        <f t="array" ref="AA142">_xlfn.LET(_xlpm.x, O142:O144, IF(SUM((_xlpm.x="C1")*1)=1, 3, 1))</f>
        <v>1</v>
      </c>
      <c r="AH142" s="5"/>
      <c r="AI142" s="5"/>
      <c r="AO142" s="5"/>
    </row>
    <row r="143" spans="10:41" x14ac:dyDescent="0.3">
      <c r="J143" s="25">
        <v>139</v>
      </c>
      <c r="K143" s="16" t="s">
        <v>19</v>
      </c>
      <c r="L143" s="16" t="s">
        <v>22</v>
      </c>
      <c r="M143" s="16" t="s">
        <v>35</v>
      </c>
      <c r="N143" s="16" t="s">
        <v>18</v>
      </c>
      <c r="O143" s="16" t="s">
        <v>37</v>
      </c>
      <c r="Q143" s="9">
        <v>5</v>
      </c>
      <c r="R143" s="9">
        <v>3</v>
      </c>
      <c r="S143" s="9">
        <v>8</v>
      </c>
      <c r="T143" s="9">
        <v>4</v>
      </c>
      <c r="U143" s="9">
        <v>7</v>
      </c>
      <c r="W143" s="25" cm="1">
        <f t="array" ref="W143">_xlfn.LET(_xlpm.x, K143:K145, IF(SUM((_xlpm.x="C1")*1)=1, 3, 1))</f>
        <v>1</v>
      </c>
      <c r="X143" s="25" cm="1">
        <f t="array" ref="X143">_xlfn.LET(_xlpm.x, L143:L145, IF(SUM((_xlpm.x="C1")*1)=1, 3, 1))</f>
        <v>1</v>
      </c>
      <c r="Y143" s="25" cm="1">
        <f t="array" ref="Y143">_xlfn.LET(_xlpm.x, M143:M145, IF(SUM((_xlpm.x="C1")*1)=1, 3, 1))</f>
        <v>1</v>
      </c>
      <c r="Z143" s="25" cm="1">
        <f t="array" ref="Z143">_xlfn.LET(_xlpm.x, N143:N145, IF(SUM((_xlpm.x="C1")*1)=1, 3, 1))</f>
        <v>1</v>
      </c>
      <c r="AA143" s="25" cm="1">
        <f t="array" ref="AA143">_xlfn.LET(_xlpm.x, O143:O145, IF(SUM((_xlpm.x="C1")*1)=1, 3, 1))</f>
        <v>3</v>
      </c>
      <c r="AH143" s="5"/>
      <c r="AI143" s="5"/>
      <c r="AO143" s="5"/>
    </row>
    <row r="144" spans="10:41" x14ac:dyDescent="0.3">
      <c r="J144" s="9">
        <v>140</v>
      </c>
      <c r="K144" s="16" t="s">
        <v>125</v>
      </c>
      <c r="L144" s="16" t="s">
        <v>92</v>
      </c>
      <c r="M144" s="16" t="s">
        <v>19</v>
      </c>
      <c r="N144" s="16" t="s">
        <v>35</v>
      </c>
      <c r="O144" s="16" t="s">
        <v>37</v>
      </c>
      <c r="Q144" s="9">
        <v>6</v>
      </c>
      <c r="R144" s="9">
        <v>16</v>
      </c>
      <c r="S144" s="9">
        <v>5</v>
      </c>
      <c r="T144" s="9">
        <v>8</v>
      </c>
      <c r="U144" s="9">
        <v>7</v>
      </c>
      <c r="W144" s="25" cm="1">
        <f t="array" ref="W144">_xlfn.LET(_xlpm.x, K144:K146, IF(SUM((_xlpm.x="C1")*1)=1, 3, 1))</f>
        <v>1</v>
      </c>
      <c r="X144" s="25" cm="1">
        <f t="array" ref="X144">_xlfn.LET(_xlpm.x, L144:L146, IF(SUM((_xlpm.x="C1")*1)=1, 3, 1))</f>
        <v>1</v>
      </c>
      <c r="Y144" s="25" cm="1">
        <f t="array" ref="Y144">_xlfn.LET(_xlpm.x, M144:M146, IF(SUM((_xlpm.x="C1")*1)=1, 3, 1))</f>
        <v>1</v>
      </c>
      <c r="Z144" s="25" cm="1">
        <f t="array" ref="Z144">_xlfn.LET(_xlpm.x, N144:N146, IF(SUM((_xlpm.x="C1")*1)=1, 3, 1))</f>
        <v>1</v>
      </c>
      <c r="AA144" s="25" cm="1">
        <f t="array" ref="AA144">_xlfn.LET(_xlpm.x, O144:O146, IF(SUM((_xlpm.x="C1")*1)=1, 3, 1))</f>
        <v>3</v>
      </c>
      <c r="AH144" s="5"/>
      <c r="AI144" s="5"/>
      <c r="AO144" s="5"/>
    </row>
    <row r="145" spans="10:41" x14ac:dyDescent="0.3">
      <c r="J145" s="25">
        <v>141</v>
      </c>
      <c r="K145" s="16" t="s">
        <v>37</v>
      </c>
      <c r="L145" s="16" t="s">
        <v>37</v>
      </c>
      <c r="M145" s="16" t="s">
        <v>19</v>
      </c>
      <c r="N145" s="16" t="s">
        <v>37</v>
      </c>
      <c r="O145" s="16" t="s">
        <v>20</v>
      </c>
      <c r="Q145" s="9">
        <v>7</v>
      </c>
      <c r="R145" s="9">
        <v>7</v>
      </c>
      <c r="S145" s="9">
        <v>5</v>
      </c>
      <c r="T145" s="9">
        <v>7</v>
      </c>
      <c r="U145" s="9">
        <v>1</v>
      </c>
      <c r="W145" s="25" cm="1">
        <f t="array" ref="W145">_xlfn.LET(_xlpm.x, K145:K147, IF(SUM((_xlpm.x="C1")*1)=1, 3, 1))</f>
        <v>1</v>
      </c>
      <c r="X145" s="25" cm="1">
        <f t="array" ref="X145">_xlfn.LET(_xlpm.x, L145:L147, IF(SUM((_xlpm.x="C1")*1)=1, 3, 1))</f>
        <v>1</v>
      </c>
      <c r="Y145" s="25" cm="1">
        <f t="array" ref="Y145">_xlfn.LET(_xlpm.x, M145:M147, IF(SUM((_xlpm.x="C1")*1)=1, 3, 1))</f>
        <v>1</v>
      </c>
      <c r="Z145" s="25" cm="1">
        <f t="array" ref="Z145">_xlfn.LET(_xlpm.x, N145:N147, IF(SUM((_xlpm.x="C1")*1)=1, 3, 1))</f>
        <v>1</v>
      </c>
      <c r="AA145" s="25" cm="1">
        <f t="array" ref="AA145">_xlfn.LET(_xlpm.x, O145:O147, IF(SUM((_xlpm.x="C1")*1)=1, 3, 1))</f>
        <v>3</v>
      </c>
      <c r="AH145" s="5"/>
      <c r="AI145" s="5"/>
      <c r="AO145" s="5"/>
    </row>
    <row r="146" spans="10:41" x14ac:dyDescent="0.3">
      <c r="J146" s="9">
        <v>142</v>
      </c>
      <c r="K146" s="16" t="s">
        <v>125</v>
      </c>
      <c r="L146" s="16" t="s">
        <v>125</v>
      </c>
      <c r="M146" s="16" t="s">
        <v>19</v>
      </c>
      <c r="N146" s="16" t="s">
        <v>19</v>
      </c>
      <c r="O146" s="16" t="s">
        <v>125</v>
      </c>
      <c r="Q146" s="9">
        <v>6</v>
      </c>
      <c r="R146" s="9">
        <v>6</v>
      </c>
      <c r="S146" s="9">
        <v>5</v>
      </c>
      <c r="T146" s="9">
        <v>5</v>
      </c>
      <c r="U146" s="9">
        <v>6</v>
      </c>
      <c r="W146" s="25" cm="1">
        <f t="array" ref="W146">_xlfn.LET(_xlpm.x, K146:K148, IF(SUM((_xlpm.x="C1")*1)=1, 3, 1))</f>
        <v>1</v>
      </c>
      <c r="X146" s="25" cm="1">
        <f t="array" ref="X146">_xlfn.LET(_xlpm.x, L146:L148, IF(SUM((_xlpm.x="C1")*1)=1, 3, 1))</f>
        <v>1</v>
      </c>
      <c r="Y146" s="25" cm="1">
        <f t="array" ref="Y146">_xlfn.LET(_xlpm.x, M146:M148, IF(SUM((_xlpm.x="C1")*1)=1, 3, 1))</f>
        <v>1</v>
      </c>
      <c r="Z146" s="25" cm="1">
        <f t="array" ref="Z146">_xlfn.LET(_xlpm.x, N146:N148, IF(SUM((_xlpm.x="C1")*1)=1, 3, 1))</f>
        <v>1</v>
      </c>
      <c r="AA146" s="25" cm="1">
        <f t="array" ref="AA146">_xlfn.LET(_xlpm.x, O146:O148, IF(SUM((_xlpm.x="C1")*1)=1, 3, 1))</f>
        <v>1</v>
      </c>
      <c r="AH146" s="5"/>
      <c r="AI146" s="5"/>
      <c r="AO146" s="5"/>
    </row>
    <row r="147" spans="10:41" x14ac:dyDescent="0.3">
      <c r="J147" s="25">
        <v>143</v>
      </c>
      <c r="K147" s="16" t="s">
        <v>19</v>
      </c>
      <c r="L147" s="16" t="s">
        <v>89</v>
      </c>
      <c r="M147" s="16" t="s">
        <v>125</v>
      </c>
      <c r="N147" s="16" t="s">
        <v>19</v>
      </c>
      <c r="O147" s="16" t="s">
        <v>37</v>
      </c>
      <c r="Q147" s="9">
        <v>5</v>
      </c>
      <c r="R147" s="9">
        <v>12</v>
      </c>
      <c r="S147" s="9">
        <v>6</v>
      </c>
      <c r="T147" s="9">
        <v>5</v>
      </c>
      <c r="U147" s="9">
        <v>7</v>
      </c>
      <c r="W147" s="25" cm="1">
        <f t="array" ref="W147">_xlfn.LET(_xlpm.x, K147:K149, IF(SUM((_xlpm.x="C1")*1)=1, 3, 1))</f>
        <v>1</v>
      </c>
      <c r="X147" s="25" cm="1">
        <f t="array" ref="X147">_xlfn.LET(_xlpm.x, L147:L149, IF(SUM((_xlpm.x="C1")*1)=1, 3, 1))</f>
        <v>3</v>
      </c>
      <c r="Y147" s="25" cm="1">
        <f t="array" ref="Y147">_xlfn.LET(_xlpm.x, M147:M149, IF(SUM((_xlpm.x="C1")*1)=1, 3, 1))</f>
        <v>1</v>
      </c>
      <c r="Z147" s="25" cm="1">
        <f t="array" ref="Z147">_xlfn.LET(_xlpm.x, N147:N149, IF(SUM((_xlpm.x="C1")*1)=1, 3, 1))</f>
        <v>1</v>
      </c>
      <c r="AA147" s="25" cm="1">
        <f t="array" ref="AA147">_xlfn.LET(_xlpm.x, O147:O149, IF(SUM((_xlpm.x="C1")*1)=1, 3, 1))</f>
        <v>1</v>
      </c>
      <c r="AH147" s="5"/>
      <c r="AI147" s="5"/>
      <c r="AO147" s="5"/>
    </row>
    <row r="148" spans="10:41" x14ac:dyDescent="0.3">
      <c r="J148" s="9">
        <v>144</v>
      </c>
      <c r="K148" s="16" t="s">
        <v>37</v>
      </c>
      <c r="L148" s="16" t="s">
        <v>34</v>
      </c>
      <c r="M148" s="16" t="s">
        <v>37</v>
      </c>
      <c r="N148" s="16" t="s">
        <v>37</v>
      </c>
      <c r="O148" s="16" t="s">
        <v>125</v>
      </c>
      <c r="Q148" s="9">
        <v>7</v>
      </c>
      <c r="R148" s="9">
        <v>9</v>
      </c>
      <c r="S148" s="9">
        <v>7</v>
      </c>
      <c r="T148" s="9">
        <v>7</v>
      </c>
      <c r="U148" s="9">
        <v>6</v>
      </c>
      <c r="W148" s="25" cm="1">
        <f t="array" ref="W148">_xlfn.LET(_xlpm.x, K148:K150, IF(SUM((_xlpm.x="C1")*1)=1, 3, 1))</f>
        <v>1</v>
      </c>
      <c r="X148" s="25" cm="1">
        <f t="array" ref="X148">_xlfn.LET(_xlpm.x, L148:L150, IF(SUM((_xlpm.x="C1")*1)=1, 3, 1))</f>
        <v>3</v>
      </c>
      <c r="Y148" s="25" cm="1">
        <f t="array" ref="Y148">_xlfn.LET(_xlpm.x, M148:M150, IF(SUM((_xlpm.x="C1")*1)=1, 3, 1))</f>
        <v>1</v>
      </c>
      <c r="Z148" s="25" cm="1">
        <f t="array" ref="Z148">_xlfn.LET(_xlpm.x, N148:N150, IF(SUM((_xlpm.x="C1")*1)=1, 3, 1))</f>
        <v>1</v>
      </c>
      <c r="AA148" s="25" cm="1">
        <f t="array" ref="AA148">_xlfn.LET(_xlpm.x, O148:O150, IF(SUM((_xlpm.x="C1")*1)=1, 3, 1))</f>
        <v>1</v>
      </c>
      <c r="AH148" s="5"/>
      <c r="AI148" s="5"/>
      <c r="AO148" s="5"/>
    </row>
    <row r="149" spans="10:41" x14ac:dyDescent="0.3">
      <c r="J149" s="25">
        <v>145</v>
      </c>
      <c r="K149" s="16" t="s">
        <v>35</v>
      </c>
      <c r="L149" s="16" t="s">
        <v>20</v>
      </c>
      <c r="M149" s="16" t="s">
        <v>37</v>
      </c>
      <c r="N149" s="16" t="s">
        <v>18</v>
      </c>
      <c r="O149" s="16" t="s">
        <v>22</v>
      </c>
      <c r="Q149" s="9">
        <v>8</v>
      </c>
      <c r="R149" s="9">
        <v>1</v>
      </c>
      <c r="S149" s="9">
        <v>7</v>
      </c>
      <c r="T149" s="9">
        <v>4</v>
      </c>
      <c r="U149" s="9">
        <v>3</v>
      </c>
      <c r="W149" s="25" cm="1">
        <f t="array" ref="W149">_xlfn.LET(_xlpm.x, K149:K151, IF(SUM((_xlpm.x="C1")*1)=1, 3, 1))</f>
        <v>1</v>
      </c>
      <c r="X149" s="25" cm="1">
        <f t="array" ref="X149">_xlfn.LET(_xlpm.x, L149:L151, IF(SUM((_xlpm.x="C1")*1)=1, 3, 1))</f>
        <v>3</v>
      </c>
      <c r="Y149" s="25" cm="1">
        <f t="array" ref="Y149">_xlfn.LET(_xlpm.x, M149:M151, IF(SUM((_xlpm.x="C1")*1)=1, 3, 1))</f>
        <v>1</v>
      </c>
      <c r="Z149" s="25" cm="1">
        <f t="array" ref="Z149">_xlfn.LET(_xlpm.x, N149:N151, IF(SUM((_xlpm.x="C1")*1)=1, 3, 1))</f>
        <v>1</v>
      </c>
      <c r="AA149" s="25" cm="1">
        <f t="array" ref="AA149">_xlfn.LET(_xlpm.x, O149:O151, IF(SUM((_xlpm.x="C1")*1)=1, 3, 1))</f>
        <v>1</v>
      </c>
      <c r="AH149" s="5"/>
      <c r="AI149" s="5"/>
      <c r="AO149" s="5"/>
    </row>
    <row r="150" spans="10:41" x14ac:dyDescent="0.3">
      <c r="J150" s="9">
        <v>146</v>
      </c>
      <c r="K150" s="16" t="s">
        <v>37</v>
      </c>
      <c r="L150" s="16" t="s">
        <v>36</v>
      </c>
      <c r="M150" s="16" t="s">
        <v>37</v>
      </c>
      <c r="N150" s="16" t="s">
        <v>18</v>
      </c>
      <c r="O150" s="16" t="s">
        <v>125</v>
      </c>
      <c r="Q150" s="9">
        <v>7</v>
      </c>
      <c r="R150" s="9">
        <v>10</v>
      </c>
      <c r="S150" s="9">
        <v>7</v>
      </c>
      <c r="T150" s="9">
        <v>4</v>
      </c>
      <c r="U150" s="9">
        <v>6</v>
      </c>
      <c r="W150" s="25" cm="1">
        <f t="array" ref="W150">_xlfn.LET(_xlpm.x, K150:K152, IF(SUM((_xlpm.x="C1")*1)=1, 3, 1))</f>
        <v>1</v>
      </c>
      <c r="X150" s="25" cm="1">
        <f t="array" ref="X150">_xlfn.LET(_xlpm.x, L150:L152, IF(SUM((_xlpm.x="C1")*1)=1, 3, 1))</f>
        <v>1</v>
      </c>
      <c r="Y150" s="25" cm="1">
        <f t="array" ref="Y150">_xlfn.LET(_xlpm.x, M150:M152, IF(SUM((_xlpm.x="C1")*1)=1, 3, 1))</f>
        <v>1</v>
      </c>
      <c r="Z150" s="25" cm="1">
        <f t="array" ref="Z150">_xlfn.LET(_xlpm.x, N150:N152, IF(SUM((_xlpm.x="C1")*1)=1, 3, 1))</f>
        <v>1</v>
      </c>
      <c r="AA150" s="25" cm="1">
        <f t="array" ref="AA150">_xlfn.LET(_xlpm.x, O150:O152, IF(SUM((_xlpm.x="C1")*1)=1, 3, 1))</f>
        <v>3</v>
      </c>
      <c r="AH150" s="5"/>
      <c r="AI150" s="5"/>
      <c r="AO150" s="5"/>
    </row>
    <row r="151" spans="10:41" x14ac:dyDescent="0.3">
      <c r="J151" s="25">
        <v>147</v>
      </c>
      <c r="K151" s="16" t="s">
        <v>125</v>
      </c>
      <c r="L151" s="16" t="s">
        <v>97</v>
      </c>
      <c r="M151" s="16" t="s">
        <v>125</v>
      </c>
      <c r="N151" s="16" t="s">
        <v>18</v>
      </c>
      <c r="O151" s="16" t="s">
        <v>21</v>
      </c>
      <c r="Q151" s="9">
        <v>6</v>
      </c>
      <c r="R151" s="9">
        <v>19</v>
      </c>
      <c r="S151" s="9">
        <v>6</v>
      </c>
      <c r="T151" s="9">
        <v>4</v>
      </c>
      <c r="U151" s="9">
        <v>2</v>
      </c>
      <c r="W151" s="25" cm="1">
        <f t="array" ref="W151">_xlfn.LET(_xlpm.x, K151:K153, IF(SUM((_xlpm.x="C1")*1)=1, 3, 1))</f>
        <v>1</v>
      </c>
      <c r="X151" s="25" cm="1">
        <f t="array" ref="X151">_xlfn.LET(_xlpm.x, L151:L153, IF(SUM((_xlpm.x="C1")*1)=1, 3, 1))</f>
        <v>1</v>
      </c>
      <c r="Y151" s="25" cm="1">
        <f t="array" ref="Y151">_xlfn.LET(_xlpm.x, M151:M153, IF(SUM((_xlpm.x="C1")*1)=1, 3, 1))</f>
        <v>1</v>
      </c>
      <c r="Z151" s="25" cm="1">
        <f t="array" ref="Z151">_xlfn.LET(_xlpm.x, N151:N153, IF(SUM((_xlpm.x="C1")*1)=1, 3, 1))</f>
        <v>1</v>
      </c>
      <c r="AA151" s="25" cm="1">
        <f t="array" ref="AA151">_xlfn.LET(_xlpm.x, O151:O153, IF(SUM((_xlpm.x="C1")*1)=1, 3, 1))</f>
        <v>3</v>
      </c>
      <c r="AH151" s="5"/>
      <c r="AI151" s="5"/>
      <c r="AO151" s="5"/>
    </row>
    <row r="152" spans="10:41" x14ac:dyDescent="0.3">
      <c r="J152" s="9">
        <v>148</v>
      </c>
      <c r="K152" s="16" t="s">
        <v>18</v>
      </c>
      <c r="L152" s="16" t="s">
        <v>22</v>
      </c>
      <c r="M152" s="16" t="s">
        <v>19</v>
      </c>
      <c r="N152" s="16" t="s">
        <v>36</v>
      </c>
      <c r="O152" s="16" t="s">
        <v>20</v>
      </c>
      <c r="Q152" s="9">
        <v>4</v>
      </c>
      <c r="R152" s="9">
        <v>3</v>
      </c>
      <c r="S152" s="9">
        <v>5</v>
      </c>
      <c r="T152" s="9">
        <v>10</v>
      </c>
      <c r="U152" s="9">
        <v>1</v>
      </c>
      <c r="W152" s="25" cm="1">
        <f t="array" ref="W152">_xlfn.LET(_xlpm.x, K152:K154, IF(SUM((_xlpm.x="C1")*1)=1, 3, 1))</f>
        <v>1</v>
      </c>
      <c r="X152" s="25" cm="1">
        <f t="array" ref="X152">_xlfn.LET(_xlpm.x, L152:L154, IF(SUM((_xlpm.x="C1")*1)=1, 3, 1))</f>
        <v>1</v>
      </c>
      <c r="Y152" s="25" cm="1">
        <f t="array" ref="Y152">_xlfn.LET(_xlpm.x, M152:M154, IF(SUM((_xlpm.x="C1")*1)=1, 3, 1))</f>
        <v>1</v>
      </c>
      <c r="Z152" s="25" cm="1">
        <f t="array" ref="Z152">_xlfn.LET(_xlpm.x, N152:N154, IF(SUM((_xlpm.x="C1")*1)=1, 3, 1))</f>
        <v>1</v>
      </c>
      <c r="AA152" s="25" cm="1">
        <f t="array" ref="AA152">_xlfn.LET(_xlpm.x, O152:O154, IF(SUM((_xlpm.x="C1")*1)=1, 3, 1))</f>
        <v>3</v>
      </c>
      <c r="AH152" s="5"/>
      <c r="AI152" s="5"/>
      <c r="AO152" s="5"/>
    </row>
    <row r="153" spans="10:41" x14ac:dyDescent="0.3">
      <c r="J153" s="25">
        <v>149</v>
      </c>
      <c r="K153" s="16" t="s">
        <v>37</v>
      </c>
      <c r="L153" s="16" t="s">
        <v>18</v>
      </c>
      <c r="M153" s="16" t="s">
        <v>22</v>
      </c>
      <c r="N153" s="16" t="s">
        <v>90</v>
      </c>
      <c r="O153" s="16" t="s">
        <v>125</v>
      </c>
      <c r="Q153" s="9">
        <v>7</v>
      </c>
      <c r="R153" s="9">
        <v>4</v>
      </c>
      <c r="S153" s="9">
        <v>3</v>
      </c>
      <c r="T153" s="9">
        <v>13</v>
      </c>
      <c r="U153" s="9">
        <v>6</v>
      </c>
      <c r="W153" s="25" cm="1">
        <f t="array" ref="W153">_xlfn.LET(_xlpm.x, K153:K155, IF(SUM((_xlpm.x="C1")*1)=1, 3, 1))</f>
        <v>1</v>
      </c>
      <c r="X153" s="25" cm="1">
        <f t="array" ref="X153">_xlfn.LET(_xlpm.x, L153:L155, IF(SUM((_xlpm.x="C1")*1)=1, 3, 1))</f>
        <v>1</v>
      </c>
      <c r="Y153" s="25" cm="1">
        <f t="array" ref="Y153">_xlfn.LET(_xlpm.x, M153:M155, IF(SUM((_xlpm.x="C1")*1)=1, 3, 1))</f>
        <v>1</v>
      </c>
      <c r="Z153" s="25" cm="1">
        <f t="array" ref="Z153">_xlfn.LET(_xlpm.x, N153:N155, IF(SUM((_xlpm.x="C1")*1)=1, 3, 1))</f>
        <v>1</v>
      </c>
      <c r="AA153" s="25" cm="1">
        <f t="array" ref="AA153">_xlfn.LET(_xlpm.x, O153:O155, IF(SUM((_xlpm.x="C1")*1)=1, 3, 1))</f>
        <v>1</v>
      </c>
      <c r="AH153" s="5"/>
      <c r="AI153" s="5"/>
      <c r="AO153" s="5"/>
    </row>
    <row r="154" spans="10:41" x14ac:dyDescent="0.3">
      <c r="J154" s="9">
        <v>150</v>
      </c>
      <c r="K154" s="16" t="s">
        <v>37</v>
      </c>
      <c r="L154" s="16" t="s">
        <v>92</v>
      </c>
      <c r="M154" s="16" t="s">
        <v>35</v>
      </c>
      <c r="N154" s="16" t="s">
        <v>34</v>
      </c>
      <c r="O154" s="16" t="s">
        <v>34</v>
      </c>
      <c r="Q154" s="9">
        <v>7</v>
      </c>
      <c r="R154" s="9">
        <v>16</v>
      </c>
      <c r="S154" s="9">
        <v>8</v>
      </c>
      <c r="T154" s="9">
        <v>9</v>
      </c>
      <c r="U154" s="9">
        <v>9</v>
      </c>
      <c r="W154" s="25" cm="1">
        <f t="array" ref="W154">_xlfn.LET(_xlpm.x, K154:K156, IF(SUM((_xlpm.x="C1")*1)=1, 3, 1))</f>
        <v>1</v>
      </c>
      <c r="X154" s="25" cm="1">
        <f t="array" ref="X154">_xlfn.LET(_xlpm.x, L154:L156, IF(SUM((_xlpm.x="C1")*1)=1, 3, 1))</f>
        <v>1</v>
      </c>
      <c r="Y154" s="25" cm="1">
        <f t="array" ref="Y154">_xlfn.LET(_xlpm.x, M154:M156, IF(SUM((_xlpm.x="C1")*1)=1, 3, 1))</f>
        <v>1</v>
      </c>
      <c r="Z154" s="25" cm="1">
        <f t="array" ref="Z154">_xlfn.LET(_xlpm.x, N154:N156, IF(SUM((_xlpm.x="C1")*1)=1, 3, 1))</f>
        <v>1</v>
      </c>
      <c r="AA154" s="25" cm="1">
        <f t="array" ref="AA154">_xlfn.LET(_xlpm.x, O154:O156, IF(SUM((_xlpm.x="C1")*1)=1, 3, 1))</f>
        <v>1</v>
      </c>
      <c r="AH154" s="5"/>
      <c r="AI154" s="5"/>
      <c r="AO154" s="5"/>
    </row>
    <row r="155" spans="10:41" x14ac:dyDescent="0.3">
      <c r="J155" s="25">
        <v>151</v>
      </c>
      <c r="K155" s="16" t="s">
        <v>125</v>
      </c>
      <c r="L155" s="16" t="s">
        <v>18</v>
      </c>
      <c r="M155" s="16" t="s">
        <v>19</v>
      </c>
      <c r="N155" s="16" t="s">
        <v>19</v>
      </c>
      <c r="O155" s="16" t="s">
        <v>34</v>
      </c>
      <c r="Q155" s="9">
        <v>6</v>
      </c>
      <c r="R155" s="9">
        <v>4</v>
      </c>
      <c r="S155" s="9">
        <v>5</v>
      </c>
      <c r="T155" s="9">
        <v>5</v>
      </c>
      <c r="U155" s="9">
        <v>9</v>
      </c>
      <c r="W155" s="25" cm="1">
        <f t="array" ref="W155">_xlfn.LET(_xlpm.x, K155:K157, IF(SUM((_xlpm.x="C1")*1)=1, 3, 1))</f>
        <v>1</v>
      </c>
      <c r="X155" s="25" cm="1">
        <f t="array" ref="X155">_xlfn.LET(_xlpm.x, L155:L157, IF(SUM((_xlpm.x="C1")*1)=1, 3, 1))</f>
        <v>1</v>
      </c>
      <c r="Y155" s="25" cm="1">
        <f t="array" ref="Y155">_xlfn.LET(_xlpm.x, M155:M157, IF(SUM((_xlpm.x="C1")*1)=1, 3, 1))</f>
        <v>1</v>
      </c>
      <c r="Z155" s="25" cm="1">
        <f t="array" ref="Z155">_xlfn.LET(_xlpm.x, N155:N157, IF(SUM((_xlpm.x="C1")*1)=1, 3, 1))</f>
        <v>1</v>
      </c>
      <c r="AA155" s="25" cm="1">
        <f t="array" ref="AA155">_xlfn.LET(_xlpm.x, O155:O157, IF(SUM((_xlpm.x="C1")*1)=1, 3, 1))</f>
        <v>1</v>
      </c>
      <c r="AH155" s="5"/>
      <c r="AI155" s="5"/>
      <c r="AO155" s="5"/>
    </row>
    <row r="156" spans="10:41" x14ac:dyDescent="0.3">
      <c r="J156" s="9">
        <v>152</v>
      </c>
      <c r="K156" s="16" t="s">
        <v>37</v>
      </c>
      <c r="L156" s="16" t="s">
        <v>36</v>
      </c>
      <c r="M156" s="16" t="s">
        <v>19</v>
      </c>
      <c r="N156" s="16" t="s">
        <v>35</v>
      </c>
      <c r="O156" s="16" t="s">
        <v>125</v>
      </c>
      <c r="Q156" s="9">
        <v>7</v>
      </c>
      <c r="R156" s="9">
        <v>10</v>
      </c>
      <c r="S156" s="9">
        <v>5</v>
      </c>
      <c r="T156" s="9">
        <v>8</v>
      </c>
      <c r="U156" s="9">
        <v>6</v>
      </c>
      <c r="W156" s="25" cm="1">
        <f t="array" ref="W156">_xlfn.LET(_xlpm.x, K156:K158, IF(SUM((_xlpm.x="C1")*1)=1, 3, 1))</f>
        <v>1</v>
      </c>
      <c r="X156" s="25" cm="1">
        <f t="array" ref="X156">_xlfn.LET(_xlpm.x, L156:L158, IF(SUM((_xlpm.x="C1")*1)=1, 3, 1))</f>
        <v>1</v>
      </c>
      <c r="Y156" s="25" cm="1">
        <f t="array" ref="Y156">_xlfn.LET(_xlpm.x, M156:M158, IF(SUM((_xlpm.x="C1")*1)=1, 3, 1))</f>
        <v>1</v>
      </c>
      <c r="Z156" s="25" cm="1">
        <f t="array" ref="Z156">_xlfn.LET(_xlpm.x, N156:N158, IF(SUM((_xlpm.x="C1")*1)=1, 3, 1))</f>
        <v>1</v>
      </c>
      <c r="AA156" s="25" cm="1">
        <f t="array" ref="AA156">_xlfn.LET(_xlpm.x, O156:O158, IF(SUM((_xlpm.x="C1")*1)=1, 3, 1))</f>
        <v>1</v>
      </c>
      <c r="AH156" s="5"/>
      <c r="AI156" s="5"/>
      <c r="AO156" s="5"/>
    </row>
    <row r="157" spans="10:41" x14ac:dyDescent="0.3">
      <c r="J157" s="25">
        <v>153</v>
      </c>
      <c r="K157" s="16" t="s">
        <v>125</v>
      </c>
      <c r="L157" s="16" t="s">
        <v>21</v>
      </c>
      <c r="M157" s="16" t="s">
        <v>19</v>
      </c>
      <c r="N157" s="16" t="s">
        <v>92</v>
      </c>
      <c r="O157" s="16" t="s">
        <v>125</v>
      </c>
      <c r="Q157" s="9">
        <v>6</v>
      </c>
      <c r="R157" s="9">
        <v>2</v>
      </c>
      <c r="S157" s="9">
        <v>5</v>
      </c>
      <c r="T157" s="9">
        <v>16</v>
      </c>
      <c r="U157" s="9">
        <v>6</v>
      </c>
      <c r="W157" s="25" cm="1">
        <f t="array" ref="W157">_xlfn.LET(_xlpm.x, K157:K159, IF(SUM((_xlpm.x="C1")*1)=1, 3, 1))</f>
        <v>1</v>
      </c>
      <c r="X157" s="25" cm="1">
        <f t="array" ref="X157">_xlfn.LET(_xlpm.x, L157:L159, IF(SUM((_xlpm.x="C1")*1)=1, 3, 1))</f>
        <v>1</v>
      </c>
      <c r="Y157" s="25" cm="1">
        <f t="array" ref="Y157">_xlfn.LET(_xlpm.x, M157:M159, IF(SUM((_xlpm.x="C1")*1)=1, 3, 1))</f>
        <v>1</v>
      </c>
      <c r="Z157" s="25" cm="1">
        <f t="array" ref="Z157">_xlfn.LET(_xlpm.x, N157:N159, IF(SUM((_xlpm.x="C1")*1)=1, 3, 1))</f>
        <v>3</v>
      </c>
      <c r="AA157" s="25" cm="1">
        <f t="array" ref="AA157">_xlfn.LET(_xlpm.x, O157:O159, IF(SUM((_xlpm.x="C1")*1)=1, 3, 1))</f>
        <v>3</v>
      </c>
      <c r="AH157" s="5"/>
      <c r="AI157" s="5"/>
      <c r="AO157" s="5"/>
    </row>
    <row r="158" spans="10:41" x14ac:dyDescent="0.3">
      <c r="J158" s="9">
        <v>154</v>
      </c>
      <c r="K158" s="16" t="s">
        <v>35</v>
      </c>
      <c r="L158" s="16" t="s">
        <v>90</v>
      </c>
      <c r="M158" s="16" t="s">
        <v>35</v>
      </c>
      <c r="N158" s="16" t="s">
        <v>21</v>
      </c>
      <c r="O158" s="16" t="s">
        <v>35</v>
      </c>
      <c r="Q158" s="9">
        <v>8</v>
      </c>
      <c r="R158" s="9">
        <v>13</v>
      </c>
      <c r="S158" s="9">
        <v>8</v>
      </c>
      <c r="T158" s="9">
        <v>2</v>
      </c>
      <c r="U158" s="9">
        <v>8</v>
      </c>
      <c r="W158" s="25" cm="1">
        <f t="array" ref="W158">_xlfn.LET(_xlpm.x, K158:K160, IF(SUM((_xlpm.x="C1")*1)=1, 3, 1))</f>
        <v>3</v>
      </c>
      <c r="X158" s="25" cm="1">
        <f t="array" ref="X158">_xlfn.LET(_xlpm.x, L158:L160, IF(SUM((_xlpm.x="C1")*1)=1, 3, 1))</f>
        <v>1</v>
      </c>
      <c r="Y158" s="25" cm="1">
        <f t="array" ref="Y158">_xlfn.LET(_xlpm.x, M158:M160, IF(SUM((_xlpm.x="C1")*1)=1, 3, 1))</f>
        <v>1</v>
      </c>
      <c r="Z158" s="25" cm="1">
        <f t="array" ref="Z158">_xlfn.LET(_xlpm.x, N158:N160, IF(SUM((_xlpm.x="C1")*1)=1, 3, 1))</f>
        <v>3</v>
      </c>
      <c r="AA158" s="25" cm="1">
        <f t="array" ref="AA158">_xlfn.LET(_xlpm.x, O158:O160, IF(SUM((_xlpm.x="C1")*1)=1, 3, 1))</f>
        <v>3</v>
      </c>
      <c r="AH158" s="5"/>
      <c r="AI158" s="5"/>
      <c r="AO158" s="5"/>
    </row>
    <row r="159" spans="10:41" x14ac:dyDescent="0.3">
      <c r="J159" s="25">
        <v>155</v>
      </c>
      <c r="K159" s="16" t="s">
        <v>35</v>
      </c>
      <c r="L159" s="16" t="s">
        <v>37</v>
      </c>
      <c r="M159" s="16" t="s">
        <v>35</v>
      </c>
      <c r="N159" s="16" t="s">
        <v>20</v>
      </c>
      <c r="O159" s="16" t="s">
        <v>20</v>
      </c>
      <c r="Q159" s="9">
        <v>8</v>
      </c>
      <c r="R159" s="9">
        <v>7</v>
      </c>
      <c r="S159" s="9">
        <v>8</v>
      </c>
      <c r="T159" s="9">
        <v>1</v>
      </c>
      <c r="U159" s="9">
        <v>1</v>
      </c>
      <c r="W159" s="25" cm="1">
        <f t="array" ref="W159">_xlfn.LET(_xlpm.x, K159:K161, IF(SUM((_xlpm.x="C1")*1)=1, 3, 1))</f>
        <v>3</v>
      </c>
      <c r="X159" s="25" cm="1">
        <f t="array" ref="X159">_xlfn.LET(_xlpm.x, L159:L161, IF(SUM((_xlpm.x="C1")*1)=1, 3, 1))</f>
        <v>1</v>
      </c>
      <c r="Y159" s="25" cm="1">
        <f t="array" ref="Y159">_xlfn.LET(_xlpm.x, M159:M161, IF(SUM((_xlpm.x="C1")*1)=1, 3, 1))</f>
        <v>1</v>
      </c>
      <c r="Z159" s="25" cm="1">
        <f t="array" ref="Z159">_xlfn.LET(_xlpm.x, N159:N161, IF(SUM((_xlpm.x="C1")*1)=1, 3, 1))</f>
        <v>3</v>
      </c>
      <c r="AA159" s="25" cm="1">
        <f t="array" ref="AA159">_xlfn.LET(_xlpm.x, O159:O161, IF(SUM((_xlpm.x="C1")*1)=1, 3, 1))</f>
        <v>3</v>
      </c>
      <c r="AH159" s="5"/>
      <c r="AI159" s="5"/>
      <c r="AO159" s="5"/>
    </row>
    <row r="160" spans="10:41" x14ac:dyDescent="0.3">
      <c r="J160" s="9">
        <v>156</v>
      </c>
      <c r="K160" s="16" t="s">
        <v>20</v>
      </c>
      <c r="L160" s="16" t="s">
        <v>126</v>
      </c>
      <c r="M160" s="16" t="s">
        <v>37</v>
      </c>
      <c r="N160" s="16" t="s">
        <v>37</v>
      </c>
      <c r="O160" s="16" t="s">
        <v>19</v>
      </c>
      <c r="Q160" s="9">
        <v>1</v>
      </c>
      <c r="R160" s="9">
        <v>15</v>
      </c>
      <c r="S160" s="9">
        <v>7</v>
      </c>
      <c r="T160" s="9">
        <v>7</v>
      </c>
      <c r="U160" s="9">
        <v>5</v>
      </c>
      <c r="W160" s="25" cm="1">
        <f t="array" ref="W160">_xlfn.LET(_xlpm.x, K160:K162, IF(SUM((_xlpm.x="C1")*1)=1, 3, 1))</f>
        <v>3</v>
      </c>
      <c r="X160" s="25" cm="1">
        <f t="array" ref="X160">_xlfn.LET(_xlpm.x, L160:L162, IF(SUM((_xlpm.x="C1")*1)=1, 3, 1))</f>
        <v>1</v>
      </c>
      <c r="Y160" s="25" cm="1">
        <f t="array" ref="Y160">_xlfn.LET(_xlpm.x, M160:M162, IF(SUM((_xlpm.x="C1")*1)=1, 3, 1))</f>
        <v>1</v>
      </c>
      <c r="Z160" s="25" cm="1">
        <f t="array" ref="Z160">_xlfn.LET(_xlpm.x, N160:N162, IF(SUM((_xlpm.x="C1")*1)=1, 3, 1))</f>
        <v>1</v>
      </c>
      <c r="AA160" s="25" cm="1">
        <f t="array" ref="AA160">_xlfn.LET(_xlpm.x, O160:O162, IF(SUM((_xlpm.x="C1")*1)=1, 3, 1))</f>
        <v>1</v>
      </c>
      <c r="AH160" s="5"/>
      <c r="AI160" s="5"/>
      <c r="AO160" s="5"/>
    </row>
    <row r="161" spans="10:41" x14ac:dyDescent="0.3">
      <c r="J161" s="25">
        <v>157</v>
      </c>
      <c r="K161" s="16" t="s">
        <v>35</v>
      </c>
      <c r="L161" s="16" t="s">
        <v>21</v>
      </c>
      <c r="M161" s="16" t="s">
        <v>125</v>
      </c>
      <c r="N161" s="16" t="s">
        <v>34</v>
      </c>
      <c r="O161" s="16" t="s">
        <v>37</v>
      </c>
      <c r="Q161" s="9">
        <v>8</v>
      </c>
      <c r="R161" s="9">
        <v>2</v>
      </c>
      <c r="S161" s="9">
        <v>6</v>
      </c>
      <c r="T161" s="9">
        <v>9</v>
      </c>
      <c r="U161" s="9">
        <v>7</v>
      </c>
      <c r="W161" s="25" cm="1">
        <f t="array" ref="W161">_xlfn.LET(_xlpm.x, K161:K163, IF(SUM((_xlpm.x="C1")*1)=1, 3, 1))</f>
        <v>1</v>
      </c>
      <c r="X161" s="25" cm="1">
        <f t="array" ref="X161">_xlfn.LET(_xlpm.x, L161:L163, IF(SUM((_xlpm.x="C1")*1)=1, 3, 1))</f>
        <v>1</v>
      </c>
      <c r="Y161" s="25" cm="1">
        <f t="array" ref="Y161">_xlfn.LET(_xlpm.x, M161:M163, IF(SUM((_xlpm.x="C1")*1)=1, 3, 1))</f>
        <v>1</v>
      </c>
      <c r="Z161" s="25" cm="1">
        <f t="array" ref="Z161">_xlfn.LET(_xlpm.x, N161:N163, IF(SUM((_xlpm.x="C1")*1)=1, 3, 1))</f>
        <v>1</v>
      </c>
      <c r="AA161" s="25" cm="1">
        <f t="array" ref="AA161">_xlfn.LET(_xlpm.x, O161:O163, IF(SUM((_xlpm.x="C1")*1)=1, 3, 1))</f>
        <v>1</v>
      </c>
      <c r="AH161" s="5"/>
      <c r="AI161" s="5"/>
      <c r="AO161" s="5"/>
    </row>
    <row r="162" spans="10:41" x14ac:dyDescent="0.3">
      <c r="J162" s="9">
        <v>158</v>
      </c>
      <c r="K162" s="16" t="s">
        <v>34</v>
      </c>
      <c r="L162" s="16" t="s">
        <v>36</v>
      </c>
      <c r="M162" s="16" t="s">
        <v>125</v>
      </c>
      <c r="N162" s="16" t="s">
        <v>34</v>
      </c>
      <c r="O162" s="16" t="s">
        <v>125</v>
      </c>
      <c r="Q162" s="9">
        <v>9</v>
      </c>
      <c r="R162" s="9">
        <v>10</v>
      </c>
      <c r="S162" s="9">
        <v>6</v>
      </c>
      <c r="T162" s="9">
        <v>9</v>
      </c>
      <c r="U162" s="9">
        <v>6</v>
      </c>
      <c r="W162" s="25" cm="1">
        <f t="array" ref="W162">_xlfn.LET(_xlpm.x, K162:K164, IF(SUM((_xlpm.x="C1")*1)=1, 3, 1))</f>
        <v>1</v>
      </c>
      <c r="X162" s="25" cm="1">
        <f t="array" ref="X162">_xlfn.LET(_xlpm.x, L162:L164, IF(SUM((_xlpm.x="C1")*1)=1, 3, 1))</f>
        <v>1</v>
      </c>
      <c r="Y162" s="25" cm="1">
        <f t="array" ref="Y162">_xlfn.LET(_xlpm.x, M162:M164, IF(SUM((_xlpm.x="C1")*1)=1, 3, 1))</f>
        <v>1</v>
      </c>
      <c r="Z162" s="25" cm="1">
        <f t="array" ref="Z162">_xlfn.LET(_xlpm.x, N162:N164, IF(SUM((_xlpm.x="C1")*1)=1, 3, 1))</f>
        <v>1</v>
      </c>
      <c r="AA162" s="25" cm="1">
        <f t="array" ref="AA162">_xlfn.LET(_xlpm.x, O162:O164, IF(SUM((_xlpm.x="C1")*1)=1, 3, 1))</f>
        <v>1</v>
      </c>
      <c r="AH162" s="5"/>
      <c r="AI162" s="5"/>
      <c r="AO162" s="5"/>
    </row>
    <row r="163" spans="10:41" x14ac:dyDescent="0.3">
      <c r="J163" s="25">
        <v>159</v>
      </c>
      <c r="K163" s="16" t="s">
        <v>35</v>
      </c>
      <c r="L163" s="16" t="s">
        <v>90</v>
      </c>
      <c r="M163" s="16" t="s">
        <v>125</v>
      </c>
      <c r="N163" s="16" t="s">
        <v>34</v>
      </c>
      <c r="O163" s="16" t="s">
        <v>125</v>
      </c>
      <c r="Q163" s="9">
        <v>8</v>
      </c>
      <c r="R163" s="9">
        <v>13</v>
      </c>
      <c r="S163" s="9">
        <v>6</v>
      </c>
      <c r="T163" s="9">
        <v>9</v>
      </c>
      <c r="U163" s="9">
        <v>6</v>
      </c>
      <c r="W163" s="25" cm="1">
        <f t="array" ref="W163">_xlfn.LET(_xlpm.x, K163:K165, IF(SUM((_xlpm.x="C1")*1)=1, 3, 1))</f>
        <v>1</v>
      </c>
      <c r="X163" s="25" cm="1">
        <f t="array" ref="X163">_xlfn.LET(_xlpm.x, L163:L165, IF(SUM((_xlpm.x="C1")*1)=1, 3, 1))</f>
        <v>1</v>
      </c>
      <c r="Y163" s="25" cm="1">
        <f t="array" ref="Y163">_xlfn.LET(_xlpm.x, M163:M165, IF(SUM((_xlpm.x="C1")*1)=1, 3, 1))</f>
        <v>1</v>
      </c>
      <c r="Z163" s="25" cm="1">
        <f t="array" ref="Z163">_xlfn.LET(_xlpm.x, N163:N165, IF(SUM((_xlpm.x="C1")*1)=1, 3, 1))</f>
        <v>1</v>
      </c>
      <c r="AA163" s="25" cm="1">
        <f t="array" ref="AA163">_xlfn.LET(_xlpm.x, O163:O165, IF(SUM((_xlpm.x="C1")*1)=1, 3, 1))</f>
        <v>1</v>
      </c>
      <c r="AH163" s="5"/>
      <c r="AI163" s="5"/>
      <c r="AO163" s="5"/>
    </row>
    <row r="164" spans="10:41" x14ac:dyDescent="0.3">
      <c r="J164" s="9">
        <v>160</v>
      </c>
      <c r="K164" s="16" t="s">
        <v>35</v>
      </c>
      <c r="L164" s="16" t="s">
        <v>22</v>
      </c>
      <c r="M164" s="16" t="s">
        <v>19</v>
      </c>
      <c r="N164" s="16" t="s">
        <v>36</v>
      </c>
      <c r="O164" s="16" t="s">
        <v>35</v>
      </c>
      <c r="Q164" s="9">
        <v>8</v>
      </c>
      <c r="R164" s="9">
        <v>3</v>
      </c>
      <c r="S164" s="9">
        <v>5</v>
      </c>
      <c r="T164" s="9">
        <v>10</v>
      </c>
      <c r="U164" s="9">
        <v>8</v>
      </c>
      <c r="W164" s="25" cm="1">
        <f t="array" ref="W164">_xlfn.LET(_xlpm.x, K164:K166, IF(SUM((_xlpm.x="C1")*1)=1, 3, 1))</f>
        <v>1</v>
      </c>
      <c r="X164" s="25" cm="1">
        <f t="array" ref="X164">_xlfn.LET(_xlpm.x, L164:L166, IF(SUM((_xlpm.x="C1")*1)=1, 3, 1))</f>
        <v>1</v>
      </c>
      <c r="Y164" s="25" cm="1">
        <f t="array" ref="Y164">_xlfn.LET(_xlpm.x, M164:M166, IF(SUM((_xlpm.x="C1")*1)=1, 3, 1))</f>
        <v>1</v>
      </c>
      <c r="Z164" s="25" cm="1">
        <f t="array" ref="Z164">_xlfn.LET(_xlpm.x, N164:N166, IF(SUM((_xlpm.x="C1")*1)=1, 3, 1))</f>
        <v>1</v>
      </c>
      <c r="AA164" s="25" cm="1">
        <f t="array" ref="AA164">_xlfn.LET(_xlpm.x, O164:O166, IF(SUM((_xlpm.x="C1")*1)=1, 3, 1))</f>
        <v>1</v>
      </c>
      <c r="AH164" s="5"/>
      <c r="AI164" s="5"/>
      <c r="AO164" s="5"/>
    </row>
    <row r="165" spans="10:41" x14ac:dyDescent="0.3">
      <c r="J165" s="25">
        <v>161</v>
      </c>
      <c r="K165" s="16" t="s">
        <v>19</v>
      </c>
      <c r="L165" s="16" t="s">
        <v>88</v>
      </c>
      <c r="M165" s="16" t="s">
        <v>21</v>
      </c>
      <c r="N165" s="16" t="s">
        <v>35</v>
      </c>
      <c r="O165" s="16" t="s">
        <v>36</v>
      </c>
      <c r="Q165" s="9">
        <v>5</v>
      </c>
      <c r="R165" s="9">
        <v>11</v>
      </c>
      <c r="S165" s="9">
        <v>2</v>
      </c>
      <c r="T165" s="9">
        <v>8</v>
      </c>
      <c r="U165" s="9">
        <v>10</v>
      </c>
      <c r="W165" s="25" cm="1">
        <f t="array" ref="W165">_xlfn.LET(_xlpm.x, K165:K167, IF(SUM((_xlpm.x="C1")*1)=1, 3, 1))</f>
        <v>1</v>
      </c>
      <c r="X165" s="25" cm="1">
        <f t="array" ref="X165">_xlfn.LET(_xlpm.x, L165:L167, IF(SUM((_xlpm.x="C1")*1)=1, 3, 1))</f>
        <v>1</v>
      </c>
      <c r="Y165" s="25" cm="1">
        <f t="array" ref="Y165">_xlfn.LET(_xlpm.x, M165:M167, IF(SUM((_xlpm.x="C1")*1)=1, 3, 1))</f>
        <v>1</v>
      </c>
      <c r="Z165" s="25" cm="1">
        <f t="array" ref="Z165">_xlfn.LET(_xlpm.x, N165:N167, IF(SUM((_xlpm.x="C1")*1)=1, 3, 1))</f>
        <v>1</v>
      </c>
      <c r="AA165" s="25" cm="1">
        <f t="array" ref="AA165">_xlfn.LET(_xlpm.x, O165:O167, IF(SUM((_xlpm.x="C1")*1)=1, 3, 1))</f>
        <v>1</v>
      </c>
      <c r="AH165" s="5"/>
      <c r="AI165" s="5"/>
      <c r="AO165" s="5"/>
    </row>
    <row r="166" spans="10:41" x14ac:dyDescent="0.3">
      <c r="J166" s="9">
        <v>162</v>
      </c>
      <c r="K166" s="16" t="s">
        <v>125</v>
      </c>
      <c r="L166" s="16" t="s">
        <v>18</v>
      </c>
      <c r="M166" s="16" t="s">
        <v>37</v>
      </c>
      <c r="N166" s="16" t="s">
        <v>35</v>
      </c>
      <c r="O166" s="16" t="s">
        <v>35</v>
      </c>
      <c r="Q166" s="9">
        <v>6</v>
      </c>
      <c r="R166" s="9">
        <v>4</v>
      </c>
      <c r="S166" s="9">
        <v>7</v>
      </c>
      <c r="T166" s="9">
        <v>8</v>
      </c>
      <c r="U166" s="9">
        <v>8</v>
      </c>
      <c r="W166" s="25" cm="1">
        <f t="array" ref="W166">_xlfn.LET(_xlpm.x, K166:K168, IF(SUM((_xlpm.x="C1")*1)=1, 3, 1))</f>
        <v>1</v>
      </c>
      <c r="X166" s="25" cm="1">
        <f t="array" ref="X166">_xlfn.LET(_xlpm.x, L166:L168, IF(SUM((_xlpm.x="C1")*1)=1, 3, 1))</f>
        <v>1</v>
      </c>
      <c r="Y166" s="25" cm="1">
        <f t="array" ref="Y166">_xlfn.LET(_xlpm.x, M166:M168, IF(SUM((_xlpm.x="C1")*1)=1, 3, 1))</f>
        <v>1</v>
      </c>
      <c r="Z166" s="25" cm="1">
        <f t="array" ref="Z166">_xlfn.LET(_xlpm.x, N166:N168, IF(SUM((_xlpm.x="C1")*1)=1, 3, 1))</f>
        <v>1</v>
      </c>
      <c r="AA166" s="25" cm="1">
        <f t="array" ref="AA166">_xlfn.LET(_xlpm.x, O166:O168, IF(SUM((_xlpm.x="C1")*1)=1, 3, 1))</f>
        <v>1</v>
      </c>
      <c r="AH166" s="5"/>
      <c r="AI166" s="5"/>
      <c r="AO166" s="5"/>
    </row>
    <row r="167" spans="10:41" x14ac:dyDescent="0.3">
      <c r="J167" s="25">
        <v>163</v>
      </c>
      <c r="K167" s="16" t="s">
        <v>35</v>
      </c>
      <c r="L167" s="16" t="s">
        <v>22</v>
      </c>
      <c r="M167" s="16" t="s">
        <v>19</v>
      </c>
      <c r="N167" s="16" t="s">
        <v>19</v>
      </c>
      <c r="O167" s="16" t="s">
        <v>21</v>
      </c>
      <c r="Q167" s="9">
        <v>8</v>
      </c>
      <c r="R167" s="9">
        <v>3</v>
      </c>
      <c r="S167" s="9">
        <v>5</v>
      </c>
      <c r="T167" s="9">
        <v>5</v>
      </c>
      <c r="U167" s="9">
        <v>2</v>
      </c>
      <c r="W167" s="25" cm="1">
        <f t="array" ref="W167">_xlfn.LET(_xlpm.x, K167:K169, IF(SUM((_xlpm.x="C1")*1)=1, 3, 1))</f>
        <v>1</v>
      </c>
      <c r="X167" s="25" cm="1">
        <f t="array" ref="X167">_xlfn.LET(_xlpm.x, L167:L169, IF(SUM((_xlpm.x="C1")*1)=1, 3, 1))</f>
        <v>1</v>
      </c>
      <c r="Y167" s="25" cm="1">
        <f t="array" ref="Y167">_xlfn.LET(_xlpm.x, M167:M169, IF(SUM((_xlpm.x="C1")*1)=1, 3, 1))</f>
        <v>1</v>
      </c>
      <c r="Z167" s="25" cm="1">
        <f t="array" ref="Z167">_xlfn.LET(_xlpm.x, N167:N169, IF(SUM((_xlpm.x="C1")*1)=1, 3, 1))</f>
        <v>1</v>
      </c>
      <c r="AA167" s="25" cm="1">
        <f t="array" ref="AA167">_xlfn.LET(_xlpm.x, O167:O169, IF(SUM((_xlpm.x="C1")*1)=1, 3, 1))</f>
        <v>1</v>
      </c>
      <c r="AH167" s="5"/>
      <c r="AI167" s="5"/>
      <c r="AO167" s="5"/>
    </row>
    <row r="168" spans="10:41" x14ac:dyDescent="0.3">
      <c r="J168" s="9">
        <v>164</v>
      </c>
      <c r="K168" s="16" t="s">
        <v>37</v>
      </c>
      <c r="L168" s="16" t="s">
        <v>90</v>
      </c>
      <c r="M168" s="16" t="s">
        <v>125</v>
      </c>
      <c r="N168" s="16" t="s">
        <v>21</v>
      </c>
      <c r="O168" s="16" t="s">
        <v>34</v>
      </c>
      <c r="Q168" s="9">
        <v>7</v>
      </c>
      <c r="R168" s="9">
        <v>13</v>
      </c>
      <c r="S168" s="9">
        <v>6</v>
      </c>
      <c r="T168" s="9">
        <v>2</v>
      </c>
      <c r="U168" s="9">
        <v>9</v>
      </c>
      <c r="W168" s="25" cm="1">
        <f t="array" ref="W168">_xlfn.LET(_xlpm.x, K168:K170, IF(SUM((_xlpm.x="C1")*1)=1, 3, 1))</f>
        <v>1</v>
      </c>
      <c r="X168" s="25" cm="1">
        <f t="array" ref="X168">_xlfn.LET(_xlpm.x, L168:L170, IF(SUM((_xlpm.x="C1")*1)=1, 3, 1))</f>
        <v>1</v>
      </c>
      <c r="Y168" s="25" cm="1">
        <f t="array" ref="Y168">_xlfn.LET(_xlpm.x, M168:M170, IF(SUM((_xlpm.x="C1")*1)=1, 3, 1))</f>
        <v>1</v>
      </c>
      <c r="Z168" s="25" cm="1">
        <f t="array" ref="Z168">_xlfn.LET(_xlpm.x, N168:N170, IF(SUM((_xlpm.x="C1")*1)=1, 3, 1))</f>
        <v>1</v>
      </c>
      <c r="AA168" s="25" cm="1">
        <f t="array" ref="AA168">_xlfn.LET(_xlpm.x, O168:O170, IF(SUM((_xlpm.x="C1")*1)=1, 3, 1))</f>
        <v>1</v>
      </c>
      <c r="AH168" s="5"/>
      <c r="AI168" s="5"/>
      <c r="AO168" s="5"/>
    </row>
    <row r="169" spans="10:41" x14ac:dyDescent="0.3">
      <c r="J169" s="25">
        <v>165</v>
      </c>
      <c r="K169" s="16" t="s">
        <v>37</v>
      </c>
      <c r="L169" s="16" t="s">
        <v>34</v>
      </c>
      <c r="M169" s="16" t="s">
        <v>125</v>
      </c>
      <c r="N169" s="16" t="s">
        <v>21</v>
      </c>
      <c r="O169" s="16" t="s">
        <v>18</v>
      </c>
      <c r="Q169" s="9">
        <v>7</v>
      </c>
      <c r="R169" s="9">
        <v>9</v>
      </c>
      <c r="S169" s="9">
        <v>6</v>
      </c>
      <c r="T169" s="9">
        <v>2</v>
      </c>
      <c r="U169" s="9">
        <v>4</v>
      </c>
      <c r="W169" s="25" cm="1">
        <f t="array" ref="W169">_xlfn.LET(_xlpm.x, K169:K171, IF(SUM((_xlpm.x="C1")*1)=1, 3, 1))</f>
        <v>1</v>
      </c>
      <c r="X169" s="25" cm="1">
        <f t="array" ref="X169">_xlfn.LET(_xlpm.x, L169:L171, IF(SUM((_xlpm.x="C1")*1)=1, 3, 1))</f>
        <v>1</v>
      </c>
      <c r="Y169" s="25" cm="1">
        <f t="array" ref="Y169">_xlfn.LET(_xlpm.x, M169:M171, IF(SUM((_xlpm.x="C1")*1)=1, 3, 1))</f>
        <v>1</v>
      </c>
      <c r="Z169" s="25" cm="1">
        <f t="array" ref="Z169">_xlfn.LET(_xlpm.x, N169:N171, IF(SUM((_xlpm.x="C1")*1)=1, 3, 1))</f>
        <v>1</v>
      </c>
      <c r="AA169" s="25" cm="1">
        <f t="array" ref="AA169">_xlfn.LET(_xlpm.x, O169:O171, IF(SUM((_xlpm.x="C1")*1)=1, 3, 1))</f>
        <v>1</v>
      </c>
      <c r="AH169" s="5"/>
      <c r="AI169" s="5"/>
      <c r="AO169" s="5"/>
    </row>
    <row r="170" spans="10:41" x14ac:dyDescent="0.3">
      <c r="J170" s="9">
        <v>166</v>
      </c>
      <c r="K170" s="16" t="s">
        <v>37</v>
      </c>
      <c r="L170" s="16" t="s">
        <v>21</v>
      </c>
      <c r="M170" s="16" t="s">
        <v>125</v>
      </c>
      <c r="N170" s="16" t="s">
        <v>19</v>
      </c>
      <c r="O170" s="16" t="s">
        <v>22</v>
      </c>
      <c r="Q170" s="9">
        <v>7</v>
      </c>
      <c r="R170" s="9">
        <v>2</v>
      </c>
      <c r="S170" s="9">
        <v>6</v>
      </c>
      <c r="T170" s="9">
        <v>5</v>
      </c>
      <c r="U170" s="9">
        <v>3</v>
      </c>
      <c r="W170" s="25" cm="1">
        <f t="array" ref="W170">_xlfn.LET(_xlpm.x, K170:K172, IF(SUM((_xlpm.x="C1")*1)=1, 3, 1))</f>
        <v>1</v>
      </c>
      <c r="X170" s="25" cm="1">
        <f t="array" ref="X170">_xlfn.LET(_xlpm.x, L170:L172, IF(SUM((_xlpm.x="C1")*1)=1, 3, 1))</f>
        <v>1</v>
      </c>
      <c r="Y170" s="25" cm="1">
        <f t="array" ref="Y170">_xlfn.LET(_xlpm.x, M170:M172, IF(SUM((_xlpm.x="C1")*1)=1, 3, 1))</f>
        <v>1</v>
      </c>
      <c r="Z170" s="25" cm="1">
        <f t="array" ref="Z170">_xlfn.LET(_xlpm.x, N170:N172, IF(SUM((_xlpm.x="C1")*1)=1, 3, 1))</f>
        <v>1</v>
      </c>
      <c r="AA170" s="25" cm="1">
        <f t="array" ref="AA170">_xlfn.LET(_xlpm.x, O170:O172, IF(SUM((_xlpm.x="C1")*1)=1, 3, 1))</f>
        <v>1</v>
      </c>
      <c r="AH170" s="5"/>
      <c r="AI170" s="5"/>
      <c r="AO170" s="5"/>
    </row>
    <row r="171" spans="10:41" x14ac:dyDescent="0.3">
      <c r="J171" s="25">
        <v>167</v>
      </c>
      <c r="K171" s="16" t="s">
        <v>35</v>
      </c>
      <c r="L171" s="16" t="s">
        <v>35</v>
      </c>
      <c r="M171" s="16" t="s">
        <v>19</v>
      </c>
      <c r="N171" s="16" t="s">
        <v>21</v>
      </c>
      <c r="O171" s="16" t="s">
        <v>35</v>
      </c>
      <c r="Q171" s="9">
        <v>8</v>
      </c>
      <c r="R171" s="9">
        <v>8</v>
      </c>
      <c r="S171" s="9">
        <v>5</v>
      </c>
      <c r="T171" s="9">
        <v>2</v>
      </c>
      <c r="U171" s="9">
        <v>8</v>
      </c>
      <c r="W171" s="25" cm="1">
        <f t="array" ref="W171">_xlfn.LET(_xlpm.x, K171:K173, IF(SUM((_xlpm.x="C1")*1)=1, 3, 1))</f>
        <v>1</v>
      </c>
      <c r="X171" s="25" cm="1">
        <f t="array" ref="X171">_xlfn.LET(_xlpm.x, L171:L173, IF(SUM((_xlpm.x="C1")*1)=1, 3, 1))</f>
        <v>1</v>
      </c>
      <c r="Y171" s="25" cm="1">
        <f t="array" ref="Y171">_xlfn.LET(_xlpm.x, M171:M173, IF(SUM((_xlpm.x="C1")*1)=1, 3, 1))</f>
        <v>1</v>
      </c>
      <c r="Z171" s="25" cm="1">
        <f t="array" ref="Z171">_xlfn.LET(_xlpm.x, N171:N173, IF(SUM((_xlpm.x="C1")*1)=1, 3, 1))</f>
        <v>1</v>
      </c>
      <c r="AA171" s="25" cm="1">
        <f t="array" ref="AA171">_xlfn.LET(_xlpm.x, O171:O173, IF(SUM((_xlpm.x="C1")*1)=1, 3, 1))</f>
        <v>1</v>
      </c>
      <c r="AH171" s="5"/>
      <c r="AI171" s="5"/>
      <c r="AO171" s="5"/>
    </row>
    <row r="172" spans="10:41" x14ac:dyDescent="0.3">
      <c r="J172" s="9">
        <v>168</v>
      </c>
      <c r="K172" s="16" t="s">
        <v>37</v>
      </c>
      <c r="L172" s="16" t="s">
        <v>89</v>
      </c>
      <c r="M172" s="16" t="s">
        <v>125</v>
      </c>
      <c r="N172" s="16" t="s">
        <v>125</v>
      </c>
      <c r="O172" s="16" t="s">
        <v>21</v>
      </c>
      <c r="Q172" s="9">
        <v>7</v>
      </c>
      <c r="R172" s="9">
        <v>12</v>
      </c>
      <c r="S172" s="9">
        <v>6</v>
      </c>
      <c r="T172" s="9">
        <v>6</v>
      </c>
      <c r="U172" s="9">
        <v>2</v>
      </c>
      <c r="W172" s="25" cm="1">
        <f t="array" ref="W172">_xlfn.LET(_xlpm.x, K172:K174, IF(SUM((_xlpm.x="C1")*1)=1, 3, 1))</f>
        <v>1</v>
      </c>
      <c r="X172" s="25" cm="1">
        <f t="array" ref="X172">_xlfn.LET(_xlpm.x, L172:L174, IF(SUM((_xlpm.x="C1")*1)=1, 3, 1))</f>
        <v>1</v>
      </c>
      <c r="Y172" s="25" cm="1">
        <f t="array" ref="Y172">_xlfn.LET(_xlpm.x, M172:M174, IF(SUM((_xlpm.x="C1")*1)=1, 3, 1))</f>
        <v>3</v>
      </c>
      <c r="Z172" s="25" cm="1">
        <f t="array" ref="Z172">_xlfn.LET(_xlpm.x, N172:N174, IF(SUM((_xlpm.x="C1")*1)=1, 3, 1))</f>
        <v>1</v>
      </c>
      <c r="AA172" s="25" cm="1">
        <f t="array" ref="AA172">_xlfn.LET(_xlpm.x, O172:O174, IF(SUM((_xlpm.x="C1")*1)=1, 3, 1))</f>
        <v>1</v>
      </c>
      <c r="AH172" s="5"/>
      <c r="AI172" s="5"/>
      <c r="AO172" s="5"/>
    </row>
    <row r="173" spans="10:41" x14ac:dyDescent="0.3">
      <c r="J173" s="25">
        <v>169</v>
      </c>
      <c r="K173" s="16" t="s">
        <v>19</v>
      </c>
      <c r="L173" s="16" t="s">
        <v>34</v>
      </c>
      <c r="M173" s="16" t="s">
        <v>19</v>
      </c>
      <c r="N173" s="16" t="s">
        <v>22</v>
      </c>
      <c r="O173" s="16" t="s">
        <v>18</v>
      </c>
      <c r="Q173" s="9">
        <v>5</v>
      </c>
      <c r="R173" s="9">
        <v>9</v>
      </c>
      <c r="S173" s="9">
        <v>5</v>
      </c>
      <c r="T173" s="9">
        <v>3</v>
      </c>
      <c r="U173" s="9">
        <v>4</v>
      </c>
      <c r="W173" s="25" cm="1">
        <f t="array" ref="W173">_xlfn.LET(_xlpm.x, K173:K175, IF(SUM((_xlpm.x="C1")*1)=1, 3, 1))</f>
        <v>1</v>
      </c>
      <c r="X173" s="25" cm="1">
        <f t="array" ref="X173">_xlfn.LET(_xlpm.x, L173:L175, IF(SUM((_xlpm.x="C1")*1)=1, 3, 1))</f>
        <v>1</v>
      </c>
      <c r="Y173" s="25" cm="1">
        <f t="array" ref="Y173">_xlfn.LET(_xlpm.x, M173:M175, IF(SUM((_xlpm.x="C1")*1)=1, 3, 1))</f>
        <v>3</v>
      </c>
      <c r="Z173" s="25" cm="1">
        <f t="array" ref="Z173">_xlfn.LET(_xlpm.x, N173:N175, IF(SUM((_xlpm.x="C1")*1)=1, 3, 1))</f>
        <v>1</v>
      </c>
      <c r="AA173" s="25" cm="1">
        <f t="array" ref="AA173">_xlfn.LET(_xlpm.x, O173:O175, IF(SUM((_xlpm.x="C1")*1)=1, 3, 1))</f>
        <v>1</v>
      </c>
      <c r="AH173" s="5"/>
      <c r="AI173" s="5"/>
      <c r="AO173" s="5"/>
    </row>
    <row r="174" spans="10:41" x14ac:dyDescent="0.3">
      <c r="J174" s="9">
        <v>170</v>
      </c>
      <c r="K174" s="16" t="s">
        <v>125</v>
      </c>
      <c r="L174" s="16" t="s">
        <v>37</v>
      </c>
      <c r="M174" s="16" t="s">
        <v>20</v>
      </c>
      <c r="N174" s="16" t="s">
        <v>125</v>
      </c>
      <c r="O174" s="16" t="s">
        <v>37</v>
      </c>
      <c r="Q174" s="9">
        <v>6</v>
      </c>
      <c r="R174" s="9">
        <v>7</v>
      </c>
      <c r="S174" s="9">
        <v>1</v>
      </c>
      <c r="T174" s="9">
        <v>6</v>
      </c>
      <c r="U174" s="9">
        <v>7</v>
      </c>
      <c r="W174" s="25" cm="1">
        <f t="array" ref="W174">_xlfn.LET(_xlpm.x, K174:K176, IF(SUM((_xlpm.x="C1")*1)=1, 3, 1))</f>
        <v>1</v>
      </c>
      <c r="X174" s="25" cm="1">
        <f t="array" ref="X174">_xlfn.LET(_xlpm.x, L174:L176, IF(SUM((_xlpm.x="C1")*1)=1, 3, 1))</f>
        <v>1</v>
      </c>
      <c r="Y174" s="25" cm="1">
        <f t="array" ref="Y174">_xlfn.LET(_xlpm.x, M174:M176, IF(SUM((_xlpm.x="C1")*1)=1, 3, 1))</f>
        <v>3</v>
      </c>
      <c r="Z174" s="25" cm="1">
        <f t="array" ref="Z174">_xlfn.LET(_xlpm.x, N174:N176, IF(SUM((_xlpm.x="C1")*1)=1, 3, 1))</f>
        <v>1</v>
      </c>
      <c r="AA174" s="25" cm="1">
        <f t="array" ref="AA174">_xlfn.LET(_xlpm.x, O174:O176, IF(SUM((_xlpm.x="C1")*1)=1, 3, 1))</f>
        <v>3</v>
      </c>
      <c r="AH174" s="5"/>
      <c r="AI174" s="5"/>
      <c r="AO174" s="5"/>
    </row>
    <row r="175" spans="10:41" x14ac:dyDescent="0.3">
      <c r="J175" s="25">
        <v>171</v>
      </c>
      <c r="K175" s="16" t="s">
        <v>37</v>
      </c>
      <c r="L175" s="16" t="s">
        <v>37</v>
      </c>
      <c r="M175" s="16" t="s">
        <v>35</v>
      </c>
      <c r="N175" s="16" t="s">
        <v>37</v>
      </c>
      <c r="O175" s="16" t="s">
        <v>35</v>
      </c>
      <c r="Q175" s="9">
        <v>7</v>
      </c>
      <c r="R175" s="9">
        <v>7</v>
      </c>
      <c r="S175" s="9">
        <v>8</v>
      </c>
      <c r="T175" s="9">
        <v>7</v>
      </c>
      <c r="U175" s="9">
        <v>8</v>
      </c>
      <c r="W175" s="25" cm="1">
        <f t="array" ref="W175">_xlfn.LET(_xlpm.x, K175:K177, IF(SUM((_xlpm.x="C1")*1)=1, 3, 1))</f>
        <v>1</v>
      </c>
      <c r="X175" s="25" cm="1">
        <f t="array" ref="X175">_xlfn.LET(_xlpm.x, L175:L177, IF(SUM((_xlpm.x="C1")*1)=1, 3, 1))</f>
        <v>1</v>
      </c>
      <c r="Y175" s="25" cm="1">
        <f t="array" ref="Y175">_xlfn.LET(_xlpm.x, M175:M177, IF(SUM((_xlpm.x="C1")*1)=1, 3, 1))</f>
        <v>1</v>
      </c>
      <c r="Z175" s="25" cm="1">
        <f t="array" ref="Z175">_xlfn.LET(_xlpm.x, N175:N177, IF(SUM((_xlpm.x="C1")*1)=1, 3, 1))</f>
        <v>1</v>
      </c>
      <c r="AA175" s="25" cm="1">
        <f t="array" ref="AA175">_xlfn.LET(_xlpm.x, O175:O177, IF(SUM((_xlpm.x="C1")*1)=1, 3, 1))</f>
        <v>3</v>
      </c>
      <c r="AH175" s="5"/>
      <c r="AI175" s="5"/>
      <c r="AO175" s="5"/>
    </row>
    <row r="176" spans="10:41" x14ac:dyDescent="0.3">
      <c r="J176" s="9">
        <v>172</v>
      </c>
      <c r="K176" s="16" t="s">
        <v>125</v>
      </c>
      <c r="L176" s="16" t="s">
        <v>18</v>
      </c>
      <c r="M176" s="16" t="s">
        <v>35</v>
      </c>
      <c r="N176" s="16" t="s">
        <v>91</v>
      </c>
      <c r="O176" s="16" t="s">
        <v>20</v>
      </c>
      <c r="Q176" s="9">
        <v>6</v>
      </c>
      <c r="R176" s="9">
        <v>4</v>
      </c>
      <c r="S176" s="9">
        <v>8</v>
      </c>
      <c r="T176" s="9">
        <v>14</v>
      </c>
      <c r="U176" s="9">
        <v>1</v>
      </c>
      <c r="W176" s="25" cm="1">
        <f t="array" ref="W176">_xlfn.LET(_xlpm.x, K176:K178, IF(SUM((_xlpm.x="C1")*1)=1, 3, 1))</f>
        <v>1</v>
      </c>
      <c r="X176" s="25" cm="1">
        <f t="array" ref="X176">_xlfn.LET(_xlpm.x, L176:L178, IF(SUM((_xlpm.x="C1")*1)=1, 3, 1))</f>
        <v>1</v>
      </c>
      <c r="Y176" s="25" cm="1">
        <f t="array" ref="Y176">_xlfn.LET(_xlpm.x, M176:M178, IF(SUM((_xlpm.x="C1")*1)=1, 3, 1))</f>
        <v>1</v>
      </c>
      <c r="Z176" s="25" cm="1">
        <f t="array" ref="Z176">_xlfn.LET(_xlpm.x, N176:N178, IF(SUM((_xlpm.x="C1")*1)=1, 3, 1))</f>
        <v>1</v>
      </c>
      <c r="AA176" s="25" cm="1">
        <f t="array" ref="AA176">_xlfn.LET(_xlpm.x, O176:O178, IF(SUM((_xlpm.x="C1")*1)=1, 3, 1))</f>
        <v>3</v>
      </c>
      <c r="AH176" s="5"/>
      <c r="AI176" s="5"/>
      <c r="AO176" s="5"/>
    </row>
    <row r="177" spans="10:41" x14ac:dyDescent="0.3">
      <c r="J177" s="25">
        <v>173</v>
      </c>
      <c r="K177" s="16" t="s">
        <v>125</v>
      </c>
      <c r="L177" s="16" t="s">
        <v>90</v>
      </c>
      <c r="M177" s="16" t="s">
        <v>19</v>
      </c>
      <c r="N177" s="16" t="s">
        <v>95</v>
      </c>
      <c r="O177" s="16" t="s">
        <v>35</v>
      </c>
      <c r="Q177" s="9">
        <v>6</v>
      </c>
      <c r="R177" s="9">
        <v>13</v>
      </c>
      <c r="S177" s="9">
        <v>5</v>
      </c>
      <c r="T177" s="9">
        <v>18</v>
      </c>
      <c r="U177" s="9">
        <v>8</v>
      </c>
      <c r="W177" s="25" cm="1">
        <f t="array" ref="W177">_xlfn.LET(_xlpm.x, K177:K179, IF(SUM((_xlpm.x="C1")*1)=1, 3, 1))</f>
        <v>3</v>
      </c>
      <c r="X177" s="25" cm="1">
        <f t="array" ref="X177">_xlfn.LET(_xlpm.x, L177:L179, IF(SUM((_xlpm.x="C1")*1)=1, 3, 1))</f>
        <v>1</v>
      </c>
      <c r="Y177" s="25" cm="1">
        <f t="array" ref="Y177">_xlfn.LET(_xlpm.x, M177:M179, IF(SUM((_xlpm.x="C1")*1)=1, 3, 1))</f>
        <v>1</v>
      </c>
      <c r="Z177" s="25" cm="1">
        <f t="array" ref="Z177">_xlfn.LET(_xlpm.x, N177:N179, IF(SUM((_xlpm.x="C1")*1)=1, 3, 1))</f>
        <v>1</v>
      </c>
      <c r="AA177" s="25" cm="1">
        <f t="array" ref="AA177">_xlfn.LET(_xlpm.x, O177:O179, IF(SUM((_xlpm.x="C1")*1)=1, 3, 1))</f>
        <v>1</v>
      </c>
      <c r="AH177" s="5"/>
      <c r="AI177" s="5"/>
      <c r="AO177" s="5"/>
    </row>
    <row r="178" spans="10:41" x14ac:dyDescent="0.3">
      <c r="J178" s="9">
        <v>174</v>
      </c>
      <c r="K178" s="16" t="s">
        <v>125</v>
      </c>
      <c r="L178" s="16" t="s">
        <v>21</v>
      </c>
      <c r="M178" s="16" t="s">
        <v>35</v>
      </c>
      <c r="N178" s="16" t="s">
        <v>97</v>
      </c>
      <c r="O178" s="16" t="s">
        <v>35</v>
      </c>
      <c r="Q178" s="9">
        <v>6</v>
      </c>
      <c r="R178" s="9">
        <v>2</v>
      </c>
      <c r="S178" s="9">
        <v>8</v>
      </c>
      <c r="T178" s="9">
        <v>19</v>
      </c>
      <c r="U178" s="9">
        <v>8</v>
      </c>
      <c r="W178" s="25" cm="1">
        <f t="array" ref="W178">_xlfn.LET(_xlpm.x, K178:K180, IF(SUM((_xlpm.x="C1")*1)=1, 3, 1))</f>
        <v>3</v>
      </c>
      <c r="X178" s="25" cm="1">
        <f t="array" ref="X178">_xlfn.LET(_xlpm.x, L178:L180, IF(SUM((_xlpm.x="C1")*1)=1, 3, 1))</f>
        <v>1</v>
      </c>
      <c r="Y178" s="25" cm="1">
        <f t="array" ref="Y178">_xlfn.LET(_xlpm.x, M178:M180, IF(SUM((_xlpm.x="C1")*1)=1, 3, 1))</f>
        <v>1</v>
      </c>
      <c r="Z178" s="25" cm="1">
        <f t="array" ref="Z178">_xlfn.LET(_xlpm.x, N178:N180, IF(SUM((_xlpm.x="C1")*1)=1, 3, 1))</f>
        <v>1</v>
      </c>
      <c r="AA178" s="25" cm="1">
        <f t="array" ref="AA178">_xlfn.LET(_xlpm.x, O178:O180, IF(SUM((_xlpm.x="C1")*1)=1, 3, 1))</f>
        <v>1</v>
      </c>
      <c r="AH178" s="5"/>
      <c r="AI178" s="5"/>
      <c r="AO178" s="5"/>
    </row>
    <row r="179" spans="10:41" x14ac:dyDescent="0.3">
      <c r="J179" s="25">
        <v>175</v>
      </c>
      <c r="K179" s="16" t="s">
        <v>20</v>
      </c>
      <c r="L179" s="16" t="s">
        <v>21</v>
      </c>
      <c r="M179" s="16" t="s">
        <v>19</v>
      </c>
      <c r="N179" s="16" t="s">
        <v>34</v>
      </c>
      <c r="O179" s="16" t="s">
        <v>37</v>
      </c>
      <c r="Q179" s="9">
        <v>1</v>
      </c>
      <c r="R179" s="9">
        <v>2</v>
      </c>
      <c r="S179" s="9">
        <v>5</v>
      </c>
      <c r="T179" s="9">
        <v>9</v>
      </c>
      <c r="U179" s="9">
        <v>7</v>
      </c>
      <c r="W179" s="25" cm="1">
        <f t="array" ref="W179">_xlfn.LET(_xlpm.x, K179:K181, IF(SUM((_xlpm.x="C1")*1)=1, 3, 1))</f>
        <v>3</v>
      </c>
      <c r="X179" s="25" cm="1">
        <f t="array" ref="X179">_xlfn.LET(_xlpm.x, L179:L181, IF(SUM((_xlpm.x="C1")*1)=1, 3, 1))</f>
        <v>1</v>
      </c>
      <c r="Y179" s="25" cm="1">
        <f t="array" ref="Y179">_xlfn.LET(_xlpm.x, M179:M181, IF(SUM((_xlpm.x="C1")*1)=1, 3, 1))</f>
        <v>1</v>
      </c>
      <c r="Z179" s="25" cm="1">
        <f t="array" ref="Z179">_xlfn.LET(_xlpm.x, N179:N181, IF(SUM((_xlpm.x="C1")*1)=1, 3, 1))</f>
        <v>1</v>
      </c>
      <c r="AA179" s="25" cm="1">
        <f t="array" ref="AA179">_xlfn.LET(_xlpm.x, O179:O181, IF(SUM((_xlpm.x="C1")*1)=1, 3, 1))</f>
        <v>1</v>
      </c>
      <c r="AH179" s="5"/>
      <c r="AI179" s="5"/>
      <c r="AO179" s="5"/>
    </row>
    <row r="180" spans="10:41" x14ac:dyDescent="0.3">
      <c r="J180" s="9">
        <v>176</v>
      </c>
      <c r="K180" s="16" t="s">
        <v>37</v>
      </c>
      <c r="L180" s="16" t="s">
        <v>21</v>
      </c>
      <c r="M180" s="16" t="s">
        <v>19</v>
      </c>
      <c r="N180" s="16" t="s">
        <v>19</v>
      </c>
      <c r="O180" s="16" t="s">
        <v>36</v>
      </c>
      <c r="Q180" s="9">
        <v>7</v>
      </c>
      <c r="R180" s="9">
        <v>2</v>
      </c>
      <c r="S180" s="9">
        <v>5</v>
      </c>
      <c r="T180" s="9">
        <v>5</v>
      </c>
      <c r="U180" s="9">
        <v>10</v>
      </c>
      <c r="W180" s="25" cm="1">
        <f t="array" ref="W180">_xlfn.LET(_xlpm.x, K180:K182, IF(SUM((_xlpm.x="C1")*1)=1, 3, 1))</f>
        <v>1</v>
      </c>
      <c r="X180" s="25" cm="1">
        <f t="array" ref="X180">_xlfn.LET(_xlpm.x, L180:L182, IF(SUM((_xlpm.x="C1")*1)=1, 3, 1))</f>
        <v>1</v>
      </c>
      <c r="Y180" s="25" cm="1">
        <f t="array" ref="Y180">_xlfn.LET(_xlpm.x, M180:M182, IF(SUM((_xlpm.x="C1")*1)=1, 3, 1))</f>
        <v>1</v>
      </c>
      <c r="Z180" s="25" cm="1">
        <f t="array" ref="Z180">_xlfn.LET(_xlpm.x, N180:N182, IF(SUM((_xlpm.x="C1")*1)=1, 3, 1))</f>
        <v>3</v>
      </c>
      <c r="AA180" s="25" cm="1">
        <f t="array" ref="AA180">_xlfn.LET(_xlpm.x, O180:O182, IF(SUM((_xlpm.x="C1")*1)=1, 3, 1))</f>
        <v>1</v>
      </c>
      <c r="AH180" s="5"/>
      <c r="AI180" s="5"/>
      <c r="AO180" s="5"/>
    </row>
    <row r="181" spans="10:41" x14ac:dyDescent="0.3">
      <c r="J181" s="25">
        <v>177</v>
      </c>
      <c r="K181" s="16" t="s">
        <v>22</v>
      </c>
      <c r="L181" s="16" t="s">
        <v>88</v>
      </c>
      <c r="M181" s="16" t="s">
        <v>37</v>
      </c>
      <c r="N181" s="16" t="s">
        <v>21</v>
      </c>
      <c r="O181" s="16" t="s">
        <v>36</v>
      </c>
      <c r="Q181" s="9">
        <v>3</v>
      </c>
      <c r="R181" s="9">
        <v>11</v>
      </c>
      <c r="S181" s="9">
        <v>7</v>
      </c>
      <c r="T181" s="9">
        <v>2</v>
      </c>
      <c r="U181" s="9">
        <v>10</v>
      </c>
      <c r="W181" s="25" cm="1">
        <f t="array" ref="W181">_xlfn.LET(_xlpm.x, K181:K183, IF(SUM((_xlpm.x="C1")*1)=1, 3, 1))</f>
        <v>1</v>
      </c>
      <c r="X181" s="25" cm="1">
        <f t="array" ref="X181">_xlfn.LET(_xlpm.x, L181:L183, IF(SUM((_xlpm.x="C1")*1)=1, 3, 1))</f>
        <v>1</v>
      </c>
      <c r="Y181" s="25" cm="1">
        <f t="array" ref="Y181">_xlfn.LET(_xlpm.x, M181:M183, IF(SUM((_xlpm.x="C1")*1)=1, 3, 1))</f>
        <v>1</v>
      </c>
      <c r="Z181" s="25" cm="1">
        <f t="array" ref="Z181">_xlfn.LET(_xlpm.x, N181:N183, IF(SUM((_xlpm.x="C1")*1)=1, 3, 1))</f>
        <v>3</v>
      </c>
      <c r="AA181" s="25" cm="1">
        <f t="array" ref="AA181">_xlfn.LET(_xlpm.x, O181:O183, IF(SUM((_xlpm.x="C1")*1)=1, 3, 1))</f>
        <v>1</v>
      </c>
      <c r="AH181" s="5"/>
      <c r="AI181" s="5"/>
      <c r="AO181" s="5"/>
    </row>
    <row r="182" spans="10:41" x14ac:dyDescent="0.3">
      <c r="J182" s="9">
        <v>178</v>
      </c>
      <c r="K182" s="16" t="s">
        <v>19</v>
      </c>
      <c r="L182" s="16" t="s">
        <v>36</v>
      </c>
      <c r="M182" s="16" t="s">
        <v>35</v>
      </c>
      <c r="N182" s="16" t="s">
        <v>20</v>
      </c>
      <c r="O182" s="16" t="s">
        <v>35</v>
      </c>
      <c r="Q182" s="9">
        <v>5</v>
      </c>
      <c r="R182" s="9">
        <v>10</v>
      </c>
      <c r="S182" s="9">
        <v>8</v>
      </c>
      <c r="T182" s="9">
        <v>1</v>
      </c>
      <c r="U182" s="9">
        <v>8</v>
      </c>
      <c r="W182" s="25" cm="1">
        <f t="array" ref="W182">_xlfn.LET(_xlpm.x, K182:K184, IF(SUM((_xlpm.x="C1")*1)=1, 3, 1))</f>
        <v>1</v>
      </c>
      <c r="X182" s="25" cm="1">
        <f t="array" ref="X182">_xlfn.LET(_xlpm.x, L182:L184, IF(SUM((_xlpm.x="C1")*1)=1, 3, 1))</f>
        <v>1</v>
      </c>
      <c r="Y182" s="25" cm="1">
        <f t="array" ref="Y182">_xlfn.LET(_xlpm.x, M182:M184, IF(SUM((_xlpm.x="C1")*1)=1, 3, 1))</f>
        <v>1</v>
      </c>
      <c r="Z182" s="25" cm="1">
        <f t="array" ref="Z182">_xlfn.LET(_xlpm.x, N182:N184, IF(SUM((_xlpm.x="C1")*1)=1, 3, 1))</f>
        <v>3</v>
      </c>
      <c r="AA182" s="25" cm="1">
        <f t="array" ref="AA182">_xlfn.LET(_xlpm.x, O182:O184, IF(SUM((_xlpm.x="C1")*1)=1, 3, 1))</f>
        <v>1</v>
      </c>
      <c r="AH182" s="5"/>
      <c r="AI182" s="5"/>
      <c r="AO182" s="5"/>
    </row>
    <row r="183" spans="10:41" x14ac:dyDescent="0.3">
      <c r="J183" s="25">
        <v>179</v>
      </c>
      <c r="K183" s="16" t="s">
        <v>19</v>
      </c>
      <c r="L183" s="16" t="s">
        <v>34</v>
      </c>
      <c r="M183" s="16" t="s">
        <v>125</v>
      </c>
      <c r="N183" s="16" t="s">
        <v>35</v>
      </c>
      <c r="O183" s="16" t="s">
        <v>125</v>
      </c>
      <c r="Q183" s="9">
        <v>5</v>
      </c>
      <c r="R183" s="9">
        <v>9</v>
      </c>
      <c r="S183" s="9">
        <v>6</v>
      </c>
      <c r="T183" s="9">
        <v>8</v>
      </c>
      <c r="U183" s="9">
        <v>6</v>
      </c>
      <c r="W183" s="25" cm="1">
        <f t="array" ref="W183">_xlfn.LET(_xlpm.x, K183:K185, IF(SUM((_xlpm.x="C1")*1)=1, 3, 1))</f>
        <v>1</v>
      </c>
      <c r="X183" s="25" cm="1">
        <f t="array" ref="X183">_xlfn.LET(_xlpm.x, L183:L185, IF(SUM((_xlpm.x="C1")*1)=1, 3, 1))</f>
        <v>1</v>
      </c>
      <c r="Y183" s="25" cm="1">
        <f t="array" ref="Y183">_xlfn.LET(_xlpm.x, M183:M185, IF(SUM((_xlpm.x="C1")*1)=1, 3, 1))</f>
        <v>1</v>
      </c>
      <c r="Z183" s="25" cm="1">
        <f t="array" ref="Z183">_xlfn.LET(_xlpm.x, N183:N185, IF(SUM((_xlpm.x="C1")*1)=1, 3, 1))</f>
        <v>1</v>
      </c>
      <c r="AA183" s="25" cm="1">
        <f t="array" ref="AA183">_xlfn.LET(_xlpm.x, O183:O185, IF(SUM((_xlpm.x="C1")*1)=1, 3, 1))</f>
        <v>1</v>
      </c>
      <c r="AH183" s="5"/>
      <c r="AI183" s="5"/>
      <c r="AO183" s="5"/>
    </row>
    <row r="184" spans="10:41" x14ac:dyDescent="0.3">
      <c r="J184" s="9">
        <v>180</v>
      </c>
      <c r="K184" s="16" t="s">
        <v>19</v>
      </c>
      <c r="L184" s="16" t="s">
        <v>126</v>
      </c>
      <c r="M184" s="16" t="s">
        <v>125</v>
      </c>
      <c r="N184" s="16" t="s">
        <v>22</v>
      </c>
      <c r="O184" s="16" t="s">
        <v>18</v>
      </c>
      <c r="Q184" s="9">
        <v>5</v>
      </c>
      <c r="R184" s="9">
        <v>15</v>
      </c>
      <c r="S184" s="9">
        <v>6</v>
      </c>
      <c r="T184" s="9">
        <v>3</v>
      </c>
      <c r="U184" s="9">
        <v>4</v>
      </c>
      <c r="W184" s="25" cm="1">
        <f t="array" ref="W184">_xlfn.LET(_xlpm.x, K184:K186, IF(SUM((_xlpm.x="C1")*1)=1, 3, 1))</f>
        <v>1</v>
      </c>
      <c r="X184" s="25" cm="1">
        <f t="array" ref="X184">_xlfn.LET(_xlpm.x, L184:L186, IF(SUM((_xlpm.x="C1")*1)=1, 3, 1))</f>
        <v>1</v>
      </c>
      <c r="Y184" s="25" cm="1">
        <f t="array" ref="Y184">_xlfn.LET(_xlpm.x, M184:M186, IF(SUM((_xlpm.x="C1")*1)=1, 3, 1))</f>
        <v>1</v>
      </c>
      <c r="Z184" s="25" cm="1">
        <f t="array" ref="Z184">_xlfn.LET(_xlpm.x, N184:N186, IF(SUM((_xlpm.x="C1")*1)=1, 3, 1))</f>
        <v>1</v>
      </c>
      <c r="AA184" s="25" cm="1">
        <f t="array" ref="AA184">_xlfn.LET(_xlpm.x, O184:O186, IF(SUM((_xlpm.x="C1")*1)=1, 3, 1))</f>
        <v>1</v>
      </c>
      <c r="AH184" s="5"/>
      <c r="AI184" s="5"/>
      <c r="AO184" s="5"/>
    </row>
    <row r="185" spans="10:41" x14ac:dyDescent="0.3">
      <c r="J185" s="25">
        <v>181</v>
      </c>
      <c r="K185" s="16" t="s">
        <v>35</v>
      </c>
      <c r="L185" s="16" t="s">
        <v>112</v>
      </c>
      <c r="M185" s="16" t="s">
        <v>19</v>
      </c>
      <c r="N185" s="16" t="s">
        <v>22</v>
      </c>
      <c r="O185" s="16" t="s">
        <v>35</v>
      </c>
      <c r="Q185" s="9">
        <v>8</v>
      </c>
      <c r="R185" s="9">
        <v>17</v>
      </c>
      <c r="S185" s="9">
        <v>5</v>
      </c>
      <c r="T185" s="9">
        <v>3</v>
      </c>
      <c r="U185" s="9">
        <v>8</v>
      </c>
      <c r="W185" s="25" cm="1">
        <f t="array" ref="W185">_xlfn.LET(_xlpm.x, K185:K187, IF(SUM((_xlpm.x="C1")*1)=1, 3, 1))</f>
        <v>1</v>
      </c>
      <c r="X185" s="25" cm="1">
        <f t="array" ref="X185">_xlfn.LET(_xlpm.x, L185:L187, IF(SUM((_xlpm.x="C1")*1)=1, 3, 1))</f>
        <v>1</v>
      </c>
      <c r="Y185" s="25" cm="1">
        <f t="array" ref="Y185">_xlfn.LET(_xlpm.x, M185:M187, IF(SUM((_xlpm.x="C1")*1)=1, 3, 1))</f>
        <v>1</v>
      </c>
      <c r="Z185" s="25" cm="1">
        <f t="array" ref="Z185">_xlfn.LET(_xlpm.x, N185:N187, IF(SUM((_xlpm.x="C1")*1)=1, 3, 1))</f>
        <v>1</v>
      </c>
      <c r="AA185" s="25" cm="1">
        <f t="array" ref="AA185">_xlfn.LET(_xlpm.x, O185:O187, IF(SUM((_xlpm.x="C1")*1)=1, 3, 1))</f>
        <v>1</v>
      </c>
      <c r="AH185" s="5"/>
      <c r="AI185" s="5"/>
      <c r="AO185" s="5"/>
    </row>
    <row r="186" spans="10:41" x14ac:dyDescent="0.3">
      <c r="J186" s="9">
        <v>182</v>
      </c>
      <c r="K186" s="16" t="s">
        <v>19</v>
      </c>
      <c r="L186" s="16" t="s">
        <v>37</v>
      </c>
      <c r="M186" s="16" t="s">
        <v>37</v>
      </c>
      <c r="N186" s="16" t="s">
        <v>125</v>
      </c>
      <c r="O186" s="16" t="s">
        <v>35</v>
      </c>
      <c r="Q186" s="9">
        <v>5</v>
      </c>
      <c r="R186" s="9">
        <v>7</v>
      </c>
      <c r="S186" s="9">
        <v>7</v>
      </c>
      <c r="T186" s="9">
        <v>6</v>
      </c>
      <c r="U186" s="9">
        <v>8</v>
      </c>
      <c r="W186" s="25" cm="1">
        <f t="array" ref="W186">_xlfn.LET(_xlpm.x, K186:K188, IF(SUM((_xlpm.x="C1")*1)=1, 3, 1))</f>
        <v>1</v>
      </c>
      <c r="X186" s="25" cm="1">
        <f t="array" ref="X186">_xlfn.LET(_xlpm.x, L186:L188, IF(SUM((_xlpm.x="C1")*1)=1, 3, 1))</f>
        <v>1</v>
      </c>
      <c r="Y186" s="25" cm="1">
        <f t="array" ref="Y186">_xlfn.LET(_xlpm.x, M186:M188, IF(SUM((_xlpm.x="C1")*1)=1, 3, 1))</f>
        <v>1</v>
      </c>
      <c r="Z186" s="25" cm="1">
        <f t="array" ref="Z186">_xlfn.LET(_xlpm.x, N186:N188, IF(SUM((_xlpm.x="C1")*1)=1, 3, 1))</f>
        <v>1</v>
      </c>
      <c r="AA186" s="25" cm="1">
        <f t="array" ref="AA186">_xlfn.LET(_xlpm.x, O186:O188, IF(SUM((_xlpm.x="C1")*1)=1, 3, 1))</f>
        <v>1</v>
      </c>
      <c r="AH186" s="5"/>
      <c r="AI186" s="5"/>
      <c r="AO186" s="5"/>
    </row>
    <row r="187" spans="10:41" x14ac:dyDescent="0.3">
      <c r="J187" s="25">
        <v>183</v>
      </c>
      <c r="K187" s="16" t="s">
        <v>35</v>
      </c>
      <c r="L187" s="16" t="s">
        <v>34</v>
      </c>
      <c r="M187" s="16" t="s">
        <v>19</v>
      </c>
      <c r="N187" s="16" t="s">
        <v>126</v>
      </c>
      <c r="O187" s="16" t="s">
        <v>34</v>
      </c>
      <c r="Q187" s="9">
        <v>8</v>
      </c>
      <c r="R187" s="9">
        <v>9</v>
      </c>
      <c r="S187" s="9">
        <v>5</v>
      </c>
      <c r="T187" s="9">
        <v>15</v>
      </c>
      <c r="U187" s="9">
        <v>9</v>
      </c>
      <c r="W187" s="25" cm="1">
        <f t="array" ref="W187">_xlfn.LET(_xlpm.x, K187:K189, IF(SUM((_xlpm.x="C1")*1)=1, 3, 1))</f>
        <v>1</v>
      </c>
      <c r="X187" s="25" cm="1">
        <f t="array" ref="X187">_xlfn.LET(_xlpm.x, L187:L189, IF(SUM((_xlpm.x="C1")*1)=1, 3, 1))</f>
        <v>3</v>
      </c>
      <c r="Y187" s="25" cm="1">
        <f t="array" ref="Y187">_xlfn.LET(_xlpm.x, M187:M189, IF(SUM((_xlpm.x="C1")*1)=1, 3, 1))</f>
        <v>1</v>
      </c>
      <c r="Z187" s="25" cm="1">
        <f t="array" ref="Z187">_xlfn.LET(_xlpm.x, N187:N189, IF(SUM((_xlpm.x="C1")*1)=1, 3, 1))</f>
        <v>1</v>
      </c>
      <c r="AA187" s="25" cm="1">
        <f t="array" ref="AA187">_xlfn.LET(_xlpm.x, O187:O189, IF(SUM((_xlpm.x="C1")*1)=1, 3, 1))</f>
        <v>1</v>
      </c>
      <c r="AH187" s="5"/>
      <c r="AI187" s="5"/>
      <c r="AO187" s="5"/>
    </row>
    <row r="188" spans="10:41" x14ac:dyDescent="0.3">
      <c r="J188" s="9">
        <v>184</v>
      </c>
      <c r="K188" s="16" t="s">
        <v>18</v>
      </c>
      <c r="L188" s="16" t="s">
        <v>90</v>
      </c>
      <c r="M188" s="16" t="s">
        <v>35</v>
      </c>
      <c r="N188" s="16" t="s">
        <v>34</v>
      </c>
      <c r="O188" s="16" t="s">
        <v>36</v>
      </c>
      <c r="Q188" s="9">
        <v>4</v>
      </c>
      <c r="R188" s="9">
        <v>13</v>
      </c>
      <c r="S188" s="9">
        <v>8</v>
      </c>
      <c r="T188" s="9">
        <v>9</v>
      </c>
      <c r="U188" s="9">
        <v>10</v>
      </c>
      <c r="W188" s="25" cm="1">
        <f t="array" ref="W188">_xlfn.LET(_xlpm.x, K188:K190, IF(SUM((_xlpm.x="C1")*1)=1, 3, 1))</f>
        <v>1</v>
      </c>
      <c r="X188" s="25" cm="1">
        <f t="array" ref="X188">_xlfn.LET(_xlpm.x, L188:L190, IF(SUM((_xlpm.x="C1")*1)=1, 3, 1))</f>
        <v>3</v>
      </c>
      <c r="Y188" s="25" cm="1">
        <f t="array" ref="Y188">_xlfn.LET(_xlpm.x, M188:M190, IF(SUM((_xlpm.x="C1")*1)=1, 3, 1))</f>
        <v>1</v>
      </c>
      <c r="Z188" s="25" cm="1">
        <f t="array" ref="Z188">_xlfn.LET(_xlpm.x, N188:N190, IF(SUM((_xlpm.x="C1")*1)=1, 3, 1))</f>
        <v>3</v>
      </c>
      <c r="AA188" s="25" cm="1">
        <f t="array" ref="AA188">_xlfn.LET(_xlpm.x, O188:O190, IF(SUM((_xlpm.x="C1")*1)=1, 3, 1))</f>
        <v>1</v>
      </c>
      <c r="AH188" s="5"/>
      <c r="AI188" s="5"/>
      <c r="AO188" s="5"/>
    </row>
    <row r="189" spans="10:41" x14ac:dyDescent="0.3">
      <c r="J189" s="25">
        <v>185</v>
      </c>
      <c r="K189" s="16" t="s">
        <v>35</v>
      </c>
      <c r="L189" s="16" t="s">
        <v>20</v>
      </c>
      <c r="M189" s="16" t="s">
        <v>19</v>
      </c>
      <c r="N189" s="16" t="s">
        <v>18</v>
      </c>
      <c r="O189" s="16" t="s">
        <v>35</v>
      </c>
      <c r="Q189" s="9">
        <v>8</v>
      </c>
      <c r="R189" s="9">
        <v>1</v>
      </c>
      <c r="S189" s="9">
        <v>5</v>
      </c>
      <c r="T189" s="9">
        <v>4</v>
      </c>
      <c r="U189" s="9">
        <v>8</v>
      </c>
      <c r="W189" s="25" cm="1">
        <f t="array" ref="W189">_xlfn.LET(_xlpm.x, K189:K191, IF(SUM((_xlpm.x="C1")*1)=1, 3, 1))</f>
        <v>1</v>
      </c>
      <c r="X189" s="25" cm="1">
        <f t="array" ref="X189">_xlfn.LET(_xlpm.x, L189:L191, IF(SUM((_xlpm.x="C1")*1)=1, 3, 1))</f>
        <v>3</v>
      </c>
      <c r="Y189" s="25" cm="1">
        <f t="array" ref="Y189">_xlfn.LET(_xlpm.x, M189:M191, IF(SUM((_xlpm.x="C1")*1)=1, 3, 1))</f>
        <v>1</v>
      </c>
      <c r="Z189" s="25" cm="1">
        <f t="array" ref="Z189">_xlfn.LET(_xlpm.x, N189:N191, IF(SUM((_xlpm.x="C1")*1)=1, 3, 1))</f>
        <v>3</v>
      </c>
      <c r="AA189" s="25" cm="1">
        <f t="array" ref="AA189">_xlfn.LET(_xlpm.x, O189:O191, IF(SUM((_xlpm.x="C1")*1)=1, 3, 1))</f>
        <v>1</v>
      </c>
      <c r="AH189" s="5"/>
      <c r="AI189" s="5"/>
      <c r="AO189" s="5"/>
    </row>
    <row r="190" spans="10:41" x14ac:dyDescent="0.3">
      <c r="J190" s="9">
        <v>186</v>
      </c>
      <c r="K190" s="16" t="s">
        <v>19</v>
      </c>
      <c r="L190" s="16" t="s">
        <v>95</v>
      </c>
      <c r="M190" s="16" t="s">
        <v>19</v>
      </c>
      <c r="N190" s="16" t="s">
        <v>20</v>
      </c>
      <c r="O190" s="16" t="s">
        <v>35</v>
      </c>
      <c r="Q190" s="9">
        <v>5</v>
      </c>
      <c r="R190" s="9">
        <v>18</v>
      </c>
      <c r="S190" s="9">
        <v>5</v>
      </c>
      <c r="T190" s="9">
        <v>1</v>
      </c>
      <c r="U190" s="9">
        <v>8</v>
      </c>
      <c r="W190" s="25" cm="1">
        <f t="array" ref="W190">_xlfn.LET(_xlpm.x, K190:K192, IF(SUM((_xlpm.x="C1")*1)=1, 3, 1))</f>
        <v>1</v>
      </c>
      <c r="X190" s="25" cm="1">
        <f t="array" ref="X190">_xlfn.LET(_xlpm.x, L190:L192, IF(SUM((_xlpm.x="C1")*1)=1, 3, 1))</f>
        <v>1</v>
      </c>
      <c r="Y190" s="25" cm="1">
        <f t="array" ref="Y190">_xlfn.LET(_xlpm.x, M190:M192, IF(SUM((_xlpm.x="C1")*1)=1, 3, 1))</f>
        <v>1</v>
      </c>
      <c r="Z190" s="25" cm="1">
        <f t="array" ref="Z190">_xlfn.LET(_xlpm.x, N190:N192, IF(SUM((_xlpm.x="C1")*1)=1, 3, 1))</f>
        <v>3</v>
      </c>
      <c r="AA190" s="25" cm="1">
        <f t="array" ref="AA190">_xlfn.LET(_xlpm.x, O190:O192, IF(SUM((_xlpm.x="C1")*1)=1, 3, 1))</f>
        <v>1</v>
      </c>
      <c r="AH190" s="5"/>
      <c r="AI190" s="5"/>
      <c r="AO190" s="5"/>
    </row>
    <row r="191" spans="10:41" x14ac:dyDescent="0.3">
      <c r="J191" s="25">
        <v>187</v>
      </c>
      <c r="K191" s="16" t="s">
        <v>35</v>
      </c>
      <c r="L191" s="16" t="s">
        <v>21</v>
      </c>
      <c r="M191" s="16" t="s">
        <v>35</v>
      </c>
      <c r="N191" s="16" t="s">
        <v>125</v>
      </c>
      <c r="O191" s="16" t="s">
        <v>37</v>
      </c>
      <c r="Q191" s="9">
        <v>8</v>
      </c>
      <c r="R191" s="9">
        <v>2</v>
      </c>
      <c r="S191" s="9">
        <v>8</v>
      </c>
      <c r="T191" s="9">
        <v>6</v>
      </c>
      <c r="U191" s="9">
        <v>7</v>
      </c>
      <c r="W191" s="25" cm="1">
        <f t="array" ref="W191">_xlfn.LET(_xlpm.x, K191:K193, IF(SUM((_xlpm.x="C1")*1)=1, 3, 1))</f>
        <v>1</v>
      </c>
      <c r="X191" s="25" cm="1">
        <f t="array" ref="X191">_xlfn.LET(_xlpm.x, L191:L193, IF(SUM((_xlpm.x="C1")*1)=1, 3, 1))</f>
        <v>1</v>
      </c>
      <c r="Y191" s="25" cm="1">
        <f t="array" ref="Y191">_xlfn.LET(_xlpm.x, M191:M193, IF(SUM((_xlpm.x="C1")*1)=1, 3, 1))</f>
        <v>1</v>
      </c>
      <c r="Z191" s="25" cm="1">
        <f t="array" ref="Z191">_xlfn.LET(_xlpm.x, N191:N193, IF(SUM((_xlpm.x="C1")*1)=1, 3, 1))</f>
        <v>1</v>
      </c>
      <c r="AA191" s="25" cm="1">
        <f t="array" ref="AA191">_xlfn.LET(_xlpm.x, O191:O193, IF(SUM((_xlpm.x="C1")*1)=1, 3, 1))</f>
        <v>1</v>
      </c>
      <c r="AH191" s="5"/>
      <c r="AI191" s="5"/>
      <c r="AO191" s="5"/>
    </row>
    <row r="192" spans="10:41" x14ac:dyDescent="0.3">
      <c r="J192" s="9">
        <v>188</v>
      </c>
      <c r="K192" s="16" t="s">
        <v>125</v>
      </c>
      <c r="L192" s="16" t="s">
        <v>37</v>
      </c>
      <c r="M192" s="16" t="s">
        <v>35</v>
      </c>
      <c r="N192" s="16" t="s">
        <v>22</v>
      </c>
      <c r="O192" s="16" t="s">
        <v>37</v>
      </c>
      <c r="Q192" s="9">
        <v>6</v>
      </c>
      <c r="R192" s="9">
        <v>7</v>
      </c>
      <c r="S192" s="9">
        <v>8</v>
      </c>
      <c r="T192" s="9">
        <v>3</v>
      </c>
      <c r="U192" s="9">
        <v>7</v>
      </c>
      <c r="W192" s="25" cm="1">
        <f t="array" ref="W192">_xlfn.LET(_xlpm.x, K192:K194, IF(SUM((_xlpm.x="C1")*1)=1, 3, 1))</f>
        <v>1</v>
      </c>
      <c r="X192" s="25" cm="1">
        <f t="array" ref="X192">_xlfn.LET(_xlpm.x, L192:L194, IF(SUM((_xlpm.x="C1")*1)=1, 3, 1))</f>
        <v>1</v>
      </c>
      <c r="Y192" s="25" cm="1">
        <f t="array" ref="Y192">_xlfn.LET(_xlpm.x, M192:M194, IF(SUM((_xlpm.x="C1")*1)=1, 3, 1))</f>
        <v>1</v>
      </c>
      <c r="Z192" s="25" cm="1">
        <f t="array" ref="Z192">_xlfn.LET(_xlpm.x, N192:N194, IF(SUM((_xlpm.x="C1")*1)=1, 3, 1))</f>
        <v>1</v>
      </c>
      <c r="AA192" s="25" cm="1">
        <f t="array" ref="AA192">_xlfn.LET(_xlpm.x, O192:O194, IF(SUM((_xlpm.x="C1")*1)=1, 3, 1))</f>
        <v>1</v>
      </c>
      <c r="AH192" s="5"/>
      <c r="AI192" s="5"/>
      <c r="AO192" s="5"/>
    </row>
    <row r="193" spans="10:41" x14ac:dyDescent="0.3">
      <c r="J193" s="25">
        <v>189</v>
      </c>
      <c r="K193" s="16" t="s">
        <v>19</v>
      </c>
      <c r="L193" s="16" t="s">
        <v>34</v>
      </c>
      <c r="M193" s="16" t="s">
        <v>37</v>
      </c>
      <c r="N193" s="16" t="s">
        <v>19</v>
      </c>
      <c r="O193" s="16" t="s">
        <v>34</v>
      </c>
      <c r="Q193" s="9">
        <v>5</v>
      </c>
      <c r="R193" s="9">
        <v>9</v>
      </c>
      <c r="S193" s="9">
        <v>7</v>
      </c>
      <c r="T193" s="9">
        <v>5</v>
      </c>
      <c r="U193" s="9">
        <v>9</v>
      </c>
      <c r="W193" s="25" cm="1">
        <f t="array" ref="W193">_xlfn.LET(_xlpm.x, K193:K195, IF(SUM((_xlpm.x="C1")*1)=1, 3, 1))</f>
        <v>1</v>
      </c>
      <c r="X193" s="25" cm="1">
        <f t="array" ref="X193">_xlfn.LET(_xlpm.x, L193:L195, IF(SUM((_xlpm.x="C1")*1)=1, 3, 1))</f>
        <v>1</v>
      </c>
      <c r="Y193" s="25" cm="1">
        <f t="array" ref="Y193">_xlfn.LET(_xlpm.x, M193:M195, IF(SUM((_xlpm.x="C1")*1)=1, 3, 1))</f>
        <v>1</v>
      </c>
      <c r="Z193" s="25" cm="1">
        <f t="array" ref="Z193">_xlfn.LET(_xlpm.x, N193:N195, IF(SUM((_xlpm.x="C1")*1)=1, 3, 1))</f>
        <v>1</v>
      </c>
      <c r="AA193" s="25" cm="1">
        <f t="array" ref="AA193">_xlfn.LET(_xlpm.x, O193:O195, IF(SUM((_xlpm.x="C1")*1)=1, 3, 1))</f>
        <v>1</v>
      </c>
      <c r="AH193" s="5"/>
      <c r="AI193" s="5"/>
      <c r="AO193" s="5"/>
    </row>
    <row r="194" spans="10:41" x14ac:dyDescent="0.3">
      <c r="J194" s="9">
        <v>190</v>
      </c>
      <c r="K194" s="16" t="s">
        <v>35</v>
      </c>
      <c r="L194" s="16" t="s">
        <v>90</v>
      </c>
      <c r="M194" s="16" t="s">
        <v>125</v>
      </c>
      <c r="N194" s="16" t="s">
        <v>19</v>
      </c>
      <c r="O194" s="16" t="s">
        <v>18</v>
      </c>
      <c r="Q194" s="9">
        <v>8</v>
      </c>
      <c r="R194" s="9">
        <v>13</v>
      </c>
      <c r="S194" s="9">
        <v>6</v>
      </c>
      <c r="T194" s="9">
        <v>5</v>
      </c>
      <c r="U194" s="9">
        <v>4</v>
      </c>
      <c r="W194" s="25" cm="1">
        <f t="array" ref="W194">_xlfn.LET(_xlpm.x, K194:K196, IF(SUM((_xlpm.x="C1")*1)=1, 3, 1))</f>
        <v>1</v>
      </c>
      <c r="X194" s="25" cm="1">
        <f t="array" ref="X194">_xlfn.LET(_xlpm.x, L194:L196, IF(SUM((_xlpm.x="C1")*1)=1, 3, 1))</f>
        <v>1</v>
      </c>
      <c r="Y194" s="25" cm="1">
        <f t="array" ref="Y194">_xlfn.LET(_xlpm.x, M194:M196, IF(SUM((_xlpm.x="C1")*1)=1, 3, 1))</f>
        <v>1</v>
      </c>
      <c r="Z194" s="25" cm="1">
        <f t="array" ref="Z194">_xlfn.LET(_xlpm.x, N194:N196, IF(SUM((_xlpm.x="C1")*1)=1, 3, 1))</f>
        <v>1</v>
      </c>
      <c r="AA194" s="25" cm="1">
        <f t="array" ref="AA194">_xlfn.LET(_xlpm.x, O194:O196, IF(SUM((_xlpm.x="C1")*1)=1, 3, 1))</f>
        <v>1</v>
      </c>
      <c r="AH194" s="5"/>
      <c r="AI194" s="5"/>
      <c r="AO194" s="5"/>
    </row>
    <row r="195" spans="10:41" x14ac:dyDescent="0.3">
      <c r="J195" s="25">
        <v>191</v>
      </c>
      <c r="K195" s="16" t="s">
        <v>34</v>
      </c>
      <c r="L195" s="16" t="s">
        <v>125</v>
      </c>
      <c r="M195" s="16" t="s">
        <v>34</v>
      </c>
      <c r="N195" s="16" t="s">
        <v>97</v>
      </c>
      <c r="O195" s="16" t="s">
        <v>35</v>
      </c>
      <c r="Q195" s="9">
        <v>9</v>
      </c>
      <c r="R195" s="9">
        <v>6</v>
      </c>
      <c r="S195" s="9">
        <v>9</v>
      </c>
      <c r="T195" s="9">
        <v>19</v>
      </c>
      <c r="U195" s="9">
        <v>8</v>
      </c>
      <c r="W195" s="25" cm="1">
        <f t="array" ref="W195">_xlfn.LET(_xlpm.x, K195:K197, IF(SUM((_xlpm.x="C1")*1)=1, 3, 1))</f>
        <v>1</v>
      </c>
      <c r="X195" s="25" cm="1">
        <f t="array" ref="X195">_xlfn.LET(_xlpm.x, L195:L197, IF(SUM((_xlpm.x="C1")*1)=1, 3, 1))</f>
        <v>1</v>
      </c>
      <c r="Y195" s="25" cm="1">
        <f t="array" ref="Y195">_xlfn.LET(_xlpm.x, M195:M197, IF(SUM((_xlpm.x="C1")*1)=1, 3, 1))</f>
        <v>1</v>
      </c>
      <c r="Z195" s="25" cm="1">
        <f t="array" ref="Z195">_xlfn.LET(_xlpm.x, N195:N197, IF(SUM((_xlpm.x="C1")*1)=1, 3, 1))</f>
        <v>1</v>
      </c>
      <c r="AA195" s="25" cm="1">
        <f t="array" ref="AA195">_xlfn.LET(_xlpm.x, O195:O197, IF(SUM((_xlpm.x="C1")*1)=1, 3, 1))</f>
        <v>1</v>
      </c>
      <c r="AH195" s="5"/>
      <c r="AI195" s="5"/>
      <c r="AO195" s="5"/>
    </row>
    <row r="196" spans="10:41" x14ac:dyDescent="0.3">
      <c r="J196" s="9">
        <v>192</v>
      </c>
      <c r="K196" s="16" t="s">
        <v>19</v>
      </c>
      <c r="L196" s="16" t="s">
        <v>21</v>
      </c>
      <c r="M196" s="16" t="s">
        <v>19</v>
      </c>
      <c r="N196" s="16" t="s">
        <v>35</v>
      </c>
      <c r="O196" s="16" t="s">
        <v>125</v>
      </c>
      <c r="Q196" s="9">
        <v>5</v>
      </c>
      <c r="R196" s="9">
        <v>2</v>
      </c>
      <c r="S196" s="9">
        <v>5</v>
      </c>
      <c r="T196" s="9">
        <v>8</v>
      </c>
      <c r="U196" s="9">
        <v>6</v>
      </c>
      <c r="W196" s="25" cm="1">
        <f t="array" ref="W196">_xlfn.LET(_xlpm.x, K196:K198, IF(SUM((_xlpm.x="C1")*1)=1, 3, 1))</f>
        <v>1</v>
      </c>
      <c r="X196" s="25" cm="1">
        <f t="array" ref="X196">_xlfn.LET(_xlpm.x, L196:L198, IF(SUM((_xlpm.x="C1")*1)=1, 3, 1))</f>
        <v>1</v>
      </c>
      <c r="Y196" s="25" cm="1">
        <f t="array" ref="Y196">_xlfn.LET(_xlpm.x, M196:M198, IF(SUM((_xlpm.x="C1")*1)=1, 3, 1))</f>
        <v>1</v>
      </c>
      <c r="Z196" s="25" cm="1">
        <f t="array" ref="Z196">_xlfn.LET(_xlpm.x, N196:N198, IF(SUM((_xlpm.x="C1")*1)=1, 3, 1))</f>
        <v>1</v>
      </c>
      <c r="AA196" s="25" cm="1">
        <f t="array" ref="AA196">_xlfn.LET(_xlpm.x, O196:O198, IF(SUM((_xlpm.x="C1")*1)=1, 3, 1))</f>
        <v>1</v>
      </c>
      <c r="AH196" s="5"/>
      <c r="AI196" s="5"/>
      <c r="AO196" s="5"/>
    </row>
    <row r="197" spans="10:41" x14ac:dyDescent="0.3">
      <c r="J197" s="25">
        <v>193</v>
      </c>
      <c r="K197" s="16" t="s">
        <v>35</v>
      </c>
      <c r="L197" s="16" t="s">
        <v>92</v>
      </c>
      <c r="M197" s="16" t="s">
        <v>37</v>
      </c>
      <c r="N197" s="16" t="s">
        <v>22</v>
      </c>
      <c r="O197" s="16" t="s">
        <v>35</v>
      </c>
      <c r="Q197" s="9">
        <v>8</v>
      </c>
      <c r="R197" s="9">
        <v>16</v>
      </c>
      <c r="S197" s="9">
        <v>7</v>
      </c>
      <c r="T197" s="9">
        <v>3</v>
      </c>
      <c r="U197" s="9">
        <v>8</v>
      </c>
      <c r="W197" s="25" cm="1">
        <f t="array" ref="W197">_xlfn.LET(_xlpm.x, K197:K199, IF(SUM((_xlpm.x="C1")*1)=1, 3, 1))</f>
        <v>1</v>
      </c>
      <c r="X197" s="25" cm="1">
        <f t="array" ref="X197">_xlfn.LET(_xlpm.x, L197:L199, IF(SUM((_xlpm.x="C1")*1)=1, 3, 1))</f>
        <v>1</v>
      </c>
      <c r="Y197" s="25" cm="1">
        <f t="array" ref="Y197">_xlfn.LET(_xlpm.x, M197:M199, IF(SUM((_xlpm.x="C1")*1)=1, 3, 1))</f>
        <v>1</v>
      </c>
      <c r="Z197" s="25" cm="1">
        <f t="array" ref="Z197">_xlfn.LET(_xlpm.x, N197:N199, IF(SUM((_xlpm.x="C1")*1)=1, 3, 1))</f>
        <v>1</v>
      </c>
      <c r="AA197" s="25" cm="1">
        <f t="array" ref="AA197">_xlfn.LET(_xlpm.x, O197:O199, IF(SUM((_xlpm.x="C1")*1)=1, 3, 1))</f>
        <v>1</v>
      </c>
      <c r="AH197" s="5"/>
      <c r="AI197" s="5"/>
      <c r="AO197" s="5"/>
    </row>
    <row r="198" spans="10:41" x14ac:dyDescent="0.3">
      <c r="J198" s="9">
        <v>194</v>
      </c>
      <c r="K198" s="16" t="s">
        <v>37</v>
      </c>
      <c r="L198" s="16" t="s">
        <v>18</v>
      </c>
      <c r="M198" s="16" t="s">
        <v>37</v>
      </c>
      <c r="N198" s="16" t="s">
        <v>36</v>
      </c>
      <c r="O198" s="16" t="s">
        <v>22</v>
      </c>
      <c r="Q198" s="9">
        <v>7</v>
      </c>
      <c r="R198" s="9">
        <v>4</v>
      </c>
      <c r="S198" s="9">
        <v>7</v>
      </c>
      <c r="T198" s="9">
        <v>10</v>
      </c>
      <c r="U198" s="9">
        <v>3</v>
      </c>
      <c r="W198" s="25" cm="1">
        <f t="array" ref="W198">_xlfn.LET(_xlpm.x, K198:K200, IF(SUM((_xlpm.x="C1")*1)=1, 3, 1))</f>
        <v>1</v>
      </c>
      <c r="X198" s="25" cm="1">
        <f t="array" ref="X198">_xlfn.LET(_xlpm.x, L198:L200, IF(SUM((_xlpm.x="C1")*1)=1, 3, 1))</f>
        <v>1</v>
      </c>
      <c r="Y198" s="25" cm="1">
        <f t="array" ref="Y198">_xlfn.LET(_xlpm.x, M198:M200, IF(SUM((_xlpm.x="C1")*1)=1, 3, 1))</f>
        <v>1</v>
      </c>
      <c r="Z198" s="25" cm="1">
        <f t="array" ref="Z198">_xlfn.LET(_xlpm.x, N198:N200, IF(SUM((_xlpm.x="C1")*1)=1, 3, 1))</f>
        <v>1</v>
      </c>
      <c r="AA198" s="25" cm="1">
        <f t="array" ref="AA198">_xlfn.LET(_xlpm.x, O198:O200, IF(SUM((_xlpm.x="C1")*1)=1, 3, 1))</f>
        <v>1</v>
      </c>
      <c r="AH198" s="5"/>
      <c r="AI198" s="5"/>
      <c r="AO198" s="5"/>
    </row>
    <row r="199" spans="10:41" x14ac:dyDescent="0.3">
      <c r="J199" s="25">
        <v>195</v>
      </c>
      <c r="K199" s="16" t="s">
        <v>19</v>
      </c>
      <c r="L199" s="16" t="s">
        <v>34</v>
      </c>
      <c r="M199" s="16" t="s">
        <v>19</v>
      </c>
      <c r="N199" s="16" t="s">
        <v>19</v>
      </c>
      <c r="O199" s="16" t="s">
        <v>37</v>
      </c>
      <c r="Q199" s="9">
        <v>5</v>
      </c>
      <c r="R199" s="9">
        <v>9</v>
      </c>
      <c r="S199" s="9">
        <v>5</v>
      </c>
      <c r="T199" s="9">
        <v>5</v>
      </c>
      <c r="U199" s="9">
        <v>7</v>
      </c>
      <c r="W199" s="25" cm="1">
        <f t="array" ref="W199">_xlfn.LET(_xlpm.x, K199:K201, IF(SUM((_xlpm.x="C1")*1)=1, 3, 1))</f>
        <v>1</v>
      </c>
      <c r="X199" s="25" cm="1">
        <f t="array" ref="X199">_xlfn.LET(_xlpm.x, L199:L201, IF(SUM((_xlpm.x="C1")*1)=1, 3, 1))</f>
        <v>1</v>
      </c>
      <c r="Y199" s="25" cm="1">
        <f t="array" ref="Y199">_xlfn.LET(_xlpm.x, M199:M201, IF(SUM((_xlpm.x="C1")*1)=1, 3, 1))</f>
        <v>1</v>
      </c>
      <c r="Z199" s="25" cm="1">
        <f t="array" ref="Z199">_xlfn.LET(_xlpm.x, N199:N201, IF(SUM((_xlpm.x="C1")*1)=1, 3, 1))</f>
        <v>1</v>
      </c>
      <c r="AA199" s="25" cm="1">
        <f t="array" ref="AA199">_xlfn.LET(_xlpm.x, O199:O201, IF(SUM((_xlpm.x="C1")*1)=1, 3, 1))</f>
        <v>1</v>
      </c>
      <c r="AH199" s="5"/>
      <c r="AI199" s="5"/>
      <c r="AO199" s="5"/>
    </row>
    <row r="200" spans="10:41" x14ac:dyDescent="0.3">
      <c r="J200" s="9">
        <v>196</v>
      </c>
      <c r="K200" s="16" t="s">
        <v>125</v>
      </c>
      <c r="L200" s="16" t="s">
        <v>95</v>
      </c>
      <c r="M200" s="16" t="s">
        <v>35</v>
      </c>
      <c r="N200" s="16" t="s">
        <v>34</v>
      </c>
      <c r="O200" s="16" t="s">
        <v>37</v>
      </c>
      <c r="Q200" s="9">
        <v>6</v>
      </c>
      <c r="R200" s="9">
        <v>18</v>
      </c>
      <c r="S200" s="9">
        <v>8</v>
      </c>
      <c r="T200" s="9">
        <v>9</v>
      </c>
      <c r="U200" s="9">
        <v>7</v>
      </c>
      <c r="W200" s="25" cm="1">
        <f t="array" ref="W200">_xlfn.LET(_xlpm.x, K200:K202, IF(SUM((_xlpm.x="C1")*1)=1, 3, 1))</f>
        <v>1</v>
      </c>
      <c r="X200" s="25" cm="1">
        <f t="array" ref="X200">_xlfn.LET(_xlpm.x, L200:L202, IF(SUM((_xlpm.x="C1")*1)=1, 3, 1))</f>
        <v>1</v>
      </c>
      <c r="Y200" s="25" cm="1">
        <f t="array" ref="Y200">_xlfn.LET(_xlpm.x, M200:M202, IF(SUM((_xlpm.x="C1")*1)=1, 3, 1))</f>
        <v>1</v>
      </c>
      <c r="Z200" s="25" cm="1">
        <f t="array" ref="Z200">_xlfn.LET(_xlpm.x, N200:N202, IF(SUM((_xlpm.x="C1")*1)=1, 3, 1))</f>
        <v>1</v>
      </c>
      <c r="AA200" s="25" cm="1">
        <f t="array" ref="AA200">_xlfn.LET(_xlpm.x, O200:O202, IF(SUM((_xlpm.x="C1")*1)=1, 3, 1))</f>
        <v>1</v>
      </c>
      <c r="AH200" s="5"/>
      <c r="AI200" s="5"/>
      <c r="AO200" s="5"/>
    </row>
    <row r="201" spans="10:41" x14ac:dyDescent="0.3">
      <c r="J201" s="25">
        <v>197</v>
      </c>
      <c r="K201" s="16" t="s">
        <v>19</v>
      </c>
      <c r="L201" s="16" t="s">
        <v>34</v>
      </c>
      <c r="M201" s="16" t="s">
        <v>125</v>
      </c>
      <c r="N201" s="16" t="s">
        <v>34</v>
      </c>
      <c r="O201" s="16" t="s">
        <v>125</v>
      </c>
      <c r="Q201" s="9">
        <v>5</v>
      </c>
      <c r="R201" s="9">
        <v>9</v>
      </c>
      <c r="S201" s="9">
        <v>6</v>
      </c>
      <c r="T201" s="9">
        <v>9</v>
      </c>
      <c r="U201" s="9">
        <v>6</v>
      </c>
      <c r="W201" s="25" cm="1">
        <f t="array" ref="W201">_xlfn.LET(_xlpm.x, K201:K203, IF(SUM((_xlpm.x="C1")*1)=1, 3, 1))</f>
        <v>1</v>
      </c>
      <c r="X201" s="25" cm="1">
        <f t="array" ref="X201">_xlfn.LET(_xlpm.x, L201:L203, IF(SUM((_xlpm.x="C1")*1)=1, 3, 1))</f>
        <v>1</v>
      </c>
      <c r="Y201" s="25" cm="1">
        <f t="array" ref="Y201">_xlfn.LET(_xlpm.x, M201:M203, IF(SUM((_xlpm.x="C1")*1)=1, 3, 1))</f>
        <v>1</v>
      </c>
      <c r="Z201" s="25" cm="1">
        <f t="array" ref="Z201">_xlfn.LET(_xlpm.x, N201:N203, IF(SUM((_xlpm.x="C1")*1)=1, 3, 1))</f>
        <v>1</v>
      </c>
      <c r="AA201" s="25" cm="1">
        <f t="array" ref="AA201">_xlfn.LET(_xlpm.x, O201:O203, IF(SUM((_xlpm.x="C1")*1)=1, 3, 1))</f>
        <v>1</v>
      </c>
      <c r="AH201" s="5"/>
      <c r="AI201" s="5"/>
      <c r="AO201" s="5"/>
    </row>
    <row r="202" spans="10:41" x14ac:dyDescent="0.3">
      <c r="J202" s="9">
        <v>198</v>
      </c>
      <c r="K202" s="16" t="s">
        <v>125</v>
      </c>
      <c r="L202" s="16" t="s">
        <v>19</v>
      </c>
      <c r="M202" s="16" t="s">
        <v>35</v>
      </c>
      <c r="N202" s="16" t="s">
        <v>126</v>
      </c>
      <c r="O202" s="16" t="s">
        <v>125</v>
      </c>
      <c r="Q202" s="9">
        <v>6</v>
      </c>
      <c r="R202" s="9">
        <v>5</v>
      </c>
      <c r="S202" s="9">
        <v>8</v>
      </c>
      <c r="T202" s="9">
        <v>15</v>
      </c>
      <c r="U202" s="9">
        <v>6</v>
      </c>
      <c r="W202" s="25" cm="1">
        <f t="array" ref="W202">_xlfn.LET(_xlpm.x, K202:K204, IF(SUM((_xlpm.x="C1")*1)=1, 3, 1))</f>
        <v>1</v>
      </c>
      <c r="X202" s="25" cm="1">
        <f t="array" ref="X202">_xlfn.LET(_xlpm.x, L202:L204, IF(SUM((_xlpm.x="C1")*1)=1, 3, 1))</f>
        <v>1</v>
      </c>
      <c r="Y202" s="25" cm="1">
        <f t="array" ref="Y202">_xlfn.LET(_xlpm.x, M202:M204, IF(SUM((_xlpm.x="C1")*1)=1, 3, 1))</f>
        <v>1</v>
      </c>
      <c r="Z202" s="25" cm="1">
        <f t="array" ref="Z202">_xlfn.LET(_xlpm.x, N202:N204, IF(SUM((_xlpm.x="C1")*1)=1, 3, 1))</f>
        <v>1</v>
      </c>
      <c r="AA202" s="25" cm="1">
        <f t="array" ref="AA202">_xlfn.LET(_xlpm.x, O202:O204, IF(SUM((_xlpm.x="C1")*1)=1, 3, 1))</f>
        <v>1</v>
      </c>
      <c r="AH202" s="5"/>
      <c r="AI202" s="5"/>
      <c r="AO202" s="5"/>
    </row>
    <row r="203" spans="10:41" x14ac:dyDescent="0.3">
      <c r="J203" s="25">
        <v>199</v>
      </c>
      <c r="K203" s="16" t="s">
        <v>37</v>
      </c>
      <c r="L203" s="16" t="s">
        <v>89</v>
      </c>
      <c r="M203" s="16" t="s">
        <v>35</v>
      </c>
      <c r="N203" s="16" t="s">
        <v>89</v>
      </c>
      <c r="O203" s="16" t="s">
        <v>18</v>
      </c>
      <c r="Q203" s="9">
        <v>7</v>
      </c>
      <c r="R203" s="9">
        <v>12</v>
      </c>
      <c r="S203" s="9">
        <v>8</v>
      </c>
      <c r="T203" s="9">
        <v>12</v>
      </c>
      <c r="U203" s="9">
        <v>4</v>
      </c>
      <c r="W203" s="25" cm="1">
        <f t="array" ref="W203">_xlfn.LET(_xlpm.x, K203:K205, IF(SUM((_xlpm.x="C1")*1)=1, 3, 1))</f>
        <v>1</v>
      </c>
      <c r="X203" s="25" cm="1">
        <f t="array" ref="X203">_xlfn.LET(_xlpm.x, L203:L205, IF(SUM((_xlpm.x="C1")*1)=1, 3, 1))</f>
        <v>1</v>
      </c>
      <c r="Y203" s="25" cm="1">
        <f t="array" ref="Y203">_xlfn.LET(_xlpm.x, M203:M205, IF(SUM((_xlpm.x="C1")*1)=1, 3, 1))</f>
        <v>1</v>
      </c>
      <c r="Z203" s="25" cm="1">
        <f t="array" ref="Z203">_xlfn.LET(_xlpm.x, N203:N205, IF(SUM((_xlpm.x="C1")*1)=1, 3, 1))</f>
        <v>1</v>
      </c>
      <c r="AA203" s="25" cm="1">
        <f t="array" ref="AA203">_xlfn.LET(_xlpm.x, O203:O205, IF(SUM((_xlpm.x="C1")*1)=1, 3, 1))</f>
        <v>1</v>
      </c>
      <c r="AH203" s="5"/>
      <c r="AI203" s="5"/>
      <c r="AO203" s="5"/>
    </row>
    <row r="204" spans="10:41" x14ac:dyDescent="0.3">
      <c r="J204" s="9"/>
      <c r="K204" s="16"/>
      <c r="L204" s="16"/>
      <c r="M204" s="16"/>
      <c r="N204" s="16"/>
      <c r="O204" s="16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5"/>
      <c r="X204" s="25"/>
      <c r="Y204" s="25"/>
      <c r="Z204" s="25"/>
      <c r="AA204" s="25"/>
      <c r="AH204" s="5"/>
      <c r="AI204" s="5"/>
      <c r="AO204" s="5"/>
    </row>
    <row r="205" spans="10:41" x14ac:dyDescent="0.3">
      <c r="J205" s="25"/>
      <c r="K205" s="16"/>
      <c r="L205" s="16"/>
      <c r="M205" s="16"/>
      <c r="N205" s="16"/>
      <c r="O205" s="16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5"/>
      <c r="X205" s="25"/>
      <c r="Y205" s="25"/>
      <c r="Z205" s="25"/>
      <c r="AA205" s="25"/>
      <c r="AH205" s="5"/>
      <c r="AI205" s="5"/>
      <c r="AO205" s="5"/>
    </row>
    <row r="206" spans="10:41" x14ac:dyDescent="0.3">
      <c r="J206" s="25"/>
      <c r="K206" s="16"/>
      <c r="L206" s="16"/>
      <c r="M206" s="16"/>
      <c r="N206" s="16"/>
      <c r="O206" s="16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5"/>
      <c r="X206" s="25"/>
      <c r="Y206" s="25"/>
      <c r="Z206" s="25"/>
      <c r="AA206" s="25"/>
      <c r="AH206" s="5"/>
      <c r="AI206" s="5"/>
      <c r="AO206" s="5"/>
    </row>
    <row r="207" spans="10:41" x14ac:dyDescent="0.3">
      <c r="J207" s="9"/>
      <c r="K207" s="16"/>
      <c r="L207" s="16"/>
      <c r="M207" s="16"/>
      <c r="N207" s="16"/>
      <c r="O207" s="16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5"/>
      <c r="X207" s="25"/>
      <c r="Y207" s="25"/>
      <c r="Z207" s="25"/>
      <c r="AA207" s="25"/>
      <c r="AH207" s="5"/>
      <c r="AI207" s="5"/>
      <c r="AO207" s="5"/>
    </row>
    <row r="208" spans="10:41" x14ac:dyDescent="0.3">
      <c r="J208" s="25"/>
      <c r="K208" s="16"/>
      <c r="L208" s="16"/>
      <c r="M208" s="16"/>
      <c r="N208" s="16"/>
      <c r="O208" s="16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5"/>
      <c r="X208" s="25"/>
      <c r="Y208" s="25"/>
      <c r="Z208" s="25"/>
      <c r="AA208" s="25"/>
      <c r="AH208" s="5"/>
      <c r="AI208" s="5"/>
      <c r="AO208" s="5"/>
    </row>
    <row r="209" spans="10:41" x14ac:dyDescent="0.3">
      <c r="J209" s="9"/>
      <c r="K209" s="16"/>
      <c r="L209" s="16"/>
      <c r="M209" s="16"/>
      <c r="N209" s="16"/>
      <c r="O209" s="16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5"/>
      <c r="X209" s="25"/>
      <c r="Y209" s="25"/>
      <c r="Z209" s="25"/>
      <c r="AA209" s="25"/>
      <c r="AH209" s="5"/>
      <c r="AI209" s="5"/>
      <c r="AO209" s="5"/>
    </row>
    <row r="210" spans="10:41" x14ac:dyDescent="0.3">
      <c r="J210" s="25"/>
      <c r="K210" s="16"/>
      <c r="L210" s="16"/>
      <c r="M210" s="16"/>
      <c r="N210" s="16"/>
      <c r="O210" s="16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5"/>
      <c r="X210" s="25"/>
      <c r="Y210" s="25"/>
      <c r="Z210" s="25"/>
      <c r="AA210" s="25"/>
      <c r="AH210" s="5"/>
      <c r="AI210" s="5"/>
      <c r="AO210" s="5"/>
    </row>
    <row r="211" spans="10:41" x14ac:dyDescent="0.3">
      <c r="J211" s="9"/>
      <c r="K211" s="16"/>
      <c r="L211" s="16"/>
      <c r="M211" s="16"/>
      <c r="N211" s="16"/>
      <c r="O211" s="16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5"/>
      <c r="X211" s="25"/>
      <c r="Y211" s="25"/>
      <c r="Z211" s="25"/>
      <c r="AA211" s="25"/>
      <c r="AH211" s="5"/>
      <c r="AI211" s="5"/>
      <c r="AO211" s="5"/>
    </row>
    <row r="212" spans="10:41" x14ac:dyDescent="0.3">
      <c r="J212" s="25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5"/>
      <c r="X212" s="25"/>
      <c r="Y212" s="25"/>
      <c r="Z212" s="25"/>
      <c r="AA212" s="25"/>
      <c r="AH212" s="5"/>
      <c r="AI212" s="5"/>
      <c r="AO212" s="5"/>
    </row>
    <row r="213" spans="10:41" x14ac:dyDescent="0.3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5"/>
      <c r="X213" s="25"/>
      <c r="Y213" s="25"/>
      <c r="Z213" s="25"/>
      <c r="AA213" s="25"/>
      <c r="AH213" s="5"/>
      <c r="AI213" s="5"/>
      <c r="AO213" s="5"/>
    </row>
    <row r="214" spans="10:41" x14ac:dyDescent="0.3">
      <c r="J214" s="25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5"/>
      <c r="X214" s="25"/>
      <c r="Y214" s="25"/>
      <c r="Z214" s="25"/>
      <c r="AA214" s="25"/>
      <c r="AH214" s="5"/>
      <c r="AI214" s="5"/>
      <c r="AO214" s="5"/>
    </row>
    <row r="215" spans="10:41" x14ac:dyDescent="0.3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5"/>
      <c r="X215" s="25"/>
      <c r="Y215" s="25"/>
      <c r="Z215" s="25"/>
      <c r="AA215" s="25"/>
      <c r="AH215" s="5"/>
      <c r="AI215" s="5"/>
      <c r="AO215" s="5"/>
    </row>
    <row r="216" spans="10:41" x14ac:dyDescent="0.3">
      <c r="J216" s="25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5"/>
      <c r="X216" s="25"/>
      <c r="Y216" s="25"/>
      <c r="Z216" s="25"/>
      <c r="AA216" s="25"/>
      <c r="AH216" s="5"/>
      <c r="AI216" s="5"/>
      <c r="AO216" s="5"/>
    </row>
    <row r="217" spans="10:41" x14ac:dyDescent="0.3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5"/>
      <c r="X217" s="25"/>
      <c r="Y217" s="25"/>
      <c r="Z217" s="25"/>
      <c r="AA217" s="25"/>
      <c r="AH217" s="5"/>
      <c r="AI217" s="5"/>
      <c r="AO217" s="5"/>
    </row>
    <row r="218" spans="10:41" x14ac:dyDescent="0.3">
      <c r="J218" s="25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5"/>
      <c r="X218" s="25"/>
      <c r="Y218" s="25"/>
      <c r="Z218" s="25"/>
      <c r="AA218" s="25"/>
      <c r="AH218" s="5"/>
      <c r="AI218" s="5"/>
      <c r="AO218" s="5"/>
    </row>
    <row r="219" spans="10:41" x14ac:dyDescent="0.3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5"/>
      <c r="X219" s="25"/>
      <c r="Y219" s="25"/>
      <c r="Z219" s="25"/>
      <c r="AA219" s="25"/>
      <c r="AH219" s="5"/>
      <c r="AI219" s="5"/>
      <c r="AO219" s="5"/>
    </row>
    <row r="220" spans="10:41" x14ac:dyDescent="0.3">
      <c r="J220" s="25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5"/>
      <c r="X220" s="25"/>
      <c r="Y220" s="25"/>
      <c r="Z220" s="25"/>
      <c r="AA220" s="25"/>
      <c r="AH220" s="5"/>
      <c r="AI220" s="5"/>
      <c r="AO220" s="5"/>
    </row>
    <row r="221" spans="10:41" x14ac:dyDescent="0.3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5"/>
      <c r="X221" s="25"/>
      <c r="Y221" s="25"/>
      <c r="Z221" s="25"/>
      <c r="AA221" s="25"/>
      <c r="AH221" s="5"/>
      <c r="AI221" s="5"/>
      <c r="AO221" s="5"/>
    </row>
    <row r="222" spans="10:41" x14ac:dyDescent="0.3">
      <c r="J222" s="25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5"/>
      <c r="X222" s="25"/>
      <c r="Y222" s="25"/>
      <c r="Z222" s="25"/>
      <c r="AA222" s="25"/>
      <c r="AH222" s="5"/>
      <c r="AI222" s="5"/>
      <c r="AO222" s="5"/>
    </row>
    <row r="223" spans="10:41" x14ac:dyDescent="0.3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5"/>
      <c r="X223" s="25"/>
      <c r="Y223" s="25"/>
      <c r="Z223" s="25"/>
      <c r="AA223" s="25"/>
      <c r="AH223" s="5"/>
      <c r="AI223" s="5"/>
      <c r="AO223" s="5"/>
    </row>
    <row r="224" spans="10:41" x14ac:dyDescent="0.3">
      <c r="J224" s="25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5"/>
      <c r="X224" s="25"/>
      <c r="Y224" s="25"/>
      <c r="Z224" s="25"/>
      <c r="AA224" s="25"/>
      <c r="AH224" s="5"/>
      <c r="AI224" s="5"/>
      <c r="AO224" s="5"/>
    </row>
    <row r="225" spans="10:41" x14ac:dyDescent="0.3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5"/>
      <c r="X225" s="25"/>
      <c r="Y225" s="25"/>
      <c r="Z225" s="25"/>
      <c r="AA225" s="25"/>
      <c r="AH225" s="5"/>
      <c r="AI225" s="5"/>
      <c r="AO225" s="5"/>
    </row>
    <row r="226" spans="10:41" x14ac:dyDescent="0.3">
      <c r="J226" s="25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5"/>
      <c r="X226" s="25"/>
      <c r="Y226" s="25"/>
      <c r="Z226" s="25"/>
      <c r="AA226" s="25"/>
      <c r="AH226" s="5"/>
      <c r="AI226" s="5"/>
      <c r="AO226" s="5"/>
    </row>
    <row r="227" spans="10:41" x14ac:dyDescent="0.3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5"/>
      <c r="X227" s="25"/>
      <c r="Y227" s="25"/>
      <c r="Z227" s="25"/>
      <c r="AA227" s="25"/>
      <c r="AH227" s="5"/>
      <c r="AI227" s="5"/>
      <c r="AO227" s="5"/>
    </row>
    <row r="228" spans="10:41" x14ac:dyDescent="0.3">
      <c r="J228" s="25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5"/>
      <c r="X228" s="25"/>
      <c r="Y228" s="25"/>
      <c r="Z228" s="25"/>
      <c r="AA228" s="25"/>
      <c r="AH228" s="5"/>
      <c r="AI228" s="5"/>
      <c r="AO228" s="5"/>
    </row>
    <row r="229" spans="10:41" x14ac:dyDescent="0.3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5"/>
      <c r="X229" s="25"/>
      <c r="Y229" s="25"/>
      <c r="Z229" s="25"/>
      <c r="AA229" s="25"/>
      <c r="AH229" s="5"/>
      <c r="AI229" s="5"/>
      <c r="AO229" s="5"/>
    </row>
    <row r="230" spans="10:41" x14ac:dyDescent="0.3">
      <c r="J230" s="25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5"/>
      <c r="X230" s="25"/>
      <c r="Y230" s="25"/>
      <c r="Z230" s="25"/>
      <c r="AA230" s="25"/>
      <c r="AH230" s="5"/>
      <c r="AI230" s="5"/>
      <c r="AO230" s="5"/>
    </row>
    <row r="231" spans="10:41" x14ac:dyDescent="0.3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5"/>
      <c r="X231" s="25"/>
      <c r="Y231" s="25"/>
      <c r="Z231" s="25"/>
      <c r="AA231" s="25"/>
      <c r="AH231" s="5"/>
      <c r="AI231" s="5"/>
      <c r="AO231" s="5"/>
    </row>
    <row r="232" spans="10:41" x14ac:dyDescent="0.3">
      <c r="J232" s="25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5"/>
      <c r="X232" s="25"/>
      <c r="Y232" s="25"/>
      <c r="Z232" s="25"/>
      <c r="AA232" s="25"/>
      <c r="AH232" s="5"/>
      <c r="AI232" s="5"/>
      <c r="AO232" s="5"/>
    </row>
    <row r="233" spans="10:41" x14ac:dyDescent="0.3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5"/>
      <c r="X233" s="25"/>
      <c r="Y233" s="25"/>
      <c r="Z233" s="25"/>
      <c r="AA233" s="25"/>
      <c r="AH233" s="5"/>
      <c r="AI233" s="5"/>
      <c r="AO233" s="5"/>
    </row>
    <row r="234" spans="10:41" x14ac:dyDescent="0.3">
      <c r="J234" s="25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5"/>
      <c r="X234" s="25"/>
      <c r="Y234" s="25"/>
      <c r="Z234" s="25"/>
      <c r="AA234" s="25"/>
      <c r="AH234" s="5"/>
      <c r="AI234" s="5"/>
      <c r="AO234" s="5"/>
    </row>
    <row r="235" spans="10:41" x14ac:dyDescent="0.3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5"/>
      <c r="X235" s="25"/>
      <c r="Y235" s="25"/>
      <c r="Z235" s="25"/>
      <c r="AA235" s="25"/>
      <c r="AH235" s="5"/>
      <c r="AI235" s="5"/>
      <c r="AO235" s="5"/>
    </row>
    <row r="236" spans="10:41" x14ac:dyDescent="0.3">
      <c r="J236" s="25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5"/>
      <c r="X236" s="25"/>
      <c r="Y236" s="25"/>
      <c r="Z236" s="25"/>
      <c r="AA236" s="25"/>
      <c r="AH236" s="5"/>
      <c r="AI236" s="5"/>
      <c r="AO236" s="5"/>
    </row>
    <row r="237" spans="10:41" x14ac:dyDescent="0.3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5"/>
      <c r="X237" s="25"/>
      <c r="Y237" s="25"/>
      <c r="Z237" s="25"/>
      <c r="AA237" s="25"/>
      <c r="AH237" s="5"/>
      <c r="AI237" s="5"/>
      <c r="AO237" s="5"/>
    </row>
    <row r="238" spans="10:41" x14ac:dyDescent="0.3">
      <c r="J238" s="25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5"/>
      <c r="X238" s="25"/>
      <c r="Y238" s="25"/>
      <c r="Z238" s="25"/>
      <c r="AA238" s="25"/>
      <c r="AH238" s="5"/>
      <c r="AI238" s="5"/>
      <c r="AO238" s="5"/>
    </row>
    <row r="239" spans="10:41" x14ac:dyDescent="0.3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5"/>
      <c r="X239" s="25"/>
      <c r="Y239" s="25"/>
      <c r="Z239" s="25"/>
      <c r="AA239" s="25"/>
      <c r="AH239" s="5"/>
      <c r="AI239" s="5"/>
      <c r="AO239" s="5"/>
    </row>
    <row r="240" spans="10:41" x14ac:dyDescent="0.3">
      <c r="J240" s="25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5"/>
      <c r="X240" s="25"/>
      <c r="Y240" s="25"/>
      <c r="Z240" s="25"/>
      <c r="AA240" s="25"/>
      <c r="AH240" s="5"/>
      <c r="AI240" s="5"/>
      <c r="AO240" s="5"/>
    </row>
    <row r="241" spans="10:41" x14ac:dyDescent="0.3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5"/>
      <c r="X241" s="25"/>
      <c r="Y241" s="25"/>
      <c r="Z241" s="25"/>
      <c r="AA241" s="25"/>
      <c r="AH241" s="5"/>
      <c r="AI241" s="5"/>
      <c r="AO241" s="5"/>
    </row>
    <row r="242" spans="10:41" x14ac:dyDescent="0.3">
      <c r="J242" s="25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5"/>
      <c r="X242" s="25"/>
      <c r="Y242" s="25"/>
      <c r="Z242" s="25"/>
      <c r="AA242" s="25"/>
      <c r="AH242" s="5"/>
      <c r="AI242" s="5"/>
      <c r="AO242" s="5"/>
    </row>
    <row r="243" spans="10:41" x14ac:dyDescent="0.3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5"/>
      <c r="X243" s="25"/>
      <c r="Y243" s="25"/>
      <c r="Z243" s="25"/>
      <c r="AA243" s="25"/>
      <c r="AH243" s="5"/>
      <c r="AI243" s="5"/>
      <c r="AO243" s="5"/>
    </row>
    <row r="244" spans="10:41" x14ac:dyDescent="0.3">
      <c r="J244" s="25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5"/>
      <c r="X244" s="25"/>
      <c r="Y244" s="25"/>
      <c r="Z244" s="25"/>
      <c r="AA244" s="25"/>
      <c r="AH244" s="5"/>
      <c r="AI244" s="5"/>
      <c r="AO244" s="5"/>
    </row>
    <row r="245" spans="10:41" x14ac:dyDescent="0.3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5"/>
      <c r="X245" s="25"/>
      <c r="Y245" s="25"/>
      <c r="Z245" s="25"/>
      <c r="AA245" s="25"/>
      <c r="AH245" s="5"/>
      <c r="AI245" s="5"/>
      <c r="AO245" s="5"/>
    </row>
    <row r="246" spans="10:41" x14ac:dyDescent="0.3">
      <c r="J246" s="25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5"/>
      <c r="X246" s="25"/>
      <c r="Y246" s="25"/>
      <c r="Z246" s="25"/>
      <c r="AA246" s="25"/>
      <c r="AH246" s="5"/>
      <c r="AI246" s="5"/>
      <c r="AO246" s="5"/>
    </row>
    <row r="247" spans="10:41" x14ac:dyDescent="0.3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5"/>
      <c r="X247" s="25"/>
      <c r="Y247" s="25"/>
      <c r="Z247" s="25"/>
      <c r="AA247" s="25"/>
      <c r="AH247" s="5"/>
      <c r="AI247" s="5"/>
      <c r="AO247" s="5"/>
    </row>
    <row r="248" spans="10:41" x14ac:dyDescent="0.3">
      <c r="J248" s="25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5"/>
      <c r="X248" s="25"/>
      <c r="Y248" s="25"/>
      <c r="Z248" s="25"/>
      <c r="AA248" s="25"/>
      <c r="AH248" s="5"/>
      <c r="AI248" s="5"/>
      <c r="AO248" s="5"/>
    </row>
    <row r="249" spans="10:41" x14ac:dyDescent="0.3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5"/>
      <c r="X249" s="25"/>
      <c r="Y249" s="25"/>
      <c r="Z249" s="25"/>
      <c r="AA249" s="25"/>
      <c r="AH249" s="5"/>
      <c r="AI249" s="5"/>
      <c r="AO249" s="5"/>
    </row>
    <row r="250" spans="10:41" x14ac:dyDescent="0.3">
      <c r="J250" s="25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5"/>
      <c r="X250" s="25"/>
      <c r="Y250" s="25"/>
      <c r="Z250" s="25"/>
      <c r="AA250" s="25"/>
      <c r="AH250" s="5"/>
      <c r="AI250" s="5"/>
      <c r="AO250" s="5"/>
    </row>
    <row r="251" spans="10:41" x14ac:dyDescent="0.3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5"/>
      <c r="X251" s="25"/>
      <c r="Y251" s="25"/>
      <c r="Z251" s="25"/>
      <c r="AA251" s="25"/>
      <c r="AH251" s="5"/>
      <c r="AI251" s="5"/>
      <c r="AO251" s="5"/>
    </row>
    <row r="252" spans="10:41" x14ac:dyDescent="0.3">
      <c r="J252" s="25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5"/>
      <c r="X252" s="25"/>
      <c r="Y252" s="25"/>
      <c r="Z252" s="25"/>
      <c r="AA252" s="25"/>
      <c r="AH252" s="5"/>
      <c r="AI252" s="5"/>
      <c r="AO252" s="5"/>
    </row>
    <row r="253" spans="10:41" x14ac:dyDescent="0.3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5"/>
      <c r="X253" s="25"/>
      <c r="Y253" s="25"/>
      <c r="Z253" s="25"/>
      <c r="AA253" s="25"/>
      <c r="AH253" s="5"/>
      <c r="AI253" s="5"/>
      <c r="AO253" s="5"/>
    </row>
    <row r="254" spans="10:41" x14ac:dyDescent="0.3">
      <c r="J254" s="25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5"/>
      <c r="X254" s="25"/>
      <c r="Y254" s="25"/>
      <c r="Z254" s="25"/>
      <c r="AA254" s="25"/>
      <c r="AH254" s="5"/>
      <c r="AI254" s="5"/>
      <c r="AO254" s="5"/>
    </row>
    <row r="255" spans="10:41" x14ac:dyDescent="0.3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5"/>
      <c r="X255" s="25"/>
      <c r="Y255" s="25"/>
      <c r="Z255" s="25"/>
      <c r="AA255" s="25"/>
      <c r="AH255" s="5"/>
      <c r="AI255" s="5"/>
      <c r="AO255" s="5"/>
    </row>
    <row r="256" spans="10:41" x14ac:dyDescent="0.3">
      <c r="J256" s="25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5"/>
      <c r="X256" s="25"/>
      <c r="Y256" s="25"/>
      <c r="Z256" s="25"/>
      <c r="AA256" s="25"/>
      <c r="AH256" s="5"/>
      <c r="AI256" s="5"/>
      <c r="AO256" s="5"/>
    </row>
    <row r="257" spans="10:41" x14ac:dyDescent="0.3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5"/>
      <c r="X257" s="25"/>
      <c r="Y257" s="25"/>
      <c r="Z257" s="25"/>
      <c r="AA257" s="25"/>
      <c r="AH257" s="5"/>
      <c r="AI257" s="5"/>
      <c r="AO257" s="5"/>
    </row>
    <row r="258" spans="10:41" x14ac:dyDescent="0.3">
      <c r="J258" s="25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5"/>
      <c r="X258" s="25"/>
      <c r="Y258" s="25"/>
      <c r="Z258" s="25"/>
      <c r="AA258" s="25"/>
      <c r="AH258" s="5"/>
      <c r="AI258" s="5"/>
      <c r="AO258" s="5"/>
    </row>
    <row r="259" spans="10:41" x14ac:dyDescent="0.3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5"/>
      <c r="X259" s="25"/>
      <c r="Y259" s="25"/>
      <c r="Z259" s="25"/>
      <c r="AA259" s="25"/>
      <c r="AH259" s="5"/>
      <c r="AI259" s="5"/>
      <c r="AO259" s="5"/>
    </row>
    <row r="260" spans="10:41" x14ac:dyDescent="0.3">
      <c r="J260" s="25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5"/>
      <c r="X260" s="25"/>
      <c r="Y260" s="25"/>
      <c r="Z260" s="25"/>
      <c r="AA260" s="25"/>
      <c r="AH260" s="5"/>
      <c r="AI260" s="5"/>
      <c r="AO260" s="5"/>
    </row>
    <row r="261" spans="10:41" x14ac:dyDescent="0.3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5"/>
      <c r="X261" s="25"/>
      <c r="Y261" s="25"/>
      <c r="Z261" s="25"/>
      <c r="AA261" s="25"/>
      <c r="AH261" s="5"/>
      <c r="AI261" s="5"/>
      <c r="AO261" s="5"/>
    </row>
    <row r="262" spans="10:41" x14ac:dyDescent="0.3">
      <c r="J262" s="25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5"/>
      <c r="X262" s="25"/>
      <c r="Y262" s="25"/>
      <c r="Z262" s="25"/>
      <c r="AA262" s="25"/>
      <c r="AH262" s="5"/>
      <c r="AI262" s="5"/>
      <c r="AO262" s="5"/>
    </row>
    <row r="263" spans="10:41" x14ac:dyDescent="0.3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5"/>
      <c r="X263" s="25"/>
      <c r="Y263" s="25"/>
      <c r="Z263" s="25"/>
      <c r="AA263" s="25"/>
      <c r="AH263" s="5"/>
      <c r="AI263" s="5"/>
      <c r="AO263" s="5"/>
    </row>
    <row r="264" spans="10:41" x14ac:dyDescent="0.3">
      <c r="J264" s="25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5"/>
      <c r="X264" s="25"/>
      <c r="Y264" s="25"/>
      <c r="Z264" s="25"/>
      <c r="AA264" s="25"/>
      <c r="AH264" s="5"/>
      <c r="AI264" s="5"/>
      <c r="AO264" s="5"/>
    </row>
    <row r="265" spans="10:41" x14ac:dyDescent="0.3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5"/>
      <c r="X265" s="25"/>
      <c r="Y265" s="25"/>
      <c r="Z265" s="25"/>
      <c r="AA265" s="25"/>
      <c r="AH265" s="5"/>
      <c r="AI265" s="5"/>
      <c r="AO265" s="5"/>
    </row>
    <row r="266" spans="10:41" x14ac:dyDescent="0.3">
      <c r="J266" s="25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5"/>
      <c r="X266" s="25"/>
      <c r="Y266" s="25"/>
      <c r="Z266" s="25"/>
      <c r="AA266" s="25"/>
      <c r="AH266" s="5"/>
      <c r="AI266" s="5"/>
      <c r="AO266" s="5"/>
    </row>
    <row r="267" spans="10:41" x14ac:dyDescent="0.3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5"/>
      <c r="X267" s="25"/>
      <c r="Y267" s="25"/>
      <c r="Z267" s="25"/>
      <c r="AA267" s="25"/>
      <c r="AH267" s="5"/>
      <c r="AI267" s="5"/>
      <c r="AO267" s="5"/>
    </row>
    <row r="268" spans="10:41" x14ac:dyDescent="0.3">
      <c r="J268" s="25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5"/>
      <c r="X268" s="25"/>
      <c r="Y268" s="25"/>
      <c r="Z268" s="25"/>
      <c r="AA268" s="25"/>
      <c r="AH268" s="5"/>
      <c r="AI268" s="5"/>
      <c r="AO268" s="5"/>
    </row>
    <row r="269" spans="10:41" x14ac:dyDescent="0.3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5"/>
      <c r="X269" s="25"/>
      <c r="Y269" s="25"/>
      <c r="Z269" s="25"/>
      <c r="AA269" s="25"/>
      <c r="AH269" s="5"/>
      <c r="AI269" s="5"/>
      <c r="AO269" s="5"/>
    </row>
    <row r="270" spans="10:41" x14ac:dyDescent="0.3">
      <c r="J270" s="25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5"/>
      <c r="X270" s="25"/>
      <c r="Y270" s="25"/>
      <c r="Z270" s="25"/>
      <c r="AA270" s="25"/>
      <c r="AH270" s="5"/>
      <c r="AI270" s="5"/>
      <c r="AO270" s="5"/>
    </row>
    <row r="271" spans="10:41" x14ac:dyDescent="0.3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5"/>
      <c r="X271" s="25"/>
      <c r="Y271" s="25"/>
      <c r="Z271" s="25"/>
      <c r="AA271" s="25"/>
      <c r="AH271" s="5"/>
      <c r="AI271" s="5"/>
      <c r="AO271" s="5"/>
    </row>
    <row r="272" spans="10:41" x14ac:dyDescent="0.3">
      <c r="J272" s="25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5"/>
      <c r="X272" s="25"/>
      <c r="Y272" s="25"/>
      <c r="Z272" s="25"/>
      <c r="AA272" s="25"/>
      <c r="AH272" s="5"/>
      <c r="AI272" s="5"/>
      <c r="AO272" s="5"/>
    </row>
    <row r="273" spans="10:41" x14ac:dyDescent="0.3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5"/>
      <c r="X273" s="25"/>
      <c r="Y273" s="25"/>
      <c r="Z273" s="25"/>
      <c r="AA273" s="25"/>
      <c r="AH273" s="5"/>
      <c r="AI273" s="5"/>
      <c r="AO273" s="5"/>
    </row>
    <row r="274" spans="10:41" x14ac:dyDescent="0.3">
      <c r="J274" s="25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5"/>
      <c r="X274" s="25"/>
      <c r="Y274" s="25"/>
      <c r="Z274" s="25"/>
      <c r="AA274" s="25"/>
      <c r="AH274" s="5"/>
      <c r="AI274" s="5"/>
      <c r="AO274" s="5"/>
    </row>
    <row r="275" spans="10:41" x14ac:dyDescent="0.3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5"/>
      <c r="X275" s="25"/>
      <c r="Y275" s="25"/>
      <c r="Z275" s="25"/>
      <c r="AA275" s="25"/>
      <c r="AH275" s="5"/>
      <c r="AI275" s="5"/>
      <c r="AO275" s="5"/>
    </row>
    <row r="276" spans="10:41" x14ac:dyDescent="0.3">
      <c r="J276" s="25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5"/>
      <c r="X276" s="25"/>
      <c r="Y276" s="25"/>
      <c r="Z276" s="25"/>
      <c r="AA276" s="25"/>
      <c r="AH276" s="5"/>
      <c r="AI276" s="5"/>
      <c r="AO276" s="5"/>
    </row>
    <row r="277" spans="10:41" x14ac:dyDescent="0.3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5"/>
      <c r="X277" s="25"/>
      <c r="Y277" s="25"/>
      <c r="Z277" s="25"/>
      <c r="AA277" s="25"/>
      <c r="AH277" s="5"/>
      <c r="AI277" s="5"/>
      <c r="AO277" s="5"/>
    </row>
    <row r="278" spans="10:41" x14ac:dyDescent="0.3">
      <c r="J278" s="25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5"/>
      <c r="X278" s="25"/>
      <c r="Y278" s="25"/>
      <c r="Z278" s="25"/>
      <c r="AA278" s="25"/>
      <c r="AH278" s="5"/>
      <c r="AI278" s="5"/>
      <c r="AO278" s="5"/>
    </row>
    <row r="279" spans="10:41" x14ac:dyDescent="0.3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5"/>
      <c r="X279" s="25"/>
      <c r="Y279" s="25"/>
      <c r="Z279" s="25"/>
      <c r="AA279" s="25"/>
      <c r="AH279" s="5"/>
      <c r="AI279" s="5"/>
      <c r="AO279" s="5"/>
    </row>
    <row r="280" spans="10:41" x14ac:dyDescent="0.3">
      <c r="J280" s="25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5"/>
      <c r="X280" s="25"/>
      <c r="Y280" s="25"/>
      <c r="Z280" s="25"/>
      <c r="AA280" s="25"/>
      <c r="AH280" s="5"/>
      <c r="AI280" s="5"/>
      <c r="AO280" s="5"/>
    </row>
    <row r="281" spans="10:41" x14ac:dyDescent="0.3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5"/>
      <c r="X281" s="25"/>
      <c r="Y281" s="25"/>
      <c r="Z281" s="25"/>
      <c r="AA281" s="25"/>
      <c r="AH281" s="5"/>
      <c r="AI281" s="5"/>
      <c r="AO281" s="5"/>
    </row>
    <row r="282" spans="10:41" x14ac:dyDescent="0.3">
      <c r="J282" s="25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5"/>
      <c r="X282" s="25"/>
      <c r="Y282" s="25"/>
      <c r="Z282" s="25"/>
      <c r="AA282" s="25"/>
      <c r="AH282" s="5"/>
      <c r="AI282" s="5"/>
      <c r="AO282" s="5"/>
    </row>
    <row r="283" spans="10:41" x14ac:dyDescent="0.3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5"/>
      <c r="X283" s="25"/>
      <c r="Y283" s="25"/>
      <c r="Z283" s="25"/>
      <c r="AA283" s="25"/>
      <c r="AH283" s="5"/>
      <c r="AI283" s="5"/>
      <c r="AO283" s="5"/>
    </row>
    <row r="284" spans="10:41" x14ac:dyDescent="0.3">
      <c r="J284" s="25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5"/>
      <c r="X284" s="25"/>
      <c r="Y284" s="25"/>
      <c r="Z284" s="25"/>
      <c r="AA284" s="25"/>
      <c r="AH284" s="5"/>
      <c r="AI284" s="5"/>
      <c r="AO284" s="5"/>
    </row>
    <row r="285" spans="10:41" x14ac:dyDescent="0.3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5"/>
      <c r="X285" s="25"/>
      <c r="Y285" s="25"/>
      <c r="Z285" s="25"/>
      <c r="AA285" s="25"/>
      <c r="AH285" s="5"/>
      <c r="AI285" s="5"/>
      <c r="AO285" s="5"/>
    </row>
    <row r="286" spans="10:41" x14ac:dyDescent="0.3">
      <c r="J286" s="25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5"/>
      <c r="X286" s="25"/>
      <c r="Y286" s="25"/>
      <c r="Z286" s="25"/>
      <c r="AA286" s="25"/>
      <c r="AH286" s="5"/>
      <c r="AI286" s="5"/>
      <c r="AO286" s="5"/>
    </row>
    <row r="287" spans="10:41" x14ac:dyDescent="0.3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5"/>
      <c r="X287" s="25"/>
      <c r="Y287" s="25"/>
      <c r="Z287" s="25"/>
      <c r="AA287" s="25"/>
      <c r="AH287" s="5"/>
      <c r="AI287" s="5"/>
      <c r="AO287" s="5"/>
    </row>
    <row r="288" spans="10:41" x14ac:dyDescent="0.3">
      <c r="J288" s="25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5"/>
      <c r="X288" s="25"/>
      <c r="Y288" s="25"/>
      <c r="Z288" s="25"/>
      <c r="AA288" s="25"/>
      <c r="AH288" s="5"/>
      <c r="AI288" s="5"/>
      <c r="AO288" s="5"/>
    </row>
    <row r="289" spans="10:41" x14ac:dyDescent="0.3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5"/>
      <c r="X289" s="25"/>
      <c r="Y289" s="25"/>
      <c r="Z289" s="25"/>
      <c r="AA289" s="25"/>
      <c r="AH289" s="5"/>
      <c r="AI289" s="5"/>
      <c r="AO289" s="5"/>
    </row>
    <row r="290" spans="10:41" x14ac:dyDescent="0.3">
      <c r="J290" s="25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5"/>
      <c r="X290" s="25"/>
      <c r="Y290" s="25"/>
      <c r="Z290" s="25"/>
      <c r="AA290" s="25"/>
      <c r="AH290" s="5"/>
      <c r="AI290" s="5"/>
      <c r="AO290" s="5"/>
    </row>
    <row r="291" spans="10:41" x14ac:dyDescent="0.3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5"/>
      <c r="X291" s="25"/>
      <c r="Y291" s="25"/>
      <c r="Z291" s="25"/>
      <c r="AA291" s="25"/>
      <c r="AH291" s="5"/>
      <c r="AI291" s="5"/>
      <c r="AO291" s="5"/>
    </row>
    <row r="292" spans="10:41" x14ac:dyDescent="0.3">
      <c r="J292" s="25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5"/>
      <c r="X292" s="25"/>
      <c r="Y292" s="25"/>
      <c r="Z292" s="25"/>
      <c r="AA292" s="25"/>
      <c r="AH292" s="5"/>
      <c r="AI292" s="5"/>
      <c r="AO292" s="5"/>
    </row>
    <row r="293" spans="10:41" x14ac:dyDescent="0.3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5"/>
      <c r="X293" s="25"/>
      <c r="Y293" s="25"/>
      <c r="Z293" s="25"/>
      <c r="AA293" s="25"/>
      <c r="AH293" s="5"/>
      <c r="AI293" s="5"/>
      <c r="AO293" s="5"/>
    </row>
    <row r="294" spans="10:41" x14ac:dyDescent="0.3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5"/>
      <c r="X294" s="25"/>
      <c r="Y294" s="25"/>
      <c r="Z294" s="25"/>
      <c r="AA294" s="25"/>
      <c r="AH294" s="5"/>
      <c r="AI294" s="5"/>
      <c r="AO294" s="5"/>
    </row>
    <row r="295" spans="10:41" x14ac:dyDescent="0.3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5"/>
      <c r="X295" s="25"/>
      <c r="Y295" s="25"/>
      <c r="Z295" s="25"/>
      <c r="AA295" s="25"/>
      <c r="AH295" s="5"/>
      <c r="AI295" s="5"/>
      <c r="AO295" s="5"/>
    </row>
    <row r="296" spans="10:41" x14ac:dyDescent="0.3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5"/>
      <c r="X296" s="25"/>
      <c r="Y296" s="25"/>
      <c r="Z296" s="25"/>
      <c r="AA296" s="25"/>
      <c r="AH296" s="5"/>
      <c r="AI296" s="5"/>
      <c r="AO296" s="5"/>
    </row>
    <row r="297" spans="10:41" x14ac:dyDescent="0.3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5"/>
      <c r="X297" s="25"/>
      <c r="Y297" s="25"/>
      <c r="Z297" s="25"/>
      <c r="AA297" s="25"/>
      <c r="AH297" s="5"/>
      <c r="AI297" s="5"/>
      <c r="AO297" s="5"/>
    </row>
    <row r="298" spans="10:41" x14ac:dyDescent="0.3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5"/>
      <c r="X298" s="25"/>
      <c r="Y298" s="25"/>
      <c r="Z298" s="25"/>
      <c r="AA298" s="25"/>
      <c r="AH298" s="5"/>
      <c r="AI298" s="5"/>
      <c r="AO298" s="5"/>
    </row>
    <row r="299" spans="10:41" x14ac:dyDescent="0.3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5"/>
      <c r="X299" s="25"/>
      <c r="Y299" s="25"/>
      <c r="Z299" s="25"/>
      <c r="AA299" s="25"/>
      <c r="AH299" s="5"/>
      <c r="AI299" s="5"/>
      <c r="AO299" s="5"/>
    </row>
    <row r="300" spans="10:41" x14ac:dyDescent="0.3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5"/>
      <c r="X300" s="25"/>
      <c r="Y300" s="25"/>
      <c r="Z300" s="25"/>
      <c r="AA300" s="25"/>
      <c r="AH300" s="5"/>
      <c r="AI300" s="5"/>
      <c r="AO300" s="5"/>
    </row>
    <row r="301" spans="10:41" x14ac:dyDescent="0.3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5"/>
      <c r="X301" s="25"/>
      <c r="Y301" s="25"/>
      <c r="Z301" s="25"/>
      <c r="AA301" s="25"/>
      <c r="AH301" s="5"/>
      <c r="AI301" s="5"/>
      <c r="AO301" s="5"/>
    </row>
    <row r="302" spans="10:41" x14ac:dyDescent="0.3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5"/>
      <c r="X302" s="25"/>
      <c r="Y302" s="25"/>
      <c r="Z302" s="25"/>
      <c r="AA302" s="25"/>
      <c r="AH302" s="5"/>
      <c r="AI302" s="5"/>
      <c r="AO302" s="5"/>
    </row>
    <row r="303" spans="10:41" x14ac:dyDescent="0.3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5"/>
      <c r="X303" s="25"/>
      <c r="Y303" s="25"/>
      <c r="Z303" s="25"/>
      <c r="AA303" s="25"/>
      <c r="AH303" s="5"/>
      <c r="AI303" s="5"/>
      <c r="AO303" s="5"/>
    </row>
    <row r="304" spans="10:41" x14ac:dyDescent="0.3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5"/>
      <c r="X304" s="25"/>
      <c r="Y304" s="25"/>
      <c r="Z304" s="25"/>
      <c r="AA304" s="25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W5:AA304 X4:AA4">
    <cfRule type="expression" dxfId="110" priority="47">
      <formula>_xlfn.LET(_xlpm.x, W4, AND(NOT(_xlfn.ISFORMULA(_xlpm.x)), _xlpm.x&lt;&gt;""))</formula>
    </cfRule>
  </conditionalFormatting>
  <conditionalFormatting sqref="W5:AA203 X4:AA4">
    <cfRule type="expression" dxfId="109" priority="42">
      <formula>_xlfn.LET(_xlpm.x, W4, AND(NOT(_xlfn.ISFORMULA(_xlpm.x)), _xlpm.x&lt;&gt;""))</formula>
    </cfRule>
  </conditionalFormatting>
  <conditionalFormatting sqref="K1:O1048576">
    <cfRule type="cellIs" dxfId="108" priority="30" operator="equal">
      <formula>"C1"</formula>
    </cfRule>
    <cfRule type="cellIs" dxfId="107" priority="31" operator="between">
      <formula>"G1"</formula>
      <formula>"G5"</formula>
    </cfRule>
    <cfRule type="cellIs" dxfId="106" priority="33" operator="between">
      <formula>"M1"</formula>
      <formula>"M5"</formula>
    </cfRule>
  </conditionalFormatting>
  <conditionalFormatting sqref="C28:G28 D27:G27 C31:G46 C29:C30 G29:G30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{D078B51E-3844-4995-BE04-BA0353961508}</x14:id>
        </ext>
      </extLst>
    </cfRule>
  </conditionalFormatting>
  <conditionalFormatting sqref="D52:D54">
    <cfRule type="cellIs" dxfId="105" priority="11" operator="equal">
      <formula>"C1"</formula>
    </cfRule>
    <cfRule type="cellIs" dxfId="104" priority="12" operator="between">
      <formula>"G1"</formula>
      <formula>"G4"</formula>
    </cfRule>
    <cfRule type="cellIs" dxfId="103" priority="13" operator="between">
      <formula>"GA"</formula>
      <formula>"GQ"</formula>
    </cfRule>
    <cfRule type="cellIs" dxfId="102" priority="14" operator="between">
      <formula>"M1"</formula>
      <formula>"M4"</formula>
    </cfRule>
  </conditionalFormatting>
  <conditionalFormatting sqref="E52:E54">
    <cfRule type="cellIs" dxfId="101" priority="7" operator="equal">
      <formula>"C1"</formula>
    </cfRule>
    <cfRule type="cellIs" dxfId="100" priority="8" operator="between">
      <formula>"G1"</formula>
      <formula>"G4"</formula>
    </cfRule>
    <cfRule type="cellIs" dxfId="99" priority="9" operator="between">
      <formula>"GA"</formula>
      <formula>"GQ"</formula>
    </cfRule>
    <cfRule type="cellIs" dxfId="98" priority="10" operator="between">
      <formula>"M1"</formula>
      <formula>"M4"</formula>
    </cfRule>
  </conditionalFormatting>
  <conditionalFormatting sqref="F52:F54">
    <cfRule type="cellIs" dxfId="97" priority="3" operator="equal">
      <formula>"C1"</formula>
    </cfRule>
    <cfRule type="cellIs" dxfId="96" priority="4" operator="between">
      <formula>"G1"</formula>
      <formula>"G4"</formula>
    </cfRule>
    <cfRule type="cellIs" dxfId="95" priority="5" operator="between">
      <formula>"GA"</formula>
      <formula>"GQ"</formula>
    </cfRule>
    <cfRule type="cellIs" dxfId="94" priority="6" operator="between">
      <formula>"M1"</formula>
      <formula>"M4"</formula>
    </cfRule>
  </conditionalFormatting>
  <conditionalFormatting sqref="D29:F30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{50A3F2C0-8997-4FBB-884E-5E9E40508366}</x14:id>
        </ext>
      </extLst>
    </cfRule>
  </conditionalFormatting>
  <conditionalFormatting sqref="W4:AA203">
    <cfRule type="expression" dxfId="93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78B51E-3844-4995-BE04-BA03539615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50A3F2C0-8997-4FBB-884E-5E9E405083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32" operator="containsText" id="{1FBE36A8-8130-44F9-A928-4449139A0D5C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ACEC-CD02-4D7D-B7D0-D9497FF3448B}">
  <sheetPr codeName="工作表9">
    <tabColor theme="3" tint="0.59999389629810485"/>
  </sheetPr>
  <dimension ref="A1:AO305"/>
  <sheetViews>
    <sheetView workbookViewId="0"/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I1" s="5"/>
    </row>
    <row r="2" spans="1:41" ht="15.9" customHeight="1" x14ac:dyDescent="0.3">
      <c r="I2" s="15"/>
      <c r="J2" s="27" t="s">
        <v>133</v>
      </c>
      <c r="Q2" s="27" t="s">
        <v>134</v>
      </c>
      <c r="W2" s="27" t="s">
        <v>135</v>
      </c>
      <c r="AC2" s="27" t="s">
        <v>147</v>
      </c>
      <c r="AH2" s="5"/>
      <c r="AI2" s="5"/>
      <c r="AJ2" s="27" t="s">
        <v>111</v>
      </c>
      <c r="AO2" s="5"/>
    </row>
    <row r="3" spans="1:41" ht="15.9" customHeight="1" x14ac:dyDescent="0.3">
      <c r="A3" s="20" t="s">
        <v>5</v>
      </c>
      <c r="B3" s="20" t="s">
        <v>12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20" t="s">
        <v>11</v>
      </c>
      <c r="I3" s="15"/>
      <c r="J3" s="20"/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Q3" s="20" t="s">
        <v>13</v>
      </c>
      <c r="R3" s="20" t="s">
        <v>14</v>
      </c>
      <c r="S3" s="20" t="s">
        <v>15</v>
      </c>
      <c r="T3" s="20" t="s">
        <v>16</v>
      </c>
      <c r="U3" s="20" t="s">
        <v>17</v>
      </c>
      <c r="W3" s="20" t="s">
        <v>6</v>
      </c>
      <c r="X3" s="20" t="s">
        <v>14</v>
      </c>
      <c r="Y3" s="20" t="s">
        <v>15</v>
      </c>
      <c r="Z3" s="20" t="s">
        <v>16</v>
      </c>
      <c r="AA3" s="20" t="s">
        <v>17</v>
      </c>
      <c r="AO3" s="5"/>
    </row>
    <row r="4" spans="1:41" ht="15.9" customHeight="1" x14ac:dyDescent="0.3">
      <c r="A4" s="29" t="str" cm="1">
        <f t="array" ref="A4:B23">Overview!A38:B57</f>
        <v>WW</v>
      </c>
      <c r="B4" s="8" t="str">
        <v>Wild</v>
      </c>
      <c r="C4" s="99">
        <f t="shared" ref="C4:G23" si="0">COUNTIF(K:K, $A4)</f>
        <v>0</v>
      </c>
      <c r="D4" s="99">
        <f t="shared" si="0"/>
        <v>0</v>
      </c>
      <c r="E4" s="99">
        <f t="shared" si="0"/>
        <v>0</v>
      </c>
      <c r="F4" s="99">
        <f t="shared" si="0"/>
        <v>0</v>
      </c>
      <c r="G4" s="99">
        <f t="shared" si="0"/>
        <v>0</v>
      </c>
      <c r="H4" s="8" cm="1">
        <f t="array" ref="H4:H23">Overview!F38:F57</f>
        <v>0</v>
      </c>
      <c r="I4" s="87"/>
      <c r="J4" s="25" cm="1">
        <f t="array" ref="J4:J203">_xlfn.SEQUENCE(MAX(COUNTA(K:K), COUNTA(L:L), COUNTA(M:M), COUNTA(N:N), COUNTA(O:O))-1,,0)</f>
        <v>0</v>
      </c>
      <c r="K4" s="26" t="s">
        <v>37</v>
      </c>
      <c r="L4" s="26" t="s">
        <v>125</v>
      </c>
      <c r="M4" s="26" t="s">
        <v>91</v>
      </c>
      <c r="N4" s="26" t="s">
        <v>112</v>
      </c>
      <c r="O4" s="26" t="s">
        <v>35</v>
      </c>
      <c r="Q4" s="25" cm="1">
        <f t="array" ref="Q4:U304">_xlfn.LET(_xlpm.x, K4:O304, IF(_xlpm.x="", "", _xlfn.XLOOKUP(_xlpm.x, $A$4:$A$23,_xlfn.ANCHORARRAY( H4))))</f>
        <v>7</v>
      </c>
      <c r="R4" s="25">
        <v>6</v>
      </c>
      <c r="S4" s="25">
        <v>14</v>
      </c>
      <c r="T4" s="25">
        <v>17</v>
      </c>
      <c r="U4" s="25">
        <v>8</v>
      </c>
      <c r="W4" s="25">
        <v>1</v>
      </c>
      <c r="X4" s="25">
        <v>1</v>
      </c>
      <c r="Y4" s="25">
        <v>1</v>
      </c>
      <c r="Z4" s="25">
        <v>1</v>
      </c>
      <c r="AA4" s="25">
        <v>1</v>
      </c>
      <c r="AB4" s="43"/>
      <c r="AC4" s="27" t="s">
        <v>131</v>
      </c>
      <c r="AH4" s="5"/>
      <c r="AI4" s="5"/>
      <c r="AJ4" s="27" t="s">
        <v>131</v>
      </c>
      <c r="AO4" s="5"/>
    </row>
    <row r="5" spans="1:41" ht="15.9" customHeight="1" x14ac:dyDescent="0.3">
      <c r="A5" s="29" t="str">
        <v>C1</v>
      </c>
      <c r="B5" s="8" t="str">
        <v>Scatter</v>
      </c>
      <c r="C5" s="99">
        <f t="shared" si="0"/>
        <v>2</v>
      </c>
      <c r="D5" s="99">
        <f t="shared" si="0"/>
        <v>2</v>
      </c>
      <c r="E5" s="99">
        <f t="shared" si="0"/>
        <v>0</v>
      </c>
      <c r="F5" s="99">
        <f t="shared" si="0"/>
        <v>3</v>
      </c>
      <c r="G5" s="99">
        <f t="shared" si="0"/>
        <v>3</v>
      </c>
      <c r="H5" s="8">
        <v>1</v>
      </c>
      <c r="I5" s="87"/>
      <c r="J5" s="9">
        <v>1</v>
      </c>
      <c r="K5" s="16" t="s">
        <v>18</v>
      </c>
      <c r="L5" s="16" t="s">
        <v>126</v>
      </c>
      <c r="M5" s="16" t="s">
        <v>126</v>
      </c>
      <c r="N5" s="16" t="s">
        <v>35</v>
      </c>
      <c r="O5" s="16" t="s">
        <v>37</v>
      </c>
      <c r="Q5" s="9">
        <v>4</v>
      </c>
      <c r="R5" s="9">
        <v>15</v>
      </c>
      <c r="S5" s="9">
        <v>15</v>
      </c>
      <c r="T5" s="9">
        <v>8</v>
      </c>
      <c r="U5" s="9">
        <v>7</v>
      </c>
      <c r="W5" s="25">
        <v>1</v>
      </c>
      <c r="X5" s="25">
        <v>1</v>
      </c>
      <c r="Y5" s="25">
        <v>1</v>
      </c>
      <c r="Z5" s="25">
        <v>1</v>
      </c>
      <c r="AA5" s="25">
        <v>1</v>
      </c>
      <c r="AC5" s="135" t="s">
        <v>42</v>
      </c>
      <c r="AD5" s="135" t="s">
        <v>13</v>
      </c>
      <c r="AE5" s="135" t="s">
        <v>14</v>
      </c>
      <c r="AF5" s="135" t="s">
        <v>15</v>
      </c>
      <c r="AG5" s="135" t="s">
        <v>16</v>
      </c>
      <c r="AH5" s="135" t="s">
        <v>17</v>
      </c>
      <c r="AI5" s="5"/>
      <c r="AJ5" s="135" t="s">
        <v>42</v>
      </c>
      <c r="AK5" s="135" t="s">
        <v>13</v>
      </c>
      <c r="AL5" s="135" t="s">
        <v>14</v>
      </c>
      <c r="AM5" s="135" t="s">
        <v>15</v>
      </c>
      <c r="AN5" s="135" t="s">
        <v>16</v>
      </c>
      <c r="AO5" s="135" t="s">
        <v>17</v>
      </c>
    </row>
    <row r="6" spans="1:41" ht="15.9" customHeight="1" x14ac:dyDescent="0.3">
      <c r="A6" s="133" t="str">
        <v>M1</v>
      </c>
      <c r="B6" s="112" t="str">
        <v>M1</v>
      </c>
      <c r="C6" s="133">
        <f t="shared" si="0"/>
        <v>3</v>
      </c>
      <c r="D6" s="133">
        <f t="shared" si="0"/>
        <v>10</v>
      </c>
      <c r="E6" s="133">
        <f t="shared" si="0"/>
        <v>0</v>
      </c>
      <c r="F6" s="133">
        <f t="shared" si="0"/>
        <v>3</v>
      </c>
      <c r="G6" s="133">
        <f t="shared" si="0"/>
        <v>9</v>
      </c>
      <c r="H6" s="112">
        <v>2</v>
      </c>
      <c r="I6" s="87"/>
      <c r="J6" s="25">
        <v>2</v>
      </c>
      <c r="K6" s="16" t="s">
        <v>125</v>
      </c>
      <c r="L6" s="16" t="s">
        <v>19</v>
      </c>
      <c r="M6" s="16" t="s">
        <v>112</v>
      </c>
      <c r="N6" s="16" t="s">
        <v>36</v>
      </c>
      <c r="O6" s="16" t="s">
        <v>35</v>
      </c>
      <c r="Q6" s="9">
        <v>6</v>
      </c>
      <c r="R6" s="9">
        <v>5</v>
      </c>
      <c r="S6" s="9">
        <v>17</v>
      </c>
      <c r="T6" s="9">
        <v>10</v>
      </c>
      <c r="U6" s="9">
        <v>8</v>
      </c>
      <c r="W6" s="25">
        <v>1</v>
      </c>
      <c r="X6" s="25">
        <v>1</v>
      </c>
      <c r="Y6" s="25">
        <v>1</v>
      </c>
      <c r="Z6" s="25">
        <v>1</v>
      </c>
      <c r="AA6" s="25">
        <v>1</v>
      </c>
      <c r="AC6" s="138" t="str" cm="1">
        <f t="array" ref="AC6:AC25">$A$4:$A$23</f>
        <v>WW</v>
      </c>
      <c r="AD6" s="139">
        <v>0</v>
      </c>
      <c r="AE6" s="139">
        <v>0</v>
      </c>
      <c r="AF6" s="139">
        <v>0</v>
      </c>
      <c r="AG6" s="139">
        <v>0</v>
      </c>
      <c r="AH6" s="139">
        <v>0</v>
      </c>
      <c r="AI6" s="5"/>
      <c r="AJ6" s="138" t="str" cm="1">
        <f t="array" ref="AJ6:AJ25">$A$4:$A$23</f>
        <v>WW</v>
      </c>
      <c r="AK6" s="139">
        <v>0</v>
      </c>
      <c r="AL6" s="139">
        <v>0</v>
      </c>
      <c r="AM6" s="139">
        <v>0</v>
      </c>
      <c r="AN6" s="139">
        <v>0</v>
      </c>
      <c r="AO6" s="139">
        <v>0</v>
      </c>
    </row>
    <row r="7" spans="1:41" ht="15.9" customHeight="1" x14ac:dyDescent="0.3">
      <c r="A7" s="133" t="str">
        <v>M2</v>
      </c>
      <c r="B7" s="112" t="str">
        <v>M2</v>
      </c>
      <c r="C7" s="133">
        <f t="shared" si="0"/>
        <v>3</v>
      </c>
      <c r="D7" s="133">
        <f t="shared" si="0"/>
        <v>12</v>
      </c>
      <c r="E7" s="133">
        <f t="shared" si="0"/>
        <v>0</v>
      </c>
      <c r="F7" s="133">
        <f t="shared" si="0"/>
        <v>3</v>
      </c>
      <c r="G7" s="133">
        <f t="shared" si="0"/>
        <v>8</v>
      </c>
      <c r="H7" s="112">
        <v>3</v>
      </c>
      <c r="I7" s="87"/>
      <c r="J7" s="9">
        <v>3</v>
      </c>
      <c r="K7" s="16" t="s">
        <v>37</v>
      </c>
      <c r="L7" s="26" t="s">
        <v>37</v>
      </c>
      <c r="M7" s="16" t="s">
        <v>91</v>
      </c>
      <c r="N7" s="16" t="s">
        <v>19</v>
      </c>
      <c r="O7" s="16" t="s">
        <v>125</v>
      </c>
      <c r="Q7" s="9">
        <v>7</v>
      </c>
      <c r="R7" s="9">
        <v>7</v>
      </c>
      <c r="S7" s="9">
        <v>14</v>
      </c>
      <c r="T7" s="9">
        <v>5</v>
      </c>
      <c r="U7" s="9">
        <v>6</v>
      </c>
      <c r="W7" s="25">
        <v>1</v>
      </c>
      <c r="X7" s="25">
        <v>1</v>
      </c>
      <c r="Y7" s="25">
        <v>1</v>
      </c>
      <c r="Z7" s="25">
        <v>1</v>
      </c>
      <c r="AA7" s="25">
        <v>1</v>
      </c>
      <c r="AC7" s="138" t="str">
        <v>C1</v>
      </c>
      <c r="AD7" s="138">
        <v>1</v>
      </c>
      <c r="AE7" s="138">
        <v>1</v>
      </c>
      <c r="AF7" s="138">
        <v>0</v>
      </c>
      <c r="AG7" s="138">
        <v>1</v>
      </c>
      <c r="AH7" s="138">
        <v>1</v>
      </c>
      <c r="AI7" s="5"/>
      <c r="AJ7" s="138" t="str">
        <v>C1</v>
      </c>
      <c r="AK7" s="138">
        <v>1</v>
      </c>
      <c r="AL7" s="138">
        <v>1</v>
      </c>
      <c r="AM7" s="138">
        <v>0</v>
      </c>
      <c r="AN7" s="138">
        <v>1</v>
      </c>
      <c r="AO7" s="138">
        <v>1</v>
      </c>
    </row>
    <row r="8" spans="1:41" ht="15.9" customHeight="1" x14ac:dyDescent="0.3">
      <c r="A8" s="133" t="str">
        <v>M3</v>
      </c>
      <c r="B8" s="112" t="str">
        <v>M3</v>
      </c>
      <c r="C8" s="133">
        <f t="shared" si="0"/>
        <v>7</v>
      </c>
      <c r="D8" s="133">
        <f t="shared" si="0"/>
        <v>13</v>
      </c>
      <c r="E8" s="133">
        <f t="shared" si="0"/>
        <v>0</v>
      </c>
      <c r="F8" s="133">
        <f t="shared" si="0"/>
        <v>7</v>
      </c>
      <c r="G8" s="133">
        <f t="shared" si="0"/>
        <v>14</v>
      </c>
      <c r="H8" s="112">
        <v>4</v>
      </c>
      <c r="I8" s="87"/>
      <c r="J8" s="25">
        <v>4</v>
      </c>
      <c r="K8" s="16" t="s">
        <v>34</v>
      </c>
      <c r="L8" s="16" t="s">
        <v>19</v>
      </c>
      <c r="M8" s="16" t="s">
        <v>92</v>
      </c>
      <c r="N8" s="16" t="s">
        <v>36</v>
      </c>
      <c r="O8" s="16" t="s">
        <v>19</v>
      </c>
      <c r="Q8" s="9">
        <v>9</v>
      </c>
      <c r="R8" s="9">
        <v>5</v>
      </c>
      <c r="S8" s="9">
        <v>16</v>
      </c>
      <c r="T8" s="9">
        <v>10</v>
      </c>
      <c r="U8" s="9">
        <v>5</v>
      </c>
      <c r="W8" s="25">
        <v>1</v>
      </c>
      <c r="X8" s="25">
        <v>1</v>
      </c>
      <c r="Y8" s="25">
        <v>1</v>
      </c>
      <c r="Z8" s="25">
        <v>1</v>
      </c>
      <c r="AA8" s="25">
        <v>1</v>
      </c>
      <c r="AC8" s="154" t="str">
        <v>M1</v>
      </c>
      <c r="AD8" s="133">
        <v>3</v>
      </c>
      <c r="AE8" s="133">
        <v>10</v>
      </c>
      <c r="AF8" s="133">
        <v>0</v>
      </c>
      <c r="AG8" s="133">
        <v>3</v>
      </c>
      <c r="AH8" s="133">
        <v>9</v>
      </c>
      <c r="AI8" s="5"/>
      <c r="AJ8" s="154" t="str">
        <v>M1</v>
      </c>
      <c r="AK8" s="133">
        <v>3</v>
      </c>
      <c r="AL8" s="133">
        <v>10</v>
      </c>
      <c r="AM8" s="133">
        <v>0</v>
      </c>
      <c r="AN8" s="133">
        <v>3</v>
      </c>
      <c r="AO8" s="133">
        <v>9</v>
      </c>
    </row>
    <row r="9" spans="1:41" ht="15.9" customHeight="1" x14ac:dyDescent="0.3">
      <c r="A9" s="133" t="str">
        <v>M4</v>
      </c>
      <c r="B9" s="112" t="str">
        <v>M4</v>
      </c>
      <c r="C9" s="133">
        <f t="shared" si="0"/>
        <v>43</v>
      </c>
      <c r="D9" s="133">
        <f t="shared" si="0"/>
        <v>22</v>
      </c>
      <c r="E9" s="133">
        <f t="shared" si="0"/>
        <v>0</v>
      </c>
      <c r="F9" s="133">
        <f t="shared" si="0"/>
        <v>31</v>
      </c>
      <c r="G9" s="133">
        <f t="shared" si="0"/>
        <v>36</v>
      </c>
      <c r="H9" s="112">
        <v>5</v>
      </c>
      <c r="I9" s="87"/>
      <c r="J9" s="9">
        <v>5</v>
      </c>
      <c r="K9" s="16" t="s">
        <v>35</v>
      </c>
      <c r="L9" s="16" t="s">
        <v>37</v>
      </c>
      <c r="M9" s="16" t="s">
        <v>112</v>
      </c>
      <c r="N9" s="16" t="s">
        <v>35</v>
      </c>
      <c r="O9" s="16" t="s">
        <v>125</v>
      </c>
      <c r="Q9" s="9">
        <v>8</v>
      </c>
      <c r="R9" s="9">
        <v>7</v>
      </c>
      <c r="S9" s="9">
        <v>17</v>
      </c>
      <c r="T9" s="9">
        <v>8</v>
      </c>
      <c r="U9" s="9">
        <v>6</v>
      </c>
      <c r="W9" s="25">
        <v>1</v>
      </c>
      <c r="X9" s="25">
        <v>1</v>
      </c>
      <c r="Y9" s="25">
        <v>1</v>
      </c>
      <c r="Z9" s="25">
        <v>1</v>
      </c>
      <c r="AA9" s="25">
        <v>1</v>
      </c>
      <c r="AC9" s="154" t="str">
        <v>M2</v>
      </c>
      <c r="AD9" s="133">
        <v>3</v>
      </c>
      <c r="AE9" s="133">
        <v>12</v>
      </c>
      <c r="AF9" s="133">
        <v>0</v>
      </c>
      <c r="AG9" s="133">
        <v>3</v>
      </c>
      <c r="AH9" s="133">
        <v>8</v>
      </c>
      <c r="AI9" s="5"/>
      <c r="AJ9" s="154" t="str">
        <v>M2</v>
      </c>
      <c r="AK9" s="133">
        <v>3</v>
      </c>
      <c r="AL9" s="133">
        <v>12</v>
      </c>
      <c r="AM9" s="133">
        <v>0</v>
      </c>
      <c r="AN9" s="133">
        <v>3</v>
      </c>
      <c r="AO9" s="133">
        <v>8</v>
      </c>
    </row>
    <row r="10" spans="1:41" ht="15.9" customHeight="1" x14ac:dyDescent="0.3">
      <c r="A10" s="133" t="str">
        <v>M5</v>
      </c>
      <c r="B10" s="112" t="str">
        <v>M5</v>
      </c>
      <c r="C10" s="133">
        <f t="shared" si="0"/>
        <v>42</v>
      </c>
      <c r="D10" s="133">
        <f t="shared" si="0"/>
        <v>22</v>
      </c>
      <c r="E10" s="133">
        <f t="shared" si="0"/>
        <v>0</v>
      </c>
      <c r="F10" s="133">
        <f t="shared" si="0"/>
        <v>27</v>
      </c>
      <c r="G10" s="133">
        <f t="shared" si="0"/>
        <v>34</v>
      </c>
      <c r="H10" s="112">
        <v>6</v>
      </c>
      <c r="I10" s="87"/>
      <c r="J10" s="25">
        <v>6</v>
      </c>
      <c r="K10" s="16" t="s">
        <v>18</v>
      </c>
      <c r="L10" s="16" t="s">
        <v>34</v>
      </c>
      <c r="M10" s="16" t="s">
        <v>92</v>
      </c>
      <c r="N10" s="16" t="s">
        <v>91</v>
      </c>
      <c r="O10" s="16" t="s">
        <v>19</v>
      </c>
      <c r="Q10" s="9">
        <v>4</v>
      </c>
      <c r="R10" s="9">
        <v>9</v>
      </c>
      <c r="S10" s="9">
        <v>16</v>
      </c>
      <c r="T10" s="9">
        <v>14</v>
      </c>
      <c r="U10" s="9">
        <v>5</v>
      </c>
      <c r="W10" s="25">
        <v>1</v>
      </c>
      <c r="X10" s="25">
        <v>1</v>
      </c>
      <c r="Y10" s="25">
        <v>1</v>
      </c>
      <c r="Z10" s="25">
        <v>1</v>
      </c>
      <c r="AA10" s="25">
        <v>1</v>
      </c>
      <c r="AC10" s="154" t="str">
        <v>M3</v>
      </c>
      <c r="AD10" s="133">
        <v>7</v>
      </c>
      <c r="AE10" s="133">
        <v>13</v>
      </c>
      <c r="AF10" s="133">
        <v>0</v>
      </c>
      <c r="AG10" s="133">
        <v>7</v>
      </c>
      <c r="AH10" s="133">
        <v>14</v>
      </c>
      <c r="AI10" s="5"/>
      <c r="AJ10" s="154" t="str">
        <v>M3</v>
      </c>
      <c r="AK10" s="133">
        <v>7</v>
      </c>
      <c r="AL10" s="133">
        <v>13</v>
      </c>
      <c r="AM10" s="133">
        <v>0</v>
      </c>
      <c r="AN10" s="133">
        <v>7</v>
      </c>
      <c r="AO10" s="133">
        <v>14</v>
      </c>
    </row>
    <row r="11" spans="1:41" ht="15.9" customHeight="1" x14ac:dyDescent="0.3">
      <c r="A11" s="133" t="str">
        <v>A</v>
      </c>
      <c r="B11" s="112" t="str">
        <v>A</v>
      </c>
      <c r="C11" s="133">
        <f t="shared" si="0"/>
        <v>43</v>
      </c>
      <c r="D11" s="133">
        <f t="shared" si="0"/>
        <v>27</v>
      </c>
      <c r="E11" s="133">
        <f t="shared" si="0"/>
        <v>0</v>
      </c>
      <c r="F11" s="133">
        <f t="shared" si="0"/>
        <v>31</v>
      </c>
      <c r="G11" s="133">
        <f t="shared" si="0"/>
        <v>35</v>
      </c>
      <c r="H11" s="112">
        <v>7</v>
      </c>
      <c r="I11" s="87"/>
      <c r="J11" s="9">
        <v>7</v>
      </c>
      <c r="K11" s="16" t="s">
        <v>125</v>
      </c>
      <c r="L11" s="16" t="s">
        <v>95</v>
      </c>
      <c r="M11" s="16" t="s">
        <v>112</v>
      </c>
      <c r="N11" s="16" t="s">
        <v>112</v>
      </c>
      <c r="O11" s="16" t="s">
        <v>125</v>
      </c>
      <c r="Q11" s="9">
        <v>6</v>
      </c>
      <c r="R11" s="9">
        <v>18</v>
      </c>
      <c r="S11" s="9">
        <v>17</v>
      </c>
      <c r="T11" s="9">
        <v>17</v>
      </c>
      <c r="U11" s="9">
        <v>6</v>
      </c>
      <c r="W11" s="25">
        <v>1</v>
      </c>
      <c r="X11" s="25">
        <v>1</v>
      </c>
      <c r="Y11" s="25">
        <v>1</v>
      </c>
      <c r="Z11" s="25">
        <v>1</v>
      </c>
      <c r="AA11" s="25">
        <v>1</v>
      </c>
      <c r="AC11" s="154" t="str">
        <v>M4</v>
      </c>
      <c r="AD11" s="133">
        <v>43</v>
      </c>
      <c r="AE11" s="133">
        <v>22</v>
      </c>
      <c r="AF11" s="133">
        <v>0</v>
      </c>
      <c r="AG11" s="133">
        <v>31</v>
      </c>
      <c r="AH11" s="133">
        <v>36</v>
      </c>
      <c r="AI11" s="5"/>
      <c r="AJ11" s="154" t="str">
        <v>M4</v>
      </c>
      <c r="AK11" s="133">
        <v>43</v>
      </c>
      <c r="AL11" s="133">
        <v>22</v>
      </c>
      <c r="AM11" s="133">
        <v>0</v>
      </c>
      <c r="AN11" s="133">
        <v>31</v>
      </c>
      <c r="AO11" s="133">
        <v>36</v>
      </c>
    </row>
    <row r="12" spans="1:41" ht="15.9" customHeight="1" x14ac:dyDescent="0.3">
      <c r="A12" s="133" t="str">
        <v>K</v>
      </c>
      <c r="B12" s="112" t="str">
        <v>K</v>
      </c>
      <c r="C12" s="133">
        <f t="shared" si="0"/>
        <v>43</v>
      </c>
      <c r="D12" s="133">
        <f t="shared" si="0"/>
        <v>24</v>
      </c>
      <c r="E12" s="133">
        <f t="shared" si="0"/>
        <v>0</v>
      </c>
      <c r="F12" s="133">
        <f t="shared" si="0"/>
        <v>32</v>
      </c>
      <c r="G12" s="133">
        <f t="shared" si="0"/>
        <v>34</v>
      </c>
      <c r="H12" s="112">
        <v>8</v>
      </c>
      <c r="I12" s="87"/>
      <c r="J12" s="25">
        <v>8</v>
      </c>
      <c r="K12" s="16" t="s">
        <v>36</v>
      </c>
      <c r="L12" s="16" t="s">
        <v>22</v>
      </c>
      <c r="M12" s="16" t="s">
        <v>92</v>
      </c>
      <c r="N12" s="16" t="s">
        <v>37</v>
      </c>
      <c r="O12" s="16" t="s">
        <v>37</v>
      </c>
      <c r="Q12" s="9">
        <v>10</v>
      </c>
      <c r="R12" s="9">
        <v>3</v>
      </c>
      <c r="S12" s="9">
        <v>16</v>
      </c>
      <c r="T12" s="9">
        <v>7</v>
      </c>
      <c r="U12" s="9">
        <v>7</v>
      </c>
      <c r="W12" s="25">
        <v>1</v>
      </c>
      <c r="X12" s="25">
        <v>1</v>
      </c>
      <c r="Y12" s="25">
        <v>1</v>
      </c>
      <c r="Z12" s="25">
        <v>1</v>
      </c>
      <c r="AA12" s="25">
        <v>1</v>
      </c>
      <c r="AC12" s="154" t="str">
        <v>M5</v>
      </c>
      <c r="AD12" s="133">
        <v>42</v>
      </c>
      <c r="AE12" s="133">
        <v>22</v>
      </c>
      <c r="AF12" s="133">
        <v>0</v>
      </c>
      <c r="AG12" s="133">
        <v>27</v>
      </c>
      <c r="AH12" s="133">
        <v>34</v>
      </c>
      <c r="AI12" s="5"/>
      <c r="AJ12" s="154" t="str">
        <v>M5</v>
      </c>
      <c r="AK12" s="133">
        <v>42</v>
      </c>
      <c r="AL12" s="133">
        <v>22</v>
      </c>
      <c r="AM12" s="133">
        <v>0</v>
      </c>
      <c r="AN12" s="133">
        <v>27</v>
      </c>
      <c r="AO12" s="133">
        <v>34</v>
      </c>
    </row>
    <row r="13" spans="1:41" ht="15.9" customHeight="1" x14ac:dyDescent="0.3">
      <c r="A13" s="133" t="str">
        <v>Q</v>
      </c>
      <c r="B13" s="112" t="str">
        <v>Q</v>
      </c>
      <c r="C13" s="133">
        <f t="shared" si="0"/>
        <v>7</v>
      </c>
      <c r="D13" s="133">
        <f t="shared" si="0"/>
        <v>12</v>
      </c>
      <c r="E13" s="133">
        <f t="shared" si="0"/>
        <v>0</v>
      </c>
      <c r="F13" s="133">
        <f t="shared" si="0"/>
        <v>6</v>
      </c>
      <c r="G13" s="133">
        <f t="shared" si="0"/>
        <v>13</v>
      </c>
      <c r="H13" s="112">
        <v>9</v>
      </c>
      <c r="I13" s="87"/>
      <c r="J13" s="9">
        <v>9</v>
      </c>
      <c r="K13" s="16" t="s">
        <v>21</v>
      </c>
      <c r="L13" s="16" t="s">
        <v>92</v>
      </c>
      <c r="M13" s="16" t="s">
        <v>126</v>
      </c>
      <c r="N13" s="16" t="s">
        <v>91</v>
      </c>
      <c r="O13" s="16" t="s">
        <v>34</v>
      </c>
      <c r="Q13" s="9">
        <v>2</v>
      </c>
      <c r="R13" s="9">
        <v>16</v>
      </c>
      <c r="S13" s="9">
        <v>15</v>
      </c>
      <c r="T13" s="9">
        <v>14</v>
      </c>
      <c r="U13" s="9">
        <v>9</v>
      </c>
      <c r="W13" s="25">
        <v>1</v>
      </c>
      <c r="X13" s="25">
        <v>1</v>
      </c>
      <c r="Y13" s="25">
        <v>1</v>
      </c>
      <c r="Z13" s="25">
        <v>1</v>
      </c>
      <c r="AA13" s="25">
        <v>1</v>
      </c>
      <c r="AC13" s="154" t="str">
        <v>A</v>
      </c>
      <c r="AD13" s="133">
        <v>43</v>
      </c>
      <c r="AE13" s="133">
        <v>27</v>
      </c>
      <c r="AF13" s="133">
        <v>0</v>
      </c>
      <c r="AG13" s="133">
        <v>31</v>
      </c>
      <c r="AH13" s="133">
        <v>35</v>
      </c>
      <c r="AI13" s="5"/>
      <c r="AJ13" s="154" t="str">
        <v>A</v>
      </c>
      <c r="AK13" s="133">
        <v>43</v>
      </c>
      <c r="AL13" s="133">
        <v>27</v>
      </c>
      <c r="AM13" s="133">
        <v>0</v>
      </c>
      <c r="AN13" s="133">
        <v>31</v>
      </c>
      <c r="AO13" s="133">
        <v>35</v>
      </c>
    </row>
    <row r="14" spans="1:41" ht="15.9" customHeight="1" x14ac:dyDescent="0.3">
      <c r="A14" s="133" t="str">
        <v>J</v>
      </c>
      <c r="B14" s="112" t="str">
        <v>J</v>
      </c>
      <c r="C14" s="133">
        <f t="shared" si="0"/>
        <v>7</v>
      </c>
      <c r="D14" s="133">
        <f t="shared" si="0"/>
        <v>8</v>
      </c>
      <c r="E14" s="133">
        <f t="shared" si="0"/>
        <v>0</v>
      </c>
      <c r="F14" s="133">
        <f t="shared" si="0"/>
        <v>7</v>
      </c>
      <c r="G14" s="133">
        <f t="shared" si="0"/>
        <v>14</v>
      </c>
      <c r="H14" s="112">
        <v>10</v>
      </c>
      <c r="I14" s="87"/>
      <c r="J14" s="25">
        <v>10</v>
      </c>
      <c r="K14" s="16" t="s">
        <v>37</v>
      </c>
      <c r="L14" s="16" t="s">
        <v>35</v>
      </c>
      <c r="M14" s="16" t="s">
        <v>92</v>
      </c>
      <c r="N14" s="16" t="s">
        <v>19</v>
      </c>
      <c r="O14" s="16" t="s">
        <v>21</v>
      </c>
      <c r="Q14" s="9">
        <v>7</v>
      </c>
      <c r="R14" s="9">
        <v>8</v>
      </c>
      <c r="S14" s="9">
        <v>16</v>
      </c>
      <c r="T14" s="9">
        <v>5</v>
      </c>
      <c r="U14" s="9">
        <v>2</v>
      </c>
      <c r="W14" s="25">
        <v>1</v>
      </c>
      <c r="X14" s="25">
        <v>1</v>
      </c>
      <c r="Y14" s="25">
        <v>1</v>
      </c>
      <c r="Z14" s="25">
        <v>1</v>
      </c>
      <c r="AA14" s="25">
        <v>1</v>
      </c>
      <c r="AC14" s="154" t="str">
        <v>K</v>
      </c>
      <c r="AD14" s="133">
        <v>43</v>
      </c>
      <c r="AE14" s="133">
        <v>24</v>
      </c>
      <c r="AF14" s="133">
        <v>0</v>
      </c>
      <c r="AG14" s="133">
        <v>32</v>
      </c>
      <c r="AH14" s="133">
        <v>34</v>
      </c>
      <c r="AI14" s="5"/>
      <c r="AJ14" s="154" t="str">
        <v>K</v>
      </c>
      <c r="AK14" s="133">
        <v>43</v>
      </c>
      <c r="AL14" s="133">
        <v>24</v>
      </c>
      <c r="AM14" s="133">
        <v>0</v>
      </c>
      <c r="AN14" s="133">
        <v>32</v>
      </c>
      <c r="AO14" s="133">
        <v>34</v>
      </c>
    </row>
    <row r="15" spans="1:41" ht="15.9" customHeight="1" x14ac:dyDescent="0.3">
      <c r="A15" s="29" t="str">
        <v>G1</v>
      </c>
      <c r="B15" s="8" t="str">
        <v>Gold M1</v>
      </c>
      <c r="C15" s="99">
        <f t="shared" si="0"/>
        <v>0</v>
      </c>
      <c r="D15" s="99">
        <f t="shared" si="0"/>
        <v>2</v>
      </c>
      <c r="E15" s="99">
        <f t="shared" si="0"/>
        <v>3</v>
      </c>
      <c r="F15" s="99">
        <f t="shared" si="0"/>
        <v>1</v>
      </c>
      <c r="G15" s="99">
        <f t="shared" si="0"/>
        <v>0</v>
      </c>
      <c r="H15" s="8">
        <v>11</v>
      </c>
      <c r="I15" s="87"/>
      <c r="J15" s="9">
        <v>11</v>
      </c>
      <c r="K15" s="16" t="s">
        <v>125</v>
      </c>
      <c r="L15" s="16" t="s">
        <v>112</v>
      </c>
      <c r="M15" s="16" t="s">
        <v>97</v>
      </c>
      <c r="N15" s="16" t="s">
        <v>36</v>
      </c>
      <c r="O15" s="16" t="s">
        <v>34</v>
      </c>
      <c r="Q15" s="9">
        <v>6</v>
      </c>
      <c r="R15" s="9">
        <v>17</v>
      </c>
      <c r="S15" s="9">
        <v>19</v>
      </c>
      <c r="T15" s="9">
        <v>10</v>
      </c>
      <c r="U15" s="9">
        <v>9</v>
      </c>
      <c r="W15" s="25">
        <v>1</v>
      </c>
      <c r="X15" s="25">
        <v>1</v>
      </c>
      <c r="Y15" s="25">
        <v>1</v>
      </c>
      <c r="Z15" s="25">
        <v>1</v>
      </c>
      <c r="AA15" s="25">
        <v>1</v>
      </c>
      <c r="AC15" s="154" t="str">
        <v>Q</v>
      </c>
      <c r="AD15" s="133">
        <v>7</v>
      </c>
      <c r="AE15" s="133">
        <v>12</v>
      </c>
      <c r="AF15" s="133">
        <v>0</v>
      </c>
      <c r="AG15" s="133">
        <v>6</v>
      </c>
      <c r="AH15" s="133">
        <v>13</v>
      </c>
      <c r="AI15" s="5"/>
      <c r="AJ15" s="154" t="str">
        <v>Q</v>
      </c>
      <c r="AK15" s="133">
        <v>7</v>
      </c>
      <c r="AL15" s="133">
        <v>12</v>
      </c>
      <c r="AM15" s="133">
        <v>0</v>
      </c>
      <c r="AN15" s="133">
        <v>6</v>
      </c>
      <c r="AO15" s="133">
        <v>13</v>
      </c>
    </row>
    <row r="16" spans="1:41" ht="15.9" customHeight="1" x14ac:dyDescent="0.3">
      <c r="A16" s="29" t="str">
        <v>G2</v>
      </c>
      <c r="B16" s="8" t="str">
        <v>Gold M2</v>
      </c>
      <c r="C16" s="99">
        <f t="shared" si="0"/>
        <v>0</v>
      </c>
      <c r="D16" s="99">
        <f t="shared" si="0"/>
        <v>3</v>
      </c>
      <c r="E16" s="99">
        <f t="shared" si="0"/>
        <v>3</v>
      </c>
      <c r="F16" s="99">
        <f t="shared" si="0"/>
        <v>1</v>
      </c>
      <c r="G16" s="99">
        <f t="shared" si="0"/>
        <v>0</v>
      </c>
      <c r="H16" s="8">
        <v>12</v>
      </c>
      <c r="I16" s="87"/>
      <c r="J16" s="25">
        <v>12</v>
      </c>
      <c r="K16" s="16" t="s">
        <v>36</v>
      </c>
      <c r="L16" s="16" t="s">
        <v>125</v>
      </c>
      <c r="M16" s="16" t="s">
        <v>90</v>
      </c>
      <c r="N16" s="16" t="s">
        <v>22</v>
      </c>
      <c r="O16" s="16" t="s">
        <v>18</v>
      </c>
      <c r="Q16" s="9">
        <v>10</v>
      </c>
      <c r="R16" s="9">
        <v>6</v>
      </c>
      <c r="S16" s="9">
        <v>13</v>
      </c>
      <c r="T16" s="9">
        <v>3</v>
      </c>
      <c r="U16" s="9">
        <v>4</v>
      </c>
      <c r="W16" s="25">
        <v>1</v>
      </c>
      <c r="X16" s="25">
        <v>1</v>
      </c>
      <c r="Y16" s="25">
        <v>1</v>
      </c>
      <c r="Z16" s="25">
        <v>1</v>
      </c>
      <c r="AA16" s="25">
        <v>1</v>
      </c>
      <c r="AC16" s="154" t="str">
        <v>J</v>
      </c>
      <c r="AD16" s="133">
        <v>7</v>
      </c>
      <c r="AE16" s="133">
        <v>8</v>
      </c>
      <c r="AF16" s="133">
        <v>0</v>
      </c>
      <c r="AG16" s="133">
        <v>7</v>
      </c>
      <c r="AH16" s="133">
        <v>14</v>
      </c>
      <c r="AI16" s="5"/>
      <c r="AJ16" s="154" t="str">
        <v>J</v>
      </c>
      <c r="AK16" s="133">
        <v>7</v>
      </c>
      <c r="AL16" s="133">
        <v>8</v>
      </c>
      <c r="AM16" s="133">
        <v>0</v>
      </c>
      <c r="AN16" s="133">
        <v>7</v>
      </c>
      <c r="AO16" s="133">
        <v>14</v>
      </c>
    </row>
    <row r="17" spans="1:41" ht="15.9" customHeight="1" x14ac:dyDescent="0.3">
      <c r="A17" s="29" t="str">
        <v>G3</v>
      </c>
      <c r="B17" s="8" t="str">
        <v>Gold M3</v>
      </c>
      <c r="C17" s="99">
        <f t="shared" si="0"/>
        <v>0</v>
      </c>
      <c r="D17" s="99">
        <f t="shared" si="0"/>
        <v>3</v>
      </c>
      <c r="E17" s="99">
        <f t="shared" si="0"/>
        <v>8</v>
      </c>
      <c r="F17" s="99">
        <f t="shared" si="0"/>
        <v>2</v>
      </c>
      <c r="G17" s="99">
        <f t="shared" si="0"/>
        <v>0</v>
      </c>
      <c r="H17" s="8">
        <v>13</v>
      </c>
      <c r="I17" s="87"/>
      <c r="J17" s="9">
        <v>13</v>
      </c>
      <c r="K17" s="16" t="s">
        <v>19</v>
      </c>
      <c r="L17" s="16" t="s">
        <v>91</v>
      </c>
      <c r="M17" s="16" t="s">
        <v>92</v>
      </c>
      <c r="N17" s="16" t="s">
        <v>35</v>
      </c>
      <c r="O17" s="16" t="s">
        <v>35</v>
      </c>
      <c r="Q17" s="9">
        <v>5</v>
      </c>
      <c r="R17" s="9">
        <v>14</v>
      </c>
      <c r="S17" s="9">
        <v>16</v>
      </c>
      <c r="T17" s="9">
        <v>8</v>
      </c>
      <c r="U17" s="9">
        <v>8</v>
      </c>
      <c r="W17" s="25">
        <v>1</v>
      </c>
      <c r="X17" s="25">
        <v>1</v>
      </c>
      <c r="Y17" s="25">
        <v>1</v>
      </c>
      <c r="Z17" s="25">
        <v>1</v>
      </c>
      <c r="AA17" s="25">
        <v>1</v>
      </c>
      <c r="AC17" s="138" t="str">
        <v>G1</v>
      </c>
      <c r="AD17" s="99">
        <v>0</v>
      </c>
      <c r="AE17" s="99">
        <v>3</v>
      </c>
      <c r="AF17" s="99">
        <v>3</v>
      </c>
      <c r="AG17" s="99">
        <v>2</v>
      </c>
      <c r="AH17" s="99">
        <v>0</v>
      </c>
      <c r="AI17" s="5"/>
      <c r="AJ17" s="138" t="str">
        <v>G1</v>
      </c>
      <c r="AK17" s="99">
        <v>0</v>
      </c>
      <c r="AL17" s="99">
        <v>3</v>
      </c>
      <c r="AM17" s="99">
        <v>3</v>
      </c>
      <c r="AN17" s="99">
        <v>2</v>
      </c>
      <c r="AO17" s="99">
        <v>0</v>
      </c>
    </row>
    <row r="18" spans="1:41" ht="15.9" customHeight="1" x14ac:dyDescent="0.3">
      <c r="A18" s="29" t="str">
        <v>G4</v>
      </c>
      <c r="B18" s="8" t="str">
        <v>Gold M4</v>
      </c>
      <c r="C18" s="99">
        <f t="shared" si="0"/>
        <v>0</v>
      </c>
      <c r="D18" s="99">
        <f t="shared" si="0"/>
        <v>8</v>
      </c>
      <c r="E18" s="99">
        <f t="shared" si="0"/>
        <v>43</v>
      </c>
      <c r="F18" s="99">
        <f t="shared" si="0"/>
        <v>11</v>
      </c>
      <c r="G18" s="99">
        <f t="shared" si="0"/>
        <v>0</v>
      </c>
      <c r="H18" s="8">
        <v>14</v>
      </c>
      <c r="I18" s="87"/>
      <c r="J18" s="25">
        <v>14</v>
      </c>
      <c r="K18" s="16" t="s">
        <v>125</v>
      </c>
      <c r="L18" s="16" t="s">
        <v>18</v>
      </c>
      <c r="M18" s="16" t="s">
        <v>91</v>
      </c>
      <c r="N18" s="16" t="s">
        <v>19</v>
      </c>
      <c r="O18" s="16" t="s">
        <v>36</v>
      </c>
      <c r="Q18" s="9">
        <v>6</v>
      </c>
      <c r="R18" s="9">
        <v>4</v>
      </c>
      <c r="S18" s="9">
        <v>14</v>
      </c>
      <c r="T18" s="9">
        <v>5</v>
      </c>
      <c r="U18" s="9">
        <v>10</v>
      </c>
      <c r="W18" s="25">
        <v>1</v>
      </c>
      <c r="X18" s="25">
        <v>1</v>
      </c>
      <c r="Y18" s="25">
        <v>1</v>
      </c>
      <c r="Z18" s="25">
        <v>1</v>
      </c>
      <c r="AA18" s="25">
        <v>1</v>
      </c>
      <c r="AC18" s="138" t="str">
        <v>G2</v>
      </c>
      <c r="AD18" s="99">
        <v>0</v>
      </c>
      <c r="AE18" s="99">
        <v>4</v>
      </c>
      <c r="AF18" s="99">
        <v>1</v>
      </c>
      <c r="AG18" s="99">
        <v>2</v>
      </c>
      <c r="AH18" s="99">
        <v>0</v>
      </c>
      <c r="AI18" s="5"/>
      <c r="AJ18" s="138" t="str">
        <v>G2</v>
      </c>
      <c r="AK18" s="99">
        <v>0</v>
      </c>
      <c r="AL18" s="99">
        <v>4</v>
      </c>
      <c r="AM18" s="99">
        <v>1</v>
      </c>
      <c r="AN18" s="99">
        <v>2</v>
      </c>
      <c r="AO18" s="99">
        <v>0</v>
      </c>
    </row>
    <row r="19" spans="1:41" ht="15.9" customHeight="1" x14ac:dyDescent="0.3">
      <c r="A19" s="29" t="str">
        <v>G5</v>
      </c>
      <c r="B19" s="8" t="str">
        <v>Gold M5</v>
      </c>
      <c r="C19" s="99">
        <f t="shared" si="0"/>
        <v>0</v>
      </c>
      <c r="D19" s="99">
        <f t="shared" si="0"/>
        <v>8</v>
      </c>
      <c r="E19" s="99">
        <f t="shared" si="0"/>
        <v>42</v>
      </c>
      <c r="F19" s="99">
        <f t="shared" si="0"/>
        <v>12</v>
      </c>
      <c r="G19" s="99">
        <f t="shared" si="0"/>
        <v>0</v>
      </c>
      <c r="H19" s="8">
        <v>15</v>
      </c>
      <c r="I19" s="87"/>
      <c r="J19" s="9">
        <v>15</v>
      </c>
      <c r="K19" s="16" t="s">
        <v>19</v>
      </c>
      <c r="L19" s="16" t="s">
        <v>35</v>
      </c>
      <c r="M19" s="16" t="s">
        <v>92</v>
      </c>
      <c r="N19" s="16" t="s">
        <v>125</v>
      </c>
      <c r="O19" s="16" t="s">
        <v>18</v>
      </c>
      <c r="Q19" s="9">
        <v>5</v>
      </c>
      <c r="R19" s="9">
        <v>8</v>
      </c>
      <c r="S19" s="9">
        <v>16</v>
      </c>
      <c r="T19" s="9">
        <v>6</v>
      </c>
      <c r="U19" s="9">
        <v>4</v>
      </c>
      <c r="W19" s="25">
        <v>1</v>
      </c>
      <c r="X19" s="25">
        <v>1</v>
      </c>
      <c r="Y19" s="25">
        <v>1</v>
      </c>
      <c r="Z19" s="25">
        <v>1</v>
      </c>
      <c r="AA19" s="25">
        <v>1</v>
      </c>
      <c r="AC19" s="138" t="str">
        <v>G3</v>
      </c>
      <c r="AD19" s="99">
        <v>0</v>
      </c>
      <c r="AE19" s="99">
        <v>4</v>
      </c>
      <c r="AF19" s="99">
        <v>8</v>
      </c>
      <c r="AG19" s="99">
        <v>3</v>
      </c>
      <c r="AH19" s="99">
        <v>0</v>
      </c>
      <c r="AI19" s="5"/>
      <c r="AJ19" s="138" t="str">
        <v>G3</v>
      </c>
      <c r="AK19" s="99">
        <v>0</v>
      </c>
      <c r="AL19" s="99">
        <v>4</v>
      </c>
      <c r="AM19" s="99">
        <v>8</v>
      </c>
      <c r="AN19" s="99">
        <v>3</v>
      </c>
      <c r="AO19" s="99">
        <v>0</v>
      </c>
    </row>
    <row r="20" spans="1:41" ht="15.9" customHeight="1" x14ac:dyDescent="0.3">
      <c r="A20" s="29" t="str">
        <v>GA</v>
      </c>
      <c r="B20" s="8" t="str">
        <v>Gold A</v>
      </c>
      <c r="C20" s="99">
        <f t="shared" si="0"/>
        <v>0</v>
      </c>
      <c r="D20" s="99">
        <f t="shared" si="0"/>
        <v>10</v>
      </c>
      <c r="E20" s="99">
        <f t="shared" si="0"/>
        <v>42</v>
      </c>
      <c r="F20" s="99">
        <f t="shared" si="0"/>
        <v>10</v>
      </c>
      <c r="G20" s="99">
        <f t="shared" si="0"/>
        <v>0</v>
      </c>
      <c r="H20" s="8">
        <v>16</v>
      </c>
      <c r="I20" s="87"/>
      <c r="J20" s="25">
        <v>16</v>
      </c>
      <c r="K20" s="16" t="s">
        <v>35</v>
      </c>
      <c r="L20" s="16" t="s">
        <v>36</v>
      </c>
      <c r="M20" s="16" t="s">
        <v>91</v>
      </c>
      <c r="N20" s="16" t="s">
        <v>35</v>
      </c>
      <c r="O20" s="16" t="s">
        <v>125</v>
      </c>
      <c r="Q20" s="9">
        <v>8</v>
      </c>
      <c r="R20" s="9">
        <v>10</v>
      </c>
      <c r="S20" s="9">
        <v>14</v>
      </c>
      <c r="T20" s="9">
        <v>8</v>
      </c>
      <c r="U20" s="9">
        <v>6</v>
      </c>
      <c r="W20" s="25">
        <v>1</v>
      </c>
      <c r="X20" s="25">
        <v>1</v>
      </c>
      <c r="Y20" s="25">
        <v>1</v>
      </c>
      <c r="Z20" s="25">
        <v>1</v>
      </c>
      <c r="AA20" s="25">
        <v>1</v>
      </c>
      <c r="AC20" s="138" t="str">
        <v>G4</v>
      </c>
      <c r="AD20" s="99">
        <v>0</v>
      </c>
      <c r="AE20" s="99">
        <v>9</v>
      </c>
      <c r="AF20" s="99">
        <v>43</v>
      </c>
      <c r="AG20" s="99">
        <v>12</v>
      </c>
      <c r="AH20" s="99">
        <v>0</v>
      </c>
      <c r="AI20" s="5"/>
      <c r="AJ20" s="138" t="str">
        <v>G4</v>
      </c>
      <c r="AK20" s="99">
        <v>0</v>
      </c>
      <c r="AL20" s="99">
        <v>9</v>
      </c>
      <c r="AM20" s="99">
        <v>43</v>
      </c>
      <c r="AN20" s="99">
        <v>12</v>
      </c>
      <c r="AO20" s="99">
        <v>0</v>
      </c>
    </row>
    <row r="21" spans="1:41" ht="15.9" customHeight="1" x14ac:dyDescent="0.3">
      <c r="A21" s="29" t="str">
        <v>GK</v>
      </c>
      <c r="B21" s="8" t="str">
        <v>Gold K</v>
      </c>
      <c r="C21" s="99">
        <f t="shared" si="0"/>
        <v>0</v>
      </c>
      <c r="D21" s="99">
        <f t="shared" si="0"/>
        <v>9</v>
      </c>
      <c r="E21" s="99">
        <f t="shared" si="0"/>
        <v>44</v>
      </c>
      <c r="F21" s="99">
        <f t="shared" si="0"/>
        <v>10</v>
      </c>
      <c r="G21" s="99">
        <f t="shared" si="0"/>
        <v>0</v>
      </c>
      <c r="H21" s="8">
        <v>17</v>
      </c>
      <c r="I21" s="87"/>
      <c r="J21" s="9">
        <v>17</v>
      </c>
      <c r="K21" s="16" t="s">
        <v>37</v>
      </c>
      <c r="L21" s="16" t="s">
        <v>125</v>
      </c>
      <c r="M21" s="16" t="s">
        <v>92</v>
      </c>
      <c r="N21" s="16" t="s">
        <v>126</v>
      </c>
      <c r="O21" s="16" t="s">
        <v>37</v>
      </c>
      <c r="Q21" s="9">
        <v>7</v>
      </c>
      <c r="R21" s="9">
        <v>6</v>
      </c>
      <c r="S21" s="9">
        <v>16</v>
      </c>
      <c r="T21" s="9">
        <v>15</v>
      </c>
      <c r="U21" s="9">
        <v>7</v>
      </c>
      <c r="W21" s="25">
        <v>1</v>
      </c>
      <c r="X21" s="25">
        <v>1</v>
      </c>
      <c r="Y21" s="25">
        <v>1</v>
      </c>
      <c r="Z21" s="25">
        <v>1</v>
      </c>
      <c r="AA21" s="25">
        <v>1</v>
      </c>
      <c r="AC21" s="138" t="str">
        <v>G5</v>
      </c>
      <c r="AD21" s="99">
        <v>0</v>
      </c>
      <c r="AE21" s="99">
        <v>9</v>
      </c>
      <c r="AF21" s="99">
        <v>42</v>
      </c>
      <c r="AG21" s="99">
        <v>13</v>
      </c>
      <c r="AH21" s="99">
        <v>0</v>
      </c>
      <c r="AI21" s="5"/>
      <c r="AJ21" s="138" t="str">
        <v>G5</v>
      </c>
      <c r="AK21" s="99">
        <v>0</v>
      </c>
      <c r="AL21" s="99">
        <v>9</v>
      </c>
      <c r="AM21" s="99">
        <v>42</v>
      </c>
      <c r="AN21" s="99">
        <v>13</v>
      </c>
      <c r="AO21" s="99">
        <v>0</v>
      </c>
    </row>
    <row r="22" spans="1:41" ht="15.9" customHeight="1" x14ac:dyDescent="0.3">
      <c r="A22" s="29" t="str">
        <v>GQ</v>
      </c>
      <c r="B22" s="8" t="str">
        <v>Gold Q</v>
      </c>
      <c r="C22" s="99">
        <f t="shared" si="0"/>
        <v>0</v>
      </c>
      <c r="D22" s="99">
        <f t="shared" si="0"/>
        <v>3</v>
      </c>
      <c r="E22" s="99">
        <f t="shared" si="0"/>
        <v>6</v>
      </c>
      <c r="F22" s="99">
        <f t="shared" si="0"/>
        <v>1</v>
      </c>
      <c r="G22" s="99">
        <f t="shared" si="0"/>
        <v>0</v>
      </c>
      <c r="H22" s="8">
        <v>18</v>
      </c>
      <c r="I22" s="87"/>
      <c r="J22" s="25">
        <v>18</v>
      </c>
      <c r="K22" s="16" t="s">
        <v>34</v>
      </c>
      <c r="L22" s="16" t="s">
        <v>91</v>
      </c>
      <c r="M22" s="16" t="s">
        <v>112</v>
      </c>
      <c r="N22" s="16" t="s">
        <v>37</v>
      </c>
      <c r="O22" s="16" t="s">
        <v>19</v>
      </c>
      <c r="Q22" s="9">
        <v>9</v>
      </c>
      <c r="R22" s="9">
        <v>14</v>
      </c>
      <c r="S22" s="9">
        <v>17</v>
      </c>
      <c r="T22" s="9">
        <v>7</v>
      </c>
      <c r="U22" s="9">
        <v>5</v>
      </c>
      <c r="W22" s="25">
        <v>1</v>
      </c>
      <c r="X22" s="25">
        <v>1</v>
      </c>
      <c r="Y22" s="25">
        <v>1</v>
      </c>
      <c r="Z22" s="25">
        <v>1</v>
      </c>
      <c r="AA22" s="25">
        <v>1</v>
      </c>
      <c r="AC22" s="138" t="str">
        <v>GA</v>
      </c>
      <c r="AD22" s="99">
        <v>0</v>
      </c>
      <c r="AE22" s="99">
        <v>11</v>
      </c>
      <c r="AF22" s="99">
        <v>42</v>
      </c>
      <c r="AG22" s="99">
        <v>11</v>
      </c>
      <c r="AH22" s="99">
        <v>0</v>
      </c>
      <c r="AI22" s="5"/>
      <c r="AJ22" s="138" t="str">
        <v>GA</v>
      </c>
      <c r="AK22" s="99">
        <v>0</v>
      </c>
      <c r="AL22" s="99">
        <v>11</v>
      </c>
      <c r="AM22" s="99">
        <v>42</v>
      </c>
      <c r="AN22" s="99">
        <v>11</v>
      </c>
      <c r="AO22" s="99">
        <v>0</v>
      </c>
    </row>
    <row r="23" spans="1:41" ht="15.9" customHeight="1" x14ac:dyDescent="0.3">
      <c r="A23" s="29" t="str">
        <v>GJ</v>
      </c>
      <c r="B23" s="8" t="str">
        <v>Gold J</v>
      </c>
      <c r="C23" s="99">
        <f t="shared" si="0"/>
        <v>0</v>
      </c>
      <c r="D23" s="99">
        <f t="shared" si="0"/>
        <v>2</v>
      </c>
      <c r="E23" s="99">
        <f t="shared" si="0"/>
        <v>9</v>
      </c>
      <c r="F23" s="99">
        <f t="shared" si="0"/>
        <v>2</v>
      </c>
      <c r="G23" s="99">
        <f t="shared" si="0"/>
        <v>0</v>
      </c>
      <c r="H23" s="8">
        <v>19</v>
      </c>
      <c r="I23" s="87"/>
      <c r="J23" s="9">
        <v>19</v>
      </c>
      <c r="K23" s="16" t="s">
        <v>22</v>
      </c>
      <c r="L23" s="16" t="s">
        <v>36</v>
      </c>
      <c r="M23" s="16" t="s">
        <v>91</v>
      </c>
      <c r="N23" s="16" t="s">
        <v>35</v>
      </c>
      <c r="O23" s="16" t="s">
        <v>34</v>
      </c>
      <c r="Q23" s="9">
        <v>3</v>
      </c>
      <c r="R23" s="9">
        <v>10</v>
      </c>
      <c r="S23" s="9">
        <v>14</v>
      </c>
      <c r="T23" s="9">
        <v>8</v>
      </c>
      <c r="U23" s="9">
        <v>9</v>
      </c>
      <c r="W23" s="25">
        <v>1</v>
      </c>
      <c r="X23" s="25">
        <v>1</v>
      </c>
      <c r="Y23" s="25">
        <v>1</v>
      </c>
      <c r="Z23" s="25">
        <v>1</v>
      </c>
      <c r="AA23" s="25">
        <v>1</v>
      </c>
      <c r="AC23" s="138" t="str">
        <v>GK</v>
      </c>
      <c r="AD23" s="99">
        <v>0</v>
      </c>
      <c r="AE23" s="99">
        <v>10</v>
      </c>
      <c r="AF23" s="99">
        <v>44</v>
      </c>
      <c r="AG23" s="99">
        <v>11</v>
      </c>
      <c r="AH23" s="99">
        <v>0</v>
      </c>
      <c r="AI23" s="5"/>
      <c r="AJ23" s="138" t="str">
        <v>GK</v>
      </c>
      <c r="AK23" s="99">
        <v>0</v>
      </c>
      <c r="AL23" s="99">
        <v>10</v>
      </c>
      <c r="AM23" s="99">
        <v>44</v>
      </c>
      <c r="AN23" s="99">
        <v>11</v>
      </c>
      <c r="AO23" s="99">
        <v>0</v>
      </c>
    </row>
    <row r="24" spans="1:41" ht="15.9" customHeight="1" x14ac:dyDescent="0.3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87"/>
      <c r="J24" s="25">
        <v>20</v>
      </c>
      <c r="K24" s="16" t="s">
        <v>20</v>
      </c>
      <c r="L24" s="16" t="s">
        <v>22</v>
      </c>
      <c r="M24" s="16" t="s">
        <v>92</v>
      </c>
      <c r="N24" s="16" t="s">
        <v>125</v>
      </c>
      <c r="O24" s="16" t="s">
        <v>37</v>
      </c>
      <c r="Q24" s="9">
        <v>1</v>
      </c>
      <c r="R24" s="9">
        <v>3</v>
      </c>
      <c r="S24" s="9">
        <v>16</v>
      </c>
      <c r="T24" s="9">
        <v>6</v>
      </c>
      <c r="U24" s="9">
        <v>7</v>
      </c>
      <c r="W24" s="25">
        <v>1</v>
      </c>
      <c r="X24" s="25">
        <v>1</v>
      </c>
      <c r="Y24" s="25">
        <v>1</v>
      </c>
      <c r="Z24" s="25">
        <v>1</v>
      </c>
      <c r="AA24" s="25">
        <v>1</v>
      </c>
      <c r="AC24" s="138" t="str">
        <v>GQ</v>
      </c>
      <c r="AD24" s="99">
        <v>0</v>
      </c>
      <c r="AE24" s="99">
        <v>4</v>
      </c>
      <c r="AF24" s="99">
        <v>6</v>
      </c>
      <c r="AG24" s="99">
        <v>2</v>
      </c>
      <c r="AH24" s="99">
        <v>0</v>
      </c>
      <c r="AI24" s="5"/>
      <c r="AJ24" s="138" t="str">
        <v>GQ</v>
      </c>
      <c r="AK24" s="99">
        <v>0</v>
      </c>
      <c r="AL24" s="99">
        <v>4</v>
      </c>
      <c r="AM24" s="99">
        <v>6</v>
      </c>
      <c r="AN24" s="99">
        <v>2</v>
      </c>
      <c r="AO24" s="99">
        <v>0</v>
      </c>
    </row>
    <row r="25" spans="1:41" ht="16.5" customHeight="1" x14ac:dyDescent="0.3">
      <c r="I25" s="87"/>
      <c r="J25" s="9">
        <v>21</v>
      </c>
      <c r="K25" s="16" t="s">
        <v>35</v>
      </c>
      <c r="L25" s="16" t="s">
        <v>37</v>
      </c>
      <c r="M25" s="16" t="s">
        <v>112</v>
      </c>
      <c r="N25" s="16" t="s">
        <v>37</v>
      </c>
      <c r="O25" s="16" t="s">
        <v>34</v>
      </c>
      <c r="Q25" s="9">
        <v>8</v>
      </c>
      <c r="R25" s="9">
        <v>7</v>
      </c>
      <c r="S25" s="9">
        <v>17</v>
      </c>
      <c r="T25" s="9">
        <v>7</v>
      </c>
      <c r="U25" s="9">
        <v>9</v>
      </c>
      <c r="W25" s="25">
        <v>1</v>
      </c>
      <c r="X25" s="25">
        <v>1</v>
      </c>
      <c r="Y25" s="25">
        <v>1</v>
      </c>
      <c r="Z25" s="25">
        <v>1</v>
      </c>
      <c r="AA25" s="25">
        <v>1</v>
      </c>
      <c r="AC25" s="138" t="str">
        <v>GJ</v>
      </c>
      <c r="AD25" s="99">
        <v>0</v>
      </c>
      <c r="AE25" s="99">
        <v>3</v>
      </c>
      <c r="AF25" s="99">
        <v>9</v>
      </c>
      <c r="AG25" s="99">
        <v>3</v>
      </c>
      <c r="AH25" s="99">
        <v>0</v>
      </c>
      <c r="AI25" s="5"/>
      <c r="AJ25" s="138" t="str">
        <v>GJ</v>
      </c>
      <c r="AK25" s="99">
        <v>0</v>
      </c>
      <c r="AL25" s="99">
        <v>3</v>
      </c>
      <c r="AM25" s="99">
        <v>9</v>
      </c>
      <c r="AN25" s="99">
        <v>3</v>
      </c>
      <c r="AO25" s="99">
        <v>0</v>
      </c>
    </row>
    <row r="26" spans="1:41" ht="16.5" customHeight="1" x14ac:dyDescent="0.3">
      <c r="B26" s="5" t="s">
        <v>244</v>
      </c>
      <c r="C26" s="5">
        <f>SUM(C4:C14)/C24</f>
        <v>1</v>
      </c>
      <c r="D26" s="181">
        <f t="shared" ref="D26:G26" si="1">SUM(D4:D14)/D24</f>
        <v>0.76</v>
      </c>
      <c r="E26" s="181">
        <f t="shared" si="1"/>
        <v>0</v>
      </c>
      <c r="F26" s="181">
        <f t="shared" si="1"/>
        <v>0.75</v>
      </c>
      <c r="G26" s="5">
        <f t="shared" si="1"/>
        <v>1</v>
      </c>
      <c r="I26" s="87"/>
      <c r="J26" s="25">
        <v>22</v>
      </c>
      <c r="K26" s="16" t="s">
        <v>125</v>
      </c>
      <c r="L26" s="16" t="s">
        <v>125</v>
      </c>
      <c r="M26" s="16" t="s">
        <v>97</v>
      </c>
      <c r="N26" s="16" t="s">
        <v>22</v>
      </c>
      <c r="O26" s="16" t="s">
        <v>35</v>
      </c>
      <c r="Q26" s="9">
        <v>6</v>
      </c>
      <c r="R26" s="9">
        <v>6</v>
      </c>
      <c r="S26" s="9">
        <v>19</v>
      </c>
      <c r="T26" s="9">
        <v>3</v>
      </c>
      <c r="U26" s="9">
        <v>8</v>
      </c>
      <c r="W26" s="25">
        <v>1</v>
      </c>
      <c r="X26" s="25">
        <v>1</v>
      </c>
      <c r="Y26" s="25">
        <v>1</v>
      </c>
      <c r="Z26" s="25">
        <v>1</v>
      </c>
      <c r="AA26" s="25">
        <v>1</v>
      </c>
      <c r="AD26" s="113">
        <f>SUM(AD6:AD25)</f>
        <v>199</v>
      </c>
      <c r="AE26" s="113">
        <f>SUM(AE6:AE25)</f>
        <v>208</v>
      </c>
      <c r="AF26" s="113">
        <f>SUM(AF6:AF25)</f>
        <v>198</v>
      </c>
      <c r="AG26" s="113">
        <f>SUM(AG6:AG25)</f>
        <v>207</v>
      </c>
      <c r="AH26" s="113">
        <f>SUM(AH6:AH25)</f>
        <v>198</v>
      </c>
      <c r="AI26" s="5"/>
      <c r="AK26" s="113">
        <f>SUM(AK6:AK25)</f>
        <v>199</v>
      </c>
      <c r="AL26" s="113">
        <f>SUM(AL6:AL25)</f>
        <v>208</v>
      </c>
      <c r="AM26" s="113">
        <f>SUM(AM6:AM25)</f>
        <v>198</v>
      </c>
      <c r="AN26" s="113">
        <f>SUM(AN6:AN25)</f>
        <v>207</v>
      </c>
      <c r="AO26" s="113">
        <f>SUM(AO6:AO25)</f>
        <v>198</v>
      </c>
    </row>
    <row r="27" spans="1:41" ht="16.5" customHeight="1" x14ac:dyDescent="0.3">
      <c r="B27" s="5" t="s">
        <v>245</v>
      </c>
      <c r="C27" s="5">
        <f>SUM(C15:C23)/C24</f>
        <v>0</v>
      </c>
      <c r="D27" s="181">
        <f t="shared" ref="D27:G27" si="2">SUM(D15:D23)/D24</f>
        <v>0.24</v>
      </c>
      <c r="E27" s="181">
        <f t="shared" si="2"/>
        <v>1</v>
      </c>
      <c r="F27" s="181">
        <f t="shared" si="2"/>
        <v>0.25</v>
      </c>
      <c r="G27" s="5">
        <f t="shared" si="2"/>
        <v>0</v>
      </c>
      <c r="I27" s="87"/>
      <c r="J27" s="9">
        <v>23</v>
      </c>
      <c r="K27" s="16" t="s">
        <v>37</v>
      </c>
      <c r="L27" s="16" t="s">
        <v>34</v>
      </c>
      <c r="M27" s="16" t="s">
        <v>112</v>
      </c>
      <c r="N27" s="16" t="s">
        <v>91</v>
      </c>
      <c r="O27" s="16" t="s">
        <v>22</v>
      </c>
      <c r="Q27" s="9">
        <v>7</v>
      </c>
      <c r="R27" s="9">
        <v>9</v>
      </c>
      <c r="S27" s="9">
        <v>17</v>
      </c>
      <c r="T27" s="9">
        <v>14</v>
      </c>
      <c r="U27" s="9">
        <v>3</v>
      </c>
      <c r="W27" s="25">
        <v>1</v>
      </c>
      <c r="X27" s="25">
        <v>1</v>
      </c>
      <c r="Y27" s="25">
        <v>1</v>
      </c>
      <c r="Z27" s="25">
        <v>1</v>
      </c>
      <c r="AA27" s="25">
        <v>1</v>
      </c>
      <c r="AH27" s="5"/>
      <c r="AI27" s="5"/>
      <c r="AO27" s="5"/>
    </row>
    <row r="28" spans="1:41" ht="16.5" customHeight="1" x14ac:dyDescent="0.3">
      <c r="I28" s="87"/>
      <c r="J28" s="25">
        <v>24</v>
      </c>
      <c r="K28" s="16" t="s">
        <v>125</v>
      </c>
      <c r="L28" s="16" t="s">
        <v>37</v>
      </c>
      <c r="M28" s="16" t="s">
        <v>92</v>
      </c>
      <c r="N28" s="16" t="s">
        <v>35</v>
      </c>
      <c r="O28" s="16" t="s">
        <v>37</v>
      </c>
      <c r="Q28" s="9">
        <v>6</v>
      </c>
      <c r="R28" s="9">
        <v>7</v>
      </c>
      <c r="S28" s="9">
        <v>16</v>
      </c>
      <c r="T28" s="9">
        <v>8</v>
      </c>
      <c r="U28" s="9">
        <v>7</v>
      </c>
      <c r="W28" s="25">
        <v>1</v>
      </c>
      <c r="X28" s="25">
        <v>1</v>
      </c>
      <c r="Y28" s="25">
        <v>1</v>
      </c>
      <c r="Z28" s="25">
        <v>1</v>
      </c>
      <c r="AA28" s="25">
        <v>1</v>
      </c>
      <c r="AC28" s="27" t="s">
        <v>132</v>
      </c>
      <c r="AH28" s="5"/>
      <c r="AI28" s="5"/>
      <c r="AJ28" s="27" t="s">
        <v>132</v>
      </c>
      <c r="AO28" s="5"/>
    </row>
    <row r="29" spans="1:41" ht="16.5" customHeight="1" x14ac:dyDescent="0.3">
      <c r="I29" s="87"/>
      <c r="J29" s="9">
        <v>25</v>
      </c>
      <c r="K29" s="16" t="s">
        <v>34</v>
      </c>
      <c r="L29" s="16" t="s">
        <v>19</v>
      </c>
      <c r="M29" s="16" t="s">
        <v>91</v>
      </c>
      <c r="N29" s="16" t="s">
        <v>37</v>
      </c>
      <c r="O29" s="16" t="s">
        <v>18</v>
      </c>
      <c r="Q29" s="9">
        <v>9</v>
      </c>
      <c r="R29" s="9">
        <v>5</v>
      </c>
      <c r="S29" s="9">
        <v>14</v>
      </c>
      <c r="T29" s="9">
        <v>7</v>
      </c>
      <c r="U29" s="9">
        <v>4</v>
      </c>
      <c r="W29" s="25">
        <v>1</v>
      </c>
      <c r="X29" s="25">
        <v>1</v>
      </c>
      <c r="Y29" s="25">
        <v>1</v>
      </c>
      <c r="Z29" s="25">
        <v>1</v>
      </c>
      <c r="AA29" s="25">
        <v>1</v>
      </c>
      <c r="AC29" s="135" t="s">
        <v>42</v>
      </c>
      <c r="AD29" s="135" t="s">
        <v>13</v>
      </c>
      <c r="AE29" s="135" t="s">
        <v>14</v>
      </c>
      <c r="AF29" s="135" t="s">
        <v>15</v>
      </c>
      <c r="AG29" s="135" t="s">
        <v>16</v>
      </c>
      <c r="AH29" s="135" t="s">
        <v>17</v>
      </c>
      <c r="AI29" s="5"/>
      <c r="AJ29" s="135" t="s">
        <v>42</v>
      </c>
      <c r="AK29" s="135" t="s">
        <v>13</v>
      </c>
      <c r="AL29" s="135" t="s">
        <v>14</v>
      </c>
      <c r="AM29" s="135" t="s">
        <v>15</v>
      </c>
      <c r="AN29" s="135" t="s">
        <v>16</v>
      </c>
      <c r="AO29" s="135" t="s">
        <v>17</v>
      </c>
    </row>
    <row r="30" spans="1:41" ht="16.5" customHeight="1" x14ac:dyDescent="0.3">
      <c r="I30" s="87"/>
      <c r="J30" s="25">
        <v>26</v>
      </c>
      <c r="K30" s="16" t="s">
        <v>37</v>
      </c>
      <c r="L30" s="16" t="s">
        <v>37</v>
      </c>
      <c r="M30" s="16" t="s">
        <v>97</v>
      </c>
      <c r="N30" s="16" t="s">
        <v>91</v>
      </c>
      <c r="O30" s="16" t="s">
        <v>21</v>
      </c>
      <c r="Q30" s="9">
        <v>7</v>
      </c>
      <c r="R30" s="9">
        <v>7</v>
      </c>
      <c r="S30" s="9">
        <v>19</v>
      </c>
      <c r="T30" s="9">
        <v>14</v>
      </c>
      <c r="U30" s="9">
        <v>2</v>
      </c>
      <c r="W30" s="25">
        <v>1</v>
      </c>
      <c r="X30" s="25">
        <v>1</v>
      </c>
      <c r="Y30" s="25">
        <v>1</v>
      </c>
      <c r="Z30" s="25">
        <v>1</v>
      </c>
      <c r="AA30" s="25">
        <v>1</v>
      </c>
      <c r="AC30" s="138" t="str" cm="1">
        <f t="array" ref="AC30:AC49">$A$4:$A$23</f>
        <v>WW</v>
      </c>
      <c r="AD30" s="139">
        <v>0</v>
      </c>
      <c r="AE30" s="139">
        <v>0</v>
      </c>
      <c r="AF30" s="139">
        <v>0</v>
      </c>
      <c r="AG30" s="139">
        <v>0</v>
      </c>
      <c r="AH30" s="139">
        <v>0</v>
      </c>
      <c r="AI30" s="5"/>
      <c r="AJ30" s="138" t="str" cm="1">
        <f t="array" ref="AJ30:AJ49">$A$4:$A$23</f>
        <v>WW</v>
      </c>
      <c r="AK30" s="139">
        <v>0</v>
      </c>
      <c r="AL30" s="139">
        <v>0</v>
      </c>
      <c r="AM30" s="139">
        <v>0</v>
      </c>
      <c r="AN30" s="139">
        <v>0</v>
      </c>
      <c r="AO30" s="139">
        <v>0</v>
      </c>
    </row>
    <row r="31" spans="1:41" ht="16.5" customHeight="1" x14ac:dyDescent="0.3">
      <c r="I31" s="87"/>
      <c r="J31" s="9">
        <v>27</v>
      </c>
      <c r="K31" s="16" t="s">
        <v>125</v>
      </c>
      <c r="L31" s="16" t="s">
        <v>22</v>
      </c>
      <c r="M31" s="16" t="s">
        <v>112</v>
      </c>
      <c r="N31" s="16" t="s">
        <v>92</v>
      </c>
      <c r="O31" s="16" t="s">
        <v>36</v>
      </c>
      <c r="Q31" s="9">
        <v>6</v>
      </c>
      <c r="R31" s="9">
        <v>3</v>
      </c>
      <c r="S31" s="9">
        <v>17</v>
      </c>
      <c r="T31" s="9">
        <v>16</v>
      </c>
      <c r="U31" s="9">
        <v>10</v>
      </c>
      <c r="W31" s="25">
        <v>1</v>
      </c>
      <c r="X31" s="25">
        <v>1</v>
      </c>
      <c r="Y31" s="25">
        <v>1</v>
      </c>
      <c r="Z31" s="25">
        <v>1</v>
      </c>
      <c r="AA31" s="25">
        <v>1</v>
      </c>
      <c r="AC31" s="138" t="str">
        <v>C1</v>
      </c>
      <c r="AD31" s="138">
        <v>1</v>
      </c>
      <c r="AE31" s="138">
        <v>1</v>
      </c>
      <c r="AF31" s="138">
        <v>0</v>
      </c>
      <c r="AG31" s="138">
        <v>1</v>
      </c>
      <c r="AH31" s="138">
        <v>1</v>
      </c>
      <c r="AI31" s="5"/>
      <c r="AJ31" s="138" t="str">
        <v>C1</v>
      </c>
      <c r="AK31" s="138">
        <v>1</v>
      </c>
      <c r="AL31" s="138">
        <v>1</v>
      </c>
      <c r="AM31" s="138">
        <v>0</v>
      </c>
      <c r="AN31" s="138">
        <v>1</v>
      </c>
      <c r="AO31" s="138">
        <v>1</v>
      </c>
    </row>
    <row r="32" spans="1:41" ht="16.5" customHeight="1" x14ac:dyDescent="0.3">
      <c r="J32" s="25">
        <v>28</v>
      </c>
      <c r="K32" s="16" t="s">
        <v>35</v>
      </c>
      <c r="L32" s="16" t="s">
        <v>37</v>
      </c>
      <c r="M32" s="16" t="s">
        <v>92</v>
      </c>
      <c r="N32" s="16" t="s">
        <v>125</v>
      </c>
      <c r="O32" s="16" t="s">
        <v>37</v>
      </c>
      <c r="Q32" s="9">
        <v>8</v>
      </c>
      <c r="R32" s="9">
        <v>7</v>
      </c>
      <c r="S32" s="9">
        <v>16</v>
      </c>
      <c r="T32" s="9">
        <v>6</v>
      </c>
      <c r="U32" s="9">
        <v>7</v>
      </c>
      <c r="W32" s="25">
        <v>1</v>
      </c>
      <c r="X32" s="25">
        <v>1</v>
      </c>
      <c r="Y32" s="25">
        <v>1</v>
      </c>
      <c r="Z32" s="25">
        <v>1</v>
      </c>
      <c r="AA32" s="25">
        <v>1</v>
      </c>
      <c r="AC32" s="154" t="str">
        <v>M1</v>
      </c>
      <c r="AD32" s="133">
        <v>3</v>
      </c>
      <c r="AE32" s="133">
        <v>10</v>
      </c>
      <c r="AF32" s="133">
        <v>0</v>
      </c>
      <c r="AG32" s="133">
        <v>3</v>
      </c>
      <c r="AH32" s="133">
        <v>9</v>
      </c>
      <c r="AI32" s="5"/>
      <c r="AJ32" s="154" t="str">
        <v>M1</v>
      </c>
      <c r="AK32" s="133">
        <v>3</v>
      </c>
      <c r="AL32" s="133">
        <v>10</v>
      </c>
      <c r="AM32" s="133">
        <v>0</v>
      </c>
      <c r="AN32" s="133">
        <v>3</v>
      </c>
      <c r="AO32" s="133">
        <v>9</v>
      </c>
    </row>
    <row r="33" spans="10:41" ht="16.5" customHeight="1" x14ac:dyDescent="0.3">
      <c r="J33" s="9">
        <v>29</v>
      </c>
      <c r="K33" s="16" t="s">
        <v>19</v>
      </c>
      <c r="L33" s="16" t="s">
        <v>35</v>
      </c>
      <c r="M33" s="16" t="s">
        <v>112</v>
      </c>
      <c r="N33" s="16" t="s">
        <v>126</v>
      </c>
      <c r="O33" s="16" t="s">
        <v>21</v>
      </c>
      <c r="Q33" s="9">
        <v>5</v>
      </c>
      <c r="R33" s="9">
        <v>8</v>
      </c>
      <c r="S33" s="9">
        <v>17</v>
      </c>
      <c r="T33" s="9">
        <v>15</v>
      </c>
      <c r="U33" s="9">
        <v>2</v>
      </c>
      <c r="W33" s="25">
        <v>1</v>
      </c>
      <c r="X33" s="25">
        <v>1</v>
      </c>
      <c r="Y33" s="25">
        <v>1</v>
      </c>
      <c r="Z33" s="25">
        <v>1</v>
      </c>
      <c r="AA33" s="25">
        <v>1</v>
      </c>
      <c r="AC33" s="154" t="str">
        <v>M2</v>
      </c>
      <c r="AD33" s="133">
        <v>3</v>
      </c>
      <c r="AE33" s="133">
        <v>12</v>
      </c>
      <c r="AF33" s="133">
        <v>0</v>
      </c>
      <c r="AG33" s="133">
        <v>3</v>
      </c>
      <c r="AH33" s="133">
        <v>8</v>
      </c>
      <c r="AI33" s="5"/>
      <c r="AJ33" s="154" t="str">
        <v>M2</v>
      </c>
      <c r="AK33" s="133">
        <v>3</v>
      </c>
      <c r="AL33" s="133">
        <v>12</v>
      </c>
      <c r="AM33" s="133">
        <v>0</v>
      </c>
      <c r="AN33" s="133">
        <v>3</v>
      </c>
      <c r="AO33" s="133">
        <v>8</v>
      </c>
    </row>
    <row r="34" spans="10:41" ht="16.5" customHeight="1" x14ac:dyDescent="0.3">
      <c r="J34" s="25">
        <v>30</v>
      </c>
      <c r="K34" s="16" t="s">
        <v>36</v>
      </c>
      <c r="L34" s="16" t="s">
        <v>92</v>
      </c>
      <c r="M34" s="16" t="s">
        <v>92</v>
      </c>
      <c r="N34" s="16" t="s">
        <v>35</v>
      </c>
      <c r="O34" s="16" t="s">
        <v>19</v>
      </c>
      <c r="Q34" s="9">
        <v>10</v>
      </c>
      <c r="R34" s="9">
        <v>16</v>
      </c>
      <c r="S34" s="9">
        <v>16</v>
      </c>
      <c r="T34" s="9">
        <v>8</v>
      </c>
      <c r="U34" s="9">
        <v>5</v>
      </c>
      <c r="W34" s="25">
        <v>1</v>
      </c>
      <c r="X34" s="25">
        <v>1</v>
      </c>
      <c r="Y34" s="25">
        <v>1</v>
      </c>
      <c r="Z34" s="25">
        <v>1</v>
      </c>
      <c r="AA34" s="25">
        <v>1</v>
      </c>
      <c r="AC34" s="154" t="str">
        <v>M3</v>
      </c>
      <c r="AD34" s="133">
        <v>7</v>
      </c>
      <c r="AE34" s="133">
        <v>13</v>
      </c>
      <c r="AF34" s="133">
        <v>0</v>
      </c>
      <c r="AG34" s="133">
        <v>7</v>
      </c>
      <c r="AH34" s="133">
        <v>14</v>
      </c>
      <c r="AI34" s="5"/>
      <c r="AJ34" s="154" t="str">
        <v>M3</v>
      </c>
      <c r="AK34" s="133">
        <v>7</v>
      </c>
      <c r="AL34" s="133">
        <v>13</v>
      </c>
      <c r="AM34" s="133">
        <v>0</v>
      </c>
      <c r="AN34" s="133">
        <v>7</v>
      </c>
      <c r="AO34" s="133">
        <v>14</v>
      </c>
    </row>
    <row r="35" spans="10:41" ht="16.5" customHeight="1" x14ac:dyDescent="0.3">
      <c r="J35" s="9">
        <v>31</v>
      </c>
      <c r="K35" s="16" t="s">
        <v>19</v>
      </c>
      <c r="L35" s="16" t="s">
        <v>125</v>
      </c>
      <c r="M35" s="16" t="s">
        <v>112</v>
      </c>
      <c r="N35" s="16" t="s">
        <v>125</v>
      </c>
      <c r="O35" s="16" t="s">
        <v>35</v>
      </c>
      <c r="Q35" s="9">
        <v>5</v>
      </c>
      <c r="R35" s="9">
        <v>6</v>
      </c>
      <c r="S35" s="9">
        <v>17</v>
      </c>
      <c r="T35" s="9">
        <v>6</v>
      </c>
      <c r="U35" s="9">
        <v>8</v>
      </c>
      <c r="W35" s="25">
        <v>1</v>
      </c>
      <c r="X35" s="25">
        <v>1</v>
      </c>
      <c r="Y35" s="25">
        <v>1</v>
      </c>
      <c r="Z35" s="25">
        <v>1</v>
      </c>
      <c r="AA35" s="25">
        <v>1</v>
      </c>
      <c r="AC35" s="154" t="str">
        <v>M4</v>
      </c>
      <c r="AD35" s="133">
        <v>43</v>
      </c>
      <c r="AE35" s="133">
        <v>22</v>
      </c>
      <c r="AF35" s="133">
        <v>0</v>
      </c>
      <c r="AG35" s="133">
        <v>31</v>
      </c>
      <c r="AH35" s="133">
        <v>36</v>
      </c>
      <c r="AI35" s="5"/>
      <c r="AJ35" s="154" t="str">
        <v>M4</v>
      </c>
      <c r="AK35" s="133">
        <v>43</v>
      </c>
      <c r="AL35" s="133">
        <v>22</v>
      </c>
      <c r="AM35" s="133">
        <v>0</v>
      </c>
      <c r="AN35" s="133">
        <v>31</v>
      </c>
      <c r="AO35" s="133">
        <v>36</v>
      </c>
    </row>
    <row r="36" spans="10:41" ht="16.5" customHeight="1" x14ac:dyDescent="0.3">
      <c r="J36" s="25">
        <v>32</v>
      </c>
      <c r="K36" s="16" t="s">
        <v>125</v>
      </c>
      <c r="L36" s="16" t="s">
        <v>18</v>
      </c>
      <c r="M36" s="16" t="s">
        <v>90</v>
      </c>
      <c r="N36" s="16" t="s">
        <v>126</v>
      </c>
      <c r="O36" s="16" t="s">
        <v>18</v>
      </c>
      <c r="Q36" s="9">
        <v>6</v>
      </c>
      <c r="R36" s="9">
        <v>4</v>
      </c>
      <c r="S36" s="9">
        <v>13</v>
      </c>
      <c r="T36" s="9">
        <v>15</v>
      </c>
      <c r="U36" s="9">
        <v>4</v>
      </c>
      <c r="W36" s="25">
        <v>1</v>
      </c>
      <c r="X36" s="25">
        <v>1</v>
      </c>
      <c r="Y36" s="25">
        <v>1</v>
      </c>
      <c r="Z36" s="25">
        <v>1</v>
      </c>
      <c r="AA36" s="25">
        <v>1</v>
      </c>
      <c r="AC36" s="154" t="str">
        <v>M5</v>
      </c>
      <c r="AD36" s="133">
        <v>42</v>
      </c>
      <c r="AE36" s="133">
        <v>22</v>
      </c>
      <c r="AF36" s="133">
        <v>0</v>
      </c>
      <c r="AG36" s="133">
        <v>27</v>
      </c>
      <c r="AH36" s="133">
        <v>34</v>
      </c>
      <c r="AI36" s="5"/>
      <c r="AJ36" s="154" t="str">
        <v>M5</v>
      </c>
      <c r="AK36" s="133">
        <v>42</v>
      </c>
      <c r="AL36" s="133">
        <v>22</v>
      </c>
      <c r="AM36" s="133">
        <v>0</v>
      </c>
      <c r="AN36" s="133">
        <v>27</v>
      </c>
      <c r="AO36" s="133">
        <v>34</v>
      </c>
    </row>
    <row r="37" spans="10:41" ht="16.5" customHeight="1" x14ac:dyDescent="0.3">
      <c r="J37" s="9">
        <v>33</v>
      </c>
      <c r="K37" s="16" t="s">
        <v>35</v>
      </c>
      <c r="L37" s="16" t="s">
        <v>95</v>
      </c>
      <c r="M37" s="16" t="s">
        <v>92</v>
      </c>
      <c r="N37" s="16" t="s">
        <v>37</v>
      </c>
      <c r="O37" s="16" t="s">
        <v>21</v>
      </c>
      <c r="Q37" s="9">
        <v>8</v>
      </c>
      <c r="R37" s="9">
        <v>18</v>
      </c>
      <c r="S37" s="9">
        <v>16</v>
      </c>
      <c r="T37" s="9">
        <v>7</v>
      </c>
      <c r="U37" s="9">
        <v>2</v>
      </c>
      <c r="W37" s="25">
        <v>1</v>
      </c>
      <c r="X37" s="25">
        <v>1</v>
      </c>
      <c r="Y37" s="25">
        <v>1</v>
      </c>
      <c r="Z37" s="25">
        <v>1</v>
      </c>
      <c r="AA37" s="25">
        <v>1</v>
      </c>
      <c r="AC37" s="154" t="str">
        <v>A</v>
      </c>
      <c r="AD37" s="133">
        <v>43</v>
      </c>
      <c r="AE37" s="133">
        <v>27</v>
      </c>
      <c r="AF37" s="133">
        <v>0</v>
      </c>
      <c r="AG37" s="133">
        <v>31</v>
      </c>
      <c r="AH37" s="133">
        <v>35</v>
      </c>
      <c r="AI37" s="5"/>
      <c r="AJ37" s="154" t="str">
        <v>A</v>
      </c>
      <c r="AK37" s="133">
        <v>43</v>
      </c>
      <c r="AL37" s="133">
        <v>27</v>
      </c>
      <c r="AM37" s="133">
        <v>0</v>
      </c>
      <c r="AN37" s="133">
        <v>31</v>
      </c>
      <c r="AO37" s="133">
        <v>35</v>
      </c>
    </row>
    <row r="38" spans="10:41" ht="16.5" customHeight="1" x14ac:dyDescent="0.3">
      <c r="J38" s="25">
        <v>34</v>
      </c>
      <c r="K38" s="16" t="s">
        <v>37</v>
      </c>
      <c r="L38" s="16" t="s">
        <v>19</v>
      </c>
      <c r="M38" s="16" t="s">
        <v>95</v>
      </c>
      <c r="N38" s="16" t="s">
        <v>112</v>
      </c>
      <c r="O38" s="16" t="s">
        <v>125</v>
      </c>
      <c r="Q38" s="9">
        <v>7</v>
      </c>
      <c r="R38" s="9">
        <v>5</v>
      </c>
      <c r="S38" s="9">
        <v>18</v>
      </c>
      <c r="T38" s="9">
        <v>17</v>
      </c>
      <c r="U38" s="9">
        <v>6</v>
      </c>
      <c r="W38" s="25">
        <v>1</v>
      </c>
      <c r="X38" s="25">
        <v>1</v>
      </c>
      <c r="Y38" s="25">
        <v>1</v>
      </c>
      <c r="Z38" s="25">
        <v>1</v>
      </c>
      <c r="AA38" s="25">
        <v>1</v>
      </c>
      <c r="AC38" s="154" t="str">
        <v>K</v>
      </c>
      <c r="AD38" s="133">
        <v>43</v>
      </c>
      <c r="AE38" s="133">
        <v>24</v>
      </c>
      <c r="AF38" s="133">
        <v>0</v>
      </c>
      <c r="AG38" s="133">
        <v>32</v>
      </c>
      <c r="AH38" s="133">
        <v>34</v>
      </c>
      <c r="AI38" s="5"/>
      <c r="AJ38" s="154" t="str">
        <v>K</v>
      </c>
      <c r="AK38" s="133">
        <v>43</v>
      </c>
      <c r="AL38" s="133">
        <v>24</v>
      </c>
      <c r="AM38" s="133">
        <v>0</v>
      </c>
      <c r="AN38" s="133">
        <v>32</v>
      </c>
      <c r="AO38" s="133">
        <v>34</v>
      </c>
    </row>
    <row r="39" spans="10:41" ht="16.5" customHeight="1" x14ac:dyDescent="0.3">
      <c r="J39" s="9">
        <v>35</v>
      </c>
      <c r="K39" s="16" t="s">
        <v>125</v>
      </c>
      <c r="L39" s="16" t="s">
        <v>18</v>
      </c>
      <c r="M39" s="16" t="s">
        <v>126</v>
      </c>
      <c r="N39" s="16" t="s">
        <v>18</v>
      </c>
      <c r="O39" s="16" t="s">
        <v>19</v>
      </c>
      <c r="Q39" s="9">
        <v>6</v>
      </c>
      <c r="R39" s="9">
        <v>4</v>
      </c>
      <c r="S39" s="9">
        <v>15</v>
      </c>
      <c r="T39" s="9">
        <v>4</v>
      </c>
      <c r="U39" s="9">
        <v>5</v>
      </c>
      <c r="W39" s="25">
        <v>1</v>
      </c>
      <c r="X39" s="25">
        <v>1</v>
      </c>
      <c r="Y39" s="25">
        <v>1</v>
      </c>
      <c r="Z39" s="25">
        <v>1</v>
      </c>
      <c r="AA39" s="25">
        <v>1</v>
      </c>
      <c r="AC39" s="154" t="str">
        <v>Q</v>
      </c>
      <c r="AD39" s="133">
        <v>7</v>
      </c>
      <c r="AE39" s="133">
        <v>12</v>
      </c>
      <c r="AF39" s="133">
        <v>0</v>
      </c>
      <c r="AG39" s="133">
        <v>6</v>
      </c>
      <c r="AH39" s="133">
        <v>13</v>
      </c>
      <c r="AI39" s="5"/>
      <c r="AJ39" s="154" t="str">
        <v>Q</v>
      </c>
      <c r="AK39" s="133">
        <v>7</v>
      </c>
      <c r="AL39" s="133">
        <v>12</v>
      </c>
      <c r="AM39" s="133">
        <v>0</v>
      </c>
      <c r="AN39" s="133">
        <v>6</v>
      </c>
      <c r="AO39" s="133">
        <v>13</v>
      </c>
    </row>
    <row r="40" spans="10:41" ht="16.5" customHeight="1" x14ac:dyDescent="0.3">
      <c r="J40" s="25">
        <v>36</v>
      </c>
      <c r="K40" s="16" t="s">
        <v>19</v>
      </c>
      <c r="L40" s="16" t="s">
        <v>19</v>
      </c>
      <c r="M40" s="16" t="s">
        <v>92</v>
      </c>
      <c r="N40" s="16" t="s">
        <v>35</v>
      </c>
      <c r="O40" s="16" t="s">
        <v>37</v>
      </c>
      <c r="Q40" s="9">
        <v>5</v>
      </c>
      <c r="R40" s="9">
        <v>5</v>
      </c>
      <c r="S40" s="9">
        <v>16</v>
      </c>
      <c r="T40" s="9">
        <v>8</v>
      </c>
      <c r="U40" s="9">
        <v>7</v>
      </c>
      <c r="W40" s="25">
        <v>1</v>
      </c>
      <c r="X40" s="25">
        <v>1</v>
      </c>
      <c r="Y40" s="25">
        <v>1</v>
      </c>
      <c r="Z40" s="25">
        <v>1</v>
      </c>
      <c r="AA40" s="25">
        <v>1</v>
      </c>
      <c r="AC40" s="154" t="str">
        <v>J</v>
      </c>
      <c r="AD40" s="133">
        <v>7</v>
      </c>
      <c r="AE40" s="133">
        <v>8</v>
      </c>
      <c r="AF40" s="133">
        <v>0</v>
      </c>
      <c r="AG40" s="133">
        <v>7</v>
      </c>
      <c r="AH40" s="133">
        <v>14</v>
      </c>
      <c r="AI40" s="5"/>
      <c r="AJ40" s="154" t="str">
        <v>J</v>
      </c>
      <c r="AK40" s="133">
        <v>7</v>
      </c>
      <c r="AL40" s="133">
        <v>8</v>
      </c>
      <c r="AM40" s="133">
        <v>0</v>
      </c>
      <c r="AN40" s="133">
        <v>7</v>
      </c>
      <c r="AO40" s="133">
        <v>14</v>
      </c>
    </row>
    <row r="41" spans="10:41" ht="16.5" customHeight="1" x14ac:dyDescent="0.3">
      <c r="J41" s="9">
        <v>37</v>
      </c>
      <c r="K41" s="16" t="s">
        <v>125</v>
      </c>
      <c r="L41" s="16" t="s">
        <v>125</v>
      </c>
      <c r="M41" s="16" t="s">
        <v>97</v>
      </c>
      <c r="N41" s="16" t="s">
        <v>88</v>
      </c>
      <c r="O41" s="16" t="s">
        <v>125</v>
      </c>
      <c r="Q41" s="9">
        <v>6</v>
      </c>
      <c r="R41" s="9">
        <v>6</v>
      </c>
      <c r="S41" s="9">
        <v>19</v>
      </c>
      <c r="T41" s="9">
        <v>11</v>
      </c>
      <c r="U41" s="9">
        <v>6</v>
      </c>
      <c r="W41" s="25">
        <v>1</v>
      </c>
      <c r="X41" s="25">
        <v>1</v>
      </c>
      <c r="Y41" s="25">
        <v>1</v>
      </c>
      <c r="Z41" s="25">
        <v>1</v>
      </c>
      <c r="AA41" s="25">
        <v>1</v>
      </c>
      <c r="AC41" s="138" t="str">
        <v>G1</v>
      </c>
      <c r="AD41" s="99">
        <v>0</v>
      </c>
      <c r="AE41" s="99">
        <v>3</v>
      </c>
      <c r="AF41" s="99">
        <v>3</v>
      </c>
      <c r="AG41" s="99">
        <v>2</v>
      </c>
      <c r="AH41" s="99">
        <v>0</v>
      </c>
      <c r="AI41" s="5"/>
      <c r="AJ41" s="138" t="str">
        <v>G1</v>
      </c>
      <c r="AK41" s="99">
        <v>0</v>
      </c>
      <c r="AL41" s="99">
        <v>3</v>
      </c>
      <c r="AM41" s="99">
        <v>3</v>
      </c>
      <c r="AN41" s="99">
        <v>2</v>
      </c>
      <c r="AO41" s="99">
        <v>0</v>
      </c>
    </row>
    <row r="42" spans="10:41" ht="16.5" customHeight="1" x14ac:dyDescent="0.3">
      <c r="J42" s="25">
        <v>38</v>
      </c>
      <c r="K42" s="16" t="s">
        <v>35</v>
      </c>
      <c r="L42" s="16" t="s">
        <v>37</v>
      </c>
      <c r="M42" s="16" t="s">
        <v>91</v>
      </c>
      <c r="N42" s="16" t="s">
        <v>35</v>
      </c>
      <c r="O42" s="16" t="s">
        <v>35</v>
      </c>
      <c r="Q42" s="9">
        <v>8</v>
      </c>
      <c r="R42" s="9">
        <v>7</v>
      </c>
      <c r="S42" s="9">
        <v>14</v>
      </c>
      <c r="T42" s="9">
        <v>8</v>
      </c>
      <c r="U42" s="9">
        <v>8</v>
      </c>
      <c r="W42" s="25">
        <v>1</v>
      </c>
      <c r="X42" s="25">
        <v>1</v>
      </c>
      <c r="Y42" s="25">
        <v>1</v>
      </c>
      <c r="Z42" s="25">
        <v>1</v>
      </c>
      <c r="AA42" s="25">
        <v>1</v>
      </c>
      <c r="AC42" s="138" t="str">
        <v>G2</v>
      </c>
      <c r="AD42" s="99">
        <v>0</v>
      </c>
      <c r="AE42" s="99">
        <v>4</v>
      </c>
      <c r="AF42" s="99">
        <v>1</v>
      </c>
      <c r="AG42" s="99">
        <v>2</v>
      </c>
      <c r="AH42" s="99">
        <v>0</v>
      </c>
      <c r="AI42" s="5"/>
      <c r="AJ42" s="138" t="str">
        <v>G2</v>
      </c>
      <c r="AK42" s="99">
        <v>0</v>
      </c>
      <c r="AL42" s="99">
        <v>4</v>
      </c>
      <c r="AM42" s="99">
        <v>1</v>
      </c>
      <c r="AN42" s="99">
        <v>2</v>
      </c>
      <c r="AO42" s="99">
        <v>0</v>
      </c>
    </row>
    <row r="43" spans="10:41" ht="16.5" customHeight="1" x14ac:dyDescent="0.3">
      <c r="J43" s="9">
        <v>39</v>
      </c>
      <c r="K43" s="16" t="s">
        <v>37</v>
      </c>
      <c r="L43" s="16" t="s">
        <v>125</v>
      </c>
      <c r="M43" s="16" t="s">
        <v>92</v>
      </c>
      <c r="N43" s="16" t="s">
        <v>19</v>
      </c>
      <c r="O43" s="16" t="s">
        <v>37</v>
      </c>
      <c r="Q43" s="9">
        <v>7</v>
      </c>
      <c r="R43" s="9">
        <v>6</v>
      </c>
      <c r="S43" s="9">
        <v>16</v>
      </c>
      <c r="T43" s="9">
        <v>5</v>
      </c>
      <c r="U43" s="9">
        <v>7</v>
      </c>
      <c r="W43" s="25">
        <v>1</v>
      </c>
      <c r="X43" s="25">
        <v>1</v>
      </c>
      <c r="Y43" s="25">
        <v>1</v>
      </c>
      <c r="Z43" s="25">
        <v>1</v>
      </c>
      <c r="AA43" s="25">
        <v>1</v>
      </c>
      <c r="AC43" s="138" t="str">
        <v>G3</v>
      </c>
      <c r="AD43" s="99">
        <v>0</v>
      </c>
      <c r="AE43" s="99">
        <v>4</v>
      </c>
      <c r="AF43" s="99">
        <v>8</v>
      </c>
      <c r="AG43" s="99">
        <v>3</v>
      </c>
      <c r="AH43" s="99">
        <v>0</v>
      </c>
      <c r="AI43" s="5"/>
      <c r="AJ43" s="138" t="str">
        <v>G3</v>
      </c>
      <c r="AK43" s="99">
        <v>0</v>
      </c>
      <c r="AL43" s="99">
        <v>4</v>
      </c>
      <c r="AM43" s="99">
        <v>8</v>
      </c>
      <c r="AN43" s="99">
        <v>3</v>
      </c>
      <c r="AO43" s="99">
        <v>0</v>
      </c>
    </row>
    <row r="44" spans="10:41" ht="16.5" customHeight="1" x14ac:dyDescent="0.3">
      <c r="J44" s="25">
        <v>40</v>
      </c>
      <c r="K44" s="16" t="s">
        <v>36</v>
      </c>
      <c r="L44" s="16" t="s">
        <v>34</v>
      </c>
      <c r="M44" s="16" t="s">
        <v>91</v>
      </c>
      <c r="N44" s="16" t="s">
        <v>35</v>
      </c>
      <c r="O44" s="16" t="s">
        <v>35</v>
      </c>
      <c r="Q44" s="9">
        <v>10</v>
      </c>
      <c r="R44" s="9">
        <v>9</v>
      </c>
      <c r="S44" s="9">
        <v>14</v>
      </c>
      <c r="T44" s="9">
        <v>8</v>
      </c>
      <c r="U44" s="9">
        <v>8</v>
      </c>
      <c r="W44" s="25">
        <v>1</v>
      </c>
      <c r="X44" s="25">
        <v>1</v>
      </c>
      <c r="Y44" s="25">
        <v>1</v>
      </c>
      <c r="Z44" s="25">
        <v>1</v>
      </c>
      <c r="AA44" s="25">
        <v>1</v>
      </c>
      <c r="AC44" s="138" t="str">
        <v>G4</v>
      </c>
      <c r="AD44" s="99">
        <v>0</v>
      </c>
      <c r="AE44" s="99">
        <v>9</v>
      </c>
      <c r="AF44" s="99">
        <v>43</v>
      </c>
      <c r="AG44" s="99">
        <v>12</v>
      </c>
      <c r="AH44" s="99">
        <v>0</v>
      </c>
      <c r="AI44" s="5"/>
      <c r="AJ44" s="138" t="str">
        <v>G4</v>
      </c>
      <c r="AK44" s="99">
        <v>0</v>
      </c>
      <c r="AL44" s="99">
        <v>9</v>
      </c>
      <c r="AM44" s="99">
        <v>43</v>
      </c>
      <c r="AN44" s="99">
        <v>12</v>
      </c>
      <c r="AO44" s="99">
        <v>0</v>
      </c>
    </row>
    <row r="45" spans="10:41" ht="16.5" customHeight="1" x14ac:dyDescent="0.3">
      <c r="J45" s="9">
        <v>41</v>
      </c>
      <c r="K45" s="16" t="s">
        <v>37</v>
      </c>
      <c r="L45" s="16" t="s">
        <v>125</v>
      </c>
      <c r="M45" s="16" t="s">
        <v>126</v>
      </c>
      <c r="N45" s="16" t="s">
        <v>125</v>
      </c>
      <c r="O45" s="16" t="s">
        <v>21</v>
      </c>
      <c r="Q45" s="9">
        <v>7</v>
      </c>
      <c r="R45" s="9">
        <v>6</v>
      </c>
      <c r="S45" s="9">
        <v>15</v>
      </c>
      <c r="T45" s="9">
        <v>6</v>
      </c>
      <c r="U45" s="9">
        <v>2</v>
      </c>
      <c r="W45" s="25">
        <v>1</v>
      </c>
      <c r="X45" s="25">
        <v>1</v>
      </c>
      <c r="Y45" s="25">
        <v>1</v>
      </c>
      <c r="Z45" s="25">
        <v>1</v>
      </c>
      <c r="AA45" s="25">
        <v>1</v>
      </c>
      <c r="AC45" s="138" t="str">
        <v>G5</v>
      </c>
      <c r="AD45" s="99">
        <v>0</v>
      </c>
      <c r="AE45" s="99">
        <v>9</v>
      </c>
      <c r="AF45" s="99">
        <v>42</v>
      </c>
      <c r="AG45" s="99">
        <v>13</v>
      </c>
      <c r="AH45" s="99">
        <v>0</v>
      </c>
      <c r="AI45" s="5"/>
      <c r="AJ45" s="138" t="str">
        <v>G5</v>
      </c>
      <c r="AK45" s="99">
        <v>0</v>
      </c>
      <c r="AL45" s="99">
        <v>9</v>
      </c>
      <c r="AM45" s="99">
        <v>42</v>
      </c>
      <c r="AN45" s="99">
        <v>13</v>
      </c>
      <c r="AO45" s="99">
        <v>0</v>
      </c>
    </row>
    <row r="46" spans="10:41" ht="16.5" customHeight="1" x14ac:dyDescent="0.3">
      <c r="J46" s="25">
        <v>42</v>
      </c>
      <c r="K46" s="16" t="s">
        <v>35</v>
      </c>
      <c r="L46" s="16" t="s">
        <v>22</v>
      </c>
      <c r="M46" s="16" t="s">
        <v>92</v>
      </c>
      <c r="N46" s="16" t="s">
        <v>35</v>
      </c>
      <c r="O46" s="16" t="s">
        <v>19</v>
      </c>
      <c r="Q46" s="9">
        <v>8</v>
      </c>
      <c r="R46" s="9">
        <v>3</v>
      </c>
      <c r="S46" s="9">
        <v>16</v>
      </c>
      <c r="T46" s="9">
        <v>8</v>
      </c>
      <c r="U46" s="9">
        <v>5</v>
      </c>
      <c r="W46" s="25">
        <v>1</v>
      </c>
      <c r="X46" s="25">
        <v>1</v>
      </c>
      <c r="Y46" s="25">
        <v>1</v>
      </c>
      <c r="Z46" s="25">
        <v>1</v>
      </c>
      <c r="AA46" s="25">
        <v>1</v>
      </c>
      <c r="AC46" s="138" t="str">
        <v>GA</v>
      </c>
      <c r="AD46" s="99">
        <v>0</v>
      </c>
      <c r="AE46" s="99">
        <v>11</v>
      </c>
      <c r="AF46" s="99">
        <v>42</v>
      </c>
      <c r="AG46" s="99">
        <v>11</v>
      </c>
      <c r="AH46" s="99">
        <v>0</v>
      </c>
      <c r="AI46" s="5"/>
      <c r="AJ46" s="138" t="str">
        <v>GA</v>
      </c>
      <c r="AK46" s="99">
        <v>0</v>
      </c>
      <c r="AL46" s="99">
        <v>11</v>
      </c>
      <c r="AM46" s="99">
        <v>42</v>
      </c>
      <c r="AN46" s="99">
        <v>11</v>
      </c>
      <c r="AO46" s="99">
        <v>0</v>
      </c>
    </row>
    <row r="47" spans="10:41" ht="16.5" customHeight="1" x14ac:dyDescent="0.3">
      <c r="J47" s="9">
        <v>43</v>
      </c>
      <c r="K47" s="16" t="s">
        <v>125</v>
      </c>
      <c r="L47" s="16" t="s">
        <v>18</v>
      </c>
      <c r="M47" s="16" t="s">
        <v>126</v>
      </c>
      <c r="N47" s="16" t="s">
        <v>19</v>
      </c>
      <c r="O47" s="16" t="s">
        <v>35</v>
      </c>
      <c r="Q47" s="9">
        <v>6</v>
      </c>
      <c r="R47" s="9">
        <v>4</v>
      </c>
      <c r="S47" s="9">
        <v>15</v>
      </c>
      <c r="T47" s="9">
        <v>5</v>
      </c>
      <c r="U47" s="9">
        <v>8</v>
      </c>
      <c r="W47" s="25">
        <v>1</v>
      </c>
      <c r="X47" s="25">
        <v>1</v>
      </c>
      <c r="Y47" s="25">
        <v>1</v>
      </c>
      <c r="Z47" s="25">
        <v>1</v>
      </c>
      <c r="AA47" s="25">
        <v>1</v>
      </c>
      <c r="AC47" s="138" t="str">
        <v>GK</v>
      </c>
      <c r="AD47" s="99">
        <v>0</v>
      </c>
      <c r="AE47" s="99">
        <v>10</v>
      </c>
      <c r="AF47" s="99">
        <v>44</v>
      </c>
      <c r="AG47" s="99">
        <v>11</v>
      </c>
      <c r="AH47" s="99">
        <v>0</v>
      </c>
      <c r="AI47" s="5"/>
      <c r="AJ47" s="138" t="str">
        <v>GK</v>
      </c>
      <c r="AK47" s="99">
        <v>0</v>
      </c>
      <c r="AL47" s="99">
        <v>10</v>
      </c>
      <c r="AM47" s="99">
        <v>44</v>
      </c>
      <c r="AN47" s="99">
        <v>11</v>
      </c>
      <c r="AO47" s="99">
        <v>0</v>
      </c>
    </row>
    <row r="48" spans="10:41" ht="16.5" customHeight="1" x14ac:dyDescent="0.3">
      <c r="J48" s="25">
        <v>44</v>
      </c>
      <c r="K48" s="16" t="s">
        <v>22</v>
      </c>
      <c r="L48" s="16" t="s">
        <v>37</v>
      </c>
      <c r="M48" s="16" t="s">
        <v>112</v>
      </c>
      <c r="N48" s="16" t="s">
        <v>37</v>
      </c>
      <c r="O48" s="16" t="s">
        <v>125</v>
      </c>
      <c r="Q48" s="9">
        <v>3</v>
      </c>
      <c r="R48" s="9">
        <v>7</v>
      </c>
      <c r="S48" s="9">
        <v>17</v>
      </c>
      <c r="T48" s="9">
        <v>7</v>
      </c>
      <c r="U48" s="9">
        <v>6</v>
      </c>
      <c r="W48" s="25">
        <v>1</v>
      </c>
      <c r="X48" s="25">
        <v>1</v>
      </c>
      <c r="Y48" s="25">
        <v>1</v>
      </c>
      <c r="Z48" s="25">
        <v>1</v>
      </c>
      <c r="AA48" s="25">
        <v>1</v>
      </c>
      <c r="AC48" s="138" t="str">
        <v>GQ</v>
      </c>
      <c r="AD48" s="99">
        <v>0</v>
      </c>
      <c r="AE48" s="99">
        <v>4</v>
      </c>
      <c r="AF48" s="99">
        <v>6</v>
      </c>
      <c r="AG48" s="99">
        <v>2</v>
      </c>
      <c r="AH48" s="99">
        <v>0</v>
      </c>
      <c r="AI48" s="5"/>
      <c r="AJ48" s="138" t="str">
        <v>GQ</v>
      </c>
      <c r="AK48" s="99">
        <v>0</v>
      </c>
      <c r="AL48" s="99">
        <v>4</v>
      </c>
      <c r="AM48" s="99">
        <v>6</v>
      </c>
      <c r="AN48" s="99">
        <v>2</v>
      </c>
      <c r="AO48" s="99">
        <v>0</v>
      </c>
    </row>
    <row r="49" spans="10:41" ht="16.5" customHeight="1" x14ac:dyDescent="0.3">
      <c r="J49" s="9">
        <v>45</v>
      </c>
      <c r="K49" s="16" t="s">
        <v>37</v>
      </c>
      <c r="L49" s="16" t="s">
        <v>125</v>
      </c>
      <c r="M49" s="16" t="s">
        <v>92</v>
      </c>
      <c r="N49" s="16" t="s">
        <v>126</v>
      </c>
      <c r="O49" s="16" t="s">
        <v>18</v>
      </c>
      <c r="Q49" s="9">
        <v>7</v>
      </c>
      <c r="R49" s="9">
        <v>6</v>
      </c>
      <c r="S49" s="9">
        <v>16</v>
      </c>
      <c r="T49" s="9">
        <v>15</v>
      </c>
      <c r="U49" s="9">
        <v>4</v>
      </c>
      <c r="W49" s="25">
        <v>1</v>
      </c>
      <c r="X49" s="25">
        <v>1</v>
      </c>
      <c r="Y49" s="25">
        <v>1</v>
      </c>
      <c r="Z49" s="25">
        <v>1</v>
      </c>
      <c r="AA49" s="25">
        <v>1</v>
      </c>
      <c r="AC49" s="138" t="str">
        <v>GJ</v>
      </c>
      <c r="AD49" s="99">
        <v>0</v>
      </c>
      <c r="AE49" s="99">
        <v>3</v>
      </c>
      <c r="AF49" s="99">
        <v>9</v>
      </c>
      <c r="AG49" s="99">
        <v>3</v>
      </c>
      <c r="AH49" s="99">
        <v>0</v>
      </c>
      <c r="AI49" s="5"/>
      <c r="AJ49" s="138" t="str">
        <v>GJ</v>
      </c>
      <c r="AK49" s="99">
        <v>0</v>
      </c>
      <c r="AL49" s="99">
        <v>3</v>
      </c>
      <c r="AM49" s="99">
        <v>9</v>
      </c>
      <c r="AN49" s="99">
        <v>3</v>
      </c>
      <c r="AO49" s="99">
        <v>0</v>
      </c>
    </row>
    <row r="50" spans="10:41" ht="16.5" customHeight="1" x14ac:dyDescent="0.3">
      <c r="J50" s="25">
        <v>46</v>
      </c>
      <c r="K50" s="16" t="s">
        <v>125</v>
      </c>
      <c r="L50" s="16" t="s">
        <v>126</v>
      </c>
      <c r="M50" s="16" t="s">
        <v>126</v>
      </c>
      <c r="N50" s="16" t="s">
        <v>37</v>
      </c>
      <c r="O50" s="16" t="s">
        <v>37</v>
      </c>
      <c r="Q50" s="9">
        <v>6</v>
      </c>
      <c r="R50" s="9">
        <v>15</v>
      </c>
      <c r="S50" s="9">
        <v>15</v>
      </c>
      <c r="T50" s="9">
        <v>7</v>
      </c>
      <c r="U50" s="9">
        <v>7</v>
      </c>
      <c r="W50" s="25">
        <v>1</v>
      </c>
      <c r="X50" s="25">
        <v>1</v>
      </c>
      <c r="Y50" s="25">
        <v>1</v>
      </c>
      <c r="Z50" s="25">
        <v>1</v>
      </c>
      <c r="AA50" s="25">
        <v>1</v>
      </c>
      <c r="AD50" s="113">
        <f>SUM(AD30:AD49)</f>
        <v>199</v>
      </c>
      <c r="AE50" s="113">
        <f>SUM(AE30:AE49)</f>
        <v>208</v>
      </c>
      <c r="AF50" s="113">
        <f>SUM(AF30:AF49)</f>
        <v>198</v>
      </c>
      <c r="AG50" s="113">
        <f>SUM(AG30:AG49)</f>
        <v>207</v>
      </c>
      <c r="AH50" s="113">
        <f>SUM(AH30:AH49)</f>
        <v>198</v>
      </c>
      <c r="AI50" s="5"/>
      <c r="AK50" s="113">
        <f>SUM(AK30:AK49)</f>
        <v>199</v>
      </c>
      <c r="AL50" s="113">
        <f>SUM(AL30:AL49)</f>
        <v>208</v>
      </c>
      <c r="AM50" s="113">
        <f>SUM(AM30:AM49)</f>
        <v>198</v>
      </c>
      <c r="AN50" s="113">
        <f>SUM(AN30:AN49)</f>
        <v>207</v>
      </c>
      <c r="AO50" s="113">
        <f>SUM(AO30:AO49)</f>
        <v>198</v>
      </c>
    </row>
    <row r="51" spans="10:41" ht="16.5" customHeight="1" x14ac:dyDescent="0.3">
      <c r="J51" s="9">
        <v>47</v>
      </c>
      <c r="K51" s="16" t="s">
        <v>35</v>
      </c>
      <c r="L51" s="16" t="s">
        <v>35</v>
      </c>
      <c r="M51" s="16" t="s">
        <v>92</v>
      </c>
      <c r="N51" s="16" t="s">
        <v>18</v>
      </c>
      <c r="O51" s="16" t="s">
        <v>36</v>
      </c>
      <c r="Q51" s="9">
        <v>8</v>
      </c>
      <c r="R51" s="9">
        <v>8</v>
      </c>
      <c r="S51" s="9">
        <v>16</v>
      </c>
      <c r="T51" s="9">
        <v>4</v>
      </c>
      <c r="U51" s="9">
        <v>10</v>
      </c>
      <c r="W51" s="25">
        <v>1</v>
      </c>
      <c r="X51" s="25">
        <v>1</v>
      </c>
      <c r="Y51" s="25">
        <v>1</v>
      </c>
      <c r="Z51" s="25">
        <v>1</v>
      </c>
      <c r="AA51" s="25">
        <v>1</v>
      </c>
      <c r="AH51" s="5"/>
      <c r="AI51" s="5"/>
      <c r="AO51" s="5"/>
    </row>
    <row r="52" spans="10:41" ht="16.5" customHeight="1" x14ac:dyDescent="0.3">
      <c r="J52" s="25">
        <v>48</v>
      </c>
      <c r="K52" s="16" t="s">
        <v>19</v>
      </c>
      <c r="L52" s="16" t="s">
        <v>125</v>
      </c>
      <c r="M52" s="16" t="s">
        <v>112</v>
      </c>
      <c r="N52" s="16" t="s">
        <v>112</v>
      </c>
      <c r="O52" s="16" t="s">
        <v>21</v>
      </c>
      <c r="Q52" s="9">
        <v>5</v>
      </c>
      <c r="R52" s="9">
        <v>6</v>
      </c>
      <c r="S52" s="9">
        <v>17</v>
      </c>
      <c r="T52" s="9">
        <v>17</v>
      </c>
      <c r="U52" s="9">
        <v>2</v>
      </c>
      <c r="W52" s="25">
        <v>1</v>
      </c>
      <c r="X52" s="25">
        <v>1</v>
      </c>
      <c r="Y52" s="25">
        <v>1</v>
      </c>
      <c r="Z52" s="25">
        <v>1</v>
      </c>
      <c r="AA52" s="25">
        <v>1</v>
      </c>
      <c r="AC52" s="27" t="s">
        <v>130</v>
      </c>
      <c r="AH52" s="5"/>
      <c r="AI52" s="5"/>
      <c r="AJ52" s="27" t="s">
        <v>130</v>
      </c>
      <c r="AO52" s="5"/>
    </row>
    <row r="53" spans="10:41" ht="16.5" customHeight="1" x14ac:dyDescent="0.3">
      <c r="J53" s="9">
        <v>49</v>
      </c>
      <c r="K53" s="16" t="s">
        <v>125</v>
      </c>
      <c r="L53" s="16" t="s">
        <v>35</v>
      </c>
      <c r="M53" s="16" t="s">
        <v>91</v>
      </c>
      <c r="N53" s="16" t="s">
        <v>35</v>
      </c>
      <c r="O53" s="16" t="s">
        <v>37</v>
      </c>
      <c r="Q53" s="9">
        <v>6</v>
      </c>
      <c r="R53" s="9">
        <v>8</v>
      </c>
      <c r="S53" s="9">
        <v>14</v>
      </c>
      <c r="T53" s="9">
        <v>8</v>
      </c>
      <c r="U53" s="9">
        <v>7</v>
      </c>
      <c r="W53" s="25">
        <v>1</v>
      </c>
      <c r="X53" s="25">
        <v>1</v>
      </c>
      <c r="Y53" s="25">
        <v>1</v>
      </c>
      <c r="Z53" s="25">
        <v>1</v>
      </c>
      <c r="AA53" s="25">
        <v>1</v>
      </c>
      <c r="AC53" s="135" t="s">
        <v>42</v>
      </c>
      <c r="AD53" s="135" t="s">
        <v>13</v>
      </c>
      <c r="AE53" s="135" t="s">
        <v>14</v>
      </c>
      <c r="AF53" s="135" t="s">
        <v>15</v>
      </c>
      <c r="AG53" s="135" t="s">
        <v>16</v>
      </c>
      <c r="AH53" s="135" t="s">
        <v>17</v>
      </c>
      <c r="AI53" s="5"/>
      <c r="AJ53" s="135" t="s">
        <v>42</v>
      </c>
      <c r="AK53" s="135" t="s">
        <v>13</v>
      </c>
      <c r="AL53" s="135" t="s">
        <v>14</v>
      </c>
      <c r="AM53" s="135" t="s">
        <v>15</v>
      </c>
      <c r="AN53" s="135" t="s">
        <v>16</v>
      </c>
      <c r="AO53" s="135" t="s">
        <v>17</v>
      </c>
    </row>
    <row r="54" spans="10:41" ht="16.5" customHeight="1" x14ac:dyDescent="0.3">
      <c r="J54" s="25">
        <v>50</v>
      </c>
      <c r="K54" s="16" t="s">
        <v>37</v>
      </c>
      <c r="L54" s="16" t="s">
        <v>37</v>
      </c>
      <c r="M54" s="16" t="s">
        <v>92</v>
      </c>
      <c r="N54" s="16" t="s">
        <v>19</v>
      </c>
      <c r="O54" s="16" t="s">
        <v>35</v>
      </c>
      <c r="Q54" s="9">
        <v>7</v>
      </c>
      <c r="R54" s="9">
        <v>7</v>
      </c>
      <c r="S54" s="9">
        <v>16</v>
      </c>
      <c r="T54" s="9">
        <v>5</v>
      </c>
      <c r="U54" s="9">
        <v>8</v>
      </c>
      <c r="W54" s="25">
        <v>1</v>
      </c>
      <c r="X54" s="25">
        <v>1</v>
      </c>
      <c r="Y54" s="25">
        <v>1</v>
      </c>
      <c r="Z54" s="25">
        <v>1</v>
      </c>
      <c r="AA54" s="25">
        <v>1</v>
      </c>
      <c r="AC54" s="138" t="str" cm="1">
        <f t="array" ref="AC54:AC73">$A$4:$A$23</f>
        <v>WW</v>
      </c>
      <c r="AD54" s="139">
        <v>0</v>
      </c>
      <c r="AE54" s="139">
        <v>0</v>
      </c>
      <c r="AF54" s="139">
        <v>0</v>
      </c>
      <c r="AG54" s="139">
        <v>0</v>
      </c>
      <c r="AH54" s="139">
        <v>0</v>
      </c>
      <c r="AI54" s="5"/>
      <c r="AJ54" s="138" t="str" cm="1">
        <f t="array" ref="AJ54:AJ73">$A$4:$A$23</f>
        <v>WW</v>
      </c>
      <c r="AK54" s="139">
        <v>0</v>
      </c>
      <c r="AL54" s="139">
        <v>0</v>
      </c>
      <c r="AM54" s="139">
        <v>0</v>
      </c>
      <c r="AN54" s="139">
        <v>0</v>
      </c>
      <c r="AO54" s="139">
        <v>0</v>
      </c>
    </row>
    <row r="55" spans="10:41" ht="16.5" customHeight="1" x14ac:dyDescent="0.3">
      <c r="J55" s="9">
        <v>51</v>
      </c>
      <c r="K55" s="16" t="s">
        <v>19</v>
      </c>
      <c r="L55" s="16" t="s">
        <v>22</v>
      </c>
      <c r="M55" s="16" t="s">
        <v>112</v>
      </c>
      <c r="N55" s="16" t="s">
        <v>91</v>
      </c>
      <c r="O55" s="16" t="s">
        <v>37</v>
      </c>
      <c r="Q55" s="9">
        <v>5</v>
      </c>
      <c r="R55" s="9">
        <v>3</v>
      </c>
      <c r="S55" s="9">
        <v>17</v>
      </c>
      <c r="T55" s="9">
        <v>14</v>
      </c>
      <c r="U55" s="9">
        <v>7</v>
      </c>
      <c r="W55" s="25">
        <v>1</v>
      </c>
      <c r="X55" s="25">
        <v>1</v>
      </c>
      <c r="Y55" s="25">
        <v>1</v>
      </c>
      <c r="Z55" s="25">
        <v>1</v>
      </c>
      <c r="AA55" s="25">
        <v>1</v>
      </c>
      <c r="AC55" s="138" t="str">
        <v>C1</v>
      </c>
      <c r="AD55" s="138">
        <v>1</v>
      </c>
      <c r="AE55" s="138">
        <v>1</v>
      </c>
      <c r="AF55" s="138">
        <v>0</v>
      </c>
      <c r="AG55" s="138">
        <v>1</v>
      </c>
      <c r="AH55" s="138">
        <v>1</v>
      </c>
      <c r="AI55" s="5"/>
      <c r="AJ55" s="138" t="str">
        <v>C1</v>
      </c>
      <c r="AK55" s="138">
        <v>1</v>
      </c>
      <c r="AL55" s="138">
        <v>1</v>
      </c>
      <c r="AM55" s="138">
        <v>0</v>
      </c>
      <c r="AN55" s="138">
        <v>1</v>
      </c>
      <c r="AO55" s="138">
        <v>1</v>
      </c>
    </row>
    <row r="56" spans="10:41" ht="16.5" customHeight="1" x14ac:dyDescent="0.3">
      <c r="J56" s="25">
        <v>52</v>
      </c>
      <c r="K56" s="16" t="s">
        <v>35</v>
      </c>
      <c r="L56" s="16" t="s">
        <v>37</v>
      </c>
      <c r="M56" s="16" t="s">
        <v>91</v>
      </c>
      <c r="N56" s="16" t="s">
        <v>125</v>
      </c>
      <c r="O56" s="16" t="s">
        <v>35</v>
      </c>
      <c r="Q56" s="9">
        <v>8</v>
      </c>
      <c r="R56" s="9">
        <v>7</v>
      </c>
      <c r="S56" s="9">
        <v>14</v>
      </c>
      <c r="T56" s="9">
        <v>6</v>
      </c>
      <c r="U56" s="9">
        <v>8</v>
      </c>
      <c r="W56" s="25">
        <v>1</v>
      </c>
      <c r="X56" s="25">
        <v>1</v>
      </c>
      <c r="Y56" s="25">
        <v>1</v>
      </c>
      <c r="Z56" s="25">
        <v>1</v>
      </c>
      <c r="AA56" s="25">
        <v>1</v>
      </c>
      <c r="AC56" s="154" t="str">
        <v>M1</v>
      </c>
      <c r="AD56" s="133">
        <v>3</v>
      </c>
      <c r="AE56" s="133">
        <v>10</v>
      </c>
      <c r="AF56" s="133">
        <v>0</v>
      </c>
      <c r="AG56" s="133">
        <v>3</v>
      </c>
      <c r="AH56" s="133">
        <v>9</v>
      </c>
      <c r="AI56" s="5"/>
      <c r="AJ56" s="154" t="str">
        <v>M1</v>
      </c>
      <c r="AK56" s="133">
        <v>3</v>
      </c>
      <c r="AL56" s="133">
        <v>10</v>
      </c>
      <c r="AM56" s="133">
        <v>0</v>
      </c>
      <c r="AN56" s="133">
        <v>3</v>
      </c>
      <c r="AO56" s="133">
        <v>9</v>
      </c>
    </row>
    <row r="57" spans="10:41" ht="16.5" customHeight="1" x14ac:dyDescent="0.3">
      <c r="J57" s="9">
        <v>53</v>
      </c>
      <c r="K57" s="16" t="s">
        <v>37</v>
      </c>
      <c r="L57" s="16" t="s">
        <v>91</v>
      </c>
      <c r="M57" s="16" t="s">
        <v>89</v>
      </c>
      <c r="N57" s="16" t="s">
        <v>18</v>
      </c>
      <c r="O57" s="16" t="s">
        <v>19</v>
      </c>
      <c r="Q57" s="9">
        <v>7</v>
      </c>
      <c r="R57" s="9">
        <v>14</v>
      </c>
      <c r="S57" s="9">
        <v>12</v>
      </c>
      <c r="T57" s="9">
        <v>4</v>
      </c>
      <c r="U57" s="9">
        <v>5</v>
      </c>
      <c r="W57" s="25">
        <v>1</v>
      </c>
      <c r="X57" s="25">
        <v>1</v>
      </c>
      <c r="Y57" s="25">
        <v>1</v>
      </c>
      <c r="Z57" s="25">
        <v>1</v>
      </c>
      <c r="AA57" s="25">
        <v>1</v>
      </c>
      <c r="AC57" s="154" t="str">
        <v>M2</v>
      </c>
      <c r="AD57" s="133">
        <v>3</v>
      </c>
      <c r="AE57" s="133">
        <v>12</v>
      </c>
      <c r="AF57" s="133">
        <v>0</v>
      </c>
      <c r="AG57" s="133">
        <v>3</v>
      </c>
      <c r="AH57" s="133">
        <v>8</v>
      </c>
      <c r="AI57" s="5"/>
      <c r="AJ57" s="154" t="str">
        <v>M2</v>
      </c>
      <c r="AK57" s="133">
        <v>3</v>
      </c>
      <c r="AL57" s="133">
        <v>12</v>
      </c>
      <c r="AM57" s="133">
        <v>0</v>
      </c>
      <c r="AN57" s="133">
        <v>3</v>
      </c>
      <c r="AO57" s="133">
        <v>8</v>
      </c>
    </row>
    <row r="58" spans="10:41" ht="16.5" customHeight="1" x14ac:dyDescent="0.3">
      <c r="J58" s="25">
        <v>54</v>
      </c>
      <c r="K58" s="16" t="s">
        <v>19</v>
      </c>
      <c r="L58" s="16" t="s">
        <v>34</v>
      </c>
      <c r="M58" s="16" t="s">
        <v>112</v>
      </c>
      <c r="N58" s="16" t="s">
        <v>35</v>
      </c>
      <c r="O58" s="16" t="s">
        <v>37</v>
      </c>
      <c r="Q58" s="9">
        <v>5</v>
      </c>
      <c r="R58" s="9">
        <v>9</v>
      </c>
      <c r="S58" s="9">
        <v>17</v>
      </c>
      <c r="T58" s="9">
        <v>8</v>
      </c>
      <c r="U58" s="9">
        <v>7</v>
      </c>
      <c r="W58" s="25">
        <v>1</v>
      </c>
      <c r="X58" s="25">
        <v>1</v>
      </c>
      <c r="Y58" s="25">
        <v>1</v>
      </c>
      <c r="Z58" s="25">
        <v>1</v>
      </c>
      <c r="AA58" s="25">
        <v>1</v>
      </c>
      <c r="AC58" s="154" t="str">
        <v>M3</v>
      </c>
      <c r="AD58" s="133">
        <v>7</v>
      </c>
      <c r="AE58" s="133">
        <v>13</v>
      </c>
      <c r="AF58" s="133">
        <v>0</v>
      </c>
      <c r="AG58" s="133">
        <v>7</v>
      </c>
      <c r="AH58" s="133">
        <v>14</v>
      </c>
      <c r="AI58" s="5"/>
      <c r="AJ58" s="154" t="str">
        <v>M3</v>
      </c>
      <c r="AK58" s="133">
        <v>7</v>
      </c>
      <c r="AL58" s="133">
        <v>13</v>
      </c>
      <c r="AM58" s="133">
        <v>0</v>
      </c>
      <c r="AN58" s="133">
        <v>7</v>
      </c>
      <c r="AO58" s="133">
        <v>14</v>
      </c>
    </row>
    <row r="59" spans="10:41" ht="16.5" customHeight="1" x14ac:dyDescent="0.3">
      <c r="J59" s="9">
        <v>55</v>
      </c>
      <c r="K59" s="16" t="s">
        <v>37</v>
      </c>
      <c r="L59" s="16" t="s">
        <v>18</v>
      </c>
      <c r="M59" s="16" t="s">
        <v>91</v>
      </c>
      <c r="N59" s="16" t="s">
        <v>34</v>
      </c>
      <c r="O59" s="16" t="s">
        <v>35</v>
      </c>
      <c r="Q59" s="9">
        <v>7</v>
      </c>
      <c r="R59" s="9">
        <v>4</v>
      </c>
      <c r="S59" s="9">
        <v>14</v>
      </c>
      <c r="T59" s="9">
        <v>9</v>
      </c>
      <c r="U59" s="9">
        <v>8</v>
      </c>
      <c r="W59" s="25">
        <v>1</v>
      </c>
      <c r="X59" s="25">
        <v>1</v>
      </c>
      <c r="Y59" s="25">
        <v>1</v>
      </c>
      <c r="Z59" s="25">
        <v>1</v>
      </c>
      <c r="AA59" s="25">
        <v>1</v>
      </c>
      <c r="AC59" s="154" t="str">
        <v>M4</v>
      </c>
      <c r="AD59" s="133">
        <v>43</v>
      </c>
      <c r="AE59" s="133">
        <v>22</v>
      </c>
      <c r="AF59" s="133">
        <v>0</v>
      </c>
      <c r="AG59" s="133">
        <v>31</v>
      </c>
      <c r="AH59" s="133">
        <v>36</v>
      </c>
      <c r="AI59" s="5"/>
      <c r="AJ59" s="154" t="str">
        <v>M4</v>
      </c>
      <c r="AK59" s="133">
        <v>43</v>
      </c>
      <c r="AL59" s="133">
        <v>22</v>
      </c>
      <c r="AM59" s="133">
        <v>0</v>
      </c>
      <c r="AN59" s="133">
        <v>31</v>
      </c>
      <c r="AO59" s="133">
        <v>36</v>
      </c>
    </row>
    <row r="60" spans="10:41" ht="16.5" customHeight="1" x14ac:dyDescent="0.3">
      <c r="J60" s="25">
        <v>56</v>
      </c>
      <c r="K60" s="16" t="s">
        <v>18</v>
      </c>
      <c r="L60" s="16" t="s">
        <v>22</v>
      </c>
      <c r="M60" s="16" t="s">
        <v>95</v>
      </c>
      <c r="N60" s="16" t="s">
        <v>125</v>
      </c>
      <c r="O60" s="16" t="s">
        <v>125</v>
      </c>
      <c r="Q60" s="9">
        <v>4</v>
      </c>
      <c r="R60" s="9">
        <v>3</v>
      </c>
      <c r="S60" s="9">
        <v>18</v>
      </c>
      <c r="T60" s="9">
        <v>6</v>
      </c>
      <c r="U60" s="9">
        <v>6</v>
      </c>
      <c r="W60" s="25">
        <v>1</v>
      </c>
      <c r="X60" s="25">
        <v>1</v>
      </c>
      <c r="Y60" s="25">
        <v>1</v>
      </c>
      <c r="Z60" s="25">
        <v>1</v>
      </c>
      <c r="AA60" s="25">
        <v>1</v>
      </c>
      <c r="AC60" s="154" t="str">
        <v>M5</v>
      </c>
      <c r="AD60" s="133">
        <v>42</v>
      </c>
      <c r="AE60" s="133">
        <v>22</v>
      </c>
      <c r="AF60" s="133">
        <v>0</v>
      </c>
      <c r="AG60" s="133">
        <v>27</v>
      </c>
      <c r="AH60" s="133">
        <v>34</v>
      </c>
      <c r="AI60" s="5"/>
      <c r="AJ60" s="154" t="str">
        <v>M5</v>
      </c>
      <c r="AK60" s="133">
        <v>42</v>
      </c>
      <c r="AL60" s="133">
        <v>22</v>
      </c>
      <c r="AM60" s="133">
        <v>0</v>
      </c>
      <c r="AN60" s="133">
        <v>27</v>
      </c>
      <c r="AO60" s="133">
        <v>34</v>
      </c>
    </row>
    <row r="61" spans="10:41" x14ac:dyDescent="0.3">
      <c r="J61" s="9">
        <v>57</v>
      </c>
      <c r="K61" s="16" t="s">
        <v>19</v>
      </c>
      <c r="L61" s="16" t="s">
        <v>35</v>
      </c>
      <c r="M61" s="16" t="s">
        <v>91</v>
      </c>
      <c r="N61" s="16" t="s">
        <v>91</v>
      </c>
      <c r="O61" s="16" t="s">
        <v>35</v>
      </c>
      <c r="Q61" s="9">
        <v>5</v>
      </c>
      <c r="R61" s="9">
        <v>8</v>
      </c>
      <c r="S61" s="9">
        <v>14</v>
      </c>
      <c r="T61" s="9">
        <v>14</v>
      </c>
      <c r="U61" s="9">
        <v>8</v>
      </c>
      <c r="W61" s="25">
        <v>1</v>
      </c>
      <c r="X61" s="25">
        <v>1</v>
      </c>
      <c r="Y61" s="25">
        <v>1</v>
      </c>
      <c r="Z61" s="25">
        <v>1</v>
      </c>
      <c r="AA61" s="25">
        <v>1</v>
      </c>
      <c r="AC61" s="154" t="str">
        <v>A</v>
      </c>
      <c r="AD61" s="133">
        <v>43</v>
      </c>
      <c r="AE61" s="133">
        <v>27</v>
      </c>
      <c r="AF61" s="133">
        <v>0</v>
      </c>
      <c r="AG61" s="133">
        <v>31</v>
      </c>
      <c r="AH61" s="133">
        <v>35</v>
      </c>
      <c r="AI61" s="5"/>
      <c r="AJ61" s="154" t="str">
        <v>A</v>
      </c>
      <c r="AK61" s="133">
        <v>43</v>
      </c>
      <c r="AL61" s="133">
        <v>27</v>
      </c>
      <c r="AM61" s="133">
        <v>0</v>
      </c>
      <c r="AN61" s="133">
        <v>31</v>
      </c>
      <c r="AO61" s="133">
        <v>35</v>
      </c>
    </row>
    <row r="62" spans="10:41" x14ac:dyDescent="0.3">
      <c r="J62" s="25">
        <v>58</v>
      </c>
      <c r="K62" s="16" t="s">
        <v>125</v>
      </c>
      <c r="L62" s="16" t="s">
        <v>20</v>
      </c>
      <c r="M62" s="16" t="s">
        <v>126</v>
      </c>
      <c r="N62" s="16" t="s">
        <v>34</v>
      </c>
      <c r="O62" s="16" t="s">
        <v>19</v>
      </c>
      <c r="Q62" s="9">
        <v>6</v>
      </c>
      <c r="R62" s="9">
        <v>1</v>
      </c>
      <c r="S62" s="9">
        <v>15</v>
      </c>
      <c r="T62" s="9">
        <v>9</v>
      </c>
      <c r="U62" s="9">
        <v>5</v>
      </c>
      <c r="W62" s="25">
        <v>1</v>
      </c>
      <c r="X62" s="25">
        <v>1</v>
      </c>
      <c r="Y62" s="25">
        <v>1</v>
      </c>
      <c r="Z62" s="25">
        <v>1</v>
      </c>
      <c r="AA62" s="25">
        <v>1</v>
      </c>
      <c r="AC62" s="154" t="str">
        <v>K</v>
      </c>
      <c r="AD62" s="133">
        <v>43</v>
      </c>
      <c r="AE62" s="133">
        <v>24</v>
      </c>
      <c r="AF62" s="133">
        <v>0</v>
      </c>
      <c r="AG62" s="133">
        <v>32</v>
      </c>
      <c r="AH62" s="133">
        <v>34</v>
      </c>
      <c r="AI62" s="5"/>
      <c r="AJ62" s="154" t="str">
        <v>K</v>
      </c>
      <c r="AK62" s="133">
        <v>43</v>
      </c>
      <c r="AL62" s="133">
        <v>24</v>
      </c>
      <c r="AM62" s="133">
        <v>0</v>
      </c>
      <c r="AN62" s="133">
        <v>32</v>
      </c>
      <c r="AO62" s="133">
        <v>34</v>
      </c>
    </row>
    <row r="63" spans="10:41" ht="16.5" customHeight="1" x14ac:dyDescent="0.3">
      <c r="J63" s="9">
        <v>59</v>
      </c>
      <c r="K63" s="16" t="s">
        <v>20</v>
      </c>
      <c r="L63" s="16" t="s">
        <v>22</v>
      </c>
      <c r="M63" s="16" t="s">
        <v>91</v>
      </c>
      <c r="N63" s="16" t="s">
        <v>21</v>
      </c>
      <c r="O63" s="16" t="s">
        <v>37</v>
      </c>
      <c r="Q63" s="9">
        <v>1</v>
      </c>
      <c r="R63" s="9">
        <v>3</v>
      </c>
      <c r="S63" s="9">
        <v>14</v>
      </c>
      <c r="T63" s="9">
        <v>2</v>
      </c>
      <c r="U63" s="9">
        <v>7</v>
      </c>
      <c r="W63" s="25">
        <v>1</v>
      </c>
      <c r="X63" s="25">
        <v>1</v>
      </c>
      <c r="Y63" s="25">
        <v>1</v>
      </c>
      <c r="Z63" s="25">
        <v>1</v>
      </c>
      <c r="AA63" s="25">
        <v>1</v>
      </c>
      <c r="AC63" s="154" t="str">
        <v>Q</v>
      </c>
      <c r="AD63" s="133">
        <v>7</v>
      </c>
      <c r="AE63" s="133">
        <v>12</v>
      </c>
      <c r="AF63" s="133">
        <v>0</v>
      </c>
      <c r="AG63" s="133">
        <v>6</v>
      </c>
      <c r="AH63" s="133">
        <v>13</v>
      </c>
      <c r="AI63" s="5"/>
      <c r="AJ63" s="154" t="str">
        <v>Q</v>
      </c>
      <c r="AK63" s="133">
        <v>7</v>
      </c>
      <c r="AL63" s="133">
        <v>12</v>
      </c>
      <c r="AM63" s="133">
        <v>0</v>
      </c>
      <c r="AN63" s="133">
        <v>6</v>
      </c>
      <c r="AO63" s="133">
        <v>13</v>
      </c>
    </row>
    <row r="64" spans="10:41" ht="16.5" customHeight="1" x14ac:dyDescent="0.3">
      <c r="J64" s="25">
        <v>60</v>
      </c>
      <c r="K64" s="16" t="s">
        <v>35</v>
      </c>
      <c r="L64" s="16" t="s">
        <v>36</v>
      </c>
      <c r="M64" s="16" t="s">
        <v>112</v>
      </c>
      <c r="N64" s="16" t="s">
        <v>34</v>
      </c>
      <c r="O64" s="16" t="s">
        <v>19</v>
      </c>
      <c r="Q64" s="9">
        <v>8</v>
      </c>
      <c r="R64" s="9">
        <v>10</v>
      </c>
      <c r="S64" s="9">
        <v>17</v>
      </c>
      <c r="T64" s="9">
        <v>9</v>
      </c>
      <c r="U64" s="9">
        <v>5</v>
      </c>
      <c r="W64" s="25">
        <v>1</v>
      </c>
      <c r="X64" s="25">
        <v>1</v>
      </c>
      <c r="Y64" s="25">
        <v>1</v>
      </c>
      <c r="Z64" s="25">
        <v>1</v>
      </c>
      <c r="AA64" s="25">
        <v>1</v>
      </c>
      <c r="AC64" s="154" t="str">
        <v>J</v>
      </c>
      <c r="AD64" s="133">
        <v>7</v>
      </c>
      <c r="AE64" s="133">
        <v>8</v>
      </c>
      <c r="AF64" s="133">
        <v>0</v>
      </c>
      <c r="AG64" s="133">
        <v>7</v>
      </c>
      <c r="AH64" s="133">
        <v>14</v>
      </c>
      <c r="AI64" s="5"/>
      <c r="AJ64" s="154" t="str">
        <v>J</v>
      </c>
      <c r="AK64" s="133">
        <v>7</v>
      </c>
      <c r="AL64" s="133">
        <v>8</v>
      </c>
      <c r="AM64" s="133">
        <v>0</v>
      </c>
      <c r="AN64" s="133">
        <v>7</v>
      </c>
      <c r="AO64" s="133">
        <v>14</v>
      </c>
    </row>
    <row r="65" spans="10:41" ht="16.5" customHeight="1" x14ac:dyDescent="0.3">
      <c r="J65" s="9">
        <v>61</v>
      </c>
      <c r="K65" s="16" t="s">
        <v>125</v>
      </c>
      <c r="L65" s="16" t="s">
        <v>37</v>
      </c>
      <c r="M65" s="16" t="s">
        <v>92</v>
      </c>
      <c r="N65" s="16" t="s">
        <v>92</v>
      </c>
      <c r="O65" s="16" t="s">
        <v>18</v>
      </c>
      <c r="Q65" s="9">
        <v>6</v>
      </c>
      <c r="R65" s="9">
        <v>7</v>
      </c>
      <c r="S65" s="9">
        <v>16</v>
      </c>
      <c r="T65" s="9">
        <v>16</v>
      </c>
      <c r="U65" s="9">
        <v>4</v>
      </c>
      <c r="W65" s="25">
        <v>1</v>
      </c>
      <c r="X65" s="25">
        <v>1</v>
      </c>
      <c r="Y65" s="25">
        <v>1</v>
      </c>
      <c r="Z65" s="25">
        <v>1</v>
      </c>
      <c r="AA65" s="25">
        <v>1</v>
      </c>
      <c r="AC65" s="138" t="str">
        <v>G1</v>
      </c>
      <c r="AD65" s="99">
        <v>0</v>
      </c>
      <c r="AE65" s="99">
        <v>3</v>
      </c>
      <c r="AF65" s="99">
        <v>3</v>
      </c>
      <c r="AG65" s="99">
        <v>2</v>
      </c>
      <c r="AH65" s="99">
        <v>0</v>
      </c>
      <c r="AI65" s="5"/>
      <c r="AJ65" s="138" t="str">
        <v>G1</v>
      </c>
      <c r="AK65" s="99">
        <v>0</v>
      </c>
      <c r="AL65" s="99">
        <v>3</v>
      </c>
      <c r="AM65" s="99">
        <v>3</v>
      </c>
      <c r="AN65" s="99">
        <v>2</v>
      </c>
      <c r="AO65" s="99">
        <v>0</v>
      </c>
    </row>
    <row r="66" spans="10:41" ht="16.5" customHeight="1" x14ac:dyDescent="0.3">
      <c r="J66" s="25">
        <v>62</v>
      </c>
      <c r="K66" s="16" t="s">
        <v>35</v>
      </c>
      <c r="L66" s="16" t="s">
        <v>91</v>
      </c>
      <c r="M66" s="16" t="s">
        <v>91</v>
      </c>
      <c r="N66" s="16" t="s">
        <v>125</v>
      </c>
      <c r="O66" s="16" t="s">
        <v>36</v>
      </c>
      <c r="Q66" s="9">
        <v>8</v>
      </c>
      <c r="R66" s="9">
        <v>14</v>
      </c>
      <c r="S66" s="9">
        <v>14</v>
      </c>
      <c r="T66" s="9">
        <v>6</v>
      </c>
      <c r="U66" s="9">
        <v>10</v>
      </c>
      <c r="W66" s="25">
        <v>1</v>
      </c>
      <c r="X66" s="25">
        <v>1</v>
      </c>
      <c r="Y66" s="25">
        <v>1</v>
      </c>
      <c r="Z66" s="25">
        <v>1</v>
      </c>
      <c r="AA66" s="25">
        <v>1</v>
      </c>
      <c r="AC66" s="138" t="str">
        <v>G2</v>
      </c>
      <c r="AD66" s="99">
        <v>0</v>
      </c>
      <c r="AE66" s="99">
        <v>4</v>
      </c>
      <c r="AF66" s="99">
        <v>1</v>
      </c>
      <c r="AG66" s="99">
        <v>2</v>
      </c>
      <c r="AH66" s="99">
        <v>0</v>
      </c>
      <c r="AI66" s="5"/>
      <c r="AJ66" s="138" t="str">
        <v>G2</v>
      </c>
      <c r="AK66" s="99">
        <v>0</v>
      </c>
      <c r="AL66" s="99">
        <v>4</v>
      </c>
      <c r="AM66" s="99">
        <v>1</v>
      </c>
      <c r="AN66" s="99">
        <v>2</v>
      </c>
      <c r="AO66" s="99">
        <v>0</v>
      </c>
    </row>
    <row r="67" spans="10:41" ht="16.5" customHeight="1" x14ac:dyDescent="0.3">
      <c r="J67" s="9">
        <v>63</v>
      </c>
      <c r="K67" s="16" t="s">
        <v>37</v>
      </c>
      <c r="L67" s="16" t="s">
        <v>19</v>
      </c>
      <c r="M67" s="16" t="s">
        <v>112</v>
      </c>
      <c r="N67" s="16" t="s">
        <v>19</v>
      </c>
      <c r="O67" s="16" t="s">
        <v>37</v>
      </c>
      <c r="Q67" s="9">
        <v>7</v>
      </c>
      <c r="R67" s="9">
        <v>5</v>
      </c>
      <c r="S67" s="9">
        <v>17</v>
      </c>
      <c r="T67" s="9">
        <v>5</v>
      </c>
      <c r="U67" s="9">
        <v>7</v>
      </c>
      <c r="W67" s="25">
        <v>1</v>
      </c>
      <c r="X67" s="25">
        <v>1</v>
      </c>
      <c r="Y67" s="25">
        <v>1</v>
      </c>
      <c r="Z67" s="25">
        <v>1</v>
      </c>
      <c r="AA67" s="25">
        <v>1</v>
      </c>
      <c r="AC67" s="138" t="str">
        <v>G3</v>
      </c>
      <c r="AD67" s="99">
        <v>0</v>
      </c>
      <c r="AE67" s="99">
        <v>4</v>
      </c>
      <c r="AF67" s="99">
        <v>8</v>
      </c>
      <c r="AG67" s="99">
        <v>3</v>
      </c>
      <c r="AH67" s="99">
        <v>0</v>
      </c>
      <c r="AI67" s="5"/>
      <c r="AJ67" s="138" t="str">
        <v>G3</v>
      </c>
      <c r="AK67" s="99">
        <v>0</v>
      </c>
      <c r="AL67" s="99">
        <v>4</v>
      </c>
      <c r="AM67" s="99">
        <v>8</v>
      </c>
      <c r="AN67" s="99">
        <v>3</v>
      </c>
      <c r="AO67" s="99">
        <v>0</v>
      </c>
    </row>
    <row r="68" spans="10:41" ht="16.5" customHeight="1" x14ac:dyDescent="0.3">
      <c r="J68" s="25">
        <v>64</v>
      </c>
      <c r="K68" s="16" t="s">
        <v>35</v>
      </c>
      <c r="L68" s="16" t="s">
        <v>37</v>
      </c>
      <c r="M68" s="16" t="s">
        <v>89</v>
      </c>
      <c r="N68" s="16" t="s">
        <v>21</v>
      </c>
      <c r="O68" s="16" t="s">
        <v>18</v>
      </c>
      <c r="Q68" s="9">
        <v>8</v>
      </c>
      <c r="R68" s="9">
        <v>7</v>
      </c>
      <c r="S68" s="9">
        <v>12</v>
      </c>
      <c r="T68" s="9">
        <v>2</v>
      </c>
      <c r="U68" s="9">
        <v>4</v>
      </c>
      <c r="W68" s="25">
        <v>1</v>
      </c>
      <c r="X68" s="25">
        <v>1</v>
      </c>
      <c r="Y68" s="25">
        <v>1</v>
      </c>
      <c r="Z68" s="25">
        <v>1</v>
      </c>
      <c r="AA68" s="25">
        <v>1</v>
      </c>
      <c r="AC68" s="138" t="str">
        <v>G4</v>
      </c>
      <c r="AD68" s="99">
        <v>0</v>
      </c>
      <c r="AE68" s="99">
        <v>9</v>
      </c>
      <c r="AF68" s="99">
        <v>43</v>
      </c>
      <c r="AG68" s="99">
        <v>12</v>
      </c>
      <c r="AH68" s="99">
        <v>0</v>
      </c>
      <c r="AI68" s="5"/>
      <c r="AJ68" s="138" t="str">
        <v>G4</v>
      </c>
      <c r="AK68" s="99">
        <v>0</v>
      </c>
      <c r="AL68" s="99">
        <v>9</v>
      </c>
      <c r="AM68" s="99">
        <v>43</v>
      </c>
      <c r="AN68" s="99">
        <v>12</v>
      </c>
      <c r="AO68" s="99">
        <v>0</v>
      </c>
    </row>
    <row r="69" spans="10:41" ht="16.5" customHeight="1" x14ac:dyDescent="0.3">
      <c r="J69" s="9">
        <v>65</v>
      </c>
      <c r="K69" s="16" t="s">
        <v>125</v>
      </c>
      <c r="L69" s="16" t="s">
        <v>34</v>
      </c>
      <c r="M69" s="16" t="s">
        <v>91</v>
      </c>
      <c r="N69" s="16" t="s">
        <v>35</v>
      </c>
      <c r="O69" s="16" t="s">
        <v>22</v>
      </c>
      <c r="Q69" s="9">
        <v>6</v>
      </c>
      <c r="R69" s="9">
        <v>9</v>
      </c>
      <c r="S69" s="9">
        <v>14</v>
      </c>
      <c r="T69" s="9">
        <v>8</v>
      </c>
      <c r="U69" s="9">
        <v>3</v>
      </c>
      <c r="W69" s="25">
        <v>1</v>
      </c>
      <c r="X69" s="25">
        <v>1</v>
      </c>
      <c r="Y69" s="25">
        <v>1</v>
      </c>
      <c r="Z69" s="25">
        <v>1</v>
      </c>
      <c r="AA69" s="25">
        <v>1</v>
      </c>
      <c r="AC69" s="138" t="str">
        <v>G5</v>
      </c>
      <c r="AD69" s="99">
        <v>0</v>
      </c>
      <c r="AE69" s="99">
        <v>9</v>
      </c>
      <c r="AF69" s="99">
        <v>42</v>
      </c>
      <c r="AG69" s="99">
        <v>13</v>
      </c>
      <c r="AH69" s="99">
        <v>0</v>
      </c>
      <c r="AI69" s="5"/>
      <c r="AJ69" s="138" t="str">
        <v>G5</v>
      </c>
      <c r="AK69" s="99">
        <v>0</v>
      </c>
      <c r="AL69" s="99">
        <v>9</v>
      </c>
      <c r="AM69" s="99">
        <v>42</v>
      </c>
      <c r="AN69" s="99">
        <v>13</v>
      </c>
      <c r="AO69" s="99">
        <v>0</v>
      </c>
    </row>
    <row r="70" spans="10:41" ht="16.5" customHeight="1" x14ac:dyDescent="0.3">
      <c r="J70" s="25">
        <v>66</v>
      </c>
      <c r="K70" s="16" t="s">
        <v>35</v>
      </c>
      <c r="L70" s="16" t="s">
        <v>35</v>
      </c>
      <c r="M70" s="16" t="s">
        <v>126</v>
      </c>
      <c r="N70" s="16" t="s">
        <v>125</v>
      </c>
      <c r="O70" s="16" t="s">
        <v>19</v>
      </c>
      <c r="Q70" s="9">
        <v>8</v>
      </c>
      <c r="R70" s="9">
        <v>8</v>
      </c>
      <c r="S70" s="9">
        <v>15</v>
      </c>
      <c r="T70" s="9">
        <v>6</v>
      </c>
      <c r="U70" s="9">
        <v>5</v>
      </c>
      <c r="W70" s="25">
        <v>1</v>
      </c>
      <c r="X70" s="25">
        <v>1</v>
      </c>
      <c r="Y70" s="25">
        <v>1</v>
      </c>
      <c r="Z70" s="25">
        <v>1</v>
      </c>
      <c r="AA70" s="25">
        <v>1</v>
      </c>
      <c r="AC70" s="138" t="str">
        <v>GA</v>
      </c>
      <c r="AD70" s="99">
        <v>0</v>
      </c>
      <c r="AE70" s="99">
        <v>11</v>
      </c>
      <c r="AF70" s="99">
        <v>42</v>
      </c>
      <c r="AG70" s="99">
        <v>11</v>
      </c>
      <c r="AH70" s="99">
        <v>0</v>
      </c>
      <c r="AI70" s="5"/>
      <c r="AJ70" s="138" t="str">
        <v>GA</v>
      </c>
      <c r="AK70" s="99">
        <v>0</v>
      </c>
      <c r="AL70" s="99">
        <v>11</v>
      </c>
      <c r="AM70" s="99">
        <v>42</v>
      </c>
      <c r="AN70" s="99">
        <v>11</v>
      </c>
      <c r="AO70" s="99">
        <v>0</v>
      </c>
    </row>
    <row r="71" spans="10:41" ht="16.5" customHeight="1" x14ac:dyDescent="0.3">
      <c r="J71" s="9">
        <v>67</v>
      </c>
      <c r="K71" s="16" t="s">
        <v>19</v>
      </c>
      <c r="L71" s="16" t="s">
        <v>19</v>
      </c>
      <c r="M71" s="16" t="s">
        <v>95</v>
      </c>
      <c r="N71" s="16" t="s">
        <v>19</v>
      </c>
      <c r="O71" s="16" t="s">
        <v>18</v>
      </c>
      <c r="Q71" s="9">
        <v>5</v>
      </c>
      <c r="R71" s="9">
        <v>5</v>
      </c>
      <c r="S71" s="9">
        <v>18</v>
      </c>
      <c r="T71" s="9">
        <v>5</v>
      </c>
      <c r="U71" s="9">
        <v>4</v>
      </c>
      <c r="W71" s="25">
        <v>1</v>
      </c>
      <c r="X71" s="25">
        <v>1</v>
      </c>
      <c r="Y71" s="25">
        <v>1</v>
      </c>
      <c r="Z71" s="25">
        <v>1</v>
      </c>
      <c r="AA71" s="25">
        <v>1</v>
      </c>
      <c r="AC71" s="138" t="str">
        <v>GK</v>
      </c>
      <c r="AD71" s="99">
        <v>0</v>
      </c>
      <c r="AE71" s="99">
        <v>10</v>
      </c>
      <c r="AF71" s="99">
        <v>44</v>
      </c>
      <c r="AG71" s="99">
        <v>11</v>
      </c>
      <c r="AH71" s="99">
        <v>0</v>
      </c>
      <c r="AI71" s="5"/>
      <c r="AJ71" s="138" t="str">
        <v>GK</v>
      </c>
      <c r="AK71" s="99">
        <v>0</v>
      </c>
      <c r="AL71" s="99">
        <v>10</v>
      </c>
      <c r="AM71" s="99">
        <v>44</v>
      </c>
      <c r="AN71" s="99">
        <v>11</v>
      </c>
      <c r="AO71" s="99">
        <v>0</v>
      </c>
    </row>
    <row r="72" spans="10:41" ht="16.5" customHeight="1" x14ac:dyDescent="0.3">
      <c r="J72" s="25">
        <v>68</v>
      </c>
      <c r="K72" s="16" t="s">
        <v>35</v>
      </c>
      <c r="L72" s="16" t="s">
        <v>21</v>
      </c>
      <c r="M72" s="16" t="s">
        <v>92</v>
      </c>
      <c r="N72" s="16" t="s">
        <v>92</v>
      </c>
      <c r="O72" s="16" t="s">
        <v>22</v>
      </c>
      <c r="Q72" s="9">
        <v>8</v>
      </c>
      <c r="R72" s="9">
        <v>2</v>
      </c>
      <c r="S72" s="9">
        <v>16</v>
      </c>
      <c r="T72" s="9">
        <v>16</v>
      </c>
      <c r="U72" s="9">
        <v>3</v>
      </c>
      <c r="W72" s="25">
        <v>1</v>
      </c>
      <c r="X72" s="25">
        <v>1</v>
      </c>
      <c r="Y72" s="25">
        <v>1</v>
      </c>
      <c r="Z72" s="25">
        <v>1</v>
      </c>
      <c r="AA72" s="25">
        <v>1</v>
      </c>
      <c r="AC72" s="138" t="str">
        <v>GQ</v>
      </c>
      <c r="AD72" s="99">
        <v>0</v>
      </c>
      <c r="AE72" s="99">
        <v>4</v>
      </c>
      <c r="AF72" s="99">
        <v>6</v>
      </c>
      <c r="AG72" s="99">
        <v>2</v>
      </c>
      <c r="AH72" s="99">
        <v>0</v>
      </c>
      <c r="AI72" s="5"/>
      <c r="AJ72" s="138" t="str">
        <v>GQ</v>
      </c>
      <c r="AK72" s="99">
        <v>0</v>
      </c>
      <c r="AL72" s="99">
        <v>4</v>
      </c>
      <c r="AM72" s="99">
        <v>6</v>
      </c>
      <c r="AN72" s="99">
        <v>2</v>
      </c>
      <c r="AO72" s="99">
        <v>0</v>
      </c>
    </row>
    <row r="73" spans="10:41" ht="16.5" customHeight="1" x14ac:dyDescent="0.3">
      <c r="J73" s="9">
        <v>69</v>
      </c>
      <c r="K73" s="16" t="s">
        <v>125</v>
      </c>
      <c r="L73" s="16" t="s">
        <v>34</v>
      </c>
      <c r="M73" s="16" t="s">
        <v>112</v>
      </c>
      <c r="N73" s="16" t="s">
        <v>36</v>
      </c>
      <c r="O73" s="16" t="s">
        <v>125</v>
      </c>
      <c r="Q73" s="9">
        <v>6</v>
      </c>
      <c r="R73" s="9">
        <v>9</v>
      </c>
      <c r="S73" s="9">
        <v>17</v>
      </c>
      <c r="T73" s="9">
        <v>10</v>
      </c>
      <c r="U73" s="9">
        <v>6</v>
      </c>
      <c r="W73" s="25">
        <v>1</v>
      </c>
      <c r="X73" s="25">
        <v>1</v>
      </c>
      <c r="Y73" s="25">
        <v>1</v>
      </c>
      <c r="Z73" s="25">
        <v>1</v>
      </c>
      <c r="AA73" s="25">
        <v>1</v>
      </c>
      <c r="AC73" s="138" t="str">
        <v>GJ</v>
      </c>
      <c r="AD73" s="99">
        <v>0</v>
      </c>
      <c r="AE73" s="99">
        <v>3</v>
      </c>
      <c r="AF73" s="99">
        <v>9</v>
      </c>
      <c r="AG73" s="99">
        <v>3</v>
      </c>
      <c r="AH73" s="99">
        <v>0</v>
      </c>
      <c r="AI73" s="5"/>
      <c r="AJ73" s="138" t="str">
        <v>GJ</v>
      </c>
      <c r="AK73" s="99">
        <v>0</v>
      </c>
      <c r="AL73" s="99">
        <v>3</v>
      </c>
      <c r="AM73" s="99">
        <v>9</v>
      </c>
      <c r="AN73" s="99">
        <v>3</v>
      </c>
      <c r="AO73" s="99">
        <v>0</v>
      </c>
    </row>
    <row r="74" spans="10:41" ht="16.5" customHeight="1" x14ac:dyDescent="0.3">
      <c r="J74" s="25">
        <v>70</v>
      </c>
      <c r="K74" s="16" t="s">
        <v>35</v>
      </c>
      <c r="L74" s="16" t="s">
        <v>19</v>
      </c>
      <c r="M74" s="16" t="s">
        <v>126</v>
      </c>
      <c r="N74" s="16" t="s">
        <v>37</v>
      </c>
      <c r="O74" s="16" t="s">
        <v>19</v>
      </c>
      <c r="Q74" s="9">
        <v>8</v>
      </c>
      <c r="R74" s="9">
        <v>5</v>
      </c>
      <c r="S74" s="9">
        <v>15</v>
      </c>
      <c r="T74" s="9">
        <v>7</v>
      </c>
      <c r="U74" s="9">
        <v>5</v>
      </c>
      <c r="W74" s="25">
        <v>1</v>
      </c>
      <c r="X74" s="25">
        <v>1</v>
      </c>
      <c r="Y74" s="25">
        <v>1</v>
      </c>
      <c r="Z74" s="25">
        <v>1</v>
      </c>
      <c r="AA74" s="25">
        <v>1</v>
      </c>
      <c r="AD74" s="113">
        <f>SUM(AD54:AD73)</f>
        <v>199</v>
      </c>
      <c r="AE74" s="113">
        <f>SUM(AE54:AE73)</f>
        <v>208</v>
      </c>
      <c r="AF74" s="113">
        <f>SUM(AF54:AF73)</f>
        <v>198</v>
      </c>
      <c r="AG74" s="113">
        <f>SUM(AG54:AG73)</f>
        <v>207</v>
      </c>
      <c r="AH74" s="113">
        <f>SUM(AH54:AH73)</f>
        <v>198</v>
      </c>
      <c r="AI74" s="5"/>
      <c r="AK74" s="113">
        <f>SUM(AK54:AK73)</f>
        <v>199</v>
      </c>
      <c r="AL74" s="113">
        <f>SUM(AL54:AL73)</f>
        <v>208</v>
      </c>
      <c r="AM74" s="113">
        <f>SUM(AM54:AM73)</f>
        <v>198</v>
      </c>
      <c r="AN74" s="113">
        <f>SUM(AN54:AN73)</f>
        <v>207</v>
      </c>
      <c r="AO74" s="113">
        <f>SUM(AO54:AO73)</f>
        <v>198</v>
      </c>
    </row>
    <row r="75" spans="10:41" ht="16.5" customHeight="1" x14ac:dyDescent="0.3">
      <c r="J75" s="9">
        <v>71</v>
      </c>
      <c r="K75" s="16" t="s">
        <v>36</v>
      </c>
      <c r="L75" s="16" t="s">
        <v>92</v>
      </c>
      <c r="M75" s="16" t="s">
        <v>92</v>
      </c>
      <c r="N75" s="16" t="s">
        <v>125</v>
      </c>
      <c r="O75" s="16" t="s">
        <v>34</v>
      </c>
      <c r="Q75" s="9">
        <v>10</v>
      </c>
      <c r="R75" s="9">
        <v>16</v>
      </c>
      <c r="S75" s="9">
        <v>16</v>
      </c>
      <c r="T75" s="9">
        <v>6</v>
      </c>
      <c r="U75" s="9">
        <v>9</v>
      </c>
      <c r="W75" s="25">
        <v>1</v>
      </c>
      <c r="X75" s="25">
        <v>1</v>
      </c>
      <c r="Y75" s="25">
        <v>1</v>
      </c>
      <c r="Z75" s="25">
        <v>1</v>
      </c>
      <c r="AA75" s="25">
        <v>1</v>
      </c>
      <c r="AH75" s="5"/>
      <c r="AI75" s="5"/>
      <c r="AO75" s="5"/>
    </row>
    <row r="76" spans="10:41" ht="16.5" customHeight="1" x14ac:dyDescent="0.3">
      <c r="J76" s="25">
        <v>72</v>
      </c>
      <c r="K76" s="16" t="s">
        <v>37</v>
      </c>
      <c r="L76" s="16" t="s">
        <v>37</v>
      </c>
      <c r="M76" s="16" t="s">
        <v>126</v>
      </c>
      <c r="N76" s="16" t="s">
        <v>35</v>
      </c>
      <c r="O76" s="16" t="s">
        <v>125</v>
      </c>
      <c r="Q76" s="9">
        <v>7</v>
      </c>
      <c r="R76" s="9">
        <v>7</v>
      </c>
      <c r="S76" s="9">
        <v>15</v>
      </c>
      <c r="T76" s="9">
        <v>8</v>
      </c>
      <c r="U76" s="9">
        <v>6</v>
      </c>
      <c r="W76" s="25">
        <v>1</v>
      </c>
      <c r="X76" s="25">
        <v>1</v>
      </c>
      <c r="Y76" s="25">
        <v>1</v>
      </c>
      <c r="Z76" s="25">
        <v>1</v>
      </c>
      <c r="AA76" s="25">
        <v>1</v>
      </c>
      <c r="AH76" s="5"/>
      <c r="AI76" s="5"/>
      <c r="AO76" s="5"/>
    </row>
    <row r="77" spans="10:41" ht="16.5" customHeight="1" x14ac:dyDescent="0.3">
      <c r="J77" s="9">
        <v>73</v>
      </c>
      <c r="K77" s="16" t="s">
        <v>125</v>
      </c>
      <c r="L77" s="16" t="s">
        <v>36</v>
      </c>
      <c r="M77" s="16" t="s">
        <v>88</v>
      </c>
      <c r="N77" s="16" t="s">
        <v>90</v>
      </c>
      <c r="O77" s="16" t="s">
        <v>19</v>
      </c>
      <c r="Q77" s="9">
        <v>6</v>
      </c>
      <c r="R77" s="9">
        <v>10</v>
      </c>
      <c r="S77" s="9">
        <v>11</v>
      </c>
      <c r="T77" s="9">
        <v>13</v>
      </c>
      <c r="U77" s="9">
        <v>5</v>
      </c>
      <c r="W77" s="25">
        <v>1</v>
      </c>
      <c r="X77" s="25">
        <v>1</v>
      </c>
      <c r="Y77" s="25">
        <v>1</v>
      </c>
      <c r="Z77" s="25">
        <v>1</v>
      </c>
      <c r="AA77" s="25">
        <v>1</v>
      </c>
      <c r="AH77" s="5"/>
      <c r="AI77" s="5"/>
      <c r="AO77" s="5"/>
    </row>
    <row r="78" spans="10:41" ht="16.5" customHeight="1" x14ac:dyDescent="0.3">
      <c r="J78" s="25">
        <v>74</v>
      </c>
      <c r="K78" s="16" t="s">
        <v>37</v>
      </c>
      <c r="L78" s="16" t="s">
        <v>19</v>
      </c>
      <c r="M78" s="16" t="s">
        <v>126</v>
      </c>
      <c r="N78" s="16" t="s">
        <v>35</v>
      </c>
      <c r="O78" s="16" t="s">
        <v>37</v>
      </c>
      <c r="Q78" s="9">
        <v>7</v>
      </c>
      <c r="R78" s="9">
        <v>5</v>
      </c>
      <c r="S78" s="9">
        <v>15</v>
      </c>
      <c r="T78" s="9">
        <v>8</v>
      </c>
      <c r="U78" s="9">
        <v>7</v>
      </c>
      <c r="W78" s="25">
        <v>1</v>
      </c>
      <c r="X78" s="25">
        <v>1</v>
      </c>
      <c r="Y78" s="25">
        <v>1</v>
      </c>
      <c r="Z78" s="25">
        <v>1</v>
      </c>
      <c r="AA78" s="25">
        <v>1</v>
      </c>
      <c r="AH78" s="5"/>
      <c r="AI78" s="5"/>
      <c r="AO78" s="5"/>
    </row>
    <row r="79" spans="10:41" ht="16.5" customHeight="1" x14ac:dyDescent="0.3">
      <c r="J79" s="9">
        <v>75</v>
      </c>
      <c r="K79" s="16" t="s">
        <v>35</v>
      </c>
      <c r="L79" s="16" t="s">
        <v>22</v>
      </c>
      <c r="M79" s="16" t="s">
        <v>91</v>
      </c>
      <c r="N79" s="16" t="s">
        <v>19</v>
      </c>
      <c r="O79" s="16" t="s">
        <v>19</v>
      </c>
      <c r="Q79" s="9">
        <v>8</v>
      </c>
      <c r="R79" s="9">
        <v>3</v>
      </c>
      <c r="S79" s="9">
        <v>14</v>
      </c>
      <c r="T79" s="9">
        <v>5</v>
      </c>
      <c r="U79" s="9">
        <v>5</v>
      </c>
      <c r="W79" s="25">
        <v>1</v>
      </c>
      <c r="X79" s="25">
        <v>1</v>
      </c>
      <c r="Y79" s="25">
        <v>1</v>
      </c>
      <c r="Z79" s="25">
        <v>1</v>
      </c>
      <c r="AA79" s="25">
        <v>1</v>
      </c>
      <c r="AH79" s="5"/>
      <c r="AI79" s="5"/>
      <c r="AO79" s="5"/>
    </row>
    <row r="80" spans="10:41" x14ac:dyDescent="0.3">
      <c r="J80" s="25">
        <v>76</v>
      </c>
      <c r="K80" s="16" t="s">
        <v>37</v>
      </c>
      <c r="L80" s="16" t="s">
        <v>37</v>
      </c>
      <c r="M80" s="16" t="s">
        <v>92</v>
      </c>
      <c r="N80" s="16" t="s">
        <v>37</v>
      </c>
      <c r="O80" s="16" t="s">
        <v>125</v>
      </c>
      <c r="Q80" s="9">
        <v>7</v>
      </c>
      <c r="R80" s="9">
        <v>7</v>
      </c>
      <c r="S80" s="9">
        <v>16</v>
      </c>
      <c r="T80" s="9">
        <v>7</v>
      </c>
      <c r="U80" s="9">
        <v>6</v>
      </c>
      <c r="W80" s="25">
        <v>1</v>
      </c>
      <c r="X80" s="25">
        <v>1</v>
      </c>
      <c r="Y80" s="25">
        <v>1</v>
      </c>
      <c r="Z80" s="25">
        <v>1</v>
      </c>
      <c r="AA80" s="25">
        <v>1</v>
      </c>
      <c r="AH80" s="5"/>
      <c r="AI80" s="5"/>
      <c r="AO80" s="5"/>
    </row>
    <row r="81" spans="10:41" x14ac:dyDescent="0.3">
      <c r="J81" s="9">
        <v>77</v>
      </c>
      <c r="K81" s="16" t="s">
        <v>35</v>
      </c>
      <c r="L81" s="16" t="s">
        <v>19</v>
      </c>
      <c r="M81" s="16" t="s">
        <v>91</v>
      </c>
      <c r="N81" s="16" t="s">
        <v>19</v>
      </c>
      <c r="O81" s="16" t="s">
        <v>37</v>
      </c>
      <c r="Q81" s="9">
        <v>8</v>
      </c>
      <c r="R81" s="9">
        <v>5</v>
      </c>
      <c r="S81" s="9">
        <v>14</v>
      </c>
      <c r="T81" s="9">
        <v>5</v>
      </c>
      <c r="U81" s="9">
        <v>7</v>
      </c>
      <c r="W81" s="25">
        <v>1</v>
      </c>
      <c r="X81" s="25">
        <v>1</v>
      </c>
      <c r="Y81" s="25">
        <v>1</v>
      </c>
      <c r="Z81" s="25">
        <v>1</v>
      </c>
      <c r="AA81" s="25">
        <v>1</v>
      </c>
      <c r="AH81" s="5"/>
      <c r="AI81" s="5"/>
      <c r="AO81" s="5"/>
    </row>
    <row r="82" spans="10:41" x14ac:dyDescent="0.3">
      <c r="J82" s="25">
        <v>78</v>
      </c>
      <c r="K82" s="16" t="s">
        <v>37</v>
      </c>
      <c r="L82" s="16" t="s">
        <v>90</v>
      </c>
      <c r="M82" s="16" t="s">
        <v>92</v>
      </c>
      <c r="N82" s="16" t="s">
        <v>92</v>
      </c>
      <c r="O82" s="16" t="s">
        <v>36</v>
      </c>
      <c r="Q82" s="9">
        <v>7</v>
      </c>
      <c r="R82" s="9">
        <v>13</v>
      </c>
      <c r="S82" s="9">
        <v>16</v>
      </c>
      <c r="T82" s="9">
        <v>16</v>
      </c>
      <c r="U82" s="9">
        <v>10</v>
      </c>
      <c r="W82" s="25">
        <v>1</v>
      </c>
      <c r="X82" s="25">
        <v>1</v>
      </c>
      <c r="Y82" s="25">
        <v>1</v>
      </c>
      <c r="Z82" s="25">
        <v>1</v>
      </c>
      <c r="AA82" s="25">
        <v>1</v>
      </c>
      <c r="AH82" s="5"/>
      <c r="AI82" s="5"/>
      <c r="AO82" s="5"/>
    </row>
    <row r="83" spans="10:41" x14ac:dyDescent="0.3">
      <c r="J83" s="9">
        <v>79</v>
      </c>
      <c r="K83" s="16" t="s">
        <v>19</v>
      </c>
      <c r="L83" s="16" t="s">
        <v>125</v>
      </c>
      <c r="M83" s="16" t="s">
        <v>97</v>
      </c>
      <c r="N83" s="16" t="s">
        <v>19</v>
      </c>
      <c r="O83" s="16" t="s">
        <v>21</v>
      </c>
      <c r="Q83" s="9">
        <v>5</v>
      </c>
      <c r="R83" s="9">
        <v>6</v>
      </c>
      <c r="S83" s="9">
        <v>19</v>
      </c>
      <c r="T83" s="9">
        <v>5</v>
      </c>
      <c r="U83" s="9">
        <v>2</v>
      </c>
      <c r="W83" s="25">
        <v>1</v>
      </c>
      <c r="X83" s="25">
        <v>1</v>
      </c>
      <c r="Y83" s="25">
        <v>1</v>
      </c>
      <c r="Z83" s="25">
        <v>1</v>
      </c>
      <c r="AA83" s="25">
        <v>1</v>
      </c>
      <c r="AH83" s="5"/>
      <c r="AI83" s="5"/>
      <c r="AO83" s="5"/>
    </row>
    <row r="84" spans="10:41" x14ac:dyDescent="0.3">
      <c r="J84" s="25">
        <v>80</v>
      </c>
      <c r="K84" s="16" t="s">
        <v>18</v>
      </c>
      <c r="L84" s="16" t="s">
        <v>97</v>
      </c>
      <c r="M84" s="16" t="s">
        <v>126</v>
      </c>
      <c r="N84" s="16" t="s">
        <v>35</v>
      </c>
      <c r="O84" s="16" t="s">
        <v>18</v>
      </c>
      <c r="Q84" s="9">
        <v>4</v>
      </c>
      <c r="R84" s="9">
        <v>19</v>
      </c>
      <c r="S84" s="9">
        <v>15</v>
      </c>
      <c r="T84" s="9">
        <v>8</v>
      </c>
      <c r="U84" s="9">
        <v>4</v>
      </c>
      <c r="W84" s="25">
        <v>1</v>
      </c>
      <c r="X84" s="25">
        <v>1</v>
      </c>
      <c r="Y84" s="25">
        <v>1</v>
      </c>
      <c r="Z84" s="25">
        <v>1</v>
      </c>
      <c r="AA84" s="25">
        <v>1</v>
      </c>
      <c r="AH84" s="5"/>
      <c r="AI84" s="5"/>
      <c r="AO84" s="5"/>
    </row>
    <row r="85" spans="10:41" x14ac:dyDescent="0.3">
      <c r="J85" s="9">
        <v>81</v>
      </c>
      <c r="K85" s="16" t="s">
        <v>36</v>
      </c>
      <c r="L85" s="16" t="s">
        <v>91</v>
      </c>
      <c r="M85" s="16" t="s">
        <v>112</v>
      </c>
      <c r="N85" s="16" t="s">
        <v>92</v>
      </c>
      <c r="O85" s="16" t="s">
        <v>37</v>
      </c>
      <c r="Q85" s="9">
        <v>10</v>
      </c>
      <c r="R85" s="9">
        <v>14</v>
      </c>
      <c r="S85" s="9">
        <v>17</v>
      </c>
      <c r="T85" s="9">
        <v>16</v>
      </c>
      <c r="U85" s="9">
        <v>7</v>
      </c>
      <c r="W85" s="25">
        <v>1</v>
      </c>
      <c r="X85" s="25">
        <v>1</v>
      </c>
      <c r="Y85" s="25">
        <v>1</v>
      </c>
      <c r="Z85" s="25">
        <v>1</v>
      </c>
      <c r="AA85" s="25">
        <v>1</v>
      </c>
      <c r="AH85" s="5"/>
      <c r="AI85" s="5"/>
      <c r="AO85" s="5"/>
    </row>
    <row r="86" spans="10:41" x14ac:dyDescent="0.3">
      <c r="J86" s="25">
        <v>82</v>
      </c>
      <c r="K86" s="16" t="s">
        <v>19</v>
      </c>
      <c r="L86" s="16" t="s">
        <v>35</v>
      </c>
      <c r="M86" s="16" t="s">
        <v>97</v>
      </c>
      <c r="N86" s="16" t="s">
        <v>36</v>
      </c>
      <c r="O86" s="16" t="s">
        <v>35</v>
      </c>
      <c r="Q86" s="9">
        <v>5</v>
      </c>
      <c r="R86" s="9">
        <v>8</v>
      </c>
      <c r="S86" s="9">
        <v>19</v>
      </c>
      <c r="T86" s="9">
        <v>10</v>
      </c>
      <c r="U86" s="9">
        <v>8</v>
      </c>
      <c r="W86" s="25">
        <v>1</v>
      </c>
      <c r="X86" s="25">
        <v>1</v>
      </c>
      <c r="Y86" s="25">
        <v>1</v>
      </c>
      <c r="Z86" s="25">
        <v>1</v>
      </c>
      <c r="AA86" s="25">
        <v>1</v>
      </c>
      <c r="AH86" s="5"/>
      <c r="AI86" s="5"/>
      <c r="AO86" s="5"/>
    </row>
    <row r="87" spans="10:41" x14ac:dyDescent="0.3">
      <c r="J87" s="9">
        <v>83</v>
      </c>
      <c r="K87" s="16" t="s">
        <v>37</v>
      </c>
      <c r="L87" s="16" t="s">
        <v>19</v>
      </c>
      <c r="M87" s="16" t="s">
        <v>90</v>
      </c>
      <c r="N87" s="16" t="s">
        <v>125</v>
      </c>
      <c r="O87" s="16" t="s">
        <v>125</v>
      </c>
      <c r="Q87" s="9">
        <v>7</v>
      </c>
      <c r="R87" s="9">
        <v>5</v>
      </c>
      <c r="S87" s="9">
        <v>13</v>
      </c>
      <c r="T87" s="9">
        <v>6</v>
      </c>
      <c r="U87" s="9">
        <v>6</v>
      </c>
      <c r="W87" s="25">
        <v>1</v>
      </c>
      <c r="X87" s="25">
        <v>1</v>
      </c>
      <c r="Y87" s="25">
        <v>1</v>
      </c>
      <c r="Z87" s="25">
        <v>1</v>
      </c>
      <c r="AA87" s="25">
        <v>1</v>
      </c>
      <c r="AH87" s="5"/>
      <c r="AI87" s="5"/>
      <c r="AO87" s="5"/>
    </row>
    <row r="88" spans="10:41" x14ac:dyDescent="0.3">
      <c r="J88" s="25">
        <v>84</v>
      </c>
      <c r="K88" s="16" t="s">
        <v>35</v>
      </c>
      <c r="L88" s="16" t="s">
        <v>37</v>
      </c>
      <c r="M88" s="16" t="s">
        <v>126</v>
      </c>
      <c r="N88" s="16" t="s">
        <v>19</v>
      </c>
      <c r="O88" s="16" t="s">
        <v>19</v>
      </c>
      <c r="Q88" s="9">
        <v>8</v>
      </c>
      <c r="R88" s="9">
        <v>7</v>
      </c>
      <c r="S88" s="9">
        <v>15</v>
      </c>
      <c r="T88" s="9">
        <v>5</v>
      </c>
      <c r="U88" s="9">
        <v>5</v>
      </c>
      <c r="W88" s="25">
        <v>1</v>
      </c>
      <c r="X88" s="25">
        <v>1</v>
      </c>
      <c r="Y88" s="25">
        <v>1</v>
      </c>
      <c r="Z88" s="25">
        <v>1</v>
      </c>
      <c r="AA88" s="25">
        <v>1</v>
      </c>
      <c r="AH88" s="5"/>
      <c r="AI88" s="5"/>
      <c r="AO88" s="5"/>
    </row>
    <row r="89" spans="10:41" x14ac:dyDescent="0.3">
      <c r="J89" s="9">
        <v>85</v>
      </c>
      <c r="K89" s="16" t="s">
        <v>19</v>
      </c>
      <c r="L89" s="16" t="s">
        <v>35</v>
      </c>
      <c r="M89" s="16" t="s">
        <v>112</v>
      </c>
      <c r="N89" s="16" t="s">
        <v>20</v>
      </c>
      <c r="O89" s="16" t="s">
        <v>36</v>
      </c>
      <c r="Q89" s="9">
        <v>5</v>
      </c>
      <c r="R89" s="9">
        <v>8</v>
      </c>
      <c r="S89" s="9">
        <v>17</v>
      </c>
      <c r="T89" s="9">
        <v>1</v>
      </c>
      <c r="U89" s="9">
        <v>10</v>
      </c>
      <c r="W89" s="25">
        <v>1</v>
      </c>
      <c r="X89" s="25">
        <v>1</v>
      </c>
      <c r="Y89" s="25">
        <v>1</v>
      </c>
      <c r="Z89" s="25">
        <v>1</v>
      </c>
      <c r="AA89" s="25">
        <v>1</v>
      </c>
      <c r="AH89" s="5"/>
      <c r="AI89" s="5"/>
      <c r="AO89" s="5"/>
    </row>
    <row r="90" spans="10:41" x14ac:dyDescent="0.3">
      <c r="J90" s="25">
        <v>86</v>
      </c>
      <c r="K90" s="16" t="s">
        <v>37</v>
      </c>
      <c r="L90" s="16" t="s">
        <v>34</v>
      </c>
      <c r="M90" s="16" t="s">
        <v>126</v>
      </c>
      <c r="N90" s="16" t="s">
        <v>19</v>
      </c>
      <c r="O90" s="16" t="s">
        <v>37</v>
      </c>
      <c r="Q90" s="9">
        <v>7</v>
      </c>
      <c r="R90" s="9">
        <v>9</v>
      </c>
      <c r="S90" s="9">
        <v>15</v>
      </c>
      <c r="T90" s="9">
        <v>5</v>
      </c>
      <c r="U90" s="9">
        <v>7</v>
      </c>
      <c r="W90" s="25">
        <v>1</v>
      </c>
      <c r="X90" s="25">
        <v>1</v>
      </c>
      <c r="Y90" s="25">
        <v>1</v>
      </c>
      <c r="Z90" s="25">
        <v>1</v>
      </c>
      <c r="AA90" s="25">
        <v>1</v>
      </c>
      <c r="AH90" s="5"/>
      <c r="AI90" s="5"/>
      <c r="AO90" s="5"/>
    </row>
    <row r="91" spans="10:41" x14ac:dyDescent="0.3">
      <c r="J91" s="9">
        <v>87</v>
      </c>
      <c r="K91" s="16" t="s">
        <v>125</v>
      </c>
      <c r="L91" s="16" t="s">
        <v>21</v>
      </c>
      <c r="M91" s="16" t="s">
        <v>88</v>
      </c>
      <c r="N91" s="16" t="s">
        <v>35</v>
      </c>
      <c r="O91" s="16" t="s">
        <v>35</v>
      </c>
      <c r="Q91" s="9">
        <v>6</v>
      </c>
      <c r="R91" s="9">
        <v>2</v>
      </c>
      <c r="S91" s="9">
        <v>11</v>
      </c>
      <c r="T91" s="9">
        <v>8</v>
      </c>
      <c r="U91" s="9">
        <v>8</v>
      </c>
      <c r="W91" s="25">
        <v>1</v>
      </c>
      <c r="X91" s="25">
        <v>1</v>
      </c>
      <c r="Y91" s="25">
        <v>1</v>
      </c>
      <c r="Z91" s="25">
        <v>1</v>
      </c>
      <c r="AA91" s="25">
        <v>1</v>
      </c>
      <c r="AH91" s="5"/>
      <c r="AI91" s="5"/>
      <c r="AO91" s="5"/>
    </row>
    <row r="92" spans="10:41" x14ac:dyDescent="0.3">
      <c r="J92" s="25">
        <v>88</v>
      </c>
      <c r="K92" s="16" t="s">
        <v>19</v>
      </c>
      <c r="L92" s="16" t="s">
        <v>19</v>
      </c>
      <c r="M92" s="16" t="s">
        <v>112</v>
      </c>
      <c r="N92" s="16" t="s">
        <v>37</v>
      </c>
      <c r="O92" s="16" t="s">
        <v>34</v>
      </c>
      <c r="Q92" s="9">
        <v>5</v>
      </c>
      <c r="R92" s="9">
        <v>5</v>
      </c>
      <c r="S92" s="9">
        <v>17</v>
      </c>
      <c r="T92" s="9">
        <v>7</v>
      </c>
      <c r="U92" s="9">
        <v>9</v>
      </c>
      <c r="W92" s="25">
        <v>1</v>
      </c>
      <c r="X92" s="25">
        <v>1</v>
      </c>
      <c r="Y92" s="25">
        <v>1</v>
      </c>
      <c r="Z92" s="25">
        <v>1</v>
      </c>
      <c r="AA92" s="25">
        <v>1</v>
      </c>
      <c r="AH92" s="5"/>
      <c r="AI92" s="5"/>
      <c r="AO92" s="5"/>
    </row>
    <row r="93" spans="10:41" x14ac:dyDescent="0.3">
      <c r="J93" s="9">
        <v>89</v>
      </c>
      <c r="K93" s="16" t="s">
        <v>36</v>
      </c>
      <c r="L93" s="16" t="s">
        <v>125</v>
      </c>
      <c r="M93" s="16" t="s">
        <v>91</v>
      </c>
      <c r="N93" s="16" t="s">
        <v>125</v>
      </c>
      <c r="O93" s="16" t="s">
        <v>35</v>
      </c>
      <c r="Q93" s="9">
        <v>10</v>
      </c>
      <c r="R93" s="9">
        <v>6</v>
      </c>
      <c r="S93" s="9">
        <v>14</v>
      </c>
      <c r="T93" s="9">
        <v>6</v>
      </c>
      <c r="U93" s="9">
        <v>8</v>
      </c>
      <c r="W93" s="25">
        <v>1</v>
      </c>
      <c r="X93" s="25">
        <v>1</v>
      </c>
      <c r="Y93" s="25">
        <v>1</v>
      </c>
      <c r="Z93" s="25">
        <v>1</v>
      </c>
      <c r="AA93" s="25">
        <v>1</v>
      </c>
      <c r="AH93" s="5"/>
      <c r="AI93" s="5"/>
      <c r="AO93" s="5"/>
    </row>
    <row r="94" spans="10:41" x14ac:dyDescent="0.3">
      <c r="J94" s="25">
        <v>90</v>
      </c>
      <c r="K94" s="16" t="s">
        <v>35</v>
      </c>
      <c r="L94" s="16" t="s">
        <v>89</v>
      </c>
      <c r="M94" s="16" t="s">
        <v>112</v>
      </c>
      <c r="N94" s="16" t="s">
        <v>92</v>
      </c>
      <c r="O94" s="16" t="s">
        <v>20</v>
      </c>
      <c r="Q94" s="9">
        <v>8</v>
      </c>
      <c r="R94" s="9">
        <v>12</v>
      </c>
      <c r="S94" s="9">
        <v>17</v>
      </c>
      <c r="T94" s="9">
        <v>16</v>
      </c>
      <c r="U94" s="9">
        <v>1</v>
      </c>
      <c r="W94" s="25">
        <v>1</v>
      </c>
      <c r="X94" s="25">
        <v>1</v>
      </c>
      <c r="Y94" s="25">
        <v>1</v>
      </c>
      <c r="Z94" s="25">
        <v>1</v>
      </c>
      <c r="AA94" s="25">
        <v>1</v>
      </c>
      <c r="AH94" s="5"/>
      <c r="AI94" s="5"/>
      <c r="AO94" s="5"/>
    </row>
    <row r="95" spans="10:41" x14ac:dyDescent="0.3">
      <c r="J95" s="9">
        <v>91</v>
      </c>
      <c r="K95" s="16" t="s">
        <v>125</v>
      </c>
      <c r="L95" s="16" t="s">
        <v>112</v>
      </c>
      <c r="M95" s="16" t="s">
        <v>88</v>
      </c>
      <c r="N95" s="16" t="s">
        <v>126</v>
      </c>
      <c r="O95" s="16" t="s">
        <v>35</v>
      </c>
      <c r="Q95" s="9">
        <v>6</v>
      </c>
      <c r="R95" s="9">
        <v>17</v>
      </c>
      <c r="S95" s="9">
        <v>11</v>
      </c>
      <c r="T95" s="9">
        <v>15</v>
      </c>
      <c r="U95" s="9">
        <v>8</v>
      </c>
      <c r="W95" s="25">
        <v>1</v>
      </c>
      <c r="X95" s="25">
        <v>1</v>
      </c>
      <c r="Y95" s="25">
        <v>1</v>
      </c>
      <c r="Z95" s="25">
        <v>1</v>
      </c>
      <c r="AA95" s="25">
        <v>1</v>
      </c>
      <c r="AH95" s="5"/>
      <c r="AI95" s="5"/>
      <c r="AO95" s="5"/>
    </row>
    <row r="96" spans="10:41" x14ac:dyDescent="0.3">
      <c r="J96" s="25">
        <v>92</v>
      </c>
      <c r="K96" s="16" t="s">
        <v>19</v>
      </c>
      <c r="L96" s="16" t="s">
        <v>125</v>
      </c>
      <c r="M96" s="16" t="s">
        <v>95</v>
      </c>
      <c r="N96" s="16" t="s">
        <v>20</v>
      </c>
      <c r="O96" s="16" t="s">
        <v>19</v>
      </c>
      <c r="Q96" s="9">
        <v>5</v>
      </c>
      <c r="R96" s="9">
        <v>6</v>
      </c>
      <c r="S96" s="9">
        <v>18</v>
      </c>
      <c r="T96" s="9">
        <v>1</v>
      </c>
      <c r="U96" s="9">
        <v>5</v>
      </c>
      <c r="W96" s="25">
        <v>1</v>
      </c>
      <c r="X96" s="25">
        <v>1</v>
      </c>
      <c r="Y96" s="25">
        <v>1</v>
      </c>
      <c r="Z96" s="25">
        <v>1</v>
      </c>
      <c r="AA96" s="25">
        <v>1</v>
      </c>
      <c r="AH96" s="5"/>
      <c r="AI96" s="5"/>
      <c r="AO96" s="5"/>
    </row>
    <row r="97" spans="10:41" x14ac:dyDescent="0.3">
      <c r="J97" s="9">
        <v>93</v>
      </c>
      <c r="K97" s="16" t="s">
        <v>37</v>
      </c>
      <c r="L97" s="16" t="s">
        <v>112</v>
      </c>
      <c r="M97" s="16" t="s">
        <v>126</v>
      </c>
      <c r="N97" s="16" t="s">
        <v>35</v>
      </c>
      <c r="O97" s="16" t="s">
        <v>36</v>
      </c>
      <c r="Q97" s="9">
        <v>7</v>
      </c>
      <c r="R97" s="9">
        <v>17</v>
      </c>
      <c r="S97" s="9">
        <v>15</v>
      </c>
      <c r="T97" s="9">
        <v>8</v>
      </c>
      <c r="U97" s="9">
        <v>10</v>
      </c>
      <c r="W97" s="25">
        <v>1</v>
      </c>
      <c r="X97" s="25">
        <v>1</v>
      </c>
      <c r="Y97" s="25">
        <v>1</v>
      </c>
      <c r="Z97" s="25">
        <v>1</v>
      </c>
      <c r="AA97" s="25">
        <v>1</v>
      </c>
      <c r="AH97" s="5"/>
      <c r="AI97" s="5"/>
      <c r="AO97" s="5"/>
    </row>
    <row r="98" spans="10:41" x14ac:dyDescent="0.3">
      <c r="J98" s="25">
        <v>94</v>
      </c>
      <c r="K98" s="16" t="s">
        <v>35</v>
      </c>
      <c r="L98" s="16" t="s">
        <v>21</v>
      </c>
      <c r="M98" s="16" t="s">
        <v>91</v>
      </c>
      <c r="N98" s="16" t="s">
        <v>37</v>
      </c>
      <c r="O98" s="16" t="s">
        <v>19</v>
      </c>
      <c r="Q98" s="9">
        <v>8</v>
      </c>
      <c r="R98" s="9">
        <v>2</v>
      </c>
      <c r="S98" s="9">
        <v>14</v>
      </c>
      <c r="T98" s="9">
        <v>7</v>
      </c>
      <c r="U98" s="9">
        <v>5</v>
      </c>
      <c r="W98" s="25">
        <v>1</v>
      </c>
      <c r="X98" s="25">
        <v>1</v>
      </c>
      <c r="Y98" s="25">
        <v>1</v>
      </c>
      <c r="Z98" s="25">
        <v>1</v>
      </c>
      <c r="AA98" s="25">
        <v>1</v>
      </c>
      <c r="AH98" s="5"/>
      <c r="AI98" s="5"/>
      <c r="AO98" s="5"/>
    </row>
    <row r="99" spans="10:41" x14ac:dyDescent="0.3">
      <c r="J99" s="9">
        <v>95</v>
      </c>
      <c r="K99" s="16" t="s">
        <v>125</v>
      </c>
      <c r="L99" s="16" t="s">
        <v>19</v>
      </c>
      <c r="M99" s="16" t="s">
        <v>126</v>
      </c>
      <c r="N99" s="16" t="s">
        <v>126</v>
      </c>
      <c r="O99" s="16" t="s">
        <v>125</v>
      </c>
      <c r="Q99" s="9">
        <v>6</v>
      </c>
      <c r="R99" s="9">
        <v>5</v>
      </c>
      <c r="S99" s="9">
        <v>15</v>
      </c>
      <c r="T99" s="9">
        <v>15</v>
      </c>
      <c r="U99" s="9">
        <v>6</v>
      </c>
      <c r="W99" s="25">
        <v>1</v>
      </c>
      <c r="X99" s="25">
        <v>1</v>
      </c>
      <c r="Y99" s="25">
        <v>1</v>
      </c>
      <c r="Z99" s="25">
        <v>1</v>
      </c>
      <c r="AA99" s="25">
        <v>1</v>
      </c>
      <c r="AH99" s="5"/>
      <c r="AI99" s="5"/>
      <c r="AO99" s="5"/>
    </row>
    <row r="100" spans="10:41" x14ac:dyDescent="0.3">
      <c r="J100" s="25">
        <v>96</v>
      </c>
      <c r="K100" s="16" t="s">
        <v>19</v>
      </c>
      <c r="L100" s="16" t="s">
        <v>35</v>
      </c>
      <c r="M100" s="16" t="s">
        <v>112</v>
      </c>
      <c r="N100" s="16" t="s">
        <v>35</v>
      </c>
      <c r="O100" s="16" t="s">
        <v>35</v>
      </c>
      <c r="Q100" s="9">
        <v>5</v>
      </c>
      <c r="R100" s="9">
        <v>8</v>
      </c>
      <c r="S100" s="9">
        <v>17</v>
      </c>
      <c r="T100" s="9">
        <v>8</v>
      </c>
      <c r="U100" s="9">
        <v>8</v>
      </c>
      <c r="W100" s="25">
        <v>1</v>
      </c>
      <c r="X100" s="25">
        <v>1</v>
      </c>
      <c r="Y100" s="25">
        <v>1</v>
      </c>
      <c r="Z100" s="25">
        <v>1</v>
      </c>
      <c r="AA100" s="25">
        <v>1</v>
      </c>
      <c r="AH100" s="5"/>
      <c r="AI100" s="5"/>
      <c r="AO100" s="5"/>
    </row>
    <row r="101" spans="10:41" x14ac:dyDescent="0.3">
      <c r="J101" s="9">
        <v>97</v>
      </c>
      <c r="K101" s="16" t="s">
        <v>37</v>
      </c>
      <c r="L101" s="16" t="s">
        <v>112</v>
      </c>
      <c r="M101" s="16" t="s">
        <v>91</v>
      </c>
      <c r="N101" s="16" t="s">
        <v>112</v>
      </c>
      <c r="O101" s="16" t="s">
        <v>34</v>
      </c>
      <c r="Q101" s="9">
        <v>7</v>
      </c>
      <c r="R101" s="9">
        <v>17</v>
      </c>
      <c r="S101" s="9">
        <v>14</v>
      </c>
      <c r="T101" s="9">
        <v>17</v>
      </c>
      <c r="U101" s="9">
        <v>9</v>
      </c>
      <c r="W101" s="25">
        <v>1</v>
      </c>
      <c r="X101" s="25">
        <v>1</v>
      </c>
      <c r="Y101" s="25">
        <v>1</v>
      </c>
      <c r="Z101" s="25">
        <v>1</v>
      </c>
      <c r="AA101" s="25">
        <v>1</v>
      </c>
      <c r="AH101" s="5"/>
      <c r="AI101" s="5"/>
      <c r="AO101" s="5"/>
    </row>
    <row r="102" spans="10:41" x14ac:dyDescent="0.3">
      <c r="J102" s="25">
        <v>98</v>
      </c>
      <c r="K102" s="16" t="s">
        <v>21</v>
      </c>
      <c r="L102" s="16" t="s">
        <v>35</v>
      </c>
      <c r="M102" s="16" t="s">
        <v>92</v>
      </c>
      <c r="N102" s="16" t="s">
        <v>34</v>
      </c>
      <c r="O102" s="16" t="s">
        <v>21</v>
      </c>
      <c r="Q102" s="9">
        <v>2</v>
      </c>
      <c r="R102" s="9">
        <v>8</v>
      </c>
      <c r="S102" s="9">
        <v>16</v>
      </c>
      <c r="T102" s="9">
        <v>9</v>
      </c>
      <c r="U102" s="9">
        <v>2</v>
      </c>
      <c r="W102" s="25">
        <v>1</v>
      </c>
      <c r="X102" s="25">
        <v>1</v>
      </c>
      <c r="Y102" s="25">
        <v>1</v>
      </c>
      <c r="Z102" s="25">
        <v>1</v>
      </c>
      <c r="AA102" s="25">
        <v>1</v>
      </c>
      <c r="AH102" s="5"/>
      <c r="AI102" s="5"/>
      <c r="AO102" s="5"/>
    </row>
    <row r="103" spans="10:41" x14ac:dyDescent="0.3">
      <c r="J103" s="9">
        <v>99</v>
      </c>
      <c r="K103" s="16" t="s">
        <v>37</v>
      </c>
      <c r="L103" s="16" t="s">
        <v>21</v>
      </c>
      <c r="M103" s="16" t="s">
        <v>91</v>
      </c>
      <c r="N103" s="16" t="s">
        <v>37</v>
      </c>
      <c r="O103" s="16" t="s">
        <v>35</v>
      </c>
      <c r="Q103" s="9">
        <v>7</v>
      </c>
      <c r="R103" s="9">
        <v>2</v>
      </c>
      <c r="S103" s="9">
        <v>14</v>
      </c>
      <c r="T103" s="9">
        <v>7</v>
      </c>
      <c r="U103" s="9">
        <v>8</v>
      </c>
      <c r="W103" s="25">
        <v>1</v>
      </c>
      <c r="X103" s="25">
        <v>1</v>
      </c>
      <c r="Y103" s="25">
        <v>1</v>
      </c>
      <c r="Z103" s="25">
        <v>1</v>
      </c>
      <c r="AA103" s="25">
        <v>1</v>
      </c>
      <c r="AH103" s="5"/>
      <c r="AI103" s="5"/>
      <c r="AO103" s="5"/>
    </row>
    <row r="104" spans="10:41" x14ac:dyDescent="0.3">
      <c r="J104" s="25">
        <v>100</v>
      </c>
      <c r="K104" s="16" t="s">
        <v>19</v>
      </c>
      <c r="L104" s="16" t="s">
        <v>35</v>
      </c>
      <c r="M104" s="16" t="s">
        <v>112</v>
      </c>
      <c r="N104" s="16" t="s">
        <v>92</v>
      </c>
      <c r="O104" s="16" t="s">
        <v>125</v>
      </c>
      <c r="Q104" s="9">
        <v>5</v>
      </c>
      <c r="R104" s="9">
        <v>8</v>
      </c>
      <c r="S104" s="9">
        <v>17</v>
      </c>
      <c r="T104" s="9">
        <v>16</v>
      </c>
      <c r="U104" s="9">
        <v>6</v>
      </c>
      <c r="W104" s="25">
        <v>1</v>
      </c>
      <c r="X104" s="25">
        <v>1</v>
      </c>
      <c r="Y104" s="25">
        <v>1</v>
      </c>
      <c r="Z104" s="25">
        <v>1</v>
      </c>
      <c r="AA104" s="25">
        <v>1</v>
      </c>
      <c r="AH104" s="5"/>
      <c r="AI104" s="5"/>
      <c r="AO104" s="5"/>
    </row>
    <row r="105" spans="10:41" x14ac:dyDescent="0.3">
      <c r="J105" s="25">
        <v>101</v>
      </c>
      <c r="K105" s="16" t="s">
        <v>125</v>
      </c>
      <c r="L105" s="16" t="s">
        <v>20</v>
      </c>
      <c r="M105" s="16" t="s">
        <v>91</v>
      </c>
      <c r="N105" s="16" t="s">
        <v>126</v>
      </c>
      <c r="O105" s="16" t="s">
        <v>35</v>
      </c>
      <c r="Q105" s="9">
        <v>6</v>
      </c>
      <c r="R105" s="9">
        <v>1</v>
      </c>
      <c r="S105" s="9">
        <v>14</v>
      </c>
      <c r="T105" s="9">
        <v>15</v>
      </c>
      <c r="U105" s="9">
        <v>8</v>
      </c>
      <c r="W105" s="25">
        <v>1</v>
      </c>
      <c r="X105" s="25">
        <v>1</v>
      </c>
      <c r="Y105" s="25">
        <v>1</v>
      </c>
      <c r="Z105" s="25">
        <v>1</v>
      </c>
      <c r="AA105" s="25">
        <v>1</v>
      </c>
      <c r="AH105" s="5"/>
      <c r="AI105" s="5"/>
      <c r="AO105" s="5"/>
    </row>
    <row r="106" spans="10:41" x14ac:dyDescent="0.3">
      <c r="J106" s="9">
        <v>102</v>
      </c>
      <c r="K106" s="16" t="s">
        <v>19</v>
      </c>
      <c r="L106" s="16" t="s">
        <v>37</v>
      </c>
      <c r="M106" s="16" t="s">
        <v>126</v>
      </c>
      <c r="N106" s="16" t="s">
        <v>18</v>
      </c>
      <c r="O106" s="16" t="s">
        <v>19</v>
      </c>
      <c r="Q106" s="9">
        <v>5</v>
      </c>
      <c r="R106" s="9">
        <v>7</v>
      </c>
      <c r="S106" s="9">
        <v>15</v>
      </c>
      <c r="T106" s="9">
        <v>4</v>
      </c>
      <c r="U106" s="9">
        <v>5</v>
      </c>
      <c r="W106" s="25">
        <v>1</v>
      </c>
      <c r="X106" s="25">
        <v>1</v>
      </c>
      <c r="Y106" s="25">
        <v>1</v>
      </c>
      <c r="Z106" s="25">
        <v>1</v>
      </c>
      <c r="AA106" s="25">
        <v>1</v>
      </c>
      <c r="AH106" s="5"/>
      <c r="AI106" s="5"/>
      <c r="AO106" s="5"/>
    </row>
    <row r="107" spans="10:41" x14ac:dyDescent="0.3">
      <c r="J107" s="25">
        <v>103</v>
      </c>
      <c r="K107" s="16" t="s">
        <v>37</v>
      </c>
      <c r="L107" s="16" t="s">
        <v>112</v>
      </c>
      <c r="M107" s="16" t="s">
        <v>91</v>
      </c>
      <c r="N107" s="16" t="s">
        <v>92</v>
      </c>
      <c r="O107" s="16" t="s">
        <v>34</v>
      </c>
      <c r="Q107" s="9">
        <v>7</v>
      </c>
      <c r="R107" s="9">
        <v>17</v>
      </c>
      <c r="S107" s="9">
        <v>14</v>
      </c>
      <c r="T107" s="9">
        <v>16</v>
      </c>
      <c r="U107" s="9">
        <v>9</v>
      </c>
      <c r="W107" s="25">
        <v>1</v>
      </c>
      <c r="X107" s="25">
        <v>1</v>
      </c>
      <c r="Y107" s="25">
        <v>1</v>
      </c>
      <c r="Z107" s="25">
        <v>1</v>
      </c>
      <c r="AA107" s="25">
        <v>1</v>
      </c>
      <c r="AH107" s="5"/>
      <c r="AI107" s="5"/>
      <c r="AO107" s="5"/>
    </row>
    <row r="108" spans="10:41" x14ac:dyDescent="0.3">
      <c r="J108" s="9">
        <v>104</v>
      </c>
      <c r="K108" s="16" t="s">
        <v>125</v>
      </c>
      <c r="L108" s="16" t="s">
        <v>37</v>
      </c>
      <c r="M108" s="16" t="s">
        <v>126</v>
      </c>
      <c r="N108" s="16" t="s">
        <v>19</v>
      </c>
      <c r="O108" s="16" t="s">
        <v>35</v>
      </c>
      <c r="Q108" s="9">
        <v>6</v>
      </c>
      <c r="R108" s="9">
        <v>7</v>
      </c>
      <c r="S108" s="9">
        <v>15</v>
      </c>
      <c r="T108" s="9">
        <v>5</v>
      </c>
      <c r="U108" s="9">
        <v>8</v>
      </c>
      <c r="W108" s="25">
        <v>1</v>
      </c>
      <c r="X108" s="25">
        <v>1</v>
      </c>
      <c r="Y108" s="25">
        <v>1</v>
      </c>
      <c r="Z108" s="25">
        <v>1</v>
      </c>
      <c r="AA108" s="25">
        <v>1</v>
      </c>
      <c r="AH108" s="5"/>
      <c r="AI108" s="5"/>
      <c r="AO108" s="5"/>
    </row>
    <row r="109" spans="10:41" x14ac:dyDescent="0.3">
      <c r="J109" s="25">
        <v>105</v>
      </c>
      <c r="K109" s="16" t="s">
        <v>37</v>
      </c>
      <c r="L109" s="16" t="s">
        <v>35</v>
      </c>
      <c r="M109" s="16" t="s">
        <v>90</v>
      </c>
      <c r="N109" s="16" t="s">
        <v>35</v>
      </c>
      <c r="O109" s="16" t="s">
        <v>37</v>
      </c>
      <c r="Q109" s="9">
        <v>7</v>
      </c>
      <c r="R109" s="9">
        <v>8</v>
      </c>
      <c r="S109" s="9">
        <v>13</v>
      </c>
      <c r="T109" s="9">
        <v>8</v>
      </c>
      <c r="U109" s="9">
        <v>7</v>
      </c>
      <c r="W109" s="25">
        <v>1</v>
      </c>
      <c r="X109" s="25">
        <v>1</v>
      </c>
      <c r="Y109" s="25">
        <v>1</v>
      </c>
      <c r="Z109" s="25">
        <v>1</v>
      </c>
      <c r="AA109" s="25">
        <v>1</v>
      </c>
      <c r="AH109" s="5"/>
      <c r="AI109" s="5"/>
      <c r="AO109" s="5"/>
    </row>
    <row r="110" spans="10:41" x14ac:dyDescent="0.3">
      <c r="J110" s="9">
        <v>106</v>
      </c>
      <c r="K110" s="16" t="s">
        <v>19</v>
      </c>
      <c r="L110" s="16" t="s">
        <v>36</v>
      </c>
      <c r="M110" s="16" t="s">
        <v>91</v>
      </c>
      <c r="N110" s="16" t="s">
        <v>19</v>
      </c>
      <c r="O110" s="16" t="s">
        <v>35</v>
      </c>
      <c r="Q110" s="9">
        <v>5</v>
      </c>
      <c r="R110" s="9">
        <v>10</v>
      </c>
      <c r="S110" s="9">
        <v>14</v>
      </c>
      <c r="T110" s="9">
        <v>5</v>
      </c>
      <c r="U110" s="9">
        <v>8</v>
      </c>
      <c r="W110" s="25">
        <v>1</v>
      </c>
      <c r="X110" s="25">
        <v>1</v>
      </c>
      <c r="Y110" s="25">
        <v>1</v>
      </c>
      <c r="Z110" s="25">
        <v>1</v>
      </c>
      <c r="AA110" s="25">
        <v>1</v>
      </c>
      <c r="AH110" s="5"/>
      <c r="AI110" s="5"/>
      <c r="AO110" s="5"/>
    </row>
    <row r="111" spans="10:41" x14ac:dyDescent="0.3">
      <c r="J111" s="25">
        <v>107</v>
      </c>
      <c r="K111" s="16" t="s">
        <v>37</v>
      </c>
      <c r="L111" s="16" t="s">
        <v>37</v>
      </c>
      <c r="M111" s="16" t="s">
        <v>112</v>
      </c>
      <c r="N111" s="16" t="s">
        <v>126</v>
      </c>
      <c r="O111" s="16" t="s">
        <v>125</v>
      </c>
      <c r="Q111" s="9">
        <v>7</v>
      </c>
      <c r="R111" s="9">
        <v>7</v>
      </c>
      <c r="S111" s="9">
        <v>17</v>
      </c>
      <c r="T111" s="9">
        <v>15</v>
      </c>
      <c r="U111" s="9">
        <v>6</v>
      </c>
      <c r="W111" s="25">
        <v>1</v>
      </c>
      <c r="X111" s="25">
        <v>1</v>
      </c>
      <c r="Y111" s="25">
        <v>1</v>
      </c>
      <c r="Z111" s="25">
        <v>1</v>
      </c>
      <c r="AA111" s="25">
        <v>1</v>
      </c>
      <c r="AH111" s="5"/>
      <c r="AI111" s="5"/>
      <c r="AO111" s="5"/>
    </row>
    <row r="112" spans="10:41" x14ac:dyDescent="0.3">
      <c r="J112" s="9">
        <v>108</v>
      </c>
      <c r="K112" s="16" t="s">
        <v>19</v>
      </c>
      <c r="L112" s="16" t="s">
        <v>21</v>
      </c>
      <c r="M112" s="16" t="s">
        <v>92</v>
      </c>
      <c r="N112" s="16" t="s">
        <v>22</v>
      </c>
      <c r="O112" s="16" t="s">
        <v>37</v>
      </c>
      <c r="Q112" s="9">
        <v>5</v>
      </c>
      <c r="R112" s="9">
        <v>2</v>
      </c>
      <c r="S112" s="9">
        <v>16</v>
      </c>
      <c r="T112" s="9">
        <v>3</v>
      </c>
      <c r="U112" s="9">
        <v>7</v>
      </c>
      <c r="W112" s="25">
        <v>1</v>
      </c>
      <c r="X112" s="25">
        <v>1</v>
      </c>
      <c r="Y112" s="25">
        <v>1</v>
      </c>
      <c r="Z112" s="25">
        <v>1</v>
      </c>
      <c r="AA112" s="25">
        <v>1</v>
      </c>
      <c r="AH112" s="5"/>
      <c r="AI112" s="5"/>
      <c r="AO112" s="5"/>
    </row>
    <row r="113" spans="10:41" x14ac:dyDescent="0.3">
      <c r="J113" s="25">
        <v>109</v>
      </c>
      <c r="K113" s="16" t="s">
        <v>34</v>
      </c>
      <c r="L113" s="16" t="s">
        <v>35</v>
      </c>
      <c r="M113" s="16" t="s">
        <v>126</v>
      </c>
      <c r="N113" s="16" t="s">
        <v>37</v>
      </c>
      <c r="O113" s="16" t="s">
        <v>22</v>
      </c>
      <c r="Q113" s="9">
        <v>9</v>
      </c>
      <c r="R113" s="9">
        <v>8</v>
      </c>
      <c r="S113" s="9">
        <v>15</v>
      </c>
      <c r="T113" s="9">
        <v>7</v>
      </c>
      <c r="U113" s="9">
        <v>3</v>
      </c>
      <c r="W113" s="25">
        <v>1</v>
      </c>
      <c r="X113" s="25">
        <v>1</v>
      </c>
      <c r="Y113" s="25">
        <v>1</v>
      </c>
      <c r="Z113" s="25">
        <v>1</v>
      </c>
      <c r="AA113" s="25">
        <v>1</v>
      </c>
      <c r="AH113" s="5"/>
      <c r="AI113" s="5"/>
      <c r="AO113" s="5"/>
    </row>
    <row r="114" spans="10:41" x14ac:dyDescent="0.3">
      <c r="J114" s="9">
        <v>110</v>
      </c>
      <c r="K114" s="16" t="s">
        <v>37</v>
      </c>
      <c r="L114" s="16" t="s">
        <v>112</v>
      </c>
      <c r="M114" s="16" t="s">
        <v>91</v>
      </c>
      <c r="N114" s="16" t="s">
        <v>19</v>
      </c>
      <c r="O114" s="16" t="s">
        <v>35</v>
      </c>
      <c r="Q114" s="9">
        <v>7</v>
      </c>
      <c r="R114" s="9">
        <v>17</v>
      </c>
      <c r="S114" s="9">
        <v>14</v>
      </c>
      <c r="T114" s="9">
        <v>5</v>
      </c>
      <c r="U114" s="9">
        <v>8</v>
      </c>
      <c r="W114" s="25">
        <v>1</v>
      </c>
      <c r="X114" s="25">
        <v>1</v>
      </c>
      <c r="Y114" s="25">
        <v>1</v>
      </c>
      <c r="Z114" s="25">
        <v>1</v>
      </c>
      <c r="AA114" s="25">
        <v>1</v>
      </c>
      <c r="AH114" s="5"/>
      <c r="AI114" s="5"/>
      <c r="AO114" s="5"/>
    </row>
    <row r="115" spans="10:41" x14ac:dyDescent="0.3">
      <c r="J115" s="25">
        <v>111</v>
      </c>
      <c r="K115" s="16" t="s">
        <v>19</v>
      </c>
      <c r="L115" s="16" t="s">
        <v>21</v>
      </c>
      <c r="M115" s="16" t="s">
        <v>92</v>
      </c>
      <c r="N115" s="16" t="s">
        <v>21</v>
      </c>
      <c r="O115" s="16" t="s">
        <v>19</v>
      </c>
      <c r="Q115" s="9">
        <v>5</v>
      </c>
      <c r="R115" s="9">
        <v>2</v>
      </c>
      <c r="S115" s="9">
        <v>16</v>
      </c>
      <c r="T115" s="9">
        <v>2</v>
      </c>
      <c r="U115" s="9">
        <v>5</v>
      </c>
      <c r="W115" s="25">
        <v>1</v>
      </c>
      <c r="X115" s="25">
        <v>1</v>
      </c>
      <c r="Y115" s="25">
        <v>1</v>
      </c>
      <c r="Z115" s="25">
        <v>1</v>
      </c>
      <c r="AA115" s="25">
        <v>1</v>
      </c>
      <c r="AH115" s="5"/>
      <c r="AI115" s="5"/>
      <c r="AO115" s="5"/>
    </row>
    <row r="116" spans="10:41" x14ac:dyDescent="0.3">
      <c r="J116" s="9">
        <v>112</v>
      </c>
      <c r="K116" s="16" t="s">
        <v>37</v>
      </c>
      <c r="L116" s="16" t="s">
        <v>37</v>
      </c>
      <c r="M116" s="16" t="s">
        <v>91</v>
      </c>
      <c r="N116" s="16" t="s">
        <v>35</v>
      </c>
      <c r="O116" s="16" t="s">
        <v>34</v>
      </c>
      <c r="Q116" s="9">
        <v>7</v>
      </c>
      <c r="R116" s="9">
        <v>7</v>
      </c>
      <c r="S116" s="9">
        <v>14</v>
      </c>
      <c r="T116" s="9">
        <v>8</v>
      </c>
      <c r="U116" s="9">
        <v>9</v>
      </c>
      <c r="W116" s="25">
        <v>1</v>
      </c>
      <c r="X116" s="25">
        <v>1</v>
      </c>
      <c r="Y116" s="25">
        <v>1</v>
      </c>
      <c r="Z116" s="25">
        <v>1</v>
      </c>
      <c r="AA116" s="25">
        <v>1</v>
      </c>
      <c r="AH116" s="5"/>
      <c r="AI116" s="5"/>
      <c r="AO116" s="5"/>
    </row>
    <row r="117" spans="10:41" x14ac:dyDescent="0.3">
      <c r="J117" s="25">
        <v>113</v>
      </c>
      <c r="K117" s="16" t="s">
        <v>19</v>
      </c>
      <c r="L117" s="16" t="s">
        <v>91</v>
      </c>
      <c r="M117" s="16" t="s">
        <v>112</v>
      </c>
      <c r="N117" s="16" t="s">
        <v>125</v>
      </c>
      <c r="O117" s="16" t="s">
        <v>20</v>
      </c>
      <c r="Q117" s="9">
        <v>5</v>
      </c>
      <c r="R117" s="9">
        <v>14</v>
      </c>
      <c r="S117" s="9">
        <v>17</v>
      </c>
      <c r="T117" s="9">
        <v>6</v>
      </c>
      <c r="U117" s="9">
        <v>1</v>
      </c>
      <c r="W117" s="25">
        <v>1</v>
      </c>
      <c r="X117" s="25">
        <v>1</v>
      </c>
      <c r="Y117" s="25">
        <v>1</v>
      </c>
      <c r="Z117" s="25">
        <v>1</v>
      </c>
      <c r="AA117" s="25">
        <v>1</v>
      </c>
      <c r="AH117" s="5"/>
      <c r="AI117" s="5"/>
      <c r="AO117" s="5"/>
    </row>
    <row r="118" spans="10:41" x14ac:dyDescent="0.3">
      <c r="J118" s="9">
        <v>114</v>
      </c>
      <c r="K118" s="16" t="s">
        <v>37</v>
      </c>
      <c r="L118" s="16" t="s">
        <v>126</v>
      </c>
      <c r="M118" s="16" t="s">
        <v>92</v>
      </c>
      <c r="N118" s="16" t="s">
        <v>19</v>
      </c>
      <c r="O118" s="16" t="s">
        <v>22</v>
      </c>
      <c r="Q118" s="9">
        <v>7</v>
      </c>
      <c r="R118" s="9">
        <v>15</v>
      </c>
      <c r="S118" s="9">
        <v>16</v>
      </c>
      <c r="T118" s="9">
        <v>5</v>
      </c>
      <c r="U118" s="9">
        <v>3</v>
      </c>
      <c r="W118" s="25">
        <v>1</v>
      </c>
      <c r="X118" s="25">
        <v>1</v>
      </c>
      <c r="Y118" s="25">
        <v>1</v>
      </c>
      <c r="Z118" s="25">
        <v>1</v>
      </c>
      <c r="AA118" s="25">
        <v>1</v>
      </c>
      <c r="AH118" s="5"/>
      <c r="AI118" s="5"/>
      <c r="AO118" s="5"/>
    </row>
    <row r="119" spans="10:41" x14ac:dyDescent="0.3">
      <c r="J119" s="25">
        <v>115</v>
      </c>
      <c r="K119" s="16" t="s">
        <v>19</v>
      </c>
      <c r="L119" s="16" t="s">
        <v>92</v>
      </c>
      <c r="M119" s="16" t="s">
        <v>91</v>
      </c>
      <c r="N119" s="16" t="s">
        <v>34</v>
      </c>
      <c r="O119" s="16" t="s">
        <v>19</v>
      </c>
      <c r="Q119" s="9">
        <v>5</v>
      </c>
      <c r="R119" s="9">
        <v>16</v>
      </c>
      <c r="S119" s="9">
        <v>14</v>
      </c>
      <c r="T119" s="9">
        <v>9</v>
      </c>
      <c r="U119" s="9">
        <v>5</v>
      </c>
      <c r="W119" s="25">
        <v>1</v>
      </c>
      <c r="X119" s="25">
        <v>1</v>
      </c>
      <c r="Y119" s="25">
        <v>1</v>
      </c>
      <c r="Z119" s="25">
        <v>1</v>
      </c>
      <c r="AA119" s="25">
        <v>1</v>
      </c>
      <c r="AH119" s="5"/>
      <c r="AI119" s="5"/>
      <c r="AO119" s="5"/>
    </row>
    <row r="120" spans="10:41" x14ac:dyDescent="0.3">
      <c r="J120" s="9">
        <v>116</v>
      </c>
      <c r="K120" s="16" t="s">
        <v>37</v>
      </c>
      <c r="L120" s="16" t="s">
        <v>18</v>
      </c>
      <c r="M120" s="16" t="s">
        <v>126</v>
      </c>
      <c r="N120" s="16" t="s">
        <v>35</v>
      </c>
      <c r="O120" s="16" t="s">
        <v>125</v>
      </c>
      <c r="Q120" s="9">
        <v>7</v>
      </c>
      <c r="R120" s="9">
        <v>4</v>
      </c>
      <c r="S120" s="9">
        <v>15</v>
      </c>
      <c r="T120" s="9">
        <v>8</v>
      </c>
      <c r="U120" s="9">
        <v>6</v>
      </c>
      <c r="W120" s="25">
        <v>1</v>
      </c>
      <c r="X120" s="25">
        <v>1</v>
      </c>
      <c r="Y120" s="25">
        <v>1</v>
      </c>
      <c r="Z120" s="25">
        <v>1</v>
      </c>
      <c r="AA120" s="25">
        <v>1</v>
      </c>
      <c r="AH120" s="5"/>
      <c r="AI120" s="5"/>
      <c r="AO120" s="5"/>
    </row>
    <row r="121" spans="10:41" x14ac:dyDescent="0.3">
      <c r="J121" s="25">
        <v>117</v>
      </c>
      <c r="K121" s="16" t="s">
        <v>35</v>
      </c>
      <c r="L121" s="16" t="s">
        <v>125</v>
      </c>
      <c r="M121" s="16" t="s">
        <v>112</v>
      </c>
      <c r="N121" s="16" t="s">
        <v>37</v>
      </c>
      <c r="O121" s="16" t="s">
        <v>18</v>
      </c>
      <c r="Q121" s="9">
        <v>8</v>
      </c>
      <c r="R121" s="9">
        <v>6</v>
      </c>
      <c r="S121" s="9">
        <v>17</v>
      </c>
      <c r="T121" s="9">
        <v>7</v>
      </c>
      <c r="U121" s="9">
        <v>4</v>
      </c>
      <c r="W121" s="25">
        <v>1</v>
      </c>
      <c r="X121" s="25">
        <v>1</v>
      </c>
      <c r="Y121" s="25">
        <v>1</v>
      </c>
      <c r="Z121" s="25">
        <v>1</v>
      </c>
      <c r="AA121" s="25">
        <v>1</v>
      </c>
      <c r="AH121" s="5"/>
      <c r="AI121" s="5"/>
      <c r="AO121" s="5"/>
    </row>
    <row r="122" spans="10:41" x14ac:dyDescent="0.3">
      <c r="J122" s="9">
        <v>118</v>
      </c>
      <c r="K122" s="16" t="s">
        <v>125</v>
      </c>
      <c r="L122" s="16" t="s">
        <v>18</v>
      </c>
      <c r="M122" s="16" t="s">
        <v>91</v>
      </c>
      <c r="N122" s="16" t="s">
        <v>19</v>
      </c>
      <c r="O122" s="16" t="s">
        <v>37</v>
      </c>
      <c r="Q122" s="9">
        <v>6</v>
      </c>
      <c r="R122" s="9">
        <v>4</v>
      </c>
      <c r="S122" s="9">
        <v>14</v>
      </c>
      <c r="T122" s="9">
        <v>5</v>
      </c>
      <c r="U122" s="9">
        <v>7</v>
      </c>
      <c r="W122" s="25">
        <v>1</v>
      </c>
      <c r="X122" s="25">
        <v>1</v>
      </c>
      <c r="Y122" s="25">
        <v>1</v>
      </c>
      <c r="Z122" s="25">
        <v>1</v>
      </c>
      <c r="AA122" s="25">
        <v>1</v>
      </c>
      <c r="AH122" s="5"/>
      <c r="AI122" s="5"/>
      <c r="AO122" s="5"/>
    </row>
    <row r="123" spans="10:41" x14ac:dyDescent="0.3">
      <c r="J123" s="25">
        <v>119</v>
      </c>
      <c r="K123" s="16" t="s">
        <v>37</v>
      </c>
      <c r="L123" s="16" t="s">
        <v>88</v>
      </c>
      <c r="M123" s="16" t="s">
        <v>112</v>
      </c>
      <c r="N123" s="16" t="s">
        <v>37</v>
      </c>
      <c r="O123" s="16" t="s">
        <v>35</v>
      </c>
      <c r="Q123" s="9">
        <v>7</v>
      </c>
      <c r="R123" s="9">
        <v>11</v>
      </c>
      <c r="S123" s="9">
        <v>17</v>
      </c>
      <c r="T123" s="9">
        <v>7</v>
      </c>
      <c r="U123" s="9">
        <v>8</v>
      </c>
      <c r="W123" s="25">
        <v>1</v>
      </c>
      <c r="X123" s="25">
        <v>1</v>
      </c>
      <c r="Y123" s="25">
        <v>1</v>
      </c>
      <c r="Z123" s="25">
        <v>1</v>
      </c>
      <c r="AA123" s="25">
        <v>1</v>
      </c>
      <c r="AH123" s="5"/>
      <c r="AI123" s="5"/>
      <c r="AO123" s="5"/>
    </row>
    <row r="124" spans="10:41" x14ac:dyDescent="0.3">
      <c r="J124" s="9">
        <v>120</v>
      </c>
      <c r="K124" s="16" t="s">
        <v>35</v>
      </c>
      <c r="L124" s="16" t="s">
        <v>19</v>
      </c>
      <c r="M124" s="16" t="s">
        <v>126</v>
      </c>
      <c r="N124" s="16" t="s">
        <v>92</v>
      </c>
      <c r="O124" s="16" t="s">
        <v>125</v>
      </c>
      <c r="Q124" s="9">
        <v>8</v>
      </c>
      <c r="R124" s="9">
        <v>5</v>
      </c>
      <c r="S124" s="9">
        <v>15</v>
      </c>
      <c r="T124" s="9">
        <v>16</v>
      </c>
      <c r="U124" s="9">
        <v>6</v>
      </c>
      <c r="W124" s="25">
        <v>1</v>
      </c>
      <c r="X124" s="25">
        <v>1</v>
      </c>
      <c r="Y124" s="25">
        <v>1</v>
      </c>
      <c r="Z124" s="25">
        <v>1</v>
      </c>
      <c r="AA124" s="25">
        <v>1</v>
      </c>
      <c r="AH124" s="5"/>
      <c r="AI124" s="5"/>
      <c r="AO124" s="5"/>
    </row>
    <row r="125" spans="10:41" x14ac:dyDescent="0.3">
      <c r="J125" s="25">
        <v>121</v>
      </c>
      <c r="K125" s="16" t="s">
        <v>19</v>
      </c>
      <c r="L125" s="16" t="s">
        <v>125</v>
      </c>
      <c r="M125" s="16" t="s">
        <v>89</v>
      </c>
      <c r="N125" s="16" t="s">
        <v>125</v>
      </c>
      <c r="O125" s="16" t="s">
        <v>20</v>
      </c>
      <c r="Q125" s="9">
        <v>5</v>
      </c>
      <c r="R125" s="9">
        <v>6</v>
      </c>
      <c r="S125" s="9">
        <v>12</v>
      </c>
      <c r="T125" s="9">
        <v>6</v>
      </c>
      <c r="U125" s="9">
        <v>1</v>
      </c>
      <c r="W125" s="25">
        <v>1</v>
      </c>
      <c r="X125" s="25">
        <v>1</v>
      </c>
      <c r="Y125" s="25">
        <v>1</v>
      </c>
      <c r="Z125" s="25">
        <v>1</v>
      </c>
      <c r="AA125" s="25">
        <v>1</v>
      </c>
      <c r="AH125" s="5"/>
      <c r="AI125" s="5"/>
      <c r="AO125" s="5"/>
    </row>
    <row r="126" spans="10:41" x14ac:dyDescent="0.3">
      <c r="J126" s="9">
        <v>122</v>
      </c>
      <c r="K126" s="16" t="s">
        <v>37</v>
      </c>
      <c r="L126" s="16" t="s">
        <v>37</v>
      </c>
      <c r="M126" s="16" t="s">
        <v>126</v>
      </c>
      <c r="N126" s="16" t="s">
        <v>35</v>
      </c>
      <c r="O126" s="16" t="s">
        <v>35</v>
      </c>
      <c r="Q126" s="9">
        <v>7</v>
      </c>
      <c r="R126" s="9">
        <v>7</v>
      </c>
      <c r="S126" s="9">
        <v>15</v>
      </c>
      <c r="T126" s="9">
        <v>8</v>
      </c>
      <c r="U126" s="9">
        <v>8</v>
      </c>
      <c r="W126" s="25">
        <v>1</v>
      </c>
      <c r="X126" s="25">
        <v>1</v>
      </c>
      <c r="Y126" s="25">
        <v>1</v>
      </c>
      <c r="Z126" s="25">
        <v>1</v>
      </c>
      <c r="AA126" s="25">
        <v>1</v>
      </c>
      <c r="AH126" s="5"/>
      <c r="AI126" s="5"/>
      <c r="AO126" s="5"/>
    </row>
    <row r="127" spans="10:41" x14ac:dyDescent="0.3">
      <c r="J127" s="25">
        <v>123</v>
      </c>
      <c r="K127" s="16" t="s">
        <v>125</v>
      </c>
      <c r="L127" s="16" t="s">
        <v>90</v>
      </c>
      <c r="M127" s="16" t="s">
        <v>92</v>
      </c>
      <c r="N127" s="16" t="s">
        <v>125</v>
      </c>
      <c r="O127" s="16" t="s">
        <v>37</v>
      </c>
      <c r="Q127" s="9">
        <v>6</v>
      </c>
      <c r="R127" s="9">
        <v>13</v>
      </c>
      <c r="S127" s="9">
        <v>16</v>
      </c>
      <c r="T127" s="9">
        <v>6</v>
      </c>
      <c r="U127" s="9">
        <v>7</v>
      </c>
      <c r="W127" s="25">
        <v>1</v>
      </c>
      <c r="X127" s="25">
        <v>1</v>
      </c>
      <c r="Y127" s="25">
        <v>1</v>
      </c>
      <c r="Z127" s="25">
        <v>1</v>
      </c>
      <c r="AA127" s="25">
        <v>1</v>
      </c>
      <c r="AH127" s="5"/>
      <c r="AI127" s="5"/>
      <c r="AO127" s="5"/>
    </row>
    <row r="128" spans="10:41" x14ac:dyDescent="0.3">
      <c r="J128" s="9">
        <v>124</v>
      </c>
      <c r="K128" s="16" t="s">
        <v>18</v>
      </c>
      <c r="L128" s="16" t="s">
        <v>35</v>
      </c>
      <c r="M128" s="16" t="s">
        <v>126</v>
      </c>
      <c r="N128" s="16" t="s">
        <v>37</v>
      </c>
      <c r="O128" s="16" t="s">
        <v>36</v>
      </c>
      <c r="Q128" s="9">
        <v>4</v>
      </c>
      <c r="R128" s="9">
        <v>8</v>
      </c>
      <c r="S128" s="9">
        <v>15</v>
      </c>
      <c r="T128" s="9">
        <v>7</v>
      </c>
      <c r="U128" s="9">
        <v>10</v>
      </c>
      <c r="W128" s="25">
        <v>1</v>
      </c>
      <c r="X128" s="25">
        <v>1</v>
      </c>
      <c r="Y128" s="25">
        <v>1</v>
      </c>
      <c r="Z128" s="25">
        <v>1</v>
      </c>
      <c r="AA128" s="25">
        <v>1</v>
      </c>
      <c r="AH128" s="5"/>
      <c r="AI128" s="5"/>
      <c r="AO128" s="5"/>
    </row>
    <row r="129" spans="10:41" x14ac:dyDescent="0.3">
      <c r="J129" s="25">
        <v>125</v>
      </c>
      <c r="K129" s="16" t="s">
        <v>19</v>
      </c>
      <c r="L129" s="16" t="s">
        <v>19</v>
      </c>
      <c r="M129" s="16" t="s">
        <v>91</v>
      </c>
      <c r="N129" s="16" t="s">
        <v>35</v>
      </c>
      <c r="O129" s="16" t="s">
        <v>125</v>
      </c>
      <c r="Q129" s="9">
        <v>5</v>
      </c>
      <c r="R129" s="9">
        <v>5</v>
      </c>
      <c r="S129" s="9">
        <v>14</v>
      </c>
      <c r="T129" s="9">
        <v>8</v>
      </c>
      <c r="U129" s="9">
        <v>6</v>
      </c>
      <c r="W129" s="25">
        <v>1</v>
      </c>
      <c r="X129" s="25">
        <v>1</v>
      </c>
      <c r="Y129" s="25">
        <v>1</v>
      </c>
      <c r="Z129" s="25">
        <v>1</v>
      </c>
      <c r="AA129" s="25">
        <v>1</v>
      </c>
      <c r="AH129" s="5"/>
      <c r="AI129" s="5"/>
      <c r="AO129" s="5"/>
    </row>
    <row r="130" spans="10:41" x14ac:dyDescent="0.3">
      <c r="J130" s="9">
        <v>126</v>
      </c>
      <c r="K130" s="16" t="s">
        <v>35</v>
      </c>
      <c r="L130" s="16" t="s">
        <v>126</v>
      </c>
      <c r="M130" s="16" t="s">
        <v>90</v>
      </c>
      <c r="N130" s="16" t="s">
        <v>37</v>
      </c>
      <c r="O130" s="16" t="s">
        <v>19</v>
      </c>
      <c r="Q130" s="9">
        <v>8</v>
      </c>
      <c r="R130" s="9">
        <v>15</v>
      </c>
      <c r="S130" s="9">
        <v>13</v>
      </c>
      <c r="T130" s="9">
        <v>7</v>
      </c>
      <c r="U130" s="9">
        <v>5</v>
      </c>
      <c r="W130" s="25">
        <v>1</v>
      </c>
      <c r="X130" s="25">
        <v>1</v>
      </c>
      <c r="Y130" s="25">
        <v>1</v>
      </c>
      <c r="Z130" s="25">
        <v>1</v>
      </c>
      <c r="AA130" s="25">
        <v>1</v>
      </c>
      <c r="AH130" s="5"/>
      <c r="AI130" s="5"/>
      <c r="AO130" s="5"/>
    </row>
    <row r="131" spans="10:41" x14ac:dyDescent="0.3">
      <c r="J131" s="25">
        <v>127</v>
      </c>
      <c r="K131" s="16" t="s">
        <v>125</v>
      </c>
      <c r="L131" s="16" t="s">
        <v>18</v>
      </c>
      <c r="M131" s="16" t="s">
        <v>92</v>
      </c>
      <c r="N131" s="16" t="s">
        <v>19</v>
      </c>
      <c r="O131" s="16" t="s">
        <v>22</v>
      </c>
      <c r="Q131" s="9">
        <v>6</v>
      </c>
      <c r="R131" s="9">
        <v>4</v>
      </c>
      <c r="S131" s="9">
        <v>16</v>
      </c>
      <c r="T131" s="9">
        <v>5</v>
      </c>
      <c r="U131" s="9">
        <v>3</v>
      </c>
      <c r="W131" s="25">
        <v>1</v>
      </c>
      <c r="X131" s="25">
        <v>1</v>
      </c>
      <c r="Y131" s="25">
        <v>1</v>
      </c>
      <c r="Z131" s="25">
        <v>1</v>
      </c>
      <c r="AA131" s="25">
        <v>1</v>
      </c>
      <c r="AH131" s="5"/>
      <c r="AI131" s="5"/>
      <c r="AO131" s="5"/>
    </row>
    <row r="132" spans="10:41" x14ac:dyDescent="0.3">
      <c r="J132" s="9">
        <v>128</v>
      </c>
      <c r="K132" s="16" t="s">
        <v>35</v>
      </c>
      <c r="L132" s="16" t="s">
        <v>89</v>
      </c>
      <c r="M132" s="16" t="s">
        <v>97</v>
      </c>
      <c r="N132" s="16" t="s">
        <v>37</v>
      </c>
      <c r="O132" s="16" t="s">
        <v>125</v>
      </c>
      <c r="Q132" s="9">
        <v>8</v>
      </c>
      <c r="R132" s="9">
        <v>12</v>
      </c>
      <c r="S132" s="9">
        <v>19</v>
      </c>
      <c r="T132" s="9">
        <v>7</v>
      </c>
      <c r="U132" s="9">
        <v>6</v>
      </c>
      <c r="W132" s="25">
        <v>1</v>
      </c>
      <c r="X132" s="25">
        <v>1</v>
      </c>
      <c r="Y132" s="25">
        <v>1</v>
      </c>
      <c r="Z132" s="25">
        <v>1</v>
      </c>
      <c r="AA132" s="25">
        <v>1</v>
      </c>
      <c r="AH132" s="5"/>
      <c r="AI132" s="5"/>
      <c r="AO132" s="5"/>
    </row>
    <row r="133" spans="10:41" x14ac:dyDescent="0.3">
      <c r="J133" s="25">
        <v>129</v>
      </c>
      <c r="K133" s="16" t="s">
        <v>37</v>
      </c>
      <c r="L133" s="16" t="s">
        <v>35</v>
      </c>
      <c r="M133" s="16" t="s">
        <v>112</v>
      </c>
      <c r="N133" s="16" t="s">
        <v>35</v>
      </c>
      <c r="O133" s="16" t="s">
        <v>19</v>
      </c>
      <c r="Q133" s="9">
        <v>7</v>
      </c>
      <c r="R133" s="9">
        <v>8</v>
      </c>
      <c r="S133" s="9">
        <v>17</v>
      </c>
      <c r="T133" s="9">
        <v>8</v>
      </c>
      <c r="U133" s="9">
        <v>5</v>
      </c>
      <c r="W133" s="25">
        <v>1</v>
      </c>
      <c r="X133" s="25">
        <v>1</v>
      </c>
      <c r="Y133" s="25">
        <v>1</v>
      </c>
      <c r="Z133" s="25">
        <v>1</v>
      </c>
      <c r="AA133" s="25">
        <v>1</v>
      </c>
      <c r="AH133" s="5"/>
      <c r="AI133" s="5"/>
      <c r="AO133" s="5"/>
    </row>
    <row r="134" spans="10:41" x14ac:dyDescent="0.3">
      <c r="J134" s="9">
        <v>130</v>
      </c>
      <c r="K134" s="16" t="s">
        <v>22</v>
      </c>
      <c r="L134" s="16" t="s">
        <v>37</v>
      </c>
      <c r="M134" s="16" t="s">
        <v>91</v>
      </c>
      <c r="N134" s="16" t="s">
        <v>37</v>
      </c>
      <c r="O134" s="16" t="s">
        <v>22</v>
      </c>
      <c r="Q134" s="9">
        <v>3</v>
      </c>
      <c r="R134" s="9">
        <v>7</v>
      </c>
      <c r="S134" s="9">
        <v>14</v>
      </c>
      <c r="T134" s="9">
        <v>7</v>
      </c>
      <c r="U134" s="9">
        <v>3</v>
      </c>
      <c r="W134" s="25">
        <v>1</v>
      </c>
      <c r="X134" s="25">
        <v>1</v>
      </c>
      <c r="Y134" s="25">
        <v>1</v>
      </c>
      <c r="Z134" s="25">
        <v>1</v>
      </c>
      <c r="AA134" s="25">
        <v>1</v>
      </c>
      <c r="AH134" s="5"/>
      <c r="AI134" s="5"/>
      <c r="AO134" s="5"/>
    </row>
    <row r="135" spans="10:41" x14ac:dyDescent="0.3">
      <c r="J135" s="25">
        <v>131</v>
      </c>
      <c r="K135" s="16" t="s">
        <v>35</v>
      </c>
      <c r="L135" s="16" t="s">
        <v>18</v>
      </c>
      <c r="M135" s="16" t="s">
        <v>95</v>
      </c>
      <c r="N135" s="16" t="s">
        <v>35</v>
      </c>
      <c r="O135" s="16" t="s">
        <v>125</v>
      </c>
      <c r="Q135" s="9">
        <v>8</v>
      </c>
      <c r="R135" s="9">
        <v>4</v>
      </c>
      <c r="S135" s="9">
        <v>18</v>
      </c>
      <c r="T135" s="9">
        <v>8</v>
      </c>
      <c r="U135" s="9">
        <v>6</v>
      </c>
      <c r="W135" s="25">
        <v>1</v>
      </c>
      <c r="X135" s="25">
        <v>1</v>
      </c>
      <c r="Y135" s="25">
        <v>1</v>
      </c>
      <c r="Z135" s="25">
        <v>1</v>
      </c>
      <c r="AA135" s="25">
        <v>1</v>
      </c>
      <c r="AH135" s="5"/>
      <c r="AI135" s="5"/>
      <c r="AO135" s="5"/>
    </row>
    <row r="136" spans="10:41" x14ac:dyDescent="0.3">
      <c r="J136" s="9">
        <v>132</v>
      </c>
      <c r="K136" s="16" t="s">
        <v>125</v>
      </c>
      <c r="L136" s="16" t="s">
        <v>126</v>
      </c>
      <c r="M136" s="16" t="s">
        <v>126</v>
      </c>
      <c r="N136" s="16" t="s">
        <v>19</v>
      </c>
      <c r="O136" s="16" t="s">
        <v>19</v>
      </c>
      <c r="Q136" s="9">
        <v>6</v>
      </c>
      <c r="R136" s="9">
        <v>15</v>
      </c>
      <c r="S136" s="9">
        <v>15</v>
      </c>
      <c r="T136" s="9">
        <v>5</v>
      </c>
      <c r="U136" s="9">
        <v>5</v>
      </c>
      <c r="W136" s="25">
        <v>1</v>
      </c>
      <c r="X136" s="25">
        <v>1</v>
      </c>
      <c r="Y136" s="25">
        <v>1</v>
      </c>
      <c r="Z136" s="25">
        <v>1</v>
      </c>
      <c r="AA136" s="25">
        <v>1</v>
      </c>
      <c r="AH136" s="5"/>
      <c r="AI136" s="5"/>
      <c r="AO136" s="5"/>
    </row>
    <row r="137" spans="10:41" x14ac:dyDescent="0.3">
      <c r="J137" s="25">
        <v>133</v>
      </c>
      <c r="K137" s="16" t="s">
        <v>19</v>
      </c>
      <c r="L137" s="16" t="s">
        <v>21</v>
      </c>
      <c r="M137" s="16" t="s">
        <v>92</v>
      </c>
      <c r="N137" s="16" t="s">
        <v>35</v>
      </c>
      <c r="O137" s="16" t="s">
        <v>37</v>
      </c>
      <c r="Q137" s="9">
        <v>5</v>
      </c>
      <c r="R137" s="9">
        <v>2</v>
      </c>
      <c r="S137" s="9">
        <v>16</v>
      </c>
      <c r="T137" s="9">
        <v>8</v>
      </c>
      <c r="U137" s="9">
        <v>7</v>
      </c>
      <c r="W137" s="25">
        <v>1</v>
      </c>
      <c r="X137" s="25">
        <v>1</v>
      </c>
      <c r="Y137" s="25">
        <v>1</v>
      </c>
      <c r="Z137" s="25">
        <v>1</v>
      </c>
      <c r="AA137" s="25">
        <v>1</v>
      </c>
      <c r="AH137" s="5"/>
      <c r="AI137" s="5"/>
      <c r="AO137" s="5"/>
    </row>
    <row r="138" spans="10:41" x14ac:dyDescent="0.3">
      <c r="J138" s="9">
        <v>134</v>
      </c>
      <c r="K138" s="16" t="s">
        <v>35</v>
      </c>
      <c r="L138" s="16" t="s">
        <v>125</v>
      </c>
      <c r="M138" s="16" t="s">
        <v>112</v>
      </c>
      <c r="N138" s="16" t="s">
        <v>37</v>
      </c>
      <c r="O138" s="16" t="s">
        <v>18</v>
      </c>
      <c r="Q138" s="9">
        <v>8</v>
      </c>
      <c r="R138" s="9">
        <v>6</v>
      </c>
      <c r="S138" s="9">
        <v>17</v>
      </c>
      <c r="T138" s="9">
        <v>7</v>
      </c>
      <c r="U138" s="9">
        <v>4</v>
      </c>
      <c r="W138" s="25">
        <v>1</v>
      </c>
      <c r="X138" s="25">
        <v>1</v>
      </c>
      <c r="Y138" s="25">
        <v>1</v>
      </c>
      <c r="Z138" s="25">
        <v>1</v>
      </c>
      <c r="AA138" s="25">
        <v>1</v>
      </c>
      <c r="AH138" s="5"/>
      <c r="AI138" s="5"/>
      <c r="AO138" s="5"/>
    </row>
    <row r="139" spans="10:41" x14ac:dyDescent="0.3">
      <c r="J139" s="25">
        <v>135</v>
      </c>
      <c r="K139" s="16" t="s">
        <v>125</v>
      </c>
      <c r="L139" s="16" t="s">
        <v>88</v>
      </c>
      <c r="M139" s="16" t="s">
        <v>92</v>
      </c>
      <c r="N139" s="16" t="s">
        <v>125</v>
      </c>
      <c r="O139" s="16" t="s">
        <v>19</v>
      </c>
      <c r="Q139" s="9">
        <v>6</v>
      </c>
      <c r="R139" s="9">
        <v>11</v>
      </c>
      <c r="S139" s="9">
        <v>16</v>
      </c>
      <c r="T139" s="9">
        <v>6</v>
      </c>
      <c r="U139" s="9">
        <v>5</v>
      </c>
      <c r="W139" s="25">
        <v>1</v>
      </c>
      <c r="X139" s="25">
        <v>1</v>
      </c>
      <c r="Y139" s="25">
        <v>1</v>
      </c>
      <c r="Z139" s="25">
        <v>1</v>
      </c>
      <c r="AA139" s="25">
        <v>1</v>
      </c>
      <c r="AH139" s="5"/>
      <c r="AI139" s="5"/>
      <c r="AO139" s="5"/>
    </row>
    <row r="140" spans="10:41" x14ac:dyDescent="0.3">
      <c r="J140" s="9">
        <v>136</v>
      </c>
      <c r="K140" s="16" t="s">
        <v>35</v>
      </c>
      <c r="L140" s="16" t="s">
        <v>95</v>
      </c>
      <c r="M140" s="16" t="s">
        <v>91</v>
      </c>
      <c r="N140" s="16" t="s">
        <v>19</v>
      </c>
      <c r="O140" s="16" t="s">
        <v>36</v>
      </c>
      <c r="Q140" s="9">
        <v>8</v>
      </c>
      <c r="R140" s="9">
        <v>18</v>
      </c>
      <c r="S140" s="9">
        <v>14</v>
      </c>
      <c r="T140" s="9">
        <v>5</v>
      </c>
      <c r="U140" s="9">
        <v>10</v>
      </c>
      <c r="W140" s="25">
        <v>1</v>
      </c>
      <c r="X140" s="25">
        <v>1</v>
      </c>
      <c r="Y140" s="25">
        <v>1</v>
      </c>
      <c r="Z140" s="25">
        <v>1</v>
      </c>
      <c r="AA140" s="25">
        <v>1</v>
      </c>
      <c r="AH140" s="5"/>
      <c r="AI140" s="5"/>
      <c r="AO140" s="5"/>
    </row>
    <row r="141" spans="10:41" x14ac:dyDescent="0.3">
      <c r="J141" s="25">
        <v>137</v>
      </c>
      <c r="K141" s="16" t="s">
        <v>125</v>
      </c>
      <c r="L141" s="16" t="s">
        <v>19</v>
      </c>
      <c r="M141" s="16" t="s">
        <v>126</v>
      </c>
      <c r="N141" s="16" t="s">
        <v>112</v>
      </c>
      <c r="O141" s="16" t="s">
        <v>37</v>
      </c>
      <c r="Q141" s="9">
        <v>6</v>
      </c>
      <c r="R141" s="9">
        <v>5</v>
      </c>
      <c r="S141" s="9">
        <v>15</v>
      </c>
      <c r="T141" s="9">
        <v>17</v>
      </c>
      <c r="U141" s="9">
        <v>7</v>
      </c>
      <c r="W141" s="25">
        <v>1</v>
      </c>
      <c r="X141" s="25">
        <v>1</v>
      </c>
      <c r="Y141" s="25">
        <v>1</v>
      </c>
      <c r="Z141" s="25">
        <v>1</v>
      </c>
      <c r="AA141" s="25">
        <v>1</v>
      </c>
      <c r="AH141" s="5"/>
      <c r="AI141" s="5"/>
      <c r="AO141" s="5"/>
    </row>
    <row r="142" spans="10:41" x14ac:dyDescent="0.3">
      <c r="J142" s="9">
        <v>138</v>
      </c>
      <c r="K142" s="16" t="s">
        <v>35</v>
      </c>
      <c r="L142" s="16" t="s">
        <v>21</v>
      </c>
      <c r="M142" s="16" t="s">
        <v>112</v>
      </c>
      <c r="N142" s="16" t="s">
        <v>37</v>
      </c>
      <c r="O142" s="16" t="s">
        <v>125</v>
      </c>
      <c r="Q142" s="9">
        <v>8</v>
      </c>
      <c r="R142" s="9">
        <v>2</v>
      </c>
      <c r="S142" s="9">
        <v>17</v>
      </c>
      <c r="T142" s="9">
        <v>7</v>
      </c>
      <c r="U142" s="9">
        <v>6</v>
      </c>
      <c r="W142" s="25">
        <v>1</v>
      </c>
      <c r="X142" s="25">
        <v>1</v>
      </c>
      <c r="Y142" s="25">
        <v>1</v>
      </c>
      <c r="Z142" s="25">
        <v>1</v>
      </c>
      <c r="AA142" s="25">
        <v>1</v>
      </c>
      <c r="AH142" s="5"/>
      <c r="AI142" s="5"/>
      <c r="AO142" s="5"/>
    </row>
    <row r="143" spans="10:41" x14ac:dyDescent="0.3">
      <c r="J143" s="25">
        <v>139</v>
      </c>
      <c r="K143" s="16" t="s">
        <v>19</v>
      </c>
      <c r="L143" s="16" t="s">
        <v>37</v>
      </c>
      <c r="M143" s="16" t="s">
        <v>126</v>
      </c>
      <c r="N143" s="16" t="s">
        <v>125</v>
      </c>
      <c r="O143" s="16" t="s">
        <v>37</v>
      </c>
      <c r="Q143" s="9">
        <v>5</v>
      </c>
      <c r="R143" s="9">
        <v>7</v>
      </c>
      <c r="S143" s="9">
        <v>15</v>
      </c>
      <c r="T143" s="9">
        <v>6</v>
      </c>
      <c r="U143" s="9">
        <v>7</v>
      </c>
      <c r="W143" s="25">
        <v>1</v>
      </c>
      <c r="X143" s="25">
        <v>1</v>
      </c>
      <c r="Y143" s="25">
        <v>1</v>
      </c>
      <c r="Z143" s="25">
        <v>1</v>
      </c>
      <c r="AA143" s="25">
        <v>1</v>
      </c>
      <c r="AH143" s="5"/>
      <c r="AI143" s="5"/>
      <c r="AO143" s="5"/>
    </row>
    <row r="144" spans="10:41" x14ac:dyDescent="0.3">
      <c r="J144" s="9">
        <v>140</v>
      </c>
      <c r="K144" s="16" t="s">
        <v>125</v>
      </c>
      <c r="L144" s="16" t="s">
        <v>35</v>
      </c>
      <c r="M144" s="16" t="s">
        <v>95</v>
      </c>
      <c r="N144" s="16" t="s">
        <v>126</v>
      </c>
      <c r="O144" s="16" t="s">
        <v>125</v>
      </c>
      <c r="Q144" s="9">
        <v>6</v>
      </c>
      <c r="R144" s="9">
        <v>8</v>
      </c>
      <c r="S144" s="9">
        <v>18</v>
      </c>
      <c r="T144" s="9">
        <v>15</v>
      </c>
      <c r="U144" s="9">
        <v>6</v>
      </c>
      <c r="W144" s="25">
        <v>1</v>
      </c>
      <c r="X144" s="25">
        <v>1</v>
      </c>
      <c r="Y144" s="25">
        <v>1</v>
      </c>
      <c r="Z144" s="25">
        <v>1</v>
      </c>
      <c r="AA144" s="25">
        <v>1</v>
      </c>
      <c r="AH144" s="5"/>
      <c r="AI144" s="5"/>
      <c r="AO144" s="5"/>
    </row>
    <row r="145" spans="10:41" x14ac:dyDescent="0.3">
      <c r="J145" s="25">
        <v>141</v>
      </c>
      <c r="K145" s="16" t="s">
        <v>37</v>
      </c>
      <c r="L145" s="16" t="s">
        <v>19</v>
      </c>
      <c r="M145" s="16" t="s">
        <v>112</v>
      </c>
      <c r="N145" s="16" t="s">
        <v>37</v>
      </c>
      <c r="O145" s="16" t="s">
        <v>18</v>
      </c>
      <c r="Q145" s="9">
        <v>7</v>
      </c>
      <c r="R145" s="9">
        <v>5</v>
      </c>
      <c r="S145" s="9">
        <v>17</v>
      </c>
      <c r="T145" s="9">
        <v>7</v>
      </c>
      <c r="U145" s="9">
        <v>4</v>
      </c>
      <c r="W145" s="25">
        <v>1</v>
      </c>
      <c r="X145" s="25">
        <v>1</v>
      </c>
      <c r="Y145" s="25">
        <v>1</v>
      </c>
      <c r="Z145" s="25">
        <v>1</v>
      </c>
      <c r="AA145" s="25">
        <v>1</v>
      </c>
      <c r="AH145" s="5"/>
      <c r="AI145" s="5"/>
      <c r="AO145" s="5"/>
    </row>
    <row r="146" spans="10:41" x14ac:dyDescent="0.3">
      <c r="J146" s="9">
        <v>142</v>
      </c>
      <c r="K146" s="16" t="s">
        <v>125</v>
      </c>
      <c r="L146" s="16" t="s">
        <v>97</v>
      </c>
      <c r="M146" s="16" t="s">
        <v>91</v>
      </c>
      <c r="N146" s="16" t="s">
        <v>34</v>
      </c>
      <c r="O146" s="16" t="s">
        <v>125</v>
      </c>
      <c r="Q146" s="9">
        <v>6</v>
      </c>
      <c r="R146" s="9">
        <v>19</v>
      </c>
      <c r="S146" s="9">
        <v>14</v>
      </c>
      <c r="T146" s="9">
        <v>9</v>
      </c>
      <c r="U146" s="9">
        <v>6</v>
      </c>
      <c r="W146" s="25">
        <v>1</v>
      </c>
      <c r="X146" s="25">
        <v>1</v>
      </c>
      <c r="Y146" s="25">
        <v>1</v>
      </c>
      <c r="Z146" s="25">
        <v>1</v>
      </c>
      <c r="AA146" s="25">
        <v>1</v>
      </c>
      <c r="AH146" s="5"/>
      <c r="AI146" s="5"/>
      <c r="AO146" s="5"/>
    </row>
    <row r="147" spans="10:41" x14ac:dyDescent="0.3">
      <c r="J147" s="25">
        <v>143</v>
      </c>
      <c r="K147" s="16" t="s">
        <v>19</v>
      </c>
      <c r="L147" s="16" t="s">
        <v>125</v>
      </c>
      <c r="M147" s="16" t="s">
        <v>126</v>
      </c>
      <c r="N147" s="16" t="s">
        <v>37</v>
      </c>
      <c r="O147" s="16" t="s">
        <v>19</v>
      </c>
      <c r="Q147" s="9">
        <v>5</v>
      </c>
      <c r="R147" s="9">
        <v>6</v>
      </c>
      <c r="S147" s="9">
        <v>15</v>
      </c>
      <c r="T147" s="9">
        <v>7</v>
      </c>
      <c r="U147" s="9">
        <v>5</v>
      </c>
      <c r="W147" s="25">
        <v>1</v>
      </c>
      <c r="X147" s="25">
        <v>1</v>
      </c>
      <c r="Y147" s="25">
        <v>1</v>
      </c>
      <c r="Z147" s="25">
        <v>1</v>
      </c>
      <c r="AA147" s="25">
        <v>1</v>
      </c>
      <c r="AH147" s="5"/>
      <c r="AI147" s="5"/>
      <c r="AO147" s="5"/>
    </row>
    <row r="148" spans="10:41" x14ac:dyDescent="0.3">
      <c r="J148" s="9">
        <v>144</v>
      </c>
      <c r="K148" s="16" t="s">
        <v>125</v>
      </c>
      <c r="L148" s="16" t="s">
        <v>22</v>
      </c>
      <c r="M148" s="16" t="s">
        <v>92</v>
      </c>
      <c r="N148" s="16" t="s">
        <v>19</v>
      </c>
      <c r="O148" s="16" t="s">
        <v>125</v>
      </c>
      <c r="Q148" s="9">
        <v>6</v>
      </c>
      <c r="R148" s="9">
        <v>3</v>
      </c>
      <c r="S148" s="9">
        <v>16</v>
      </c>
      <c r="T148" s="9">
        <v>5</v>
      </c>
      <c r="U148" s="9">
        <v>6</v>
      </c>
      <c r="W148" s="25">
        <v>1</v>
      </c>
      <c r="X148" s="25">
        <v>1</v>
      </c>
      <c r="Y148" s="25">
        <v>1</v>
      </c>
      <c r="Z148" s="25">
        <v>1</v>
      </c>
      <c r="AA148" s="25">
        <v>1</v>
      </c>
      <c r="AH148" s="5"/>
      <c r="AI148" s="5"/>
      <c r="AO148" s="5"/>
    </row>
    <row r="149" spans="10:41" x14ac:dyDescent="0.3">
      <c r="J149" s="25">
        <v>145</v>
      </c>
      <c r="K149" s="16" t="s">
        <v>35</v>
      </c>
      <c r="L149" s="16" t="s">
        <v>112</v>
      </c>
      <c r="M149" s="16" t="s">
        <v>112</v>
      </c>
      <c r="N149" s="16" t="s">
        <v>37</v>
      </c>
      <c r="O149" s="16" t="s">
        <v>19</v>
      </c>
      <c r="Q149" s="9">
        <v>8</v>
      </c>
      <c r="R149" s="9">
        <v>17</v>
      </c>
      <c r="S149" s="9">
        <v>17</v>
      </c>
      <c r="T149" s="9">
        <v>7</v>
      </c>
      <c r="U149" s="9">
        <v>5</v>
      </c>
      <c r="W149" s="25">
        <v>1</v>
      </c>
      <c r="X149" s="25">
        <v>1</v>
      </c>
      <c r="Y149" s="25">
        <v>1</v>
      </c>
      <c r="Z149" s="25">
        <v>1</v>
      </c>
      <c r="AA149" s="25">
        <v>1</v>
      </c>
      <c r="AH149" s="5"/>
      <c r="AI149" s="5"/>
      <c r="AO149" s="5"/>
    </row>
    <row r="150" spans="10:41" x14ac:dyDescent="0.3">
      <c r="J150" s="9">
        <v>146</v>
      </c>
      <c r="K150" s="16" t="s">
        <v>125</v>
      </c>
      <c r="L150" s="16" t="s">
        <v>35</v>
      </c>
      <c r="M150" s="16" t="s">
        <v>91</v>
      </c>
      <c r="N150" s="16" t="s">
        <v>125</v>
      </c>
      <c r="O150" s="16" t="s">
        <v>34</v>
      </c>
      <c r="Q150" s="9">
        <v>6</v>
      </c>
      <c r="R150" s="9">
        <v>8</v>
      </c>
      <c r="S150" s="9">
        <v>14</v>
      </c>
      <c r="T150" s="9">
        <v>6</v>
      </c>
      <c r="U150" s="9">
        <v>9</v>
      </c>
      <c r="W150" s="25">
        <v>1</v>
      </c>
      <c r="X150" s="25">
        <v>1</v>
      </c>
      <c r="Y150" s="25">
        <v>1</v>
      </c>
      <c r="Z150" s="25">
        <v>1</v>
      </c>
      <c r="AA150" s="25">
        <v>1</v>
      </c>
      <c r="AH150" s="5"/>
      <c r="AI150" s="5"/>
      <c r="AO150" s="5"/>
    </row>
    <row r="151" spans="10:41" x14ac:dyDescent="0.3">
      <c r="J151" s="25">
        <v>147</v>
      </c>
      <c r="K151" s="16" t="s">
        <v>37</v>
      </c>
      <c r="L151" s="16" t="s">
        <v>125</v>
      </c>
      <c r="M151" s="16" t="s">
        <v>126</v>
      </c>
      <c r="N151" s="16" t="s">
        <v>37</v>
      </c>
      <c r="O151" s="16" t="s">
        <v>37</v>
      </c>
      <c r="Q151" s="9">
        <v>7</v>
      </c>
      <c r="R151" s="9">
        <v>6</v>
      </c>
      <c r="S151" s="9">
        <v>15</v>
      </c>
      <c r="T151" s="9">
        <v>7</v>
      </c>
      <c r="U151" s="9">
        <v>7</v>
      </c>
      <c r="W151" s="25">
        <v>1</v>
      </c>
      <c r="X151" s="25">
        <v>1</v>
      </c>
      <c r="Y151" s="25">
        <v>1</v>
      </c>
      <c r="Z151" s="25">
        <v>1</v>
      </c>
      <c r="AA151" s="25">
        <v>1</v>
      </c>
      <c r="AH151" s="5"/>
      <c r="AI151" s="5"/>
      <c r="AO151" s="5"/>
    </row>
    <row r="152" spans="10:41" x14ac:dyDescent="0.3">
      <c r="J152" s="9">
        <v>148</v>
      </c>
      <c r="K152" s="16" t="s">
        <v>19</v>
      </c>
      <c r="L152" s="16" t="s">
        <v>112</v>
      </c>
      <c r="M152" s="16" t="s">
        <v>90</v>
      </c>
      <c r="N152" s="16" t="s">
        <v>19</v>
      </c>
      <c r="O152" s="16" t="s">
        <v>125</v>
      </c>
      <c r="Q152" s="9">
        <v>5</v>
      </c>
      <c r="R152" s="9">
        <v>17</v>
      </c>
      <c r="S152" s="9">
        <v>13</v>
      </c>
      <c r="T152" s="9">
        <v>5</v>
      </c>
      <c r="U152" s="9">
        <v>6</v>
      </c>
      <c r="W152" s="25">
        <v>1</v>
      </c>
      <c r="X152" s="25">
        <v>1</v>
      </c>
      <c r="Y152" s="25">
        <v>1</v>
      </c>
      <c r="Z152" s="25">
        <v>1</v>
      </c>
      <c r="AA152" s="25">
        <v>1</v>
      </c>
      <c r="AH152" s="5"/>
      <c r="AI152" s="5"/>
      <c r="AO152" s="5"/>
    </row>
    <row r="153" spans="10:41" x14ac:dyDescent="0.3">
      <c r="J153" s="25">
        <v>149</v>
      </c>
      <c r="K153" s="16" t="s">
        <v>125</v>
      </c>
      <c r="L153" s="16" t="s">
        <v>18</v>
      </c>
      <c r="M153" s="16" t="s">
        <v>91</v>
      </c>
      <c r="N153" s="16" t="s">
        <v>125</v>
      </c>
      <c r="O153" s="16" t="s">
        <v>34</v>
      </c>
      <c r="Q153" s="9">
        <v>6</v>
      </c>
      <c r="R153" s="9">
        <v>4</v>
      </c>
      <c r="S153" s="9">
        <v>14</v>
      </c>
      <c r="T153" s="9">
        <v>6</v>
      </c>
      <c r="U153" s="9">
        <v>9</v>
      </c>
      <c r="W153" s="25">
        <v>1</v>
      </c>
      <c r="X153" s="25">
        <v>1</v>
      </c>
      <c r="Y153" s="25">
        <v>1</v>
      </c>
      <c r="Z153" s="25">
        <v>1</v>
      </c>
      <c r="AA153" s="25">
        <v>1</v>
      </c>
      <c r="AH153" s="5"/>
      <c r="AI153" s="5"/>
      <c r="AO153" s="5"/>
    </row>
    <row r="154" spans="10:41" x14ac:dyDescent="0.3">
      <c r="J154" s="9">
        <v>150</v>
      </c>
      <c r="K154" s="16" t="s">
        <v>19</v>
      </c>
      <c r="L154" s="16" t="s">
        <v>36</v>
      </c>
      <c r="M154" s="16" t="s">
        <v>126</v>
      </c>
      <c r="N154" s="16" t="s">
        <v>37</v>
      </c>
      <c r="O154" s="16" t="s">
        <v>35</v>
      </c>
      <c r="Q154" s="9">
        <v>5</v>
      </c>
      <c r="R154" s="9">
        <v>10</v>
      </c>
      <c r="S154" s="9">
        <v>15</v>
      </c>
      <c r="T154" s="9">
        <v>7</v>
      </c>
      <c r="U154" s="9">
        <v>8</v>
      </c>
      <c r="W154" s="25">
        <v>1</v>
      </c>
      <c r="X154" s="25">
        <v>1</v>
      </c>
      <c r="Y154" s="25">
        <v>1</v>
      </c>
      <c r="Z154" s="25">
        <v>1</v>
      </c>
      <c r="AA154" s="25">
        <v>1</v>
      </c>
      <c r="AH154" s="5"/>
      <c r="AI154" s="5"/>
      <c r="AO154" s="5"/>
    </row>
    <row r="155" spans="10:41" x14ac:dyDescent="0.3">
      <c r="J155" s="25">
        <v>151</v>
      </c>
      <c r="K155" s="16" t="s">
        <v>21</v>
      </c>
      <c r="L155" s="16" t="s">
        <v>125</v>
      </c>
      <c r="M155" s="16" t="s">
        <v>112</v>
      </c>
      <c r="N155" s="16" t="s">
        <v>19</v>
      </c>
      <c r="O155" s="16" t="s">
        <v>21</v>
      </c>
      <c r="Q155" s="9">
        <v>2</v>
      </c>
      <c r="R155" s="9">
        <v>6</v>
      </c>
      <c r="S155" s="9">
        <v>17</v>
      </c>
      <c r="T155" s="9">
        <v>5</v>
      </c>
      <c r="U155" s="9">
        <v>2</v>
      </c>
      <c r="W155" s="25">
        <v>1</v>
      </c>
      <c r="X155" s="25">
        <v>1</v>
      </c>
      <c r="Y155" s="25">
        <v>1</v>
      </c>
      <c r="Z155" s="25">
        <v>1</v>
      </c>
      <c r="AA155" s="25">
        <v>1</v>
      </c>
      <c r="AH155" s="5"/>
      <c r="AI155" s="5"/>
      <c r="AO155" s="5"/>
    </row>
    <row r="156" spans="10:41" x14ac:dyDescent="0.3">
      <c r="J156" s="9">
        <v>152</v>
      </c>
      <c r="K156" s="16" t="s">
        <v>35</v>
      </c>
      <c r="L156" s="16" t="s">
        <v>92</v>
      </c>
      <c r="M156" s="16" t="s">
        <v>97</v>
      </c>
      <c r="N156" s="16" t="s">
        <v>91</v>
      </c>
      <c r="O156" s="16" t="s">
        <v>37</v>
      </c>
      <c r="Q156" s="9">
        <v>8</v>
      </c>
      <c r="R156" s="9">
        <v>16</v>
      </c>
      <c r="S156" s="9">
        <v>19</v>
      </c>
      <c r="T156" s="9">
        <v>14</v>
      </c>
      <c r="U156" s="9">
        <v>7</v>
      </c>
      <c r="W156" s="25">
        <v>1</v>
      </c>
      <c r="X156" s="25">
        <v>1</v>
      </c>
      <c r="Y156" s="25">
        <v>1</v>
      </c>
      <c r="Z156" s="25">
        <v>1</v>
      </c>
      <c r="AA156" s="25">
        <v>1</v>
      </c>
      <c r="AH156" s="5"/>
      <c r="AI156" s="5"/>
      <c r="AO156" s="5"/>
    </row>
    <row r="157" spans="10:41" x14ac:dyDescent="0.3">
      <c r="J157" s="25">
        <v>153</v>
      </c>
      <c r="K157" s="16" t="s">
        <v>37</v>
      </c>
      <c r="L157" s="16" t="s">
        <v>35</v>
      </c>
      <c r="M157" s="16" t="s">
        <v>126</v>
      </c>
      <c r="N157" s="16" t="s">
        <v>125</v>
      </c>
      <c r="O157" s="16" t="s">
        <v>35</v>
      </c>
      <c r="Q157" s="9">
        <v>7</v>
      </c>
      <c r="R157" s="9">
        <v>8</v>
      </c>
      <c r="S157" s="9">
        <v>15</v>
      </c>
      <c r="T157" s="9">
        <v>6</v>
      </c>
      <c r="U157" s="9">
        <v>8</v>
      </c>
      <c r="W157" s="25">
        <v>1</v>
      </c>
      <c r="X157" s="25">
        <v>1</v>
      </c>
      <c r="Y157" s="25">
        <v>1</v>
      </c>
      <c r="Z157" s="25">
        <v>1</v>
      </c>
      <c r="AA157" s="25">
        <v>1</v>
      </c>
      <c r="AH157" s="5"/>
      <c r="AI157" s="5"/>
      <c r="AO157" s="5"/>
    </row>
    <row r="158" spans="10:41" x14ac:dyDescent="0.3">
      <c r="J158" s="9">
        <v>154</v>
      </c>
      <c r="K158" s="16" t="s">
        <v>35</v>
      </c>
      <c r="L158" s="16" t="s">
        <v>36</v>
      </c>
      <c r="M158" s="16" t="s">
        <v>112</v>
      </c>
      <c r="N158" s="16" t="s">
        <v>37</v>
      </c>
      <c r="O158" s="16" t="s">
        <v>19</v>
      </c>
      <c r="Q158" s="9">
        <v>8</v>
      </c>
      <c r="R158" s="9">
        <v>10</v>
      </c>
      <c r="S158" s="9">
        <v>17</v>
      </c>
      <c r="T158" s="9">
        <v>7</v>
      </c>
      <c r="U158" s="9">
        <v>5</v>
      </c>
      <c r="W158" s="25">
        <v>1</v>
      </c>
      <c r="X158" s="25">
        <v>1</v>
      </c>
      <c r="Y158" s="25">
        <v>1</v>
      </c>
      <c r="Z158" s="25">
        <v>1</v>
      </c>
      <c r="AA158" s="25">
        <v>1</v>
      </c>
      <c r="AH158" s="5"/>
      <c r="AI158" s="5"/>
      <c r="AO158" s="5"/>
    </row>
    <row r="159" spans="10:41" x14ac:dyDescent="0.3">
      <c r="J159" s="25">
        <v>155</v>
      </c>
      <c r="K159" s="16" t="s">
        <v>19</v>
      </c>
      <c r="L159" s="16" t="s">
        <v>125</v>
      </c>
      <c r="M159" s="16" t="s">
        <v>90</v>
      </c>
      <c r="N159" s="16" t="s">
        <v>112</v>
      </c>
      <c r="O159" s="16" t="s">
        <v>37</v>
      </c>
      <c r="Q159" s="9">
        <v>5</v>
      </c>
      <c r="R159" s="9">
        <v>6</v>
      </c>
      <c r="S159" s="9">
        <v>13</v>
      </c>
      <c r="T159" s="9">
        <v>17</v>
      </c>
      <c r="U159" s="9">
        <v>7</v>
      </c>
      <c r="W159" s="25">
        <v>1</v>
      </c>
      <c r="X159" s="25">
        <v>1</v>
      </c>
      <c r="Y159" s="25">
        <v>1</v>
      </c>
      <c r="Z159" s="25">
        <v>1</v>
      </c>
      <c r="AA159" s="25">
        <v>1</v>
      </c>
      <c r="AH159" s="5"/>
      <c r="AI159" s="5"/>
      <c r="AO159" s="5"/>
    </row>
    <row r="160" spans="10:41" x14ac:dyDescent="0.3">
      <c r="J160" s="9">
        <v>156</v>
      </c>
      <c r="K160" s="16" t="s">
        <v>37</v>
      </c>
      <c r="L160" s="16" t="s">
        <v>35</v>
      </c>
      <c r="M160" s="16" t="s">
        <v>126</v>
      </c>
      <c r="N160" s="16" t="s">
        <v>97</v>
      </c>
      <c r="O160" s="16" t="s">
        <v>35</v>
      </c>
      <c r="Q160" s="9">
        <v>7</v>
      </c>
      <c r="R160" s="9">
        <v>8</v>
      </c>
      <c r="S160" s="9">
        <v>15</v>
      </c>
      <c r="T160" s="9">
        <v>19</v>
      </c>
      <c r="U160" s="9">
        <v>8</v>
      </c>
      <c r="W160" s="25">
        <v>1</v>
      </c>
      <c r="X160" s="25">
        <v>1</v>
      </c>
      <c r="Y160" s="25">
        <v>1</v>
      </c>
      <c r="Z160" s="25">
        <v>1</v>
      </c>
      <c r="AA160" s="25">
        <v>1</v>
      </c>
      <c r="AH160" s="5"/>
      <c r="AI160" s="5"/>
      <c r="AO160" s="5"/>
    </row>
    <row r="161" spans="10:41" x14ac:dyDescent="0.3">
      <c r="J161" s="25">
        <v>157</v>
      </c>
      <c r="K161" s="16" t="s">
        <v>35</v>
      </c>
      <c r="L161" s="16" t="s">
        <v>21</v>
      </c>
      <c r="M161" s="16" t="s">
        <v>112</v>
      </c>
      <c r="N161" s="16" t="s">
        <v>89</v>
      </c>
      <c r="O161" s="16" t="s">
        <v>125</v>
      </c>
      <c r="Q161" s="9">
        <v>8</v>
      </c>
      <c r="R161" s="9">
        <v>2</v>
      </c>
      <c r="S161" s="9">
        <v>17</v>
      </c>
      <c r="T161" s="9">
        <v>12</v>
      </c>
      <c r="U161" s="9">
        <v>6</v>
      </c>
      <c r="W161" s="25">
        <v>1</v>
      </c>
      <c r="X161" s="25">
        <v>1</v>
      </c>
      <c r="Y161" s="25">
        <v>1</v>
      </c>
      <c r="Z161" s="25">
        <v>1</v>
      </c>
      <c r="AA161" s="25">
        <v>1</v>
      </c>
      <c r="AH161" s="5"/>
      <c r="AI161" s="5"/>
      <c r="AO161" s="5"/>
    </row>
    <row r="162" spans="10:41" x14ac:dyDescent="0.3">
      <c r="J162" s="9">
        <v>158</v>
      </c>
      <c r="K162" s="16" t="s">
        <v>19</v>
      </c>
      <c r="L162" s="16" t="s">
        <v>18</v>
      </c>
      <c r="M162" s="16" t="s">
        <v>126</v>
      </c>
      <c r="N162" s="16" t="s">
        <v>126</v>
      </c>
      <c r="O162" s="16" t="s">
        <v>35</v>
      </c>
      <c r="Q162" s="9">
        <v>5</v>
      </c>
      <c r="R162" s="9">
        <v>4</v>
      </c>
      <c r="S162" s="9">
        <v>15</v>
      </c>
      <c r="T162" s="9">
        <v>15</v>
      </c>
      <c r="U162" s="9">
        <v>8</v>
      </c>
      <c r="W162" s="25">
        <v>1</v>
      </c>
      <c r="X162" s="25">
        <v>1</v>
      </c>
      <c r="Y162" s="25">
        <v>1</v>
      </c>
      <c r="Z162" s="25">
        <v>1</v>
      </c>
      <c r="AA162" s="25">
        <v>1</v>
      </c>
      <c r="AH162" s="5"/>
      <c r="AI162" s="5"/>
      <c r="AO162" s="5"/>
    </row>
    <row r="163" spans="10:41" x14ac:dyDescent="0.3">
      <c r="J163" s="25">
        <v>159</v>
      </c>
      <c r="K163" s="16" t="s">
        <v>35</v>
      </c>
      <c r="L163" s="16" t="s">
        <v>22</v>
      </c>
      <c r="M163" s="16" t="s">
        <v>92</v>
      </c>
      <c r="N163" s="16" t="s">
        <v>97</v>
      </c>
      <c r="O163" s="16" t="s">
        <v>37</v>
      </c>
      <c r="Q163" s="9">
        <v>8</v>
      </c>
      <c r="R163" s="9">
        <v>3</v>
      </c>
      <c r="S163" s="9">
        <v>16</v>
      </c>
      <c r="T163" s="9">
        <v>19</v>
      </c>
      <c r="U163" s="9">
        <v>7</v>
      </c>
      <c r="W163" s="25">
        <v>1</v>
      </c>
      <c r="X163" s="25">
        <v>1</v>
      </c>
      <c r="Y163" s="25">
        <v>1</v>
      </c>
      <c r="Z163" s="25">
        <v>1</v>
      </c>
      <c r="AA163" s="25">
        <v>1</v>
      </c>
      <c r="AH163" s="5"/>
      <c r="AI163" s="5"/>
      <c r="AO163" s="5"/>
    </row>
    <row r="164" spans="10:41" x14ac:dyDescent="0.3">
      <c r="J164" s="9">
        <v>160</v>
      </c>
      <c r="K164" s="16" t="s">
        <v>34</v>
      </c>
      <c r="L164" s="16" t="s">
        <v>37</v>
      </c>
      <c r="M164" s="16" t="s">
        <v>112</v>
      </c>
      <c r="N164" s="16" t="s">
        <v>37</v>
      </c>
      <c r="O164" s="16" t="s">
        <v>18</v>
      </c>
      <c r="Q164" s="9">
        <v>9</v>
      </c>
      <c r="R164" s="9">
        <v>7</v>
      </c>
      <c r="S164" s="9">
        <v>17</v>
      </c>
      <c r="T164" s="9">
        <v>7</v>
      </c>
      <c r="U164" s="9">
        <v>4</v>
      </c>
      <c r="W164" s="25">
        <v>1</v>
      </c>
      <c r="X164" s="25">
        <v>1</v>
      </c>
      <c r="Y164" s="25">
        <v>1</v>
      </c>
      <c r="Z164" s="25">
        <v>1</v>
      </c>
      <c r="AA164" s="25">
        <v>1</v>
      </c>
      <c r="AH164" s="5"/>
      <c r="AI164" s="5"/>
      <c r="AO164" s="5"/>
    </row>
    <row r="165" spans="10:41" x14ac:dyDescent="0.3">
      <c r="J165" s="25">
        <v>161</v>
      </c>
      <c r="K165" s="16" t="s">
        <v>19</v>
      </c>
      <c r="L165" s="16" t="s">
        <v>35</v>
      </c>
      <c r="M165" s="16" t="s">
        <v>126</v>
      </c>
      <c r="N165" s="16" t="s">
        <v>126</v>
      </c>
      <c r="O165" s="16" t="s">
        <v>125</v>
      </c>
      <c r="Q165" s="9">
        <v>5</v>
      </c>
      <c r="R165" s="9">
        <v>8</v>
      </c>
      <c r="S165" s="9">
        <v>15</v>
      </c>
      <c r="T165" s="9">
        <v>15</v>
      </c>
      <c r="U165" s="9">
        <v>6</v>
      </c>
      <c r="W165" s="25">
        <v>1</v>
      </c>
      <c r="X165" s="25">
        <v>1</v>
      </c>
      <c r="Y165" s="25">
        <v>1</v>
      </c>
      <c r="Z165" s="25">
        <v>1</v>
      </c>
      <c r="AA165" s="25">
        <v>1</v>
      </c>
      <c r="AH165" s="5"/>
      <c r="AI165" s="5"/>
      <c r="AO165" s="5"/>
    </row>
    <row r="166" spans="10:41" x14ac:dyDescent="0.3">
      <c r="J166" s="9">
        <v>162</v>
      </c>
      <c r="K166" s="16" t="s">
        <v>34</v>
      </c>
      <c r="L166" s="16" t="s">
        <v>90</v>
      </c>
      <c r="M166" s="16" t="s">
        <v>112</v>
      </c>
      <c r="N166" s="16" t="s">
        <v>125</v>
      </c>
      <c r="O166" s="16" t="s">
        <v>37</v>
      </c>
      <c r="Q166" s="9">
        <v>9</v>
      </c>
      <c r="R166" s="9">
        <v>13</v>
      </c>
      <c r="S166" s="9">
        <v>17</v>
      </c>
      <c r="T166" s="9">
        <v>6</v>
      </c>
      <c r="U166" s="9">
        <v>7</v>
      </c>
      <c r="W166" s="25">
        <v>1</v>
      </c>
      <c r="X166" s="25">
        <v>1</v>
      </c>
      <c r="Y166" s="25">
        <v>1</v>
      </c>
      <c r="Z166" s="25">
        <v>1</v>
      </c>
      <c r="AA166" s="25">
        <v>1</v>
      </c>
      <c r="AH166" s="5"/>
      <c r="AI166" s="5"/>
      <c r="AO166" s="5"/>
    </row>
    <row r="167" spans="10:41" x14ac:dyDescent="0.3">
      <c r="J167" s="25">
        <v>163</v>
      </c>
      <c r="K167" s="16" t="s">
        <v>125</v>
      </c>
      <c r="L167" s="16" t="s">
        <v>22</v>
      </c>
      <c r="M167" s="16" t="s">
        <v>91</v>
      </c>
      <c r="N167" s="16" t="s">
        <v>19</v>
      </c>
      <c r="O167" s="16" t="s">
        <v>36</v>
      </c>
      <c r="Q167" s="9">
        <v>6</v>
      </c>
      <c r="R167" s="9">
        <v>3</v>
      </c>
      <c r="S167" s="9">
        <v>14</v>
      </c>
      <c r="T167" s="9">
        <v>5</v>
      </c>
      <c r="U167" s="9">
        <v>10</v>
      </c>
      <c r="W167" s="25">
        <v>1</v>
      </c>
      <c r="X167" s="25">
        <v>1</v>
      </c>
      <c r="Y167" s="25">
        <v>1</v>
      </c>
      <c r="Z167" s="25">
        <v>1</v>
      </c>
      <c r="AA167" s="25">
        <v>1</v>
      </c>
      <c r="AH167" s="5"/>
      <c r="AI167" s="5"/>
      <c r="AO167" s="5"/>
    </row>
    <row r="168" spans="10:41" x14ac:dyDescent="0.3">
      <c r="J168" s="9">
        <v>164</v>
      </c>
      <c r="K168" s="16" t="s">
        <v>19</v>
      </c>
      <c r="L168" s="16" t="s">
        <v>19</v>
      </c>
      <c r="M168" s="16" t="s">
        <v>126</v>
      </c>
      <c r="N168" s="16" t="s">
        <v>37</v>
      </c>
      <c r="O168" s="16" t="s">
        <v>19</v>
      </c>
      <c r="Q168" s="9">
        <v>5</v>
      </c>
      <c r="R168" s="9">
        <v>5</v>
      </c>
      <c r="S168" s="9">
        <v>15</v>
      </c>
      <c r="T168" s="9">
        <v>7</v>
      </c>
      <c r="U168" s="9">
        <v>5</v>
      </c>
      <c r="W168" s="25">
        <v>1</v>
      </c>
      <c r="X168" s="25">
        <v>1</v>
      </c>
      <c r="Y168" s="25">
        <v>1</v>
      </c>
      <c r="Z168" s="25">
        <v>1</v>
      </c>
      <c r="AA168" s="25">
        <v>1</v>
      </c>
      <c r="AH168" s="5"/>
      <c r="AI168" s="5"/>
      <c r="AO168" s="5"/>
    </row>
    <row r="169" spans="10:41" x14ac:dyDescent="0.3">
      <c r="J169" s="25">
        <v>165</v>
      </c>
      <c r="K169" s="16" t="s">
        <v>35</v>
      </c>
      <c r="L169" s="16" t="s">
        <v>22</v>
      </c>
      <c r="M169" s="16" t="s">
        <v>112</v>
      </c>
      <c r="N169" s="16" t="s">
        <v>35</v>
      </c>
      <c r="O169" s="16" t="s">
        <v>36</v>
      </c>
      <c r="Q169" s="9">
        <v>8</v>
      </c>
      <c r="R169" s="9">
        <v>3</v>
      </c>
      <c r="S169" s="9">
        <v>17</v>
      </c>
      <c r="T169" s="9">
        <v>8</v>
      </c>
      <c r="U169" s="9">
        <v>10</v>
      </c>
      <c r="W169" s="25">
        <v>1</v>
      </c>
      <c r="X169" s="25">
        <v>1</v>
      </c>
      <c r="Y169" s="25">
        <v>1</v>
      </c>
      <c r="Z169" s="25">
        <v>1</v>
      </c>
      <c r="AA169" s="25">
        <v>1</v>
      </c>
      <c r="AH169" s="5"/>
      <c r="AI169" s="5"/>
      <c r="AO169" s="5"/>
    </row>
    <row r="170" spans="10:41" x14ac:dyDescent="0.3">
      <c r="J170" s="9">
        <v>166</v>
      </c>
      <c r="K170" s="16" t="s">
        <v>34</v>
      </c>
      <c r="L170" s="16" t="s">
        <v>125</v>
      </c>
      <c r="M170" s="16" t="s">
        <v>92</v>
      </c>
      <c r="N170" s="16" t="s">
        <v>37</v>
      </c>
      <c r="O170" s="16" t="s">
        <v>37</v>
      </c>
      <c r="Q170" s="9">
        <v>9</v>
      </c>
      <c r="R170" s="9">
        <v>6</v>
      </c>
      <c r="S170" s="9">
        <v>16</v>
      </c>
      <c r="T170" s="9">
        <v>7</v>
      </c>
      <c r="U170" s="9">
        <v>7</v>
      </c>
      <c r="W170" s="25">
        <v>1</v>
      </c>
      <c r="X170" s="25">
        <v>1</v>
      </c>
      <c r="Y170" s="25">
        <v>1</v>
      </c>
      <c r="Z170" s="25">
        <v>1</v>
      </c>
      <c r="AA170" s="25">
        <v>1</v>
      </c>
      <c r="AH170" s="5"/>
      <c r="AI170" s="5"/>
      <c r="AO170" s="5"/>
    </row>
    <row r="171" spans="10:41" x14ac:dyDescent="0.3">
      <c r="J171" s="25">
        <v>167</v>
      </c>
      <c r="K171" s="16" t="s">
        <v>125</v>
      </c>
      <c r="L171" s="16" t="s">
        <v>92</v>
      </c>
      <c r="M171" s="16" t="s">
        <v>126</v>
      </c>
      <c r="N171" s="16" t="s">
        <v>112</v>
      </c>
      <c r="O171" s="16" t="s">
        <v>35</v>
      </c>
      <c r="Q171" s="9">
        <v>6</v>
      </c>
      <c r="R171" s="9">
        <v>16</v>
      </c>
      <c r="S171" s="9">
        <v>15</v>
      </c>
      <c r="T171" s="9">
        <v>17</v>
      </c>
      <c r="U171" s="9">
        <v>8</v>
      </c>
      <c r="W171" s="25">
        <v>1</v>
      </c>
      <c r="X171" s="25">
        <v>1</v>
      </c>
      <c r="Y171" s="25">
        <v>1</v>
      </c>
      <c r="Z171" s="25">
        <v>1</v>
      </c>
      <c r="AA171" s="25">
        <v>1</v>
      </c>
      <c r="AH171" s="5"/>
      <c r="AI171" s="5"/>
      <c r="AO171" s="5"/>
    </row>
    <row r="172" spans="10:41" x14ac:dyDescent="0.3">
      <c r="J172" s="9">
        <v>168</v>
      </c>
      <c r="K172" s="16" t="s">
        <v>37</v>
      </c>
      <c r="L172" s="16" t="s">
        <v>34</v>
      </c>
      <c r="M172" s="16" t="s">
        <v>112</v>
      </c>
      <c r="N172" s="16" t="s">
        <v>20</v>
      </c>
      <c r="O172" s="16" t="s">
        <v>34</v>
      </c>
      <c r="Q172" s="9">
        <v>7</v>
      </c>
      <c r="R172" s="9">
        <v>9</v>
      </c>
      <c r="S172" s="9">
        <v>17</v>
      </c>
      <c r="T172" s="9">
        <v>1</v>
      </c>
      <c r="U172" s="9">
        <v>9</v>
      </c>
      <c r="W172" s="25">
        <v>1</v>
      </c>
      <c r="X172" s="25">
        <v>1</v>
      </c>
      <c r="Y172" s="25">
        <v>1</v>
      </c>
      <c r="Z172" s="25">
        <v>1</v>
      </c>
      <c r="AA172" s="25">
        <v>1</v>
      </c>
      <c r="AH172" s="5"/>
      <c r="AI172" s="5"/>
      <c r="AO172" s="5"/>
    </row>
    <row r="173" spans="10:41" x14ac:dyDescent="0.3">
      <c r="J173" s="25">
        <v>169</v>
      </c>
      <c r="K173" s="16" t="s">
        <v>35</v>
      </c>
      <c r="L173" s="16" t="s">
        <v>21</v>
      </c>
      <c r="M173" s="16" t="s">
        <v>92</v>
      </c>
      <c r="N173" s="16" t="s">
        <v>91</v>
      </c>
      <c r="O173" s="16" t="s">
        <v>19</v>
      </c>
      <c r="Q173" s="9">
        <v>8</v>
      </c>
      <c r="R173" s="9">
        <v>2</v>
      </c>
      <c r="S173" s="9">
        <v>16</v>
      </c>
      <c r="T173" s="9">
        <v>14</v>
      </c>
      <c r="U173" s="9">
        <v>5</v>
      </c>
      <c r="W173" s="25">
        <v>1</v>
      </c>
      <c r="X173" s="25">
        <v>1</v>
      </c>
      <c r="Y173" s="25">
        <v>1</v>
      </c>
      <c r="Z173" s="25">
        <v>1</v>
      </c>
      <c r="AA173" s="25">
        <v>1</v>
      </c>
      <c r="AH173" s="5"/>
      <c r="AI173" s="5"/>
      <c r="AO173" s="5"/>
    </row>
    <row r="174" spans="10:41" x14ac:dyDescent="0.3">
      <c r="J174" s="9">
        <v>170</v>
      </c>
      <c r="K174" s="16" t="s">
        <v>37</v>
      </c>
      <c r="L174" s="16" t="s">
        <v>126</v>
      </c>
      <c r="M174" s="16" t="s">
        <v>91</v>
      </c>
      <c r="N174" s="16" t="s">
        <v>19</v>
      </c>
      <c r="O174" s="16" t="s">
        <v>37</v>
      </c>
      <c r="Q174" s="9">
        <v>7</v>
      </c>
      <c r="R174" s="9">
        <v>15</v>
      </c>
      <c r="S174" s="9">
        <v>14</v>
      </c>
      <c r="T174" s="9">
        <v>5</v>
      </c>
      <c r="U174" s="9">
        <v>7</v>
      </c>
      <c r="W174" s="25">
        <v>1</v>
      </c>
      <c r="X174" s="25">
        <v>1</v>
      </c>
      <c r="Y174" s="25">
        <v>1</v>
      </c>
      <c r="Z174" s="25">
        <v>1</v>
      </c>
      <c r="AA174" s="25">
        <v>1</v>
      </c>
      <c r="AH174" s="5"/>
      <c r="AI174" s="5"/>
      <c r="AO174" s="5"/>
    </row>
    <row r="175" spans="10:41" x14ac:dyDescent="0.3">
      <c r="J175" s="25">
        <v>171</v>
      </c>
      <c r="K175" s="16" t="s">
        <v>35</v>
      </c>
      <c r="L175" s="16" t="s">
        <v>34</v>
      </c>
      <c r="M175" s="16" t="s">
        <v>92</v>
      </c>
      <c r="N175" s="16" t="s">
        <v>90</v>
      </c>
      <c r="O175" s="16" t="s">
        <v>22</v>
      </c>
      <c r="Q175" s="9">
        <v>8</v>
      </c>
      <c r="R175" s="9">
        <v>9</v>
      </c>
      <c r="S175" s="9">
        <v>16</v>
      </c>
      <c r="T175" s="9">
        <v>13</v>
      </c>
      <c r="U175" s="9">
        <v>3</v>
      </c>
      <c r="W175" s="25">
        <v>1</v>
      </c>
      <c r="X175" s="25">
        <v>1</v>
      </c>
      <c r="Y175" s="25">
        <v>1</v>
      </c>
      <c r="Z175" s="25">
        <v>1</v>
      </c>
      <c r="AA175" s="25">
        <v>1</v>
      </c>
      <c r="AH175" s="5"/>
      <c r="AI175" s="5"/>
      <c r="AO175" s="5"/>
    </row>
    <row r="176" spans="10:41" x14ac:dyDescent="0.3">
      <c r="J176" s="9">
        <v>172</v>
      </c>
      <c r="K176" s="16" t="s">
        <v>18</v>
      </c>
      <c r="L176" s="16" t="s">
        <v>19</v>
      </c>
      <c r="M176" s="16" t="s">
        <v>97</v>
      </c>
      <c r="N176" s="16" t="s">
        <v>95</v>
      </c>
      <c r="O176" s="16" t="s">
        <v>19</v>
      </c>
      <c r="Q176" s="9">
        <v>4</v>
      </c>
      <c r="R176" s="9">
        <v>5</v>
      </c>
      <c r="S176" s="9">
        <v>19</v>
      </c>
      <c r="T176" s="9">
        <v>18</v>
      </c>
      <c r="U176" s="9">
        <v>5</v>
      </c>
      <c r="W176" s="25">
        <v>1</v>
      </c>
      <c r="X176" s="25">
        <v>1</v>
      </c>
      <c r="Y176" s="25">
        <v>1</v>
      </c>
      <c r="Z176" s="25">
        <v>1</v>
      </c>
      <c r="AA176" s="25">
        <v>1</v>
      </c>
      <c r="AH176" s="5"/>
      <c r="AI176" s="5"/>
      <c r="AO176" s="5"/>
    </row>
    <row r="177" spans="10:41" x14ac:dyDescent="0.3">
      <c r="J177" s="25">
        <v>173</v>
      </c>
      <c r="K177" s="16" t="s">
        <v>19</v>
      </c>
      <c r="L177" s="16" t="s">
        <v>92</v>
      </c>
      <c r="M177" s="16" t="s">
        <v>112</v>
      </c>
      <c r="N177" s="16" t="s">
        <v>35</v>
      </c>
      <c r="O177" s="16" t="s">
        <v>125</v>
      </c>
      <c r="Q177" s="9">
        <v>5</v>
      </c>
      <c r="R177" s="9">
        <v>16</v>
      </c>
      <c r="S177" s="9">
        <v>17</v>
      </c>
      <c r="T177" s="9">
        <v>8</v>
      </c>
      <c r="U177" s="9">
        <v>6</v>
      </c>
      <c r="W177" s="25">
        <v>1</v>
      </c>
      <c r="X177" s="25">
        <v>1</v>
      </c>
      <c r="Y177" s="25">
        <v>1</v>
      </c>
      <c r="Z177" s="25">
        <v>1</v>
      </c>
      <c r="AA177" s="25">
        <v>1</v>
      </c>
      <c r="AH177" s="5"/>
      <c r="AI177" s="5"/>
      <c r="AO177" s="5"/>
    </row>
    <row r="178" spans="10:41" x14ac:dyDescent="0.3">
      <c r="J178" s="9">
        <v>174</v>
      </c>
      <c r="K178" s="16" t="s">
        <v>35</v>
      </c>
      <c r="L178" s="16" t="s">
        <v>126</v>
      </c>
      <c r="M178" s="16" t="s">
        <v>126</v>
      </c>
      <c r="N178" s="16" t="s">
        <v>112</v>
      </c>
      <c r="O178" s="16" t="s">
        <v>37</v>
      </c>
      <c r="Q178" s="9">
        <v>8</v>
      </c>
      <c r="R178" s="9">
        <v>15</v>
      </c>
      <c r="S178" s="9">
        <v>15</v>
      </c>
      <c r="T178" s="9">
        <v>17</v>
      </c>
      <c r="U178" s="9">
        <v>7</v>
      </c>
      <c r="W178" s="25">
        <v>1</v>
      </c>
      <c r="X178" s="25">
        <v>1</v>
      </c>
      <c r="Y178" s="25">
        <v>1</v>
      </c>
      <c r="Z178" s="25">
        <v>1</v>
      </c>
      <c r="AA178" s="25">
        <v>1</v>
      </c>
      <c r="AH178" s="5"/>
      <c r="AI178" s="5"/>
      <c r="AO178" s="5"/>
    </row>
    <row r="179" spans="10:41" x14ac:dyDescent="0.3">
      <c r="J179" s="25">
        <v>175</v>
      </c>
      <c r="K179" s="16" t="s">
        <v>37</v>
      </c>
      <c r="L179" s="16" t="s">
        <v>37</v>
      </c>
      <c r="M179" s="16" t="s">
        <v>92</v>
      </c>
      <c r="N179" s="16" t="s">
        <v>18</v>
      </c>
      <c r="O179" s="16" t="s">
        <v>19</v>
      </c>
      <c r="Q179" s="9">
        <v>7</v>
      </c>
      <c r="R179" s="9">
        <v>7</v>
      </c>
      <c r="S179" s="9">
        <v>16</v>
      </c>
      <c r="T179" s="9">
        <v>4</v>
      </c>
      <c r="U179" s="9">
        <v>5</v>
      </c>
      <c r="W179" s="25">
        <v>1</v>
      </c>
      <c r="X179" s="25">
        <v>1</v>
      </c>
      <c r="Y179" s="25">
        <v>1</v>
      </c>
      <c r="Z179" s="25">
        <v>1</v>
      </c>
      <c r="AA179" s="25">
        <v>1</v>
      </c>
      <c r="AH179" s="5"/>
      <c r="AI179" s="5"/>
      <c r="AO179" s="5"/>
    </row>
    <row r="180" spans="10:41" x14ac:dyDescent="0.3">
      <c r="J180" s="9">
        <v>176</v>
      </c>
      <c r="K180" s="16" t="s">
        <v>125</v>
      </c>
      <c r="L180" s="16" t="s">
        <v>34</v>
      </c>
      <c r="M180" s="16" t="s">
        <v>126</v>
      </c>
      <c r="N180" s="16" t="s">
        <v>19</v>
      </c>
      <c r="O180" s="16" t="s">
        <v>37</v>
      </c>
      <c r="Q180" s="9">
        <v>6</v>
      </c>
      <c r="R180" s="9">
        <v>9</v>
      </c>
      <c r="S180" s="9">
        <v>15</v>
      </c>
      <c r="T180" s="9">
        <v>5</v>
      </c>
      <c r="U180" s="9">
        <v>7</v>
      </c>
      <c r="W180" s="25">
        <v>1</v>
      </c>
      <c r="X180" s="25">
        <v>1</v>
      </c>
      <c r="Y180" s="25">
        <v>1</v>
      </c>
      <c r="Z180" s="25">
        <v>1</v>
      </c>
      <c r="AA180" s="25">
        <v>1</v>
      </c>
      <c r="AH180" s="5"/>
      <c r="AI180" s="5"/>
      <c r="AO180" s="5"/>
    </row>
    <row r="181" spans="10:41" x14ac:dyDescent="0.3">
      <c r="J181" s="25">
        <v>177</v>
      </c>
      <c r="K181" s="16" t="s">
        <v>19</v>
      </c>
      <c r="L181" s="16" t="s">
        <v>35</v>
      </c>
      <c r="M181" s="16" t="s">
        <v>91</v>
      </c>
      <c r="N181" s="16" t="s">
        <v>125</v>
      </c>
      <c r="O181" s="16" t="s">
        <v>19</v>
      </c>
      <c r="Q181" s="9">
        <v>5</v>
      </c>
      <c r="R181" s="9">
        <v>8</v>
      </c>
      <c r="S181" s="9">
        <v>14</v>
      </c>
      <c r="T181" s="9">
        <v>6</v>
      </c>
      <c r="U181" s="9">
        <v>5</v>
      </c>
      <c r="W181" s="25">
        <v>1</v>
      </c>
      <c r="X181" s="25">
        <v>1</v>
      </c>
      <c r="Y181" s="25">
        <v>1</v>
      </c>
      <c r="Z181" s="25">
        <v>1</v>
      </c>
      <c r="AA181" s="25">
        <v>1</v>
      </c>
      <c r="AH181" s="5"/>
      <c r="AI181" s="5"/>
      <c r="AO181" s="5"/>
    </row>
    <row r="182" spans="10:41" x14ac:dyDescent="0.3">
      <c r="J182" s="9">
        <v>178</v>
      </c>
      <c r="K182" s="16" t="s">
        <v>35</v>
      </c>
      <c r="L182" s="16" t="s">
        <v>37</v>
      </c>
      <c r="M182" s="16" t="s">
        <v>92</v>
      </c>
      <c r="N182" s="16" t="s">
        <v>112</v>
      </c>
      <c r="O182" s="16" t="s">
        <v>35</v>
      </c>
      <c r="Q182" s="9">
        <v>8</v>
      </c>
      <c r="R182" s="9">
        <v>7</v>
      </c>
      <c r="S182" s="9">
        <v>16</v>
      </c>
      <c r="T182" s="9">
        <v>17</v>
      </c>
      <c r="U182" s="9">
        <v>8</v>
      </c>
      <c r="W182" s="25">
        <v>1</v>
      </c>
      <c r="X182" s="25">
        <v>1</v>
      </c>
      <c r="Y182" s="25">
        <v>1</v>
      </c>
      <c r="Z182" s="25">
        <v>1</v>
      </c>
      <c r="AA182" s="25">
        <v>1</v>
      </c>
      <c r="AH182" s="5"/>
      <c r="AI182" s="5"/>
      <c r="AO182" s="5"/>
    </row>
    <row r="183" spans="10:41" x14ac:dyDescent="0.3">
      <c r="J183" s="25">
        <v>179</v>
      </c>
      <c r="K183" s="16" t="s">
        <v>125</v>
      </c>
      <c r="L183" s="16" t="s">
        <v>125</v>
      </c>
      <c r="M183" s="16" t="s">
        <v>91</v>
      </c>
      <c r="N183" s="16" t="s">
        <v>125</v>
      </c>
      <c r="O183" s="16" t="s">
        <v>125</v>
      </c>
      <c r="Q183" s="9">
        <v>6</v>
      </c>
      <c r="R183" s="9">
        <v>6</v>
      </c>
      <c r="S183" s="9">
        <v>14</v>
      </c>
      <c r="T183" s="9">
        <v>6</v>
      </c>
      <c r="U183" s="9">
        <v>6</v>
      </c>
      <c r="W183" s="25">
        <v>1</v>
      </c>
      <c r="X183" s="25">
        <v>1</v>
      </c>
      <c r="Y183" s="25">
        <v>1</v>
      </c>
      <c r="Z183" s="25">
        <v>1</v>
      </c>
      <c r="AA183" s="25">
        <v>1</v>
      </c>
      <c r="AH183" s="5"/>
      <c r="AI183" s="5"/>
      <c r="AO183" s="5"/>
    </row>
    <row r="184" spans="10:41" x14ac:dyDescent="0.3">
      <c r="J184" s="9">
        <v>180</v>
      </c>
      <c r="K184" s="16" t="s">
        <v>19</v>
      </c>
      <c r="L184" s="16" t="s">
        <v>37</v>
      </c>
      <c r="M184" s="16" t="s">
        <v>92</v>
      </c>
      <c r="N184" s="16" t="s">
        <v>35</v>
      </c>
      <c r="O184" s="16" t="s">
        <v>36</v>
      </c>
      <c r="Q184" s="9">
        <v>5</v>
      </c>
      <c r="R184" s="9">
        <v>7</v>
      </c>
      <c r="S184" s="9">
        <v>16</v>
      </c>
      <c r="T184" s="9">
        <v>8</v>
      </c>
      <c r="U184" s="9">
        <v>10</v>
      </c>
      <c r="W184" s="25">
        <v>1</v>
      </c>
      <c r="X184" s="25">
        <v>1</v>
      </c>
      <c r="Y184" s="25">
        <v>1</v>
      </c>
      <c r="Z184" s="25">
        <v>1</v>
      </c>
      <c r="AA184" s="25">
        <v>1</v>
      </c>
      <c r="AH184" s="5"/>
      <c r="AI184" s="5"/>
      <c r="AO184" s="5"/>
    </row>
    <row r="185" spans="10:41" x14ac:dyDescent="0.3">
      <c r="J185" s="25">
        <v>181</v>
      </c>
      <c r="K185" s="16" t="s">
        <v>37</v>
      </c>
      <c r="L185" s="16" t="s">
        <v>91</v>
      </c>
      <c r="M185" s="16" t="s">
        <v>126</v>
      </c>
      <c r="N185" s="16" t="s">
        <v>126</v>
      </c>
      <c r="O185" s="16" t="s">
        <v>19</v>
      </c>
      <c r="Q185" s="9">
        <v>7</v>
      </c>
      <c r="R185" s="9">
        <v>14</v>
      </c>
      <c r="S185" s="9">
        <v>15</v>
      </c>
      <c r="T185" s="9">
        <v>15</v>
      </c>
      <c r="U185" s="9">
        <v>5</v>
      </c>
      <c r="W185" s="25">
        <v>1</v>
      </c>
      <c r="X185" s="25">
        <v>1</v>
      </c>
      <c r="Y185" s="25">
        <v>1</v>
      </c>
      <c r="Z185" s="25">
        <v>1</v>
      </c>
      <c r="AA185" s="25">
        <v>1</v>
      </c>
      <c r="AH185" s="5"/>
      <c r="AI185" s="5"/>
      <c r="AO185" s="5"/>
    </row>
    <row r="186" spans="10:41" x14ac:dyDescent="0.3">
      <c r="J186" s="9">
        <v>182</v>
      </c>
      <c r="K186" s="16" t="s">
        <v>125</v>
      </c>
      <c r="L186" s="16" t="s">
        <v>35</v>
      </c>
      <c r="M186" s="16" t="s">
        <v>92</v>
      </c>
      <c r="N186" s="16" t="s">
        <v>19</v>
      </c>
      <c r="O186" s="16" t="s">
        <v>35</v>
      </c>
      <c r="Q186" s="9">
        <v>6</v>
      </c>
      <c r="R186" s="9">
        <v>8</v>
      </c>
      <c r="S186" s="9">
        <v>16</v>
      </c>
      <c r="T186" s="9">
        <v>5</v>
      </c>
      <c r="U186" s="9">
        <v>8</v>
      </c>
      <c r="W186" s="25">
        <v>1</v>
      </c>
      <c r="X186" s="25">
        <v>1</v>
      </c>
      <c r="Y186" s="25">
        <v>1</v>
      </c>
      <c r="Z186" s="25">
        <v>1</v>
      </c>
      <c r="AA186" s="25">
        <v>1</v>
      </c>
      <c r="AH186" s="5"/>
      <c r="AI186" s="5"/>
      <c r="AO186" s="5"/>
    </row>
    <row r="187" spans="10:41" x14ac:dyDescent="0.3">
      <c r="J187" s="25">
        <v>183</v>
      </c>
      <c r="K187" s="16" t="s">
        <v>35</v>
      </c>
      <c r="L187" s="16" t="s">
        <v>37</v>
      </c>
      <c r="M187" s="16" t="s">
        <v>91</v>
      </c>
      <c r="N187" s="16" t="s">
        <v>36</v>
      </c>
      <c r="O187" s="16" t="s">
        <v>37</v>
      </c>
      <c r="Q187" s="9">
        <v>8</v>
      </c>
      <c r="R187" s="9">
        <v>7</v>
      </c>
      <c r="S187" s="9">
        <v>14</v>
      </c>
      <c r="T187" s="9">
        <v>10</v>
      </c>
      <c r="U187" s="9">
        <v>7</v>
      </c>
      <c r="W187" s="25">
        <v>1</v>
      </c>
      <c r="X187" s="25">
        <v>1</v>
      </c>
      <c r="Y187" s="25">
        <v>1</v>
      </c>
      <c r="Z187" s="25">
        <v>1</v>
      </c>
      <c r="AA187" s="25">
        <v>1</v>
      </c>
      <c r="AH187" s="5"/>
      <c r="AI187" s="5"/>
      <c r="AO187" s="5"/>
    </row>
    <row r="188" spans="10:41" x14ac:dyDescent="0.3">
      <c r="J188" s="9">
        <v>184</v>
      </c>
      <c r="K188" s="16" t="s">
        <v>19</v>
      </c>
      <c r="L188" s="16" t="s">
        <v>91</v>
      </c>
      <c r="M188" s="16" t="s">
        <v>126</v>
      </c>
      <c r="N188" s="16" t="s">
        <v>125</v>
      </c>
      <c r="O188" s="16" t="s">
        <v>35</v>
      </c>
      <c r="Q188" s="9">
        <v>5</v>
      </c>
      <c r="R188" s="9">
        <v>14</v>
      </c>
      <c r="S188" s="9">
        <v>15</v>
      </c>
      <c r="T188" s="9">
        <v>6</v>
      </c>
      <c r="U188" s="9">
        <v>8</v>
      </c>
      <c r="W188" s="25">
        <v>1</v>
      </c>
      <c r="X188" s="25">
        <v>1</v>
      </c>
      <c r="Y188" s="25">
        <v>1</v>
      </c>
      <c r="Z188" s="25">
        <v>1</v>
      </c>
      <c r="AA188" s="25">
        <v>1</v>
      </c>
      <c r="AH188" s="5"/>
      <c r="AI188" s="5"/>
      <c r="AO188" s="5"/>
    </row>
    <row r="189" spans="10:41" x14ac:dyDescent="0.3">
      <c r="J189" s="25">
        <v>185</v>
      </c>
      <c r="K189" s="16" t="s">
        <v>18</v>
      </c>
      <c r="L189" s="16" t="s">
        <v>92</v>
      </c>
      <c r="M189" s="16" t="s">
        <v>112</v>
      </c>
      <c r="N189" s="16" t="s">
        <v>19</v>
      </c>
      <c r="O189" s="16" t="s">
        <v>125</v>
      </c>
      <c r="Q189" s="9">
        <v>4</v>
      </c>
      <c r="R189" s="9">
        <v>16</v>
      </c>
      <c r="S189" s="9">
        <v>17</v>
      </c>
      <c r="T189" s="9">
        <v>5</v>
      </c>
      <c r="U189" s="9">
        <v>6</v>
      </c>
      <c r="W189" s="25">
        <v>1</v>
      </c>
      <c r="X189" s="25">
        <v>1</v>
      </c>
      <c r="Y189" s="25">
        <v>1</v>
      </c>
      <c r="Z189" s="25">
        <v>1</v>
      </c>
      <c r="AA189" s="25">
        <v>1</v>
      </c>
      <c r="AH189" s="5"/>
      <c r="AI189" s="5"/>
      <c r="AO189" s="5"/>
    </row>
    <row r="190" spans="10:41" x14ac:dyDescent="0.3">
      <c r="J190" s="9">
        <v>186</v>
      </c>
      <c r="K190" s="16" t="s">
        <v>19</v>
      </c>
      <c r="L190" s="16" t="s">
        <v>126</v>
      </c>
      <c r="M190" s="16" t="s">
        <v>126</v>
      </c>
      <c r="N190" s="16" t="s">
        <v>37</v>
      </c>
      <c r="O190" s="16" t="s">
        <v>19</v>
      </c>
      <c r="Q190" s="9">
        <v>5</v>
      </c>
      <c r="R190" s="9">
        <v>15</v>
      </c>
      <c r="S190" s="9">
        <v>15</v>
      </c>
      <c r="T190" s="9">
        <v>7</v>
      </c>
      <c r="U190" s="9">
        <v>5</v>
      </c>
      <c r="W190" s="25">
        <v>1</v>
      </c>
      <c r="X190" s="25">
        <v>1</v>
      </c>
      <c r="Y190" s="25">
        <v>1</v>
      </c>
      <c r="Z190" s="25">
        <v>1</v>
      </c>
      <c r="AA190" s="25">
        <v>1</v>
      </c>
      <c r="AH190" s="5"/>
      <c r="AI190" s="5"/>
      <c r="AO190" s="5"/>
    </row>
    <row r="191" spans="10:41" x14ac:dyDescent="0.3">
      <c r="J191" s="25">
        <v>187</v>
      </c>
      <c r="K191" s="16" t="s">
        <v>125</v>
      </c>
      <c r="L191" s="16" t="s">
        <v>19</v>
      </c>
      <c r="M191" s="16" t="s">
        <v>91</v>
      </c>
      <c r="N191" s="16" t="s">
        <v>91</v>
      </c>
      <c r="O191" s="16" t="s">
        <v>34</v>
      </c>
      <c r="Q191" s="9">
        <v>6</v>
      </c>
      <c r="R191" s="9">
        <v>5</v>
      </c>
      <c r="S191" s="9">
        <v>14</v>
      </c>
      <c r="T191" s="9">
        <v>14</v>
      </c>
      <c r="U191" s="9">
        <v>9</v>
      </c>
      <c r="W191" s="25">
        <v>1</v>
      </c>
      <c r="X191" s="25">
        <v>1</v>
      </c>
      <c r="Y191" s="25">
        <v>1</v>
      </c>
      <c r="Z191" s="25">
        <v>1</v>
      </c>
      <c r="AA191" s="25">
        <v>1</v>
      </c>
      <c r="AH191" s="5"/>
      <c r="AI191" s="5"/>
      <c r="AO191" s="5"/>
    </row>
    <row r="192" spans="10:41" x14ac:dyDescent="0.3">
      <c r="J192" s="9">
        <v>188</v>
      </c>
      <c r="K192" s="16" t="s">
        <v>19</v>
      </c>
      <c r="L192" s="16" t="s">
        <v>18</v>
      </c>
      <c r="M192" s="16" t="s">
        <v>112</v>
      </c>
      <c r="N192" s="16" t="s">
        <v>125</v>
      </c>
      <c r="O192" s="16" t="s">
        <v>19</v>
      </c>
      <c r="Q192" s="9">
        <v>5</v>
      </c>
      <c r="R192" s="9">
        <v>4</v>
      </c>
      <c r="S192" s="9">
        <v>17</v>
      </c>
      <c r="T192" s="9">
        <v>6</v>
      </c>
      <c r="U192" s="9">
        <v>5</v>
      </c>
      <c r="W192" s="25">
        <v>1</v>
      </c>
      <c r="X192" s="25">
        <v>1</v>
      </c>
      <c r="Y192" s="25">
        <v>1</v>
      </c>
      <c r="Z192" s="25">
        <v>1</v>
      </c>
      <c r="AA192" s="25">
        <v>1</v>
      </c>
      <c r="AH192" s="5"/>
      <c r="AI192" s="5"/>
      <c r="AO192" s="5"/>
    </row>
    <row r="193" spans="10:41" x14ac:dyDescent="0.3">
      <c r="J193" s="25">
        <v>189</v>
      </c>
      <c r="K193" s="16" t="s">
        <v>125</v>
      </c>
      <c r="L193" s="16" t="s">
        <v>35</v>
      </c>
      <c r="M193" s="16" t="s">
        <v>92</v>
      </c>
      <c r="N193" s="16" t="s">
        <v>18</v>
      </c>
      <c r="O193" s="16" t="s">
        <v>125</v>
      </c>
      <c r="Q193" s="9">
        <v>6</v>
      </c>
      <c r="R193" s="9">
        <v>8</v>
      </c>
      <c r="S193" s="9">
        <v>16</v>
      </c>
      <c r="T193" s="9">
        <v>4</v>
      </c>
      <c r="U193" s="9">
        <v>6</v>
      </c>
      <c r="W193" s="25">
        <v>1</v>
      </c>
      <c r="X193" s="25">
        <v>1</v>
      </c>
      <c r="Y193" s="25">
        <v>1</v>
      </c>
      <c r="Z193" s="25">
        <v>1</v>
      </c>
      <c r="AA193" s="25">
        <v>1</v>
      </c>
      <c r="AH193" s="5"/>
      <c r="AI193" s="5"/>
      <c r="AO193" s="5"/>
    </row>
    <row r="194" spans="10:41" x14ac:dyDescent="0.3">
      <c r="J194" s="9">
        <v>190</v>
      </c>
      <c r="K194" s="16" t="s">
        <v>35</v>
      </c>
      <c r="L194" s="16" t="s">
        <v>92</v>
      </c>
      <c r="M194" s="16" t="s">
        <v>126</v>
      </c>
      <c r="N194" s="16" t="s">
        <v>92</v>
      </c>
      <c r="O194" s="16" t="s">
        <v>36</v>
      </c>
      <c r="Q194" s="9">
        <v>8</v>
      </c>
      <c r="R194" s="9">
        <v>16</v>
      </c>
      <c r="S194" s="9">
        <v>15</v>
      </c>
      <c r="T194" s="9">
        <v>16</v>
      </c>
      <c r="U194" s="9">
        <v>10</v>
      </c>
      <c r="W194" s="25">
        <v>1</v>
      </c>
      <c r="X194" s="25">
        <v>1</v>
      </c>
      <c r="Y194" s="25">
        <v>1</v>
      </c>
      <c r="Z194" s="25">
        <v>1</v>
      </c>
      <c r="AA194" s="25">
        <v>1</v>
      </c>
      <c r="AH194" s="5"/>
      <c r="AI194" s="5"/>
      <c r="AO194" s="5"/>
    </row>
    <row r="195" spans="10:41" x14ac:dyDescent="0.3">
      <c r="J195" s="25">
        <v>191</v>
      </c>
      <c r="K195" s="16" t="s">
        <v>37</v>
      </c>
      <c r="L195" s="16" t="s">
        <v>19</v>
      </c>
      <c r="M195" s="16" t="s">
        <v>92</v>
      </c>
      <c r="N195" s="16" t="s">
        <v>125</v>
      </c>
      <c r="O195" s="16" t="s">
        <v>35</v>
      </c>
      <c r="Q195" s="9">
        <v>7</v>
      </c>
      <c r="R195" s="9">
        <v>5</v>
      </c>
      <c r="S195" s="9">
        <v>16</v>
      </c>
      <c r="T195" s="9">
        <v>6</v>
      </c>
      <c r="U195" s="9">
        <v>8</v>
      </c>
      <c r="W195" s="25">
        <v>1</v>
      </c>
      <c r="X195" s="25">
        <v>1</v>
      </c>
      <c r="Y195" s="25">
        <v>1</v>
      </c>
      <c r="Z195" s="25">
        <v>1</v>
      </c>
      <c r="AA195" s="25">
        <v>1</v>
      </c>
      <c r="AH195" s="5"/>
      <c r="AI195" s="5"/>
      <c r="AO195" s="5"/>
    </row>
    <row r="196" spans="10:41" x14ac:dyDescent="0.3">
      <c r="J196" s="9">
        <v>192</v>
      </c>
      <c r="K196" s="16" t="s">
        <v>35</v>
      </c>
      <c r="L196" s="16" t="s">
        <v>112</v>
      </c>
      <c r="M196" s="16" t="s">
        <v>112</v>
      </c>
      <c r="N196" s="16" t="s">
        <v>91</v>
      </c>
      <c r="O196" s="16" t="s">
        <v>19</v>
      </c>
      <c r="Q196" s="9">
        <v>8</v>
      </c>
      <c r="R196" s="9">
        <v>17</v>
      </c>
      <c r="S196" s="9">
        <v>17</v>
      </c>
      <c r="T196" s="9">
        <v>14</v>
      </c>
      <c r="U196" s="9">
        <v>5</v>
      </c>
      <c r="W196" s="25">
        <v>1</v>
      </c>
      <c r="X196" s="25">
        <v>1</v>
      </c>
      <c r="Y196" s="25">
        <v>1</v>
      </c>
      <c r="Z196" s="25">
        <v>1</v>
      </c>
      <c r="AA196" s="25">
        <v>1</v>
      </c>
      <c r="AH196" s="5"/>
      <c r="AI196" s="5"/>
      <c r="AO196" s="5"/>
    </row>
    <row r="197" spans="10:41" x14ac:dyDescent="0.3">
      <c r="J197" s="25">
        <v>193</v>
      </c>
      <c r="K197" s="16" t="s">
        <v>19</v>
      </c>
      <c r="L197" s="16" t="s">
        <v>34</v>
      </c>
      <c r="M197" s="16" t="s">
        <v>91</v>
      </c>
      <c r="N197" s="16" t="s">
        <v>18</v>
      </c>
      <c r="O197" s="16" t="s">
        <v>125</v>
      </c>
      <c r="Q197" s="9">
        <v>5</v>
      </c>
      <c r="R197" s="9">
        <v>9</v>
      </c>
      <c r="S197" s="9">
        <v>14</v>
      </c>
      <c r="T197" s="9">
        <v>4</v>
      </c>
      <c r="U197" s="9">
        <v>6</v>
      </c>
      <c r="W197" s="25">
        <v>1</v>
      </c>
      <c r="X197" s="25">
        <v>1</v>
      </c>
      <c r="Y197" s="25">
        <v>1</v>
      </c>
      <c r="Z197" s="25">
        <v>1</v>
      </c>
      <c r="AA197" s="25">
        <v>1</v>
      </c>
      <c r="AH197" s="5"/>
      <c r="AI197" s="5"/>
      <c r="AO197" s="5"/>
    </row>
    <row r="198" spans="10:41" x14ac:dyDescent="0.3">
      <c r="J198" s="9">
        <v>194</v>
      </c>
      <c r="K198" s="16" t="s">
        <v>35</v>
      </c>
      <c r="L198" s="16" t="s">
        <v>36</v>
      </c>
      <c r="M198" s="16" t="s">
        <v>112</v>
      </c>
      <c r="N198" s="16" t="s">
        <v>19</v>
      </c>
      <c r="O198" s="16" t="s">
        <v>35</v>
      </c>
      <c r="Q198" s="9">
        <v>8</v>
      </c>
      <c r="R198" s="9">
        <v>10</v>
      </c>
      <c r="S198" s="9">
        <v>17</v>
      </c>
      <c r="T198" s="9">
        <v>5</v>
      </c>
      <c r="U198" s="9">
        <v>8</v>
      </c>
      <c r="W198" s="25">
        <v>1</v>
      </c>
      <c r="X198" s="25">
        <v>1</v>
      </c>
      <c r="Y198" s="25">
        <v>1</v>
      </c>
      <c r="Z198" s="25">
        <v>1</v>
      </c>
      <c r="AA198" s="25">
        <v>1</v>
      </c>
      <c r="AH198" s="5"/>
      <c r="AI198" s="5"/>
      <c r="AO198" s="5"/>
    </row>
    <row r="199" spans="10:41" x14ac:dyDescent="0.3">
      <c r="J199" s="25">
        <v>195</v>
      </c>
      <c r="K199" s="16" t="s">
        <v>125</v>
      </c>
      <c r="L199" s="16" t="s">
        <v>92</v>
      </c>
      <c r="M199" s="16" t="s">
        <v>90</v>
      </c>
      <c r="N199" s="16" t="s">
        <v>125</v>
      </c>
      <c r="O199" s="16" t="s">
        <v>18</v>
      </c>
      <c r="Q199" s="9">
        <v>6</v>
      </c>
      <c r="R199" s="9">
        <v>16</v>
      </c>
      <c r="S199" s="9">
        <v>13</v>
      </c>
      <c r="T199" s="9">
        <v>6</v>
      </c>
      <c r="U199" s="9">
        <v>4</v>
      </c>
      <c r="W199" s="25">
        <v>1</v>
      </c>
      <c r="X199" s="25">
        <v>1</v>
      </c>
      <c r="Y199" s="25">
        <v>1</v>
      </c>
      <c r="Z199" s="25">
        <v>1</v>
      </c>
      <c r="AA199" s="25">
        <v>1</v>
      </c>
      <c r="AH199" s="5"/>
      <c r="AI199" s="5"/>
      <c r="AO199" s="5"/>
    </row>
    <row r="200" spans="10:41" x14ac:dyDescent="0.3">
      <c r="J200" s="9">
        <v>196</v>
      </c>
      <c r="K200" s="16" t="s">
        <v>19</v>
      </c>
      <c r="L200" s="16" t="s">
        <v>34</v>
      </c>
      <c r="M200" s="16" t="s">
        <v>112</v>
      </c>
      <c r="N200" s="16" t="s">
        <v>36</v>
      </c>
      <c r="O200" s="16" t="s">
        <v>125</v>
      </c>
      <c r="Q200" s="9">
        <v>5</v>
      </c>
      <c r="R200" s="9">
        <v>9</v>
      </c>
      <c r="S200" s="9">
        <v>17</v>
      </c>
      <c r="T200" s="9">
        <v>10</v>
      </c>
      <c r="U200" s="9">
        <v>6</v>
      </c>
      <c r="W200" s="25">
        <v>1</v>
      </c>
      <c r="X200" s="25">
        <v>1</v>
      </c>
      <c r="Y200" s="25">
        <v>1</v>
      </c>
      <c r="Z200" s="25">
        <v>1</v>
      </c>
      <c r="AA200" s="25">
        <v>1</v>
      </c>
      <c r="AH200" s="5"/>
      <c r="AI200" s="5"/>
      <c r="AO200" s="5"/>
    </row>
    <row r="201" spans="10:41" x14ac:dyDescent="0.3">
      <c r="J201" s="25">
        <v>197</v>
      </c>
      <c r="K201" s="16" t="s">
        <v>37</v>
      </c>
      <c r="L201" s="16" t="s">
        <v>89</v>
      </c>
      <c r="M201" s="16" t="s">
        <v>91</v>
      </c>
      <c r="N201" s="16" t="s">
        <v>35</v>
      </c>
      <c r="O201" s="16" t="s">
        <v>36</v>
      </c>
      <c r="Q201" s="9">
        <v>7</v>
      </c>
      <c r="R201" s="9">
        <v>12</v>
      </c>
      <c r="S201" s="9">
        <v>14</v>
      </c>
      <c r="T201" s="9">
        <v>8</v>
      </c>
      <c r="U201" s="9">
        <v>10</v>
      </c>
      <c r="W201" s="25">
        <v>1</v>
      </c>
      <c r="X201" s="25">
        <v>1</v>
      </c>
      <c r="Y201" s="25">
        <v>1</v>
      </c>
      <c r="Z201" s="25">
        <v>1</v>
      </c>
      <c r="AA201" s="25">
        <v>1</v>
      </c>
      <c r="AH201" s="5"/>
      <c r="AI201" s="5"/>
      <c r="AO201" s="5"/>
    </row>
    <row r="202" spans="10:41" x14ac:dyDescent="0.3">
      <c r="J202" s="9">
        <v>198</v>
      </c>
      <c r="K202" s="16" t="s">
        <v>35</v>
      </c>
      <c r="L202" s="16" t="s">
        <v>18</v>
      </c>
      <c r="M202" s="16" t="s">
        <v>126</v>
      </c>
      <c r="N202" s="16" t="s">
        <v>91</v>
      </c>
      <c r="O202" s="16" t="s">
        <v>125</v>
      </c>
      <c r="Q202" s="9">
        <v>8</v>
      </c>
      <c r="R202" s="9">
        <v>4</v>
      </c>
      <c r="S202" s="9">
        <v>15</v>
      </c>
      <c r="T202" s="9">
        <v>14</v>
      </c>
      <c r="U202" s="9">
        <v>6</v>
      </c>
      <c r="W202" s="25">
        <v>1</v>
      </c>
      <c r="X202" s="25">
        <v>1</v>
      </c>
      <c r="Y202" s="25">
        <v>1</v>
      </c>
      <c r="Z202" s="25">
        <v>1</v>
      </c>
      <c r="AA202" s="25">
        <v>1</v>
      </c>
      <c r="AH202" s="5"/>
      <c r="AI202" s="5"/>
      <c r="AO202" s="5"/>
    </row>
    <row r="203" spans="10:41" x14ac:dyDescent="0.3">
      <c r="J203" s="25">
        <v>199</v>
      </c>
      <c r="K203" s="16" t="s">
        <v>19</v>
      </c>
      <c r="L203" s="16" t="s">
        <v>19</v>
      </c>
      <c r="M203" s="16" t="s">
        <v>91</v>
      </c>
      <c r="N203" s="16" t="s">
        <v>19</v>
      </c>
      <c r="O203" s="16" t="s">
        <v>19</v>
      </c>
      <c r="Q203" s="9">
        <v>5</v>
      </c>
      <c r="R203" s="9">
        <v>5</v>
      </c>
      <c r="S203" s="9">
        <v>14</v>
      </c>
      <c r="T203" s="9">
        <v>5</v>
      </c>
      <c r="U203" s="9">
        <v>5</v>
      </c>
      <c r="W203" s="25">
        <v>1</v>
      </c>
      <c r="X203" s="25">
        <v>1</v>
      </c>
      <c r="Y203" s="25">
        <v>1</v>
      </c>
      <c r="Z203" s="25">
        <v>1</v>
      </c>
      <c r="AA203" s="25">
        <v>1</v>
      </c>
      <c r="AH203" s="5"/>
      <c r="AI203" s="5"/>
      <c r="AO203" s="5"/>
    </row>
    <row r="204" spans="10:41" x14ac:dyDescent="0.3">
      <c r="J204" s="9"/>
      <c r="K204" s="16"/>
      <c r="L204" s="16"/>
      <c r="M204" s="16"/>
      <c r="N204" s="16"/>
      <c r="O204" s="16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5"/>
      <c r="X204" s="25"/>
      <c r="Y204" s="25"/>
      <c r="Z204" s="25"/>
      <c r="AA204" s="25"/>
      <c r="AH204" s="5"/>
      <c r="AI204" s="5"/>
      <c r="AO204" s="5"/>
    </row>
    <row r="205" spans="10:41" x14ac:dyDescent="0.3">
      <c r="J205" s="25"/>
      <c r="K205" s="16"/>
      <c r="L205" s="16"/>
      <c r="M205" s="16"/>
      <c r="N205" s="16"/>
      <c r="O205" s="16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5"/>
      <c r="X205" s="25"/>
      <c r="Y205" s="25"/>
      <c r="Z205" s="25"/>
      <c r="AA205" s="25"/>
      <c r="AH205" s="5"/>
      <c r="AI205" s="5"/>
      <c r="AO205" s="5"/>
    </row>
    <row r="206" spans="10:41" x14ac:dyDescent="0.3">
      <c r="J206" s="25"/>
      <c r="K206" s="16"/>
      <c r="L206" s="16"/>
      <c r="M206" s="16"/>
      <c r="N206" s="16"/>
      <c r="O206" s="16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5"/>
      <c r="X206" s="25"/>
      <c r="Y206" s="25"/>
      <c r="Z206" s="25"/>
      <c r="AA206" s="25"/>
      <c r="AH206" s="5"/>
      <c r="AI206" s="5"/>
      <c r="AO206" s="5"/>
    </row>
    <row r="207" spans="10:41" x14ac:dyDescent="0.3">
      <c r="J207" s="9"/>
      <c r="K207" s="16"/>
      <c r="L207" s="16"/>
      <c r="M207" s="16"/>
      <c r="N207" s="16"/>
      <c r="O207" s="16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5"/>
      <c r="X207" s="25"/>
      <c r="Y207" s="25"/>
      <c r="Z207" s="25"/>
      <c r="AA207" s="25"/>
      <c r="AH207" s="5"/>
      <c r="AI207" s="5"/>
      <c r="AO207" s="5"/>
    </row>
    <row r="208" spans="10:41" x14ac:dyDescent="0.3">
      <c r="J208" s="25"/>
      <c r="K208" s="16"/>
      <c r="L208" s="16"/>
      <c r="M208" s="16"/>
      <c r="N208" s="16"/>
      <c r="O208" s="16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5"/>
      <c r="X208" s="25"/>
      <c r="Y208" s="25"/>
      <c r="Z208" s="25"/>
      <c r="AA208" s="25"/>
      <c r="AH208" s="5"/>
      <c r="AI208" s="5"/>
      <c r="AO208" s="5"/>
    </row>
    <row r="209" spans="10:41" x14ac:dyDescent="0.3">
      <c r="J209" s="9"/>
      <c r="K209" s="16"/>
      <c r="L209" s="16"/>
      <c r="M209" s="16"/>
      <c r="N209" s="16"/>
      <c r="O209" s="16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5"/>
      <c r="X209" s="25"/>
      <c r="Y209" s="25"/>
      <c r="Z209" s="25"/>
      <c r="AA209" s="25"/>
      <c r="AH209" s="5"/>
      <c r="AI209" s="5"/>
      <c r="AO209" s="5"/>
    </row>
    <row r="210" spans="10:41" x14ac:dyDescent="0.3">
      <c r="J210" s="25"/>
      <c r="K210" s="16"/>
      <c r="L210" s="16"/>
      <c r="M210" s="16"/>
      <c r="N210" s="16"/>
      <c r="O210" s="16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5"/>
      <c r="X210" s="25"/>
      <c r="Y210" s="25"/>
      <c r="Z210" s="25"/>
      <c r="AA210" s="25"/>
      <c r="AH210" s="5"/>
      <c r="AI210" s="5"/>
      <c r="AO210" s="5"/>
    </row>
    <row r="211" spans="10:41" x14ac:dyDescent="0.3">
      <c r="J211" s="9"/>
      <c r="K211" s="16"/>
      <c r="L211" s="16"/>
      <c r="M211" s="16"/>
      <c r="N211" s="16"/>
      <c r="O211" s="16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5"/>
      <c r="X211" s="25"/>
      <c r="Y211" s="25"/>
      <c r="Z211" s="25"/>
      <c r="AA211" s="25"/>
      <c r="AH211" s="5"/>
      <c r="AI211" s="5"/>
      <c r="AO211" s="5"/>
    </row>
    <row r="212" spans="10:41" x14ac:dyDescent="0.3">
      <c r="J212" s="25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5"/>
      <c r="X212" s="25"/>
      <c r="Y212" s="25"/>
      <c r="Z212" s="25"/>
      <c r="AA212" s="25"/>
      <c r="AH212" s="5"/>
      <c r="AI212" s="5"/>
      <c r="AO212" s="5"/>
    </row>
    <row r="213" spans="10:41" x14ac:dyDescent="0.3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5"/>
      <c r="X213" s="25"/>
      <c r="Y213" s="25"/>
      <c r="Z213" s="25"/>
      <c r="AA213" s="25"/>
      <c r="AH213" s="5"/>
      <c r="AI213" s="5"/>
      <c r="AO213" s="5"/>
    </row>
    <row r="214" spans="10:41" x14ac:dyDescent="0.3">
      <c r="J214" s="25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5"/>
      <c r="X214" s="25"/>
      <c r="Y214" s="25"/>
      <c r="Z214" s="25"/>
      <c r="AA214" s="25"/>
      <c r="AH214" s="5"/>
      <c r="AI214" s="5"/>
      <c r="AO214" s="5"/>
    </row>
    <row r="215" spans="10:41" x14ac:dyDescent="0.3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5"/>
      <c r="X215" s="25"/>
      <c r="Y215" s="25"/>
      <c r="Z215" s="25"/>
      <c r="AA215" s="25"/>
      <c r="AH215" s="5"/>
      <c r="AI215" s="5"/>
      <c r="AO215" s="5"/>
    </row>
    <row r="216" spans="10:41" x14ac:dyDescent="0.3">
      <c r="J216" s="25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5"/>
      <c r="X216" s="25"/>
      <c r="Y216" s="25"/>
      <c r="Z216" s="25"/>
      <c r="AA216" s="25"/>
      <c r="AH216" s="5"/>
      <c r="AI216" s="5"/>
      <c r="AO216" s="5"/>
    </row>
    <row r="217" spans="10:41" x14ac:dyDescent="0.3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5"/>
      <c r="X217" s="25"/>
      <c r="Y217" s="25"/>
      <c r="Z217" s="25"/>
      <c r="AA217" s="25"/>
      <c r="AH217" s="5"/>
      <c r="AI217" s="5"/>
      <c r="AO217" s="5"/>
    </row>
    <row r="218" spans="10:41" x14ac:dyDescent="0.3">
      <c r="J218" s="25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5"/>
      <c r="X218" s="25"/>
      <c r="Y218" s="25"/>
      <c r="Z218" s="25"/>
      <c r="AA218" s="25"/>
      <c r="AH218" s="5"/>
      <c r="AI218" s="5"/>
      <c r="AO218" s="5"/>
    </row>
    <row r="219" spans="10:41" x14ac:dyDescent="0.3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5"/>
      <c r="X219" s="25"/>
      <c r="Y219" s="25"/>
      <c r="Z219" s="25"/>
      <c r="AA219" s="25"/>
      <c r="AH219" s="5"/>
      <c r="AI219" s="5"/>
      <c r="AO219" s="5"/>
    </row>
    <row r="220" spans="10:41" x14ac:dyDescent="0.3">
      <c r="J220" s="25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5"/>
      <c r="X220" s="25"/>
      <c r="Y220" s="25"/>
      <c r="Z220" s="25"/>
      <c r="AA220" s="25"/>
      <c r="AH220" s="5"/>
      <c r="AI220" s="5"/>
      <c r="AO220" s="5"/>
    </row>
    <row r="221" spans="10:41" x14ac:dyDescent="0.3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5"/>
      <c r="X221" s="25"/>
      <c r="Y221" s="25"/>
      <c r="Z221" s="25"/>
      <c r="AA221" s="25"/>
      <c r="AH221" s="5"/>
      <c r="AI221" s="5"/>
      <c r="AO221" s="5"/>
    </row>
    <row r="222" spans="10:41" x14ac:dyDescent="0.3">
      <c r="J222" s="25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5"/>
      <c r="X222" s="25"/>
      <c r="Y222" s="25"/>
      <c r="Z222" s="25"/>
      <c r="AA222" s="25"/>
      <c r="AH222" s="5"/>
      <c r="AI222" s="5"/>
      <c r="AO222" s="5"/>
    </row>
    <row r="223" spans="10:41" x14ac:dyDescent="0.3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5"/>
      <c r="X223" s="25"/>
      <c r="Y223" s="25"/>
      <c r="Z223" s="25"/>
      <c r="AA223" s="25"/>
      <c r="AH223" s="5"/>
      <c r="AI223" s="5"/>
      <c r="AO223" s="5"/>
    </row>
    <row r="224" spans="10:41" x14ac:dyDescent="0.3">
      <c r="J224" s="25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5"/>
      <c r="X224" s="25"/>
      <c r="Y224" s="25"/>
      <c r="Z224" s="25"/>
      <c r="AA224" s="25"/>
      <c r="AH224" s="5"/>
      <c r="AI224" s="5"/>
      <c r="AO224" s="5"/>
    </row>
    <row r="225" spans="10:41" x14ac:dyDescent="0.3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5"/>
      <c r="X225" s="25"/>
      <c r="Y225" s="25"/>
      <c r="Z225" s="25"/>
      <c r="AA225" s="25"/>
      <c r="AH225" s="5"/>
      <c r="AI225" s="5"/>
      <c r="AO225" s="5"/>
    </row>
    <row r="226" spans="10:41" x14ac:dyDescent="0.3">
      <c r="J226" s="25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5"/>
      <c r="X226" s="25"/>
      <c r="Y226" s="25"/>
      <c r="Z226" s="25"/>
      <c r="AA226" s="25"/>
      <c r="AH226" s="5"/>
      <c r="AI226" s="5"/>
      <c r="AO226" s="5"/>
    </row>
    <row r="227" spans="10:41" x14ac:dyDescent="0.3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5"/>
      <c r="X227" s="25"/>
      <c r="Y227" s="25"/>
      <c r="Z227" s="25"/>
      <c r="AA227" s="25"/>
      <c r="AH227" s="5"/>
      <c r="AI227" s="5"/>
      <c r="AO227" s="5"/>
    </row>
    <row r="228" spans="10:41" x14ac:dyDescent="0.3">
      <c r="J228" s="25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5"/>
      <c r="X228" s="25"/>
      <c r="Y228" s="25"/>
      <c r="Z228" s="25"/>
      <c r="AA228" s="25"/>
      <c r="AH228" s="5"/>
      <c r="AI228" s="5"/>
      <c r="AO228" s="5"/>
    </row>
    <row r="229" spans="10:41" x14ac:dyDescent="0.3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5"/>
      <c r="X229" s="25"/>
      <c r="Y229" s="25"/>
      <c r="Z229" s="25"/>
      <c r="AA229" s="25"/>
      <c r="AH229" s="5"/>
      <c r="AI229" s="5"/>
      <c r="AO229" s="5"/>
    </row>
    <row r="230" spans="10:41" x14ac:dyDescent="0.3">
      <c r="J230" s="25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5"/>
      <c r="X230" s="25"/>
      <c r="Y230" s="25"/>
      <c r="Z230" s="25"/>
      <c r="AA230" s="25"/>
      <c r="AH230" s="5"/>
      <c r="AI230" s="5"/>
      <c r="AO230" s="5"/>
    </row>
    <row r="231" spans="10:41" x14ac:dyDescent="0.3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5"/>
      <c r="X231" s="25"/>
      <c r="Y231" s="25"/>
      <c r="Z231" s="25"/>
      <c r="AA231" s="25"/>
      <c r="AH231" s="5"/>
      <c r="AI231" s="5"/>
      <c r="AO231" s="5"/>
    </row>
    <row r="232" spans="10:41" x14ac:dyDescent="0.3">
      <c r="J232" s="25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5"/>
      <c r="X232" s="25"/>
      <c r="Y232" s="25"/>
      <c r="Z232" s="25"/>
      <c r="AA232" s="25"/>
      <c r="AH232" s="5"/>
      <c r="AI232" s="5"/>
      <c r="AO232" s="5"/>
    </row>
    <row r="233" spans="10:41" x14ac:dyDescent="0.3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5"/>
      <c r="X233" s="25"/>
      <c r="Y233" s="25"/>
      <c r="Z233" s="25"/>
      <c r="AA233" s="25"/>
      <c r="AH233" s="5"/>
      <c r="AI233" s="5"/>
      <c r="AO233" s="5"/>
    </row>
    <row r="234" spans="10:41" x14ac:dyDescent="0.3">
      <c r="J234" s="25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5"/>
      <c r="X234" s="25"/>
      <c r="Y234" s="25"/>
      <c r="Z234" s="25"/>
      <c r="AA234" s="25"/>
      <c r="AH234" s="5"/>
      <c r="AI234" s="5"/>
      <c r="AO234" s="5"/>
    </row>
    <row r="235" spans="10:41" x14ac:dyDescent="0.3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5"/>
      <c r="X235" s="25"/>
      <c r="Y235" s="25"/>
      <c r="Z235" s="25"/>
      <c r="AA235" s="25"/>
      <c r="AH235" s="5"/>
      <c r="AI235" s="5"/>
      <c r="AO235" s="5"/>
    </row>
    <row r="236" spans="10:41" x14ac:dyDescent="0.3">
      <c r="J236" s="25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5"/>
      <c r="X236" s="25"/>
      <c r="Y236" s="25"/>
      <c r="Z236" s="25"/>
      <c r="AA236" s="25"/>
      <c r="AH236" s="5"/>
      <c r="AI236" s="5"/>
      <c r="AO236" s="5"/>
    </row>
    <row r="237" spans="10:41" x14ac:dyDescent="0.3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5"/>
      <c r="X237" s="25"/>
      <c r="Y237" s="25"/>
      <c r="Z237" s="25"/>
      <c r="AA237" s="25"/>
      <c r="AH237" s="5"/>
      <c r="AI237" s="5"/>
      <c r="AO237" s="5"/>
    </row>
    <row r="238" spans="10:41" x14ac:dyDescent="0.3">
      <c r="J238" s="25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5"/>
      <c r="X238" s="25"/>
      <c r="Y238" s="25"/>
      <c r="Z238" s="25"/>
      <c r="AA238" s="25"/>
      <c r="AH238" s="5"/>
      <c r="AI238" s="5"/>
      <c r="AO238" s="5"/>
    </row>
    <row r="239" spans="10:41" x14ac:dyDescent="0.3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5"/>
      <c r="X239" s="25"/>
      <c r="Y239" s="25"/>
      <c r="Z239" s="25"/>
      <c r="AA239" s="25"/>
      <c r="AH239" s="5"/>
      <c r="AI239" s="5"/>
      <c r="AO239" s="5"/>
    </row>
    <row r="240" spans="10:41" x14ac:dyDescent="0.3">
      <c r="J240" s="25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5"/>
      <c r="X240" s="25"/>
      <c r="Y240" s="25"/>
      <c r="Z240" s="25"/>
      <c r="AA240" s="25"/>
      <c r="AH240" s="5"/>
      <c r="AI240" s="5"/>
      <c r="AO240" s="5"/>
    </row>
    <row r="241" spans="10:41" x14ac:dyDescent="0.3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5"/>
      <c r="X241" s="25"/>
      <c r="Y241" s="25"/>
      <c r="Z241" s="25"/>
      <c r="AA241" s="25"/>
      <c r="AH241" s="5"/>
      <c r="AI241" s="5"/>
      <c r="AO241" s="5"/>
    </row>
    <row r="242" spans="10:41" x14ac:dyDescent="0.3">
      <c r="J242" s="25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5"/>
      <c r="X242" s="25"/>
      <c r="Y242" s="25"/>
      <c r="Z242" s="25"/>
      <c r="AA242" s="25"/>
      <c r="AH242" s="5"/>
      <c r="AI242" s="5"/>
      <c r="AO242" s="5"/>
    </row>
    <row r="243" spans="10:41" x14ac:dyDescent="0.3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5"/>
      <c r="X243" s="25"/>
      <c r="Y243" s="25"/>
      <c r="Z243" s="25"/>
      <c r="AA243" s="25"/>
      <c r="AH243" s="5"/>
      <c r="AI243" s="5"/>
      <c r="AO243" s="5"/>
    </row>
    <row r="244" spans="10:41" x14ac:dyDescent="0.3">
      <c r="J244" s="25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5"/>
      <c r="X244" s="25"/>
      <c r="Y244" s="25"/>
      <c r="Z244" s="25"/>
      <c r="AA244" s="25"/>
      <c r="AH244" s="5"/>
      <c r="AI244" s="5"/>
      <c r="AO244" s="5"/>
    </row>
    <row r="245" spans="10:41" x14ac:dyDescent="0.3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5"/>
      <c r="X245" s="25"/>
      <c r="Y245" s="25"/>
      <c r="Z245" s="25"/>
      <c r="AA245" s="25"/>
      <c r="AH245" s="5"/>
      <c r="AI245" s="5"/>
      <c r="AO245" s="5"/>
    </row>
    <row r="246" spans="10:41" x14ac:dyDescent="0.3">
      <c r="J246" s="25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5"/>
      <c r="X246" s="25"/>
      <c r="Y246" s="25"/>
      <c r="Z246" s="25"/>
      <c r="AA246" s="25"/>
      <c r="AH246" s="5"/>
      <c r="AI246" s="5"/>
      <c r="AO246" s="5"/>
    </row>
    <row r="247" spans="10:41" x14ac:dyDescent="0.3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5"/>
      <c r="X247" s="25"/>
      <c r="Y247" s="25"/>
      <c r="Z247" s="25"/>
      <c r="AA247" s="25"/>
      <c r="AH247" s="5"/>
      <c r="AI247" s="5"/>
      <c r="AO247" s="5"/>
    </row>
    <row r="248" spans="10:41" x14ac:dyDescent="0.3">
      <c r="J248" s="25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5"/>
      <c r="X248" s="25"/>
      <c r="Y248" s="25"/>
      <c r="Z248" s="25"/>
      <c r="AA248" s="25"/>
      <c r="AH248" s="5"/>
      <c r="AI248" s="5"/>
      <c r="AO248" s="5"/>
    </row>
    <row r="249" spans="10:41" x14ac:dyDescent="0.3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5"/>
      <c r="X249" s="25"/>
      <c r="Y249" s="25"/>
      <c r="Z249" s="25"/>
      <c r="AA249" s="25"/>
      <c r="AH249" s="5"/>
      <c r="AI249" s="5"/>
      <c r="AO249" s="5"/>
    </row>
    <row r="250" spans="10:41" x14ac:dyDescent="0.3">
      <c r="J250" s="25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5"/>
      <c r="X250" s="25"/>
      <c r="Y250" s="25"/>
      <c r="Z250" s="25"/>
      <c r="AA250" s="25"/>
      <c r="AH250" s="5"/>
      <c r="AI250" s="5"/>
      <c r="AO250" s="5"/>
    </row>
    <row r="251" spans="10:41" x14ac:dyDescent="0.3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5"/>
      <c r="X251" s="25"/>
      <c r="Y251" s="25"/>
      <c r="Z251" s="25"/>
      <c r="AA251" s="25"/>
      <c r="AH251" s="5"/>
      <c r="AI251" s="5"/>
      <c r="AO251" s="5"/>
    </row>
    <row r="252" spans="10:41" x14ac:dyDescent="0.3">
      <c r="J252" s="25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5"/>
      <c r="X252" s="25"/>
      <c r="Y252" s="25"/>
      <c r="Z252" s="25"/>
      <c r="AA252" s="25"/>
      <c r="AH252" s="5"/>
      <c r="AI252" s="5"/>
      <c r="AO252" s="5"/>
    </row>
    <row r="253" spans="10:41" x14ac:dyDescent="0.3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5"/>
      <c r="X253" s="25"/>
      <c r="Y253" s="25"/>
      <c r="Z253" s="25"/>
      <c r="AA253" s="25"/>
      <c r="AH253" s="5"/>
      <c r="AI253" s="5"/>
      <c r="AO253" s="5"/>
    </row>
    <row r="254" spans="10:41" x14ac:dyDescent="0.3">
      <c r="J254" s="25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5"/>
      <c r="X254" s="25"/>
      <c r="Y254" s="25"/>
      <c r="Z254" s="25"/>
      <c r="AA254" s="25"/>
      <c r="AH254" s="5"/>
      <c r="AI254" s="5"/>
      <c r="AO254" s="5"/>
    </row>
    <row r="255" spans="10:41" x14ac:dyDescent="0.3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5"/>
      <c r="X255" s="25"/>
      <c r="Y255" s="25"/>
      <c r="Z255" s="25"/>
      <c r="AA255" s="25"/>
      <c r="AH255" s="5"/>
      <c r="AI255" s="5"/>
      <c r="AO255" s="5"/>
    </row>
    <row r="256" spans="10:41" x14ac:dyDescent="0.3">
      <c r="J256" s="25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5"/>
      <c r="X256" s="25"/>
      <c r="Y256" s="25"/>
      <c r="Z256" s="25"/>
      <c r="AA256" s="25"/>
      <c r="AH256" s="5"/>
      <c r="AI256" s="5"/>
      <c r="AO256" s="5"/>
    </row>
    <row r="257" spans="10:41" x14ac:dyDescent="0.3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5"/>
      <c r="X257" s="25"/>
      <c r="Y257" s="25"/>
      <c r="Z257" s="25"/>
      <c r="AA257" s="25"/>
      <c r="AH257" s="5"/>
      <c r="AI257" s="5"/>
      <c r="AO257" s="5"/>
    </row>
    <row r="258" spans="10:41" x14ac:dyDescent="0.3">
      <c r="J258" s="25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5"/>
      <c r="X258" s="25"/>
      <c r="Y258" s="25"/>
      <c r="Z258" s="25"/>
      <c r="AA258" s="25"/>
      <c r="AH258" s="5"/>
      <c r="AI258" s="5"/>
      <c r="AO258" s="5"/>
    </row>
    <row r="259" spans="10:41" x14ac:dyDescent="0.3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5"/>
      <c r="X259" s="25"/>
      <c r="Y259" s="25"/>
      <c r="Z259" s="25"/>
      <c r="AA259" s="25"/>
      <c r="AH259" s="5"/>
      <c r="AI259" s="5"/>
      <c r="AO259" s="5"/>
    </row>
    <row r="260" spans="10:41" x14ac:dyDescent="0.3">
      <c r="J260" s="25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5"/>
      <c r="X260" s="25"/>
      <c r="Y260" s="25"/>
      <c r="Z260" s="25"/>
      <c r="AA260" s="25"/>
      <c r="AH260" s="5"/>
      <c r="AI260" s="5"/>
      <c r="AO260" s="5"/>
    </row>
    <row r="261" spans="10:41" x14ac:dyDescent="0.3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5"/>
      <c r="X261" s="25"/>
      <c r="Y261" s="25"/>
      <c r="Z261" s="25"/>
      <c r="AA261" s="25"/>
      <c r="AH261" s="5"/>
      <c r="AI261" s="5"/>
      <c r="AO261" s="5"/>
    </row>
    <row r="262" spans="10:41" x14ac:dyDescent="0.3">
      <c r="J262" s="25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5"/>
      <c r="X262" s="25"/>
      <c r="Y262" s="25"/>
      <c r="Z262" s="25"/>
      <c r="AA262" s="25"/>
      <c r="AH262" s="5"/>
      <c r="AI262" s="5"/>
      <c r="AO262" s="5"/>
    </row>
    <row r="263" spans="10:41" x14ac:dyDescent="0.3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5"/>
      <c r="X263" s="25"/>
      <c r="Y263" s="25"/>
      <c r="Z263" s="25"/>
      <c r="AA263" s="25"/>
      <c r="AH263" s="5"/>
      <c r="AI263" s="5"/>
      <c r="AO263" s="5"/>
    </row>
    <row r="264" spans="10:41" x14ac:dyDescent="0.3">
      <c r="J264" s="25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5"/>
      <c r="X264" s="25"/>
      <c r="Y264" s="25"/>
      <c r="Z264" s="25"/>
      <c r="AA264" s="25"/>
      <c r="AH264" s="5"/>
      <c r="AI264" s="5"/>
      <c r="AO264" s="5"/>
    </row>
    <row r="265" spans="10:41" x14ac:dyDescent="0.3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5"/>
      <c r="X265" s="25"/>
      <c r="Y265" s="25"/>
      <c r="Z265" s="25"/>
      <c r="AA265" s="25"/>
      <c r="AH265" s="5"/>
      <c r="AI265" s="5"/>
      <c r="AO265" s="5"/>
    </row>
    <row r="266" spans="10:41" x14ac:dyDescent="0.3">
      <c r="J266" s="25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5"/>
      <c r="X266" s="25"/>
      <c r="Y266" s="25"/>
      <c r="Z266" s="25"/>
      <c r="AA266" s="25"/>
      <c r="AH266" s="5"/>
      <c r="AI266" s="5"/>
      <c r="AO266" s="5"/>
    </row>
    <row r="267" spans="10:41" x14ac:dyDescent="0.3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5"/>
      <c r="X267" s="25"/>
      <c r="Y267" s="25"/>
      <c r="Z267" s="25"/>
      <c r="AA267" s="25"/>
      <c r="AH267" s="5"/>
      <c r="AI267" s="5"/>
      <c r="AO267" s="5"/>
    </row>
    <row r="268" spans="10:41" x14ac:dyDescent="0.3">
      <c r="J268" s="25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5"/>
      <c r="X268" s="25"/>
      <c r="Y268" s="25"/>
      <c r="Z268" s="25"/>
      <c r="AA268" s="25"/>
      <c r="AH268" s="5"/>
      <c r="AI268" s="5"/>
      <c r="AO268" s="5"/>
    </row>
    <row r="269" spans="10:41" x14ac:dyDescent="0.3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5"/>
      <c r="X269" s="25"/>
      <c r="Y269" s="25"/>
      <c r="Z269" s="25"/>
      <c r="AA269" s="25"/>
      <c r="AH269" s="5"/>
      <c r="AI269" s="5"/>
      <c r="AO269" s="5"/>
    </row>
    <row r="270" spans="10:41" x14ac:dyDescent="0.3">
      <c r="J270" s="25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5"/>
      <c r="X270" s="25"/>
      <c r="Y270" s="25"/>
      <c r="Z270" s="25"/>
      <c r="AA270" s="25"/>
      <c r="AH270" s="5"/>
      <c r="AI270" s="5"/>
      <c r="AO270" s="5"/>
    </row>
    <row r="271" spans="10:41" x14ac:dyDescent="0.3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5"/>
      <c r="X271" s="25"/>
      <c r="Y271" s="25"/>
      <c r="Z271" s="25"/>
      <c r="AA271" s="25"/>
      <c r="AH271" s="5"/>
      <c r="AI271" s="5"/>
      <c r="AO271" s="5"/>
    </row>
    <row r="272" spans="10:41" x14ac:dyDescent="0.3">
      <c r="J272" s="25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5"/>
      <c r="X272" s="25"/>
      <c r="Y272" s="25"/>
      <c r="Z272" s="25"/>
      <c r="AA272" s="25"/>
      <c r="AH272" s="5"/>
      <c r="AI272" s="5"/>
      <c r="AO272" s="5"/>
    </row>
    <row r="273" spans="10:41" x14ac:dyDescent="0.3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5"/>
      <c r="X273" s="25"/>
      <c r="Y273" s="25"/>
      <c r="Z273" s="25"/>
      <c r="AA273" s="25"/>
      <c r="AH273" s="5"/>
      <c r="AI273" s="5"/>
      <c r="AO273" s="5"/>
    </row>
    <row r="274" spans="10:41" x14ac:dyDescent="0.3">
      <c r="J274" s="25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5"/>
      <c r="X274" s="25"/>
      <c r="Y274" s="25"/>
      <c r="Z274" s="25"/>
      <c r="AA274" s="25"/>
      <c r="AH274" s="5"/>
      <c r="AI274" s="5"/>
      <c r="AO274" s="5"/>
    </row>
    <row r="275" spans="10:41" x14ac:dyDescent="0.3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5"/>
      <c r="X275" s="25"/>
      <c r="Y275" s="25"/>
      <c r="Z275" s="25"/>
      <c r="AA275" s="25"/>
      <c r="AH275" s="5"/>
      <c r="AI275" s="5"/>
      <c r="AO275" s="5"/>
    </row>
    <row r="276" spans="10:41" x14ac:dyDescent="0.3">
      <c r="J276" s="25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5"/>
      <c r="X276" s="25"/>
      <c r="Y276" s="25"/>
      <c r="Z276" s="25"/>
      <c r="AA276" s="25"/>
      <c r="AH276" s="5"/>
      <c r="AI276" s="5"/>
      <c r="AO276" s="5"/>
    </row>
    <row r="277" spans="10:41" x14ac:dyDescent="0.3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5"/>
      <c r="X277" s="25"/>
      <c r="Y277" s="25"/>
      <c r="Z277" s="25"/>
      <c r="AA277" s="25"/>
      <c r="AH277" s="5"/>
      <c r="AI277" s="5"/>
      <c r="AO277" s="5"/>
    </row>
    <row r="278" spans="10:41" x14ac:dyDescent="0.3">
      <c r="J278" s="25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5"/>
      <c r="X278" s="25"/>
      <c r="Y278" s="25"/>
      <c r="Z278" s="25"/>
      <c r="AA278" s="25"/>
      <c r="AH278" s="5"/>
      <c r="AI278" s="5"/>
      <c r="AO278" s="5"/>
    </row>
    <row r="279" spans="10:41" x14ac:dyDescent="0.3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5"/>
      <c r="X279" s="25"/>
      <c r="Y279" s="25"/>
      <c r="Z279" s="25"/>
      <c r="AA279" s="25"/>
      <c r="AH279" s="5"/>
      <c r="AI279" s="5"/>
      <c r="AO279" s="5"/>
    </row>
    <row r="280" spans="10:41" x14ac:dyDescent="0.3">
      <c r="J280" s="25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5"/>
      <c r="X280" s="25"/>
      <c r="Y280" s="25"/>
      <c r="Z280" s="25"/>
      <c r="AA280" s="25"/>
      <c r="AH280" s="5"/>
      <c r="AI280" s="5"/>
      <c r="AO280" s="5"/>
    </row>
    <row r="281" spans="10:41" x14ac:dyDescent="0.3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5"/>
      <c r="X281" s="25"/>
      <c r="Y281" s="25"/>
      <c r="Z281" s="25"/>
      <c r="AA281" s="25"/>
      <c r="AH281" s="5"/>
      <c r="AI281" s="5"/>
      <c r="AO281" s="5"/>
    </row>
    <row r="282" spans="10:41" x14ac:dyDescent="0.3">
      <c r="J282" s="25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5"/>
      <c r="X282" s="25"/>
      <c r="Y282" s="25"/>
      <c r="Z282" s="25"/>
      <c r="AA282" s="25"/>
      <c r="AH282" s="5"/>
      <c r="AI282" s="5"/>
      <c r="AO282" s="5"/>
    </row>
    <row r="283" spans="10:41" x14ac:dyDescent="0.3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5"/>
      <c r="X283" s="25"/>
      <c r="Y283" s="25"/>
      <c r="Z283" s="25"/>
      <c r="AA283" s="25"/>
      <c r="AH283" s="5"/>
      <c r="AI283" s="5"/>
      <c r="AO283" s="5"/>
    </row>
    <row r="284" spans="10:41" x14ac:dyDescent="0.3">
      <c r="J284" s="25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5"/>
      <c r="X284" s="25"/>
      <c r="Y284" s="25"/>
      <c r="Z284" s="25"/>
      <c r="AA284" s="25"/>
      <c r="AH284" s="5"/>
      <c r="AI284" s="5"/>
      <c r="AO284" s="5"/>
    </row>
    <row r="285" spans="10:41" x14ac:dyDescent="0.3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5"/>
      <c r="X285" s="25"/>
      <c r="Y285" s="25"/>
      <c r="Z285" s="25"/>
      <c r="AA285" s="25"/>
      <c r="AH285" s="5"/>
      <c r="AI285" s="5"/>
      <c r="AO285" s="5"/>
    </row>
    <row r="286" spans="10:41" x14ac:dyDescent="0.3">
      <c r="J286" s="25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5"/>
      <c r="X286" s="25"/>
      <c r="Y286" s="25"/>
      <c r="Z286" s="25"/>
      <c r="AA286" s="25"/>
      <c r="AH286" s="5"/>
      <c r="AI286" s="5"/>
      <c r="AO286" s="5"/>
    </row>
    <row r="287" spans="10:41" x14ac:dyDescent="0.3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5"/>
      <c r="X287" s="25"/>
      <c r="Y287" s="25"/>
      <c r="Z287" s="25"/>
      <c r="AA287" s="25"/>
      <c r="AH287" s="5"/>
      <c r="AI287" s="5"/>
      <c r="AO287" s="5"/>
    </row>
    <row r="288" spans="10:41" x14ac:dyDescent="0.3">
      <c r="J288" s="25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5"/>
      <c r="X288" s="25"/>
      <c r="Y288" s="25"/>
      <c r="Z288" s="25"/>
      <c r="AA288" s="25"/>
      <c r="AH288" s="5"/>
      <c r="AI288" s="5"/>
      <c r="AO288" s="5"/>
    </row>
    <row r="289" spans="10:41" x14ac:dyDescent="0.3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5"/>
      <c r="X289" s="25"/>
      <c r="Y289" s="25"/>
      <c r="Z289" s="25"/>
      <c r="AA289" s="25"/>
      <c r="AH289" s="5"/>
      <c r="AI289" s="5"/>
      <c r="AO289" s="5"/>
    </row>
    <row r="290" spans="10:41" x14ac:dyDescent="0.3">
      <c r="J290" s="25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5"/>
      <c r="X290" s="25"/>
      <c r="Y290" s="25"/>
      <c r="Z290" s="25"/>
      <c r="AA290" s="25"/>
      <c r="AH290" s="5"/>
      <c r="AI290" s="5"/>
      <c r="AO290" s="5"/>
    </row>
    <row r="291" spans="10:41" x14ac:dyDescent="0.3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5"/>
      <c r="X291" s="25"/>
      <c r="Y291" s="25"/>
      <c r="Z291" s="25"/>
      <c r="AA291" s="25"/>
      <c r="AH291" s="5"/>
      <c r="AI291" s="5"/>
      <c r="AO291" s="5"/>
    </row>
    <row r="292" spans="10:41" x14ac:dyDescent="0.3">
      <c r="J292" s="25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5"/>
      <c r="X292" s="25"/>
      <c r="Y292" s="25"/>
      <c r="Z292" s="25"/>
      <c r="AA292" s="25"/>
      <c r="AH292" s="5"/>
      <c r="AI292" s="5"/>
      <c r="AO292" s="5"/>
    </row>
    <row r="293" spans="10:41" x14ac:dyDescent="0.3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5"/>
      <c r="X293" s="25"/>
      <c r="Y293" s="25"/>
      <c r="Z293" s="25"/>
      <c r="AA293" s="25"/>
      <c r="AH293" s="5"/>
      <c r="AI293" s="5"/>
      <c r="AO293" s="5"/>
    </row>
    <row r="294" spans="10:41" x14ac:dyDescent="0.3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5"/>
      <c r="X294" s="25"/>
      <c r="Y294" s="25"/>
      <c r="Z294" s="25"/>
      <c r="AA294" s="25"/>
      <c r="AH294" s="5"/>
      <c r="AI294" s="5"/>
      <c r="AO294" s="5"/>
    </row>
    <row r="295" spans="10:41" x14ac:dyDescent="0.3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5"/>
      <c r="X295" s="25"/>
      <c r="Y295" s="25"/>
      <c r="Z295" s="25"/>
      <c r="AA295" s="25"/>
      <c r="AH295" s="5"/>
      <c r="AI295" s="5"/>
      <c r="AO295" s="5"/>
    </row>
    <row r="296" spans="10:41" x14ac:dyDescent="0.3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5"/>
      <c r="X296" s="25"/>
      <c r="Y296" s="25"/>
      <c r="Z296" s="25"/>
      <c r="AA296" s="25"/>
      <c r="AH296" s="5"/>
      <c r="AI296" s="5"/>
      <c r="AO296" s="5"/>
    </row>
    <row r="297" spans="10:41" x14ac:dyDescent="0.3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5"/>
      <c r="X297" s="25"/>
      <c r="Y297" s="25"/>
      <c r="Z297" s="25"/>
      <c r="AA297" s="25"/>
      <c r="AH297" s="5"/>
      <c r="AI297" s="5"/>
      <c r="AO297" s="5"/>
    </row>
    <row r="298" spans="10:41" x14ac:dyDescent="0.3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5"/>
      <c r="X298" s="25"/>
      <c r="Y298" s="25"/>
      <c r="Z298" s="25"/>
      <c r="AA298" s="25"/>
      <c r="AH298" s="5"/>
      <c r="AI298" s="5"/>
      <c r="AO298" s="5"/>
    </row>
    <row r="299" spans="10:41" x14ac:dyDescent="0.3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5"/>
      <c r="X299" s="25"/>
      <c r="Y299" s="25"/>
      <c r="Z299" s="25"/>
      <c r="AA299" s="25"/>
      <c r="AH299" s="5"/>
      <c r="AI299" s="5"/>
      <c r="AO299" s="5"/>
    </row>
    <row r="300" spans="10:41" x14ac:dyDescent="0.3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5"/>
      <c r="X300" s="25"/>
      <c r="Y300" s="25"/>
      <c r="Z300" s="25"/>
      <c r="AA300" s="25"/>
      <c r="AH300" s="5"/>
      <c r="AI300" s="5"/>
      <c r="AO300" s="5"/>
    </row>
    <row r="301" spans="10:41" x14ac:dyDescent="0.3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5"/>
      <c r="X301" s="25"/>
      <c r="Y301" s="25"/>
      <c r="Z301" s="25"/>
      <c r="AA301" s="25"/>
      <c r="AH301" s="5"/>
      <c r="AI301" s="5"/>
      <c r="AO301" s="5"/>
    </row>
    <row r="302" spans="10:41" x14ac:dyDescent="0.3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5"/>
      <c r="X302" s="25"/>
      <c r="Y302" s="25"/>
      <c r="Z302" s="25"/>
      <c r="AA302" s="25"/>
      <c r="AH302" s="5"/>
      <c r="AI302" s="5"/>
      <c r="AO302" s="5"/>
    </row>
    <row r="303" spans="10:41" x14ac:dyDescent="0.3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5"/>
      <c r="X303" s="25"/>
      <c r="Y303" s="25"/>
      <c r="Z303" s="25"/>
      <c r="AA303" s="25"/>
      <c r="AH303" s="5"/>
      <c r="AI303" s="5"/>
      <c r="AO303" s="5"/>
    </row>
    <row r="304" spans="10:41" x14ac:dyDescent="0.3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5"/>
      <c r="X304" s="25"/>
      <c r="Y304" s="25"/>
      <c r="Z304" s="25"/>
      <c r="AA304" s="25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W5:AA304 X4:AA4">
    <cfRule type="expression" dxfId="91" priority="42">
      <formula>_xlfn.LET(_xlpm.x, W4, AND(NOT(_xlfn.ISFORMULA(_xlpm.x)), _xlpm.x&lt;&gt;""))</formula>
    </cfRule>
  </conditionalFormatting>
  <conditionalFormatting sqref="W4:AA203">
    <cfRule type="expression" dxfId="90" priority="37">
      <formula>_xlfn.LET(_xlpm.x, W4, AND(NOT(_xlfn.ISFORMULA(_xlpm.x)), _xlpm.x&lt;&gt;""))</formula>
    </cfRule>
  </conditionalFormatting>
  <conditionalFormatting sqref="K1:O1048576">
    <cfRule type="cellIs" dxfId="89" priority="29" operator="equal">
      <formula>"C1"</formula>
    </cfRule>
    <cfRule type="cellIs" dxfId="88" priority="30" operator="between">
      <formula>"G1"</formula>
      <formula>"G5"</formula>
    </cfRule>
    <cfRule type="cellIs" dxfId="87" priority="32" operator="between">
      <formula>"M1"</formula>
      <formula>"M5"</formula>
    </cfRule>
  </conditionalFormatting>
  <conditionalFormatting sqref="D52:D54">
    <cfRule type="cellIs" dxfId="86" priority="10" operator="equal">
      <formula>"C1"</formula>
    </cfRule>
    <cfRule type="cellIs" dxfId="85" priority="11" operator="between">
      <formula>"G1"</formula>
      <formula>"G4"</formula>
    </cfRule>
    <cfRule type="cellIs" dxfId="84" priority="12" operator="between">
      <formula>"GA"</formula>
      <formula>"GQ"</formula>
    </cfRule>
    <cfRule type="cellIs" dxfId="83" priority="13" operator="between">
      <formula>"M1"</formula>
      <formula>"M4"</formula>
    </cfRule>
  </conditionalFormatting>
  <conditionalFormatting sqref="E52:E54">
    <cfRule type="cellIs" dxfId="82" priority="6" operator="equal">
      <formula>"C1"</formula>
    </cfRule>
    <cfRule type="cellIs" dxfId="81" priority="7" operator="between">
      <formula>"G1"</formula>
      <formula>"G4"</formula>
    </cfRule>
    <cfRule type="cellIs" dxfId="80" priority="8" operator="between">
      <formula>"GA"</formula>
      <formula>"GQ"</formula>
    </cfRule>
    <cfRule type="cellIs" dxfId="79" priority="9" operator="between">
      <formula>"M1"</formula>
      <formula>"M4"</formula>
    </cfRule>
  </conditionalFormatting>
  <conditionalFormatting sqref="F52:F54">
    <cfRule type="cellIs" dxfId="78" priority="2" operator="equal">
      <formula>"C1"</formula>
    </cfRule>
    <cfRule type="cellIs" dxfId="77" priority="3" operator="between">
      <formula>"G1"</formula>
      <formula>"G4"</formula>
    </cfRule>
    <cfRule type="cellIs" dxfId="76" priority="4" operator="between">
      <formula>"GA"</formula>
      <formula>"GQ"</formula>
    </cfRule>
    <cfRule type="cellIs" dxfId="75" priority="5" operator="between">
      <formula>"M1"</formula>
      <formula>"M4"</formula>
    </cfRule>
  </conditionalFormatting>
  <conditionalFormatting sqref="C28:G28 D27:G27 C31:G46 C29:C30 G29:G3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{DF92903A-1506-41C5-BF4F-D8F252C54B09}</x14:id>
        </ext>
      </extLst>
    </cfRule>
  </conditionalFormatting>
  <conditionalFormatting sqref="D29:F3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{31AA54AA-4DBD-43DA-A742-F7B1BB0B4D18}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92903A-1506-41C5-BF4F-D8F252C54B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31AA54AA-4DBD-43DA-A742-F7B1BB0B4D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31" operator="containsText" id="{44943C3D-9A38-463F-A154-1F9B83B1F610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5786-5157-4066-8E0C-E607D495D9F5}">
  <sheetPr codeName="工作表10">
    <tabColor theme="3" tint="0.59999389629810485"/>
  </sheetPr>
  <dimension ref="A1:AO305"/>
  <sheetViews>
    <sheetView workbookViewId="0"/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I1" s="5"/>
    </row>
    <row r="2" spans="1:41" ht="15.9" customHeight="1" x14ac:dyDescent="0.3">
      <c r="I2" s="15"/>
      <c r="J2" s="27" t="s">
        <v>133</v>
      </c>
      <c r="Q2" s="27" t="s">
        <v>134</v>
      </c>
      <c r="W2" s="27" t="s">
        <v>135</v>
      </c>
      <c r="AC2" s="27" t="s">
        <v>147</v>
      </c>
      <c r="AH2" s="5"/>
      <c r="AI2" s="5"/>
      <c r="AJ2" s="27" t="s">
        <v>111</v>
      </c>
      <c r="AO2" s="5"/>
    </row>
    <row r="3" spans="1:41" ht="15.9" customHeight="1" x14ac:dyDescent="0.3">
      <c r="A3" s="20" t="s">
        <v>5</v>
      </c>
      <c r="B3" s="20" t="s">
        <v>12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20" t="s">
        <v>11</v>
      </c>
      <c r="I3" s="15"/>
      <c r="J3" s="20"/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Q3" s="20" t="s">
        <v>13</v>
      </c>
      <c r="R3" s="20" t="s">
        <v>14</v>
      </c>
      <c r="S3" s="20" t="s">
        <v>15</v>
      </c>
      <c r="T3" s="20" t="s">
        <v>16</v>
      </c>
      <c r="U3" s="20" t="s">
        <v>17</v>
      </c>
      <c r="W3" s="20" t="s">
        <v>6</v>
      </c>
      <c r="X3" s="20" t="s">
        <v>14</v>
      </c>
      <c r="Y3" s="20" t="s">
        <v>15</v>
      </c>
      <c r="Z3" s="20" t="s">
        <v>16</v>
      </c>
      <c r="AA3" s="20" t="s">
        <v>17</v>
      </c>
      <c r="AO3" s="5"/>
    </row>
    <row r="4" spans="1:41" ht="15.9" customHeight="1" x14ac:dyDescent="0.3">
      <c r="A4" s="29" t="str" cm="1">
        <f t="array" ref="A4:B23">Overview!A38:B57</f>
        <v>WW</v>
      </c>
      <c r="B4" s="8" t="str">
        <v>Wild</v>
      </c>
      <c r="C4" s="99">
        <f t="shared" ref="C4:G23" si="0">COUNTIF(K:K, $A4)</f>
        <v>0</v>
      </c>
      <c r="D4" s="99">
        <f t="shared" si="0"/>
        <v>0</v>
      </c>
      <c r="E4" s="99">
        <f t="shared" si="0"/>
        <v>0</v>
      </c>
      <c r="F4" s="99">
        <f t="shared" si="0"/>
        <v>0</v>
      </c>
      <c r="G4" s="99">
        <f t="shared" si="0"/>
        <v>0</v>
      </c>
      <c r="H4" s="8" cm="1">
        <f t="array" ref="H4:H23">Overview!F38:F57</f>
        <v>0</v>
      </c>
      <c r="I4" s="87"/>
      <c r="J4" s="25" cm="1">
        <f t="array" ref="J4:J203">_xlfn.SEQUENCE(MAX(COUNTA(K:K), COUNTA(L:L), COUNTA(M:M), COUNTA(N:N), COUNTA(O:O))-1,,0)</f>
        <v>0</v>
      </c>
      <c r="K4" s="26" t="s">
        <v>37</v>
      </c>
      <c r="L4" s="26" t="s">
        <v>125</v>
      </c>
      <c r="M4" s="26" t="s">
        <v>91</v>
      </c>
      <c r="N4" s="26" t="s">
        <v>125</v>
      </c>
      <c r="O4" s="26" t="s">
        <v>37</v>
      </c>
      <c r="Q4" s="25" cm="1">
        <f t="array" ref="Q4:U304">_xlfn.LET(_xlpm.x, K4:O304, IF(_xlpm.x="", "", _xlfn.XLOOKUP(_xlpm.x, $A$4:$A$23,_xlfn.ANCHORARRAY( H4))))</f>
        <v>7</v>
      </c>
      <c r="R4" s="25">
        <v>6</v>
      </c>
      <c r="S4" s="25">
        <v>14</v>
      </c>
      <c r="T4" s="25">
        <v>6</v>
      </c>
      <c r="U4" s="25">
        <v>7</v>
      </c>
      <c r="W4" s="25">
        <v>1</v>
      </c>
      <c r="X4" s="25">
        <v>1</v>
      </c>
      <c r="Y4" s="25">
        <v>1</v>
      </c>
      <c r="Z4" s="25">
        <v>1</v>
      </c>
      <c r="AA4" s="25">
        <v>1</v>
      </c>
      <c r="AB4" s="43"/>
      <c r="AC4" s="27" t="s">
        <v>131</v>
      </c>
      <c r="AH4" s="5"/>
      <c r="AI4" s="5"/>
      <c r="AJ4" s="27" t="s">
        <v>131</v>
      </c>
      <c r="AO4" s="5"/>
    </row>
    <row r="5" spans="1:41" ht="15.9" customHeight="1" x14ac:dyDescent="0.3">
      <c r="A5" s="29" t="str">
        <v>C1</v>
      </c>
      <c r="B5" s="8" t="str">
        <v>Scatter</v>
      </c>
      <c r="C5" s="99">
        <f t="shared" si="0"/>
        <v>3</v>
      </c>
      <c r="D5" s="99">
        <f t="shared" si="0"/>
        <v>3</v>
      </c>
      <c r="E5" s="99">
        <f t="shared" si="0"/>
        <v>0</v>
      </c>
      <c r="F5" s="99">
        <f t="shared" si="0"/>
        <v>5</v>
      </c>
      <c r="G5" s="99">
        <f t="shared" si="0"/>
        <v>5</v>
      </c>
      <c r="H5" s="8">
        <v>1</v>
      </c>
      <c r="I5" s="87"/>
      <c r="J5" s="9">
        <v>1</v>
      </c>
      <c r="K5" s="16" t="s">
        <v>125</v>
      </c>
      <c r="L5" s="16" t="s">
        <v>97</v>
      </c>
      <c r="M5" s="16" t="s">
        <v>112</v>
      </c>
      <c r="N5" s="16" t="s">
        <v>19</v>
      </c>
      <c r="O5" s="16" t="s">
        <v>22</v>
      </c>
      <c r="Q5" s="9">
        <v>6</v>
      </c>
      <c r="R5" s="9">
        <v>19</v>
      </c>
      <c r="S5" s="9">
        <v>17</v>
      </c>
      <c r="T5" s="9">
        <v>5</v>
      </c>
      <c r="U5" s="9">
        <v>3</v>
      </c>
      <c r="W5" s="25">
        <v>1</v>
      </c>
      <c r="X5" s="25">
        <v>1</v>
      </c>
      <c r="Y5" s="25">
        <v>1</v>
      </c>
      <c r="Z5" s="25">
        <v>1</v>
      </c>
      <c r="AA5" s="25">
        <v>1</v>
      </c>
      <c r="AC5" s="135" t="s">
        <v>42</v>
      </c>
      <c r="AD5" s="135" t="s">
        <v>13</v>
      </c>
      <c r="AE5" s="135" t="s">
        <v>14</v>
      </c>
      <c r="AF5" s="135" t="s">
        <v>15</v>
      </c>
      <c r="AG5" s="135" t="s">
        <v>16</v>
      </c>
      <c r="AH5" s="135" t="s">
        <v>17</v>
      </c>
      <c r="AI5" s="5"/>
      <c r="AJ5" s="135" t="s">
        <v>42</v>
      </c>
      <c r="AK5" s="135" t="s">
        <v>13</v>
      </c>
      <c r="AL5" s="135" t="s">
        <v>14</v>
      </c>
      <c r="AM5" s="135" t="s">
        <v>15</v>
      </c>
      <c r="AN5" s="135" t="s">
        <v>16</v>
      </c>
      <c r="AO5" s="135" t="s">
        <v>17</v>
      </c>
    </row>
    <row r="6" spans="1:41" ht="15.9" customHeight="1" x14ac:dyDescent="0.3">
      <c r="A6" s="133" t="str">
        <v>M1</v>
      </c>
      <c r="B6" s="112" t="str">
        <v>M1</v>
      </c>
      <c r="C6" s="133">
        <f t="shared" si="0"/>
        <v>3</v>
      </c>
      <c r="D6" s="133">
        <f t="shared" si="0"/>
        <v>10</v>
      </c>
      <c r="E6" s="133">
        <f t="shared" si="0"/>
        <v>0</v>
      </c>
      <c r="F6" s="133">
        <f t="shared" si="0"/>
        <v>3</v>
      </c>
      <c r="G6" s="133">
        <f t="shared" si="0"/>
        <v>9</v>
      </c>
      <c r="H6" s="112">
        <v>2</v>
      </c>
      <c r="I6" s="87"/>
      <c r="J6" s="25">
        <v>2</v>
      </c>
      <c r="K6" s="16" t="s">
        <v>37</v>
      </c>
      <c r="L6" s="16" t="s">
        <v>92</v>
      </c>
      <c r="M6" s="16" t="s">
        <v>91</v>
      </c>
      <c r="N6" s="16" t="s">
        <v>36</v>
      </c>
      <c r="O6" s="16" t="s">
        <v>19</v>
      </c>
      <c r="Q6" s="9">
        <v>7</v>
      </c>
      <c r="R6" s="9">
        <v>16</v>
      </c>
      <c r="S6" s="9">
        <v>14</v>
      </c>
      <c r="T6" s="9">
        <v>10</v>
      </c>
      <c r="U6" s="9">
        <v>5</v>
      </c>
      <c r="W6" s="25">
        <v>1</v>
      </c>
      <c r="X6" s="25">
        <v>1</v>
      </c>
      <c r="Y6" s="25">
        <v>1</v>
      </c>
      <c r="Z6" s="25">
        <v>1</v>
      </c>
      <c r="AA6" s="25">
        <v>1</v>
      </c>
      <c r="AC6" s="138" t="str" cm="1">
        <f t="array" ref="AC6:AC25">$A$4:$A$23</f>
        <v>WW</v>
      </c>
      <c r="AD6" s="139">
        <v>0</v>
      </c>
      <c r="AE6" s="139">
        <v>0</v>
      </c>
      <c r="AF6" s="139">
        <v>0</v>
      </c>
      <c r="AG6" s="139">
        <v>0</v>
      </c>
      <c r="AH6" s="139">
        <v>0</v>
      </c>
      <c r="AI6" s="5"/>
      <c r="AJ6" s="138" t="str" cm="1">
        <f t="array" ref="AJ6:AJ25">$A$4:$A$23</f>
        <v>WW</v>
      </c>
      <c r="AK6" s="139">
        <v>0</v>
      </c>
      <c r="AL6" s="139">
        <v>0</v>
      </c>
      <c r="AM6" s="139">
        <v>0</v>
      </c>
      <c r="AN6" s="139">
        <v>0</v>
      </c>
      <c r="AO6" s="139">
        <v>0</v>
      </c>
    </row>
    <row r="7" spans="1:41" ht="15.9" customHeight="1" x14ac:dyDescent="0.3">
      <c r="A7" s="133" t="str">
        <v>M2</v>
      </c>
      <c r="B7" s="112" t="str">
        <v>M2</v>
      </c>
      <c r="C7" s="133">
        <f t="shared" si="0"/>
        <v>3</v>
      </c>
      <c r="D7" s="133">
        <f t="shared" si="0"/>
        <v>12</v>
      </c>
      <c r="E7" s="133">
        <f t="shared" si="0"/>
        <v>0</v>
      </c>
      <c r="F7" s="133">
        <f t="shared" si="0"/>
        <v>3</v>
      </c>
      <c r="G7" s="133">
        <f t="shared" si="0"/>
        <v>8</v>
      </c>
      <c r="H7" s="112">
        <v>3</v>
      </c>
      <c r="I7" s="87"/>
      <c r="J7" s="9">
        <v>3</v>
      </c>
      <c r="K7" s="16" t="s">
        <v>35</v>
      </c>
      <c r="L7" s="26" t="s">
        <v>125</v>
      </c>
      <c r="M7" s="16" t="s">
        <v>126</v>
      </c>
      <c r="N7" s="16" t="s">
        <v>37</v>
      </c>
      <c r="O7" s="16" t="s">
        <v>125</v>
      </c>
      <c r="Q7" s="9">
        <v>8</v>
      </c>
      <c r="R7" s="9">
        <v>6</v>
      </c>
      <c r="S7" s="9">
        <v>15</v>
      </c>
      <c r="T7" s="9">
        <v>7</v>
      </c>
      <c r="U7" s="9">
        <v>6</v>
      </c>
      <c r="W7" s="25">
        <v>1</v>
      </c>
      <c r="X7" s="25">
        <v>1</v>
      </c>
      <c r="Y7" s="25">
        <v>1</v>
      </c>
      <c r="Z7" s="25">
        <v>1</v>
      </c>
      <c r="AA7" s="25">
        <v>1</v>
      </c>
      <c r="AC7" s="138" t="str">
        <v>C1</v>
      </c>
      <c r="AD7" s="138">
        <v>1</v>
      </c>
      <c r="AE7" s="138">
        <v>1</v>
      </c>
      <c r="AF7" s="138">
        <v>0</v>
      </c>
      <c r="AG7" s="138">
        <v>1</v>
      </c>
      <c r="AH7" s="138">
        <v>1</v>
      </c>
      <c r="AI7" s="5"/>
      <c r="AJ7" s="138" t="str">
        <v>C1</v>
      </c>
      <c r="AK7" s="138">
        <v>1</v>
      </c>
      <c r="AL7" s="138">
        <v>1</v>
      </c>
      <c r="AM7" s="138">
        <v>0</v>
      </c>
      <c r="AN7" s="138">
        <v>1</v>
      </c>
      <c r="AO7" s="138">
        <v>1</v>
      </c>
    </row>
    <row r="8" spans="1:41" ht="15.9" customHeight="1" x14ac:dyDescent="0.3">
      <c r="A8" s="133" t="str">
        <v>M3</v>
      </c>
      <c r="B8" s="112" t="str">
        <v>M3</v>
      </c>
      <c r="C8" s="133">
        <f t="shared" si="0"/>
        <v>7</v>
      </c>
      <c r="D8" s="133">
        <f t="shared" si="0"/>
        <v>13</v>
      </c>
      <c r="E8" s="133">
        <f t="shared" si="0"/>
        <v>0</v>
      </c>
      <c r="F8" s="133">
        <f t="shared" si="0"/>
        <v>7</v>
      </c>
      <c r="G8" s="133">
        <f t="shared" si="0"/>
        <v>14</v>
      </c>
      <c r="H8" s="112">
        <v>4</v>
      </c>
      <c r="I8" s="87"/>
      <c r="J8" s="25">
        <v>4</v>
      </c>
      <c r="K8" s="16" t="s">
        <v>125</v>
      </c>
      <c r="L8" s="16" t="s">
        <v>126</v>
      </c>
      <c r="M8" s="16" t="s">
        <v>92</v>
      </c>
      <c r="N8" s="16" t="s">
        <v>35</v>
      </c>
      <c r="O8" s="16" t="s">
        <v>18</v>
      </c>
      <c r="Q8" s="9">
        <v>6</v>
      </c>
      <c r="R8" s="9">
        <v>15</v>
      </c>
      <c r="S8" s="9">
        <v>16</v>
      </c>
      <c r="T8" s="9">
        <v>8</v>
      </c>
      <c r="U8" s="9">
        <v>4</v>
      </c>
      <c r="W8" s="25">
        <v>1</v>
      </c>
      <c r="X8" s="25">
        <v>1</v>
      </c>
      <c r="Y8" s="25">
        <v>1</v>
      </c>
      <c r="Z8" s="25">
        <v>1</v>
      </c>
      <c r="AA8" s="25">
        <v>1</v>
      </c>
      <c r="AC8" s="154" t="str">
        <v>M1</v>
      </c>
      <c r="AD8" s="133">
        <v>3</v>
      </c>
      <c r="AE8" s="133">
        <v>10</v>
      </c>
      <c r="AF8" s="133">
        <v>0</v>
      </c>
      <c r="AG8" s="133">
        <v>3</v>
      </c>
      <c r="AH8" s="133">
        <v>9</v>
      </c>
      <c r="AI8" s="5"/>
      <c r="AJ8" s="154" t="str">
        <v>M1</v>
      </c>
      <c r="AK8" s="133">
        <v>3</v>
      </c>
      <c r="AL8" s="133">
        <v>10</v>
      </c>
      <c r="AM8" s="133">
        <v>0</v>
      </c>
      <c r="AN8" s="133">
        <v>3</v>
      </c>
      <c r="AO8" s="133">
        <v>9</v>
      </c>
    </row>
    <row r="9" spans="1:41" ht="15.9" customHeight="1" x14ac:dyDescent="0.3">
      <c r="A9" s="133" t="str">
        <v>M4</v>
      </c>
      <c r="B9" s="112" t="str">
        <v>M4</v>
      </c>
      <c r="C9" s="133">
        <f t="shared" si="0"/>
        <v>43</v>
      </c>
      <c r="D9" s="133">
        <f t="shared" si="0"/>
        <v>23</v>
      </c>
      <c r="E9" s="133">
        <f t="shared" si="0"/>
        <v>0</v>
      </c>
      <c r="F9" s="133">
        <f t="shared" si="0"/>
        <v>33</v>
      </c>
      <c r="G9" s="133">
        <f t="shared" si="0"/>
        <v>35</v>
      </c>
      <c r="H9" s="112">
        <v>5</v>
      </c>
      <c r="I9" s="87"/>
      <c r="J9" s="9">
        <v>5</v>
      </c>
      <c r="K9" s="16" t="s">
        <v>20</v>
      </c>
      <c r="L9" s="16" t="s">
        <v>35</v>
      </c>
      <c r="M9" s="16" t="s">
        <v>91</v>
      </c>
      <c r="N9" s="16" t="s">
        <v>126</v>
      </c>
      <c r="O9" s="16" t="s">
        <v>21</v>
      </c>
      <c r="Q9" s="9">
        <v>1</v>
      </c>
      <c r="R9" s="9">
        <v>8</v>
      </c>
      <c r="S9" s="9">
        <v>14</v>
      </c>
      <c r="T9" s="9">
        <v>15</v>
      </c>
      <c r="U9" s="9">
        <v>2</v>
      </c>
      <c r="W9" s="25">
        <v>1</v>
      </c>
      <c r="X9" s="25">
        <v>1</v>
      </c>
      <c r="Y9" s="25">
        <v>1</v>
      </c>
      <c r="Z9" s="25">
        <v>1</v>
      </c>
      <c r="AA9" s="25">
        <v>1</v>
      </c>
      <c r="AC9" s="154" t="str">
        <v>M2</v>
      </c>
      <c r="AD9" s="133">
        <v>3</v>
      </c>
      <c r="AE9" s="133">
        <v>12</v>
      </c>
      <c r="AF9" s="133">
        <v>0</v>
      </c>
      <c r="AG9" s="133">
        <v>3</v>
      </c>
      <c r="AH9" s="133">
        <v>8</v>
      </c>
      <c r="AI9" s="5"/>
      <c r="AJ9" s="154" t="str">
        <v>M2</v>
      </c>
      <c r="AK9" s="133">
        <v>3</v>
      </c>
      <c r="AL9" s="133">
        <v>12</v>
      </c>
      <c r="AM9" s="133">
        <v>0</v>
      </c>
      <c r="AN9" s="133">
        <v>3</v>
      </c>
      <c r="AO9" s="133">
        <v>8</v>
      </c>
    </row>
    <row r="10" spans="1:41" ht="15.9" customHeight="1" x14ac:dyDescent="0.3">
      <c r="A10" s="133" t="str">
        <v>M5</v>
      </c>
      <c r="B10" s="112" t="str">
        <v>M5</v>
      </c>
      <c r="C10" s="133">
        <f t="shared" si="0"/>
        <v>42</v>
      </c>
      <c r="D10" s="133">
        <f t="shared" si="0"/>
        <v>23</v>
      </c>
      <c r="E10" s="133">
        <f t="shared" si="0"/>
        <v>0</v>
      </c>
      <c r="F10" s="133">
        <f t="shared" si="0"/>
        <v>33</v>
      </c>
      <c r="G10" s="133">
        <f t="shared" si="0"/>
        <v>34</v>
      </c>
      <c r="H10" s="112">
        <v>6</v>
      </c>
      <c r="I10" s="87"/>
      <c r="J10" s="25">
        <v>6</v>
      </c>
      <c r="K10" s="16" t="s">
        <v>37</v>
      </c>
      <c r="L10" s="16" t="s">
        <v>21</v>
      </c>
      <c r="M10" s="16" t="s">
        <v>126</v>
      </c>
      <c r="N10" s="16" t="s">
        <v>19</v>
      </c>
      <c r="O10" s="16" t="s">
        <v>35</v>
      </c>
      <c r="Q10" s="9">
        <v>7</v>
      </c>
      <c r="R10" s="9">
        <v>2</v>
      </c>
      <c r="S10" s="9">
        <v>15</v>
      </c>
      <c r="T10" s="9">
        <v>5</v>
      </c>
      <c r="U10" s="9">
        <v>8</v>
      </c>
      <c r="W10" s="25">
        <v>1</v>
      </c>
      <c r="X10" s="25">
        <v>1</v>
      </c>
      <c r="Y10" s="25">
        <v>1</v>
      </c>
      <c r="Z10" s="25">
        <v>1</v>
      </c>
      <c r="AA10" s="25">
        <v>1</v>
      </c>
      <c r="AC10" s="154" t="str">
        <v>M3</v>
      </c>
      <c r="AD10" s="133">
        <v>7</v>
      </c>
      <c r="AE10" s="133">
        <v>13</v>
      </c>
      <c r="AF10" s="133">
        <v>0</v>
      </c>
      <c r="AG10" s="133">
        <v>7</v>
      </c>
      <c r="AH10" s="133">
        <v>14</v>
      </c>
      <c r="AI10" s="5"/>
      <c r="AJ10" s="154" t="str">
        <v>M3</v>
      </c>
      <c r="AK10" s="133">
        <v>7</v>
      </c>
      <c r="AL10" s="133">
        <v>13</v>
      </c>
      <c r="AM10" s="133">
        <v>0</v>
      </c>
      <c r="AN10" s="133">
        <v>7</v>
      </c>
      <c r="AO10" s="133">
        <v>14</v>
      </c>
    </row>
    <row r="11" spans="1:41" ht="15.9" customHeight="1" x14ac:dyDescent="0.3">
      <c r="A11" s="133" t="str">
        <v>A</v>
      </c>
      <c r="B11" s="112" t="str">
        <v>A</v>
      </c>
      <c r="C11" s="133">
        <f t="shared" si="0"/>
        <v>43</v>
      </c>
      <c r="D11" s="133">
        <f t="shared" si="0"/>
        <v>27</v>
      </c>
      <c r="E11" s="133">
        <f t="shared" si="0"/>
        <v>0</v>
      </c>
      <c r="F11" s="133">
        <f t="shared" si="0"/>
        <v>33</v>
      </c>
      <c r="G11" s="133">
        <f t="shared" si="0"/>
        <v>34</v>
      </c>
      <c r="H11" s="112">
        <v>7</v>
      </c>
      <c r="I11" s="87"/>
      <c r="J11" s="9">
        <v>7</v>
      </c>
      <c r="K11" s="16" t="s">
        <v>35</v>
      </c>
      <c r="L11" s="16" t="s">
        <v>91</v>
      </c>
      <c r="M11" s="16" t="s">
        <v>112</v>
      </c>
      <c r="N11" s="16" t="s">
        <v>22</v>
      </c>
      <c r="O11" s="16" t="s">
        <v>37</v>
      </c>
      <c r="Q11" s="9">
        <v>8</v>
      </c>
      <c r="R11" s="9">
        <v>14</v>
      </c>
      <c r="S11" s="9">
        <v>17</v>
      </c>
      <c r="T11" s="9">
        <v>3</v>
      </c>
      <c r="U11" s="9">
        <v>7</v>
      </c>
      <c r="W11" s="25">
        <v>1</v>
      </c>
      <c r="X11" s="25">
        <v>1</v>
      </c>
      <c r="Y11" s="25">
        <v>1</v>
      </c>
      <c r="Z11" s="25">
        <v>1</v>
      </c>
      <c r="AA11" s="25">
        <v>1</v>
      </c>
      <c r="AC11" s="154" t="str">
        <v>M4</v>
      </c>
      <c r="AD11" s="133">
        <v>43</v>
      </c>
      <c r="AE11" s="133">
        <v>23</v>
      </c>
      <c r="AF11" s="133">
        <v>0</v>
      </c>
      <c r="AG11" s="133">
        <v>33</v>
      </c>
      <c r="AH11" s="133">
        <v>35</v>
      </c>
      <c r="AI11" s="5"/>
      <c r="AJ11" s="154" t="str">
        <v>M4</v>
      </c>
      <c r="AK11" s="133">
        <v>43</v>
      </c>
      <c r="AL11" s="133">
        <v>23</v>
      </c>
      <c r="AM11" s="133">
        <v>0</v>
      </c>
      <c r="AN11" s="133">
        <v>33</v>
      </c>
      <c r="AO11" s="133">
        <v>35</v>
      </c>
    </row>
    <row r="12" spans="1:41" ht="15.9" customHeight="1" x14ac:dyDescent="0.3">
      <c r="A12" s="133" t="str">
        <v>K</v>
      </c>
      <c r="B12" s="112" t="str">
        <v>K</v>
      </c>
      <c r="C12" s="133">
        <f t="shared" si="0"/>
        <v>43</v>
      </c>
      <c r="D12" s="133">
        <f t="shared" si="0"/>
        <v>25</v>
      </c>
      <c r="E12" s="133">
        <f t="shared" si="0"/>
        <v>0</v>
      </c>
      <c r="F12" s="133">
        <f t="shared" si="0"/>
        <v>34</v>
      </c>
      <c r="G12" s="133">
        <f t="shared" si="0"/>
        <v>34</v>
      </c>
      <c r="H12" s="112">
        <v>8</v>
      </c>
      <c r="I12" s="87"/>
      <c r="J12" s="25">
        <v>8</v>
      </c>
      <c r="K12" s="16" t="s">
        <v>37</v>
      </c>
      <c r="L12" s="16" t="s">
        <v>35</v>
      </c>
      <c r="M12" s="16" t="s">
        <v>90</v>
      </c>
      <c r="N12" s="16" t="s">
        <v>126</v>
      </c>
      <c r="O12" s="16" t="s">
        <v>36</v>
      </c>
      <c r="Q12" s="9">
        <v>7</v>
      </c>
      <c r="R12" s="9">
        <v>8</v>
      </c>
      <c r="S12" s="9">
        <v>13</v>
      </c>
      <c r="T12" s="9">
        <v>15</v>
      </c>
      <c r="U12" s="9">
        <v>10</v>
      </c>
      <c r="W12" s="25">
        <v>1</v>
      </c>
      <c r="X12" s="25">
        <v>1</v>
      </c>
      <c r="Y12" s="25">
        <v>1</v>
      </c>
      <c r="Z12" s="25">
        <v>1</v>
      </c>
      <c r="AA12" s="25">
        <v>1</v>
      </c>
      <c r="AC12" s="154" t="str">
        <v>M5</v>
      </c>
      <c r="AD12" s="133">
        <v>42</v>
      </c>
      <c r="AE12" s="133">
        <v>23</v>
      </c>
      <c r="AF12" s="133">
        <v>0</v>
      </c>
      <c r="AG12" s="133">
        <v>33</v>
      </c>
      <c r="AH12" s="133">
        <v>34</v>
      </c>
      <c r="AI12" s="5"/>
      <c r="AJ12" s="154" t="str">
        <v>M5</v>
      </c>
      <c r="AK12" s="133">
        <v>42</v>
      </c>
      <c r="AL12" s="133">
        <v>23</v>
      </c>
      <c r="AM12" s="133">
        <v>0</v>
      </c>
      <c r="AN12" s="133">
        <v>33</v>
      </c>
      <c r="AO12" s="133">
        <v>34</v>
      </c>
    </row>
    <row r="13" spans="1:41" ht="15.9" customHeight="1" x14ac:dyDescent="0.3">
      <c r="A13" s="133" t="str">
        <v>Q</v>
      </c>
      <c r="B13" s="112" t="str">
        <v>Q</v>
      </c>
      <c r="C13" s="133">
        <f t="shared" si="0"/>
        <v>7</v>
      </c>
      <c r="D13" s="133">
        <f t="shared" si="0"/>
        <v>12</v>
      </c>
      <c r="E13" s="133">
        <f t="shared" si="0"/>
        <v>0</v>
      </c>
      <c r="F13" s="133">
        <f t="shared" si="0"/>
        <v>6</v>
      </c>
      <c r="G13" s="133">
        <f t="shared" si="0"/>
        <v>13</v>
      </c>
      <c r="H13" s="112">
        <v>9</v>
      </c>
      <c r="I13" s="87"/>
      <c r="J13" s="9">
        <v>9</v>
      </c>
      <c r="K13" s="16" t="s">
        <v>36</v>
      </c>
      <c r="L13" s="16" t="s">
        <v>21</v>
      </c>
      <c r="M13" s="16" t="s">
        <v>126</v>
      </c>
      <c r="N13" s="16" t="s">
        <v>95</v>
      </c>
      <c r="O13" s="16" t="s">
        <v>18</v>
      </c>
      <c r="Q13" s="9">
        <v>10</v>
      </c>
      <c r="R13" s="9">
        <v>2</v>
      </c>
      <c r="S13" s="9">
        <v>15</v>
      </c>
      <c r="T13" s="9">
        <v>18</v>
      </c>
      <c r="U13" s="9">
        <v>4</v>
      </c>
      <c r="W13" s="25">
        <v>1</v>
      </c>
      <c r="X13" s="25">
        <v>1</v>
      </c>
      <c r="Y13" s="25">
        <v>1</v>
      </c>
      <c r="Z13" s="25">
        <v>1</v>
      </c>
      <c r="AA13" s="25">
        <v>1</v>
      </c>
      <c r="AC13" s="154" t="str">
        <v>A</v>
      </c>
      <c r="AD13" s="133">
        <v>43</v>
      </c>
      <c r="AE13" s="133">
        <v>27</v>
      </c>
      <c r="AF13" s="133">
        <v>0</v>
      </c>
      <c r="AG13" s="133">
        <v>33</v>
      </c>
      <c r="AH13" s="133">
        <v>34</v>
      </c>
      <c r="AI13" s="5"/>
      <c r="AJ13" s="154" t="str">
        <v>A</v>
      </c>
      <c r="AK13" s="133">
        <v>43</v>
      </c>
      <c r="AL13" s="133">
        <v>27</v>
      </c>
      <c r="AM13" s="133">
        <v>0</v>
      </c>
      <c r="AN13" s="133">
        <v>33</v>
      </c>
      <c r="AO13" s="133">
        <v>34</v>
      </c>
    </row>
    <row r="14" spans="1:41" ht="15.9" customHeight="1" x14ac:dyDescent="0.3">
      <c r="A14" s="133" t="str">
        <v>J</v>
      </c>
      <c r="B14" s="112" t="str">
        <v>J</v>
      </c>
      <c r="C14" s="133">
        <f t="shared" si="0"/>
        <v>6</v>
      </c>
      <c r="D14" s="133">
        <f t="shared" si="0"/>
        <v>8</v>
      </c>
      <c r="E14" s="133">
        <f t="shared" si="0"/>
        <v>0</v>
      </c>
      <c r="F14" s="133">
        <f t="shared" si="0"/>
        <v>7</v>
      </c>
      <c r="G14" s="133">
        <f t="shared" si="0"/>
        <v>14</v>
      </c>
      <c r="H14" s="112">
        <v>10</v>
      </c>
      <c r="I14" s="87"/>
      <c r="J14" s="25">
        <v>10</v>
      </c>
      <c r="K14" s="16" t="s">
        <v>19</v>
      </c>
      <c r="L14" s="16" t="s">
        <v>125</v>
      </c>
      <c r="M14" s="16" t="s">
        <v>92</v>
      </c>
      <c r="N14" s="16" t="s">
        <v>126</v>
      </c>
      <c r="O14" s="16" t="s">
        <v>36</v>
      </c>
      <c r="Q14" s="9">
        <v>5</v>
      </c>
      <c r="R14" s="9">
        <v>6</v>
      </c>
      <c r="S14" s="9">
        <v>16</v>
      </c>
      <c r="T14" s="9">
        <v>15</v>
      </c>
      <c r="U14" s="9">
        <v>10</v>
      </c>
      <c r="W14" s="25">
        <v>1</v>
      </c>
      <c r="X14" s="25">
        <v>1</v>
      </c>
      <c r="Y14" s="25">
        <v>1</v>
      </c>
      <c r="Z14" s="25">
        <v>1</v>
      </c>
      <c r="AA14" s="25">
        <v>1</v>
      </c>
      <c r="AC14" s="154" t="str">
        <v>K</v>
      </c>
      <c r="AD14" s="133">
        <v>43</v>
      </c>
      <c r="AE14" s="133">
        <v>25</v>
      </c>
      <c r="AF14" s="133">
        <v>0</v>
      </c>
      <c r="AG14" s="133">
        <v>34</v>
      </c>
      <c r="AH14" s="133">
        <v>34</v>
      </c>
      <c r="AI14" s="5"/>
      <c r="AJ14" s="154" t="str">
        <v>K</v>
      </c>
      <c r="AK14" s="133">
        <v>43</v>
      </c>
      <c r="AL14" s="133">
        <v>25</v>
      </c>
      <c r="AM14" s="133">
        <v>0</v>
      </c>
      <c r="AN14" s="133">
        <v>34</v>
      </c>
      <c r="AO14" s="133">
        <v>34</v>
      </c>
    </row>
    <row r="15" spans="1:41" ht="15.9" customHeight="1" x14ac:dyDescent="0.3">
      <c r="A15" s="29" t="str">
        <v>G1</v>
      </c>
      <c r="B15" s="8" t="str">
        <v>Gold M1</v>
      </c>
      <c r="C15" s="99">
        <f t="shared" si="0"/>
        <v>0</v>
      </c>
      <c r="D15" s="99">
        <f t="shared" si="0"/>
        <v>2</v>
      </c>
      <c r="E15" s="99">
        <f t="shared" si="0"/>
        <v>3</v>
      </c>
      <c r="F15" s="99">
        <f t="shared" si="0"/>
        <v>1</v>
      </c>
      <c r="G15" s="99">
        <f t="shared" si="0"/>
        <v>0</v>
      </c>
      <c r="H15" s="8">
        <v>11</v>
      </c>
      <c r="I15" s="87"/>
      <c r="J15" s="9">
        <v>11</v>
      </c>
      <c r="K15" s="16" t="s">
        <v>35</v>
      </c>
      <c r="L15" s="16" t="s">
        <v>19</v>
      </c>
      <c r="M15" s="16" t="s">
        <v>91</v>
      </c>
      <c r="N15" s="16" t="s">
        <v>91</v>
      </c>
      <c r="O15" s="16" t="s">
        <v>35</v>
      </c>
      <c r="Q15" s="9">
        <v>8</v>
      </c>
      <c r="R15" s="9">
        <v>5</v>
      </c>
      <c r="S15" s="9">
        <v>14</v>
      </c>
      <c r="T15" s="9">
        <v>14</v>
      </c>
      <c r="U15" s="9">
        <v>8</v>
      </c>
      <c r="W15" s="25">
        <v>1</v>
      </c>
      <c r="X15" s="25">
        <v>1</v>
      </c>
      <c r="Y15" s="25">
        <v>1</v>
      </c>
      <c r="Z15" s="25">
        <v>1</v>
      </c>
      <c r="AA15" s="25">
        <v>1</v>
      </c>
      <c r="AC15" s="154" t="str">
        <v>Q</v>
      </c>
      <c r="AD15" s="133">
        <v>7</v>
      </c>
      <c r="AE15" s="133">
        <v>12</v>
      </c>
      <c r="AF15" s="133">
        <v>0</v>
      </c>
      <c r="AG15" s="133">
        <v>6</v>
      </c>
      <c r="AH15" s="133">
        <v>13</v>
      </c>
      <c r="AI15" s="5"/>
      <c r="AJ15" s="154" t="str">
        <v>Q</v>
      </c>
      <c r="AK15" s="133">
        <v>7</v>
      </c>
      <c r="AL15" s="133">
        <v>12</v>
      </c>
      <c r="AM15" s="133">
        <v>0</v>
      </c>
      <c r="AN15" s="133">
        <v>6</v>
      </c>
      <c r="AO15" s="133">
        <v>13</v>
      </c>
    </row>
    <row r="16" spans="1:41" ht="15.9" customHeight="1" x14ac:dyDescent="0.3">
      <c r="A16" s="29" t="str">
        <v>G2</v>
      </c>
      <c r="B16" s="8" t="str">
        <v>Gold M2</v>
      </c>
      <c r="C16" s="99">
        <f t="shared" si="0"/>
        <v>0</v>
      </c>
      <c r="D16" s="99">
        <f t="shared" si="0"/>
        <v>3</v>
      </c>
      <c r="E16" s="99">
        <f t="shared" si="0"/>
        <v>4</v>
      </c>
      <c r="F16" s="99">
        <f t="shared" si="0"/>
        <v>1</v>
      </c>
      <c r="G16" s="99">
        <f t="shared" si="0"/>
        <v>0</v>
      </c>
      <c r="H16" s="8">
        <v>12</v>
      </c>
      <c r="I16" s="87"/>
      <c r="J16" s="25">
        <v>12</v>
      </c>
      <c r="K16" s="16" t="s">
        <v>19</v>
      </c>
      <c r="L16" s="16" t="s">
        <v>22</v>
      </c>
      <c r="M16" s="16" t="s">
        <v>112</v>
      </c>
      <c r="N16" s="16" t="s">
        <v>19</v>
      </c>
      <c r="O16" s="16" t="s">
        <v>37</v>
      </c>
      <c r="Q16" s="9">
        <v>5</v>
      </c>
      <c r="R16" s="9">
        <v>3</v>
      </c>
      <c r="S16" s="9">
        <v>17</v>
      </c>
      <c r="T16" s="9">
        <v>5</v>
      </c>
      <c r="U16" s="9">
        <v>7</v>
      </c>
      <c r="W16" s="25">
        <v>1</v>
      </c>
      <c r="X16" s="25">
        <v>1</v>
      </c>
      <c r="Y16" s="25">
        <v>1</v>
      </c>
      <c r="Z16" s="25">
        <v>1</v>
      </c>
      <c r="AA16" s="25">
        <v>1</v>
      </c>
      <c r="AC16" s="154" t="str">
        <v>J</v>
      </c>
      <c r="AD16" s="133">
        <v>6</v>
      </c>
      <c r="AE16" s="133">
        <v>8</v>
      </c>
      <c r="AF16" s="133">
        <v>0</v>
      </c>
      <c r="AG16" s="133">
        <v>7</v>
      </c>
      <c r="AH16" s="133">
        <v>14</v>
      </c>
      <c r="AI16" s="5"/>
      <c r="AJ16" s="154" t="str">
        <v>J</v>
      </c>
      <c r="AK16" s="133">
        <v>6</v>
      </c>
      <c r="AL16" s="133">
        <v>8</v>
      </c>
      <c r="AM16" s="133">
        <v>0</v>
      </c>
      <c r="AN16" s="133">
        <v>7</v>
      </c>
      <c r="AO16" s="133">
        <v>14</v>
      </c>
    </row>
    <row r="17" spans="1:41" ht="15.9" customHeight="1" x14ac:dyDescent="0.3">
      <c r="A17" s="29" t="str">
        <v>G3</v>
      </c>
      <c r="B17" s="8" t="str">
        <v>Gold M3</v>
      </c>
      <c r="C17" s="99">
        <f t="shared" si="0"/>
        <v>0</v>
      </c>
      <c r="D17" s="99">
        <f t="shared" si="0"/>
        <v>3</v>
      </c>
      <c r="E17" s="99">
        <f t="shared" si="0"/>
        <v>8</v>
      </c>
      <c r="F17" s="99">
        <f t="shared" si="0"/>
        <v>2</v>
      </c>
      <c r="G17" s="99">
        <f t="shared" si="0"/>
        <v>0</v>
      </c>
      <c r="H17" s="8">
        <v>13</v>
      </c>
      <c r="I17" s="87"/>
      <c r="J17" s="9">
        <v>13</v>
      </c>
      <c r="K17" s="16" t="s">
        <v>125</v>
      </c>
      <c r="L17" s="16" t="s">
        <v>35</v>
      </c>
      <c r="M17" s="16" t="s">
        <v>91</v>
      </c>
      <c r="N17" s="16" t="s">
        <v>34</v>
      </c>
      <c r="O17" s="16" t="s">
        <v>19</v>
      </c>
      <c r="Q17" s="9">
        <v>6</v>
      </c>
      <c r="R17" s="9">
        <v>8</v>
      </c>
      <c r="S17" s="9">
        <v>14</v>
      </c>
      <c r="T17" s="9">
        <v>9</v>
      </c>
      <c r="U17" s="9">
        <v>5</v>
      </c>
      <c r="W17" s="25">
        <v>1</v>
      </c>
      <c r="X17" s="25">
        <v>1</v>
      </c>
      <c r="Y17" s="25">
        <v>1</v>
      </c>
      <c r="Z17" s="25">
        <v>1</v>
      </c>
      <c r="AA17" s="25">
        <v>1</v>
      </c>
      <c r="AC17" s="138" t="str">
        <v>G1</v>
      </c>
      <c r="AD17" s="99">
        <v>0</v>
      </c>
      <c r="AE17" s="99">
        <v>3</v>
      </c>
      <c r="AF17" s="99">
        <v>3</v>
      </c>
      <c r="AG17" s="99">
        <v>2</v>
      </c>
      <c r="AH17" s="99">
        <v>0</v>
      </c>
      <c r="AI17" s="5"/>
      <c r="AJ17" s="138" t="str">
        <v>G1</v>
      </c>
      <c r="AK17" s="99">
        <v>0</v>
      </c>
      <c r="AL17" s="99">
        <v>3</v>
      </c>
      <c r="AM17" s="99">
        <v>3</v>
      </c>
      <c r="AN17" s="99">
        <v>2</v>
      </c>
      <c r="AO17" s="99">
        <v>0</v>
      </c>
    </row>
    <row r="18" spans="1:41" ht="15.9" customHeight="1" x14ac:dyDescent="0.3">
      <c r="A18" s="29" t="str">
        <v>G4</v>
      </c>
      <c r="B18" s="8" t="str">
        <v>Gold M4</v>
      </c>
      <c r="C18" s="99">
        <f t="shared" si="0"/>
        <v>0</v>
      </c>
      <c r="D18" s="99">
        <f t="shared" si="0"/>
        <v>7</v>
      </c>
      <c r="E18" s="99">
        <f t="shared" si="0"/>
        <v>43</v>
      </c>
      <c r="F18" s="99">
        <f t="shared" si="0"/>
        <v>8</v>
      </c>
      <c r="G18" s="99">
        <f t="shared" si="0"/>
        <v>0</v>
      </c>
      <c r="H18" s="8">
        <v>14</v>
      </c>
      <c r="I18" s="87"/>
      <c r="J18" s="25">
        <v>14</v>
      </c>
      <c r="K18" s="16" t="s">
        <v>37</v>
      </c>
      <c r="L18" s="16" t="s">
        <v>37</v>
      </c>
      <c r="M18" s="16" t="s">
        <v>92</v>
      </c>
      <c r="N18" s="16" t="s">
        <v>37</v>
      </c>
      <c r="O18" s="16" t="s">
        <v>125</v>
      </c>
      <c r="Q18" s="9">
        <v>7</v>
      </c>
      <c r="R18" s="9">
        <v>7</v>
      </c>
      <c r="S18" s="9">
        <v>16</v>
      </c>
      <c r="T18" s="9">
        <v>7</v>
      </c>
      <c r="U18" s="9">
        <v>6</v>
      </c>
      <c r="W18" s="25">
        <v>1</v>
      </c>
      <c r="X18" s="25">
        <v>1</v>
      </c>
      <c r="Y18" s="25">
        <v>1</v>
      </c>
      <c r="Z18" s="25">
        <v>1</v>
      </c>
      <c r="AA18" s="25">
        <v>1</v>
      </c>
      <c r="AC18" s="138" t="str">
        <v>G2</v>
      </c>
      <c r="AD18" s="99">
        <v>0</v>
      </c>
      <c r="AE18" s="99">
        <v>4</v>
      </c>
      <c r="AF18" s="99">
        <v>1</v>
      </c>
      <c r="AG18" s="99">
        <v>2</v>
      </c>
      <c r="AH18" s="99">
        <v>0</v>
      </c>
      <c r="AI18" s="5"/>
      <c r="AJ18" s="138" t="str">
        <v>G2</v>
      </c>
      <c r="AK18" s="99">
        <v>0</v>
      </c>
      <c r="AL18" s="99">
        <v>4</v>
      </c>
      <c r="AM18" s="99">
        <v>1</v>
      </c>
      <c r="AN18" s="99">
        <v>2</v>
      </c>
      <c r="AO18" s="99">
        <v>0</v>
      </c>
    </row>
    <row r="19" spans="1:41" ht="15.9" customHeight="1" x14ac:dyDescent="0.3">
      <c r="A19" s="29" t="str">
        <v>G5</v>
      </c>
      <c r="B19" s="8" t="str">
        <v>Gold M5</v>
      </c>
      <c r="C19" s="99">
        <f t="shared" si="0"/>
        <v>0</v>
      </c>
      <c r="D19" s="99">
        <f t="shared" si="0"/>
        <v>7</v>
      </c>
      <c r="E19" s="99">
        <f t="shared" si="0"/>
        <v>42</v>
      </c>
      <c r="F19" s="99">
        <f t="shared" si="0"/>
        <v>9</v>
      </c>
      <c r="G19" s="99">
        <f t="shared" si="0"/>
        <v>0</v>
      </c>
      <c r="H19" s="8">
        <v>15</v>
      </c>
      <c r="I19" s="87"/>
      <c r="J19" s="9">
        <v>15</v>
      </c>
      <c r="K19" s="16" t="s">
        <v>35</v>
      </c>
      <c r="L19" s="16" t="s">
        <v>35</v>
      </c>
      <c r="M19" s="16" t="s">
        <v>91</v>
      </c>
      <c r="N19" s="16" t="s">
        <v>125</v>
      </c>
      <c r="O19" s="16" t="s">
        <v>37</v>
      </c>
      <c r="Q19" s="9">
        <v>8</v>
      </c>
      <c r="R19" s="9">
        <v>8</v>
      </c>
      <c r="S19" s="9">
        <v>14</v>
      </c>
      <c r="T19" s="9">
        <v>6</v>
      </c>
      <c r="U19" s="9">
        <v>7</v>
      </c>
      <c r="W19" s="25">
        <v>1</v>
      </c>
      <c r="X19" s="25">
        <v>1</v>
      </c>
      <c r="Y19" s="25">
        <v>1</v>
      </c>
      <c r="Z19" s="25">
        <v>1</v>
      </c>
      <c r="AA19" s="25">
        <v>1</v>
      </c>
      <c r="AC19" s="138" t="str">
        <v>G3</v>
      </c>
      <c r="AD19" s="99">
        <v>0</v>
      </c>
      <c r="AE19" s="99">
        <v>4</v>
      </c>
      <c r="AF19" s="99">
        <v>8</v>
      </c>
      <c r="AG19" s="99">
        <v>3</v>
      </c>
      <c r="AH19" s="99">
        <v>0</v>
      </c>
      <c r="AI19" s="5"/>
      <c r="AJ19" s="138" t="str">
        <v>G3</v>
      </c>
      <c r="AK19" s="99">
        <v>0</v>
      </c>
      <c r="AL19" s="99">
        <v>4</v>
      </c>
      <c r="AM19" s="99">
        <v>8</v>
      </c>
      <c r="AN19" s="99">
        <v>3</v>
      </c>
      <c r="AO19" s="99">
        <v>0</v>
      </c>
    </row>
    <row r="20" spans="1:41" ht="15.9" customHeight="1" x14ac:dyDescent="0.3">
      <c r="A20" s="29" t="str">
        <v>GA</v>
      </c>
      <c r="B20" s="8" t="str">
        <v>Gold A</v>
      </c>
      <c r="C20" s="99">
        <f t="shared" si="0"/>
        <v>0</v>
      </c>
      <c r="D20" s="99">
        <f t="shared" si="0"/>
        <v>10</v>
      </c>
      <c r="E20" s="99">
        <f t="shared" si="0"/>
        <v>42</v>
      </c>
      <c r="F20" s="99">
        <f t="shared" si="0"/>
        <v>6</v>
      </c>
      <c r="G20" s="99">
        <f t="shared" si="0"/>
        <v>0</v>
      </c>
      <c r="H20" s="8">
        <v>16</v>
      </c>
      <c r="I20" s="87"/>
      <c r="J20" s="25">
        <v>16</v>
      </c>
      <c r="K20" s="16" t="s">
        <v>19</v>
      </c>
      <c r="L20" s="16" t="s">
        <v>92</v>
      </c>
      <c r="M20" s="16" t="s">
        <v>90</v>
      </c>
      <c r="N20" s="16" t="s">
        <v>35</v>
      </c>
      <c r="O20" s="16" t="s">
        <v>125</v>
      </c>
      <c r="Q20" s="9">
        <v>5</v>
      </c>
      <c r="R20" s="9">
        <v>16</v>
      </c>
      <c r="S20" s="9">
        <v>13</v>
      </c>
      <c r="T20" s="9">
        <v>8</v>
      </c>
      <c r="U20" s="9">
        <v>6</v>
      </c>
      <c r="W20" s="25">
        <v>1</v>
      </c>
      <c r="X20" s="25">
        <v>1</v>
      </c>
      <c r="Y20" s="25">
        <v>1</v>
      </c>
      <c r="Z20" s="25">
        <v>1</v>
      </c>
      <c r="AA20" s="25">
        <v>1</v>
      </c>
      <c r="AC20" s="138" t="str">
        <v>G4</v>
      </c>
      <c r="AD20" s="99">
        <v>0</v>
      </c>
      <c r="AE20" s="99">
        <v>8</v>
      </c>
      <c r="AF20" s="99">
        <v>43</v>
      </c>
      <c r="AG20" s="99">
        <v>9</v>
      </c>
      <c r="AH20" s="99">
        <v>0</v>
      </c>
      <c r="AI20" s="5"/>
      <c r="AJ20" s="138" t="str">
        <v>G4</v>
      </c>
      <c r="AK20" s="99">
        <v>0</v>
      </c>
      <c r="AL20" s="99">
        <v>8</v>
      </c>
      <c r="AM20" s="99">
        <v>43</v>
      </c>
      <c r="AN20" s="99">
        <v>9</v>
      </c>
      <c r="AO20" s="99">
        <v>0</v>
      </c>
    </row>
    <row r="21" spans="1:41" ht="15.9" customHeight="1" x14ac:dyDescent="0.3">
      <c r="A21" s="29" t="str">
        <v>GK</v>
      </c>
      <c r="B21" s="8" t="str">
        <v>Gold K</v>
      </c>
      <c r="C21" s="99">
        <f t="shared" si="0"/>
        <v>0</v>
      </c>
      <c r="D21" s="99">
        <f t="shared" si="0"/>
        <v>7</v>
      </c>
      <c r="E21" s="99">
        <f t="shared" si="0"/>
        <v>43</v>
      </c>
      <c r="F21" s="99">
        <f t="shared" si="0"/>
        <v>6</v>
      </c>
      <c r="G21" s="99">
        <f t="shared" si="0"/>
        <v>0</v>
      </c>
      <c r="H21" s="8">
        <v>17</v>
      </c>
      <c r="I21" s="87"/>
      <c r="J21" s="9">
        <v>17</v>
      </c>
      <c r="K21" s="16" t="s">
        <v>35</v>
      </c>
      <c r="L21" s="16" t="s">
        <v>35</v>
      </c>
      <c r="M21" s="16" t="s">
        <v>92</v>
      </c>
      <c r="N21" s="16" t="s">
        <v>37</v>
      </c>
      <c r="O21" s="16" t="s">
        <v>36</v>
      </c>
      <c r="Q21" s="9">
        <v>8</v>
      </c>
      <c r="R21" s="9">
        <v>8</v>
      </c>
      <c r="S21" s="9">
        <v>16</v>
      </c>
      <c r="T21" s="9">
        <v>7</v>
      </c>
      <c r="U21" s="9">
        <v>10</v>
      </c>
      <c r="W21" s="25">
        <v>1</v>
      </c>
      <c r="X21" s="25">
        <v>1</v>
      </c>
      <c r="Y21" s="25">
        <v>1</v>
      </c>
      <c r="Z21" s="25">
        <v>1</v>
      </c>
      <c r="AA21" s="25">
        <v>1</v>
      </c>
      <c r="AC21" s="138" t="str">
        <v>G5</v>
      </c>
      <c r="AD21" s="99">
        <v>0</v>
      </c>
      <c r="AE21" s="99">
        <v>8</v>
      </c>
      <c r="AF21" s="99">
        <v>42</v>
      </c>
      <c r="AG21" s="99">
        <v>10</v>
      </c>
      <c r="AH21" s="99">
        <v>0</v>
      </c>
      <c r="AI21" s="5"/>
      <c r="AJ21" s="138" t="str">
        <v>G5</v>
      </c>
      <c r="AK21" s="99">
        <v>0</v>
      </c>
      <c r="AL21" s="99">
        <v>8</v>
      </c>
      <c r="AM21" s="99">
        <v>42</v>
      </c>
      <c r="AN21" s="99">
        <v>10</v>
      </c>
      <c r="AO21" s="99">
        <v>0</v>
      </c>
    </row>
    <row r="22" spans="1:41" ht="15.9" customHeight="1" x14ac:dyDescent="0.3">
      <c r="A22" s="29" t="str">
        <v>GQ</v>
      </c>
      <c r="B22" s="8" t="str">
        <v>Gold Q</v>
      </c>
      <c r="C22" s="99">
        <f t="shared" si="0"/>
        <v>0</v>
      </c>
      <c r="D22" s="99">
        <f t="shared" si="0"/>
        <v>3</v>
      </c>
      <c r="E22" s="99">
        <f t="shared" si="0"/>
        <v>6</v>
      </c>
      <c r="F22" s="99">
        <f t="shared" si="0"/>
        <v>1</v>
      </c>
      <c r="G22" s="99">
        <f t="shared" si="0"/>
        <v>0</v>
      </c>
      <c r="H22" s="8">
        <v>18</v>
      </c>
      <c r="I22" s="87"/>
      <c r="J22" s="25">
        <v>18</v>
      </c>
      <c r="K22" s="16" t="s">
        <v>37</v>
      </c>
      <c r="L22" s="16" t="s">
        <v>19</v>
      </c>
      <c r="M22" s="16" t="s">
        <v>91</v>
      </c>
      <c r="N22" s="16" t="s">
        <v>125</v>
      </c>
      <c r="O22" s="16" t="s">
        <v>20</v>
      </c>
      <c r="Q22" s="9">
        <v>7</v>
      </c>
      <c r="R22" s="9">
        <v>5</v>
      </c>
      <c r="S22" s="9">
        <v>14</v>
      </c>
      <c r="T22" s="9">
        <v>6</v>
      </c>
      <c r="U22" s="9">
        <v>1</v>
      </c>
      <c r="W22" s="25">
        <v>1</v>
      </c>
      <c r="X22" s="25">
        <v>1</v>
      </c>
      <c r="Y22" s="25">
        <v>1</v>
      </c>
      <c r="Z22" s="25">
        <v>1</v>
      </c>
      <c r="AA22" s="25">
        <v>1</v>
      </c>
      <c r="AC22" s="138" t="str">
        <v>GA</v>
      </c>
      <c r="AD22" s="99">
        <v>0</v>
      </c>
      <c r="AE22" s="99">
        <v>11</v>
      </c>
      <c r="AF22" s="99">
        <v>42</v>
      </c>
      <c r="AG22" s="99">
        <v>7</v>
      </c>
      <c r="AH22" s="99">
        <v>0</v>
      </c>
      <c r="AI22" s="5"/>
      <c r="AJ22" s="138" t="str">
        <v>GA</v>
      </c>
      <c r="AK22" s="99">
        <v>0</v>
      </c>
      <c r="AL22" s="99">
        <v>11</v>
      </c>
      <c r="AM22" s="99">
        <v>42</v>
      </c>
      <c r="AN22" s="99">
        <v>7</v>
      </c>
      <c r="AO22" s="99">
        <v>0</v>
      </c>
    </row>
    <row r="23" spans="1:41" ht="15.9" customHeight="1" x14ac:dyDescent="0.3">
      <c r="A23" s="29" t="str">
        <v>GJ</v>
      </c>
      <c r="B23" s="8" t="str">
        <v>Gold J</v>
      </c>
      <c r="C23" s="99">
        <f t="shared" si="0"/>
        <v>0</v>
      </c>
      <c r="D23" s="99">
        <f t="shared" si="0"/>
        <v>2</v>
      </c>
      <c r="E23" s="99">
        <f t="shared" si="0"/>
        <v>9</v>
      </c>
      <c r="F23" s="99">
        <f t="shared" si="0"/>
        <v>2</v>
      </c>
      <c r="G23" s="99">
        <f t="shared" si="0"/>
        <v>0</v>
      </c>
      <c r="H23" s="8">
        <v>19</v>
      </c>
      <c r="I23" s="87"/>
      <c r="J23" s="9">
        <v>19</v>
      </c>
      <c r="K23" s="16" t="s">
        <v>18</v>
      </c>
      <c r="L23" s="16" t="s">
        <v>125</v>
      </c>
      <c r="M23" s="16" t="s">
        <v>95</v>
      </c>
      <c r="N23" s="16" t="s">
        <v>35</v>
      </c>
      <c r="O23" s="16" t="s">
        <v>34</v>
      </c>
      <c r="Q23" s="9">
        <v>4</v>
      </c>
      <c r="R23" s="9">
        <v>6</v>
      </c>
      <c r="S23" s="9">
        <v>18</v>
      </c>
      <c r="T23" s="9">
        <v>8</v>
      </c>
      <c r="U23" s="9">
        <v>9</v>
      </c>
      <c r="W23" s="25">
        <v>1</v>
      </c>
      <c r="X23" s="25">
        <v>1</v>
      </c>
      <c r="Y23" s="25">
        <v>1</v>
      </c>
      <c r="Z23" s="25">
        <v>1</v>
      </c>
      <c r="AA23" s="25">
        <v>1</v>
      </c>
      <c r="AC23" s="138" t="str">
        <v>GK</v>
      </c>
      <c r="AD23" s="99">
        <v>0</v>
      </c>
      <c r="AE23" s="99">
        <v>8</v>
      </c>
      <c r="AF23" s="99">
        <v>43</v>
      </c>
      <c r="AG23" s="99">
        <v>7</v>
      </c>
      <c r="AH23" s="99">
        <v>0</v>
      </c>
      <c r="AI23" s="5"/>
      <c r="AJ23" s="138" t="str">
        <v>GK</v>
      </c>
      <c r="AK23" s="99">
        <v>0</v>
      </c>
      <c r="AL23" s="99">
        <v>8</v>
      </c>
      <c r="AM23" s="99">
        <v>43</v>
      </c>
      <c r="AN23" s="99">
        <v>7</v>
      </c>
      <c r="AO23" s="99">
        <v>0</v>
      </c>
    </row>
    <row r="24" spans="1:41" ht="15.9" customHeight="1" x14ac:dyDescent="0.3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87"/>
      <c r="J24" s="25">
        <v>20</v>
      </c>
      <c r="K24" s="16" t="s">
        <v>37</v>
      </c>
      <c r="L24" s="16" t="s">
        <v>37</v>
      </c>
      <c r="M24" s="16" t="s">
        <v>126</v>
      </c>
      <c r="N24" s="16" t="s">
        <v>89</v>
      </c>
      <c r="O24" s="16" t="s">
        <v>35</v>
      </c>
      <c r="Q24" s="9">
        <v>7</v>
      </c>
      <c r="R24" s="9">
        <v>7</v>
      </c>
      <c r="S24" s="9">
        <v>15</v>
      </c>
      <c r="T24" s="9">
        <v>12</v>
      </c>
      <c r="U24" s="9">
        <v>8</v>
      </c>
      <c r="W24" s="25">
        <v>1</v>
      </c>
      <c r="X24" s="25">
        <v>1</v>
      </c>
      <c r="Y24" s="25">
        <v>1</v>
      </c>
      <c r="Z24" s="25">
        <v>1</v>
      </c>
      <c r="AA24" s="25">
        <v>1</v>
      </c>
      <c r="AC24" s="138" t="str">
        <v>GQ</v>
      </c>
      <c r="AD24" s="99">
        <v>0</v>
      </c>
      <c r="AE24" s="99">
        <v>4</v>
      </c>
      <c r="AF24" s="99">
        <v>6</v>
      </c>
      <c r="AG24" s="99">
        <v>2</v>
      </c>
      <c r="AH24" s="99">
        <v>0</v>
      </c>
      <c r="AI24" s="5"/>
      <c r="AJ24" s="138" t="str">
        <v>GQ</v>
      </c>
      <c r="AK24" s="99">
        <v>0</v>
      </c>
      <c r="AL24" s="99">
        <v>4</v>
      </c>
      <c r="AM24" s="99">
        <v>6</v>
      </c>
      <c r="AN24" s="99">
        <v>2</v>
      </c>
      <c r="AO24" s="99">
        <v>0</v>
      </c>
    </row>
    <row r="25" spans="1:41" ht="16.5" customHeight="1" x14ac:dyDescent="0.3">
      <c r="I25" s="87"/>
      <c r="J25" s="9">
        <v>21</v>
      </c>
      <c r="K25" s="16" t="s">
        <v>125</v>
      </c>
      <c r="L25" s="16" t="s">
        <v>89</v>
      </c>
      <c r="M25" s="16" t="s">
        <v>92</v>
      </c>
      <c r="N25" s="16" t="s">
        <v>125</v>
      </c>
      <c r="O25" s="16" t="s">
        <v>125</v>
      </c>
      <c r="Q25" s="9">
        <v>6</v>
      </c>
      <c r="R25" s="9">
        <v>12</v>
      </c>
      <c r="S25" s="9">
        <v>16</v>
      </c>
      <c r="T25" s="9">
        <v>6</v>
      </c>
      <c r="U25" s="9">
        <v>6</v>
      </c>
      <c r="W25" s="25">
        <v>1</v>
      </c>
      <c r="X25" s="25">
        <v>1</v>
      </c>
      <c r="Y25" s="25">
        <v>1</v>
      </c>
      <c r="Z25" s="25">
        <v>1</v>
      </c>
      <c r="AA25" s="25">
        <v>1</v>
      </c>
      <c r="AC25" s="138" t="str">
        <v>GJ</v>
      </c>
      <c r="AD25" s="99">
        <v>0</v>
      </c>
      <c r="AE25" s="99">
        <v>3</v>
      </c>
      <c r="AF25" s="99">
        <v>9</v>
      </c>
      <c r="AG25" s="99">
        <v>3</v>
      </c>
      <c r="AH25" s="99">
        <v>0</v>
      </c>
      <c r="AI25" s="5"/>
      <c r="AJ25" s="138" t="str">
        <v>GJ</v>
      </c>
      <c r="AK25" s="99">
        <v>0</v>
      </c>
      <c r="AL25" s="99">
        <v>3</v>
      </c>
      <c r="AM25" s="99">
        <v>9</v>
      </c>
      <c r="AN25" s="99">
        <v>3</v>
      </c>
      <c r="AO25" s="99">
        <v>0</v>
      </c>
    </row>
    <row r="26" spans="1:41" ht="16.5" customHeight="1" x14ac:dyDescent="0.3">
      <c r="B26" s="5" t="s">
        <v>244</v>
      </c>
      <c r="C26" s="5">
        <f>SUM(C4:C14)/C24</f>
        <v>1</v>
      </c>
      <c r="D26" s="181">
        <f t="shared" ref="D26:G26" si="1">SUM(D4:D14)/D24</f>
        <v>0.78</v>
      </c>
      <c r="E26" s="181">
        <f t="shared" si="1"/>
        <v>0</v>
      </c>
      <c r="F26" s="181">
        <f t="shared" si="1"/>
        <v>0.82</v>
      </c>
      <c r="G26" s="5">
        <f t="shared" si="1"/>
        <v>1</v>
      </c>
      <c r="I26" s="87"/>
      <c r="J26" s="25">
        <v>22</v>
      </c>
      <c r="K26" s="16" t="s">
        <v>19</v>
      </c>
      <c r="L26" s="16" t="s">
        <v>35</v>
      </c>
      <c r="M26" s="16" t="s">
        <v>91</v>
      </c>
      <c r="N26" s="16" t="s">
        <v>35</v>
      </c>
      <c r="O26" s="16" t="s">
        <v>19</v>
      </c>
      <c r="Q26" s="9">
        <v>5</v>
      </c>
      <c r="R26" s="9">
        <v>8</v>
      </c>
      <c r="S26" s="9">
        <v>14</v>
      </c>
      <c r="T26" s="9">
        <v>8</v>
      </c>
      <c r="U26" s="9">
        <v>5</v>
      </c>
      <c r="W26" s="25">
        <v>1</v>
      </c>
      <c r="X26" s="25">
        <v>1</v>
      </c>
      <c r="Y26" s="25">
        <v>1</v>
      </c>
      <c r="Z26" s="25">
        <v>1</v>
      </c>
      <c r="AA26" s="25">
        <v>1</v>
      </c>
      <c r="AD26" s="113">
        <f>SUM(AD6:AD25)</f>
        <v>198</v>
      </c>
      <c r="AE26" s="113">
        <f>SUM(AE6:AE25)</f>
        <v>207</v>
      </c>
      <c r="AF26" s="113">
        <f>SUM(AF6:AF25)</f>
        <v>197</v>
      </c>
      <c r="AG26" s="113">
        <f>SUM(AG6:AG25)</f>
        <v>205</v>
      </c>
      <c r="AH26" s="113">
        <f>SUM(AH6:AH25)</f>
        <v>196</v>
      </c>
      <c r="AI26" s="5"/>
      <c r="AK26" s="113">
        <f>SUM(AK6:AK25)</f>
        <v>198</v>
      </c>
      <c r="AL26" s="113">
        <f>SUM(AL6:AL25)</f>
        <v>207</v>
      </c>
      <c r="AM26" s="113">
        <f>SUM(AM6:AM25)</f>
        <v>197</v>
      </c>
      <c r="AN26" s="113">
        <f>SUM(AN6:AN25)</f>
        <v>205</v>
      </c>
      <c r="AO26" s="113">
        <f>SUM(AO6:AO25)</f>
        <v>196</v>
      </c>
    </row>
    <row r="27" spans="1:41" ht="16.5" customHeight="1" x14ac:dyDescent="0.3">
      <c r="B27" s="5" t="s">
        <v>245</v>
      </c>
      <c r="C27" s="5">
        <f>SUM(C15:C23)/C24</f>
        <v>0</v>
      </c>
      <c r="D27" s="181">
        <f t="shared" ref="D27:G27" si="2">SUM(D15:D23)/D24</f>
        <v>0.22</v>
      </c>
      <c r="E27" s="181">
        <f t="shared" si="2"/>
        <v>1</v>
      </c>
      <c r="F27" s="181">
        <f t="shared" si="2"/>
        <v>0.18</v>
      </c>
      <c r="G27" s="5">
        <f t="shared" si="2"/>
        <v>0</v>
      </c>
      <c r="I27" s="87"/>
      <c r="J27" s="9">
        <v>23</v>
      </c>
      <c r="K27" s="16" t="s">
        <v>125</v>
      </c>
      <c r="L27" s="16" t="s">
        <v>125</v>
      </c>
      <c r="M27" s="16" t="s">
        <v>126</v>
      </c>
      <c r="N27" s="16" t="s">
        <v>112</v>
      </c>
      <c r="O27" s="16" t="s">
        <v>37</v>
      </c>
      <c r="Q27" s="9">
        <v>6</v>
      </c>
      <c r="R27" s="9">
        <v>6</v>
      </c>
      <c r="S27" s="9">
        <v>15</v>
      </c>
      <c r="T27" s="9">
        <v>17</v>
      </c>
      <c r="U27" s="9">
        <v>7</v>
      </c>
      <c r="W27" s="25">
        <v>1</v>
      </c>
      <c r="X27" s="25">
        <v>1</v>
      </c>
      <c r="Y27" s="25">
        <v>1</v>
      </c>
      <c r="Z27" s="25">
        <v>1</v>
      </c>
      <c r="AA27" s="25">
        <v>1</v>
      </c>
      <c r="AH27" s="5"/>
      <c r="AI27" s="5"/>
      <c r="AO27" s="5"/>
    </row>
    <row r="28" spans="1:41" ht="16.5" customHeight="1" x14ac:dyDescent="0.3">
      <c r="I28" s="87"/>
      <c r="J28" s="25">
        <v>24</v>
      </c>
      <c r="K28" s="16" t="s">
        <v>37</v>
      </c>
      <c r="L28" s="16" t="s">
        <v>18</v>
      </c>
      <c r="M28" s="16" t="s">
        <v>92</v>
      </c>
      <c r="N28" s="16" t="s">
        <v>35</v>
      </c>
      <c r="O28" s="16" t="s">
        <v>21</v>
      </c>
      <c r="Q28" s="9">
        <v>7</v>
      </c>
      <c r="R28" s="9">
        <v>4</v>
      </c>
      <c r="S28" s="9">
        <v>16</v>
      </c>
      <c r="T28" s="9">
        <v>8</v>
      </c>
      <c r="U28" s="9">
        <v>2</v>
      </c>
      <c r="W28" s="25">
        <v>1</v>
      </c>
      <c r="X28" s="25">
        <v>1</v>
      </c>
      <c r="Y28" s="25">
        <v>1</v>
      </c>
      <c r="Z28" s="25">
        <v>1</v>
      </c>
      <c r="AA28" s="25">
        <v>1</v>
      </c>
      <c r="AC28" s="27" t="s">
        <v>132</v>
      </c>
      <c r="AH28" s="5"/>
      <c r="AI28" s="5"/>
      <c r="AJ28" s="27" t="s">
        <v>132</v>
      </c>
      <c r="AO28" s="5"/>
    </row>
    <row r="29" spans="1:41" ht="16.5" customHeight="1" x14ac:dyDescent="0.3">
      <c r="I29" s="87"/>
      <c r="J29" s="9">
        <v>25</v>
      </c>
      <c r="K29" s="16" t="s">
        <v>35</v>
      </c>
      <c r="L29" s="16" t="s">
        <v>125</v>
      </c>
      <c r="M29" s="16" t="s">
        <v>91</v>
      </c>
      <c r="N29" s="16" t="s">
        <v>37</v>
      </c>
      <c r="O29" s="16" t="s">
        <v>37</v>
      </c>
      <c r="Q29" s="9">
        <v>8</v>
      </c>
      <c r="R29" s="9">
        <v>6</v>
      </c>
      <c r="S29" s="9">
        <v>14</v>
      </c>
      <c r="T29" s="9">
        <v>7</v>
      </c>
      <c r="U29" s="9">
        <v>7</v>
      </c>
      <c r="W29" s="25">
        <v>1</v>
      </c>
      <c r="X29" s="25">
        <v>1</v>
      </c>
      <c r="Y29" s="25">
        <v>1</v>
      </c>
      <c r="Z29" s="25">
        <v>1</v>
      </c>
      <c r="AA29" s="25">
        <v>1</v>
      </c>
      <c r="AC29" s="135" t="s">
        <v>42</v>
      </c>
      <c r="AD29" s="135" t="s">
        <v>13</v>
      </c>
      <c r="AE29" s="135" t="s">
        <v>14</v>
      </c>
      <c r="AF29" s="135" t="s">
        <v>15</v>
      </c>
      <c r="AG29" s="135" t="s">
        <v>16</v>
      </c>
      <c r="AH29" s="135" t="s">
        <v>17</v>
      </c>
      <c r="AI29" s="5"/>
      <c r="AJ29" s="135" t="s">
        <v>42</v>
      </c>
      <c r="AK29" s="135" t="s">
        <v>13</v>
      </c>
      <c r="AL29" s="135" t="s">
        <v>14</v>
      </c>
      <c r="AM29" s="135" t="s">
        <v>15</v>
      </c>
      <c r="AN29" s="135" t="s">
        <v>16</v>
      </c>
      <c r="AO29" s="135" t="s">
        <v>17</v>
      </c>
    </row>
    <row r="30" spans="1:41" ht="16.5" customHeight="1" x14ac:dyDescent="0.3">
      <c r="I30" s="87"/>
      <c r="J30" s="25">
        <v>26</v>
      </c>
      <c r="K30" s="16" t="s">
        <v>19</v>
      </c>
      <c r="L30" s="16" t="s">
        <v>35</v>
      </c>
      <c r="M30" s="16" t="s">
        <v>126</v>
      </c>
      <c r="N30" s="16" t="s">
        <v>35</v>
      </c>
      <c r="O30" s="16" t="s">
        <v>19</v>
      </c>
      <c r="Q30" s="9">
        <v>5</v>
      </c>
      <c r="R30" s="9">
        <v>8</v>
      </c>
      <c r="S30" s="9">
        <v>15</v>
      </c>
      <c r="T30" s="9">
        <v>8</v>
      </c>
      <c r="U30" s="9">
        <v>5</v>
      </c>
      <c r="W30" s="25">
        <v>1</v>
      </c>
      <c r="X30" s="25">
        <v>1</v>
      </c>
      <c r="Y30" s="25">
        <v>1</v>
      </c>
      <c r="Z30" s="25">
        <v>1</v>
      </c>
      <c r="AA30" s="25">
        <v>1</v>
      </c>
      <c r="AC30" s="138" t="str" cm="1">
        <f t="array" ref="AC30:AC49">$A$4:$A$23</f>
        <v>WW</v>
      </c>
      <c r="AD30" s="139">
        <v>0</v>
      </c>
      <c r="AE30" s="139">
        <v>0</v>
      </c>
      <c r="AF30" s="139">
        <v>0</v>
      </c>
      <c r="AG30" s="139">
        <v>0</v>
      </c>
      <c r="AH30" s="139">
        <v>0</v>
      </c>
      <c r="AI30" s="5"/>
      <c r="AJ30" s="138" t="str" cm="1">
        <f t="array" ref="AJ30:AJ49">$A$4:$A$23</f>
        <v>WW</v>
      </c>
      <c r="AK30" s="139">
        <v>0</v>
      </c>
      <c r="AL30" s="139">
        <v>0</v>
      </c>
      <c r="AM30" s="139">
        <v>0</v>
      </c>
      <c r="AN30" s="139">
        <v>0</v>
      </c>
      <c r="AO30" s="139">
        <v>0</v>
      </c>
    </row>
    <row r="31" spans="1:41" ht="16.5" customHeight="1" x14ac:dyDescent="0.3">
      <c r="I31" s="87"/>
      <c r="J31" s="9">
        <v>27</v>
      </c>
      <c r="K31" s="16" t="s">
        <v>125</v>
      </c>
      <c r="L31" s="16" t="s">
        <v>37</v>
      </c>
      <c r="M31" s="16" t="s">
        <v>92</v>
      </c>
      <c r="N31" s="16" t="s">
        <v>37</v>
      </c>
      <c r="O31" s="16" t="s">
        <v>37</v>
      </c>
      <c r="Q31" s="9">
        <v>6</v>
      </c>
      <c r="R31" s="9">
        <v>7</v>
      </c>
      <c r="S31" s="9">
        <v>16</v>
      </c>
      <c r="T31" s="9">
        <v>7</v>
      </c>
      <c r="U31" s="9">
        <v>7</v>
      </c>
      <c r="W31" s="25">
        <v>1</v>
      </c>
      <c r="X31" s="25">
        <v>1</v>
      </c>
      <c r="Y31" s="25">
        <v>1</v>
      </c>
      <c r="Z31" s="25">
        <v>1</v>
      </c>
      <c r="AA31" s="25">
        <v>1</v>
      </c>
      <c r="AC31" s="138" t="str">
        <v>C1</v>
      </c>
      <c r="AD31" s="138">
        <v>1</v>
      </c>
      <c r="AE31" s="138">
        <v>1</v>
      </c>
      <c r="AF31" s="138">
        <v>0</v>
      </c>
      <c r="AG31" s="138">
        <v>1</v>
      </c>
      <c r="AH31" s="138">
        <v>1</v>
      </c>
      <c r="AI31" s="5"/>
      <c r="AJ31" s="138" t="str">
        <v>C1</v>
      </c>
      <c r="AK31" s="138">
        <v>1</v>
      </c>
      <c r="AL31" s="138">
        <v>1</v>
      </c>
      <c r="AM31" s="138">
        <v>0</v>
      </c>
      <c r="AN31" s="138">
        <v>1</v>
      </c>
      <c r="AO31" s="138">
        <v>1</v>
      </c>
    </row>
    <row r="32" spans="1:41" ht="16.5" customHeight="1" x14ac:dyDescent="0.3">
      <c r="J32" s="25">
        <v>28</v>
      </c>
      <c r="K32" s="16" t="s">
        <v>35</v>
      </c>
      <c r="L32" s="16" t="s">
        <v>34</v>
      </c>
      <c r="M32" s="16" t="s">
        <v>97</v>
      </c>
      <c r="N32" s="16" t="s">
        <v>125</v>
      </c>
      <c r="O32" s="16" t="s">
        <v>18</v>
      </c>
      <c r="Q32" s="9">
        <v>8</v>
      </c>
      <c r="R32" s="9">
        <v>9</v>
      </c>
      <c r="S32" s="9">
        <v>19</v>
      </c>
      <c r="T32" s="9">
        <v>6</v>
      </c>
      <c r="U32" s="9">
        <v>4</v>
      </c>
      <c r="W32" s="25">
        <v>1</v>
      </c>
      <c r="X32" s="25">
        <v>1</v>
      </c>
      <c r="Y32" s="25">
        <v>1</v>
      </c>
      <c r="Z32" s="25">
        <v>1</v>
      </c>
      <c r="AA32" s="25">
        <v>1</v>
      </c>
      <c r="AC32" s="154" t="str">
        <v>M1</v>
      </c>
      <c r="AD32" s="133">
        <v>3</v>
      </c>
      <c r="AE32" s="133">
        <v>10</v>
      </c>
      <c r="AF32" s="133">
        <v>0</v>
      </c>
      <c r="AG32" s="133">
        <v>3</v>
      </c>
      <c r="AH32" s="133">
        <v>9</v>
      </c>
      <c r="AI32" s="5"/>
      <c r="AJ32" s="154" t="str">
        <v>M1</v>
      </c>
      <c r="AK32" s="133">
        <v>3</v>
      </c>
      <c r="AL32" s="133">
        <v>10</v>
      </c>
      <c r="AM32" s="133">
        <v>0</v>
      </c>
      <c r="AN32" s="133">
        <v>3</v>
      </c>
      <c r="AO32" s="133">
        <v>9</v>
      </c>
    </row>
    <row r="33" spans="10:41" ht="16.5" customHeight="1" x14ac:dyDescent="0.3">
      <c r="J33" s="9">
        <v>29</v>
      </c>
      <c r="K33" s="16" t="s">
        <v>19</v>
      </c>
      <c r="L33" s="16" t="s">
        <v>18</v>
      </c>
      <c r="M33" s="16" t="s">
        <v>92</v>
      </c>
      <c r="N33" s="16" t="s">
        <v>92</v>
      </c>
      <c r="O33" s="16" t="s">
        <v>35</v>
      </c>
      <c r="Q33" s="9">
        <v>5</v>
      </c>
      <c r="R33" s="9">
        <v>4</v>
      </c>
      <c r="S33" s="9">
        <v>16</v>
      </c>
      <c r="T33" s="9">
        <v>16</v>
      </c>
      <c r="U33" s="9">
        <v>8</v>
      </c>
      <c r="W33" s="25">
        <v>1</v>
      </c>
      <c r="X33" s="25">
        <v>1</v>
      </c>
      <c r="Y33" s="25">
        <v>1</v>
      </c>
      <c r="Z33" s="25">
        <v>1</v>
      </c>
      <c r="AA33" s="25">
        <v>1</v>
      </c>
      <c r="AC33" s="154" t="str">
        <v>M2</v>
      </c>
      <c r="AD33" s="133">
        <v>3</v>
      </c>
      <c r="AE33" s="133">
        <v>12</v>
      </c>
      <c r="AF33" s="133">
        <v>0</v>
      </c>
      <c r="AG33" s="133">
        <v>3</v>
      </c>
      <c r="AH33" s="133">
        <v>8</v>
      </c>
      <c r="AI33" s="5"/>
      <c r="AJ33" s="154" t="str">
        <v>M2</v>
      </c>
      <c r="AK33" s="133">
        <v>3</v>
      </c>
      <c r="AL33" s="133">
        <v>12</v>
      </c>
      <c r="AM33" s="133">
        <v>0</v>
      </c>
      <c r="AN33" s="133">
        <v>3</v>
      </c>
      <c r="AO33" s="133">
        <v>8</v>
      </c>
    </row>
    <row r="34" spans="10:41" ht="16.5" customHeight="1" x14ac:dyDescent="0.3">
      <c r="J34" s="25">
        <v>30</v>
      </c>
      <c r="K34" s="16" t="s">
        <v>37</v>
      </c>
      <c r="L34" s="16" t="s">
        <v>34</v>
      </c>
      <c r="M34" s="16" t="s">
        <v>90</v>
      </c>
      <c r="N34" s="16" t="s">
        <v>19</v>
      </c>
      <c r="O34" s="16" t="s">
        <v>125</v>
      </c>
      <c r="Q34" s="9">
        <v>7</v>
      </c>
      <c r="R34" s="9">
        <v>9</v>
      </c>
      <c r="S34" s="9">
        <v>13</v>
      </c>
      <c r="T34" s="9">
        <v>5</v>
      </c>
      <c r="U34" s="9">
        <v>6</v>
      </c>
      <c r="W34" s="25">
        <v>1</v>
      </c>
      <c r="X34" s="25">
        <v>1</v>
      </c>
      <c r="Y34" s="25">
        <v>1</v>
      </c>
      <c r="Z34" s="25">
        <v>1</v>
      </c>
      <c r="AA34" s="25">
        <v>1</v>
      </c>
      <c r="AC34" s="154" t="str">
        <v>M3</v>
      </c>
      <c r="AD34" s="133">
        <v>7</v>
      </c>
      <c r="AE34" s="133">
        <v>13</v>
      </c>
      <c r="AF34" s="133">
        <v>0</v>
      </c>
      <c r="AG34" s="133">
        <v>7</v>
      </c>
      <c r="AH34" s="133">
        <v>14</v>
      </c>
      <c r="AI34" s="5"/>
      <c r="AJ34" s="154" t="str">
        <v>M3</v>
      </c>
      <c r="AK34" s="133">
        <v>7</v>
      </c>
      <c r="AL34" s="133">
        <v>13</v>
      </c>
      <c r="AM34" s="133">
        <v>0</v>
      </c>
      <c r="AN34" s="133">
        <v>7</v>
      </c>
      <c r="AO34" s="133">
        <v>14</v>
      </c>
    </row>
    <row r="35" spans="10:41" ht="16.5" customHeight="1" x14ac:dyDescent="0.3">
      <c r="J35" s="9">
        <v>31</v>
      </c>
      <c r="K35" s="16" t="s">
        <v>35</v>
      </c>
      <c r="L35" s="16" t="s">
        <v>112</v>
      </c>
      <c r="M35" s="16" t="s">
        <v>126</v>
      </c>
      <c r="N35" s="16" t="s">
        <v>126</v>
      </c>
      <c r="O35" s="16" t="s">
        <v>37</v>
      </c>
      <c r="Q35" s="9">
        <v>8</v>
      </c>
      <c r="R35" s="9">
        <v>17</v>
      </c>
      <c r="S35" s="9">
        <v>15</v>
      </c>
      <c r="T35" s="9">
        <v>15</v>
      </c>
      <c r="U35" s="9">
        <v>7</v>
      </c>
      <c r="W35" s="25">
        <v>1</v>
      </c>
      <c r="X35" s="25">
        <v>1</v>
      </c>
      <c r="Y35" s="25">
        <v>1</v>
      </c>
      <c r="Z35" s="25">
        <v>1</v>
      </c>
      <c r="AA35" s="25">
        <v>1</v>
      </c>
      <c r="AC35" s="154" t="str">
        <v>M4</v>
      </c>
      <c r="AD35" s="133">
        <v>43</v>
      </c>
      <c r="AE35" s="133">
        <v>23</v>
      </c>
      <c r="AF35" s="133">
        <v>0</v>
      </c>
      <c r="AG35" s="133">
        <v>33</v>
      </c>
      <c r="AH35" s="133">
        <v>35</v>
      </c>
      <c r="AI35" s="5"/>
      <c r="AJ35" s="154" t="str">
        <v>M4</v>
      </c>
      <c r="AK35" s="133">
        <v>43</v>
      </c>
      <c r="AL35" s="133">
        <v>23</v>
      </c>
      <c r="AM35" s="133">
        <v>0</v>
      </c>
      <c r="AN35" s="133">
        <v>33</v>
      </c>
      <c r="AO35" s="133">
        <v>35</v>
      </c>
    </row>
    <row r="36" spans="10:41" ht="16.5" customHeight="1" x14ac:dyDescent="0.3">
      <c r="J36" s="25">
        <v>32</v>
      </c>
      <c r="K36" s="16" t="s">
        <v>37</v>
      </c>
      <c r="L36" s="16" t="s">
        <v>37</v>
      </c>
      <c r="M36" s="16" t="s">
        <v>112</v>
      </c>
      <c r="N36" s="16" t="s">
        <v>35</v>
      </c>
      <c r="O36" s="16" t="s">
        <v>34</v>
      </c>
      <c r="Q36" s="9">
        <v>7</v>
      </c>
      <c r="R36" s="9">
        <v>7</v>
      </c>
      <c r="S36" s="9">
        <v>17</v>
      </c>
      <c r="T36" s="9">
        <v>8</v>
      </c>
      <c r="U36" s="9">
        <v>9</v>
      </c>
      <c r="W36" s="25">
        <v>1</v>
      </c>
      <c r="X36" s="25">
        <v>1</v>
      </c>
      <c r="Y36" s="25">
        <v>1</v>
      </c>
      <c r="Z36" s="25">
        <v>1</v>
      </c>
      <c r="AA36" s="25">
        <v>1</v>
      </c>
      <c r="AC36" s="154" t="str">
        <v>M5</v>
      </c>
      <c r="AD36" s="133">
        <v>42</v>
      </c>
      <c r="AE36" s="133">
        <v>23</v>
      </c>
      <c r="AF36" s="133">
        <v>0</v>
      </c>
      <c r="AG36" s="133">
        <v>33</v>
      </c>
      <c r="AH36" s="133">
        <v>34</v>
      </c>
      <c r="AI36" s="5"/>
      <c r="AJ36" s="154" t="str">
        <v>M5</v>
      </c>
      <c r="AK36" s="133">
        <v>42</v>
      </c>
      <c r="AL36" s="133">
        <v>23</v>
      </c>
      <c r="AM36" s="133">
        <v>0</v>
      </c>
      <c r="AN36" s="133">
        <v>33</v>
      </c>
      <c r="AO36" s="133">
        <v>34</v>
      </c>
    </row>
    <row r="37" spans="10:41" ht="16.5" customHeight="1" x14ac:dyDescent="0.3">
      <c r="J37" s="9">
        <v>33</v>
      </c>
      <c r="K37" s="16" t="s">
        <v>125</v>
      </c>
      <c r="L37" s="16" t="s">
        <v>19</v>
      </c>
      <c r="M37" s="16" t="s">
        <v>92</v>
      </c>
      <c r="N37" s="16" t="s">
        <v>19</v>
      </c>
      <c r="O37" s="16" t="s">
        <v>36</v>
      </c>
      <c r="Q37" s="9">
        <v>6</v>
      </c>
      <c r="R37" s="9">
        <v>5</v>
      </c>
      <c r="S37" s="9">
        <v>16</v>
      </c>
      <c r="T37" s="9">
        <v>5</v>
      </c>
      <c r="U37" s="9">
        <v>10</v>
      </c>
      <c r="W37" s="25">
        <v>1</v>
      </c>
      <c r="X37" s="25">
        <v>1</v>
      </c>
      <c r="Y37" s="25">
        <v>1</v>
      </c>
      <c r="Z37" s="25">
        <v>1</v>
      </c>
      <c r="AA37" s="25">
        <v>1</v>
      </c>
      <c r="AC37" s="154" t="str">
        <v>A</v>
      </c>
      <c r="AD37" s="133">
        <v>43</v>
      </c>
      <c r="AE37" s="133">
        <v>27</v>
      </c>
      <c r="AF37" s="133">
        <v>0</v>
      </c>
      <c r="AG37" s="133">
        <v>33</v>
      </c>
      <c r="AH37" s="133">
        <v>34</v>
      </c>
      <c r="AI37" s="5"/>
      <c r="AJ37" s="154" t="str">
        <v>A</v>
      </c>
      <c r="AK37" s="133">
        <v>43</v>
      </c>
      <c r="AL37" s="133">
        <v>27</v>
      </c>
      <c r="AM37" s="133">
        <v>0</v>
      </c>
      <c r="AN37" s="133">
        <v>33</v>
      </c>
      <c r="AO37" s="133">
        <v>34</v>
      </c>
    </row>
    <row r="38" spans="10:41" ht="16.5" customHeight="1" x14ac:dyDescent="0.3">
      <c r="J38" s="25">
        <v>34</v>
      </c>
      <c r="K38" s="16" t="s">
        <v>19</v>
      </c>
      <c r="L38" s="16" t="s">
        <v>18</v>
      </c>
      <c r="M38" s="16" t="s">
        <v>126</v>
      </c>
      <c r="N38" s="16" t="s">
        <v>37</v>
      </c>
      <c r="O38" s="16" t="s">
        <v>37</v>
      </c>
      <c r="Q38" s="9">
        <v>5</v>
      </c>
      <c r="R38" s="9">
        <v>4</v>
      </c>
      <c r="S38" s="9">
        <v>15</v>
      </c>
      <c r="T38" s="9">
        <v>7</v>
      </c>
      <c r="U38" s="9">
        <v>7</v>
      </c>
      <c r="W38" s="25">
        <v>1</v>
      </c>
      <c r="X38" s="25">
        <v>1</v>
      </c>
      <c r="Y38" s="25">
        <v>1</v>
      </c>
      <c r="Z38" s="25">
        <v>1</v>
      </c>
      <c r="AA38" s="25">
        <v>1</v>
      </c>
      <c r="AC38" s="154" t="str">
        <v>K</v>
      </c>
      <c r="AD38" s="133">
        <v>43</v>
      </c>
      <c r="AE38" s="133">
        <v>25</v>
      </c>
      <c r="AF38" s="133">
        <v>0</v>
      </c>
      <c r="AG38" s="133">
        <v>34</v>
      </c>
      <c r="AH38" s="133">
        <v>34</v>
      </c>
      <c r="AI38" s="5"/>
      <c r="AJ38" s="154" t="str">
        <v>K</v>
      </c>
      <c r="AK38" s="133">
        <v>43</v>
      </c>
      <c r="AL38" s="133">
        <v>25</v>
      </c>
      <c r="AM38" s="133">
        <v>0</v>
      </c>
      <c r="AN38" s="133">
        <v>34</v>
      </c>
      <c r="AO38" s="133">
        <v>34</v>
      </c>
    </row>
    <row r="39" spans="10:41" ht="16.5" customHeight="1" x14ac:dyDescent="0.3">
      <c r="J39" s="9">
        <v>35</v>
      </c>
      <c r="K39" s="16" t="s">
        <v>35</v>
      </c>
      <c r="L39" s="16" t="s">
        <v>22</v>
      </c>
      <c r="M39" s="16" t="s">
        <v>92</v>
      </c>
      <c r="N39" s="16" t="s">
        <v>112</v>
      </c>
      <c r="O39" s="16" t="s">
        <v>19</v>
      </c>
      <c r="Q39" s="9">
        <v>8</v>
      </c>
      <c r="R39" s="9">
        <v>3</v>
      </c>
      <c r="S39" s="9">
        <v>16</v>
      </c>
      <c r="T39" s="9">
        <v>17</v>
      </c>
      <c r="U39" s="9">
        <v>5</v>
      </c>
      <c r="W39" s="25">
        <v>1</v>
      </c>
      <c r="X39" s="25">
        <v>1</v>
      </c>
      <c r="Y39" s="25">
        <v>1</v>
      </c>
      <c r="Z39" s="25">
        <v>1</v>
      </c>
      <c r="AA39" s="25">
        <v>1</v>
      </c>
      <c r="AC39" s="154" t="str">
        <v>Q</v>
      </c>
      <c r="AD39" s="133">
        <v>7</v>
      </c>
      <c r="AE39" s="133">
        <v>12</v>
      </c>
      <c r="AF39" s="133">
        <v>0</v>
      </c>
      <c r="AG39" s="133">
        <v>6</v>
      </c>
      <c r="AH39" s="133">
        <v>13</v>
      </c>
      <c r="AI39" s="5"/>
      <c r="AJ39" s="154" t="str">
        <v>Q</v>
      </c>
      <c r="AK39" s="133">
        <v>7</v>
      </c>
      <c r="AL39" s="133">
        <v>12</v>
      </c>
      <c r="AM39" s="133">
        <v>0</v>
      </c>
      <c r="AN39" s="133">
        <v>6</v>
      </c>
      <c r="AO39" s="133">
        <v>13</v>
      </c>
    </row>
    <row r="40" spans="10:41" ht="16.5" customHeight="1" x14ac:dyDescent="0.3">
      <c r="J40" s="25">
        <v>36</v>
      </c>
      <c r="K40" s="16" t="s">
        <v>125</v>
      </c>
      <c r="L40" s="16" t="s">
        <v>20</v>
      </c>
      <c r="M40" s="16" t="s">
        <v>112</v>
      </c>
      <c r="N40" s="16" t="s">
        <v>36</v>
      </c>
      <c r="O40" s="16" t="s">
        <v>125</v>
      </c>
      <c r="Q40" s="9">
        <v>6</v>
      </c>
      <c r="R40" s="9">
        <v>1</v>
      </c>
      <c r="S40" s="9">
        <v>17</v>
      </c>
      <c r="T40" s="9">
        <v>10</v>
      </c>
      <c r="U40" s="9">
        <v>6</v>
      </c>
      <c r="W40" s="25">
        <v>1</v>
      </c>
      <c r="X40" s="25">
        <v>1</v>
      </c>
      <c r="Y40" s="25">
        <v>1</v>
      </c>
      <c r="Z40" s="25">
        <v>1</v>
      </c>
      <c r="AA40" s="25">
        <v>1</v>
      </c>
      <c r="AC40" s="154" t="str">
        <v>J</v>
      </c>
      <c r="AD40" s="133">
        <v>6</v>
      </c>
      <c r="AE40" s="133">
        <v>8</v>
      </c>
      <c r="AF40" s="133">
        <v>0</v>
      </c>
      <c r="AG40" s="133">
        <v>7</v>
      </c>
      <c r="AH40" s="133">
        <v>14</v>
      </c>
      <c r="AI40" s="5"/>
      <c r="AJ40" s="154" t="str">
        <v>J</v>
      </c>
      <c r="AK40" s="133">
        <v>6</v>
      </c>
      <c r="AL40" s="133">
        <v>8</v>
      </c>
      <c r="AM40" s="133">
        <v>0</v>
      </c>
      <c r="AN40" s="133">
        <v>7</v>
      </c>
      <c r="AO40" s="133">
        <v>14</v>
      </c>
    </row>
    <row r="41" spans="10:41" ht="16.5" customHeight="1" x14ac:dyDescent="0.3">
      <c r="J41" s="9">
        <v>37</v>
      </c>
      <c r="K41" s="16" t="s">
        <v>35</v>
      </c>
      <c r="L41" s="16" t="s">
        <v>126</v>
      </c>
      <c r="M41" s="16" t="s">
        <v>126</v>
      </c>
      <c r="N41" s="16" t="s">
        <v>125</v>
      </c>
      <c r="O41" s="16" t="s">
        <v>18</v>
      </c>
      <c r="Q41" s="9">
        <v>8</v>
      </c>
      <c r="R41" s="9">
        <v>15</v>
      </c>
      <c r="S41" s="9">
        <v>15</v>
      </c>
      <c r="T41" s="9">
        <v>6</v>
      </c>
      <c r="U41" s="9">
        <v>4</v>
      </c>
      <c r="W41" s="25">
        <v>1</v>
      </c>
      <c r="X41" s="25">
        <v>1</v>
      </c>
      <c r="Y41" s="25">
        <v>1</v>
      </c>
      <c r="Z41" s="25">
        <v>1</v>
      </c>
      <c r="AA41" s="25">
        <v>1</v>
      </c>
      <c r="AC41" s="138" t="str">
        <v>G1</v>
      </c>
      <c r="AD41" s="99">
        <v>0</v>
      </c>
      <c r="AE41" s="99">
        <v>3</v>
      </c>
      <c r="AF41" s="99">
        <v>3</v>
      </c>
      <c r="AG41" s="99">
        <v>2</v>
      </c>
      <c r="AH41" s="99">
        <v>0</v>
      </c>
      <c r="AI41" s="5"/>
      <c r="AJ41" s="138" t="str">
        <v>G1</v>
      </c>
      <c r="AK41" s="99">
        <v>0</v>
      </c>
      <c r="AL41" s="99">
        <v>3</v>
      </c>
      <c r="AM41" s="99">
        <v>3</v>
      </c>
      <c r="AN41" s="99">
        <v>2</v>
      </c>
      <c r="AO41" s="99">
        <v>0</v>
      </c>
    </row>
    <row r="42" spans="10:41" ht="16.5" customHeight="1" x14ac:dyDescent="0.3">
      <c r="J42" s="25">
        <v>38</v>
      </c>
      <c r="K42" s="16" t="s">
        <v>19</v>
      </c>
      <c r="L42" s="16" t="s">
        <v>19</v>
      </c>
      <c r="M42" s="16" t="s">
        <v>97</v>
      </c>
      <c r="N42" s="16" t="s">
        <v>18</v>
      </c>
      <c r="O42" s="16" t="s">
        <v>34</v>
      </c>
      <c r="Q42" s="9">
        <v>5</v>
      </c>
      <c r="R42" s="9">
        <v>5</v>
      </c>
      <c r="S42" s="9">
        <v>19</v>
      </c>
      <c r="T42" s="9">
        <v>4</v>
      </c>
      <c r="U42" s="9">
        <v>9</v>
      </c>
      <c r="W42" s="25">
        <v>1</v>
      </c>
      <c r="X42" s="25">
        <v>1</v>
      </c>
      <c r="Y42" s="25">
        <v>1</v>
      </c>
      <c r="Z42" s="25">
        <v>1</v>
      </c>
      <c r="AA42" s="25">
        <v>1</v>
      </c>
      <c r="AC42" s="138" t="str">
        <v>G2</v>
      </c>
      <c r="AD42" s="99">
        <v>0</v>
      </c>
      <c r="AE42" s="99">
        <v>4</v>
      </c>
      <c r="AF42" s="99">
        <v>1</v>
      </c>
      <c r="AG42" s="99">
        <v>2</v>
      </c>
      <c r="AH42" s="99">
        <v>0</v>
      </c>
      <c r="AI42" s="5"/>
      <c r="AJ42" s="138" t="str">
        <v>G2</v>
      </c>
      <c r="AK42" s="99">
        <v>0</v>
      </c>
      <c r="AL42" s="99">
        <v>4</v>
      </c>
      <c r="AM42" s="99">
        <v>1</v>
      </c>
      <c r="AN42" s="99">
        <v>2</v>
      </c>
      <c r="AO42" s="99">
        <v>0</v>
      </c>
    </row>
    <row r="43" spans="10:41" ht="16.5" customHeight="1" x14ac:dyDescent="0.3">
      <c r="J43" s="9">
        <v>39</v>
      </c>
      <c r="K43" s="16" t="s">
        <v>35</v>
      </c>
      <c r="L43" s="16" t="s">
        <v>125</v>
      </c>
      <c r="M43" s="16" t="s">
        <v>88</v>
      </c>
      <c r="N43" s="16" t="s">
        <v>125</v>
      </c>
      <c r="O43" s="16" t="s">
        <v>37</v>
      </c>
      <c r="Q43" s="9">
        <v>8</v>
      </c>
      <c r="R43" s="9">
        <v>6</v>
      </c>
      <c r="S43" s="9">
        <v>11</v>
      </c>
      <c r="T43" s="9">
        <v>6</v>
      </c>
      <c r="U43" s="9">
        <v>7</v>
      </c>
      <c r="W43" s="25">
        <v>1</v>
      </c>
      <c r="X43" s="25">
        <v>1</v>
      </c>
      <c r="Y43" s="25">
        <v>1</v>
      </c>
      <c r="Z43" s="25">
        <v>1</v>
      </c>
      <c r="AA43" s="25">
        <v>1</v>
      </c>
      <c r="AC43" s="138" t="str">
        <v>G3</v>
      </c>
      <c r="AD43" s="99">
        <v>0</v>
      </c>
      <c r="AE43" s="99">
        <v>4</v>
      </c>
      <c r="AF43" s="99">
        <v>8</v>
      </c>
      <c r="AG43" s="99">
        <v>3</v>
      </c>
      <c r="AH43" s="99">
        <v>0</v>
      </c>
      <c r="AI43" s="5"/>
      <c r="AJ43" s="138" t="str">
        <v>G3</v>
      </c>
      <c r="AK43" s="99">
        <v>0</v>
      </c>
      <c r="AL43" s="99">
        <v>4</v>
      </c>
      <c r="AM43" s="99">
        <v>8</v>
      </c>
      <c r="AN43" s="99">
        <v>3</v>
      </c>
      <c r="AO43" s="99">
        <v>0</v>
      </c>
    </row>
    <row r="44" spans="10:41" ht="16.5" customHeight="1" x14ac:dyDescent="0.3">
      <c r="J44" s="25">
        <v>40</v>
      </c>
      <c r="K44" s="16" t="s">
        <v>125</v>
      </c>
      <c r="L44" s="16" t="s">
        <v>36</v>
      </c>
      <c r="M44" s="16" t="s">
        <v>91</v>
      </c>
      <c r="N44" s="16" t="s">
        <v>35</v>
      </c>
      <c r="O44" s="16" t="s">
        <v>34</v>
      </c>
      <c r="Q44" s="9">
        <v>6</v>
      </c>
      <c r="R44" s="9">
        <v>10</v>
      </c>
      <c r="S44" s="9">
        <v>14</v>
      </c>
      <c r="T44" s="9">
        <v>8</v>
      </c>
      <c r="U44" s="9">
        <v>9</v>
      </c>
      <c r="W44" s="25">
        <v>1</v>
      </c>
      <c r="X44" s="25">
        <v>1</v>
      </c>
      <c r="Y44" s="25">
        <v>1</v>
      </c>
      <c r="Z44" s="25">
        <v>1</v>
      </c>
      <c r="AA44" s="25">
        <v>1</v>
      </c>
      <c r="AC44" s="138" t="str">
        <v>G4</v>
      </c>
      <c r="AD44" s="99">
        <v>0</v>
      </c>
      <c r="AE44" s="99">
        <v>8</v>
      </c>
      <c r="AF44" s="99">
        <v>43</v>
      </c>
      <c r="AG44" s="99">
        <v>9</v>
      </c>
      <c r="AH44" s="99">
        <v>0</v>
      </c>
      <c r="AI44" s="5"/>
      <c r="AJ44" s="138" t="str">
        <v>G4</v>
      </c>
      <c r="AK44" s="99">
        <v>0</v>
      </c>
      <c r="AL44" s="99">
        <v>8</v>
      </c>
      <c r="AM44" s="99">
        <v>43</v>
      </c>
      <c r="AN44" s="99">
        <v>9</v>
      </c>
      <c r="AO44" s="99">
        <v>0</v>
      </c>
    </row>
    <row r="45" spans="10:41" ht="16.5" customHeight="1" x14ac:dyDescent="0.3">
      <c r="J45" s="9">
        <v>41</v>
      </c>
      <c r="K45" s="16" t="s">
        <v>37</v>
      </c>
      <c r="L45" s="16" t="s">
        <v>22</v>
      </c>
      <c r="M45" s="16" t="s">
        <v>92</v>
      </c>
      <c r="N45" s="16" t="s">
        <v>19</v>
      </c>
      <c r="O45" s="16" t="s">
        <v>19</v>
      </c>
      <c r="Q45" s="9">
        <v>7</v>
      </c>
      <c r="R45" s="9">
        <v>3</v>
      </c>
      <c r="S45" s="9">
        <v>16</v>
      </c>
      <c r="T45" s="9">
        <v>5</v>
      </c>
      <c r="U45" s="9">
        <v>5</v>
      </c>
      <c r="W45" s="25">
        <v>1</v>
      </c>
      <c r="X45" s="25">
        <v>1</v>
      </c>
      <c r="Y45" s="25">
        <v>1</v>
      </c>
      <c r="Z45" s="25">
        <v>1</v>
      </c>
      <c r="AA45" s="25">
        <v>1</v>
      </c>
      <c r="AC45" s="138" t="str">
        <v>G5</v>
      </c>
      <c r="AD45" s="99">
        <v>0</v>
      </c>
      <c r="AE45" s="99">
        <v>8</v>
      </c>
      <c r="AF45" s="99">
        <v>42</v>
      </c>
      <c r="AG45" s="99">
        <v>10</v>
      </c>
      <c r="AH45" s="99">
        <v>0</v>
      </c>
      <c r="AI45" s="5"/>
      <c r="AJ45" s="138" t="str">
        <v>G5</v>
      </c>
      <c r="AK45" s="99">
        <v>0</v>
      </c>
      <c r="AL45" s="99">
        <v>8</v>
      </c>
      <c r="AM45" s="99">
        <v>42</v>
      </c>
      <c r="AN45" s="99">
        <v>10</v>
      </c>
      <c r="AO45" s="99">
        <v>0</v>
      </c>
    </row>
    <row r="46" spans="10:41" ht="16.5" customHeight="1" x14ac:dyDescent="0.3">
      <c r="J46" s="25">
        <v>42</v>
      </c>
      <c r="K46" s="16" t="s">
        <v>19</v>
      </c>
      <c r="L46" s="16" t="s">
        <v>37</v>
      </c>
      <c r="M46" s="16" t="s">
        <v>112</v>
      </c>
      <c r="N46" s="16" t="s">
        <v>125</v>
      </c>
      <c r="O46" s="16" t="s">
        <v>35</v>
      </c>
      <c r="Q46" s="9">
        <v>5</v>
      </c>
      <c r="R46" s="9">
        <v>7</v>
      </c>
      <c r="S46" s="9">
        <v>17</v>
      </c>
      <c r="T46" s="9">
        <v>6</v>
      </c>
      <c r="U46" s="9">
        <v>8</v>
      </c>
      <c r="W46" s="25">
        <v>1</v>
      </c>
      <c r="X46" s="25">
        <v>1</v>
      </c>
      <c r="Y46" s="25">
        <v>1</v>
      </c>
      <c r="Z46" s="25">
        <v>1</v>
      </c>
      <c r="AA46" s="25">
        <v>1</v>
      </c>
      <c r="AC46" s="138" t="str">
        <v>GA</v>
      </c>
      <c r="AD46" s="99">
        <v>0</v>
      </c>
      <c r="AE46" s="99">
        <v>11</v>
      </c>
      <c r="AF46" s="99">
        <v>42</v>
      </c>
      <c r="AG46" s="99">
        <v>7</v>
      </c>
      <c r="AH46" s="99">
        <v>0</v>
      </c>
      <c r="AI46" s="5"/>
      <c r="AJ46" s="138" t="str">
        <v>GA</v>
      </c>
      <c r="AK46" s="99">
        <v>0</v>
      </c>
      <c r="AL46" s="99">
        <v>11</v>
      </c>
      <c r="AM46" s="99">
        <v>42</v>
      </c>
      <c r="AN46" s="99">
        <v>7</v>
      </c>
      <c r="AO46" s="99">
        <v>0</v>
      </c>
    </row>
    <row r="47" spans="10:41" ht="16.5" customHeight="1" x14ac:dyDescent="0.3">
      <c r="J47" s="9">
        <v>43</v>
      </c>
      <c r="K47" s="16" t="s">
        <v>35</v>
      </c>
      <c r="L47" s="16" t="s">
        <v>36</v>
      </c>
      <c r="M47" s="16" t="s">
        <v>92</v>
      </c>
      <c r="N47" s="16" t="s">
        <v>36</v>
      </c>
      <c r="O47" s="16" t="s">
        <v>19</v>
      </c>
      <c r="Q47" s="9">
        <v>8</v>
      </c>
      <c r="R47" s="9">
        <v>10</v>
      </c>
      <c r="S47" s="9">
        <v>16</v>
      </c>
      <c r="T47" s="9">
        <v>10</v>
      </c>
      <c r="U47" s="9">
        <v>5</v>
      </c>
      <c r="W47" s="25">
        <v>1</v>
      </c>
      <c r="X47" s="25">
        <v>1</v>
      </c>
      <c r="Y47" s="25">
        <v>1</v>
      </c>
      <c r="Z47" s="25">
        <v>1</v>
      </c>
      <c r="AA47" s="25">
        <v>1</v>
      </c>
      <c r="AC47" s="138" t="str">
        <v>GK</v>
      </c>
      <c r="AD47" s="99">
        <v>0</v>
      </c>
      <c r="AE47" s="99">
        <v>8</v>
      </c>
      <c r="AF47" s="99">
        <v>43</v>
      </c>
      <c r="AG47" s="99">
        <v>7</v>
      </c>
      <c r="AH47" s="99">
        <v>0</v>
      </c>
      <c r="AI47" s="5"/>
      <c r="AJ47" s="138" t="str">
        <v>GK</v>
      </c>
      <c r="AK47" s="99">
        <v>0</v>
      </c>
      <c r="AL47" s="99">
        <v>8</v>
      </c>
      <c r="AM47" s="99">
        <v>43</v>
      </c>
      <c r="AN47" s="99">
        <v>7</v>
      </c>
      <c r="AO47" s="99">
        <v>0</v>
      </c>
    </row>
    <row r="48" spans="10:41" ht="16.5" customHeight="1" x14ac:dyDescent="0.3">
      <c r="J48" s="25">
        <v>44</v>
      </c>
      <c r="K48" s="16" t="s">
        <v>37</v>
      </c>
      <c r="L48" s="16" t="s">
        <v>125</v>
      </c>
      <c r="M48" s="16" t="s">
        <v>126</v>
      </c>
      <c r="N48" s="16" t="s">
        <v>35</v>
      </c>
      <c r="O48" s="16" t="s">
        <v>35</v>
      </c>
      <c r="Q48" s="9">
        <v>7</v>
      </c>
      <c r="R48" s="9">
        <v>6</v>
      </c>
      <c r="S48" s="9">
        <v>15</v>
      </c>
      <c r="T48" s="9">
        <v>8</v>
      </c>
      <c r="U48" s="9">
        <v>8</v>
      </c>
      <c r="W48" s="25">
        <v>1</v>
      </c>
      <c r="X48" s="25">
        <v>1</v>
      </c>
      <c r="Y48" s="25">
        <v>1</v>
      </c>
      <c r="Z48" s="25">
        <v>1</v>
      </c>
      <c r="AA48" s="25">
        <v>1</v>
      </c>
      <c r="AC48" s="138" t="str">
        <v>GQ</v>
      </c>
      <c r="AD48" s="99">
        <v>0</v>
      </c>
      <c r="AE48" s="99">
        <v>4</v>
      </c>
      <c r="AF48" s="99">
        <v>6</v>
      </c>
      <c r="AG48" s="99">
        <v>2</v>
      </c>
      <c r="AH48" s="99">
        <v>0</v>
      </c>
      <c r="AI48" s="5"/>
      <c r="AJ48" s="138" t="str">
        <v>GQ</v>
      </c>
      <c r="AK48" s="99">
        <v>0</v>
      </c>
      <c r="AL48" s="99">
        <v>4</v>
      </c>
      <c r="AM48" s="99">
        <v>6</v>
      </c>
      <c r="AN48" s="99">
        <v>2</v>
      </c>
      <c r="AO48" s="99">
        <v>0</v>
      </c>
    </row>
    <row r="49" spans="10:41" ht="16.5" customHeight="1" x14ac:dyDescent="0.3">
      <c r="J49" s="9">
        <v>45</v>
      </c>
      <c r="K49" s="16" t="s">
        <v>125</v>
      </c>
      <c r="L49" s="16" t="s">
        <v>19</v>
      </c>
      <c r="M49" s="16" t="s">
        <v>91</v>
      </c>
      <c r="N49" s="16" t="s">
        <v>125</v>
      </c>
      <c r="O49" s="16" t="s">
        <v>36</v>
      </c>
      <c r="Q49" s="9">
        <v>6</v>
      </c>
      <c r="R49" s="9">
        <v>5</v>
      </c>
      <c r="S49" s="9">
        <v>14</v>
      </c>
      <c r="T49" s="9">
        <v>6</v>
      </c>
      <c r="U49" s="9">
        <v>10</v>
      </c>
      <c r="W49" s="25">
        <v>1</v>
      </c>
      <c r="X49" s="25">
        <v>1</v>
      </c>
      <c r="Y49" s="25">
        <v>1</v>
      </c>
      <c r="Z49" s="25">
        <v>1</v>
      </c>
      <c r="AA49" s="25">
        <v>1</v>
      </c>
      <c r="AC49" s="138" t="str">
        <v>GJ</v>
      </c>
      <c r="AD49" s="99">
        <v>0</v>
      </c>
      <c r="AE49" s="99">
        <v>3</v>
      </c>
      <c r="AF49" s="99">
        <v>9</v>
      </c>
      <c r="AG49" s="99">
        <v>3</v>
      </c>
      <c r="AH49" s="99">
        <v>0</v>
      </c>
      <c r="AI49" s="5"/>
      <c r="AJ49" s="138" t="str">
        <v>GJ</v>
      </c>
      <c r="AK49" s="99">
        <v>0</v>
      </c>
      <c r="AL49" s="99">
        <v>3</v>
      </c>
      <c r="AM49" s="99">
        <v>9</v>
      </c>
      <c r="AN49" s="99">
        <v>3</v>
      </c>
      <c r="AO49" s="99">
        <v>0</v>
      </c>
    </row>
    <row r="50" spans="10:41" ht="16.5" customHeight="1" x14ac:dyDescent="0.3">
      <c r="J50" s="25">
        <v>46</v>
      </c>
      <c r="K50" s="16" t="s">
        <v>35</v>
      </c>
      <c r="L50" s="16" t="s">
        <v>34</v>
      </c>
      <c r="M50" s="16" t="s">
        <v>97</v>
      </c>
      <c r="N50" s="16" t="s">
        <v>92</v>
      </c>
      <c r="O50" s="16" t="s">
        <v>19</v>
      </c>
      <c r="Q50" s="9">
        <v>8</v>
      </c>
      <c r="R50" s="9">
        <v>9</v>
      </c>
      <c r="S50" s="9">
        <v>19</v>
      </c>
      <c r="T50" s="9">
        <v>16</v>
      </c>
      <c r="U50" s="9">
        <v>5</v>
      </c>
      <c r="W50" s="25">
        <v>1</v>
      </c>
      <c r="X50" s="25">
        <v>1</v>
      </c>
      <c r="Y50" s="25">
        <v>1</v>
      </c>
      <c r="Z50" s="25">
        <v>1</v>
      </c>
      <c r="AA50" s="25">
        <v>1</v>
      </c>
      <c r="AD50" s="113">
        <f>SUM(AD30:AD49)</f>
        <v>198</v>
      </c>
      <c r="AE50" s="113">
        <f>SUM(AE30:AE49)</f>
        <v>207</v>
      </c>
      <c r="AF50" s="113">
        <f>SUM(AF30:AF49)</f>
        <v>197</v>
      </c>
      <c r="AG50" s="113">
        <f>SUM(AG30:AG49)</f>
        <v>205</v>
      </c>
      <c r="AH50" s="113">
        <f>SUM(AH30:AH49)</f>
        <v>196</v>
      </c>
      <c r="AI50" s="5"/>
      <c r="AK50" s="113">
        <f>SUM(AK30:AK49)</f>
        <v>198</v>
      </c>
      <c r="AL50" s="113">
        <f>SUM(AL30:AL49)</f>
        <v>207</v>
      </c>
      <c r="AM50" s="113">
        <f>SUM(AM30:AM49)</f>
        <v>197</v>
      </c>
      <c r="AN50" s="113">
        <f>SUM(AN30:AN49)</f>
        <v>205</v>
      </c>
      <c r="AO50" s="113">
        <f>SUM(AO30:AO49)</f>
        <v>196</v>
      </c>
    </row>
    <row r="51" spans="10:41" ht="16.5" customHeight="1" x14ac:dyDescent="0.3">
      <c r="J51" s="9">
        <v>47</v>
      </c>
      <c r="K51" s="16" t="s">
        <v>19</v>
      </c>
      <c r="L51" s="16" t="s">
        <v>125</v>
      </c>
      <c r="M51" s="16" t="s">
        <v>92</v>
      </c>
      <c r="N51" s="16" t="s">
        <v>35</v>
      </c>
      <c r="O51" s="16" t="s">
        <v>125</v>
      </c>
      <c r="Q51" s="9">
        <v>5</v>
      </c>
      <c r="R51" s="9">
        <v>6</v>
      </c>
      <c r="S51" s="9">
        <v>16</v>
      </c>
      <c r="T51" s="9">
        <v>8</v>
      </c>
      <c r="U51" s="9">
        <v>6</v>
      </c>
      <c r="W51" s="25">
        <v>1</v>
      </c>
      <c r="X51" s="25">
        <v>1</v>
      </c>
      <c r="Y51" s="25">
        <v>1</v>
      </c>
      <c r="Z51" s="25">
        <v>1</v>
      </c>
      <c r="AA51" s="25">
        <v>1</v>
      </c>
      <c r="AH51" s="5"/>
      <c r="AI51" s="5"/>
      <c r="AO51" s="5"/>
    </row>
    <row r="52" spans="10:41" ht="16.5" customHeight="1" x14ac:dyDescent="0.3">
      <c r="J52" s="25">
        <v>48</v>
      </c>
      <c r="K52" s="16" t="s">
        <v>36</v>
      </c>
      <c r="L52" s="16" t="s">
        <v>22</v>
      </c>
      <c r="M52" s="16" t="s">
        <v>112</v>
      </c>
      <c r="N52" s="16" t="s">
        <v>91</v>
      </c>
      <c r="O52" s="16" t="s">
        <v>18</v>
      </c>
      <c r="Q52" s="9">
        <v>10</v>
      </c>
      <c r="R52" s="9">
        <v>3</v>
      </c>
      <c r="S52" s="9">
        <v>17</v>
      </c>
      <c r="T52" s="9">
        <v>14</v>
      </c>
      <c r="U52" s="9">
        <v>4</v>
      </c>
      <c r="W52" s="25">
        <v>1</v>
      </c>
      <c r="X52" s="25">
        <v>1</v>
      </c>
      <c r="Y52" s="25">
        <v>1</v>
      </c>
      <c r="Z52" s="25">
        <v>1</v>
      </c>
      <c r="AA52" s="25">
        <v>1</v>
      </c>
      <c r="AC52" s="27" t="s">
        <v>130</v>
      </c>
      <c r="AH52" s="5"/>
      <c r="AI52" s="5"/>
      <c r="AJ52" s="27" t="s">
        <v>130</v>
      </c>
      <c r="AO52" s="5"/>
    </row>
    <row r="53" spans="10:41" ht="16.5" customHeight="1" x14ac:dyDescent="0.3">
      <c r="J53" s="9">
        <v>49</v>
      </c>
      <c r="K53" s="16" t="s">
        <v>35</v>
      </c>
      <c r="L53" s="16" t="s">
        <v>37</v>
      </c>
      <c r="M53" s="16" t="s">
        <v>126</v>
      </c>
      <c r="N53" s="16" t="s">
        <v>126</v>
      </c>
      <c r="O53" s="16" t="s">
        <v>37</v>
      </c>
      <c r="Q53" s="9">
        <v>8</v>
      </c>
      <c r="R53" s="9">
        <v>7</v>
      </c>
      <c r="S53" s="9">
        <v>15</v>
      </c>
      <c r="T53" s="9">
        <v>15</v>
      </c>
      <c r="U53" s="9">
        <v>7</v>
      </c>
      <c r="W53" s="25">
        <v>1</v>
      </c>
      <c r="X53" s="25">
        <v>1</v>
      </c>
      <c r="Y53" s="25">
        <v>1</v>
      </c>
      <c r="Z53" s="25">
        <v>1</v>
      </c>
      <c r="AA53" s="25">
        <v>1</v>
      </c>
      <c r="AC53" s="135" t="s">
        <v>42</v>
      </c>
      <c r="AD53" s="135" t="s">
        <v>13</v>
      </c>
      <c r="AE53" s="135" t="s">
        <v>14</v>
      </c>
      <c r="AF53" s="135" t="s">
        <v>15</v>
      </c>
      <c r="AG53" s="135" t="s">
        <v>16</v>
      </c>
      <c r="AH53" s="135" t="s">
        <v>17</v>
      </c>
      <c r="AI53" s="5"/>
      <c r="AJ53" s="135" t="s">
        <v>42</v>
      </c>
      <c r="AK53" s="135" t="s">
        <v>13</v>
      </c>
      <c r="AL53" s="135" t="s">
        <v>14</v>
      </c>
      <c r="AM53" s="135" t="s">
        <v>15</v>
      </c>
      <c r="AN53" s="135" t="s">
        <v>16</v>
      </c>
      <c r="AO53" s="135" t="s">
        <v>17</v>
      </c>
    </row>
    <row r="54" spans="10:41" ht="16.5" customHeight="1" x14ac:dyDescent="0.3">
      <c r="J54" s="25">
        <v>50</v>
      </c>
      <c r="K54" s="16" t="s">
        <v>34</v>
      </c>
      <c r="L54" s="16" t="s">
        <v>126</v>
      </c>
      <c r="M54" s="16" t="s">
        <v>90</v>
      </c>
      <c r="N54" s="16" t="s">
        <v>112</v>
      </c>
      <c r="O54" s="16" t="s">
        <v>21</v>
      </c>
      <c r="Q54" s="9">
        <v>9</v>
      </c>
      <c r="R54" s="9">
        <v>15</v>
      </c>
      <c r="S54" s="9">
        <v>13</v>
      </c>
      <c r="T54" s="9">
        <v>17</v>
      </c>
      <c r="U54" s="9">
        <v>2</v>
      </c>
      <c r="W54" s="25">
        <v>1</v>
      </c>
      <c r="X54" s="25">
        <v>1</v>
      </c>
      <c r="Y54" s="25">
        <v>1</v>
      </c>
      <c r="Z54" s="25">
        <v>1</v>
      </c>
      <c r="AA54" s="25">
        <v>1</v>
      </c>
      <c r="AC54" s="138" t="str" cm="1">
        <f t="array" ref="AC54:AC73">$A$4:$A$23</f>
        <v>WW</v>
      </c>
      <c r="AD54" s="139">
        <v>0</v>
      </c>
      <c r="AE54" s="139">
        <v>0</v>
      </c>
      <c r="AF54" s="139">
        <v>0</v>
      </c>
      <c r="AG54" s="139">
        <v>0</v>
      </c>
      <c r="AH54" s="139">
        <v>0</v>
      </c>
      <c r="AI54" s="5"/>
      <c r="AJ54" s="138" t="str" cm="1">
        <f t="array" ref="AJ54:AJ73">$A$4:$A$23</f>
        <v>WW</v>
      </c>
      <c r="AK54" s="139">
        <v>0</v>
      </c>
      <c r="AL54" s="139">
        <v>0</v>
      </c>
      <c r="AM54" s="139">
        <v>0</v>
      </c>
      <c r="AN54" s="139">
        <v>0</v>
      </c>
      <c r="AO54" s="139">
        <v>0</v>
      </c>
    </row>
    <row r="55" spans="10:41" ht="16.5" customHeight="1" x14ac:dyDescent="0.3">
      <c r="J55" s="9">
        <v>51</v>
      </c>
      <c r="K55" s="16" t="s">
        <v>19</v>
      </c>
      <c r="L55" s="16" t="s">
        <v>22</v>
      </c>
      <c r="M55" s="16" t="s">
        <v>91</v>
      </c>
      <c r="N55" s="16" t="s">
        <v>125</v>
      </c>
      <c r="O55" s="16" t="s">
        <v>125</v>
      </c>
      <c r="Q55" s="9">
        <v>5</v>
      </c>
      <c r="R55" s="9">
        <v>3</v>
      </c>
      <c r="S55" s="9">
        <v>14</v>
      </c>
      <c r="T55" s="9">
        <v>6</v>
      </c>
      <c r="U55" s="9">
        <v>6</v>
      </c>
      <c r="W55" s="25">
        <v>1</v>
      </c>
      <c r="X55" s="25">
        <v>1</v>
      </c>
      <c r="Y55" s="25">
        <v>1</v>
      </c>
      <c r="Z55" s="25">
        <v>1</v>
      </c>
      <c r="AA55" s="25">
        <v>1</v>
      </c>
      <c r="AC55" s="138" t="str">
        <v>C1</v>
      </c>
      <c r="AD55" s="138">
        <v>1</v>
      </c>
      <c r="AE55" s="138">
        <v>1</v>
      </c>
      <c r="AF55" s="138">
        <v>0</v>
      </c>
      <c r="AG55" s="138">
        <v>1</v>
      </c>
      <c r="AH55" s="138">
        <v>1</v>
      </c>
      <c r="AI55" s="5"/>
      <c r="AJ55" s="138" t="str">
        <v>C1</v>
      </c>
      <c r="AK55" s="138">
        <v>1</v>
      </c>
      <c r="AL55" s="138">
        <v>1</v>
      </c>
      <c r="AM55" s="138">
        <v>0</v>
      </c>
      <c r="AN55" s="138">
        <v>1</v>
      </c>
      <c r="AO55" s="138">
        <v>1</v>
      </c>
    </row>
    <row r="56" spans="10:41" ht="16.5" customHeight="1" x14ac:dyDescent="0.3">
      <c r="J56" s="25">
        <v>52</v>
      </c>
      <c r="K56" s="16" t="s">
        <v>35</v>
      </c>
      <c r="L56" s="16" t="s">
        <v>19</v>
      </c>
      <c r="M56" s="16" t="s">
        <v>90</v>
      </c>
      <c r="N56" s="16" t="s">
        <v>35</v>
      </c>
      <c r="O56" s="16" t="s">
        <v>37</v>
      </c>
      <c r="Q56" s="9">
        <v>8</v>
      </c>
      <c r="R56" s="9">
        <v>5</v>
      </c>
      <c r="S56" s="9">
        <v>13</v>
      </c>
      <c r="T56" s="9">
        <v>8</v>
      </c>
      <c r="U56" s="9">
        <v>7</v>
      </c>
      <c r="W56" s="25">
        <v>1</v>
      </c>
      <c r="X56" s="25">
        <v>1</v>
      </c>
      <c r="Y56" s="25">
        <v>1</v>
      </c>
      <c r="Z56" s="25">
        <v>1</v>
      </c>
      <c r="AA56" s="25">
        <v>1</v>
      </c>
      <c r="AC56" s="154" t="str">
        <v>M1</v>
      </c>
      <c r="AD56" s="133">
        <v>3</v>
      </c>
      <c r="AE56" s="133">
        <v>10</v>
      </c>
      <c r="AF56" s="133">
        <v>0</v>
      </c>
      <c r="AG56" s="133">
        <v>3</v>
      </c>
      <c r="AH56" s="133">
        <v>9</v>
      </c>
      <c r="AI56" s="5"/>
      <c r="AJ56" s="154" t="str">
        <v>M1</v>
      </c>
      <c r="AK56" s="133">
        <v>3</v>
      </c>
      <c r="AL56" s="133">
        <v>10</v>
      </c>
      <c r="AM56" s="133">
        <v>0</v>
      </c>
      <c r="AN56" s="133">
        <v>3</v>
      </c>
      <c r="AO56" s="133">
        <v>9</v>
      </c>
    </row>
    <row r="57" spans="10:41" ht="16.5" customHeight="1" x14ac:dyDescent="0.3">
      <c r="J57" s="9">
        <v>53</v>
      </c>
      <c r="K57" s="16" t="s">
        <v>21</v>
      </c>
      <c r="L57" s="16" t="s">
        <v>88</v>
      </c>
      <c r="M57" s="16" t="s">
        <v>112</v>
      </c>
      <c r="N57" s="16" t="s">
        <v>92</v>
      </c>
      <c r="O57" s="16" t="s">
        <v>19</v>
      </c>
      <c r="Q57" s="9">
        <v>2</v>
      </c>
      <c r="R57" s="9">
        <v>11</v>
      </c>
      <c r="S57" s="9">
        <v>17</v>
      </c>
      <c r="T57" s="9">
        <v>16</v>
      </c>
      <c r="U57" s="9">
        <v>5</v>
      </c>
      <c r="W57" s="25">
        <v>1</v>
      </c>
      <c r="X57" s="25">
        <v>1</v>
      </c>
      <c r="Y57" s="25">
        <v>1</v>
      </c>
      <c r="Z57" s="25">
        <v>1</v>
      </c>
      <c r="AA57" s="25">
        <v>1</v>
      </c>
      <c r="AC57" s="154" t="str">
        <v>M2</v>
      </c>
      <c r="AD57" s="133">
        <v>3</v>
      </c>
      <c r="AE57" s="133">
        <v>12</v>
      </c>
      <c r="AF57" s="133">
        <v>0</v>
      </c>
      <c r="AG57" s="133">
        <v>3</v>
      </c>
      <c r="AH57" s="133">
        <v>8</v>
      </c>
      <c r="AI57" s="5"/>
      <c r="AJ57" s="154" t="str">
        <v>M2</v>
      </c>
      <c r="AK57" s="133">
        <v>3</v>
      </c>
      <c r="AL57" s="133">
        <v>12</v>
      </c>
      <c r="AM57" s="133">
        <v>0</v>
      </c>
      <c r="AN57" s="133">
        <v>3</v>
      </c>
      <c r="AO57" s="133">
        <v>8</v>
      </c>
    </row>
    <row r="58" spans="10:41" ht="16.5" customHeight="1" x14ac:dyDescent="0.3">
      <c r="J58" s="25">
        <v>54</v>
      </c>
      <c r="K58" s="16" t="s">
        <v>35</v>
      </c>
      <c r="L58" s="16" t="s">
        <v>20</v>
      </c>
      <c r="M58" s="16" t="s">
        <v>91</v>
      </c>
      <c r="N58" s="16" t="s">
        <v>112</v>
      </c>
      <c r="O58" s="16" t="s">
        <v>35</v>
      </c>
      <c r="Q58" s="9">
        <v>8</v>
      </c>
      <c r="R58" s="9">
        <v>1</v>
      </c>
      <c r="S58" s="9">
        <v>14</v>
      </c>
      <c r="T58" s="9">
        <v>17</v>
      </c>
      <c r="U58" s="9">
        <v>8</v>
      </c>
      <c r="W58" s="25">
        <v>1</v>
      </c>
      <c r="X58" s="25">
        <v>1</v>
      </c>
      <c r="Y58" s="25">
        <v>1</v>
      </c>
      <c r="Z58" s="25">
        <v>1</v>
      </c>
      <c r="AA58" s="25">
        <v>1</v>
      </c>
      <c r="AC58" s="154" t="str">
        <v>M3</v>
      </c>
      <c r="AD58" s="133">
        <v>7</v>
      </c>
      <c r="AE58" s="133">
        <v>13</v>
      </c>
      <c r="AF58" s="133">
        <v>0</v>
      </c>
      <c r="AG58" s="133">
        <v>7</v>
      </c>
      <c r="AH58" s="133">
        <v>14</v>
      </c>
      <c r="AI58" s="5"/>
      <c r="AJ58" s="154" t="str">
        <v>M3</v>
      </c>
      <c r="AK58" s="133">
        <v>7</v>
      </c>
      <c r="AL58" s="133">
        <v>13</v>
      </c>
      <c r="AM58" s="133">
        <v>0</v>
      </c>
      <c r="AN58" s="133">
        <v>7</v>
      </c>
      <c r="AO58" s="133">
        <v>14</v>
      </c>
    </row>
    <row r="59" spans="10:41" ht="16.5" customHeight="1" x14ac:dyDescent="0.3">
      <c r="J59" s="9">
        <v>55</v>
      </c>
      <c r="K59" s="16" t="s">
        <v>125</v>
      </c>
      <c r="L59" s="16" t="s">
        <v>92</v>
      </c>
      <c r="M59" s="16" t="s">
        <v>126</v>
      </c>
      <c r="N59" s="16" t="s">
        <v>35</v>
      </c>
      <c r="O59" s="16" t="s">
        <v>34</v>
      </c>
      <c r="Q59" s="9">
        <v>6</v>
      </c>
      <c r="R59" s="9">
        <v>16</v>
      </c>
      <c r="S59" s="9">
        <v>15</v>
      </c>
      <c r="T59" s="9">
        <v>8</v>
      </c>
      <c r="U59" s="9">
        <v>9</v>
      </c>
      <c r="W59" s="25">
        <v>1</v>
      </c>
      <c r="X59" s="25">
        <v>1</v>
      </c>
      <c r="Y59" s="25">
        <v>1</v>
      </c>
      <c r="Z59" s="25">
        <v>1</v>
      </c>
      <c r="AA59" s="25">
        <v>1</v>
      </c>
      <c r="AC59" s="154" t="str">
        <v>M4</v>
      </c>
      <c r="AD59" s="133">
        <v>43</v>
      </c>
      <c r="AE59" s="133">
        <v>23</v>
      </c>
      <c r="AF59" s="133">
        <v>0</v>
      </c>
      <c r="AG59" s="133">
        <v>33</v>
      </c>
      <c r="AH59" s="133">
        <v>35</v>
      </c>
      <c r="AI59" s="5"/>
      <c r="AJ59" s="154" t="str">
        <v>M4</v>
      </c>
      <c r="AK59" s="133">
        <v>43</v>
      </c>
      <c r="AL59" s="133">
        <v>23</v>
      </c>
      <c r="AM59" s="133">
        <v>0</v>
      </c>
      <c r="AN59" s="133">
        <v>33</v>
      </c>
      <c r="AO59" s="133">
        <v>35</v>
      </c>
    </row>
    <row r="60" spans="10:41" ht="16.5" customHeight="1" x14ac:dyDescent="0.3">
      <c r="J60" s="25">
        <v>56</v>
      </c>
      <c r="K60" s="16" t="s">
        <v>18</v>
      </c>
      <c r="L60" s="16" t="s">
        <v>19</v>
      </c>
      <c r="M60" s="16" t="s">
        <v>112</v>
      </c>
      <c r="N60" s="16" t="s">
        <v>125</v>
      </c>
      <c r="O60" s="16" t="s">
        <v>35</v>
      </c>
      <c r="Q60" s="9">
        <v>4</v>
      </c>
      <c r="R60" s="9">
        <v>5</v>
      </c>
      <c r="S60" s="9">
        <v>17</v>
      </c>
      <c r="T60" s="9">
        <v>6</v>
      </c>
      <c r="U60" s="9">
        <v>8</v>
      </c>
      <c r="W60" s="25">
        <v>1</v>
      </c>
      <c r="X60" s="25">
        <v>1</v>
      </c>
      <c r="Y60" s="25">
        <v>1</v>
      </c>
      <c r="Z60" s="25">
        <v>1</v>
      </c>
      <c r="AA60" s="25">
        <v>1</v>
      </c>
      <c r="AC60" s="154" t="str">
        <v>M5</v>
      </c>
      <c r="AD60" s="133">
        <v>42</v>
      </c>
      <c r="AE60" s="133">
        <v>23</v>
      </c>
      <c r="AF60" s="133">
        <v>0</v>
      </c>
      <c r="AG60" s="133">
        <v>33</v>
      </c>
      <c r="AH60" s="133">
        <v>34</v>
      </c>
      <c r="AI60" s="5"/>
      <c r="AJ60" s="154" t="str">
        <v>M5</v>
      </c>
      <c r="AK60" s="133">
        <v>42</v>
      </c>
      <c r="AL60" s="133">
        <v>23</v>
      </c>
      <c r="AM60" s="133">
        <v>0</v>
      </c>
      <c r="AN60" s="133">
        <v>33</v>
      </c>
      <c r="AO60" s="133">
        <v>34</v>
      </c>
    </row>
    <row r="61" spans="10:41" x14ac:dyDescent="0.3">
      <c r="J61" s="9">
        <v>57</v>
      </c>
      <c r="K61" s="16" t="s">
        <v>35</v>
      </c>
      <c r="L61" s="16" t="s">
        <v>125</v>
      </c>
      <c r="M61" s="16" t="s">
        <v>126</v>
      </c>
      <c r="N61" s="16" t="s">
        <v>21</v>
      </c>
      <c r="O61" s="16" t="s">
        <v>18</v>
      </c>
      <c r="Q61" s="9">
        <v>8</v>
      </c>
      <c r="R61" s="9">
        <v>6</v>
      </c>
      <c r="S61" s="9">
        <v>15</v>
      </c>
      <c r="T61" s="9">
        <v>2</v>
      </c>
      <c r="U61" s="9">
        <v>4</v>
      </c>
      <c r="W61" s="25">
        <v>1</v>
      </c>
      <c r="X61" s="25">
        <v>1</v>
      </c>
      <c r="Y61" s="25">
        <v>1</v>
      </c>
      <c r="Z61" s="25">
        <v>1</v>
      </c>
      <c r="AA61" s="25">
        <v>1</v>
      </c>
      <c r="AC61" s="154" t="str">
        <v>A</v>
      </c>
      <c r="AD61" s="133">
        <v>43</v>
      </c>
      <c r="AE61" s="133">
        <v>27</v>
      </c>
      <c r="AF61" s="133">
        <v>0</v>
      </c>
      <c r="AG61" s="133">
        <v>33</v>
      </c>
      <c r="AH61" s="133">
        <v>34</v>
      </c>
      <c r="AI61" s="5"/>
      <c r="AJ61" s="154" t="str">
        <v>A</v>
      </c>
      <c r="AK61" s="133">
        <v>43</v>
      </c>
      <c r="AL61" s="133">
        <v>27</v>
      </c>
      <c r="AM61" s="133">
        <v>0</v>
      </c>
      <c r="AN61" s="133">
        <v>33</v>
      </c>
      <c r="AO61" s="133">
        <v>34</v>
      </c>
    </row>
    <row r="62" spans="10:41" x14ac:dyDescent="0.3">
      <c r="J62" s="25">
        <v>58</v>
      </c>
      <c r="K62" s="16" t="s">
        <v>125</v>
      </c>
      <c r="L62" s="16" t="s">
        <v>91</v>
      </c>
      <c r="M62" s="16" t="s">
        <v>92</v>
      </c>
      <c r="N62" s="16" t="s">
        <v>91</v>
      </c>
      <c r="O62" s="16" t="s">
        <v>36</v>
      </c>
      <c r="Q62" s="9">
        <v>6</v>
      </c>
      <c r="R62" s="9">
        <v>14</v>
      </c>
      <c r="S62" s="9">
        <v>16</v>
      </c>
      <c r="T62" s="9">
        <v>14</v>
      </c>
      <c r="U62" s="9">
        <v>10</v>
      </c>
      <c r="W62" s="25">
        <v>1</v>
      </c>
      <c r="X62" s="25">
        <v>1</v>
      </c>
      <c r="Y62" s="25">
        <v>1</v>
      </c>
      <c r="Z62" s="25">
        <v>1</v>
      </c>
      <c r="AA62" s="25">
        <v>1</v>
      </c>
      <c r="AC62" s="154" t="str">
        <v>K</v>
      </c>
      <c r="AD62" s="133">
        <v>43</v>
      </c>
      <c r="AE62" s="133">
        <v>25</v>
      </c>
      <c r="AF62" s="133">
        <v>0</v>
      </c>
      <c r="AG62" s="133">
        <v>34</v>
      </c>
      <c r="AH62" s="133">
        <v>34</v>
      </c>
      <c r="AI62" s="5"/>
      <c r="AJ62" s="154" t="str">
        <v>K</v>
      </c>
      <c r="AK62" s="133">
        <v>43</v>
      </c>
      <c r="AL62" s="133">
        <v>25</v>
      </c>
      <c r="AM62" s="133">
        <v>0</v>
      </c>
      <c r="AN62" s="133">
        <v>34</v>
      </c>
      <c r="AO62" s="133">
        <v>34</v>
      </c>
    </row>
    <row r="63" spans="10:41" ht="16.5" customHeight="1" x14ac:dyDescent="0.3">
      <c r="J63" s="9">
        <v>59</v>
      </c>
      <c r="K63" s="16" t="s">
        <v>35</v>
      </c>
      <c r="L63" s="16" t="s">
        <v>21</v>
      </c>
      <c r="M63" s="16" t="s">
        <v>126</v>
      </c>
      <c r="N63" s="16" t="s">
        <v>35</v>
      </c>
      <c r="O63" s="16" t="s">
        <v>18</v>
      </c>
      <c r="Q63" s="9">
        <v>8</v>
      </c>
      <c r="R63" s="9">
        <v>2</v>
      </c>
      <c r="S63" s="9">
        <v>15</v>
      </c>
      <c r="T63" s="9">
        <v>8</v>
      </c>
      <c r="U63" s="9">
        <v>4</v>
      </c>
      <c r="W63" s="25">
        <v>1</v>
      </c>
      <c r="X63" s="25">
        <v>1</v>
      </c>
      <c r="Y63" s="25">
        <v>1</v>
      </c>
      <c r="Z63" s="25">
        <v>1</v>
      </c>
      <c r="AA63" s="25">
        <v>1</v>
      </c>
      <c r="AC63" s="154" t="str">
        <v>Q</v>
      </c>
      <c r="AD63" s="133">
        <v>7</v>
      </c>
      <c r="AE63" s="133">
        <v>12</v>
      </c>
      <c r="AF63" s="133">
        <v>0</v>
      </c>
      <c r="AG63" s="133">
        <v>6</v>
      </c>
      <c r="AH63" s="133">
        <v>13</v>
      </c>
      <c r="AI63" s="5"/>
      <c r="AJ63" s="154" t="str">
        <v>Q</v>
      </c>
      <c r="AK63" s="133">
        <v>7</v>
      </c>
      <c r="AL63" s="133">
        <v>12</v>
      </c>
      <c r="AM63" s="133">
        <v>0</v>
      </c>
      <c r="AN63" s="133">
        <v>6</v>
      </c>
      <c r="AO63" s="133">
        <v>13</v>
      </c>
    </row>
    <row r="64" spans="10:41" ht="16.5" customHeight="1" x14ac:dyDescent="0.3">
      <c r="J64" s="25">
        <v>60</v>
      </c>
      <c r="K64" s="16" t="s">
        <v>19</v>
      </c>
      <c r="L64" s="16" t="s">
        <v>89</v>
      </c>
      <c r="M64" s="16" t="s">
        <v>112</v>
      </c>
      <c r="N64" s="16" t="s">
        <v>125</v>
      </c>
      <c r="O64" s="16" t="s">
        <v>37</v>
      </c>
      <c r="Q64" s="9">
        <v>5</v>
      </c>
      <c r="R64" s="9">
        <v>12</v>
      </c>
      <c r="S64" s="9">
        <v>17</v>
      </c>
      <c r="T64" s="9">
        <v>6</v>
      </c>
      <c r="U64" s="9">
        <v>7</v>
      </c>
      <c r="W64" s="25">
        <v>1</v>
      </c>
      <c r="X64" s="25">
        <v>1</v>
      </c>
      <c r="Y64" s="25">
        <v>1</v>
      </c>
      <c r="Z64" s="25">
        <v>1</v>
      </c>
      <c r="AA64" s="25">
        <v>1</v>
      </c>
      <c r="AC64" s="154" t="str">
        <v>J</v>
      </c>
      <c r="AD64" s="133">
        <v>6</v>
      </c>
      <c r="AE64" s="133">
        <v>8</v>
      </c>
      <c r="AF64" s="133">
        <v>0</v>
      </c>
      <c r="AG64" s="133">
        <v>7</v>
      </c>
      <c r="AH64" s="133">
        <v>14</v>
      </c>
      <c r="AI64" s="5"/>
      <c r="AJ64" s="154" t="str">
        <v>J</v>
      </c>
      <c r="AK64" s="133">
        <v>6</v>
      </c>
      <c r="AL64" s="133">
        <v>8</v>
      </c>
      <c r="AM64" s="133">
        <v>0</v>
      </c>
      <c r="AN64" s="133">
        <v>7</v>
      </c>
      <c r="AO64" s="133">
        <v>14</v>
      </c>
    </row>
    <row r="65" spans="10:41" ht="16.5" customHeight="1" x14ac:dyDescent="0.3">
      <c r="J65" s="9">
        <v>61</v>
      </c>
      <c r="K65" s="16" t="s">
        <v>125</v>
      </c>
      <c r="L65" s="16" t="s">
        <v>125</v>
      </c>
      <c r="M65" s="16" t="s">
        <v>90</v>
      </c>
      <c r="N65" s="16" t="s">
        <v>19</v>
      </c>
      <c r="O65" s="16" t="s">
        <v>35</v>
      </c>
      <c r="Q65" s="9">
        <v>6</v>
      </c>
      <c r="R65" s="9">
        <v>6</v>
      </c>
      <c r="S65" s="9">
        <v>13</v>
      </c>
      <c r="T65" s="9">
        <v>5</v>
      </c>
      <c r="U65" s="9">
        <v>8</v>
      </c>
      <c r="W65" s="25">
        <v>1</v>
      </c>
      <c r="X65" s="25">
        <v>1</v>
      </c>
      <c r="Y65" s="25">
        <v>1</v>
      </c>
      <c r="Z65" s="25">
        <v>1</v>
      </c>
      <c r="AA65" s="25">
        <v>1</v>
      </c>
      <c r="AC65" s="138" t="str">
        <v>G1</v>
      </c>
      <c r="AD65" s="99">
        <v>0</v>
      </c>
      <c r="AE65" s="99">
        <v>3</v>
      </c>
      <c r="AF65" s="99">
        <v>3</v>
      </c>
      <c r="AG65" s="99">
        <v>2</v>
      </c>
      <c r="AH65" s="99">
        <v>0</v>
      </c>
      <c r="AI65" s="5"/>
      <c r="AJ65" s="138" t="str">
        <v>G1</v>
      </c>
      <c r="AK65" s="99">
        <v>0</v>
      </c>
      <c r="AL65" s="99">
        <v>3</v>
      </c>
      <c r="AM65" s="99">
        <v>3</v>
      </c>
      <c r="AN65" s="99">
        <v>2</v>
      </c>
      <c r="AO65" s="99">
        <v>0</v>
      </c>
    </row>
    <row r="66" spans="10:41" ht="16.5" customHeight="1" x14ac:dyDescent="0.3">
      <c r="J66" s="25">
        <v>62</v>
      </c>
      <c r="K66" s="16" t="s">
        <v>37</v>
      </c>
      <c r="L66" s="16" t="s">
        <v>95</v>
      </c>
      <c r="M66" s="16" t="s">
        <v>112</v>
      </c>
      <c r="N66" s="16" t="s">
        <v>125</v>
      </c>
      <c r="O66" s="16" t="s">
        <v>125</v>
      </c>
      <c r="Q66" s="9">
        <v>7</v>
      </c>
      <c r="R66" s="9">
        <v>18</v>
      </c>
      <c r="S66" s="9">
        <v>17</v>
      </c>
      <c r="T66" s="9">
        <v>6</v>
      </c>
      <c r="U66" s="9">
        <v>6</v>
      </c>
      <c r="W66" s="25">
        <v>1</v>
      </c>
      <c r="X66" s="25">
        <v>1</v>
      </c>
      <c r="Y66" s="25">
        <v>1</v>
      </c>
      <c r="Z66" s="25">
        <v>1</v>
      </c>
      <c r="AA66" s="25">
        <v>1</v>
      </c>
      <c r="AC66" s="138" t="str">
        <v>G2</v>
      </c>
      <c r="AD66" s="99">
        <v>0</v>
      </c>
      <c r="AE66" s="99">
        <v>4</v>
      </c>
      <c r="AF66" s="99">
        <v>1</v>
      </c>
      <c r="AG66" s="99">
        <v>2</v>
      </c>
      <c r="AH66" s="99">
        <v>0</v>
      </c>
      <c r="AI66" s="5"/>
      <c r="AJ66" s="138" t="str">
        <v>G2</v>
      </c>
      <c r="AK66" s="99">
        <v>0</v>
      </c>
      <c r="AL66" s="99">
        <v>4</v>
      </c>
      <c r="AM66" s="99">
        <v>1</v>
      </c>
      <c r="AN66" s="99">
        <v>2</v>
      </c>
      <c r="AO66" s="99">
        <v>0</v>
      </c>
    </row>
    <row r="67" spans="10:41" ht="16.5" customHeight="1" x14ac:dyDescent="0.3">
      <c r="J67" s="9">
        <v>63</v>
      </c>
      <c r="K67" s="16" t="s">
        <v>19</v>
      </c>
      <c r="L67" s="16" t="s">
        <v>18</v>
      </c>
      <c r="M67" s="16" t="s">
        <v>92</v>
      </c>
      <c r="N67" s="16" t="s">
        <v>35</v>
      </c>
      <c r="O67" s="16" t="s">
        <v>35</v>
      </c>
      <c r="Q67" s="9">
        <v>5</v>
      </c>
      <c r="R67" s="9">
        <v>4</v>
      </c>
      <c r="S67" s="9">
        <v>16</v>
      </c>
      <c r="T67" s="9">
        <v>8</v>
      </c>
      <c r="U67" s="9">
        <v>8</v>
      </c>
      <c r="W67" s="25">
        <v>1</v>
      </c>
      <c r="X67" s="25">
        <v>1</v>
      </c>
      <c r="Y67" s="25">
        <v>1</v>
      </c>
      <c r="Z67" s="25">
        <v>1</v>
      </c>
      <c r="AA67" s="25">
        <v>1</v>
      </c>
      <c r="AC67" s="138" t="str">
        <v>G3</v>
      </c>
      <c r="AD67" s="99">
        <v>0</v>
      </c>
      <c r="AE67" s="99">
        <v>4</v>
      </c>
      <c r="AF67" s="99">
        <v>8</v>
      </c>
      <c r="AG67" s="99">
        <v>3</v>
      </c>
      <c r="AH67" s="99">
        <v>0</v>
      </c>
      <c r="AI67" s="5"/>
      <c r="AJ67" s="138" t="str">
        <v>G3</v>
      </c>
      <c r="AK67" s="99">
        <v>0</v>
      </c>
      <c r="AL67" s="99">
        <v>4</v>
      </c>
      <c r="AM67" s="99">
        <v>8</v>
      </c>
      <c r="AN67" s="99">
        <v>3</v>
      </c>
      <c r="AO67" s="99">
        <v>0</v>
      </c>
    </row>
    <row r="68" spans="10:41" ht="16.5" customHeight="1" x14ac:dyDescent="0.3">
      <c r="J68" s="25">
        <v>64</v>
      </c>
      <c r="K68" s="16" t="s">
        <v>37</v>
      </c>
      <c r="L68" s="16" t="s">
        <v>37</v>
      </c>
      <c r="M68" s="16" t="s">
        <v>91</v>
      </c>
      <c r="N68" s="16" t="s">
        <v>19</v>
      </c>
      <c r="O68" s="16" t="s">
        <v>19</v>
      </c>
      <c r="Q68" s="9">
        <v>7</v>
      </c>
      <c r="R68" s="9">
        <v>7</v>
      </c>
      <c r="S68" s="9">
        <v>14</v>
      </c>
      <c r="T68" s="9">
        <v>5</v>
      </c>
      <c r="U68" s="9">
        <v>5</v>
      </c>
      <c r="W68" s="25">
        <v>1</v>
      </c>
      <c r="X68" s="25">
        <v>1</v>
      </c>
      <c r="Y68" s="25">
        <v>1</v>
      </c>
      <c r="Z68" s="25">
        <v>1</v>
      </c>
      <c r="AA68" s="25">
        <v>1</v>
      </c>
      <c r="AC68" s="138" t="str">
        <v>G4</v>
      </c>
      <c r="AD68" s="99">
        <v>0</v>
      </c>
      <c r="AE68" s="99">
        <v>8</v>
      </c>
      <c r="AF68" s="99">
        <v>43</v>
      </c>
      <c r="AG68" s="99">
        <v>9</v>
      </c>
      <c r="AH68" s="99">
        <v>0</v>
      </c>
      <c r="AI68" s="5"/>
      <c r="AJ68" s="138" t="str">
        <v>G4</v>
      </c>
      <c r="AK68" s="99">
        <v>0</v>
      </c>
      <c r="AL68" s="99">
        <v>8</v>
      </c>
      <c r="AM68" s="99">
        <v>43</v>
      </c>
      <c r="AN68" s="99">
        <v>9</v>
      </c>
      <c r="AO68" s="99">
        <v>0</v>
      </c>
    </row>
    <row r="69" spans="10:41" ht="16.5" customHeight="1" x14ac:dyDescent="0.3">
      <c r="J69" s="9">
        <v>65</v>
      </c>
      <c r="K69" s="16" t="s">
        <v>35</v>
      </c>
      <c r="L69" s="16" t="s">
        <v>18</v>
      </c>
      <c r="M69" s="16" t="s">
        <v>126</v>
      </c>
      <c r="N69" s="16" t="s">
        <v>125</v>
      </c>
      <c r="O69" s="16" t="s">
        <v>125</v>
      </c>
      <c r="Q69" s="9">
        <v>8</v>
      </c>
      <c r="R69" s="9">
        <v>4</v>
      </c>
      <c r="S69" s="9">
        <v>15</v>
      </c>
      <c r="T69" s="9">
        <v>6</v>
      </c>
      <c r="U69" s="9">
        <v>6</v>
      </c>
      <c r="W69" s="25">
        <v>1</v>
      </c>
      <c r="X69" s="25">
        <v>1</v>
      </c>
      <c r="Y69" s="25">
        <v>1</v>
      </c>
      <c r="Z69" s="25">
        <v>1</v>
      </c>
      <c r="AA69" s="25">
        <v>1</v>
      </c>
      <c r="AC69" s="138" t="str">
        <v>G5</v>
      </c>
      <c r="AD69" s="99">
        <v>0</v>
      </c>
      <c r="AE69" s="99">
        <v>8</v>
      </c>
      <c r="AF69" s="99">
        <v>42</v>
      </c>
      <c r="AG69" s="99">
        <v>10</v>
      </c>
      <c r="AH69" s="99">
        <v>0</v>
      </c>
      <c r="AI69" s="5"/>
      <c r="AJ69" s="138" t="str">
        <v>G5</v>
      </c>
      <c r="AK69" s="99">
        <v>0</v>
      </c>
      <c r="AL69" s="99">
        <v>8</v>
      </c>
      <c r="AM69" s="99">
        <v>42</v>
      </c>
      <c r="AN69" s="99">
        <v>10</v>
      </c>
      <c r="AO69" s="99">
        <v>0</v>
      </c>
    </row>
    <row r="70" spans="10:41" ht="16.5" customHeight="1" x14ac:dyDescent="0.3">
      <c r="J70" s="25">
        <v>66</v>
      </c>
      <c r="K70" s="16" t="s">
        <v>37</v>
      </c>
      <c r="L70" s="16" t="s">
        <v>112</v>
      </c>
      <c r="M70" s="16" t="s">
        <v>112</v>
      </c>
      <c r="N70" s="16" t="s">
        <v>20</v>
      </c>
      <c r="O70" s="16" t="s">
        <v>36</v>
      </c>
      <c r="Q70" s="9">
        <v>7</v>
      </c>
      <c r="R70" s="9">
        <v>17</v>
      </c>
      <c r="S70" s="9">
        <v>17</v>
      </c>
      <c r="T70" s="9">
        <v>1</v>
      </c>
      <c r="U70" s="9">
        <v>10</v>
      </c>
      <c r="W70" s="25">
        <v>1</v>
      </c>
      <c r="X70" s="25">
        <v>1</v>
      </c>
      <c r="Y70" s="25">
        <v>1</v>
      </c>
      <c r="Z70" s="25">
        <v>1</v>
      </c>
      <c r="AA70" s="25">
        <v>1</v>
      </c>
      <c r="AC70" s="138" t="str">
        <v>GA</v>
      </c>
      <c r="AD70" s="99">
        <v>0</v>
      </c>
      <c r="AE70" s="99">
        <v>11</v>
      </c>
      <c r="AF70" s="99">
        <v>42</v>
      </c>
      <c r="AG70" s="99">
        <v>7</v>
      </c>
      <c r="AH70" s="99">
        <v>0</v>
      </c>
      <c r="AI70" s="5"/>
      <c r="AJ70" s="138" t="str">
        <v>GA</v>
      </c>
      <c r="AK70" s="99">
        <v>0</v>
      </c>
      <c r="AL70" s="99">
        <v>11</v>
      </c>
      <c r="AM70" s="99">
        <v>42</v>
      </c>
      <c r="AN70" s="99">
        <v>7</v>
      </c>
      <c r="AO70" s="99">
        <v>0</v>
      </c>
    </row>
    <row r="71" spans="10:41" ht="16.5" customHeight="1" x14ac:dyDescent="0.3">
      <c r="J71" s="9">
        <v>67</v>
      </c>
      <c r="K71" s="16" t="s">
        <v>125</v>
      </c>
      <c r="L71" s="16" t="s">
        <v>19</v>
      </c>
      <c r="M71" s="16" t="s">
        <v>91</v>
      </c>
      <c r="N71" s="16" t="s">
        <v>19</v>
      </c>
      <c r="O71" s="16" t="s">
        <v>35</v>
      </c>
      <c r="Q71" s="9">
        <v>6</v>
      </c>
      <c r="R71" s="9">
        <v>5</v>
      </c>
      <c r="S71" s="9">
        <v>14</v>
      </c>
      <c r="T71" s="9">
        <v>5</v>
      </c>
      <c r="U71" s="9">
        <v>8</v>
      </c>
      <c r="W71" s="25">
        <v>1</v>
      </c>
      <c r="X71" s="25">
        <v>1</v>
      </c>
      <c r="Y71" s="25">
        <v>1</v>
      </c>
      <c r="Z71" s="25">
        <v>1</v>
      </c>
      <c r="AA71" s="25">
        <v>1</v>
      </c>
      <c r="AC71" s="138" t="str">
        <v>GK</v>
      </c>
      <c r="AD71" s="99">
        <v>0</v>
      </c>
      <c r="AE71" s="99">
        <v>8</v>
      </c>
      <c r="AF71" s="99">
        <v>43</v>
      </c>
      <c r="AG71" s="99">
        <v>7</v>
      </c>
      <c r="AH71" s="99">
        <v>0</v>
      </c>
      <c r="AI71" s="5"/>
      <c r="AJ71" s="138" t="str">
        <v>GK</v>
      </c>
      <c r="AK71" s="99">
        <v>0</v>
      </c>
      <c r="AL71" s="99">
        <v>8</v>
      </c>
      <c r="AM71" s="99">
        <v>43</v>
      </c>
      <c r="AN71" s="99">
        <v>7</v>
      </c>
      <c r="AO71" s="99">
        <v>0</v>
      </c>
    </row>
    <row r="72" spans="10:41" ht="16.5" customHeight="1" x14ac:dyDescent="0.3">
      <c r="J72" s="25">
        <v>68</v>
      </c>
      <c r="K72" s="16" t="s">
        <v>19</v>
      </c>
      <c r="L72" s="16" t="s">
        <v>34</v>
      </c>
      <c r="M72" s="16" t="s">
        <v>112</v>
      </c>
      <c r="N72" s="16" t="s">
        <v>125</v>
      </c>
      <c r="O72" s="16" t="s">
        <v>36</v>
      </c>
      <c r="Q72" s="9">
        <v>5</v>
      </c>
      <c r="R72" s="9">
        <v>9</v>
      </c>
      <c r="S72" s="9">
        <v>17</v>
      </c>
      <c r="T72" s="9">
        <v>6</v>
      </c>
      <c r="U72" s="9">
        <v>10</v>
      </c>
      <c r="W72" s="25">
        <v>1</v>
      </c>
      <c r="X72" s="25">
        <v>1</v>
      </c>
      <c r="Y72" s="25">
        <v>1</v>
      </c>
      <c r="Z72" s="25">
        <v>1</v>
      </c>
      <c r="AA72" s="25">
        <v>1</v>
      </c>
      <c r="AC72" s="138" t="str">
        <v>GQ</v>
      </c>
      <c r="AD72" s="99">
        <v>0</v>
      </c>
      <c r="AE72" s="99">
        <v>4</v>
      </c>
      <c r="AF72" s="99">
        <v>6</v>
      </c>
      <c r="AG72" s="99">
        <v>2</v>
      </c>
      <c r="AH72" s="99">
        <v>0</v>
      </c>
      <c r="AI72" s="5"/>
      <c r="AJ72" s="138" t="str">
        <v>GQ</v>
      </c>
      <c r="AK72" s="99">
        <v>0</v>
      </c>
      <c r="AL72" s="99">
        <v>4</v>
      </c>
      <c r="AM72" s="99">
        <v>6</v>
      </c>
      <c r="AN72" s="99">
        <v>2</v>
      </c>
      <c r="AO72" s="99">
        <v>0</v>
      </c>
    </row>
    <row r="73" spans="10:41" ht="16.5" customHeight="1" x14ac:dyDescent="0.3">
      <c r="J73" s="9">
        <v>69</v>
      </c>
      <c r="K73" s="16" t="s">
        <v>35</v>
      </c>
      <c r="L73" s="16" t="s">
        <v>19</v>
      </c>
      <c r="M73" s="16" t="s">
        <v>126</v>
      </c>
      <c r="N73" s="16" t="s">
        <v>35</v>
      </c>
      <c r="O73" s="16" t="s">
        <v>19</v>
      </c>
      <c r="Q73" s="9">
        <v>8</v>
      </c>
      <c r="R73" s="9">
        <v>5</v>
      </c>
      <c r="S73" s="9">
        <v>15</v>
      </c>
      <c r="T73" s="9">
        <v>8</v>
      </c>
      <c r="U73" s="9">
        <v>5</v>
      </c>
      <c r="W73" s="25">
        <v>1</v>
      </c>
      <c r="X73" s="25">
        <v>1</v>
      </c>
      <c r="Y73" s="25">
        <v>1</v>
      </c>
      <c r="Z73" s="25">
        <v>1</v>
      </c>
      <c r="AA73" s="25">
        <v>1</v>
      </c>
      <c r="AC73" s="138" t="str">
        <v>GJ</v>
      </c>
      <c r="AD73" s="99">
        <v>0</v>
      </c>
      <c r="AE73" s="99">
        <v>3</v>
      </c>
      <c r="AF73" s="99">
        <v>9</v>
      </c>
      <c r="AG73" s="99">
        <v>3</v>
      </c>
      <c r="AH73" s="99">
        <v>0</v>
      </c>
      <c r="AI73" s="5"/>
      <c r="AJ73" s="138" t="str">
        <v>GJ</v>
      </c>
      <c r="AK73" s="99">
        <v>0</v>
      </c>
      <c r="AL73" s="99">
        <v>3</v>
      </c>
      <c r="AM73" s="99">
        <v>9</v>
      </c>
      <c r="AN73" s="99">
        <v>3</v>
      </c>
      <c r="AO73" s="99">
        <v>0</v>
      </c>
    </row>
    <row r="74" spans="10:41" ht="16.5" customHeight="1" x14ac:dyDescent="0.3">
      <c r="J74" s="25">
        <v>70</v>
      </c>
      <c r="K74" s="16" t="s">
        <v>19</v>
      </c>
      <c r="L74" s="16" t="s">
        <v>125</v>
      </c>
      <c r="M74" s="16" t="s">
        <v>112</v>
      </c>
      <c r="N74" s="16" t="s">
        <v>125</v>
      </c>
      <c r="O74" s="16" t="s">
        <v>21</v>
      </c>
      <c r="Q74" s="9">
        <v>5</v>
      </c>
      <c r="R74" s="9">
        <v>6</v>
      </c>
      <c r="S74" s="9">
        <v>17</v>
      </c>
      <c r="T74" s="9">
        <v>6</v>
      </c>
      <c r="U74" s="9">
        <v>2</v>
      </c>
      <c r="W74" s="25">
        <v>1</v>
      </c>
      <c r="X74" s="25">
        <v>1</v>
      </c>
      <c r="Y74" s="25">
        <v>1</v>
      </c>
      <c r="Z74" s="25">
        <v>1</v>
      </c>
      <c r="AA74" s="25">
        <v>1</v>
      </c>
      <c r="AD74" s="113">
        <f>SUM(AD54:AD73)</f>
        <v>198</v>
      </c>
      <c r="AE74" s="113">
        <f>SUM(AE54:AE73)</f>
        <v>207</v>
      </c>
      <c r="AF74" s="113">
        <f>SUM(AF54:AF73)</f>
        <v>197</v>
      </c>
      <c r="AG74" s="113">
        <f>SUM(AG54:AG73)</f>
        <v>205</v>
      </c>
      <c r="AH74" s="113">
        <f>SUM(AH54:AH73)</f>
        <v>196</v>
      </c>
      <c r="AI74" s="5"/>
      <c r="AK74" s="113">
        <f>SUM(AK54:AK73)</f>
        <v>198</v>
      </c>
      <c r="AL74" s="113">
        <f>SUM(AL54:AL73)</f>
        <v>207</v>
      </c>
      <c r="AM74" s="113">
        <f>SUM(AM54:AM73)</f>
        <v>197</v>
      </c>
      <c r="AN74" s="113">
        <f>SUM(AN54:AN73)</f>
        <v>205</v>
      </c>
      <c r="AO74" s="113">
        <f>SUM(AO54:AO73)</f>
        <v>196</v>
      </c>
    </row>
    <row r="75" spans="10:41" ht="16.5" customHeight="1" x14ac:dyDescent="0.3">
      <c r="J75" s="9">
        <v>71</v>
      </c>
      <c r="K75" s="16" t="s">
        <v>35</v>
      </c>
      <c r="L75" s="16" t="s">
        <v>18</v>
      </c>
      <c r="M75" s="16" t="s">
        <v>90</v>
      </c>
      <c r="N75" s="16" t="s">
        <v>19</v>
      </c>
      <c r="O75" s="16" t="s">
        <v>22</v>
      </c>
      <c r="Q75" s="9">
        <v>8</v>
      </c>
      <c r="R75" s="9">
        <v>4</v>
      </c>
      <c r="S75" s="9">
        <v>13</v>
      </c>
      <c r="T75" s="9">
        <v>5</v>
      </c>
      <c r="U75" s="9">
        <v>3</v>
      </c>
      <c r="W75" s="25">
        <v>1</v>
      </c>
      <c r="X75" s="25">
        <v>1</v>
      </c>
      <c r="Y75" s="25">
        <v>1</v>
      </c>
      <c r="Z75" s="25">
        <v>1</v>
      </c>
      <c r="AA75" s="25">
        <v>1</v>
      </c>
      <c r="AH75" s="5"/>
      <c r="AI75" s="5"/>
      <c r="AO75" s="5"/>
    </row>
    <row r="76" spans="10:41" ht="16.5" customHeight="1" x14ac:dyDescent="0.3">
      <c r="J76" s="25">
        <v>72</v>
      </c>
      <c r="K76" s="16" t="s">
        <v>21</v>
      </c>
      <c r="L76" s="16" t="s">
        <v>112</v>
      </c>
      <c r="M76" s="16" t="s">
        <v>112</v>
      </c>
      <c r="N76" s="16" t="s">
        <v>35</v>
      </c>
      <c r="O76" s="16" t="s">
        <v>37</v>
      </c>
      <c r="Q76" s="9">
        <v>2</v>
      </c>
      <c r="R76" s="9">
        <v>17</v>
      </c>
      <c r="S76" s="9">
        <v>17</v>
      </c>
      <c r="T76" s="9">
        <v>8</v>
      </c>
      <c r="U76" s="9">
        <v>7</v>
      </c>
      <c r="W76" s="25">
        <v>1</v>
      </c>
      <c r="X76" s="25">
        <v>1</v>
      </c>
      <c r="Y76" s="25">
        <v>1</v>
      </c>
      <c r="Z76" s="25">
        <v>1</v>
      </c>
      <c r="AA76" s="25">
        <v>1</v>
      </c>
      <c r="AH76" s="5"/>
      <c r="AI76" s="5"/>
      <c r="AO76" s="5"/>
    </row>
    <row r="77" spans="10:41" ht="16.5" customHeight="1" x14ac:dyDescent="0.3">
      <c r="J77" s="9">
        <v>73</v>
      </c>
      <c r="K77" s="16" t="s">
        <v>34</v>
      </c>
      <c r="L77" s="16" t="s">
        <v>18</v>
      </c>
      <c r="M77" s="16" t="s">
        <v>88</v>
      </c>
      <c r="N77" s="16" t="s">
        <v>125</v>
      </c>
      <c r="O77" s="16" t="s">
        <v>20</v>
      </c>
      <c r="Q77" s="9">
        <v>9</v>
      </c>
      <c r="R77" s="9">
        <v>4</v>
      </c>
      <c r="S77" s="9">
        <v>11</v>
      </c>
      <c r="T77" s="9">
        <v>6</v>
      </c>
      <c r="U77" s="9">
        <v>1</v>
      </c>
      <c r="W77" s="25">
        <v>1</v>
      </c>
      <c r="X77" s="25">
        <v>1</v>
      </c>
      <c r="Y77" s="25">
        <v>1</v>
      </c>
      <c r="Z77" s="25">
        <v>1</v>
      </c>
      <c r="AA77" s="25">
        <v>1</v>
      </c>
      <c r="AH77" s="5"/>
      <c r="AI77" s="5"/>
      <c r="AO77" s="5"/>
    </row>
    <row r="78" spans="10:41" ht="16.5" customHeight="1" x14ac:dyDescent="0.3">
      <c r="J78" s="25">
        <v>74</v>
      </c>
      <c r="K78" s="16" t="s">
        <v>125</v>
      </c>
      <c r="L78" s="16" t="s">
        <v>21</v>
      </c>
      <c r="M78" s="16" t="s">
        <v>91</v>
      </c>
      <c r="N78" s="16" t="s">
        <v>37</v>
      </c>
      <c r="O78" s="16" t="s">
        <v>34</v>
      </c>
      <c r="Q78" s="9">
        <v>6</v>
      </c>
      <c r="R78" s="9">
        <v>2</v>
      </c>
      <c r="S78" s="9">
        <v>14</v>
      </c>
      <c r="T78" s="9">
        <v>7</v>
      </c>
      <c r="U78" s="9">
        <v>9</v>
      </c>
      <c r="W78" s="25">
        <v>1</v>
      </c>
      <c r="X78" s="25">
        <v>1</v>
      </c>
      <c r="Y78" s="25">
        <v>1</v>
      </c>
      <c r="Z78" s="25">
        <v>1</v>
      </c>
      <c r="AA78" s="25">
        <v>1</v>
      </c>
      <c r="AH78" s="5"/>
      <c r="AI78" s="5"/>
      <c r="AO78" s="5"/>
    </row>
    <row r="79" spans="10:41" ht="16.5" customHeight="1" x14ac:dyDescent="0.3">
      <c r="J79" s="9">
        <v>75</v>
      </c>
      <c r="K79" s="16" t="s">
        <v>35</v>
      </c>
      <c r="L79" s="16" t="s">
        <v>19</v>
      </c>
      <c r="M79" s="16" t="s">
        <v>92</v>
      </c>
      <c r="N79" s="16" t="s">
        <v>35</v>
      </c>
      <c r="O79" s="16" t="s">
        <v>125</v>
      </c>
      <c r="Q79" s="9">
        <v>8</v>
      </c>
      <c r="R79" s="9">
        <v>5</v>
      </c>
      <c r="S79" s="9">
        <v>16</v>
      </c>
      <c r="T79" s="9">
        <v>8</v>
      </c>
      <c r="U79" s="9">
        <v>6</v>
      </c>
      <c r="W79" s="25">
        <v>1</v>
      </c>
      <c r="X79" s="25">
        <v>1</v>
      </c>
      <c r="Y79" s="25">
        <v>1</v>
      </c>
      <c r="Z79" s="25">
        <v>1</v>
      </c>
      <c r="AA79" s="25">
        <v>1</v>
      </c>
      <c r="AH79" s="5"/>
      <c r="AI79" s="5"/>
      <c r="AO79" s="5"/>
    </row>
    <row r="80" spans="10:41" x14ac:dyDescent="0.3">
      <c r="J80" s="25">
        <v>76</v>
      </c>
      <c r="K80" s="16" t="s">
        <v>37</v>
      </c>
      <c r="L80" s="16" t="s">
        <v>125</v>
      </c>
      <c r="M80" s="16" t="s">
        <v>90</v>
      </c>
      <c r="N80" s="16" t="s">
        <v>19</v>
      </c>
      <c r="O80" s="16" t="s">
        <v>19</v>
      </c>
      <c r="Q80" s="9">
        <v>7</v>
      </c>
      <c r="R80" s="9">
        <v>6</v>
      </c>
      <c r="S80" s="9">
        <v>13</v>
      </c>
      <c r="T80" s="9">
        <v>5</v>
      </c>
      <c r="U80" s="9">
        <v>5</v>
      </c>
      <c r="W80" s="25">
        <v>1</v>
      </c>
      <c r="X80" s="25">
        <v>1</v>
      </c>
      <c r="Y80" s="25">
        <v>1</v>
      </c>
      <c r="Z80" s="25">
        <v>1</v>
      </c>
      <c r="AA80" s="25">
        <v>1</v>
      </c>
      <c r="AH80" s="5"/>
      <c r="AI80" s="5"/>
      <c r="AO80" s="5"/>
    </row>
    <row r="81" spans="10:41" x14ac:dyDescent="0.3">
      <c r="J81" s="9">
        <v>77</v>
      </c>
      <c r="K81" s="16" t="s">
        <v>125</v>
      </c>
      <c r="L81" s="16" t="s">
        <v>37</v>
      </c>
      <c r="M81" s="16" t="s">
        <v>91</v>
      </c>
      <c r="N81" s="16" t="s">
        <v>18</v>
      </c>
      <c r="O81" s="16" t="s">
        <v>37</v>
      </c>
      <c r="Q81" s="9">
        <v>6</v>
      </c>
      <c r="R81" s="9">
        <v>7</v>
      </c>
      <c r="S81" s="9">
        <v>14</v>
      </c>
      <c r="T81" s="9">
        <v>4</v>
      </c>
      <c r="U81" s="9">
        <v>7</v>
      </c>
      <c r="W81" s="25">
        <v>1</v>
      </c>
      <c r="X81" s="25">
        <v>1</v>
      </c>
      <c r="Y81" s="25">
        <v>1</v>
      </c>
      <c r="Z81" s="25">
        <v>1</v>
      </c>
      <c r="AA81" s="25">
        <v>1</v>
      </c>
      <c r="AH81" s="5"/>
      <c r="AI81" s="5"/>
      <c r="AO81" s="5"/>
    </row>
    <row r="82" spans="10:41" x14ac:dyDescent="0.3">
      <c r="J82" s="25">
        <v>78</v>
      </c>
      <c r="K82" s="16" t="s">
        <v>37</v>
      </c>
      <c r="L82" s="16" t="s">
        <v>95</v>
      </c>
      <c r="M82" s="16" t="s">
        <v>92</v>
      </c>
      <c r="N82" s="16" t="s">
        <v>19</v>
      </c>
      <c r="O82" s="16" t="s">
        <v>35</v>
      </c>
      <c r="Q82" s="9">
        <v>7</v>
      </c>
      <c r="R82" s="9">
        <v>18</v>
      </c>
      <c r="S82" s="9">
        <v>16</v>
      </c>
      <c r="T82" s="9">
        <v>5</v>
      </c>
      <c r="U82" s="9">
        <v>8</v>
      </c>
      <c r="W82" s="25">
        <v>1</v>
      </c>
      <c r="X82" s="25">
        <v>1</v>
      </c>
      <c r="Y82" s="25">
        <v>1</v>
      </c>
      <c r="Z82" s="25">
        <v>1</v>
      </c>
      <c r="AA82" s="25">
        <v>1</v>
      </c>
      <c r="AH82" s="5"/>
      <c r="AI82" s="5"/>
      <c r="AO82" s="5"/>
    </row>
    <row r="83" spans="10:41" x14ac:dyDescent="0.3">
      <c r="J83" s="9">
        <v>79</v>
      </c>
      <c r="K83" s="16" t="s">
        <v>125</v>
      </c>
      <c r="L83" s="16" t="s">
        <v>19</v>
      </c>
      <c r="M83" s="16" t="s">
        <v>91</v>
      </c>
      <c r="N83" s="16" t="s">
        <v>35</v>
      </c>
      <c r="O83" s="16" t="s">
        <v>21</v>
      </c>
      <c r="Q83" s="9">
        <v>6</v>
      </c>
      <c r="R83" s="9">
        <v>5</v>
      </c>
      <c r="S83" s="9">
        <v>14</v>
      </c>
      <c r="T83" s="9">
        <v>8</v>
      </c>
      <c r="U83" s="9">
        <v>2</v>
      </c>
      <c r="W83" s="25">
        <v>1</v>
      </c>
      <c r="X83" s="25">
        <v>1</v>
      </c>
      <c r="Y83" s="25">
        <v>1</v>
      </c>
      <c r="Z83" s="25">
        <v>1</v>
      </c>
      <c r="AA83" s="25">
        <v>1</v>
      </c>
      <c r="AH83" s="5"/>
      <c r="AI83" s="5"/>
      <c r="AO83" s="5"/>
    </row>
    <row r="84" spans="10:41" x14ac:dyDescent="0.3">
      <c r="J84" s="25">
        <v>80</v>
      </c>
      <c r="K84" s="16" t="s">
        <v>35</v>
      </c>
      <c r="L84" s="16" t="s">
        <v>34</v>
      </c>
      <c r="M84" s="16" t="s">
        <v>112</v>
      </c>
      <c r="N84" s="16" t="s">
        <v>19</v>
      </c>
      <c r="O84" s="16" t="s">
        <v>35</v>
      </c>
      <c r="Q84" s="9">
        <v>8</v>
      </c>
      <c r="R84" s="9">
        <v>9</v>
      </c>
      <c r="S84" s="9">
        <v>17</v>
      </c>
      <c r="T84" s="9">
        <v>5</v>
      </c>
      <c r="U84" s="9">
        <v>8</v>
      </c>
      <c r="W84" s="25">
        <v>1</v>
      </c>
      <c r="X84" s="25">
        <v>1</v>
      </c>
      <c r="Y84" s="25">
        <v>1</v>
      </c>
      <c r="Z84" s="25">
        <v>1</v>
      </c>
      <c r="AA84" s="25">
        <v>1</v>
      </c>
      <c r="AH84" s="5"/>
      <c r="AI84" s="5"/>
      <c r="AO84" s="5"/>
    </row>
    <row r="85" spans="10:41" x14ac:dyDescent="0.3">
      <c r="J85" s="9">
        <v>81</v>
      </c>
      <c r="K85" s="16" t="s">
        <v>19</v>
      </c>
      <c r="L85" s="16" t="s">
        <v>125</v>
      </c>
      <c r="M85" s="16" t="s">
        <v>126</v>
      </c>
      <c r="N85" s="16" t="s">
        <v>35</v>
      </c>
      <c r="O85" s="16" t="s">
        <v>18</v>
      </c>
      <c r="Q85" s="9">
        <v>5</v>
      </c>
      <c r="R85" s="9">
        <v>6</v>
      </c>
      <c r="S85" s="9">
        <v>15</v>
      </c>
      <c r="T85" s="9">
        <v>8</v>
      </c>
      <c r="U85" s="9">
        <v>4</v>
      </c>
      <c r="W85" s="25">
        <v>1</v>
      </c>
      <c r="X85" s="25">
        <v>1</v>
      </c>
      <c r="Y85" s="25">
        <v>1</v>
      </c>
      <c r="Z85" s="25">
        <v>1</v>
      </c>
      <c r="AA85" s="25">
        <v>1</v>
      </c>
      <c r="AH85" s="5"/>
      <c r="AI85" s="5"/>
      <c r="AO85" s="5"/>
    </row>
    <row r="86" spans="10:41" x14ac:dyDescent="0.3">
      <c r="J86" s="25">
        <v>82</v>
      </c>
      <c r="K86" s="16" t="s">
        <v>35</v>
      </c>
      <c r="L86" s="16" t="s">
        <v>37</v>
      </c>
      <c r="M86" s="16" t="s">
        <v>91</v>
      </c>
      <c r="N86" s="16" t="s">
        <v>19</v>
      </c>
      <c r="O86" s="16" t="s">
        <v>19</v>
      </c>
      <c r="Q86" s="9">
        <v>8</v>
      </c>
      <c r="R86" s="9">
        <v>7</v>
      </c>
      <c r="S86" s="9">
        <v>14</v>
      </c>
      <c r="T86" s="9">
        <v>5</v>
      </c>
      <c r="U86" s="9">
        <v>5</v>
      </c>
      <c r="W86" s="25">
        <v>1</v>
      </c>
      <c r="X86" s="25">
        <v>1</v>
      </c>
      <c r="Y86" s="25">
        <v>1</v>
      </c>
      <c r="Z86" s="25">
        <v>1</v>
      </c>
      <c r="AA86" s="25">
        <v>1</v>
      </c>
      <c r="AH86" s="5"/>
      <c r="AI86" s="5"/>
      <c r="AO86" s="5"/>
    </row>
    <row r="87" spans="10:41" x14ac:dyDescent="0.3">
      <c r="J87" s="9">
        <v>83</v>
      </c>
      <c r="K87" s="16" t="s">
        <v>125</v>
      </c>
      <c r="L87" s="16" t="s">
        <v>126</v>
      </c>
      <c r="M87" s="16" t="s">
        <v>126</v>
      </c>
      <c r="N87" s="16" t="s">
        <v>126</v>
      </c>
      <c r="O87" s="16" t="s">
        <v>37</v>
      </c>
      <c r="Q87" s="9">
        <v>6</v>
      </c>
      <c r="R87" s="9">
        <v>15</v>
      </c>
      <c r="S87" s="9">
        <v>15</v>
      </c>
      <c r="T87" s="9">
        <v>15</v>
      </c>
      <c r="U87" s="9">
        <v>7</v>
      </c>
      <c r="W87" s="25">
        <v>1</v>
      </c>
      <c r="X87" s="25">
        <v>1</v>
      </c>
      <c r="Y87" s="25">
        <v>1</v>
      </c>
      <c r="Z87" s="25">
        <v>1</v>
      </c>
      <c r="AA87" s="25">
        <v>1</v>
      </c>
      <c r="AH87" s="5"/>
      <c r="AI87" s="5"/>
      <c r="AO87" s="5"/>
    </row>
    <row r="88" spans="10:41" x14ac:dyDescent="0.3">
      <c r="J88" s="25">
        <v>84</v>
      </c>
      <c r="K88" s="16" t="s">
        <v>19</v>
      </c>
      <c r="L88" s="16" t="s">
        <v>37</v>
      </c>
      <c r="M88" s="16" t="s">
        <v>112</v>
      </c>
      <c r="N88" s="16" t="s">
        <v>35</v>
      </c>
      <c r="O88" s="16" t="s">
        <v>19</v>
      </c>
      <c r="Q88" s="9">
        <v>5</v>
      </c>
      <c r="R88" s="9">
        <v>7</v>
      </c>
      <c r="S88" s="9">
        <v>17</v>
      </c>
      <c r="T88" s="9">
        <v>8</v>
      </c>
      <c r="U88" s="9">
        <v>5</v>
      </c>
      <c r="W88" s="25">
        <v>1</v>
      </c>
      <c r="X88" s="25">
        <v>1</v>
      </c>
      <c r="Y88" s="25">
        <v>1</v>
      </c>
      <c r="Z88" s="25">
        <v>1</v>
      </c>
      <c r="AA88" s="25">
        <v>1</v>
      </c>
      <c r="AH88" s="5"/>
      <c r="AI88" s="5"/>
      <c r="AO88" s="5"/>
    </row>
    <row r="89" spans="10:41" x14ac:dyDescent="0.3">
      <c r="J89" s="9">
        <v>85</v>
      </c>
      <c r="K89" s="16" t="s">
        <v>18</v>
      </c>
      <c r="L89" s="16" t="s">
        <v>18</v>
      </c>
      <c r="M89" s="16" t="s">
        <v>91</v>
      </c>
      <c r="N89" s="16" t="s">
        <v>19</v>
      </c>
      <c r="O89" s="16" t="s">
        <v>35</v>
      </c>
      <c r="Q89" s="9">
        <v>4</v>
      </c>
      <c r="R89" s="9">
        <v>4</v>
      </c>
      <c r="S89" s="9">
        <v>14</v>
      </c>
      <c r="T89" s="9">
        <v>5</v>
      </c>
      <c r="U89" s="9">
        <v>8</v>
      </c>
      <c r="W89" s="25">
        <v>1</v>
      </c>
      <c r="X89" s="25">
        <v>1</v>
      </c>
      <c r="Y89" s="25">
        <v>1</v>
      </c>
      <c r="Z89" s="25">
        <v>1</v>
      </c>
      <c r="AA89" s="25">
        <v>1</v>
      </c>
      <c r="AH89" s="5"/>
      <c r="AI89" s="5"/>
      <c r="AO89" s="5"/>
    </row>
    <row r="90" spans="10:41" x14ac:dyDescent="0.3">
      <c r="J90" s="25">
        <v>86</v>
      </c>
      <c r="K90" s="16" t="s">
        <v>19</v>
      </c>
      <c r="L90" s="16" t="s">
        <v>35</v>
      </c>
      <c r="M90" s="16" t="s">
        <v>126</v>
      </c>
      <c r="N90" s="16" t="s">
        <v>37</v>
      </c>
      <c r="O90" s="16" t="s">
        <v>36</v>
      </c>
      <c r="Q90" s="9">
        <v>5</v>
      </c>
      <c r="R90" s="9">
        <v>8</v>
      </c>
      <c r="S90" s="9">
        <v>15</v>
      </c>
      <c r="T90" s="9">
        <v>7</v>
      </c>
      <c r="U90" s="9">
        <v>10</v>
      </c>
      <c r="W90" s="25">
        <v>1</v>
      </c>
      <c r="X90" s="25">
        <v>1</v>
      </c>
      <c r="Y90" s="25">
        <v>1</v>
      </c>
      <c r="Z90" s="25">
        <v>1</v>
      </c>
      <c r="AA90" s="25">
        <v>1</v>
      </c>
      <c r="AH90" s="5"/>
      <c r="AI90" s="5"/>
      <c r="AO90" s="5"/>
    </row>
    <row r="91" spans="10:41" x14ac:dyDescent="0.3">
      <c r="J91" s="9">
        <v>87</v>
      </c>
      <c r="K91" s="16" t="s">
        <v>125</v>
      </c>
      <c r="L91" s="16" t="s">
        <v>125</v>
      </c>
      <c r="M91" s="16" t="s">
        <v>91</v>
      </c>
      <c r="N91" s="16" t="s">
        <v>125</v>
      </c>
      <c r="O91" s="16" t="s">
        <v>35</v>
      </c>
      <c r="Q91" s="9">
        <v>6</v>
      </c>
      <c r="R91" s="9">
        <v>6</v>
      </c>
      <c r="S91" s="9">
        <v>14</v>
      </c>
      <c r="T91" s="9">
        <v>6</v>
      </c>
      <c r="U91" s="9">
        <v>8</v>
      </c>
      <c r="W91" s="25">
        <v>1</v>
      </c>
      <c r="X91" s="25">
        <v>1</v>
      </c>
      <c r="Y91" s="25">
        <v>1</v>
      </c>
      <c r="Z91" s="25">
        <v>1</v>
      </c>
      <c r="AA91" s="25">
        <v>1</v>
      </c>
      <c r="AH91" s="5"/>
      <c r="AI91" s="5"/>
      <c r="AO91" s="5"/>
    </row>
    <row r="92" spans="10:41" x14ac:dyDescent="0.3">
      <c r="J92" s="25">
        <v>88</v>
      </c>
      <c r="K92" s="16" t="s">
        <v>19</v>
      </c>
      <c r="L92" s="16" t="s">
        <v>91</v>
      </c>
      <c r="M92" s="16" t="s">
        <v>89</v>
      </c>
      <c r="N92" s="16" t="s">
        <v>92</v>
      </c>
      <c r="O92" s="16" t="s">
        <v>19</v>
      </c>
      <c r="Q92" s="9">
        <v>5</v>
      </c>
      <c r="R92" s="9">
        <v>14</v>
      </c>
      <c r="S92" s="9">
        <v>12</v>
      </c>
      <c r="T92" s="9">
        <v>16</v>
      </c>
      <c r="U92" s="9">
        <v>5</v>
      </c>
      <c r="W92" s="25">
        <v>1</v>
      </c>
      <c r="X92" s="25">
        <v>1</v>
      </c>
      <c r="Y92" s="25">
        <v>1</v>
      </c>
      <c r="Z92" s="25">
        <v>1</v>
      </c>
      <c r="AA92" s="25">
        <v>1</v>
      </c>
      <c r="AH92" s="5"/>
      <c r="AI92" s="5"/>
      <c r="AO92" s="5"/>
    </row>
    <row r="93" spans="10:41" x14ac:dyDescent="0.3">
      <c r="J93" s="9">
        <v>89</v>
      </c>
      <c r="K93" s="16" t="s">
        <v>35</v>
      </c>
      <c r="L93" s="16" t="s">
        <v>37</v>
      </c>
      <c r="M93" s="16" t="s">
        <v>92</v>
      </c>
      <c r="N93" s="16" t="s">
        <v>20</v>
      </c>
      <c r="O93" s="16" t="s">
        <v>125</v>
      </c>
      <c r="Q93" s="9">
        <v>8</v>
      </c>
      <c r="R93" s="9">
        <v>7</v>
      </c>
      <c r="S93" s="9">
        <v>16</v>
      </c>
      <c r="T93" s="9">
        <v>1</v>
      </c>
      <c r="U93" s="9">
        <v>6</v>
      </c>
      <c r="W93" s="25">
        <v>1</v>
      </c>
      <c r="X93" s="25">
        <v>1</v>
      </c>
      <c r="Y93" s="25">
        <v>1</v>
      </c>
      <c r="Z93" s="25">
        <v>1</v>
      </c>
      <c r="AA93" s="25">
        <v>1</v>
      </c>
      <c r="AH93" s="5"/>
      <c r="AI93" s="5"/>
      <c r="AO93" s="5"/>
    </row>
    <row r="94" spans="10:41" x14ac:dyDescent="0.3">
      <c r="J94" s="25">
        <v>90</v>
      </c>
      <c r="K94" s="16" t="s">
        <v>125</v>
      </c>
      <c r="L94" s="16" t="s">
        <v>35</v>
      </c>
      <c r="M94" s="16" t="s">
        <v>112</v>
      </c>
      <c r="N94" s="16" t="s">
        <v>125</v>
      </c>
      <c r="O94" s="16" t="s">
        <v>35</v>
      </c>
      <c r="Q94" s="9">
        <v>6</v>
      </c>
      <c r="R94" s="9">
        <v>8</v>
      </c>
      <c r="S94" s="9">
        <v>17</v>
      </c>
      <c r="T94" s="9">
        <v>6</v>
      </c>
      <c r="U94" s="9">
        <v>8</v>
      </c>
      <c r="W94" s="25">
        <v>1</v>
      </c>
      <c r="X94" s="25">
        <v>1</v>
      </c>
      <c r="Y94" s="25">
        <v>1</v>
      </c>
      <c r="Z94" s="25">
        <v>1</v>
      </c>
      <c r="AA94" s="25">
        <v>1</v>
      </c>
      <c r="AH94" s="5"/>
      <c r="AI94" s="5"/>
      <c r="AO94" s="5"/>
    </row>
    <row r="95" spans="10:41" x14ac:dyDescent="0.3">
      <c r="J95" s="9">
        <v>91</v>
      </c>
      <c r="K95" s="16" t="s">
        <v>37</v>
      </c>
      <c r="L95" s="16" t="s">
        <v>36</v>
      </c>
      <c r="M95" s="16" t="s">
        <v>92</v>
      </c>
      <c r="N95" s="16" t="s">
        <v>19</v>
      </c>
      <c r="O95" s="16" t="s">
        <v>36</v>
      </c>
      <c r="Q95" s="9">
        <v>7</v>
      </c>
      <c r="R95" s="9">
        <v>10</v>
      </c>
      <c r="S95" s="9">
        <v>16</v>
      </c>
      <c r="T95" s="9">
        <v>5</v>
      </c>
      <c r="U95" s="9">
        <v>10</v>
      </c>
      <c r="W95" s="25">
        <v>1</v>
      </c>
      <c r="X95" s="25">
        <v>1</v>
      </c>
      <c r="Y95" s="25">
        <v>1</v>
      </c>
      <c r="Z95" s="25">
        <v>1</v>
      </c>
      <c r="AA95" s="25">
        <v>1</v>
      </c>
      <c r="AH95" s="5"/>
      <c r="AI95" s="5"/>
      <c r="AO95" s="5"/>
    </row>
    <row r="96" spans="10:41" x14ac:dyDescent="0.3">
      <c r="J96" s="25">
        <v>92</v>
      </c>
      <c r="K96" s="16" t="s">
        <v>125</v>
      </c>
      <c r="L96" s="16" t="s">
        <v>125</v>
      </c>
      <c r="M96" s="16" t="s">
        <v>112</v>
      </c>
      <c r="N96" s="16" t="s">
        <v>36</v>
      </c>
      <c r="O96" s="16" t="s">
        <v>19</v>
      </c>
      <c r="Q96" s="9">
        <v>6</v>
      </c>
      <c r="R96" s="9">
        <v>6</v>
      </c>
      <c r="S96" s="9">
        <v>17</v>
      </c>
      <c r="T96" s="9">
        <v>10</v>
      </c>
      <c r="U96" s="9">
        <v>5</v>
      </c>
      <c r="W96" s="25">
        <v>1</v>
      </c>
      <c r="X96" s="25">
        <v>1</v>
      </c>
      <c r="Y96" s="25">
        <v>1</v>
      </c>
      <c r="Z96" s="25">
        <v>1</v>
      </c>
      <c r="AA96" s="25">
        <v>1</v>
      </c>
      <c r="AH96" s="5"/>
      <c r="AI96" s="5"/>
      <c r="AO96" s="5"/>
    </row>
    <row r="97" spans="10:41" x14ac:dyDescent="0.3">
      <c r="J97" s="9">
        <v>93</v>
      </c>
      <c r="K97" s="16" t="s">
        <v>37</v>
      </c>
      <c r="L97" s="16" t="s">
        <v>34</v>
      </c>
      <c r="M97" s="16" t="s">
        <v>91</v>
      </c>
      <c r="N97" s="16" t="s">
        <v>37</v>
      </c>
      <c r="O97" s="16" t="s">
        <v>37</v>
      </c>
      <c r="Q97" s="9">
        <v>7</v>
      </c>
      <c r="R97" s="9">
        <v>9</v>
      </c>
      <c r="S97" s="9">
        <v>14</v>
      </c>
      <c r="T97" s="9">
        <v>7</v>
      </c>
      <c r="U97" s="9">
        <v>7</v>
      </c>
      <c r="W97" s="25">
        <v>1</v>
      </c>
      <c r="X97" s="25">
        <v>1</v>
      </c>
      <c r="Y97" s="25">
        <v>1</v>
      </c>
      <c r="Z97" s="25">
        <v>1</v>
      </c>
      <c r="AA97" s="25">
        <v>1</v>
      </c>
      <c r="AH97" s="5"/>
      <c r="AI97" s="5"/>
      <c r="AO97" s="5"/>
    </row>
    <row r="98" spans="10:41" x14ac:dyDescent="0.3">
      <c r="J98" s="25">
        <v>94</v>
      </c>
      <c r="K98" s="16" t="s">
        <v>35</v>
      </c>
      <c r="L98" s="16" t="s">
        <v>95</v>
      </c>
      <c r="M98" s="16" t="s">
        <v>92</v>
      </c>
      <c r="N98" s="16" t="s">
        <v>35</v>
      </c>
      <c r="O98" s="16" t="s">
        <v>19</v>
      </c>
      <c r="Q98" s="9">
        <v>8</v>
      </c>
      <c r="R98" s="9">
        <v>18</v>
      </c>
      <c r="S98" s="9">
        <v>16</v>
      </c>
      <c r="T98" s="9">
        <v>8</v>
      </c>
      <c r="U98" s="9">
        <v>5</v>
      </c>
      <c r="W98" s="25">
        <v>1</v>
      </c>
      <c r="X98" s="25">
        <v>1</v>
      </c>
      <c r="Y98" s="25">
        <v>1</v>
      </c>
      <c r="Z98" s="25">
        <v>1</v>
      </c>
      <c r="AA98" s="25">
        <v>1</v>
      </c>
      <c r="AH98" s="5"/>
      <c r="AI98" s="5"/>
      <c r="AO98" s="5"/>
    </row>
    <row r="99" spans="10:41" x14ac:dyDescent="0.3">
      <c r="J99" s="9">
        <v>95</v>
      </c>
      <c r="K99" s="16" t="s">
        <v>37</v>
      </c>
      <c r="L99" s="16" t="s">
        <v>21</v>
      </c>
      <c r="M99" s="16" t="s">
        <v>112</v>
      </c>
      <c r="N99" s="16" t="s">
        <v>91</v>
      </c>
      <c r="O99" s="16" t="s">
        <v>125</v>
      </c>
      <c r="Q99" s="9">
        <v>7</v>
      </c>
      <c r="R99" s="9">
        <v>2</v>
      </c>
      <c r="S99" s="9">
        <v>17</v>
      </c>
      <c r="T99" s="9">
        <v>14</v>
      </c>
      <c r="U99" s="9">
        <v>6</v>
      </c>
      <c r="W99" s="25">
        <v>1</v>
      </c>
      <c r="X99" s="25">
        <v>1</v>
      </c>
      <c r="Y99" s="25">
        <v>1</v>
      </c>
      <c r="Z99" s="25">
        <v>1</v>
      </c>
      <c r="AA99" s="25">
        <v>1</v>
      </c>
      <c r="AH99" s="5"/>
      <c r="AI99" s="5"/>
      <c r="AO99" s="5"/>
    </row>
    <row r="100" spans="10:41" x14ac:dyDescent="0.3">
      <c r="J100" s="25">
        <v>96</v>
      </c>
      <c r="K100" s="16" t="s">
        <v>19</v>
      </c>
      <c r="L100" s="16" t="s">
        <v>36</v>
      </c>
      <c r="M100" s="16" t="s">
        <v>126</v>
      </c>
      <c r="N100" s="16" t="s">
        <v>97</v>
      </c>
      <c r="O100" s="16" t="s">
        <v>18</v>
      </c>
      <c r="Q100" s="9">
        <v>5</v>
      </c>
      <c r="R100" s="9">
        <v>10</v>
      </c>
      <c r="S100" s="9">
        <v>15</v>
      </c>
      <c r="T100" s="9">
        <v>19</v>
      </c>
      <c r="U100" s="9">
        <v>4</v>
      </c>
      <c r="W100" s="25">
        <v>1</v>
      </c>
      <c r="X100" s="25">
        <v>1</v>
      </c>
      <c r="Y100" s="25">
        <v>1</v>
      </c>
      <c r="Z100" s="25">
        <v>1</v>
      </c>
      <c r="AA100" s="25">
        <v>1</v>
      </c>
      <c r="AH100" s="5"/>
      <c r="AI100" s="5"/>
      <c r="AO100" s="5"/>
    </row>
    <row r="101" spans="10:41" x14ac:dyDescent="0.3">
      <c r="J101" s="9">
        <v>97</v>
      </c>
      <c r="K101" s="16" t="s">
        <v>125</v>
      </c>
      <c r="L101" s="16" t="s">
        <v>34</v>
      </c>
      <c r="M101" s="16" t="s">
        <v>112</v>
      </c>
      <c r="N101" s="16" t="s">
        <v>37</v>
      </c>
      <c r="O101" s="16" t="s">
        <v>125</v>
      </c>
      <c r="Q101" s="9">
        <v>6</v>
      </c>
      <c r="R101" s="9">
        <v>9</v>
      </c>
      <c r="S101" s="9">
        <v>17</v>
      </c>
      <c r="T101" s="9">
        <v>7</v>
      </c>
      <c r="U101" s="9">
        <v>6</v>
      </c>
      <c r="W101" s="25">
        <v>1</v>
      </c>
      <c r="X101" s="25">
        <v>1</v>
      </c>
      <c r="Y101" s="25">
        <v>1</v>
      </c>
      <c r="Z101" s="25">
        <v>1</v>
      </c>
      <c r="AA101" s="25">
        <v>1</v>
      </c>
      <c r="AH101" s="5"/>
      <c r="AI101" s="5"/>
      <c r="AO101" s="5"/>
    </row>
    <row r="102" spans="10:41" x14ac:dyDescent="0.3">
      <c r="J102" s="25">
        <v>98</v>
      </c>
      <c r="K102" s="16" t="s">
        <v>35</v>
      </c>
      <c r="L102" s="16" t="s">
        <v>37</v>
      </c>
      <c r="M102" s="16" t="s">
        <v>126</v>
      </c>
      <c r="N102" s="16" t="s">
        <v>97</v>
      </c>
      <c r="O102" s="16" t="s">
        <v>35</v>
      </c>
      <c r="Q102" s="9">
        <v>8</v>
      </c>
      <c r="R102" s="9">
        <v>7</v>
      </c>
      <c r="S102" s="9">
        <v>15</v>
      </c>
      <c r="T102" s="9">
        <v>19</v>
      </c>
      <c r="U102" s="9">
        <v>8</v>
      </c>
      <c r="W102" s="25">
        <v>1</v>
      </c>
      <c r="X102" s="25">
        <v>1</v>
      </c>
      <c r="Y102" s="25">
        <v>1</v>
      </c>
      <c r="Z102" s="25">
        <v>1</v>
      </c>
      <c r="AA102" s="25">
        <v>1</v>
      </c>
      <c r="AH102" s="5"/>
      <c r="AI102" s="5"/>
      <c r="AO102" s="5"/>
    </row>
    <row r="103" spans="10:41" x14ac:dyDescent="0.3">
      <c r="J103" s="9">
        <v>99</v>
      </c>
      <c r="K103" s="16" t="s">
        <v>37</v>
      </c>
      <c r="L103" s="16" t="s">
        <v>90</v>
      </c>
      <c r="M103" s="16" t="s">
        <v>112</v>
      </c>
      <c r="N103" s="16" t="s">
        <v>35</v>
      </c>
      <c r="O103" s="16" t="s">
        <v>18</v>
      </c>
      <c r="Q103" s="9">
        <v>7</v>
      </c>
      <c r="R103" s="9">
        <v>13</v>
      </c>
      <c r="S103" s="9">
        <v>17</v>
      </c>
      <c r="T103" s="9">
        <v>8</v>
      </c>
      <c r="U103" s="9">
        <v>4</v>
      </c>
      <c r="W103" s="25">
        <v>1</v>
      </c>
      <c r="X103" s="25">
        <v>1</v>
      </c>
      <c r="Y103" s="25">
        <v>1</v>
      </c>
      <c r="Z103" s="25">
        <v>1</v>
      </c>
      <c r="AA103" s="25">
        <v>1</v>
      </c>
      <c r="AH103" s="5"/>
      <c r="AI103" s="5"/>
      <c r="AO103" s="5"/>
    </row>
    <row r="104" spans="10:41" x14ac:dyDescent="0.3">
      <c r="J104" s="25">
        <v>100</v>
      </c>
      <c r="K104" s="16" t="s">
        <v>19</v>
      </c>
      <c r="L104" s="16" t="s">
        <v>92</v>
      </c>
      <c r="M104" s="16" t="s">
        <v>91</v>
      </c>
      <c r="N104" s="16" t="s">
        <v>91</v>
      </c>
      <c r="O104" s="16" t="s">
        <v>125</v>
      </c>
      <c r="Q104" s="9">
        <v>5</v>
      </c>
      <c r="R104" s="9">
        <v>16</v>
      </c>
      <c r="S104" s="9">
        <v>14</v>
      </c>
      <c r="T104" s="9">
        <v>14</v>
      </c>
      <c r="U104" s="9">
        <v>6</v>
      </c>
      <c r="W104" s="25">
        <v>1</v>
      </c>
      <c r="X104" s="25">
        <v>1</v>
      </c>
      <c r="Y104" s="25">
        <v>1</v>
      </c>
      <c r="Z104" s="25">
        <v>1</v>
      </c>
      <c r="AA104" s="25">
        <v>1</v>
      </c>
      <c r="AH104" s="5"/>
      <c r="AI104" s="5"/>
      <c r="AO104" s="5"/>
    </row>
    <row r="105" spans="10:41" x14ac:dyDescent="0.3">
      <c r="J105" s="25">
        <v>101</v>
      </c>
      <c r="K105" s="16" t="s">
        <v>36</v>
      </c>
      <c r="L105" s="16" t="s">
        <v>36</v>
      </c>
      <c r="M105" s="16" t="s">
        <v>126</v>
      </c>
      <c r="N105" s="16" t="s">
        <v>125</v>
      </c>
      <c r="O105" s="16" t="s">
        <v>21</v>
      </c>
      <c r="Q105" s="9">
        <v>10</v>
      </c>
      <c r="R105" s="9">
        <v>10</v>
      </c>
      <c r="S105" s="9">
        <v>15</v>
      </c>
      <c r="T105" s="9">
        <v>6</v>
      </c>
      <c r="U105" s="9">
        <v>2</v>
      </c>
      <c r="W105" s="25">
        <v>1</v>
      </c>
      <c r="X105" s="25">
        <v>1</v>
      </c>
      <c r="Y105" s="25">
        <v>1</v>
      </c>
      <c r="Z105" s="25">
        <v>1</v>
      </c>
      <c r="AA105" s="25">
        <v>1</v>
      </c>
      <c r="AH105" s="5"/>
      <c r="AI105" s="5"/>
      <c r="AO105" s="5"/>
    </row>
    <row r="106" spans="10:41" x14ac:dyDescent="0.3">
      <c r="J106" s="9">
        <v>102</v>
      </c>
      <c r="K106" s="16" t="s">
        <v>125</v>
      </c>
      <c r="L106" s="16" t="s">
        <v>37</v>
      </c>
      <c r="M106" s="16" t="s">
        <v>95</v>
      </c>
      <c r="N106" s="16" t="s">
        <v>18</v>
      </c>
      <c r="O106" s="16" t="s">
        <v>18</v>
      </c>
      <c r="Q106" s="9">
        <v>6</v>
      </c>
      <c r="R106" s="9">
        <v>7</v>
      </c>
      <c r="S106" s="9">
        <v>18</v>
      </c>
      <c r="T106" s="9">
        <v>4</v>
      </c>
      <c r="U106" s="9">
        <v>4</v>
      </c>
      <c r="W106" s="25">
        <v>1</v>
      </c>
      <c r="X106" s="25">
        <v>1</v>
      </c>
      <c r="Y106" s="25">
        <v>1</v>
      </c>
      <c r="Z106" s="25">
        <v>1</v>
      </c>
      <c r="AA106" s="25">
        <v>1</v>
      </c>
      <c r="AH106" s="5"/>
      <c r="AI106" s="5"/>
      <c r="AO106" s="5"/>
    </row>
    <row r="107" spans="10:41" x14ac:dyDescent="0.3">
      <c r="J107" s="25">
        <v>103</v>
      </c>
      <c r="K107" s="16" t="s">
        <v>19</v>
      </c>
      <c r="L107" s="16" t="s">
        <v>92</v>
      </c>
      <c r="M107" s="16" t="s">
        <v>112</v>
      </c>
      <c r="N107" s="16" t="s">
        <v>126</v>
      </c>
      <c r="O107" s="16" t="s">
        <v>125</v>
      </c>
      <c r="Q107" s="9">
        <v>5</v>
      </c>
      <c r="R107" s="9">
        <v>16</v>
      </c>
      <c r="S107" s="9">
        <v>17</v>
      </c>
      <c r="T107" s="9">
        <v>15</v>
      </c>
      <c r="U107" s="9">
        <v>6</v>
      </c>
      <c r="W107" s="25">
        <v>1</v>
      </c>
      <c r="X107" s="25">
        <v>1</v>
      </c>
      <c r="Y107" s="25">
        <v>1</v>
      </c>
      <c r="Z107" s="25">
        <v>1</v>
      </c>
      <c r="AA107" s="25">
        <v>1</v>
      </c>
      <c r="AH107" s="5"/>
      <c r="AI107" s="5"/>
      <c r="AO107" s="5"/>
    </row>
    <row r="108" spans="10:41" x14ac:dyDescent="0.3">
      <c r="J108" s="9">
        <v>104</v>
      </c>
      <c r="K108" s="16" t="s">
        <v>37</v>
      </c>
      <c r="L108" s="16" t="s">
        <v>37</v>
      </c>
      <c r="M108" s="16" t="s">
        <v>126</v>
      </c>
      <c r="N108" s="16" t="s">
        <v>19</v>
      </c>
      <c r="O108" s="16" t="s">
        <v>37</v>
      </c>
      <c r="Q108" s="9">
        <v>7</v>
      </c>
      <c r="R108" s="9">
        <v>7</v>
      </c>
      <c r="S108" s="9">
        <v>15</v>
      </c>
      <c r="T108" s="9">
        <v>5</v>
      </c>
      <c r="U108" s="9">
        <v>7</v>
      </c>
      <c r="W108" s="25">
        <v>1</v>
      </c>
      <c r="X108" s="25">
        <v>1</v>
      </c>
      <c r="Y108" s="25">
        <v>1</v>
      </c>
      <c r="Z108" s="25">
        <v>1</v>
      </c>
      <c r="AA108" s="25">
        <v>1</v>
      </c>
      <c r="AH108" s="5"/>
      <c r="AI108" s="5"/>
      <c r="AO108" s="5"/>
    </row>
    <row r="109" spans="10:41" x14ac:dyDescent="0.3">
      <c r="J109" s="25">
        <v>105</v>
      </c>
      <c r="K109" s="16" t="s">
        <v>19</v>
      </c>
      <c r="L109" s="16" t="s">
        <v>92</v>
      </c>
      <c r="M109" s="16" t="s">
        <v>112</v>
      </c>
      <c r="N109" s="16" t="s">
        <v>35</v>
      </c>
      <c r="O109" s="16" t="s">
        <v>34</v>
      </c>
      <c r="Q109" s="9">
        <v>5</v>
      </c>
      <c r="R109" s="9">
        <v>16</v>
      </c>
      <c r="S109" s="9">
        <v>17</v>
      </c>
      <c r="T109" s="9">
        <v>8</v>
      </c>
      <c r="U109" s="9">
        <v>9</v>
      </c>
      <c r="W109" s="25">
        <v>1</v>
      </c>
      <c r="X109" s="25">
        <v>1</v>
      </c>
      <c r="Y109" s="25">
        <v>1</v>
      </c>
      <c r="Z109" s="25">
        <v>1</v>
      </c>
      <c r="AA109" s="25">
        <v>1</v>
      </c>
      <c r="AH109" s="5"/>
      <c r="AI109" s="5"/>
      <c r="AO109" s="5"/>
    </row>
    <row r="110" spans="10:41" x14ac:dyDescent="0.3">
      <c r="J110" s="9">
        <v>106</v>
      </c>
      <c r="K110" s="16" t="s">
        <v>37</v>
      </c>
      <c r="L110" s="16" t="s">
        <v>97</v>
      </c>
      <c r="M110" s="16" t="s">
        <v>91</v>
      </c>
      <c r="N110" s="16" t="s">
        <v>19</v>
      </c>
      <c r="O110" s="16" t="s">
        <v>37</v>
      </c>
      <c r="Q110" s="9">
        <v>7</v>
      </c>
      <c r="R110" s="9">
        <v>19</v>
      </c>
      <c r="S110" s="9">
        <v>14</v>
      </c>
      <c r="T110" s="9">
        <v>5</v>
      </c>
      <c r="U110" s="9">
        <v>7</v>
      </c>
      <c r="W110" s="25">
        <v>1</v>
      </c>
      <c r="X110" s="25">
        <v>1</v>
      </c>
      <c r="Y110" s="25">
        <v>1</v>
      </c>
      <c r="Z110" s="25">
        <v>1</v>
      </c>
      <c r="AA110" s="25">
        <v>1</v>
      </c>
      <c r="AH110" s="5"/>
      <c r="AI110" s="5"/>
      <c r="AO110" s="5"/>
    </row>
    <row r="111" spans="10:41" x14ac:dyDescent="0.3">
      <c r="J111" s="25">
        <v>107</v>
      </c>
      <c r="K111" s="16" t="s">
        <v>35</v>
      </c>
      <c r="L111" s="16" t="s">
        <v>22</v>
      </c>
      <c r="M111" s="16" t="s">
        <v>92</v>
      </c>
      <c r="N111" s="16" t="s">
        <v>37</v>
      </c>
      <c r="O111" s="16" t="s">
        <v>21</v>
      </c>
      <c r="Q111" s="9">
        <v>8</v>
      </c>
      <c r="R111" s="9">
        <v>3</v>
      </c>
      <c r="S111" s="9">
        <v>16</v>
      </c>
      <c r="T111" s="9">
        <v>7</v>
      </c>
      <c r="U111" s="9">
        <v>2</v>
      </c>
      <c r="W111" s="25">
        <v>1</v>
      </c>
      <c r="X111" s="25">
        <v>1</v>
      </c>
      <c r="Y111" s="25">
        <v>1</v>
      </c>
      <c r="Z111" s="25">
        <v>1</v>
      </c>
      <c r="AA111" s="25">
        <v>1</v>
      </c>
      <c r="AH111" s="5"/>
      <c r="AI111" s="5"/>
      <c r="AO111" s="5"/>
    </row>
    <row r="112" spans="10:41" x14ac:dyDescent="0.3">
      <c r="J112" s="9">
        <v>108</v>
      </c>
      <c r="K112" s="16" t="s">
        <v>19</v>
      </c>
      <c r="L112" s="16" t="s">
        <v>88</v>
      </c>
      <c r="M112" s="16" t="s">
        <v>126</v>
      </c>
      <c r="N112" s="16" t="s">
        <v>125</v>
      </c>
      <c r="O112" s="16" t="s">
        <v>37</v>
      </c>
      <c r="Q112" s="9">
        <v>5</v>
      </c>
      <c r="R112" s="9">
        <v>11</v>
      </c>
      <c r="S112" s="9">
        <v>15</v>
      </c>
      <c r="T112" s="9">
        <v>6</v>
      </c>
      <c r="U112" s="9">
        <v>7</v>
      </c>
      <c r="W112" s="25">
        <v>1</v>
      </c>
      <c r="X112" s="25">
        <v>1</v>
      </c>
      <c r="Y112" s="25">
        <v>1</v>
      </c>
      <c r="Z112" s="25">
        <v>1</v>
      </c>
      <c r="AA112" s="25">
        <v>1</v>
      </c>
      <c r="AH112" s="5"/>
      <c r="AI112" s="5"/>
      <c r="AO112" s="5"/>
    </row>
    <row r="113" spans="10:41" x14ac:dyDescent="0.3">
      <c r="J113" s="25">
        <v>109</v>
      </c>
      <c r="K113" s="16" t="s">
        <v>125</v>
      </c>
      <c r="L113" s="16" t="s">
        <v>18</v>
      </c>
      <c r="M113" s="16" t="s">
        <v>97</v>
      </c>
      <c r="N113" s="16" t="s">
        <v>34</v>
      </c>
      <c r="O113" s="16" t="s">
        <v>19</v>
      </c>
      <c r="Q113" s="9">
        <v>6</v>
      </c>
      <c r="R113" s="9">
        <v>4</v>
      </c>
      <c r="S113" s="9">
        <v>19</v>
      </c>
      <c r="T113" s="9">
        <v>9</v>
      </c>
      <c r="U113" s="9">
        <v>5</v>
      </c>
      <c r="W113" s="25">
        <v>1</v>
      </c>
      <c r="X113" s="25">
        <v>1</v>
      </c>
      <c r="Y113" s="25">
        <v>1</v>
      </c>
      <c r="Z113" s="25">
        <v>1</v>
      </c>
      <c r="AA113" s="25">
        <v>1</v>
      </c>
      <c r="AH113" s="5"/>
      <c r="AI113" s="5"/>
      <c r="AO113" s="5"/>
    </row>
    <row r="114" spans="10:41" x14ac:dyDescent="0.3">
      <c r="J114" s="9">
        <v>110</v>
      </c>
      <c r="K114" s="16" t="s">
        <v>19</v>
      </c>
      <c r="L114" s="16" t="s">
        <v>37</v>
      </c>
      <c r="M114" s="16" t="s">
        <v>92</v>
      </c>
      <c r="N114" s="16" t="s">
        <v>19</v>
      </c>
      <c r="O114" s="16" t="s">
        <v>125</v>
      </c>
      <c r="Q114" s="9">
        <v>5</v>
      </c>
      <c r="R114" s="9">
        <v>7</v>
      </c>
      <c r="S114" s="9">
        <v>16</v>
      </c>
      <c r="T114" s="9">
        <v>5</v>
      </c>
      <c r="U114" s="9">
        <v>6</v>
      </c>
      <c r="W114" s="25">
        <v>1</v>
      </c>
      <c r="X114" s="25">
        <v>1</v>
      </c>
      <c r="Y114" s="25">
        <v>1</v>
      </c>
      <c r="Z114" s="25">
        <v>1</v>
      </c>
      <c r="AA114" s="25">
        <v>1</v>
      </c>
      <c r="AH114" s="5"/>
      <c r="AI114" s="5"/>
      <c r="AO114" s="5"/>
    </row>
    <row r="115" spans="10:41" x14ac:dyDescent="0.3">
      <c r="J115" s="25">
        <v>111</v>
      </c>
      <c r="K115" s="16" t="s">
        <v>20</v>
      </c>
      <c r="L115" s="16" t="s">
        <v>18</v>
      </c>
      <c r="M115" s="16" t="s">
        <v>126</v>
      </c>
      <c r="N115" s="16" t="s">
        <v>37</v>
      </c>
      <c r="O115" s="16" t="s">
        <v>35</v>
      </c>
      <c r="Q115" s="9">
        <v>1</v>
      </c>
      <c r="R115" s="9">
        <v>4</v>
      </c>
      <c r="S115" s="9">
        <v>15</v>
      </c>
      <c r="T115" s="9">
        <v>7</v>
      </c>
      <c r="U115" s="9">
        <v>8</v>
      </c>
      <c r="W115" s="25">
        <v>1</v>
      </c>
      <c r="X115" s="25">
        <v>1</v>
      </c>
      <c r="Y115" s="25">
        <v>1</v>
      </c>
      <c r="Z115" s="25">
        <v>1</v>
      </c>
      <c r="AA115" s="25">
        <v>1</v>
      </c>
      <c r="AH115" s="5"/>
      <c r="AI115" s="5"/>
      <c r="AO115" s="5"/>
    </row>
    <row r="116" spans="10:41" x14ac:dyDescent="0.3">
      <c r="J116" s="9">
        <v>112</v>
      </c>
      <c r="K116" s="16" t="s">
        <v>125</v>
      </c>
      <c r="L116" s="16" t="s">
        <v>92</v>
      </c>
      <c r="M116" s="16" t="s">
        <v>89</v>
      </c>
      <c r="N116" s="16" t="s">
        <v>19</v>
      </c>
      <c r="O116" s="16" t="s">
        <v>37</v>
      </c>
      <c r="Q116" s="9">
        <v>6</v>
      </c>
      <c r="R116" s="9">
        <v>16</v>
      </c>
      <c r="S116" s="9">
        <v>12</v>
      </c>
      <c r="T116" s="9">
        <v>5</v>
      </c>
      <c r="U116" s="9">
        <v>7</v>
      </c>
      <c r="W116" s="25">
        <v>1</v>
      </c>
      <c r="X116" s="25">
        <v>1</v>
      </c>
      <c r="Y116" s="25">
        <v>1</v>
      </c>
      <c r="Z116" s="25">
        <v>1</v>
      </c>
      <c r="AA116" s="25">
        <v>1</v>
      </c>
      <c r="AH116" s="5"/>
      <c r="AI116" s="5"/>
      <c r="AO116" s="5"/>
    </row>
    <row r="117" spans="10:41" x14ac:dyDescent="0.3">
      <c r="J117" s="25">
        <v>113</v>
      </c>
      <c r="K117" s="16" t="s">
        <v>34</v>
      </c>
      <c r="L117" s="16" t="s">
        <v>22</v>
      </c>
      <c r="M117" s="16" t="s">
        <v>91</v>
      </c>
      <c r="N117" s="16" t="s">
        <v>35</v>
      </c>
      <c r="O117" s="16" t="s">
        <v>125</v>
      </c>
      <c r="Q117" s="9">
        <v>9</v>
      </c>
      <c r="R117" s="9">
        <v>3</v>
      </c>
      <c r="S117" s="9">
        <v>14</v>
      </c>
      <c r="T117" s="9">
        <v>8</v>
      </c>
      <c r="U117" s="9">
        <v>6</v>
      </c>
      <c r="W117" s="25">
        <v>1</v>
      </c>
      <c r="X117" s="25">
        <v>1</v>
      </c>
      <c r="Y117" s="25">
        <v>1</v>
      </c>
      <c r="Z117" s="25">
        <v>1</v>
      </c>
      <c r="AA117" s="25">
        <v>1</v>
      </c>
      <c r="AH117" s="5"/>
      <c r="AI117" s="5"/>
      <c r="AO117" s="5"/>
    </row>
    <row r="118" spans="10:41" x14ac:dyDescent="0.3">
      <c r="J118" s="9">
        <v>114</v>
      </c>
      <c r="K118" s="16" t="s">
        <v>35</v>
      </c>
      <c r="L118" s="16" t="s">
        <v>19</v>
      </c>
      <c r="M118" s="16" t="s">
        <v>92</v>
      </c>
      <c r="N118" s="16" t="s">
        <v>18</v>
      </c>
      <c r="O118" s="16" t="s">
        <v>19</v>
      </c>
      <c r="Q118" s="9">
        <v>8</v>
      </c>
      <c r="R118" s="9">
        <v>5</v>
      </c>
      <c r="S118" s="9">
        <v>16</v>
      </c>
      <c r="T118" s="9">
        <v>4</v>
      </c>
      <c r="U118" s="9">
        <v>5</v>
      </c>
      <c r="W118" s="25">
        <v>1</v>
      </c>
      <c r="X118" s="25">
        <v>1</v>
      </c>
      <c r="Y118" s="25">
        <v>1</v>
      </c>
      <c r="Z118" s="25">
        <v>1</v>
      </c>
      <c r="AA118" s="25">
        <v>1</v>
      </c>
      <c r="AH118" s="5"/>
      <c r="AI118" s="5"/>
      <c r="AO118" s="5"/>
    </row>
    <row r="119" spans="10:41" x14ac:dyDescent="0.3">
      <c r="J119" s="25">
        <v>115</v>
      </c>
      <c r="K119" s="16" t="s">
        <v>37</v>
      </c>
      <c r="L119" s="16" t="s">
        <v>22</v>
      </c>
      <c r="M119" s="16" t="s">
        <v>91</v>
      </c>
      <c r="N119" s="16" t="s">
        <v>37</v>
      </c>
      <c r="O119" s="16" t="s">
        <v>125</v>
      </c>
      <c r="Q119" s="9">
        <v>7</v>
      </c>
      <c r="R119" s="9">
        <v>3</v>
      </c>
      <c r="S119" s="9">
        <v>14</v>
      </c>
      <c r="T119" s="9">
        <v>7</v>
      </c>
      <c r="U119" s="9">
        <v>6</v>
      </c>
      <c r="W119" s="25">
        <v>1</v>
      </c>
      <c r="X119" s="25">
        <v>1</v>
      </c>
      <c r="Y119" s="25">
        <v>1</v>
      </c>
      <c r="Z119" s="25">
        <v>1</v>
      </c>
      <c r="AA119" s="25">
        <v>1</v>
      </c>
      <c r="AH119" s="5"/>
      <c r="AI119" s="5"/>
      <c r="AO119" s="5"/>
    </row>
    <row r="120" spans="10:41" x14ac:dyDescent="0.3">
      <c r="J120" s="9">
        <v>116</v>
      </c>
      <c r="K120" s="16" t="s">
        <v>36</v>
      </c>
      <c r="L120" s="16" t="s">
        <v>92</v>
      </c>
      <c r="M120" s="16" t="s">
        <v>126</v>
      </c>
      <c r="N120" s="16" t="s">
        <v>22</v>
      </c>
      <c r="O120" s="16" t="s">
        <v>35</v>
      </c>
      <c r="Q120" s="9">
        <v>10</v>
      </c>
      <c r="R120" s="9">
        <v>16</v>
      </c>
      <c r="S120" s="9">
        <v>15</v>
      </c>
      <c r="T120" s="9">
        <v>3</v>
      </c>
      <c r="U120" s="9">
        <v>8</v>
      </c>
      <c r="W120" s="25">
        <v>1</v>
      </c>
      <c r="X120" s="25">
        <v>1</v>
      </c>
      <c r="Y120" s="25">
        <v>1</v>
      </c>
      <c r="Z120" s="25">
        <v>1</v>
      </c>
      <c r="AA120" s="25">
        <v>1</v>
      </c>
      <c r="AH120" s="5"/>
      <c r="AI120" s="5"/>
      <c r="AO120" s="5"/>
    </row>
    <row r="121" spans="10:41" x14ac:dyDescent="0.3">
      <c r="J121" s="25">
        <v>117</v>
      </c>
      <c r="K121" s="16" t="s">
        <v>37</v>
      </c>
      <c r="L121" s="16" t="s">
        <v>18</v>
      </c>
      <c r="M121" s="16" t="s">
        <v>92</v>
      </c>
      <c r="N121" s="16" t="s">
        <v>37</v>
      </c>
      <c r="O121" s="16" t="s">
        <v>125</v>
      </c>
      <c r="Q121" s="9">
        <v>7</v>
      </c>
      <c r="R121" s="9">
        <v>4</v>
      </c>
      <c r="S121" s="9">
        <v>16</v>
      </c>
      <c r="T121" s="9">
        <v>7</v>
      </c>
      <c r="U121" s="9">
        <v>6</v>
      </c>
      <c r="W121" s="25">
        <v>1</v>
      </c>
      <c r="X121" s="25">
        <v>1</v>
      </c>
      <c r="Y121" s="25">
        <v>1</v>
      </c>
      <c r="Z121" s="25">
        <v>1</v>
      </c>
      <c r="AA121" s="25">
        <v>1</v>
      </c>
      <c r="AH121" s="5"/>
      <c r="AI121" s="5"/>
      <c r="AO121" s="5"/>
    </row>
    <row r="122" spans="10:41" x14ac:dyDescent="0.3">
      <c r="J122" s="9">
        <v>118</v>
      </c>
      <c r="K122" s="16" t="s">
        <v>34</v>
      </c>
      <c r="L122" s="16" t="s">
        <v>126</v>
      </c>
      <c r="M122" s="16" t="s">
        <v>112</v>
      </c>
      <c r="N122" s="16" t="s">
        <v>125</v>
      </c>
      <c r="O122" s="16" t="s">
        <v>22</v>
      </c>
      <c r="Q122" s="9">
        <v>9</v>
      </c>
      <c r="R122" s="9">
        <v>15</v>
      </c>
      <c r="S122" s="9">
        <v>17</v>
      </c>
      <c r="T122" s="9">
        <v>6</v>
      </c>
      <c r="U122" s="9">
        <v>3</v>
      </c>
      <c r="W122" s="25">
        <v>1</v>
      </c>
      <c r="X122" s="25">
        <v>1</v>
      </c>
      <c r="Y122" s="25">
        <v>1</v>
      </c>
      <c r="Z122" s="25">
        <v>1</v>
      </c>
      <c r="AA122" s="25">
        <v>1</v>
      </c>
      <c r="AH122" s="5"/>
      <c r="AI122" s="5"/>
      <c r="AO122" s="5"/>
    </row>
    <row r="123" spans="10:41" x14ac:dyDescent="0.3">
      <c r="J123" s="25">
        <v>119</v>
      </c>
      <c r="K123" s="16" t="s">
        <v>125</v>
      </c>
      <c r="L123" s="16" t="s">
        <v>125</v>
      </c>
      <c r="M123" s="16" t="s">
        <v>92</v>
      </c>
      <c r="N123" s="16" t="s">
        <v>19</v>
      </c>
      <c r="O123" s="16" t="s">
        <v>19</v>
      </c>
      <c r="Q123" s="9">
        <v>6</v>
      </c>
      <c r="R123" s="9">
        <v>6</v>
      </c>
      <c r="S123" s="9">
        <v>16</v>
      </c>
      <c r="T123" s="9">
        <v>5</v>
      </c>
      <c r="U123" s="9">
        <v>5</v>
      </c>
      <c r="W123" s="25">
        <v>1</v>
      </c>
      <c r="X123" s="25">
        <v>1</v>
      </c>
      <c r="Y123" s="25">
        <v>1</v>
      </c>
      <c r="Z123" s="25">
        <v>1</v>
      </c>
      <c r="AA123" s="25">
        <v>1</v>
      </c>
      <c r="AH123" s="5"/>
      <c r="AI123" s="5"/>
      <c r="AO123" s="5"/>
    </row>
    <row r="124" spans="10:41" x14ac:dyDescent="0.3">
      <c r="J124" s="9">
        <v>120</v>
      </c>
      <c r="K124" s="16" t="s">
        <v>35</v>
      </c>
      <c r="L124" s="16" t="s">
        <v>22</v>
      </c>
      <c r="M124" s="16" t="s">
        <v>91</v>
      </c>
      <c r="N124" s="16" t="s">
        <v>35</v>
      </c>
      <c r="O124" s="16" t="s">
        <v>35</v>
      </c>
      <c r="Q124" s="9">
        <v>8</v>
      </c>
      <c r="R124" s="9">
        <v>3</v>
      </c>
      <c r="S124" s="9">
        <v>14</v>
      </c>
      <c r="T124" s="9">
        <v>8</v>
      </c>
      <c r="U124" s="9">
        <v>8</v>
      </c>
      <c r="W124" s="25">
        <v>1</v>
      </c>
      <c r="X124" s="25">
        <v>1</v>
      </c>
      <c r="Y124" s="25">
        <v>1</v>
      </c>
      <c r="Z124" s="25">
        <v>1</v>
      </c>
      <c r="AA124" s="25">
        <v>1</v>
      </c>
      <c r="AH124" s="5"/>
      <c r="AI124" s="5"/>
      <c r="AO124" s="5"/>
    </row>
    <row r="125" spans="10:41" x14ac:dyDescent="0.3">
      <c r="J125" s="25">
        <v>121</v>
      </c>
      <c r="K125" s="16" t="s">
        <v>19</v>
      </c>
      <c r="L125" s="16" t="s">
        <v>36</v>
      </c>
      <c r="M125" s="16" t="s">
        <v>92</v>
      </c>
      <c r="N125" s="16" t="s">
        <v>37</v>
      </c>
      <c r="O125" s="16" t="s">
        <v>37</v>
      </c>
      <c r="Q125" s="9">
        <v>5</v>
      </c>
      <c r="R125" s="9">
        <v>10</v>
      </c>
      <c r="S125" s="9">
        <v>16</v>
      </c>
      <c r="T125" s="9">
        <v>7</v>
      </c>
      <c r="U125" s="9">
        <v>7</v>
      </c>
      <c r="W125" s="25">
        <v>1</v>
      </c>
      <c r="X125" s="25">
        <v>1</v>
      </c>
      <c r="Y125" s="25">
        <v>1</v>
      </c>
      <c r="Z125" s="25">
        <v>1</v>
      </c>
      <c r="AA125" s="25">
        <v>1</v>
      </c>
      <c r="AH125" s="5"/>
      <c r="AI125" s="5"/>
      <c r="AO125" s="5"/>
    </row>
    <row r="126" spans="10:41" x14ac:dyDescent="0.3">
      <c r="J126" s="9">
        <v>122</v>
      </c>
      <c r="K126" s="16" t="s">
        <v>125</v>
      </c>
      <c r="L126" s="16" t="s">
        <v>35</v>
      </c>
      <c r="M126" s="16" t="s">
        <v>112</v>
      </c>
      <c r="N126" s="16" t="s">
        <v>19</v>
      </c>
      <c r="O126" s="16" t="s">
        <v>35</v>
      </c>
      <c r="Q126" s="9">
        <v>6</v>
      </c>
      <c r="R126" s="9">
        <v>8</v>
      </c>
      <c r="S126" s="9">
        <v>17</v>
      </c>
      <c r="T126" s="9">
        <v>5</v>
      </c>
      <c r="U126" s="9">
        <v>8</v>
      </c>
      <c r="W126" s="25">
        <v>1</v>
      </c>
      <c r="X126" s="25">
        <v>1</v>
      </c>
      <c r="Y126" s="25">
        <v>1</v>
      </c>
      <c r="Z126" s="25">
        <v>1</v>
      </c>
      <c r="AA126" s="25">
        <v>1</v>
      </c>
      <c r="AH126" s="5"/>
      <c r="AI126" s="5"/>
      <c r="AO126" s="5"/>
    </row>
    <row r="127" spans="10:41" x14ac:dyDescent="0.3">
      <c r="J127" s="25">
        <v>123</v>
      </c>
      <c r="K127" s="16" t="s">
        <v>34</v>
      </c>
      <c r="L127" s="16" t="s">
        <v>91</v>
      </c>
      <c r="M127" s="16" t="s">
        <v>91</v>
      </c>
      <c r="N127" s="16" t="s">
        <v>88</v>
      </c>
      <c r="O127" s="16" t="s">
        <v>19</v>
      </c>
      <c r="Q127" s="9">
        <v>9</v>
      </c>
      <c r="R127" s="9">
        <v>14</v>
      </c>
      <c r="S127" s="9">
        <v>14</v>
      </c>
      <c r="T127" s="9">
        <v>11</v>
      </c>
      <c r="U127" s="9">
        <v>5</v>
      </c>
      <c r="W127" s="25">
        <v>1</v>
      </c>
      <c r="X127" s="25">
        <v>1</v>
      </c>
      <c r="Y127" s="25">
        <v>1</v>
      </c>
      <c r="Z127" s="25">
        <v>1</v>
      </c>
      <c r="AA127" s="25">
        <v>1</v>
      </c>
      <c r="AH127" s="5"/>
      <c r="AI127" s="5"/>
      <c r="AO127" s="5"/>
    </row>
    <row r="128" spans="10:41" x14ac:dyDescent="0.3">
      <c r="J128" s="9">
        <v>124</v>
      </c>
      <c r="K128" s="16" t="s">
        <v>125</v>
      </c>
      <c r="L128" s="16" t="s">
        <v>92</v>
      </c>
      <c r="M128" s="16" t="s">
        <v>126</v>
      </c>
      <c r="N128" s="16" t="s">
        <v>37</v>
      </c>
      <c r="O128" s="16" t="s">
        <v>36</v>
      </c>
      <c r="Q128" s="9">
        <v>6</v>
      </c>
      <c r="R128" s="9">
        <v>16</v>
      </c>
      <c r="S128" s="9">
        <v>15</v>
      </c>
      <c r="T128" s="9">
        <v>7</v>
      </c>
      <c r="U128" s="9">
        <v>10</v>
      </c>
      <c r="W128" s="25">
        <v>1</v>
      </c>
      <c r="X128" s="25">
        <v>1</v>
      </c>
      <c r="Y128" s="25">
        <v>1</v>
      </c>
      <c r="Z128" s="25">
        <v>1</v>
      </c>
      <c r="AA128" s="25">
        <v>1</v>
      </c>
      <c r="AH128" s="5"/>
      <c r="AI128" s="5"/>
      <c r="AO128" s="5"/>
    </row>
    <row r="129" spans="10:41" x14ac:dyDescent="0.3">
      <c r="J129" s="25">
        <v>125</v>
      </c>
      <c r="K129" s="16" t="s">
        <v>36</v>
      </c>
      <c r="L129" s="16" t="s">
        <v>35</v>
      </c>
      <c r="M129" s="16" t="s">
        <v>92</v>
      </c>
      <c r="N129" s="16" t="s">
        <v>36</v>
      </c>
      <c r="O129" s="16" t="s">
        <v>19</v>
      </c>
      <c r="Q129" s="9">
        <v>10</v>
      </c>
      <c r="R129" s="9">
        <v>8</v>
      </c>
      <c r="S129" s="9">
        <v>16</v>
      </c>
      <c r="T129" s="9">
        <v>10</v>
      </c>
      <c r="U129" s="9">
        <v>5</v>
      </c>
      <c r="W129" s="25">
        <v>1</v>
      </c>
      <c r="X129" s="25">
        <v>1</v>
      </c>
      <c r="Y129" s="25">
        <v>1</v>
      </c>
      <c r="Z129" s="25">
        <v>1</v>
      </c>
      <c r="AA129" s="25">
        <v>1</v>
      </c>
      <c r="AH129" s="5"/>
      <c r="AI129" s="5"/>
      <c r="AO129" s="5"/>
    </row>
    <row r="130" spans="10:41" x14ac:dyDescent="0.3">
      <c r="J130" s="9">
        <v>126</v>
      </c>
      <c r="K130" s="16" t="s">
        <v>19</v>
      </c>
      <c r="L130" s="16" t="s">
        <v>91</v>
      </c>
      <c r="M130" s="16" t="s">
        <v>95</v>
      </c>
      <c r="N130" s="16" t="s">
        <v>18</v>
      </c>
      <c r="O130" s="16" t="s">
        <v>35</v>
      </c>
      <c r="Q130" s="9">
        <v>5</v>
      </c>
      <c r="R130" s="9">
        <v>14</v>
      </c>
      <c r="S130" s="9">
        <v>18</v>
      </c>
      <c r="T130" s="9">
        <v>4</v>
      </c>
      <c r="U130" s="9">
        <v>8</v>
      </c>
      <c r="W130" s="25">
        <v>1</v>
      </c>
      <c r="X130" s="25">
        <v>1</v>
      </c>
      <c r="Y130" s="25">
        <v>1</v>
      </c>
      <c r="Z130" s="25">
        <v>1</v>
      </c>
      <c r="AA130" s="25">
        <v>1</v>
      </c>
      <c r="AH130" s="5"/>
      <c r="AI130" s="5"/>
      <c r="AO130" s="5"/>
    </row>
    <row r="131" spans="10:41" x14ac:dyDescent="0.3">
      <c r="J131" s="25">
        <v>127</v>
      </c>
      <c r="K131" s="16" t="s">
        <v>125</v>
      </c>
      <c r="L131" s="16" t="s">
        <v>35</v>
      </c>
      <c r="M131" s="16" t="s">
        <v>91</v>
      </c>
      <c r="N131" s="16" t="s">
        <v>125</v>
      </c>
      <c r="O131" s="16" t="s">
        <v>19</v>
      </c>
      <c r="Q131" s="9">
        <v>6</v>
      </c>
      <c r="R131" s="9">
        <v>8</v>
      </c>
      <c r="S131" s="9">
        <v>14</v>
      </c>
      <c r="T131" s="9">
        <v>6</v>
      </c>
      <c r="U131" s="9">
        <v>5</v>
      </c>
      <c r="W131" s="25">
        <v>1</v>
      </c>
      <c r="X131" s="25">
        <v>1</v>
      </c>
      <c r="Y131" s="25">
        <v>1</v>
      </c>
      <c r="Z131" s="25">
        <v>1</v>
      </c>
      <c r="AA131" s="25">
        <v>1</v>
      </c>
      <c r="AH131" s="5"/>
      <c r="AI131" s="5"/>
      <c r="AO131" s="5"/>
    </row>
    <row r="132" spans="10:41" x14ac:dyDescent="0.3">
      <c r="J132" s="9">
        <v>128</v>
      </c>
      <c r="K132" s="16" t="s">
        <v>18</v>
      </c>
      <c r="L132" s="16" t="s">
        <v>125</v>
      </c>
      <c r="M132" s="16" t="s">
        <v>126</v>
      </c>
      <c r="N132" s="16" t="s">
        <v>37</v>
      </c>
      <c r="O132" s="16" t="s">
        <v>35</v>
      </c>
      <c r="Q132" s="9">
        <v>4</v>
      </c>
      <c r="R132" s="9">
        <v>6</v>
      </c>
      <c r="S132" s="9">
        <v>15</v>
      </c>
      <c r="T132" s="9">
        <v>7</v>
      </c>
      <c r="U132" s="9">
        <v>8</v>
      </c>
      <c r="W132" s="25">
        <v>1</v>
      </c>
      <c r="X132" s="25">
        <v>1</v>
      </c>
      <c r="Y132" s="25">
        <v>1</v>
      </c>
      <c r="Z132" s="25">
        <v>1</v>
      </c>
      <c r="AA132" s="25">
        <v>1</v>
      </c>
      <c r="AH132" s="5"/>
      <c r="AI132" s="5"/>
      <c r="AO132" s="5"/>
    </row>
    <row r="133" spans="10:41" x14ac:dyDescent="0.3">
      <c r="J133" s="25">
        <v>129</v>
      </c>
      <c r="K133" s="16" t="s">
        <v>37</v>
      </c>
      <c r="L133" s="16" t="s">
        <v>19</v>
      </c>
      <c r="M133" s="16" t="s">
        <v>92</v>
      </c>
      <c r="N133" s="16" t="s">
        <v>35</v>
      </c>
      <c r="O133" s="16" t="s">
        <v>34</v>
      </c>
      <c r="Q133" s="9">
        <v>7</v>
      </c>
      <c r="R133" s="9">
        <v>5</v>
      </c>
      <c r="S133" s="9">
        <v>16</v>
      </c>
      <c r="T133" s="9">
        <v>8</v>
      </c>
      <c r="U133" s="9">
        <v>9</v>
      </c>
      <c r="W133" s="25">
        <v>1</v>
      </c>
      <c r="X133" s="25">
        <v>1</v>
      </c>
      <c r="Y133" s="25">
        <v>1</v>
      </c>
      <c r="Z133" s="25">
        <v>1</v>
      </c>
      <c r="AA133" s="25">
        <v>1</v>
      </c>
      <c r="AH133" s="5"/>
      <c r="AI133" s="5"/>
      <c r="AO133" s="5"/>
    </row>
    <row r="134" spans="10:41" x14ac:dyDescent="0.3">
      <c r="J134" s="9">
        <v>130</v>
      </c>
      <c r="K134" s="16" t="s">
        <v>125</v>
      </c>
      <c r="L134" s="16" t="s">
        <v>35</v>
      </c>
      <c r="M134" s="16" t="s">
        <v>95</v>
      </c>
      <c r="N134" s="16" t="s">
        <v>21</v>
      </c>
      <c r="O134" s="16" t="s">
        <v>21</v>
      </c>
      <c r="Q134" s="9">
        <v>6</v>
      </c>
      <c r="R134" s="9">
        <v>8</v>
      </c>
      <c r="S134" s="9">
        <v>18</v>
      </c>
      <c r="T134" s="9">
        <v>2</v>
      </c>
      <c r="U134" s="9">
        <v>2</v>
      </c>
      <c r="W134" s="25">
        <v>1</v>
      </c>
      <c r="X134" s="25">
        <v>1</v>
      </c>
      <c r="Y134" s="25">
        <v>1</v>
      </c>
      <c r="Z134" s="25">
        <v>1</v>
      </c>
      <c r="AA134" s="25">
        <v>1</v>
      </c>
      <c r="AH134" s="5"/>
      <c r="AI134" s="5"/>
      <c r="AO134" s="5"/>
    </row>
    <row r="135" spans="10:41" x14ac:dyDescent="0.3">
      <c r="J135" s="25">
        <v>131</v>
      </c>
      <c r="K135" s="16" t="s">
        <v>37</v>
      </c>
      <c r="L135" s="16" t="s">
        <v>90</v>
      </c>
      <c r="M135" s="16" t="s">
        <v>91</v>
      </c>
      <c r="N135" s="16" t="s">
        <v>91</v>
      </c>
      <c r="O135" s="16" t="s">
        <v>22</v>
      </c>
      <c r="Q135" s="9">
        <v>7</v>
      </c>
      <c r="R135" s="9">
        <v>13</v>
      </c>
      <c r="S135" s="9">
        <v>14</v>
      </c>
      <c r="T135" s="9">
        <v>14</v>
      </c>
      <c r="U135" s="9">
        <v>3</v>
      </c>
      <c r="W135" s="25">
        <v>1</v>
      </c>
      <c r="X135" s="25">
        <v>1</v>
      </c>
      <c r="Y135" s="25">
        <v>1</v>
      </c>
      <c r="Z135" s="25">
        <v>1</v>
      </c>
      <c r="AA135" s="25">
        <v>1</v>
      </c>
      <c r="AH135" s="5"/>
      <c r="AI135" s="5"/>
      <c r="AO135" s="5"/>
    </row>
    <row r="136" spans="10:41" x14ac:dyDescent="0.3">
      <c r="J136" s="9">
        <v>132</v>
      </c>
      <c r="K136" s="16" t="s">
        <v>35</v>
      </c>
      <c r="L136" s="16" t="s">
        <v>112</v>
      </c>
      <c r="M136" s="16" t="s">
        <v>92</v>
      </c>
      <c r="N136" s="16" t="s">
        <v>37</v>
      </c>
      <c r="O136" s="16" t="s">
        <v>35</v>
      </c>
      <c r="Q136" s="9">
        <v>8</v>
      </c>
      <c r="R136" s="9">
        <v>17</v>
      </c>
      <c r="S136" s="9">
        <v>16</v>
      </c>
      <c r="T136" s="9">
        <v>7</v>
      </c>
      <c r="U136" s="9">
        <v>8</v>
      </c>
      <c r="W136" s="25">
        <v>1</v>
      </c>
      <c r="X136" s="25">
        <v>1</v>
      </c>
      <c r="Y136" s="25">
        <v>1</v>
      </c>
      <c r="Z136" s="25">
        <v>1</v>
      </c>
      <c r="AA136" s="25">
        <v>1</v>
      </c>
      <c r="AH136" s="5"/>
      <c r="AI136" s="5"/>
      <c r="AO136" s="5"/>
    </row>
    <row r="137" spans="10:41" x14ac:dyDescent="0.3">
      <c r="J137" s="25">
        <v>133</v>
      </c>
      <c r="K137" s="16" t="s">
        <v>19</v>
      </c>
      <c r="L137" s="16" t="s">
        <v>36</v>
      </c>
      <c r="M137" s="16" t="s">
        <v>126</v>
      </c>
      <c r="N137" s="16" t="s">
        <v>125</v>
      </c>
      <c r="O137" s="16" t="s">
        <v>19</v>
      </c>
      <c r="Q137" s="9">
        <v>5</v>
      </c>
      <c r="R137" s="9">
        <v>10</v>
      </c>
      <c r="S137" s="9">
        <v>15</v>
      </c>
      <c r="T137" s="9">
        <v>6</v>
      </c>
      <c r="U137" s="9">
        <v>5</v>
      </c>
      <c r="W137" s="25">
        <v>1</v>
      </c>
      <c r="X137" s="25">
        <v>1</v>
      </c>
      <c r="Y137" s="25">
        <v>1</v>
      </c>
      <c r="Z137" s="25">
        <v>1</v>
      </c>
      <c r="AA137" s="25">
        <v>1</v>
      </c>
      <c r="AH137" s="5"/>
      <c r="AI137" s="5"/>
      <c r="AO137" s="5"/>
    </row>
    <row r="138" spans="10:41" x14ac:dyDescent="0.3">
      <c r="J138" s="9">
        <v>134</v>
      </c>
      <c r="K138" s="16" t="s">
        <v>37</v>
      </c>
      <c r="L138" s="16" t="s">
        <v>35</v>
      </c>
      <c r="M138" s="16" t="s">
        <v>91</v>
      </c>
      <c r="N138" s="16" t="s">
        <v>37</v>
      </c>
      <c r="O138" s="16" t="s">
        <v>34</v>
      </c>
      <c r="Q138" s="9">
        <v>7</v>
      </c>
      <c r="R138" s="9">
        <v>8</v>
      </c>
      <c r="S138" s="9">
        <v>14</v>
      </c>
      <c r="T138" s="9">
        <v>7</v>
      </c>
      <c r="U138" s="9">
        <v>9</v>
      </c>
      <c r="W138" s="25">
        <v>1</v>
      </c>
      <c r="X138" s="25">
        <v>1</v>
      </c>
      <c r="Y138" s="25">
        <v>1</v>
      </c>
      <c r="Z138" s="25">
        <v>1</v>
      </c>
      <c r="AA138" s="25">
        <v>1</v>
      </c>
      <c r="AH138" s="5"/>
      <c r="AI138" s="5"/>
      <c r="AO138" s="5"/>
    </row>
    <row r="139" spans="10:41" x14ac:dyDescent="0.3">
      <c r="J139" s="25">
        <v>135</v>
      </c>
      <c r="K139" s="16" t="s">
        <v>19</v>
      </c>
      <c r="L139" s="16" t="s">
        <v>34</v>
      </c>
      <c r="M139" s="16" t="s">
        <v>126</v>
      </c>
      <c r="N139" s="16" t="s">
        <v>35</v>
      </c>
      <c r="O139" s="16" t="s">
        <v>37</v>
      </c>
      <c r="Q139" s="9">
        <v>5</v>
      </c>
      <c r="R139" s="9">
        <v>9</v>
      </c>
      <c r="S139" s="9">
        <v>15</v>
      </c>
      <c r="T139" s="9">
        <v>8</v>
      </c>
      <c r="U139" s="9">
        <v>7</v>
      </c>
      <c r="W139" s="25">
        <v>1</v>
      </c>
      <c r="X139" s="25">
        <v>1</v>
      </c>
      <c r="Y139" s="25">
        <v>1</v>
      </c>
      <c r="Z139" s="25">
        <v>1</v>
      </c>
      <c r="AA139" s="25">
        <v>1</v>
      </c>
      <c r="AH139" s="5"/>
      <c r="AI139" s="5"/>
      <c r="AO139" s="5"/>
    </row>
    <row r="140" spans="10:41" x14ac:dyDescent="0.3">
      <c r="J140" s="9">
        <v>136</v>
      </c>
      <c r="K140" s="16" t="s">
        <v>125</v>
      </c>
      <c r="L140" s="16" t="s">
        <v>22</v>
      </c>
      <c r="M140" s="16" t="s">
        <v>112</v>
      </c>
      <c r="N140" s="16" t="s">
        <v>126</v>
      </c>
      <c r="O140" s="16" t="s">
        <v>22</v>
      </c>
      <c r="Q140" s="9">
        <v>6</v>
      </c>
      <c r="R140" s="9">
        <v>3</v>
      </c>
      <c r="S140" s="9">
        <v>17</v>
      </c>
      <c r="T140" s="9">
        <v>15</v>
      </c>
      <c r="U140" s="9">
        <v>3</v>
      </c>
      <c r="W140" s="25">
        <v>1</v>
      </c>
      <c r="X140" s="25">
        <v>1</v>
      </c>
      <c r="Y140" s="25">
        <v>1</v>
      </c>
      <c r="Z140" s="25">
        <v>1</v>
      </c>
      <c r="AA140" s="25">
        <v>1</v>
      </c>
      <c r="AH140" s="5"/>
      <c r="AI140" s="5"/>
      <c r="AO140" s="5"/>
    </row>
    <row r="141" spans="10:41" x14ac:dyDescent="0.3">
      <c r="J141" s="25">
        <v>137</v>
      </c>
      <c r="K141" s="16" t="s">
        <v>19</v>
      </c>
      <c r="L141" s="16" t="s">
        <v>91</v>
      </c>
      <c r="M141" s="16" t="s">
        <v>92</v>
      </c>
      <c r="N141" s="16" t="s">
        <v>35</v>
      </c>
      <c r="O141" s="16" t="s">
        <v>37</v>
      </c>
      <c r="Q141" s="9">
        <v>5</v>
      </c>
      <c r="R141" s="9">
        <v>14</v>
      </c>
      <c r="S141" s="9">
        <v>16</v>
      </c>
      <c r="T141" s="9">
        <v>8</v>
      </c>
      <c r="U141" s="9">
        <v>7</v>
      </c>
      <c r="W141" s="25">
        <v>1</v>
      </c>
      <c r="X141" s="25">
        <v>1</v>
      </c>
      <c r="Y141" s="25">
        <v>1</v>
      </c>
      <c r="Z141" s="25">
        <v>1</v>
      </c>
      <c r="AA141" s="25">
        <v>1</v>
      </c>
      <c r="AH141" s="5"/>
      <c r="AI141" s="5"/>
      <c r="AO141" s="5"/>
    </row>
    <row r="142" spans="10:41" x14ac:dyDescent="0.3">
      <c r="J142" s="9">
        <v>138</v>
      </c>
      <c r="K142" s="16" t="s">
        <v>37</v>
      </c>
      <c r="L142" s="16" t="s">
        <v>112</v>
      </c>
      <c r="M142" s="16" t="s">
        <v>112</v>
      </c>
      <c r="N142" s="16" t="s">
        <v>37</v>
      </c>
      <c r="O142" s="16" t="s">
        <v>35</v>
      </c>
      <c r="Q142" s="9">
        <v>7</v>
      </c>
      <c r="R142" s="9">
        <v>17</v>
      </c>
      <c r="S142" s="9">
        <v>17</v>
      </c>
      <c r="T142" s="9">
        <v>7</v>
      </c>
      <c r="U142" s="9">
        <v>8</v>
      </c>
      <c r="W142" s="25">
        <v>1</v>
      </c>
      <c r="X142" s="25">
        <v>1</v>
      </c>
      <c r="Y142" s="25">
        <v>1</v>
      </c>
      <c r="Z142" s="25">
        <v>1</v>
      </c>
      <c r="AA142" s="25">
        <v>1</v>
      </c>
      <c r="AH142" s="5"/>
      <c r="AI142" s="5"/>
      <c r="AO142" s="5"/>
    </row>
    <row r="143" spans="10:41" x14ac:dyDescent="0.3">
      <c r="J143" s="25">
        <v>139</v>
      </c>
      <c r="K143" s="16" t="s">
        <v>35</v>
      </c>
      <c r="L143" s="16" t="s">
        <v>37</v>
      </c>
      <c r="M143" s="16" t="s">
        <v>88</v>
      </c>
      <c r="N143" s="16" t="s">
        <v>35</v>
      </c>
      <c r="O143" s="16" t="s">
        <v>19</v>
      </c>
      <c r="Q143" s="9">
        <v>8</v>
      </c>
      <c r="R143" s="9">
        <v>7</v>
      </c>
      <c r="S143" s="9">
        <v>11</v>
      </c>
      <c r="T143" s="9">
        <v>8</v>
      </c>
      <c r="U143" s="9">
        <v>5</v>
      </c>
      <c r="W143" s="25">
        <v>1</v>
      </c>
      <c r="X143" s="25">
        <v>1</v>
      </c>
      <c r="Y143" s="25">
        <v>1</v>
      </c>
      <c r="Z143" s="25">
        <v>1</v>
      </c>
      <c r="AA143" s="25">
        <v>1</v>
      </c>
      <c r="AH143" s="5"/>
      <c r="AI143" s="5"/>
      <c r="AO143" s="5"/>
    </row>
    <row r="144" spans="10:41" x14ac:dyDescent="0.3">
      <c r="J144" s="9">
        <v>140</v>
      </c>
      <c r="K144" s="16" t="s">
        <v>125</v>
      </c>
      <c r="L144" s="16" t="s">
        <v>34</v>
      </c>
      <c r="M144" s="16" t="s">
        <v>126</v>
      </c>
      <c r="N144" s="16" t="s">
        <v>34</v>
      </c>
      <c r="O144" s="16" t="s">
        <v>34</v>
      </c>
      <c r="Q144" s="9">
        <v>6</v>
      </c>
      <c r="R144" s="9">
        <v>9</v>
      </c>
      <c r="S144" s="9">
        <v>15</v>
      </c>
      <c r="T144" s="9">
        <v>9</v>
      </c>
      <c r="U144" s="9">
        <v>9</v>
      </c>
      <c r="W144" s="25">
        <v>1</v>
      </c>
      <c r="X144" s="25">
        <v>1</v>
      </c>
      <c r="Y144" s="25">
        <v>1</v>
      </c>
      <c r="Z144" s="25">
        <v>1</v>
      </c>
      <c r="AA144" s="25">
        <v>1</v>
      </c>
      <c r="AH144" s="5"/>
      <c r="AI144" s="5"/>
      <c r="AO144" s="5"/>
    </row>
    <row r="145" spans="10:41" x14ac:dyDescent="0.3">
      <c r="J145" s="25">
        <v>141</v>
      </c>
      <c r="K145" s="16" t="s">
        <v>19</v>
      </c>
      <c r="L145" s="16" t="s">
        <v>20</v>
      </c>
      <c r="M145" s="16" t="s">
        <v>92</v>
      </c>
      <c r="N145" s="16" t="s">
        <v>19</v>
      </c>
      <c r="O145" s="16" t="s">
        <v>36</v>
      </c>
      <c r="Q145" s="9">
        <v>5</v>
      </c>
      <c r="R145" s="9">
        <v>1</v>
      </c>
      <c r="S145" s="9">
        <v>16</v>
      </c>
      <c r="T145" s="9">
        <v>5</v>
      </c>
      <c r="U145" s="9">
        <v>10</v>
      </c>
      <c r="W145" s="25">
        <v>1</v>
      </c>
      <c r="X145" s="25">
        <v>1</v>
      </c>
      <c r="Y145" s="25">
        <v>1</v>
      </c>
      <c r="Z145" s="25">
        <v>1</v>
      </c>
      <c r="AA145" s="25">
        <v>1</v>
      </c>
      <c r="AH145" s="5"/>
      <c r="AI145" s="5"/>
      <c r="AO145" s="5"/>
    </row>
    <row r="146" spans="10:41" x14ac:dyDescent="0.3">
      <c r="J146" s="9">
        <v>142</v>
      </c>
      <c r="K146" s="16" t="s">
        <v>35</v>
      </c>
      <c r="L146" s="16" t="s">
        <v>22</v>
      </c>
      <c r="M146" s="16" t="s">
        <v>97</v>
      </c>
      <c r="N146" s="16" t="s">
        <v>37</v>
      </c>
      <c r="O146" s="16" t="s">
        <v>20</v>
      </c>
      <c r="Q146" s="9">
        <v>8</v>
      </c>
      <c r="R146" s="9">
        <v>3</v>
      </c>
      <c r="S146" s="9">
        <v>19</v>
      </c>
      <c r="T146" s="9">
        <v>7</v>
      </c>
      <c r="U146" s="9">
        <v>1</v>
      </c>
      <c r="W146" s="25">
        <v>1</v>
      </c>
      <c r="X146" s="25">
        <v>1</v>
      </c>
      <c r="Y146" s="25">
        <v>1</v>
      </c>
      <c r="Z146" s="25">
        <v>1</v>
      </c>
      <c r="AA146" s="25">
        <v>1</v>
      </c>
      <c r="AH146" s="5"/>
      <c r="AI146" s="5"/>
      <c r="AO146" s="5"/>
    </row>
    <row r="147" spans="10:41" x14ac:dyDescent="0.3">
      <c r="J147" s="25">
        <v>143</v>
      </c>
      <c r="K147" s="16" t="s">
        <v>37</v>
      </c>
      <c r="L147" s="16" t="s">
        <v>19</v>
      </c>
      <c r="M147" s="16" t="s">
        <v>126</v>
      </c>
      <c r="N147" s="16" t="s">
        <v>126</v>
      </c>
      <c r="O147" s="16" t="s">
        <v>125</v>
      </c>
      <c r="Q147" s="9">
        <v>7</v>
      </c>
      <c r="R147" s="9">
        <v>5</v>
      </c>
      <c r="S147" s="9">
        <v>15</v>
      </c>
      <c r="T147" s="9">
        <v>15</v>
      </c>
      <c r="U147" s="9">
        <v>6</v>
      </c>
      <c r="W147" s="25">
        <v>1</v>
      </c>
      <c r="X147" s="25">
        <v>1</v>
      </c>
      <c r="Y147" s="25">
        <v>1</v>
      </c>
      <c r="Z147" s="25">
        <v>1</v>
      </c>
      <c r="AA147" s="25">
        <v>1</v>
      </c>
      <c r="AH147" s="5"/>
      <c r="AI147" s="5"/>
      <c r="AO147" s="5"/>
    </row>
    <row r="148" spans="10:41" x14ac:dyDescent="0.3">
      <c r="J148" s="9">
        <v>144</v>
      </c>
      <c r="K148" s="16" t="s">
        <v>125</v>
      </c>
      <c r="L148" s="16" t="s">
        <v>34</v>
      </c>
      <c r="M148" s="16" t="s">
        <v>91</v>
      </c>
      <c r="N148" s="16" t="s">
        <v>37</v>
      </c>
      <c r="O148" s="16" t="s">
        <v>35</v>
      </c>
      <c r="Q148" s="9">
        <v>6</v>
      </c>
      <c r="R148" s="9">
        <v>9</v>
      </c>
      <c r="S148" s="9">
        <v>14</v>
      </c>
      <c r="T148" s="9">
        <v>7</v>
      </c>
      <c r="U148" s="9">
        <v>8</v>
      </c>
      <c r="W148" s="25">
        <v>1</v>
      </c>
      <c r="X148" s="25">
        <v>1</v>
      </c>
      <c r="Y148" s="25">
        <v>1</v>
      </c>
      <c r="Z148" s="25">
        <v>1</v>
      </c>
      <c r="AA148" s="25">
        <v>1</v>
      </c>
      <c r="AH148" s="5"/>
      <c r="AI148" s="5"/>
      <c r="AO148" s="5"/>
    </row>
    <row r="149" spans="10:41" x14ac:dyDescent="0.3">
      <c r="J149" s="25">
        <v>145</v>
      </c>
      <c r="K149" s="16" t="s">
        <v>37</v>
      </c>
      <c r="L149" s="16" t="s">
        <v>21</v>
      </c>
      <c r="M149" s="16" t="s">
        <v>112</v>
      </c>
      <c r="N149" s="16" t="s">
        <v>90</v>
      </c>
      <c r="O149" s="16" t="s">
        <v>125</v>
      </c>
      <c r="Q149" s="9">
        <v>7</v>
      </c>
      <c r="R149" s="9">
        <v>2</v>
      </c>
      <c r="S149" s="9">
        <v>17</v>
      </c>
      <c r="T149" s="9">
        <v>13</v>
      </c>
      <c r="U149" s="9">
        <v>6</v>
      </c>
      <c r="W149" s="25">
        <v>1</v>
      </c>
      <c r="X149" s="25">
        <v>1</v>
      </c>
      <c r="Y149" s="25">
        <v>1</v>
      </c>
      <c r="Z149" s="25">
        <v>1</v>
      </c>
      <c r="AA149" s="25">
        <v>1</v>
      </c>
      <c r="AH149" s="5"/>
      <c r="AI149" s="5"/>
      <c r="AO149" s="5"/>
    </row>
    <row r="150" spans="10:41" x14ac:dyDescent="0.3">
      <c r="J150" s="9">
        <v>146</v>
      </c>
      <c r="K150" s="16" t="s">
        <v>19</v>
      </c>
      <c r="L150" s="16" t="s">
        <v>91</v>
      </c>
      <c r="M150" s="16" t="s">
        <v>92</v>
      </c>
      <c r="N150" s="16" t="s">
        <v>125</v>
      </c>
      <c r="O150" s="16" t="s">
        <v>36</v>
      </c>
      <c r="Q150" s="9">
        <v>5</v>
      </c>
      <c r="R150" s="9">
        <v>14</v>
      </c>
      <c r="S150" s="9">
        <v>16</v>
      </c>
      <c r="T150" s="9">
        <v>6</v>
      </c>
      <c r="U150" s="9">
        <v>10</v>
      </c>
      <c r="W150" s="25">
        <v>1</v>
      </c>
      <c r="X150" s="25">
        <v>1</v>
      </c>
      <c r="Y150" s="25">
        <v>1</v>
      </c>
      <c r="Z150" s="25">
        <v>1</v>
      </c>
      <c r="AA150" s="25">
        <v>1</v>
      </c>
      <c r="AH150" s="5"/>
      <c r="AI150" s="5"/>
      <c r="AO150" s="5"/>
    </row>
    <row r="151" spans="10:41" x14ac:dyDescent="0.3">
      <c r="J151" s="25">
        <v>147</v>
      </c>
      <c r="K151" s="16" t="s">
        <v>125</v>
      </c>
      <c r="L151" s="16" t="s">
        <v>21</v>
      </c>
      <c r="M151" s="16" t="s">
        <v>112</v>
      </c>
      <c r="N151" s="16" t="s">
        <v>37</v>
      </c>
      <c r="O151" s="16" t="s">
        <v>19</v>
      </c>
      <c r="Q151" s="9">
        <v>6</v>
      </c>
      <c r="R151" s="9">
        <v>2</v>
      </c>
      <c r="S151" s="9">
        <v>17</v>
      </c>
      <c r="T151" s="9">
        <v>7</v>
      </c>
      <c r="U151" s="9">
        <v>5</v>
      </c>
      <c r="W151" s="25">
        <v>1</v>
      </c>
      <c r="X151" s="25">
        <v>1</v>
      </c>
      <c r="Y151" s="25">
        <v>1</v>
      </c>
      <c r="Z151" s="25">
        <v>1</v>
      </c>
      <c r="AA151" s="25">
        <v>1</v>
      </c>
      <c r="AH151" s="5"/>
      <c r="AI151" s="5"/>
      <c r="AO151" s="5"/>
    </row>
    <row r="152" spans="10:41" x14ac:dyDescent="0.3">
      <c r="J152" s="9">
        <v>148</v>
      </c>
      <c r="K152" s="16" t="s">
        <v>19</v>
      </c>
      <c r="L152" s="16" t="s">
        <v>37</v>
      </c>
      <c r="M152" s="16" t="s">
        <v>126</v>
      </c>
      <c r="N152" s="16" t="s">
        <v>125</v>
      </c>
      <c r="O152" s="16" t="s">
        <v>35</v>
      </c>
      <c r="Q152" s="9">
        <v>5</v>
      </c>
      <c r="R152" s="9">
        <v>7</v>
      </c>
      <c r="S152" s="9">
        <v>15</v>
      </c>
      <c r="T152" s="9">
        <v>6</v>
      </c>
      <c r="U152" s="9">
        <v>8</v>
      </c>
      <c r="W152" s="25">
        <v>1</v>
      </c>
      <c r="X152" s="25">
        <v>1</v>
      </c>
      <c r="Y152" s="25">
        <v>1</v>
      </c>
      <c r="Z152" s="25">
        <v>1</v>
      </c>
      <c r="AA152" s="25">
        <v>1</v>
      </c>
      <c r="AH152" s="5"/>
      <c r="AI152" s="5"/>
      <c r="AO152" s="5"/>
    </row>
    <row r="153" spans="10:41" x14ac:dyDescent="0.3">
      <c r="J153" s="25">
        <v>149</v>
      </c>
      <c r="K153" s="16" t="s">
        <v>125</v>
      </c>
      <c r="L153" s="16" t="s">
        <v>35</v>
      </c>
      <c r="M153" s="16" t="s">
        <v>91</v>
      </c>
      <c r="N153" s="16" t="s">
        <v>37</v>
      </c>
      <c r="O153" s="16" t="s">
        <v>125</v>
      </c>
      <c r="Q153" s="9">
        <v>6</v>
      </c>
      <c r="R153" s="9">
        <v>8</v>
      </c>
      <c r="S153" s="9">
        <v>14</v>
      </c>
      <c r="T153" s="9">
        <v>7</v>
      </c>
      <c r="U153" s="9">
        <v>6</v>
      </c>
      <c r="W153" s="25">
        <v>1</v>
      </c>
      <c r="X153" s="25">
        <v>1</v>
      </c>
      <c r="Y153" s="25">
        <v>1</v>
      </c>
      <c r="Z153" s="25">
        <v>1</v>
      </c>
      <c r="AA153" s="25">
        <v>1</v>
      </c>
      <c r="AH153" s="5"/>
      <c r="AI153" s="5"/>
      <c r="AO153" s="5"/>
    </row>
    <row r="154" spans="10:41" x14ac:dyDescent="0.3">
      <c r="J154" s="9">
        <v>150</v>
      </c>
      <c r="K154" s="16" t="s">
        <v>35</v>
      </c>
      <c r="L154" s="16" t="s">
        <v>37</v>
      </c>
      <c r="M154" s="16" t="s">
        <v>97</v>
      </c>
      <c r="N154" s="16" t="s">
        <v>125</v>
      </c>
      <c r="O154" s="16" t="s">
        <v>35</v>
      </c>
      <c r="Q154" s="9">
        <v>8</v>
      </c>
      <c r="R154" s="9">
        <v>7</v>
      </c>
      <c r="S154" s="9">
        <v>19</v>
      </c>
      <c r="T154" s="9">
        <v>6</v>
      </c>
      <c r="U154" s="9">
        <v>8</v>
      </c>
      <c r="W154" s="25">
        <v>1</v>
      </c>
      <c r="X154" s="25">
        <v>1</v>
      </c>
      <c r="Y154" s="25">
        <v>1</v>
      </c>
      <c r="Z154" s="25">
        <v>1</v>
      </c>
      <c r="AA154" s="25">
        <v>1</v>
      </c>
      <c r="AH154" s="5"/>
      <c r="AI154" s="5"/>
      <c r="AO154" s="5"/>
    </row>
    <row r="155" spans="10:41" x14ac:dyDescent="0.3">
      <c r="J155" s="25">
        <v>151</v>
      </c>
      <c r="K155" s="16" t="s">
        <v>19</v>
      </c>
      <c r="L155" s="16" t="s">
        <v>19</v>
      </c>
      <c r="M155" s="16" t="s">
        <v>91</v>
      </c>
      <c r="N155" s="16" t="s">
        <v>34</v>
      </c>
      <c r="O155" s="16" t="s">
        <v>19</v>
      </c>
      <c r="Q155" s="9">
        <v>5</v>
      </c>
      <c r="R155" s="9">
        <v>5</v>
      </c>
      <c r="S155" s="9">
        <v>14</v>
      </c>
      <c r="T155" s="9">
        <v>9</v>
      </c>
      <c r="U155" s="9">
        <v>5</v>
      </c>
      <c r="W155" s="25">
        <v>1</v>
      </c>
      <c r="X155" s="25">
        <v>1</v>
      </c>
      <c r="Y155" s="25">
        <v>1</v>
      </c>
      <c r="Z155" s="25">
        <v>1</v>
      </c>
      <c r="AA155" s="25">
        <v>1</v>
      </c>
      <c r="AH155" s="5"/>
      <c r="AI155" s="5"/>
      <c r="AO155" s="5"/>
    </row>
    <row r="156" spans="10:41" x14ac:dyDescent="0.3">
      <c r="J156" s="9">
        <v>152</v>
      </c>
      <c r="K156" s="16" t="s">
        <v>22</v>
      </c>
      <c r="L156" s="16" t="s">
        <v>35</v>
      </c>
      <c r="M156" s="16" t="s">
        <v>92</v>
      </c>
      <c r="N156" s="16" t="s">
        <v>20</v>
      </c>
      <c r="O156" s="16" t="s">
        <v>37</v>
      </c>
      <c r="Q156" s="9">
        <v>3</v>
      </c>
      <c r="R156" s="9">
        <v>8</v>
      </c>
      <c r="S156" s="9">
        <v>16</v>
      </c>
      <c r="T156" s="9">
        <v>1</v>
      </c>
      <c r="U156" s="9">
        <v>7</v>
      </c>
      <c r="W156" s="25">
        <v>1</v>
      </c>
      <c r="X156" s="25">
        <v>1</v>
      </c>
      <c r="Y156" s="25">
        <v>1</v>
      </c>
      <c r="Z156" s="25">
        <v>1</v>
      </c>
      <c r="AA156" s="25">
        <v>1</v>
      </c>
      <c r="AH156" s="5"/>
      <c r="AI156" s="5"/>
      <c r="AO156" s="5"/>
    </row>
    <row r="157" spans="10:41" x14ac:dyDescent="0.3">
      <c r="J157" s="25">
        <v>153</v>
      </c>
      <c r="K157" s="16" t="s">
        <v>35</v>
      </c>
      <c r="L157" s="16" t="s">
        <v>89</v>
      </c>
      <c r="M157" s="16" t="s">
        <v>112</v>
      </c>
      <c r="N157" s="16" t="s">
        <v>112</v>
      </c>
      <c r="O157" s="16" t="s">
        <v>34</v>
      </c>
      <c r="Q157" s="9">
        <v>8</v>
      </c>
      <c r="R157" s="9">
        <v>12</v>
      </c>
      <c r="S157" s="9">
        <v>17</v>
      </c>
      <c r="T157" s="9">
        <v>17</v>
      </c>
      <c r="U157" s="9">
        <v>9</v>
      </c>
      <c r="W157" s="25">
        <v>1</v>
      </c>
      <c r="X157" s="25">
        <v>1</v>
      </c>
      <c r="Y157" s="25">
        <v>1</v>
      </c>
      <c r="Z157" s="25">
        <v>1</v>
      </c>
      <c r="AA157" s="25">
        <v>1</v>
      </c>
      <c r="AH157" s="5"/>
      <c r="AI157" s="5"/>
      <c r="AO157" s="5"/>
    </row>
    <row r="158" spans="10:41" x14ac:dyDescent="0.3">
      <c r="J158" s="9">
        <v>154</v>
      </c>
      <c r="K158" s="16" t="s">
        <v>22</v>
      </c>
      <c r="L158" s="16" t="s">
        <v>36</v>
      </c>
      <c r="M158" s="16" t="s">
        <v>92</v>
      </c>
      <c r="N158" s="16" t="s">
        <v>37</v>
      </c>
      <c r="O158" s="16" t="s">
        <v>19</v>
      </c>
      <c r="Q158" s="9">
        <v>3</v>
      </c>
      <c r="R158" s="9">
        <v>10</v>
      </c>
      <c r="S158" s="9">
        <v>16</v>
      </c>
      <c r="T158" s="9">
        <v>7</v>
      </c>
      <c r="U158" s="9">
        <v>5</v>
      </c>
      <c r="W158" s="25">
        <v>1</v>
      </c>
      <c r="X158" s="25">
        <v>1</v>
      </c>
      <c r="Y158" s="25">
        <v>1</v>
      </c>
      <c r="Z158" s="25">
        <v>1</v>
      </c>
      <c r="AA158" s="25">
        <v>1</v>
      </c>
      <c r="AH158" s="5"/>
      <c r="AI158" s="5"/>
      <c r="AO158" s="5"/>
    </row>
    <row r="159" spans="10:41" x14ac:dyDescent="0.3">
      <c r="J159" s="25">
        <v>155</v>
      </c>
      <c r="K159" s="16" t="s">
        <v>35</v>
      </c>
      <c r="L159" s="16" t="s">
        <v>125</v>
      </c>
      <c r="M159" s="16" t="s">
        <v>112</v>
      </c>
      <c r="N159" s="16" t="s">
        <v>125</v>
      </c>
      <c r="O159" s="16" t="s">
        <v>125</v>
      </c>
      <c r="Q159" s="9">
        <v>8</v>
      </c>
      <c r="R159" s="9">
        <v>6</v>
      </c>
      <c r="S159" s="9">
        <v>17</v>
      </c>
      <c r="T159" s="9">
        <v>6</v>
      </c>
      <c r="U159" s="9">
        <v>6</v>
      </c>
      <c r="W159" s="25">
        <v>1</v>
      </c>
      <c r="X159" s="25">
        <v>1</v>
      </c>
      <c r="Y159" s="25">
        <v>1</v>
      </c>
      <c r="Z159" s="25">
        <v>1</v>
      </c>
      <c r="AA159" s="25">
        <v>1</v>
      </c>
      <c r="AH159" s="5"/>
      <c r="AI159" s="5"/>
      <c r="AO159" s="5"/>
    </row>
    <row r="160" spans="10:41" x14ac:dyDescent="0.3">
      <c r="J160" s="9">
        <v>156</v>
      </c>
      <c r="K160" s="16" t="s">
        <v>37</v>
      </c>
      <c r="L160" s="16" t="s">
        <v>19</v>
      </c>
      <c r="M160" s="16" t="s">
        <v>89</v>
      </c>
      <c r="N160" s="16" t="s">
        <v>19</v>
      </c>
      <c r="O160" s="16" t="s">
        <v>18</v>
      </c>
      <c r="Q160" s="9">
        <v>7</v>
      </c>
      <c r="R160" s="9">
        <v>5</v>
      </c>
      <c r="S160" s="9">
        <v>12</v>
      </c>
      <c r="T160" s="9">
        <v>5</v>
      </c>
      <c r="U160" s="9">
        <v>4</v>
      </c>
      <c r="W160" s="25">
        <v>1</v>
      </c>
      <c r="X160" s="25">
        <v>1</v>
      </c>
      <c r="Y160" s="25">
        <v>1</v>
      </c>
      <c r="Z160" s="25">
        <v>1</v>
      </c>
      <c r="AA160" s="25">
        <v>1</v>
      </c>
      <c r="AH160" s="5"/>
      <c r="AI160" s="5"/>
      <c r="AO160" s="5"/>
    </row>
    <row r="161" spans="10:41" x14ac:dyDescent="0.3">
      <c r="J161" s="25">
        <v>157</v>
      </c>
      <c r="K161" s="16" t="s">
        <v>19</v>
      </c>
      <c r="L161" s="16" t="s">
        <v>37</v>
      </c>
      <c r="M161" s="16" t="s">
        <v>91</v>
      </c>
      <c r="N161" s="16" t="s">
        <v>36</v>
      </c>
      <c r="O161" s="16" t="s">
        <v>22</v>
      </c>
      <c r="Q161" s="9">
        <v>5</v>
      </c>
      <c r="R161" s="9">
        <v>7</v>
      </c>
      <c r="S161" s="9">
        <v>14</v>
      </c>
      <c r="T161" s="9">
        <v>10</v>
      </c>
      <c r="U161" s="9">
        <v>3</v>
      </c>
      <c r="W161" s="25">
        <v>1</v>
      </c>
      <c r="X161" s="25">
        <v>1</v>
      </c>
      <c r="Y161" s="25">
        <v>1</v>
      </c>
      <c r="Z161" s="25">
        <v>1</v>
      </c>
      <c r="AA161" s="25">
        <v>1</v>
      </c>
      <c r="AH161" s="5"/>
      <c r="AI161" s="5"/>
      <c r="AO161" s="5"/>
    </row>
    <row r="162" spans="10:41" x14ac:dyDescent="0.3">
      <c r="J162" s="9">
        <v>158</v>
      </c>
      <c r="K162" s="16" t="s">
        <v>125</v>
      </c>
      <c r="L162" s="16" t="s">
        <v>126</v>
      </c>
      <c r="M162" s="16" t="s">
        <v>126</v>
      </c>
      <c r="N162" s="16" t="s">
        <v>19</v>
      </c>
      <c r="O162" s="16" t="s">
        <v>35</v>
      </c>
      <c r="Q162" s="9">
        <v>6</v>
      </c>
      <c r="R162" s="9">
        <v>15</v>
      </c>
      <c r="S162" s="9">
        <v>15</v>
      </c>
      <c r="T162" s="9">
        <v>5</v>
      </c>
      <c r="U162" s="9">
        <v>8</v>
      </c>
      <c r="W162" s="25">
        <v>1</v>
      </c>
      <c r="X162" s="25">
        <v>1</v>
      </c>
      <c r="Y162" s="25">
        <v>1</v>
      </c>
      <c r="Z162" s="25">
        <v>1</v>
      </c>
      <c r="AA162" s="25">
        <v>1</v>
      </c>
      <c r="AH162" s="5"/>
      <c r="AI162" s="5"/>
      <c r="AO162" s="5"/>
    </row>
    <row r="163" spans="10:41" x14ac:dyDescent="0.3">
      <c r="J163" s="25">
        <v>159</v>
      </c>
      <c r="K163" s="16" t="s">
        <v>20</v>
      </c>
      <c r="L163" s="16" t="s">
        <v>19</v>
      </c>
      <c r="M163" s="16" t="s">
        <v>112</v>
      </c>
      <c r="N163" s="16" t="s">
        <v>37</v>
      </c>
      <c r="O163" s="16" t="s">
        <v>125</v>
      </c>
      <c r="Q163" s="9">
        <v>1</v>
      </c>
      <c r="R163" s="9">
        <v>5</v>
      </c>
      <c r="S163" s="9">
        <v>17</v>
      </c>
      <c r="T163" s="9">
        <v>7</v>
      </c>
      <c r="U163" s="9">
        <v>6</v>
      </c>
      <c r="W163" s="25">
        <v>1</v>
      </c>
      <c r="X163" s="25">
        <v>1</v>
      </c>
      <c r="Y163" s="25">
        <v>1</v>
      </c>
      <c r="Z163" s="25">
        <v>1</v>
      </c>
      <c r="AA163" s="25">
        <v>1</v>
      </c>
      <c r="AH163" s="5"/>
      <c r="AI163" s="5"/>
      <c r="AO163" s="5"/>
    </row>
    <row r="164" spans="10:41" x14ac:dyDescent="0.3">
      <c r="J164" s="9">
        <v>160</v>
      </c>
      <c r="K164" s="16" t="s">
        <v>19</v>
      </c>
      <c r="L164" s="16" t="s">
        <v>90</v>
      </c>
      <c r="M164" s="16" t="s">
        <v>95</v>
      </c>
      <c r="N164" s="16" t="s">
        <v>34</v>
      </c>
      <c r="O164" s="16" t="s">
        <v>35</v>
      </c>
      <c r="Q164" s="9">
        <v>5</v>
      </c>
      <c r="R164" s="9">
        <v>13</v>
      </c>
      <c r="S164" s="9">
        <v>18</v>
      </c>
      <c r="T164" s="9">
        <v>9</v>
      </c>
      <c r="U164" s="9">
        <v>8</v>
      </c>
      <c r="W164" s="25">
        <v>1</v>
      </c>
      <c r="X164" s="25">
        <v>1</v>
      </c>
      <c r="Y164" s="25">
        <v>1</v>
      </c>
      <c r="Z164" s="25">
        <v>1</v>
      </c>
      <c r="AA164" s="25">
        <v>1</v>
      </c>
      <c r="AH164" s="5"/>
      <c r="AI164" s="5"/>
      <c r="AO164" s="5"/>
    </row>
    <row r="165" spans="10:41" x14ac:dyDescent="0.3">
      <c r="J165" s="25">
        <v>161</v>
      </c>
      <c r="K165" s="16" t="s">
        <v>37</v>
      </c>
      <c r="L165" s="16" t="s">
        <v>35</v>
      </c>
      <c r="M165" s="16" t="s">
        <v>91</v>
      </c>
      <c r="N165" s="16" t="s">
        <v>22</v>
      </c>
      <c r="O165" s="16" t="s">
        <v>125</v>
      </c>
      <c r="Q165" s="9">
        <v>7</v>
      </c>
      <c r="R165" s="9">
        <v>8</v>
      </c>
      <c r="S165" s="9">
        <v>14</v>
      </c>
      <c r="T165" s="9">
        <v>3</v>
      </c>
      <c r="U165" s="9">
        <v>6</v>
      </c>
      <c r="W165" s="25">
        <v>1</v>
      </c>
      <c r="X165" s="25">
        <v>1</v>
      </c>
      <c r="Y165" s="25">
        <v>1</v>
      </c>
      <c r="Z165" s="25">
        <v>1</v>
      </c>
      <c r="AA165" s="25">
        <v>1</v>
      </c>
      <c r="AH165" s="5"/>
      <c r="AI165" s="5"/>
      <c r="AO165" s="5"/>
    </row>
    <row r="166" spans="10:41" x14ac:dyDescent="0.3">
      <c r="J166" s="9">
        <v>162</v>
      </c>
      <c r="K166" s="16" t="s">
        <v>19</v>
      </c>
      <c r="L166" s="16" t="s">
        <v>126</v>
      </c>
      <c r="M166" s="16" t="s">
        <v>112</v>
      </c>
      <c r="N166" s="16" t="s">
        <v>34</v>
      </c>
      <c r="O166" s="16" t="s">
        <v>19</v>
      </c>
      <c r="Q166" s="9">
        <v>5</v>
      </c>
      <c r="R166" s="9">
        <v>15</v>
      </c>
      <c r="S166" s="9">
        <v>17</v>
      </c>
      <c r="T166" s="9">
        <v>9</v>
      </c>
      <c r="U166" s="9">
        <v>5</v>
      </c>
      <c r="W166" s="25">
        <v>1</v>
      </c>
      <c r="X166" s="25">
        <v>1</v>
      </c>
      <c r="Y166" s="25">
        <v>1</v>
      </c>
      <c r="Z166" s="25">
        <v>1</v>
      </c>
      <c r="AA166" s="25">
        <v>1</v>
      </c>
      <c r="AH166" s="5"/>
      <c r="AI166" s="5"/>
      <c r="AO166" s="5"/>
    </row>
    <row r="167" spans="10:41" x14ac:dyDescent="0.3">
      <c r="J167" s="25">
        <v>163</v>
      </c>
      <c r="K167" s="16" t="s">
        <v>37</v>
      </c>
      <c r="L167" s="16" t="s">
        <v>37</v>
      </c>
      <c r="M167" s="16" t="s">
        <v>92</v>
      </c>
      <c r="N167" s="16" t="s">
        <v>21</v>
      </c>
      <c r="O167" s="16" t="s">
        <v>18</v>
      </c>
      <c r="Q167" s="9">
        <v>7</v>
      </c>
      <c r="R167" s="9">
        <v>7</v>
      </c>
      <c r="S167" s="9">
        <v>16</v>
      </c>
      <c r="T167" s="9">
        <v>2</v>
      </c>
      <c r="U167" s="9">
        <v>4</v>
      </c>
      <c r="W167" s="25">
        <v>1</v>
      </c>
      <c r="X167" s="25">
        <v>1</v>
      </c>
      <c r="Y167" s="25">
        <v>1</v>
      </c>
      <c r="Z167" s="25">
        <v>1</v>
      </c>
      <c r="AA167" s="25">
        <v>1</v>
      </c>
      <c r="AH167" s="5"/>
      <c r="AI167" s="5"/>
      <c r="AO167" s="5"/>
    </row>
    <row r="168" spans="10:41" x14ac:dyDescent="0.3">
      <c r="J168" s="9">
        <v>164</v>
      </c>
      <c r="K168" s="16" t="s">
        <v>125</v>
      </c>
      <c r="L168" s="16" t="s">
        <v>35</v>
      </c>
      <c r="M168" s="16" t="s">
        <v>91</v>
      </c>
      <c r="N168" s="16" t="s">
        <v>91</v>
      </c>
      <c r="O168" s="16" t="s">
        <v>125</v>
      </c>
      <c r="Q168" s="9">
        <v>6</v>
      </c>
      <c r="R168" s="9">
        <v>8</v>
      </c>
      <c r="S168" s="9">
        <v>14</v>
      </c>
      <c r="T168" s="9">
        <v>14</v>
      </c>
      <c r="U168" s="9">
        <v>6</v>
      </c>
      <c r="W168" s="25">
        <v>1</v>
      </c>
      <c r="X168" s="25">
        <v>1</v>
      </c>
      <c r="Y168" s="25">
        <v>1</v>
      </c>
      <c r="Z168" s="25">
        <v>1</v>
      </c>
      <c r="AA168" s="25">
        <v>1</v>
      </c>
      <c r="AH168" s="5"/>
      <c r="AI168" s="5"/>
      <c r="AO168" s="5"/>
    </row>
    <row r="169" spans="10:41" x14ac:dyDescent="0.3">
      <c r="J169" s="25">
        <v>165</v>
      </c>
      <c r="K169" s="16" t="s">
        <v>35</v>
      </c>
      <c r="L169" s="16" t="s">
        <v>37</v>
      </c>
      <c r="M169" s="16" t="s">
        <v>92</v>
      </c>
      <c r="N169" s="16" t="s">
        <v>35</v>
      </c>
      <c r="O169" s="16" t="s">
        <v>22</v>
      </c>
      <c r="Q169" s="9">
        <v>8</v>
      </c>
      <c r="R169" s="9">
        <v>7</v>
      </c>
      <c r="S169" s="9">
        <v>16</v>
      </c>
      <c r="T169" s="9">
        <v>8</v>
      </c>
      <c r="U169" s="9">
        <v>3</v>
      </c>
      <c r="W169" s="25">
        <v>1</v>
      </c>
      <c r="X169" s="25">
        <v>1</v>
      </c>
      <c r="Y169" s="25">
        <v>1</v>
      </c>
      <c r="Z169" s="25">
        <v>1</v>
      </c>
      <c r="AA169" s="25">
        <v>1</v>
      </c>
      <c r="AH169" s="5"/>
      <c r="AI169" s="5"/>
      <c r="AO169" s="5"/>
    </row>
    <row r="170" spans="10:41" x14ac:dyDescent="0.3">
      <c r="J170" s="9">
        <v>166</v>
      </c>
      <c r="K170" s="16" t="s">
        <v>18</v>
      </c>
      <c r="L170" s="16" t="s">
        <v>18</v>
      </c>
      <c r="M170" s="16" t="s">
        <v>126</v>
      </c>
      <c r="N170" s="16" t="s">
        <v>37</v>
      </c>
      <c r="O170" s="16" t="s">
        <v>37</v>
      </c>
      <c r="Q170" s="9">
        <v>4</v>
      </c>
      <c r="R170" s="9">
        <v>4</v>
      </c>
      <c r="S170" s="9">
        <v>15</v>
      </c>
      <c r="T170" s="9">
        <v>7</v>
      </c>
      <c r="U170" s="9">
        <v>7</v>
      </c>
      <c r="W170" s="25">
        <v>1</v>
      </c>
      <c r="X170" s="25">
        <v>1</v>
      </c>
      <c r="Y170" s="25">
        <v>1</v>
      </c>
      <c r="Z170" s="25">
        <v>1</v>
      </c>
      <c r="AA170" s="25">
        <v>1</v>
      </c>
      <c r="AH170" s="5"/>
      <c r="AI170" s="5"/>
      <c r="AO170" s="5"/>
    </row>
    <row r="171" spans="10:41" x14ac:dyDescent="0.3">
      <c r="J171" s="25">
        <v>167</v>
      </c>
      <c r="K171" s="16" t="s">
        <v>37</v>
      </c>
      <c r="L171" s="16" t="s">
        <v>37</v>
      </c>
      <c r="M171" s="16" t="s">
        <v>112</v>
      </c>
      <c r="N171" s="16" t="s">
        <v>35</v>
      </c>
      <c r="O171" s="16" t="s">
        <v>125</v>
      </c>
      <c r="Q171" s="9">
        <v>7</v>
      </c>
      <c r="R171" s="9">
        <v>7</v>
      </c>
      <c r="S171" s="9">
        <v>17</v>
      </c>
      <c r="T171" s="9">
        <v>8</v>
      </c>
      <c r="U171" s="9">
        <v>6</v>
      </c>
      <c r="W171" s="25">
        <v>1</v>
      </c>
      <c r="X171" s="25">
        <v>1</v>
      </c>
      <c r="Y171" s="25">
        <v>1</v>
      </c>
      <c r="Z171" s="25">
        <v>1</v>
      </c>
      <c r="AA171" s="25">
        <v>1</v>
      </c>
      <c r="AH171" s="5"/>
      <c r="AI171" s="5"/>
      <c r="AO171" s="5"/>
    </row>
    <row r="172" spans="10:41" x14ac:dyDescent="0.3">
      <c r="J172" s="9">
        <v>168</v>
      </c>
      <c r="K172" s="16" t="s">
        <v>35</v>
      </c>
      <c r="L172" s="16" t="s">
        <v>19</v>
      </c>
      <c r="M172" s="16" t="s">
        <v>89</v>
      </c>
      <c r="N172" s="16" t="s">
        <v>125</v>
      </c>
      <c r="O172" s="16" t="s">
        <v>35</v>
      </c>
      <c r="Q172" s="9">
        <v>8</v>
      </c>
      <c r="R172" s="9">
        <v>5</v>
      </c>
      <c r="S172" s="9">
        <v>12</v>
      </c>
      <c r="T172" s="9">
        <v>6</v>
      </c>
      <c r="U172" s="9">
        <v>8</v>
      </c>
      <c r="W172" s="25">
        <v>1</v>
      </c>
      <c r="X172" s="25">
        <v>1</v>
      </c>
      <c r="Y172" s="25">
        <v>1</v>
      </c>
      <c r="Z172" s="25">
        <v>1</v>
      </c>
      <c r="AA172" s="25">
        <v>1</v>
      </c>
      <c r="AH172" s="5"/>
      <c r="AI172" s="5"/>
      <c r="AO172" s="5"/>
    </row>
    <row r="173" spans="10:41" x14ac:dyDescent="0.3">
      <c r="J173" s="25">
        <v>169</v>
      </c>
      <c r="K173" s="16" t="s">
        <v>36</v>
      </c>
      <c r="L173" s="16" t="s">
        <v>37</v>
      </c>
      <c r="M173" s="16" t="s">
        <v>112</v>
      </c>
      <c r="N173" s="16" t="s">
        <v>35</v>
      </c>
      <c r="O173" s="16" t="s">
        <v>125</v>
      </c>
      <c r="Q173" s="9">
        <v>10</v>
      </c>
      <c r="R173" s="9">
        <v>7</v>
      </c>
      <c r="S173" s="9">
        <v>17</v>
      </c>
      <c r="T173" s="9">
        <v>8</v>
      </c>
      <c r="U173" s="9">
        <v>6</v>
      </c>
      <c r="W173" s="25">
        <v>1</v>
      </c>
      <c r="X173" s="25">
        <v>1</v>
      </c>
      <c r="Y173" s="25">
        <v>1</v>
      </c>
      <c r="Z173" s="25">
        <v>1</v>
      </c>
      <c r="AA173" s="25">
        <v>1</v>
      </c>
      <c r="AH173" s="5"/>
      <c r="AI173" s="5"/>
      <c r="AO173" s="5"/>
    </row>
    <row r="174" spans="10:41" x14ac:dyDescent="0.3">
      <c r="J174" s="9">
        <v>170</v>
      </c>
      <c r="K174" s="16" t="s">
        <v>19</v>
      </c>
      <c r="L174" s="16" t="s">
        <v>125</v>
      </c>
      <c r="M174" s="16" t="s">
        <v>91</v>
      </c>
      <c r="N174" s="16" t="s">
        <v>18</v>
      </c>
      <c r="O174" s="16" t="s">
        <v>20</v>
      </c>
      <c r="Q174" s="9">
        <v>5</v>
      </c>
      <c r="R174" s="9">
        <v>6</v>
      </c>
      <c r="S174" s="9">
        <v>14</v>
      </c>
      <c r="T174" s="9">
        <v>4</v>
      </c>
      <c r="U174" s="9">
        <v>1</v>
      </c>
      <c r="W174" s="25">
        <v>1</v>
      </c>
      <c r="X174" s="25">
        <v>1</v>
      </c>
      <c r="Y174" s="25">
        <v>1</v>
      </c>
      <c r="Z174" s="25">
        <v>1</v>
      </c>
      <c r="AA174" s="25">
        <v>1</v>
      </c>
      <c r="AH174" s="5"/>
      <c r="AI174" s="5"/>
      <c r="AO174" s="5"/>
    </row>
    <row r="175" spans="10:41" x14ac:dyDescent="0.3">
      <c r="J175" s="25">
        <v>171</v>
      </c>
      <c r="K175" s="16" t="s">
        <v>37</v>
      </c>
      <c r="L175" s="16" t="s">
        <v>34</v>
      </c>
      <c r="M175" s="16" t="s">
        <v>126</v>
      </c>
      <c r="N175" s="16" t="s">
        <v>19</v>
      </c>
      <c r="O175" s="16" t="s">
        <v>125</v>
      </c>
      <c r="Q175" s="9">
        <v>7</v>
      </c>
      <c r="R175" s="9">
        <v>9</v>
      </c>
      <c r="S175" s="9">
        <v>15</v>
      </c>
      <c r="T175" s="9">
        <v>5</v>
      </c>
      <c r="U175" s="9">
        <v>6</v>
      </c>
      <c r="W175" s="25">
        <v>1</v>
      </c>
      <c r="X175" s="25">
        <v>1</v>
      </c>
      <c r="Y175" s="25">
        <v>1</v>
      </c>
      <c r="Z175" s="25">
        <v>1</v>
      </c>
      <c r="AA175" s="25">
        <v>1</v>
      </c>
      <c r="AH175" s="5"/>
      <c r="AI175" s="5"/>
      <c r="AO175" s="5"/>
    </row>
    <row r="176" spans="10:41" x14ac:dyDescent="0.3">
      <c r="J176" s="9">
        <v>172</v>
      </c>
      <c r="K176" s="16" t="s">
        <v>19</v>
      </c>
      <c r="L176" s="16" t="s">
        <v>35</v>
      </c>
      <c r="M176" s="16" t="s">
        <v>97</v>
      </c>
      <c r="N176" s="16" t="s">
        <v>125</v>
      </c>
      <c r="O176" s="16" t="s">
        <v>19</v>
      </c>
      <c r="Q176" s="9">
        <v>5</v>
      </c>
      <c r="R176" s="9">
        <v>8</v>
      </c>
      <c r="S176" s="9">
        <v>19</v>
      </c>
      <c r="T176" s="9">
        <v>6</v>
      </c>
      <c r="U176" s="9">
        <v>5</v>
      </c>
      <c r="W176" s="25">
        <v>1</v>
      </c>
      <c r="X176" s="25">
        <v>1</v>
      </c>
      <c r="Y176" s="25">
        <v>1</v>
      </c>
      <c r="Z176" s="25">
        <v>1</v>
      </c>
      <c r="AA176" s="25">
        <v>1</v>
      </c>
      <c r="AH176" s="5"/>
      <c r="AI176" s="5"/>
      <c r="AO176" s="5"/>
    </row>
    <row r="177" spans="10:41" x14ac:dyDescent="0.3">
      <c r="J177" s="25">
        <v>173</v>
      </c>
      <c r="K177" s="16" t="s">
        <v>37</v>
      </c>
      <c r="L177" s="16" t="s">
        <v>21</v>
      </c>
      <c r="M177" s="16" t="s">
        <v>112</v>
      </c>
      <c r="N177" s="16" t="s">
        <v>35</v>
      </c>
      <c r="O177" s="16" t="s">
        <v>125</v>
      </c>
      <c r="Q177" s="9">
        <v>7</v>
      </c>
      <c r="R177" s="9">
        <v>2</v>
      </c>
      <c r="S177" s="9">
        <v>17</v>
      </c>
      <c r="T177" s="9">
        <v>8</v>
      </c>
      <c r="U177" s="9">
        <v>6</v>
      </c>
      <c r="W177" s="25">
        <v>1</v>
      </c>
      <c r="X177" s="25">
        <v>1</v>
      </c>
      <c r="Y177" s="25">
        <v>1</v>
      </c>
      <c r="Z177" s="25">
        <v>1</v>
      </c>
      <c r="AA177" s="25">
        <v>1</v>
      </c>
      <c r="AH177" s="5"/>
      <c r="AI177" s="5"/>
      <c r="AO177" s="5"/>
    </row>
    <row r="178" spans="10:41" x14ac:dyDescent="0.3">
      <c r="J178" s="9">
        <v>174</v>
      </c>
      <c r="K178" s="16" t="s">
        <v>34</v>
      </c>
      <c r="L178" s="16" t="s">
        <v>19</v>
      </c>
      <c r="M178" s="16" t="s">
        <v>92</v>
      </c>
      <c r="N178" s="16" t="s">
        <v>125</v>
      </c>
      <c r="O178" s="16" t="s">
        <v>19</v>
      </c>
      <c r="Q178" s="9">
        <v>9</v>
      </c>
      <c r="R178" s="9">
        <v>5</v>
      </c>
      <c r="S178" s="9">
        <v>16</v>
      </c>
      <c r="T178" s="9">
        <v>6</v>
      </c>
      <c r="U178" s="9">
        <v>5</v>
      </c>
      <c r="W178" s="25">
        <v>1</v>
      </c>
      <c r="X178" s="25">
        <v>1</v>
      </c>
      <c r="Y178" s="25">
        <v>1</v>
      </c>
      <c r="Z178" s="25">
        <v>1</v>
      </c>
      <c r="AA178" s="25">
        <v>1</v>
      </c>
      <c r="AH178" s="5"/>
      <c r="AI178" s="5"/>
      <c r="AO178" s="5"/>
    </row>
    <row r="179" spans="10:41" x14ac:dyDescent="0.3">
      <c r="J179" s="25">
        <v>175</v>
      </c>
      <c r="K179" s="16" t="s">
        <v>37</v>
      </c>
      <c r="L179" s="16" t="s">
        <v>35</v>
      </c>
      <c r="M179" s="16" t="s">
        <v>112</v>
      </c>
      <c r="N179" s="16" t="s">
        <v>20</v>
      </c>
      <c r="O179" s="16" t="s">
        <v>34</v>
      </c>
      <c r="Q179" s="9">
        <v>7</v>
      </c>
      <c r="R179" s="9">
        <v>8</v>
      </c>
      <c r="S179" s="9">
        <v>17</v>
      </c>
      <c r="T179" s="9">
        <v>1</v>
      </c>
      <c r="U179" s="9">
        <v>9</v>
      </c>
      <c r="W179" s="25">
        <v>1</v>
      </c>
      <c r="X179" s="25">
        <v>1</v>
      </c>
      <c r="Y179" s="25">
        <v>1</v>
      </c>
      <c r="Z179" s="25">
        <v>1</v>
      </c>
      <c r="AA179" s="25">
        <v>1</v>
      </c>
      <c r="AH179" s="5"/>
      <c r="AI179" s="5"/>
      <c r="AO179" s="5"/>
    </row>
    <row r="180" spans="10:41" x14ac:dyDescent="0.3">
      <c r="J180" s="9">
        <v>176</v>
      </c>
      <c r="K180" s="16" t="s">
        <v>22</v>
      </c>
      <c r="L180" s="16" t="s">
        <v>21</v>
      </c>
      <c r="M180" s="16" t="s">
        <v>92</v>
      </c>
      <c r="N180" s="16" t="s">
        <v>19</v>
      </c>
      <c r="O180" s="16" t="s">
        <v>19</v>
      </c>
      <c r="Q180" s="9">
        <v>3</v>
      </c>
      <c r="R180" s="9">
        <v>2</v>
      </c>
      <c r="S180" s="9">
        <v>16</v>
      </c>
      <c r="T180" s="9">
        <v>5</v>
      </c>
      <c r="U180" s="9">
        <v>5</v>
      </c>
      <c r="W180" s="25">
        <v>1</v>
      </c>
      <c r="X180" s="25">
        <v>1</v>
      </c>
      <c r="Y180" s="25">
        <v>1</v>
      </c>
      <c r="Z180" s="25">
        <v>1</v>
      </c>
      <c r="AA180" s="25">
        <v>1</v>
      </c>
      <c r="AH180" s="5"/>
      <c r="AI180" s="5"/>
      <c r="AO180" s="5"/>
    </row>
    <row r="181" spans="10:41" x14ac:dyDescent="0.3">
      <c r="J181" s="25">
        <v>177</v>
      </c>
      <c r="K181" s="16" t="s">
        <v>35</v>
      </c>
      <c r="L181" s="16" t="s">
        <v>19</v>
      </c>
      <c r="M181" s="16" t="s">
        <v>126</v>
      </c>
      <c r="N181" s="16" t="s">
        <v>112</v>
      </c>
      <c r="O181" s="16" t="s">
        <v>37</v>
      </c>
      <c r="Q181" s="9">
        <v>8</v>
      </c>
      <c r="R181" s="9">
        <v>5</v>
      </c>
      <c r="S181" s="9">
        <v>15</v>
      </c>
      <c r="T181" s="9">
        <v>17</v>
      </c>
      <c r="U181" s="9">
        <v>7</v>
      </c>
      <c r="W181" s="25">
        <v>1</v>
      </c>
      <c r="X181" s="25">
        <v>1</v>
      </c>
      <c r="Y181" s="25">
        <v>1</v>
      </c>
      <c r="Z181" s="25">
        <v>1</v>
      </c>
      <c r="AA181" s="25">
        <v>1</v>
      </c>
      <c r="AH181" s="5"/>
      <c r="AI181" s="5"/>
      <c r="AO181" s="5"/>
    </row>
    <row r="182" spans="10:41" x14ac:dyDescent="0.3">
      <c r="J182" s="9">
        <v>178</v>
      </c>
      <c r="K182" s="16" t="s">
        <v>19</v>
      </c>
      <c r="L182" s="16" t="s">
        <v>112</v>
      </c>
      <c r="M182" s="16" t="s">
        <v>91</v>
      </c>
      <c r="N182" s="16" t="s">
        <v>35</v>
      </c>
      <c r="O182" s="16" t="s">
        <v>18</v>
      </c>
      <c r="Q182" s="9">
        <v>5</v>
      </c>
      <c r="R182" s="9">
        <v>17</v>
      </c>
      <c r="S182" s="9">
        <v>14</v>
      </c>
      <c r="T182" s="9">
        <v>8</v>
      </c>
      <c r="U182" s="9">
        <v>4</v>
      </c>
      <c r="W182" s="25">
        <v>1</v>
      </c>
      <c r="X182" s="25">
        <v>1</v>
      </c>
      <c r="Y182" s="25">
        <v>1</v>
      </c>
      <c r="Z182" s="25">
        <v>1</v>
      </c>
      <c r="AA182" s="25">
        <v>1</v>
      </c>
      <c r="AH182" s="5"/>
      <c r="AI182" s="5"/>
      <c r="AO182" s="5"/>
    </row>
    <row r="183" spans="10:41" x14ac:dyDescent="0.3">
      <c r="J183" s="25">
        <v>179</v>
      </c>
      <c r="K183" s="16" t="s">
        <v>37</v>
      </c>
      <c r="L183" s="16" t="s">
        <v>125</v>
      </c>
      <c r="M183" s="16" t="s">
        <v>126</v>
      </c>
      <c r="N183" s="16" t="s">
        <v>37</v>
      </c>
      <c r="O183" s="16" t="s">
        <v>34</v>
      </c>
      <c r="Q183" s="9">
        <v>7</v>
      </c>
      <c r="R183" s="9">
        <v>6</v>
      </c>
      <c r="S183" s="9">
        <v>15</v>
      </c>
      <c r="T183" s="9">
        <v>7</v>
      </c>
      <c r="U183" s="9">
        <v>9</v>
      </c>
      <c r="W183" s="25">
        <v>1</v>
      </c>
      <c r="X183" s="25">
        <v>1</v>
      </c>
      <c r="Y183" s="25">
        <v>1</v>
      </c>
      <c r="Z183" s="25">
        <v>1</v>
      </c>
      <c r="AA183" s="25">
        <v>1</v>
      </c>
      <c r="AH183" s="5"/>
      <c r="AI183" s="5"/>
      <c r="AO183" s="5"/>
    </row>
    <row r="184" spans="10:41" x14ac:dyDescent="0.3">
      <c r="J184" s="9">
        <v>180</v>
      </c>
      <c r="K184" s="16" t="s">
        <v>35</v>
      </c>
      <c r="L184" s="16" t="s">
        <v>37</v>
      </c>
      <c r="M184" s="16" t="s">
        <v>112</v>
      </c>
      <c r="N184" s="16" t="s">
        <v>125</v>
      </c>
      <c r="O184" s="16" t="s">
        <v>37</v>
      </c>
      <c r="Q184" s="9">
        <v>8</v>
      </c>
      <c r="R184" s="9">
        <v>7</v>
      </c>
      <c r="S184" s="9">
        <v>17</v>
      </c>
      <c r="T184" s="9">
        <v>6</v>
      </c>
      <c r="U184" s="9">
        <v>7</v>
      </c>
      <c r="W184" s="25">
        <v>1</v>
      </c>
      <c r="X184" s="25">
        <v>1</v>
      </c>
      <c r="Y184" s="25">
        <v>1</v>
      </c>
      <c r="Z184" s="25">
        <v>1</v>
      </c>
      <c r="AA184" s="25">
        <v>1</v>
      </c>
      <c r="AH184" s="5"/>
      <c r="AI184" s="5"/>
      <c r="AO184" s="5"/>
    </row>
    <row r="185" spans="10:41" x14ac:dyDescent="0.3">
      <c r="J185" s="25">
        <v>181</v>
      </c>
      <c r="K185" s="16" t="s">
        <v>19</v>
      </c>
      <c r="L185" s="16" t="s">
        <v>19</v>
      </c>
      <c r="M185" s="16" t="s">
        <v>97</v>
      </c>
      <c r="N185" s="16" t="s">
        <v>19</v>
      </c>
      <c r="O185" s="16" t="s">
        <v>35</v>
      </c>
      <c r="Q185" s="9">
        <v>5</v>
      </c>
      <c r="R185" s="9">
        <v>5</v>
      </c>
      <c r="S185" s="9">
        <v>19</v>
      </c>
      <c r="T185" s="9">
        <v>5</v>
      </c>
      <c r="U185" s="9">
        <v>8</v>
      </c>
      <c r="W185" s="25">
        <v>1</v>
      </c>
      <c r="X185" s="25">
        <v>1</v>
      </c>
      <c r="Y185" s="25">
        <v>1</v>
      </c>
      <c r="Z185" s="25">
        <v>1</v>
      </c>
      <c r="AA185" s="25">
        <v>1</v>
      </c>
      <c r="AH185" s="5"/>
      <c r="AI185" s="5"/>
      <c r="AO185" s="5"/>
    </row>
    <row r="186" spans="10:41" x14ac:dyDescent="0.3">
      <c r="J186" s="9">
        <v>182</v>
      </c>
      <c r="K186" s="16" t="s">
        <v>21</v>
      </c>
      <c r="L186" s="16" t="s">
        <v>21</v>
      </c>
      <c r="M186" s="16" t="s">
        <v>112</v>
      </c>
      <c r="N186" s="16" t="s">
        <v>37</v>
      </c>
      <c r="O186" s="16" t="s">
        <v>20</v>
      </c>
      <c r="Q186" s="9">
        <v>2</v>
      </c>
      <c r="R186" s="9">
        <v>2</v>
      </c>
      <c r="S186" s="9">
        <v>17</v>
      </c>
      <c r="T186" s="9">
        <v>7</v>
      </c>
      <c r="U186" s="9">
        <v>1</v>
      </c>
      <c r="W186" s="25">
        <v>1</v>
      </c>
      <c r="X186" s="25">
        <v>1</v>
      </c>
      <c r="Y186" s="25">
        <v>1</v>
      </c>
      <c r="Z186" s="25">
        <v>1</v>
      </c>
      <c r="AA186" s="25">
        <v>1</v>
      </c>
      <c r="AH186" s="5"/>
      <c r="AI186" s="5"/>
      <c r="AO186" s="5"/>
    </row>
    <row r="187" spans="10:41" x14ac:dyDescent="0.3">
      <c r="J187" s="25">
        <v>183</v>
      </c>
      <c r="K187" s="16" t="s">
        <v>37</v>
      </c>
      <c r="L187" s="16" t="s">
        <v>37</v>
      </c>
      <c r="M187" s="16" t="s">
        <v>91</v>
      </c>
      <c r="N187" s="16" t="s">
        <v>19</v>
      </c>
      <c r="O187" s="16" t="s">
        <v>125</v>
      </c>
      <c r="Q187" s="9">
        <v>7</v>
      </c>
      <c r="R187" s="9">
        <v>7</v>
      </c>
      <c r="S187" s="9">
        <v>14</v>
      </c>
      <c r="T187" s="9">
        <v>5</v>
      </c>
      <c r="U187" s="9">
        <v>6</v>
      </c>
      <c r="W187" s="25">
        <v>1</v>
      </c>
      <c r="X187" s="25">
        <v>1</v>
      </c>
      <c r="Y187" s="25">
        <v>1</v>
      </c>
      <c r="Z187" s="25">
        <v>1</v>
      </c>
      <c r="AA187" s="25">
        <v>1</v>
      </c>
      <c r="AH187" s="5"/>
      <c r="AI187" s="5"/>
      <c r="AO187" s="5"/>
    </row>
    <row r="188" spans="10:41" x14ac:dyDescent="0.3">
      <c r="J188" s="9">
        <v>184</v>
      </c>
      <c r="K188" s="16" t="s">
        <v>35</v>
      </c>
      <c r="L188" s="16" t="s">
        <v>125</v>
      </c>
      <c r="M188" s="16" t="s">
        <v>126</v>
      </c>
      <c r="N188" s="16" t="s">
        <v>125</v>
      </c>
      <c r="O188" s="16" t="s">
        <v>22</v>
      </c>
      <c r="Q188" s="9">
        <v>8</v>
      </c>
      <c r="R188" s="9">
        <v>6</v>
      </c>
      <c r="S188" s="9">
        <v>15</v>
      </c>
      <c r="T188" s="9">
        <v>6</v>
      </c>
      <c r="U188" s="9">
        <v>3</v>
      </c>
      <c r="W188" s="25">
        <v>1</v>
      </c>
      <c r="X188" s="25">
        <v>1</v>
      </c>
      <c r="Y188" s="25">
        <v>1</v>
      </c>
      <c r="Z188" s="25">
        <v>1</v>
      </c>
      <c r="AA188" s="25">
        <v>1</v>
      </c>
      <c r="AH188" s="5"/>
      <c r="AI188" s="5"/>
      <c r="AO188" s="5"/>
    </row>
    <row r="189" spans="10:41" x14ac:dyDescent="0.3">
      <c r="J189" s="25">
        <v>185</v>
      </c>
      <c r="K189" s="16" t="s">
        <v>125</v>
      </c>
      <c r="L189" s="16" t="s">
        <v>19</v>
      </c>
      <c r="M189" s="16" t="s">
        <v>91</v>
      </c>
      <c r="N189" s="16" t="s">
        <v>37</v>
      </c>
      <c r="O189" s="16" t="s">
        <v>35</v>
      </c>
      <c r="Q189" s="9">
        <v>6</v>
      </c>
      <c r="R189" s="9">
        <v>5</v>
      </c>
      <c r="S189" s="9">
        <v>14</v>
      </c>
      <c r="T189" s="9">
        <v>7</v>
      </c>
      <c r="U189" s="9">
        <v>8</v>
      </c>
      <c r="W189" s="25">
        <v>1</v>
      </c>
      <c r="X189" s="25">
        <v>1</v>
      </c>
      <c r="Y189" s="25">
        <v>1</v>
      </c>
      <c r="Z189" s="25">
        <v>1</v>
      </c>
      <c r="AA189" s="25">
        <v>1</v>
      </c>
      <c r="AH189" s="5"/>
      <c r="AI189" s="5"/>
      <c r="AO189" s="5"/>
    </row>
    <row r="190" spans="10:41" x14ac:dyDescent="0.3">
      <c r="J190" s="9">
        <v>186</v>
      </c>
      <c r="K190" s="16" t="s">
        <v>37</v>
      </c>
      <c r="L190" s="16" t="s">
        <v>112</v>
      </c>
      <c r="M190" s="16" t="s">
        <v>112</v>
      </c>
      <c r="N190" s="16" t="s">
        <v>19</v>
      </c>
      <c r="O190" s="16" t="s">
        <v>37</v>
      </c>
      <c r="Q190" s="9">
        <v>7</v>
      </c>
      <c r="R190" s="9">
        <v>17</v>
      </c>
      <c r="S190" s="9">
        <v>17</v>
      </c>
      <c r="T190" s="9">
        <v>5</v>
      </c>
      <c r="U190" s="9">
        <v>7</v>
      </c>
      <c r="W190" s="25">
        <v>1</v>
      </c>
      <c r="X190" s="25">
        <v>1</v>
      </c>
      <c r="Y190" s="25">
        <v>1</v>
      </c>
      <c r="Z190" s="25">
        <v>1</v>
      </c>
      <c r="AA190" s="25">
        <v>1</v>
      </c>
      <c r="AH190" s="5"/>
      <c r="AI190" s="5"/>
      <c r="AO190" s="5"/>
    </row>
    <row r="191" spans="10:41" x14ac:dyDescent="0.3">
      <c r="J191" s="25">
        <v>187</v>
      </c>
      <c r="K191" s="16" t="s">
        <v>19</v>
      </c>
      <c r="L191" s="16" t="s">
        <v>37</v>
      </c>
      <c r="M191" s="16" t="s">
        <v>92</v>
      </c>
      <c r="N191" s="16" t="s">
        <v>37</v>
      </c>
      <c r="O191" s="16" t="s">
        <v>21</v>
      </c>
      <c r="Q191" s="9">
        <v>5</v>
      </c>
      <c r="R191" s="9">
        <v>7</v>
      </c>
      <c r="S191" s="9">
        <v>16</v>
      </c>
      <c r="T191" s="9">
        <v>7</v>
      </c>
      <c r="U191" s="9">
        <v>2</v>
      </c>
      <c r="W191" s="25">
        <v>1</v>
      </c>
      <c r="X191" s="25">
        <v>1</v>
      </c>
      <c r="Y191" s="25">
        <v>1</v>
      </c>
      <c r="Z191" s="25">
        <v>1</v>
      </c>
      <c r="AA191" s="25">
        <v>1</v>
      </c>
      <c r="AH191" s="5"/>
      <c r="AI191" s="5"/>
      <c r="AO191" s="5"/>
    </row>
    <row r="192" spans="10:41" x14ac:dyDescent="0.3">
      <c r="J192" s="9">
        <v>188</v>
      </c>
      <c r="K192" s="16" t="s">
        <v>125</v>
      </c>
      <c r="L192" s="16" t="s">
        <v>35</v>
      </c>
      <c r="M192" s="16" t="s">
        <v>126</v>
      </c>
      <c r="N192" s="16" t="s">
        <v>19</v>
      </c>
      <c r="O192" s="16" t="s">
        <v>37</v>
      </c>
      <c r="Q192" s="9">
        <v>6</v>
      </c>
      <c r="R192" s="9">
        <v>8</v>
      </c>
      <c r="S192" s="9">
        <v>15</v>
      </c>
      <c r="T192" s="9">
        <v>5</v>
      </c>
      <c r="U192" s="9">
        <v>7</v>
      </c>
      <c r="W192" s="25">
        <v>1</v>
      </c>
      <c r="X192" s="25">
        <v>1</v>
      </c>
      <c r="Y192" s="25">
        <v>1</v>
      </c>
      <c r="Z192" s="25">
        <v>1</v>
      </c>
      <c r="AA192" s="25">
        <v>1</v>
      </c>
      <c r="AH192" s="5"/>
      <c r="AI192" s="5"/>
      <c r="AO192" s="5"/>
    </row>
    <row r="193" spans="10:41" x14ac:dyDescent="0.3">
      <c r="J193" s="25">
        <v>189</v>
      </c>
      <c r="K193" s="16" t="s">
        <v>37</v>
      </c>
      <c r="L193" s="16" t="s">
        <v>92</v>
      </c>
      <c r="M193" s="16" t="s">
        <v>112</v>
      </c>
      <c r="N193" s="16" t="s">
        <v>36</v>
      </c>
      <c r="O193" s="16" t="s">
        <v>36</v>
      </c>
      <c r="Q193" s="9">
        <v>7</v>
      </c>
      <c r="R193" s="9">
        <v>16</v>
      </c>
      <c r="S193" s="9">
        <v>17</v>
      </c>
      <c r="T193" s="9">
        <v>10</v>
      </c>
      <c r="U193" s="9">
        <v>10</v>
      </c>
      <c r="W193" s="25">
        <v>1</v>
      </c>
      <c r="X193" s="25">
        <v>1</v>
      </c>
      <c r="Y193" s="25">
        <v>1</v>
      </c>
      <c r="Z193" s="25">
        <v>1</v>
      </c>
      <c r="AA193" s="25">
        <v>1</v>
      </c>
      <c r="AH193" s="5"/>
      <c r="AI193" s="5"/>
      <c r="AO193" s="5"/>
    </row>
    <row r="194" spans="10:41" x14ac:dyDescent="0.3">
      <c r="J194" s="9">
        <v>190</v>
      </c>
      <c r="K194" s="16" t="s">
        <v>125</v>
      </c>
      <c r="L194" s="16" t="s">
        <v>37</v>
      </c>
      <c r="M194" s="16" t="s">
        <v>92</v>
      </c>
      <c r="N194" s="16" t="s">
        <v>20</v>
      </c>
      <c r="O194" s="16" t="s">
        <v>125</v>
      </c>
      <c r="Q194" s="9">
        <v>6</v>
      </c>
      <c r="R194" s="9">
        <v>7</v>
      </c>
      <c r="S194" s="9">
        <v>16</v>
      </c>
      <c r="T194" s="9">
        <v>1</v>
      </c>
      <c r="U194" s="9">
        <v>6</v>
      </c>
      <c r="W194" s="25">
        <v>1</v>
      </c>
      <c r="X194" s="25">
        <v>1</v>
      </c>
      <c r="Y194" s="25">
        <v>1</v>
      </c>
      <c r="Z194" s="25">
        <v>1</v>
      </c>
      <c r="AA194" s="25">
        <v>1</v>
      </c>
      <c r="AH194" s="5"/>
      <c r="AI194" s="5"/>
      <c r="AO194" s="5"/>
    </row>
    <row r="195" spans="10:41" x14ac:dyDescent="0.3">
      <c r="J195" s="25">
        <v>191</v>
      </c>
      <c r="K195" s="16" t="s">
        <v>35</v>
      </c>
      <c r="L195" s="16" t="s">
        <v>35</v>
      </c>
      <c r="M195" s="16" t="s">
        <v>95</v>
      </c>
      <c r="N195" s="16" t="s">
        <v>18</v>
      </c>
      <c r="O195" s="16" t="s">
        <v>19</v>
      </c>
      <c r="Q195" s="9">
        <v>8</v>
      </c>
      <c r="R195" s="9">
        <v>8</v>
      </c>
      <c r="S195" s="9">
        <v>18</v>
      </c>
      <c r="T195" s="9">
        <v>4</v>
      </c>
      <c r="U195" s="9">
        <v>5</v>
      </c>
      <c r="W195" s="25">
        <v>1</v>
      </c>
      <c r="X195" s="25">
        <v>1</v>
      </c>
      <c r="Y195" s="25">
        <v>1</v>
      </c>
      <c r="Z195" s="25">
        <v>1</v>
      </c>
      <c r="AA195" s="25">
        <v>1</v>
      </c>
      <c r="AH195" s="5"/>
      <c r="AI195" s="5"/>
      <c r="AO195" s="5"/>
    </row>
    <row r="196" spans="10:41" x14ac:dyDescent="0.3">
      <c r="J196" s="9">
        <v>192</v>
      </c>
      <c r="K196" s="16" t="s">
        <v>37</v>
      </c>
      <c r="L196" s="16" t="s">
        <v>34</v>
      </c>
      <c r="M196" s="16" t="s">
        <v>126</v>
      </c>
      <c r="N196" s="16" t="s">
        <v>91</v>
      </c>
      <c r="O196" s="16" t="s">
        <v>37</v>
      </c>
      <c r="Q196" s="9">
        <v>7</v>
      </c>
      <c r="R196" s="9">
        <v>9</v>
      </c>
      <c r="S196" s="9">
        <v>15</v>
      </c>
      <c r="T196" s="9">
        <v>14</v>
      </c>
      <c r="U196" s="9">
        <v>7</v>
      </c>
      <c r="W196" s="25">
        <v>1</v>
      </c>
      <c r="X196" s="25">
        <v>1</v>
      </c>
      <c r="Y196" s="25">
        <v>1</v>
      </c>
      <c r="Z196" s="25">
        <v>1</v>
      </c>
      <c r="AA196" s="25">
        <v>1</v>
      </c>
      <c r="AH196" s="5"/>
      <c r="AI196" s="5"/>
      <c r="AO196" s="5"/>
    </row>
    <row r="197" spans="10:41" x14ac:dyDescent="0.3">
      <c r="J197" s="25">
        <v>193</v>
      </c>
      <c r="K197" s="16" t="s">
        <v>125</v>
      </c>
      <c r="L197" s="16" t="s">
        <v>35</v>
      </c>
      <c r="M197" s="16" t="s">
        <v>91</v>
      </c>
      <c r="N197" s="16" t="s">
        <v>37</v>
      </c>
      <c r="O197" s="16" t="s">
        <v>19</v>
      </c>
      <c r="Q197" s="9">
        <v>6</v>
      </c>
      <c r="R197" s="9">
        <v>8</v>
      </c>
      <c r="S197" s="9">
        <v>14</v>
      </c>
      <c r="T197" s="9">
        <v>7</v>
      </c>
      <c r="U197" s="9">
        <v>5</v>
      </c>
      <c r="W197" s="25">
        <v>1</v>
      </c>
      <c r="X197" s="25">
        <v>1</v>
      </c>
      <c r="Y197" s="25">
        <v>1</v>
      </c>
      <c r="Z197" s="25">
        <v>1</v>
      </c>
      <c r="AA197" s="25">
        <v>1</v>
      </c>
      <c r="AH197" s="5"/>
      <c r="AI197" s="5"/>
      <c r="AO197" s="5"/>
    </row>
    <row r="198" spans="10:41" x14ac:dyDescent="0.3">
      <c r="J198" s="9">
        <v>194</v>
      </c>
      <c r="K198" s="16" t="s">
        <v>34</v>
      </c>
      <c r="L198" s="16" t="s">
        <v>19</v>
      </c>
      <c r="M198" s="16" t="s">
        <v>92</v>
      </c>
      <c r="N198" s="16" t="s">
        <v>90</v>
      </c>
      <c r="O198" s="16" t="s">
        <v>35</v>
      </c>
      <c r="Q198" s="9">
        <v>9</v>
      </c>
      <c r="R198" s="9">
        <v>5</v>
      </c>
      <c r="S198" s="9">
        <v>16</v>
      </c>
      <c r="T198" s="9">
        <v>13</v>
      </c>
      <c r="U198" s="9">
        <v>8</v>
      </c>
      <c r="W198" s="25">
        <v>1</v>
      </c>
      <c r="X198" s="25">
        <v>1</v>
      </c>
      <c r="Y198" s="25">
        <v>1</v>
      </c>
      <c r="Z198" s="25">
        <v>1</v>
      </c>
      <c r="AA198" s="25">
        <v>1</v>
      </c>
      <c r="AH198" s="5"/>
      <c r="AI198" s="5"/>
      <c r="AO198" s="5"/>
    </row>
    <row r="199" spans="10:41" x14ac:dyDescent="0.3">
      <c r="J199" s="25">
        <v>195</v>
      </c>
      <c r="K199" s="16" t="s">
        <v>18</v>
      </c>
      <c r="L199" s="16" t="s">
        <v>18</v>
      </c>
      <c r="M199" s="16" t="s">
        <v>91</v>
      </c>
      <c r="N199" s="16" t="s">
        <v>19</v>
      </c>
      <c r="O199" s="16" t="s">
        <v>37</v>
      </c>
      <c r="Q199" s="9">
        <v>4</v>
      </c>
      <c r="R199" s="9">
        <v>4</v>
      </c>
      <c r="S199" s="9">
        <v>14</v>
      </c>
      <c r="T199" s="9">
        <v>5</v>
      </c>
      <c r="U199" s="9">
        <v>7</v>
      </c>
      <c r="W199" s="25">
        <v>1</v>
      </c>
      <c r="X199" s="25">
        <v>1</v>
      </c>
      <c r="Y199" s="25">
        <v>1</v>
      </c>
      <c r="Z199" s="25">
        <v>1</v>
      </c>
      <c r="AA199" s="25">
        <v>1</v>
      </c>
      <c r="AH199" s="5"/>
      <c r="AI199" s="5"/>
      <c r="AO199" s="5"/>
    </row>
    <row r="200" spans="10:41" x14ac:dyDescent="0.3">
      <c r="J200" s="9">
        <v>196</v>
      </c>
      <c r="K200" s="16" t="s">
        <v>125</v>
      </c>
      <c r="L200" s="16" t="s">
        <v>22</v>
      </c>
      <c r="M200" s="16" t="s">
        <v>126</v>
      </c>
      <c r="N200" s="16" t="s">
        <v>92</v>
      </c>
      <c r="O200" s="16" t="s">
        <v>125</v>
      </c>
      <c r="Q200" s="9">
        <v>6</v>
      </c>
      <c r="R200" s="9">
        <v>3</v>
      </c>
      <c r="S200" s="9">
        <v>15</v>
      </c>
      <c r="T200" s="9">
        <v>16</v>
      </c>
      <c r="U200" s="9">
        <v>6</v>
      </c>
      <c r="W200" s="25">
        <v>1</v>
      </c>
      <c r="X200" s="25">
        <v>1</v>
      </c>
      <c r="Y200" s="25">
        <v>1</v>
      </c>
      <c r="Z200" s="25">
        <v>1</v>
      </c>
      <c r="AA200" s="25">
        <v>1</v>
      </c>
      <c r="AH200" s="5"/>
      <c r="AI200" s="5"/>
      <c r="AO200" s="5"/>
    </row>
    <row r="201" spans="10:41" x14ac:dyDescent="0.3">
      <c r="J201" s="25">
        <v>197</v>
      </c>
      <c r="K201" s="16" t="s">
        <v>19</v>
      </c>
      <c r="L201" s="16" t="s">
        <v>35</v>
      </c>
      <c r="M201" s="16" t="s">
        <v>97</v>
      </c>
      <c r="N201" s="16" t="s">
        <v>19</v>
      </c>
      <c r="O201" s="16" t="s">
        <v>37</v>
      </c>
      <c r="Q201" s="9">
        <v>5</v>
      </c>
      <c r="R201" s="9">
        <v>8</v>
      </c>
      <c r="S201" s="9">
        <v>19</v>
      </c>
      <c r="T201" s="9">
        <v>5</v>
      </c>
      <c r="U201" s="9">
        <v>7</v>
      </c>
      <c r="W201" s="25">
        <v>1</v>
      </c>
      <c r="X201" s="25">
        <v>1</v>
      </c>
      <c r="Y201" s="25">
        <v>1</v>
      </c>
      <c r="Z201" s="25">
        <v>1</v>
      </c>
      <c r="AA201" s="25">
        <v>1</v>
      </c>
      <c r="AH201" s="5"/>
      <c r="AI201" s="5"/>
      <c r="AO201" s="5"/>
    </row>
    <row r="202" spans="10:41" x14ac:dyDescent="0.3">
      <c r="J202" s="9">
        <v>198</v>
      </c>
      <c r="K202" s="16" t="s">
        <v>35</v>
      </c>
      <c r="L202" s="16" t="s">
        <v>125</v>
      </c>
      <c r="M202" s="16" t="s">
        <v>92</v>
      </c>
      <c r="N202" s="16" t="s">
        <v>92</v>
      </c>
      <c r="O202" s="16" t="s">
        <v>19</v>
      </c>
      <c r="Q202" s="9">
        <v>8</v>
      </c>
      <c r="R202" s="9">
        <v>6</v>
      </c>
      <c r="S202" s="9">
        <v>16</v>
      </c>
      <c r="T202" s="9">
        <v>16</v>
      </c>
      <c r="U202" s="9">
        <v>5</v>
      </c>
      <c r="W202" s="25">
        <v>1</v>
      </c>
      <c r="X202" s="25">
        <v>1</v>
      </c>
      <c r="Y202" s="25">
        <v>1</v>
      </c>
      <c r="Z202" s="25">
        <v>1</v>
      </c>
      <c r="AA202" s="25">
        <v>1</v>
      </c>
      <c r="AH202" s="5"/>
      <c r="AI202" s="5"/>
      <c r="AO202" s="5"/>
    </row>
    <row r="203" spans="10:41" x14ac:dyDescent="0.3">
      <c r="J203" s="25">
        <v>199</v>
      </c>
      <c r="K203" s="16" t="s">
        <v>18</v>
      </c>
      <c r="L203" s="16" t="s">
        <v>35</v>
      </c>
      <c r="M203" s="16" t="s">
        <v>112</v>
      </c>
      <c r="N203" s="16" t="s">
        <v>37</v>
      </c>
      <c r="O203" s="16" t="s">
        <v>37</v>
      </c>
      <c r="Q203" s="9">
        <v>4</v>
      </c>
      <c r="R203" s="9">
        <v>8</v>
      </c>
      <c r="S203" s="9">
        <v>17</v>
      </c>
      <c r="T203" s="9">
        <v>7</v>
      </c>
      <c r="U203" s="9">
        <v>7</v>
      </c>
      <c r="W203" s="25">
        <v>1</v>
      </c>
      <c r="X203" s="25">
        <v>1</v>
      </c>
      <c r="Y203" s="25">
        <v>1</v>
      </c>
      <c r="Z203" s="25">
        <v>1</v>
      </c>
      <c r="AA203" s="25">
        <v>1</v>
      </c>
      <c r="AH203" s="5"/>
      <c r="AI203" s="5"/>
      <c r="AO203" s="5"/>
    </row>
    <row r="204" spans="10:41" x14ac:dyDescent="0.3">
      <c r="J204" s="9"/>
      <c r="K204" s="16"/>
      <c r="L204" s="16"/>
      <c r="M204" s="16"/>
      <c r="N204" s="16"/>
      <c r="O204" s="16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5"/>
      <c r="X204" s="25"/>
      <c r="Y204" s="25"/>
      <c r="Z204" s="25"/>
      <c r="AA204" s="25"/>
      <c r="AH204" s="5"/>
      <c r="AI204" s="5"/>
      <c r="AO204" s="5"/>
    </row>
    <row r="205" spans="10:41" x14ac:dyDescent="0.3">
      <c r="J205" s="25"/>
      <c r="K205" s="16"/>
      <c r="L205" s="16"/>
      <c r="M205" s="16"/>
      <c r="N205" s="16"/>
      <c r="O205" s="16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5"/>
      <c r="X205" s="25"/>
      <c r="Y205" s="25"/>
      <c r="Z205" s="25"/>
      <c r="AA205" s="25"/>
      <c r="AH205" s="5"/>
      <c r="AI205" s="5"/>
      <c r="AO205" s="5"/>
    </row>
    <row r="206" spans="10:41" x14ac:dyDescent="0.3">
      <c r="J206" s="25"/>
      <c r="K206" s="16"/>
      <c r="L206" s="16"/>
      <c r="M206" s="16"/>
      <c r="N206" s="16"/>
      <c r="O206" s="16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5"/>
      <c r="X206" s="25"/>
      <c r="Y206" s="25"/>
      <c r="Z206" s="25"/>
      <c r="AA206" s="25"/>
      <c r="AH206" s="5"/>
      <c r="AI206" s="5"/>
      <c r="AO206" s="5"/>
    </row>
    <row r="207" spans="10:41" x14ac:dyDescent="0.3">
      <c r="J207" s="9"/>
      <c r="K207" s="16"/>
      <c r="L207" s="16"/>
      <c r="M207" s="16"/>
      <c r="N207" s="16"/>
      <c r="O207" s="16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5"/>
      <c r="X207" s="25"/>
      <c r="Y207" s="25"/>
      <c r="Z207" s="25"/>
      <c r="AA207" s="25"/>
      <c r="AH207" s="5"/>
      <c r="AI207" s="5"/>
      <c r="AO207" s="5"/>
    </row>
    <row r="208" spans="10:41" x14ac:dyDescent="0.3">
      <c r="J208" s="25"/>
      <c r="K208" s="16"/>
      <c r="L208" s="16"/>
      <c r="M208" s="16"/>
      <c r="N208" s="16"/>
      <c r="O208" s="16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5"/>
      <c r="X208" s="25"/>
      <c r="Y208" s="25"/>
      <c r="Z208" s="25"/>
      <c r="AA208" s="25"/>
      <c r="AH208" s="5"/>
      <c r="AI208" s="5"/>
      <c r="AO208" s="5"/>
    </row>
    <row r="209" spans="10:41" x14ac:dyDescent="0.3">
      <c r="J209" s="9"/>
      <c r="K209" s="16"/>
      <c r="L209" s="16"/>
      <c r="M209" s="16"/>
      <c r="N209" s="16"/>
      <c r="O209" s="16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5"/>
      <c r="X209" s="25"/>
      <c r="Y209" s="25"/>
      <c r="Z209" s="25"/>
      <c r="AA209" s="25"/>
      <c r="AH209" s="5"/>
      <c r="AI209" s="5"/>
      <c r="AO209" s="5"/>
    </row>
    <row r="210" spans="10:41" x14ac:dyDescent="0.3">
      <c r="J210" s="25"/>
      <c r="K210" s="16"/>
      <c r="L210" s="16"/>
      <c r="M210" s="16"/>
      <c r="N210" s="16"/>
      <c r="O210" s="16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5"/>
      <c r="X210" s="25"/>
      <c r="Y210" s="25"/>
      <c r="Z210" s="25"/>
      <c r="AA210" s="25"/>
      <c r="AH210" s="5"/>
      <c r="AI210" s="5"/>
      <c r="AO210" s="5"/>
    </row>
    <row r="211" spans="10:41" x14ac:dyDescent="0.3">
      <c r="J211" s="9"/>
      <c r="K211" s="16"/>
      <c r="L211" s="16"/>
      <c r="M211" s="16"/>
      <c r="N211" s="16"/>
      <c r="O211" s="16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5"/>
      <c r="X211" s="25"/>
      <c r="Y211" s="25"/>
      <c r="Z211" s="25"/>
      <c r="AA211" s="25"/>
      <c r="AH211" s="5"/>
      <c r="AI211" s="5"/>
      <c r="AO211" s="5"/>
    </row>
    <row r="212" spans="10:41" x14ac:dyDescent="0.3">
      <c r="J212" s="25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5"/>
      <c r="X212" s="25"/>
      <c r="Y212" s="25"/>
      <c r="Z212" s="25"/>
      <c r="AA212" s="25"/>
      <c r="AH212" s="5"/>
      <c r="AI212" s="5"/>
      <c r="AO212" s="5"/>
    </row>
    <row r="213" spans="10:41" x14ac:dyDescent="0.3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5"/>
      <c r="X213" s="25"/>
      <c r="Y213" s="25"/>
      <c r="Z213" s="25"/>
      <c r="AA213" s="25"/>
      <c r="AH213" s="5"/>
      <c r="AI213" s="5"/>
      <c r="AO213" s="5"/>
    </row>
    <row r="214" spans="10:41" x14ac:dyDescent="0.3">
      <c r="J214" s="25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5"/>
      <c r="X214" s="25"/>
      <c r="Y214" s="25"/>
      <c r="Z214" s="25"/>
      <c r="AA214" s="25"/>
      <c r="AH214" s="5"/>
      <c r="AI214" s="5"/>
      <c r="AO214" s="5"/>
    </row>
    <row r="215" spans="10:41" x14ac:dyDescent="0.3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5"/>
      <c r="X215" s="25"/>
      <c r="Y215" s="25"/>
      <c r="Z215" s="25"/>
      <c r="AA215" s="25"/>
      <c r="AH215" s="5"/>
      <c r="AI215" s="5"/>
      <c r="AO215" s="5"/>
    </row>
    <row r="216" spans="10:41" x14ac:dyDescent="0.3">
      <c r="J216" s="25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5"/>
      <c r="X216" s="25"/>
      <c r="Y216" s="25"/>
      <c r="Z216" s="25"/>
      <c r="AA216" s="25"/>
      <c r="AH216" s="5"/>
      <c r="AI216" s="5"/>
      <c r="AO216" s="5"/>
    </row>
    <row r="217" spans="10:41" x14ac:dyDescent="0.3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5"/>
      <c r="X217" s="25"/>
      <c r="Y217" s="25"/>
      <c r="Z217" s="25"/>
      <c r="AA217" s="25"/>
      <c r="AH217" s="5"/>
      <c r="AI217" s="5"/>
      <c r="AO217" s="5"/>
    </row>
    <row r="218" spans="10:41" x14ac:dyDescent="0.3">
      <c r="J218" s="25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5"/>
      <c r="X218" s="25"/>
      <c r="Y218" s="25"/>
      <c r="Z218" s="25"/>
      <c r="AA218" s="25"/>
      <c r="AH218" s="5"/>
      <c r="AI218" s="5"/>
      <c r="AO218" s="5"/>
    </row>
    <row r="219" spans="10:41" x14ac:dyDescent="0.3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5"/>
      <c r="X219" s="25"/>
      <c r="Y219" s="25"/>
      <c r="Z219" s="25"/>
      <c r="AA219" s="25"/>
      <c r="AH219" s="5"/>
      <c r="AI219" s="5"/>
      <c r="AO219" s="5"/>
    </row>
    <row r="220" spans="10:41" x14ac:dyDescent="0.3">
      <c r="J220" s="25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5"/>
      <c r="X220" s="25"/>
      <c r="Y220" s="25"/>
      <c r="Z220" s="25"/>
      <c r="AA220" s="25"/>
      <c r="AH220" s="5"/>
      <c r="AI220" s="5"/>
      <c r="AO220" s="5"/>
    </row>
    <row r="221" spans="10:41" x14ac:dyDescent="0.3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5"/>
      <c r="X221" s="25"/>
      <c r="Y221" s="25"/>
      <c r="Z221" s="25"/>
      <c r="AA221" s="25"/>
      <c r="AH221" s="5"/>
      <c r="AI221" s="5"/>
      <c r="AO221" s="5"/>
    </row>
    <row r="222" spans="10:41" x14ac:dyDescent="0.3">
      <c r="J222" s="25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5"/>
      <c r="X222" s="25"/>
      <c r="Y222" s="25"/>
      <c r="Z222" s="25"/>
      <c r="AA222" s="25"/>
      <c r="AH222" s="5"/>
      <c r="AI222" s="5"/>
      <c r="AO222" s="5"/>
    </row>
    <row r="223" spans="10:41" x14ac:dyDescent="0.3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5"/>
      <c r="X223" s="25"/>
      <c r="Y223" s="25"/>
      <c r="Z223" s="25"/>
      <c r="AA223" s="25"/>
      <c r="AH223" s="5"/>
      <c r="AI223" s="5"/>
      <c r="AO223" s="5"/>
    </row>
    <row r="224" spans="10:41" x14ac:dyDescent="0.3">
      <c r="J224" s="25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5"/>
      <c r="X224" s="25"/>
      <c r="Y224" s="25"/>
      <c r="Z224" s="25"/>
      <c r="AA224" s="25"/>
      <c r="AH224" s="5"/>
      <c r="AI224" s="5"/>
      <c r="AO224" s="5"/>
    </row>
    <row r="225" spans="10:41" x14ac:dyDescent="0.3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5"/>
      <c r="X225" s="25"/>
      <c r="Y225" s="25"/>
      <c r="Z225" s="25"/>
      <c r="AA225" s="25"/>
      <c r="AH225" s="5"/>
      <c r="AI225" s="5"/>
      <c r="AO225" s="5"/>
    </row>
    <row r="226" spans="10:41" x14ac:dyDescent="0.3">
      <c r="J226" s="25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5"/>
      <c r="X226" s="25"/>
      <c r="Y226" s="25"/>
      <c r="Z226" s="25"/>
      <c r="AA226" s="25"/>
      <c r="AH226" s="5"/>
      <c r="AI226" s="5"/>
      <c r="AO226" s="5"/>
    </row>
    <row r="227" spans="10:41" x14ac:dyDescent="0.3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5"/>
      <c r="X227" s="25"/>
      <c r="Y227" s="25"/>
      <c r="Z227" s="25"/>
      <c r="AA227" s="25"/>
      <c r="AH227" s="5"/>
      <c r="AI227" s="5"/>
      <c r="AO227" s="5"/>
    </row>
    <row r="228" spans="10:41" x14ac:dyDescent="0.3">
      <c r="J228" s="25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5"/>
      <c r="X228" s="25"/>
      <c r="Y228" s="25"/>
      <c r="Z228" s="25"/>
      <c r="AA228" s="25"/>
      <c r="AH228" s="5"/>
      <c r="AI228" s="5"/>
      <c r="AO228" s="5"/>
    </row>
    <row r="229" spans="10:41" x14ac:dyDescent="0.3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5"/>
      <c r="X229" s="25"/>
      <c r="Y229" s="25"/>
      <c r="Z229" s="25"/>
      <c r="AA229" s="25"/>
      <c r="AH229" s="5"/>
      <c r="AI229" s="5"/>
      <c r="AO229" s="5"/>
    </row>
    <row r="230" spans="10:41" x14ac:dyDescent="0.3">
      <c r="J230" s="25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5"/>
      <c r="X230" s="25"/>
      <c r="Y230" s="25"/>
      <c r="Z230" s="25"/>
      <c r="AA230" s="25"/>
      <c r="AH230" s="5"/>
      <c r="AI230" s="5"/>
      <c r="AO230" s="5"/>
    </row>
    <row r="231" spans="10:41" x14ac:dyDescent="0.3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5"/>
      <c r="X231" s="25"/>
      <c r="Y231" s="25"/>
      <c r="Z231" s="25"/>
      <c r="AA231" s="25"/>
      <c r="AH231" s="5"/>
      <c r="AI231" s="5"/>
      <c r="AO231" s="5"/>
    </row>
    <row r="232" spans="10:41" x14ac:dyDescent="0.3">
      <c r="J232" s="25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5"/>
      <c r="X232" s="25"/>
      <c r="Y232" s="25"/>
      <c r="Z232" s="25"/>
      <c r="AA232" s="25"/>
      <c r="AH232" s="5"/>
      <c r="AI232" s="5"/>
      <c r="AO232" s="5"/>
    </row>
    <row r="233" spans="10:41" x14ac:dyDescent="0.3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5"/>
      <c r="X233" s="25"/>
      <c r="Y233" s="25"/>
      <c r="Z233" s="25"/>
      <c r="AA233" s="25"/>
      <c r="AH233" s="5"/>
      <c r="AI233" s="5"/>
      <c r="AO233" s="5"/>
    </row>
    <row r="234" spans="10:41" x14ac:dyDescent="0.3">
      <c r="J234" s="25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5"/>
      <c r="X234" s="25"/>
      <c r="Y234" s="25"/>
      <c r="Z234" s="25"/>
      <c r="AA234" s="25"/>
      <c r="AH234" s="5"/>
      <c r="AI234" s="5"/>
      <c r="AO234" s="5"/>
    </row>
    <row r="235" spans="10:41" x14ac:dyDescent="0.3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5"/>
      <c r="X235" s="25"/>
      <c r="Y235" s="25"/>
      <c r="Z235" s="25"/>
      <c r="AA235" s="25"/>
      <c r="AH235" s="5"/>
      <c r="AI235" s="5"/>
      <c r="AO235" s="5"/>
    </row>
    <row r="236" spans="10:41" x14ac:dyDescent="0.3">
      <c r="J236" s="25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5"/>
      <c r="X236" s="25"/>
      <c r="Y236" s="25"/>
      <c r="Z236" s="25"/>
      <c r="AA236" s="25"/>
      <c r="AH236" s="5"/>
      <c r="AI236" s="5"/>
      <c r="AO236" s="5"/>
    </row>
    <row r="237" spans="10:41" x14ac:dyDescent="0.3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5"/>
      <c r="X237" s="25"/>
      <c r="Y237" s="25"/>
      <c r="Z237" s="25"/>
      <c r="AA237" s="25"/>
      <c r="AH237" s="5"/>
      <c r="AI237" s="5"/>
      <c r="AO237" s="5"/>
    </row>
    <row r="238" spans="10:41" x14ac:dyDescent="0.3">
      <c r="J238" s="25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5"/>
      <c r="X238" s="25"/>
      <c r="Y238" s="25"/>
      <c r="Z238" s="25"/>
      <c r="AA238" s="25"/>
      <c r="AH238" s="5"/>
      <c r="AI238" s="5"/>
      <c r="AO238" s="5"/>
    </row>
    <row r="239" spans="10:41" x14ac:dyDescent="0.3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5"/>
      <c r="X239" s="25"/>
      <c r="Y239" s="25"/>
      <c r="Z239" s="25"/>
      <c r="AA239" s="25"/>
      <c r="AH239" s="5"/>
      <c r="AI239" s="5"/>
      <c r="AO239" s="5"/>
    </row>
    <row r="240" spans="10:41" x14ac:dyDescent="0.3">
      <c r="J240" s="25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5"/>
      <c r="X240" s="25"/>
      <c r="Y240" s="25"/>
      <c r="Z240" s="25"/>
      <c r="AA240" s="25"/>
      <c r="AH240" s="5"/>
      <c r="AI240" s="5"/>
      <c r="AO240" s="5"/>
    </row>
    <row r="241" spans="10:41" x14ac:dyDescent="0.3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5"/>
      <c r="X241" s="25"/>
      <c r="Y241" s="25"/>
      <c r="Z241" s="25"/>
      <c r="AA241" s="25"/>
      <c r="AH241" s="5"/>
      <c r="AI241" s="5"/>
      <c r="AO241" s="5"/>
    </row>
    <row r="242" spans="10:41" x14ac:dyDescent="0.3">
      <c r="J242" s="25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5"/>
      <c r="X242" s="25"/>
      <c r="Y242" s="25"/>
      <c r="Z242" s="25"/>
      <c r="AA242" s="25"/>
      <c r="AH242" s="5"/>
      <c r="AI242" s="5"/>
      <c r="AO242" s="5"/>
    </row>
    <row r="243" spans="10:41" x14ac:dyDescent="0.3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5"/>
      <c r="X243" s="25"/>
      <c r="Y243" s="25"/>
      <c r="Z243" s="25"/>
      <c r="AA243" s="25"/>
      <c r="AH243" s="5"/>
      <c r="AI243" s="5"/>
      <c r="AO243" s="5"/>
    </row>
    <row r="244" spans="10:41" x14ac:dyDescent="0.3">
      <c r="J244" s="25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5"/>
      <c r="X244" s="25"/>
      <c r="Y244" s="25"/>
      <c r="Z244" s="25"/>
      <c r="AA244" s="25"/>
      <c r="AH244" s="5"/>
      <c r="AI244" s="5"/>
      <c r="AO244" s="5"/>
    </row>
    <row r="245" spans="10:41" x14ac:dyDescent="0.3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5"/>
      <c r="X245" s="25"/>
      <c r="Y245" s="25"/>
      <c r="Z245" s="25"/>
      <c r="AA245" s="25"/>
      <c r="AH245" s="5"/>
      <c r="AI245" s="5"/>
      <c r="AO245" s="5"/>
    </row>
    <row r="246" spans="10:41" x14ac:dyDescent="0.3">
      <c r="J246" s="25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5"/>
      <c r="X246" s="25"/>
      <c r="Y246" s="25"/>
      <c r="Z246" s="25"/>
      <c r="AA246" s="25"/>
      <c r="AH246" s="5"/>
      <c r="AI246" s="5"/>
      <c r="AO246" s="5"/>
    </row>
    <row r="247" spans="10:41" x14ac:dyDescent="0.3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5"/>
      <c r="X247" s="25"/>
      <c r="Y247" s="25"/>
      <c r="Z247" s="25"/>
      <c r="AA247" s="25"/>
      <c r="AH247" s="5"/>
      <c r="AI247" s="5"/>
      <c r="AO247" s="5"/>
    </row>
    <row r="248" spans="10:41" x14ac:dyDescent="0.3">
      <c r="J248" s="25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5"/>
      <c r="X248" s="25"/>
      <c r="Y248" s="25"/>
      <c r="Z248" s="25"/>
      <c r="AA248" s="25"/>
      <c r="AH248" s="5"/>
      <c r="AI248" s="5"/>
      <c r="AO248" s="5"/>
    </row>
    <row r="249" spans="10:41" x14ac:dyDescent="0.3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5"/>
      <c r="X249" s="25"/>
      <c r="Y249" s="25"/>
      <c r="Z249" s="25"/>
      <c r="AA249" s="25"/>
      <c r="AH249" s="5"/>
      <c r="AI249" s="5"/>
      <c r="AO249" s="5"/>
    </row>
    <row r="250" spans="10:41" x14ac:dyDescent="0.3">
      <c r="J250" s="25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5"/>
      <c r="X250" s="25"/>
      <c r="Y250" s="25"/>
      <c r="Z250" s="25"/>
      <c r="AA250" s="25"/>
      <c r="AH250" s="5"/>
      <c r="AI250" s="5"/>
      <c r="AO250" s="5"/>
    </row>
    <row r="251" spans="10:41" x14ac:dyDescent="0.3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5"/>
      <c r="X251" s="25"/>
      <c r="Y251" s="25"/>
      <c r="Z251" s="25"/>
      <c r="AA251" s="25"/>
      <c r="AH251" s="5"/>
      <c r="AI251" s="5"/>
      <c r="AO251" s="5"/>
    </row>
    <row r="252" spans="10:41" x14ac:dyDescent="0.3">
      <c r="J252" s="25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5"/>
      <c r="X252" s="25"/>
      <c r="Y252" s="25"/>
      <c r="Z252" s="25"/>
      <c r="AA252" s="25"/>
      <c r="AH252" s="5"/>
      <c r="AI252" s="5"/>
      <c r="AO252" s="5"/>
    </row>
    <row r="253" spans="10:41" x14ac:dyDescent="0.3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5"/>
      <c r="X253" s="25"/>
      <c r="Y253" s="25"/>
      <c r="Z253" s="25"/>
      <c r="AA253" s="25"/>
      <c r="AH253" s="5"/>
      <c r="AI253" s="5"/>
      <c r="AO253" s="5"/>
    </row>
    <row r="254" spans="10:41" x14ac:dyDescent="0.3">
      <c r="J254" s="25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5"/>
      <c r="X254" s="25"/>
      <c r="Y254" s="25"/>
      <c r="Z254" s="25"/>
      <c r="AA254" s="25"/>
      <c r="AH254" s="5"/>
      <c r="AI254" s="5"/>
      <c r="AO254" s="5"/>
    </row>
    <row r="255" spans="10:41" x14ac:dyDescent="0.3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5"/>
      <c r="X255" s="25"/>
      <c r="Y255" s="25"/>
      <c r="Z255" s="25"/>
      <c r="AA255" s="25"/>
      <c r="AH255" s="5"/>
      <c r="AI255" s="5"/>
      <c r="AO255" s="5"/>
    </row>
    <row r="256" spans="10:41" x14ac:dyDescent="0.3">
      <c r="J256" s="25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5"/>
      <c r="X256" s="25"/>
      <c r="Y256" s="25"/>
      <c r="Z256" s="25"/>
      <c r="AA256" s="25"/>
      <c r="AH256" s="5"/>
      <c r="AI256" s="5"/>
      <c r="AO256" s="5"/>
    </row>
    <row r="257" spans="10:41" x14ac:dyDescent="0.3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5"/>
      <c r="X257" s="25"/>
      <c r="Y257" s="25"/>
      <c r="Z257" s="25"/>
      <c r="AA257" s="25"/>
      <c r="AH257" s="5"/>
      <c r="AI257" s="5"/>
      <c r="AO257" s="5"/>
    </row>
    <row r="258" spans="10:41" x14ac:dyDescent="0.3">
      <c r="J258" s="25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5"/>
      <c r="X258" s="25"/>
      <c r="Y258" s="25"/>
      <c r="Z258" s="25"/>
      <c r="AA258" s="25"/>
      <c r="AH258" s="5"/>
      <c r="AI258" s="5"/>
      <c r="AO258" s="5"/>
    </row>
    <row r="259" spans="10:41" x14ac:dyDescent="0.3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5"/>
      <c r="X259" s="25"/>
      <c r="Y259" s="25"/>
      <c r="Z259" s="25"/>
      <c r="AA259" s="25"/>
      <c r="AH259" s="5"/>
      <c r="AI259" s="5"/>
      <c r="AO259" s="5"/>
    </row>
    <row r="260" spans="10:41" x14ac:dyDescent="0.3">
      <c r="J260" s="25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5"/>
      <c r="X260" s="25"/>
      <c r="Y260" s="25"/>
      <c r="Z260" s="25"/>
      <c r="AA260" s="25"/>
      <c r="AH260" s="5"/>
      <c r="AI260" s="5"/>
      <c r="AO260" s="5"/>
    </row>
    <row r="261" spans="10:41" x14ac:dyDescent="0.3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5"/>
      <c r="X261" s="25"/>
      <c r="Y261" s="25"/>
      <c r="Z261" s="25"/>
      <c r="AA261" s="25"/>
      <c r="AH261" s="5"/>
      <c r="AI261" s="5"/>
      <c r="AO261" s="5"/>
    </row>
    <row r="262" spans="10:41" x14ac:dyDescent="0.3">
      <c r="J262" s="25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5"/>
      <c r="X262" s="25"/>
      <c r="Y262" s="25"/>
      <c r="Z262" s="25"/>
      <c r="AA262" s="25"/>
      <c r="AH262" s="5"/>
      <c r="AI262" s="5"/>
      <c r="AO262" s="5"/>
    </row>
    <row r="263" spans="10:41" x14ac:dyDescent="0.3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5"/>
      <c r="X263" s="25"/>
      <c r="Y263" s="25"/>
      <c r="Z263" s="25"/>
      <c r="AA263" s="25"/>
      <c r="AH263" s="5"/>
      <c r="AI263" s="5"/>
      <c r="AO263" s="5"/>
    </row>
    <row r="264" spans="10:41" x14ac:dyDescent="0.3">
      <c r="J264" s="25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5"/>
      <c r="X264" s="25"/>
      <c r="Y264" s="25"/>
      <c r="Z264" s="25"/>
      <c r="AA264" s="25"/>
      <c r="AH264" s="5"/>
      <c r="AI264" s="5"/>
      <c r="AO264" s="5"/>
    </row>
    <row r="265" spans="10:41" x14ac:dyDescent="0.3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5"/>
      <c r="X265" s="25"/>
      <c r="Y265" s="25"/>
      <c r="Z265" s="25"/>
      <c r="AA265" s="25"/>
      <c r="AH265" s="5"/>
      <c r="AI265" s="5"/>
      <c r="AO265" s="5"/>
    </row>
    <row r="266" spans="10:41" x14ac:dyDescent="0.3">
      <c r="J266" s="25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5"/>
      <c r="X266" s="25"/>
      <c r="Y266" s="25"/>
      <c r="Z266" s="25"/>
      <c r="AA266" s="25"/>
      <c r="AH266" s="5"/>
      <c r="AI266" s="5"/>
      <c r="AO266" s="5"/>
    </row>
    <row r="267" spans="10:41" x14ac:dyDescent="0.3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5"/>
      <c r="X267" s="25"/>
      <c r="Y267" s="25"/>
      <c r="Z267" s="25"/>
      <c r="AA267" s="25"/>
      <c r="AH267" s="5"/>
      <c r="AI267" s="5"/>
      <c r="AO267" s="5"/>
    </row>
    <row r="268" spans="10:41" x14ac:dyDescent="0.3">
      <c r="J268" s="25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5"/>
      <c r="X268" s="25"/>
      <c r="Y268" s="25"/>
      <c r="Z268" s="25"/>
      <c r="AA268" s="25"/>
      <c r="AH268" s="5"/>
      <c r="AI268" s="5"/>
      <c r="AO268" s="5"/>
    </row>
    <row r="269" spans="10:41" x14ac:dyDescent="0.3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5"/>
      <c r="X269" s="25"/>
      <c r="Y269" s="25"/>
      <c r="Z269" s="25"/>
      <c r="AA269" s="25"/>
      <c r="AH269" s="5"/>
      <c r="AI269" s="5"/>
      <c r="AO269" s="5"/>
    </row>
    <row r="270" spans="10:41" x14ac:dyDescent="0.3">
      <c r="J270" s="25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5"/>
      <c r="X270" s="25"/>
      <c r="Y270" s="25"/>
      <c r="Z270" s="25"/>
      <c r="AA270" s="25"/>
      <c r="AH270" s="5"/>
      <c r="AI270" s="5"/>
      <c r="AO270" s="5"/>
    </row>
    <row r="271" spans="10:41" x14ac:dyDescent="0.3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5"/>
      <c r="X271" s="25"/>
      <c r="Y271" s="25"/>
      <c r="Z271" s="25"/>
      <c r="AA271" s="25"/>
      <c r="AH271" s="5"/>
      <c r="AI271" s="5"/>
      <c r="AO271" s="5"/>
    </row>
    <row r="272" spans="10:41" x14ac:dyDescent="0.3">
      <c r="J272" s="25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5"/>
      <c r="X272" s="25"/>
      <c r="Y272" s="25"/>
      <c r="Z272" s="25"/>
      <c r="AA272" s="25"/>
      <c r="AH272" s="5"/>
      <c r="AI272" s="5"/>
      <c r="AO272" s="5"/>
    </row>
    <row r="273" spans="10:41" x14ac:dyDescent="0.3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5"/>
      <c r="X273" s="25"/>
      <c r="Y273" s="25"/>
      <c r="Z273" s="25"/>
      <c r="AA273" s="25"/>
      <c r="AH273" s="5"/>
      <c r="AI273" s="5"/>
      <c r="AO273" s="5"/>
    </row>
    <row r="274" spans="10:41" x14ac:dyDescent="0.3">
      <c r="J274" s="25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5"/>
      <c r="X274" s="25"/>
      <c r="Y274" s="25"/>
      <c r="Z274" s="25"/>
      <c r="AA274" s="25"/>
      <c r="AH274" s="5"/>
      <c r="AI274" s="5"/>
      <c r="AO274" s="5"/>
    </row>
    <row r="275" spans="10:41" x14ac:dyDescent="0.3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5"/>
      <c r="X275" s="25"/>
      <c r="Y275" s="25"/>
      <c r="Z275" s="25"/>
      <c r="AA275" s="25"/>
      <c r="AH275" s="5"/>
      <c r="AI275" s="5"/>
      <c r="AO275" s="5"/>
    </row>
    <row r="276" spans="10:41" x14ac:dyDescent="0.3">
      <c r="J276" s="25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5"/>
      <c r="X276" s="25"/>
      <c r="Y276" s="25"/>
      <c r="Z276" s="25"/>
      <c r="AA276" s="25"/>
      <c r="AH276" s="5"/>
      <c r="AI276" s="5"/>
      <c r="AO276" s="5"/>
    </row>
    <row r="277" spans="10:41" x14ac:dyDescent="0.3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5"/>
      <c r="X277" s="25"/>
      <c r="Y277" s="25"/>
      <c r="Z277" s="25"/>
      <c r="AA277" s="25"/>
      <c r="AH277" s="5"/>
      <c r="AI277" s="5"/>
      <c r="AO277" s="5"/>
    </row>
    <row r="278" spans="10:41" x14ac:dyDescent="0.3">
      <c r="J278" s="25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5"/>
      <c r="X278" s="25"/>
      <c r="Y278" s="25"/>
      <c r="Z278" s="25"/>
      <c r="AA278" s="25"/>
      <c r="AH278" s="5"/>
      <c r="AI278" s="5"/>
      <c r="AO278" s="5"/>
    </row>
    <row r="279" spans="10:41" x14ac:dyDescent="0.3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5"/>
      <c r="X279" s="25"/>
      <c r="Y279" s="25"/>
      <c r="Z279" s="25"/>
      <c r="AA279" s="25"/>
      <c r="AH279" s="5"/>
      <c r="AI279" s="5"/>
      <c r="AO279" s="5"/>
    </row>
    <row r="280" spans="10:41" x14ac:dyDescent="0.3">
      <c r="J280" s="25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5"/>
      <c r="X280" s="25"/>
      <c r="Y280" s="25"/>
      <c r="Z280" s="25"/>
      <c r="AA280" s="25"/>
      <c r="AH280" s="5"/>
      <c r="AI280" s="5"/>
      <c r="AO280" s="5"/>
    </row>
    <row r="281" spans="10:41" x14ac:dyDescent="0.3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5"/>
      <c r="X281" s="25"/>
      <c r="Y281" s="25"/>
      <c r="Z281" s="25"/>
      <c r="AA281" s="25"/>
      <c r="AH281" s="5"/>
      <c r="AI281" s="5"/>
      <c r="AO281" s="5"/>
    </row>
    <row r="282" spans="10:41" x14ac:dyDescent="0.3">
      <c r="J282" s="25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5"/>
      <c r="X282" s="25"/>
      <c r="Y282" s="25"/>
      <c r="Z282" s="25"/>
      <c r="AA282" s="25"/>
      <c r="AH282" s="5"/>
      <c r="AI282" s="5"/>
      <c r="AO282" s="5"/>
    </row>
    <row r="283" spans="10:41" x14ac:dyDescent="0.3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5"/>
      <c r="X283" s="25"/>
      <c r="Y283" s="25"/>
      <c r="Z283" s="25"/>
      <c r="AA283" s="25"/>
      <c r="AH283" s="5"/>
      <c r="AI283" s="5"/>
      <c r="AO283" s="5"/>
    </row>
    <row r="284" spans="10:41" x14ac:dyDescent="0.3">
      <c r="J284" s="25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5"/>
      <c r="X284" s="25"/>
      <c r="Y284" s="25"/>
      <c r="Z284" s="25"/>
      <c r="AA284" s="25"/>
      <c r="AH284" s="5"/>
      <c r="AI284" s="5"/>
      <c r="AO284" s="5"/>
    </row>
    <row r="285" spans="10:41" x14ac:dyDescent="0.3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5"/>
      <c r="X285" s="25"/>
      <c r="Y285" s="25"/>
      <c r="Z285" s="25"/>
      <c r="AA285" s="25"/>
      <c r="AH285" s="5"/>
      <c r="AI285" s="5"/>
      <c r="AO285" s="5"/>
    </row>
    <row r="286" spans="10:41" x14ac:dyDescent="0.3">
      <c r="J286" s="25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5"/>
      <c r="X286" s="25"/>
      <c r="Y286" s="25"/>
      <c r="Z286" s="25"/>
      <c r="AA286" s="25"/>
      <c r="AH286" s="5"/>
      <c r="AI286" s="5"/>
      <c r="AO286" s="5"/>
    </row>
    <row r="287" spans="10:41" x14ac:dyDescent="0.3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5"/>
      <c r="X287" s="25"/>
      <c r="Y287" s="25"/>
      <c r="Z287" s="25"/>
      <c r="AA287" s="25"/>
      <c r="AH287" s="5"/>
      <c r="AI287" s="5"/>
      <c r="AO287" s="5"/>
    </row>
    <row r="288" spans="10:41" x14ac:dyDescent="0.3">
      <c r="J288" s="25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5"/>
      <c r="X288" s="25"/>
      <c r="Y288" s="25"/>
      <c r="Z288" s="25"/>
      <c r="AA288" s="25"/>
      <c r="AH288" s="5"/>
      <c r="AI288" s="5"/>
      <c r="AO288" s="5"/>
    </row>
    <row r="289" spans="10:41" x14ac:dyDescent="0.3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5"/>
      <c r="X289" s="25"/>
      <c r="Y289" s="25"/>
      <c r="Z289" s="25"/>
      <c r="AA289" s="25"/>
      <c r="AH289" s="5"/>
      <c r="AI289" s="5"/>
      <c r="AO289" s="5"/>
    </row>
    <row r="290" spans="10:41" x14ac:dyDescent="0.3">
      <c r="J290" s="25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5"/>
      <c r="X290" s="25"/>
      <c r="Y290" s="25"/>
      <c r="Z290" s="25"/>
      <c r="AA290" s="25"/>
      <c r="AH290" s="5"/>
      <c r="AI290" s="5"/>
      <c r="AO290" s="5"/>
    </row>
    <row r="291" spans="10:41" x14ac:dyDescent="0.3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5"/>
      <c r="X291" s="25"/>
      <c r="Y291" s="25"/>
      <c r="Z291" s="25"/>
      <c r="AA291" s="25"/>
      <c r="AH291" s="5"/>
      <c r="AI291" s="5"/>
      <c r="AO291" s="5"/>
    </row>
    <row r="292" spans="10:41" x14ac:dyDescent="0.3">
      <c r="J292" s="25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5"/>
      <c r="X292" s="25"/>
      <c r="Y292" s="25"/>
      <c r="Z292" s="25"/>
      <c r="AA292" s="25"/>
      <c r="AH292" s="5"/>
      <c r="AI292" s="5"/>
      <c r="AO292" s="5"/>
    </row>
    <row r="293" spans="10:41" x14ac:dyDescent="0.3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5"/>
      <c r="X293" s="25"/>
      <c r="Y293" s="25"/>
      <c r="Z293" s="25"/>
      <c r="AA293" s="25"/>
      <c r="AH293" s="5"/>
      <c r="AI293" s="5"/>
      <c r="AO293" s="5"/>
    </row>
    <row r="294" spans="10:41" x14ac:dyDescent="0.3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5"/>
      <c r="X294" s="25"/>
      <c r="Y294" s="25"/>
      <c r="Z294" s="25"/>
      <c r="AA294" s="25"/>
      <c r="AH294" s="5"/>
      <c r="AI294" s="5"/>
      <c r="AO294" s="5"/>
    </row>
    <row r="295" spans="10:41" x14ac:dyDescent="0.3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5"/>
      <c r="X295" s="25"/>
      <c r="Y295" s="25"/>
      <c r="Z295" s="25"/>
      <c r="AA295" s="25"/>
      <c r="AH295" s="5"/>
      <c r="AI295" s="5"/>
      <c r="AO295" s="5"/>
    </row>
    <row r="296" spans="10:41" x14ac:dyDescent="0.3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5"/>
      <c r="X296" s="25"/>
      <c r="Y296" s="25"/>
      <c r="Z296" s="25"/>
      <c r="AA296" s="25"/>
      <c r="AH296" s="5"/>
      <c r="AI296" s="5"/>
      <c r="AO296" s="5"/>
    </row>
    <row r="297" spans="10:41" x14ac:dyDescent="0.3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5"/>
      <c r="X297" s="25"/>
      <c r="Y297" s="25"/>
      <c r="Z297" s="25"/>
      <c r="AA297" s="25"/>
      <c r="AH297" s="5"/>
      <c r="AI297" s="5"/>
      <c r="AO297" s="5"/>
    </row>
    <row r="298" spans="10:41" x14ac:dyDescent="0.3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5"/>
      <c r="X298" s="25"/>
      <c r="Y298" s="25"/>
      <c r="Z298" s="25"/>
      <c r="AA298" s="25"/>
      <c r="AH298" s="5"/>
      <c r="AI298" s="5"/>
      <c r="AO298" s="5"/>
    </row>
    <row r="299" spans="10:41" x14ac:dyDescent="0.3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5"/>
      <c r="X299" s="25"/>
      <c r="Y299" s="25"/>
      <c r="Z299" s="25"/>
      <c r="AA299" s="25"/>
      <c r="AH299" s="5"/>
      <c r="AI299" s="5"/>
      <c r="AO299" s="5"/>
    </row>
    <row r="300" spans="10:41" x14ac:dyDescent="0.3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5"/>
      <c r="X300" s="25"/>
      <c r="Y300" s="25"/>
      <c r="Z300" s="25"/>
      <c r="AA300" s="25"/>
      <c r="AH300" s="5"/>
      <c r="AI300" s="5"/>
      <c r="AO300" s="5"/>
    </row>
    <row r="301" spans="10:41" x14ac:dyDescent="0.3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5"/>
      <c r="X301" s="25"/>
      <c r="Y301" s="25"/>
      <c r="Z301" s="25"/>
      <c r="AA301" s="25"/>
      <c r="AH301" s="5"/>
      <c r="AI301" s="5"/>
      <c r="AO301" s="5"/>
    </row>
    <row r="302" spans="10:41" x14ac:dyDescent="0.3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5"/>
      <c r="X302" s="25"/>
      <c r="Y302" s="25"/>
      <c r="Z302" s="25"/>
      <c r="AA302" s="25"/>
      <c r="AH302" s="5"/>
      <c r="AI302" s="5"/>
      <c r="AO302" s="5"/>
    </row>
    <row r="303" spans="10:41" x14ac:dyDescent="0.3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5"/>
      <c r="X303" s="25"/>
      <c r="Y303" s="25"/>
      <c r="Z303" s="25"/>
      <c r="AA303" s="25"/>
      <c r="AH303" s="5"/>
      <c r="AI303" s="5"/>
      <c r="AO303" s="5"/>
    </row>
    <row r="304" spans="10:41" x14ac:dyDescent="0.3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5"/>
      <c r="X304" s="25"/>
      <c r="Y304" s="25"/>
      <c r="Z304" s="25"/>
      <c r="AA304" s="25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W5:AA304 X4:AA4">
    <cfRule type="expression" dxfId="73" priority="42">
      <formula>_xlfn.LET(_xlpm.x, W4, AND(NOT(_xlfn.ISFORMULA(_xlpm.x)), _xlpm.x&lt;&gt;""))</formula>
    </cfRule>
  </conditionalFormatting>
  <conditionalFormatting sqref="W4:AA203">
    <cfRule type="expression" dxfId="72" priority="37">
      <formula>_xlfn.LET(_xlpm.x, W4, AND(NOT(_xlfn.ISFORMULA(_xlpm.x)), _xlpm.x&lt;&gt;""))</formula>
    </cfRule>
  </conditionalFormatting>
  <conditionalFormatting sqref="K1:O1048576">
    <cfRule type="cellIs" dxfId="71" priority="29" operator="equal">
      <formula>"C1"</formula>
    </cfRule>
    <cfRule type="cellIs" dxfId="70" priority="30" operator="between">
      <formula>"G1"</formula>
      <formula>"G5"</formula>
    </cfRule>
    <cfRule type="cellIs" dxfId="69" priority="32" operator="between">
      <formula>"M1"</formula>
      <formula>"M5"</formula>
    </cfRule>
  </conditionalFormatting>
  <conditionalFormatting sqref="D52:D54">
    <cfRule type="cellIs" dxfId="68" priority="10" operator="equal">
      <formula>"C1"</formula>
    </cfRule>
    <cfRule type="cellIs" dxfId="67" priority="11" operator="between">
      <formula>"G1"</formula>
      <formula>"G4"</formula>
    </cfRule>
    <cfRule type="cellIs" dxfId="66" priority="12" operator="between">
      <formula>"GA"</formula>
      <formula>"GQ"</formula>
    </cfRule>
    <cfRule type="cellIs" dxfId="65" priority="13" operator="between">
      <formula>"M1"</formula>
      <formula>"M4"</formula>
    </cfRule>
  </conditionalFormatting>
  <conditionalFormatting sqref="E52:E54">
    <cfRule type="cellIs" dxfId="64" priority="6" operator="equal">
      <formula>"C1"</formula>
    </cfRule>
    <cfRule type="cellIs" dxfId="63" priority="7" operator="between">
      <formula>"G1"</formula>
      <formula>"G4"</formula>
    </cfRule>
    <cfRule type="cellIs" dxfId="62" priority="8" operator="between">
      <formula>"GA"</formula>
      <formula>"GQ"</formula>
    </cfRule>
    <cfRule type="cellIs" dxfId="61" priority="9" operator="between">
      <formula>"M1"</formula>
      <formula>"M4"</formula>
    </cfRule>
  </conditionalFormatting>
  <conditionalFormatting sqref="F52:F54">
    <cfRule type="cellIs" dxfId="60" priority="2" operator="equal">
      <formula>"C1"</formula>
    </cfRule>
    <cfRule type="cellIs" dxfId="59" priority="3" operator="between">
      <formula>"G1"</formula>
      <formula>"G4"</formula>
    </cfRule>
    <cfRule type="cellIs" dxfId="58" priority="4" operator="between">
      <formula>"GA"</formula>
      <formula>"GQ"</formula>
    </cfRule>
    <cfRule type="cellIs" dxfId="57" priority="5" operator="between">
      <formula>"M1"</formula>
      <formula>"M4"</formula>
    </cfRule>
  </conditionalFormatting>
  <conditionalFormatting sqref="C28:G28 D27:G27 C31:G46 C29:C30 G29:G3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{AF24A4CC-2208-40AA-8A1B-06328FF9B097}</x14:id>
        </ext>
      </extLst>
    </cfRule>
  </conditionalFormatting>
  <conditionalFormatting sqref="D29:F3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{668B989A-80FD-4E32-9780-2D27EE29E6D4}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F24A4CC-2208-40AA-8A1B-06328FF9B0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668B989A-80FD-4E32-9780-2D27EE29E6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31" operator="containsText" id="{A92EDE66-5047-4AC0-BF85-77C2DC95FA81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3922-0395-4B4F-87FC-164C697B00A4}">
  <sheetPr codeName="工作表12">
    <tabColor theme="3" tint="0.59999389629810485"/>
  </sheetPr>
  <dimension ref="A1:AO305"/>
  <sheetViews>
    <sheetView workbookViewId="0"/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I1" s="5"/>
    </row>
    <row r="2" spans="1:41" ht="15.9" customHeight="1" x14ac:dyDescent="0.3">
      <c r="I2" s="15"/>
      <c r="J2" s="27" t="s">
        <v>133</v>
      </c>
      <c r="Q2" s="27" t="s">
        <v>134</v>
      </c>
      <c r="W2" s="27" t="s">
        <v>135</v>
      </c>
      <c r="AC2" s="27" t="s">
        <v>147</v>
      </c>
      <c r="AH2" s="5"/>
      <c r="AI2" s="5"/>
      <c r="AJ2" s="27" t="s">
        <v>111</v>
      </c>
      <c r="AO2" s="5"/>
    </row>
    <row r="3" spans="1:41" ht="15.9" customHeight="1" x14ac:dyDescent="0.3">
      <c r="A3" s="20" t="s">
        <v>5</v>
      </c>
      <c r="B3" s="20" t="s">
        <v>12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20" t="s">
        <v>11</v>
      </c>
      <c r="I3" s="15"/>
      <c r="J3" s="20"/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Q3" s="20" t="s">
        <v>13</v>
      </c>
      <c r="R3" s="20" t="s">
        <v>14</v>
      </c>
      <c r="S3" s="20" t="s">
        <v>15</v>
      </c>
      <c r="T3" s="20" t="s">
        <v>16</v>
      </c>
      <c r="U3" s="20" t="s">
        <v>17</v>
      </c>
      <c r="W3" s="20" t="s">
        <v>6</v>
      </c>
      <c r="X3" s="20" t="s">
        <v>14</v>
      </c>
      <c r="Y3" s="20" t="s">
        <v>15</v>
      </c>
      <c r="Z3" s="20" t="s">
        <v>16</v>
      </c>
      <c r="AA3" s="20" t="s">
        <v>17</v>
      </c>
      <c r="AO3" s="5"/>
    </row>
    <row r="4" spans="1:41" ht="15.9" customHeight="1" x14ac:dyDescent="0.3">
      <c r="A4" s="29" t="str" cm="1">
        <f t="array" ref="A4:B23">Overview!A38:B57</f>
        <v>WW</v>
      </c>
      <c r="B4" s="8" t="str">
        <v>Wild</v>
      </c>
      <c r="C4" s="99">
        <f t="shared" ref="C4:G23" si="0">COUNTIF(K:K, $A4)</f>
        <v>0</v>
      </c>
      <c r="D4" s="99">
        <f t="shared" si="0"/>
        <v>0</v>
      </c>
      <c r="E4" s="99">
        <f t="shared" si="0"/>
        <v>0</v>
      </c>
      <c r="F4" s="99">
        <f t="shared" si="0"/>
        <v>0</v>
      </c>
      <c r="G4" s="99">
        <f t="shared" si="0"/>
        <v>0</v>
      </c>
      <c r="H4" s="8" cm="1">
        <f t="array" ref="H4:H23">Overview!F38:F57</f>
        <v>0</v>
      </c>
      <c r="I4" s="87"/>
      <c r="J4" s="25" cm="1">
        <f t="array" ref="J4:J203">_xlfn.SEQUENCE(MAX(COUNTA(K:K), COUNTA(L:L), COUNTA(M:M), COUNTA(N:N), COUNTA(O:O))-1,,0)</f>
        <v>0</v>
      </c>
      <c r="K4" s="26" t="s">
        <v>34</v>
      </c>
      <c r="L4" s="26" t="s">
        <v>125</v>
      </c>
      <c r="M4" s="26" t="s">
        <v>126</v>
      </c>
      <c r="N4" s="26" t="s">
        <v>35</v>
      </c>
      <c r="O4" s="26" t="s">
        <v>21</v>
      </c>
      <c r="Q4" s="25" cm="1">
        <f t="array" ref="Q4:U304">_xlfn.LET(_xlpm.x, K4:O304, IF(_xlpm.x="", "", _xlfn.XLOOKUP(_xlpm.x, $A$4:$A$23,_xlfn.ANCHORARRAY( H4))))</f>
        <v>9</v>
      </c>
      <c r="R4" s="25">
        <v>6</v>
      </c>
      <c r="S4" s="25">
        <v>15</v>
      </c>
      <c r="T4" s="25">
        <v>8</v>
      </c>
      <c r="U4" s="25">
        <v>2</v>
      </c>
      <c r="W4" s="25">
        <v>1</v>
      </c>
      <c r="X4" s="25">
        <v>1</v>
      </c>
      <c r="Y4" s="25">
        <v>1</v>
      </c>
      <c r="Z4" s="25">
        <v>1</v>
      </c>
      <c r="AA4" s="25">
        <v>1</v>
      </c>
      <c r="AB4" s="43"/>
      <c r="AC4" s="27" t="s">
        <v>131</v>
      </c>
      <c r="AH4" s="5"/>
      <c r="AI4" s="5"/>
      <c r="AJ4" s="27" t="s">
        <v>131</v>
      </c>
      <c r="AO4" s="5"/>
    </row>
    <row r="5" spans="1:41" ht="15.9" customHeight="1" x14ac:dyDescent="0.3">
      <c r="A5" s="29" t="str">
        <v>C1</v>
      </c>
      <c r="B5" s="8" t="str">
        <v>Scatter</v>
      </c>
      <c r="C5" s="99">
        <f t="shared" si="0"/>
        <v>5</v>
      </c>
      <c r="D5" s="99">
        <f t="shared" si="0"/>
        <v>5</v>
      </c>
      <c r="E5" s="99">
        <f t="shared" si="0"/>
        <v>0</v>
      </c>
      <c r="F5" s="99">
        <f t="shared" si="0"/>
        <v>8</v>
      </c>
      <c r="G5" s="99">
        <f t="shared" si="0"/>
        <v>8</v>
      </c>
      <c r="H5" s="8">
        <v>1</v>
      </c>
      <c r="I5" s="87"/>
      <c r="J5" s="9">
        <v>1</v>
      </c>
      <c r="K5" s="16" t="s">
        <v>125</v>
      </c>
      <c r="L5" s="16" t="s">
        <v>21</v>
      </c>
      <c r="M5" s="16" t="s">
        <v>91</v>
      </c>
      <c r="N5" s="16" t="s">
        <v>34</v>
      </c>
      <c r="O5" s="16" t="s">
        <v>36</v>
      </c>
      <c r="Q5" s="9">
        <v>6</v>
      </c>
      <c r="R5" s="9">
        <v>2</v>
      </c>
      <c r="S5" s="9">
        <v>14</v>
      </c>
      <c r="T5" s="9">
        <v>9</v>
      </c>
      <c r="U5" s="9">
        <v>10</v>
      </c>
      <c r="W5" s="25">
        <v>1</v>
      </c>
      <c r="X5" s="25">
        <v>1</v>
      </c>
      <c r="Y5" s="25">
        <v>1</v>
      </c>
      <c r="Z5" s="25">
        <v>1</v>
      </c>
      <c r="AA5" s="25">
        <v>1</v>
      </c>
      <c r="AC5" s="135" t="s">
        <v>42</v>
      </c>
      <c r="AD5" s="135" t="s">
        <v>13</v>
      </c>
      <c r="AE5" s="135" t="s">
        <v>14</v>
      </c>
      <c r="AF5" s="135" t="s">
        <v>15</v>
      </c>
      <c r="AG5" s="135" t="s">
        <v>16</v>
      </c>
      <c r="AH5" s="135" t="s">
        <v>17</v>
      </c>
      <c r="AI5" s="5"/>
      <c r="AJ5" s="135" t="s">
        <v>42</v>
      </c>
      <c r="AK5" s="135" t="s">
        <v>13</v>
      </c>
      <c r="AL5" s="135" t="s">
        <v>14</v>
      </c>
      <c r="AM5" s="135" t="s">
        <v>15</v>
      </c>
      <c r="AN5" s="135" t="s">
        <v>16</v>
      </c>
      <c r="AO5" s="135" t="s">
        <v>17</v>
      </c>
    </row>
    <row r="6" spans="1:41" ht="15.9" customHeight="1" x14ac:dyDescent="0.3">
      <c r="A6" s="133" t="str">
        <v>M1</v>
      </c>
      <c r="B6" s="112" t="str">
        <v>M1</v>
      </c>
      <c r="C6" s="133">
        <f t="shared" si="0"/>
        <v>3</v>
      </c>
      <c r="D6" s="133">
        <f t="shared" si="0"/>
        <v>10</v>
      </c>
      <c r="E6" s="133">
        <f t="shared" si="0"/>
        <v>0</v>
      </c>
      <c r="F6" s="133">
        <f t="shared" si="0"/>
        <v>3</v>
      </c>
      <c r="G6" s="133">
        <f t="shared" si="0"/>
        <v>9</v>
      </c>
      <c r="H6" s="112">
        <v>2</v>
      </c>
      <c r="I6" s="87"/>
      <c r="J6" s="25">
        <v>2</v>
      </c>
      <c r="K6" s="16" t="s">
        <v>19</v>
      </c>
      <c r="L6" s="16" t="s">
        <v>125</v>
      </c>
      <c r="M6" s="16" t="s">
        <v>126</v>
      </c>
      <c r="N6" s="16" t="s">
        <v>35</v>
      </c>
      <c r="O6" s="16" t="s">
        <v>125</v>
      </c>
      <c r="Q6" s="9">
        <v>5</v>
      </c>
      <c r="R6" s="9">
        <v>6</v>
      </c>
      <c r="S6" s="9">
        <v>15</v>
      </c>
      <c r="T6" s="9">
        <v>8</v>
      </c>
      <c r="U6" s="9">
        <v>6</v>
      </c>
      <c r="W6" s="25">
        <v>1</v>
      </c>
      <c r="X6" s="25">
        <v>1</v>
      </c>
      <c r="Y6" s="25">
        <v>1</v>
      </c>
      <c r="Z6" s="25">
        <v>1</v>
      </c>
      <c r="AA6" s="25">
        <v>1</v>
      </c>
      <c r="AC6" s="138" t="str" cm="1">
        <f t="array" ref="AC6:AC25">$A$4:$A$23</f>
        <v>WW</v>
      </c>
      <c r="AD6" s="139">
        <v>0</v>
      </c>
      <c r="AE6" s="139">
        <v>0</v>
      </c>
      <c r="AF6" s="139">
        <v>0</v>
      </c>
      <c r="AG6" s="139">
        <v>0</v>
      </c>
      <c r="AH6" s="139">
        <v>0</v>
      </c>
      <c r="AI6" s="5"/>
      <c r="AJ6" s="138" t="str" cm="1">
        <f t="array" ref="AJ6:AJ25">$A$4:$A$23</f>
        <v>WW</v>
      </c>
      <c r="AK6" s="139">
        <v>0</v>
      </c>
      <c r="AL6" s="139">
        <v>0</v>
      </c>
      <c r="AM6" s="139">
        <v>0</v>
      </c>
      <c r="AN6" s="139">
        <v>0</v>
      </c>
      <c r="AO6" s="139">
        <v>0</v>
      </c>
    </row>
    <row r="7" spans="1:41" ht="15.9" customHeight="1" x14ac:dyDescent="0.3">
      <c r="A7" s="133" t="str">
        <v>M2</v>
      </c>
      <c r="B7" s="112" t="str">
        <v>M2</v>
      </c>
      <c r="C7" s="133">
        <f t="shared" si="0"/>
        <v>3</v>
      </c>
      <c r="D7" s="133">
        <f t="shared" si="0"/>
        <v>13</v>
      </c>
      <c r="E7" s="133">
        <f t="shared" si="0"/>
        <v>0</v>
      </c>
      <c r="F7" s="133">
        <f t="shared" si="0"/>
        <v>3</v>
      </c>
      <c r="G7" s="133">
        <f t="shared" si="0"/>
        <v>8</v>
      </c>
      <c r="H7" s="112">
        <v>3</v>
      </c>
      <c r="I7" s="87"/>
      <c r="J7" s="9">
        <v>3</v>
      </c>
      <c r="K7" s="16" t="s">
        <v>35</v>
      </c>
      <c r="L7" s="26" t="s">
        <v>22</v>
      </c>
      <c r="M7" s="16" t="s">
        <v>92</v>
      </c>
      <c r="N7" s="16" t="s">
        <v>36</v>
      </c>
      <c r="O7" s="16" t="s">
        <v>21</v>
      </c>
      <c r="Q7" s="9">
        <v>8</v>
      </c>
      <c r="R7" s="9">
        <v>3</v>
      </c>
      <c r="S7" s="9">
        <v>16</v>
      </c>
      <c r="T7" s="9">
        <v>10</v>
      </c>
      <c r="U7" s="9">
        <v>2</v>
      </c>
      <c r="W7" s="25">
        <v>1</v>
      </c>
      <c r="X7" s="25">
        <v>1</v>
      </c>
      <c r="Y7" s="25">
        <v>1</v>
      </c>
      <c r="Z7" s="25">
        <v>1</v>
      </c>
      <c r="AA7" s="25">
        <v>1</v>
      </c>
      <c r="AC7" s="138" t="str">
        <v>C1</v>
      </c>
      <c r="AD7" s="138">
        <v>1</v>
      </c>
      <c r="AE7" s="138">
        <v>1</v>
      </c>
      <c r="AF7" s="138">
        <v>0</v>
      </c>
      <c r="AG7" s="138">
        <v>1</v>
      </c>
      <c r="AH7" s="138">
        <v>1</v>
      </c>
      <c r="AI7" s="5"/>
      <c r="AJ7" s="138" t="str">
        <v>C1</v>
      </c>
      <c r="AK7" s="138">
        <v>1</v>
      </c>
      <c r="AL7" s="138">
        <v>1</v>
      </c>
      <c r="AM7" s="138">
        <v>0</v>
      </c>
      <c r="AN7" s="138">
        <v>1</v>
      </c>
      <c r="AO7" s="138">
        <v>1</v>
      </c>
    </row>
    <row r="8" spans="1:41" ht="15.9" customHeight="1" x14ac:dyDescent="0.3">
      <c r="A8" s="133" t="str">
        <v>M3</v>
      </c>
      <c r="B8" s="112" t="str">
        <v>M3</v>
      </c>
      <c r="C8" s="133">
        <f t="shared" si="0"/>
        <v>7</v>
      </c>
      <c r="D8" s="133">
        <f t="shared" si="0"/>
        <v>14</v>
      </c>
      <c r="E8" s="133">
        <f t="shared" si="0"/>
        <v>0</v>
      </c>
      <c r="F8" s="133">
        <f t="shared" si="0"/>
        <v>7</v>
      </c>
      <c r="G8" s="133">
        <f t="shared" si="0"/>
        <v>14</v>
      </c>
      <c r="H8" s="112">
        <v>4</v>
      </c>
      <c r="I8" s="87"/>
      <c r="J8" s="25">
        <v>4</v>
      </c>
      <c r="K8" s="16" t="s">
        <v>125</v>
      </c>
      <c r="L8" s="16" t="s">
        <v>37</v>
      </c>
      <c r="M8" s="16" t="s">
        <v>112</v>
      </c>
      <c r="N8" s="16" t="s">
        <v>19</v>
      </c>
      <c r="O8" s="16" t="s">
        <v>37</v>
      </c>
      <c r="Q8" s="9">
        <v>6</v>
      </c>
      <c r="R8" s="9">
        <v>7</v>
      </c>
      <c r="S8" s="9">
        <v>17</v>
      </c>
      <c r="T8" s="9">
        <v>5</v>
      </c>
      <c r="U8" s="9">
        <v>7</v>
      </c>
      <c r="W8" s="25">
        <v>1</v>
      </c>
      <c r="X8" s="25">
        <v>1</v>
      </c>
      <c r="Y8" s="25">
        <v>1</v>
      </c>
      <c r="Z8" s="25">
        <v>1</v>
      </c>
      <c r="AA8" s="25">
        <v>1</v>
      </c>
      <c r="AC8" s="154" t="str">
        <v>M1</v>
      </c>
      <c r="AD8" s="133">
        <v>3</v>
      </c>
      <c r="AE8" s="133">
        <v>10</v>
      </c>
      <c r="AF8" s="133">
        <v>0</v>
      </c>
      <c r="AG8" s="133">
        <v>3</v>
      </c>
      <c r="AH8" s="133">
        <v>9</v>
      </c>
      <c r="AI8" s="5"/>
      <c r="AJ8" s="154" t="str">
        <v>M1</v>
      </c>
      <c r="AK8" s="133">
        <v>3</v>
      </c>
      <c r="AL8" s="133">
        <v>10</v>
      </c>
      <c r="AM8" s="133">
        <v>0</v>
      </c>
      <c r="AN8" s="133">
        <v>3</v>
      </c>
      <c r="AO8" s="133">
        <v>9</v>
      </c>
    </row>
    <row r="9" spans="1:41" ht="15.9" customHeight="1" x14ac:dyDescent="0.3">
      <c r="A9" s="133" t="str">
        <v>M4</v>
      </c>
      <c r="B9" s="112" t="str">
        <v>M4</v>
      </c>
      <c r="C9" s="133">
        <f t="shared" si="0"/>
        <v>42</v>
      </c>
      <c r="D9" s="133">
        <f t="shared" si="0"/>
        <v>25</v>
      </c>
      <c r="E9" s="133">
        <f t="shared" si="0"/>
        <v>0</v>
      </c>
      <c r="F9" s="133">
        <f t="shared" si="0"/>
        <v>33</v>
      </c>
      <c r="G9" s="133">
        <f t="shared" si="0"/>
        <v>34</v>
      </c>
      <c r="H9" s="112">
        <v>5</v>
      </c>
      <c r="I9" s="87"/>
      <c r="J9" s="9">
        <v>5</v>
      </c>
      <c r="K9" s="16" t="s">
        <v>19</v>
      </c>
      <c r="L9" s="16" t="s">
        <v>34</v>
      </c>
      <c r="M9" s="16" t="s">
        <v>89</v>
      </c>
      <c r="N9" s="16" t="s">
        <v>126</v>
      </c>
      <c r="O9" s="16" t="s">
        <v>18</v>
      </c>
      <c r="Q9" s="9">
        <v>5</v>
      </c>
      <c r="R9" s="9">
        <v>9</v>
      </c>
      <c r="S9" s="9">
        <v>12</v>
      </c>
      <c r="T9" s="9">
        <v>15</v>
      </c>
      <c r="U9" s="9">
        <v>4</v>
      </c>
      <c r="W9" s="25">
        <v>1</v>
      </c>
      <c r="X9" s="25">
        <v>1</v>
      </c>
      <c r="Y9" s="25">
        <v>1</v>
      </c>
      <c r="Z9" s="25">
        <v>1</v>
      </c>
      <c r="AA9" s="25">
        <v>1</v>
      </c>
      <c r="AC9" s="154" t="str">
        <v>M2</v>
      </c>
      <c r="AD9" s="133">
        <v>3</v>
      </c>
      <c r="AE9" s="133">
        <v>13</v>
      </c>
      <c r="AF9" s="133">
        <v>0</v>
      </c>
      <c r="AG9" s="133">
        <v>3</v>
      </c>
      <c r="AH9" s="133">
        <v>8</v>
      </c>
      <c r="AI9" s="5"/>
      <c r="AJ9" s="154" t="str">
        <v>M2</v>
      </c>
      <c r="AK9" s="133">
        <v>3</v>
      </c>
      <c r="AL9" s="133">
        <v>13</v>
      </c>
      <c r="AM9" s="133">
        <v>0</v>
      </c>
      <c r="AN9" s="133">
        <v>3</v>
      </c>
      <c r="AO9" s="133">
        <v>8</v>
      </c>
    </row>
    <row r="10" spans="1:41" ht="15.9" customHeight="1" x14ac:dyDescent="0.3">
      <c r="A10" s="133" t="str">
        <v>M5</v>
      </c>
      <c r="B10" s="112" t="str">
        <v>M5</v>
      </c>
      <c r="C10" s="133">
        <f t="shared" si="0"/>
        <v>42</v>
      </c>
      <c r="D10" s="133">
        <f t="shared" si="0"/>
        <v>25</v>
      </c>
      <c r="E10" s="133">
        <f t="shared" si="0"/>
        <v>0</v>
      </c>
      <c r="F10" s="133">
        <f t="shared" si="0"/>
        <v>34</v>
      </c>
      <c r="G10" s="133">
        <f t="shared" si="0"/>
        <v>34</v>
      </c>
      <c r="H10" s="112">
        <v>6</v>
      </c>
      <c r="I10" s="87"/>
      <c r="J10" s="25">
        <v>6</v>
      </c>
      <c r="K10" s="16" t="s">
        <v>37</v>
      </c>
      <c r="L10" s="16" t="s">
        <v>97</v>
      </c>
      <c r="M10" s="16" t="s">
        <v>112</v>
      </c>
      <c r="N10" s="16" t="s">
        <v>37</v>
      </c>
      <c r="O10" s="16" t="s">
        <v>36</v>
      </c>
      <c r="Q10" s="9">
        <v>7</v>
      </c>
      <c r="R10" s="9">
        <v>19</v>
      </c>
      <c r="S10" s="9">
        <v>17</v>
      </c>
      <c r="T10" s="9">
        <v>7</v>
      </c>
      <c r="U10" s="9">
        <v>10</v>
      </c>
      <c r="W10" s="25">
        <v>1</v>
      </c>
      <c r="X10" s="25">
        <v>1</v>
      </c>
      <c r="Y10" s="25">
        <v>1</v>
      </c>
      <c r="Z10" s="25">
        <v>1</v>
      </c>
      <c r="AA10" s="25">
        <v>1</v>
      </c>
      <c r="AC10" s="154" t="str">
        <v>M3</v>
      </c>
      <c r="AD10" s="133">
        <v>7</v>
      </c>
      <c r="AE10" s="133">
        <v>14</v>
      </c>
      <c r="AF10" s="133">
        <v>0</v>
      </c>
      <c r="AG10" s="133">
        <v>7</v>
      </c>
      <c r="AH10" s="133">
        <v>14</v>
      </c>
      <c r="AI10" s="5"/>
      <c r="AJ10" s="154" t="str">
        <v>M3</v>
      </c>
      <c r="AK10" s="133">
        <v>7</v>
      </c>
      <c r="AL10" s="133">
        <v>14</v>
      </c>
      <c r="AM10" s="133">
        <v>0</v>
      </c>
      <c r="AN10" s="133">
        <v>7</v>
      </c>
      <c r="AO10" s="133">
        <v>14</v>
      </c>
    </row>
    <row r="11" spans="1:41" ht="15.9" customHeight="1" x14ac:dyDescent="0.3">
      <c r="A11" s="133" t="str">
        <v>A</v>
      </c>
      <c r="B11" s="112" t="str">
        <v>A</v>
      </c>
      <c r="C11" s="133">
        <f t="shared" si="0"/>
        <v>42</v>
      </c>
      <c r="D11" s="133">
        <f t="shared" si="0"/>
        <v>29</v>
      </c>
      <c r="E11" s="133">
        <f t="shared" si="0"/>
        <v>0</v>
      </c>
      <c r="F11" s="133">
        <f t="shared" si="0"/>
        <v>33</v>
      </c>
      <c r="G11" s="133">
        <f t="shared" si="0"/>
        <v>33</v>
      </c>
      <c r="H11" s="112">
        <v>7</v>
      </c>
      <c r="I11" s="87"/>
      <c r="J11" s="9">
        <v>7</v>
      </c>
      <c r="K11" s="16" t="s">
        <v>19</v>
      </c>
      <c r="L11" s="16" t="s">
        <v>19</v>
      </c>
      <c r="M11" s="16" t="s">
        <v>126</v>
      </c>
      <c r="N11" s="16" t="s">
        <v>125</v>
      </c>
      <c r="O11" s="16" t="s">
        <v>37</v>
      </c>
      <c r="Q11" s="9">
        <v>5</v>
      </c>
      <c r="R11" s="9">
        <v>5</v>
      </c>
      <c r="S11" s="9">
        <v>15</v>
      </c>
      <c r="T11" s="9">
        <v>6</v>
      </c>
      <c r="U11" s="9">
        <v>7</v>
      </c>
      <c r="W11" s="25">
        <v>1</v>
      </c>
      <c r="X11" s="25">
        <v>1</v>
      </c>
      <c r="Y11" s="25">
        <v>1</v>
      </c>
      <c r="Z11" s="25">
        <v>1</v>
      </c>
      <c r="AA11" s="25">
        <v>1</v>
      </c>
      <c r="AC11" s="154" t="str">
        <v>M4</v>
      </c>
      <c r="AD11" s="133">
        <v>42</v>
      </c>
      <c r="AE11" s="133">
        <v>25</v>
      </c>
      <c r="AF11" s="133">
        <v>0</v>
      </c>
      <c r="AG11" s="133">
        <v>33</v>
      </c>
      <c r="AH11" s="133">
        <v>34</v>
      </c>
      <c r="AI11" s="5"/>
      <c r="AJ11" s="154" t="str">
        <v>M4</v>
      </c>
      <c r="AK11" s="133">
        <v>42</v>
      </c>
      <c r="AL11" s="133">
        <v>25</v>
      </c>
      <c r="AM11" s="133">
        <v>0</v>
      </c>
      <c r="AN11" s="133">
        <v>33</v>
      </c>
      <c r="AO11" s="133">
        <v>34</v>
      </c>
    </row>
    <row r="12" spans="1:41" ht="15.9" customHeight="1" x14ac:dyDescent="0.3">
      <c r="A12" s="133" t="str">
        <v>K</v>
      </c>
      <c r="B12" s="112" t="str">
        <v>K</v>
      </c>
      <c r="C12" s="133">
        <f t="shared" si="0"/>
        <v>43</v>
      </c>
      <c r="D12" s="133">
        <f t="shared" si="0"/>
        <v>26</v>
      </c>
      <c r="E12" s="133">
        <f t="shared" si="0"/>
        <v>0</v>
      </c>
      <c r="F12" s="133">
        <f t="shared" si="0"/>
        <v>34</v>
      </c>
      <c r="G12" s="133">
        <f t="shared" si="0"/>
        <v>33</v>
      </c>
      <c r="H12" s="112">
        <v>8</v>
      </c>
      <c r="I12" s="87"/>
      <c r="J12" s="25">
        <v>8</v>
      </c>
      <c r="K12" s="16" t="s">
        <v>125</v>
      </c>
      <c r="L12" s="16" t="s">
        <v>36</v>
      </c>
      <c r="M12" s="16" t="s">
        <v>90</v>
      </c>
      <c r="N12" s="16" t="s">
        <v>36</v>
      </c>
      <c r="O12" s="16" t="s">
        <v>18</v>
      </c>
      <c r="Q12" s="9">
        <v>6</v>
      </c>
      <c r="R12" s="9">
        <v>10</v>
      </c>
      <c r="S12" s="9">
        <v>13</v>
      </c>
      <c r="T12" s="9">
        <v>10</v>
      </c>
      <c r="U12" s="9">
        <v>4</v>
      </c>
      <c r="W12" s="25">
        <v>1</v>
      </c>
      <c r="X12" s="25">
        <v>1</v>
      </c>
      <c r="Y12" s="25">
        <v>1</v>
      </c>
      <c r="Z12" s="25">
        <v>1</v>
      </c>
      <c r="AA12" s="25">
        <v>1</v>
      </c>
      <c r="AC12" s="154" t="str">
        <v>M5</v>
      </c>
      <c r="AD12" s="133">
        <v>42</v>
      </c>
      <c r="AE12" s="133">
        <v>25</v>
      </c>
      <c r="AF12" s="133">
        <v>0</v>
      </c>
      <c r="AG12" s="133">
        <v>34</v>
      </c>
      <c r="AH12" s="133">
        <v>34</v>
      </c>
      <c r="AI12" s="5"/>
      <c r="AJ12" s="154" t="str">
        <v>M5</v>
      </c>
      <c r="AK12" s="133">
        <v>42</v>
      </c>
      <c r="AL12" s="133">
        <v>25</v>
      </c>
      <c r="AM12" s="133">
        <v>0</v>
      </c>
      <c r="AN12" s="133">
        <v>34</v>
      </c>
      <c r="AO12" s="133">
        <v>34</v>
      </c>
    </row>
    <row r="13" spans="1:41" ht="15.9" customHeight="1" x14ac:dyDescent="0.3">
      <c r="A13" s="133" t="str">
        <v>Q</v>
      </c>
      <c r="B13" s="112" t="str">
        <v>Q</v>
      </c>
      <c r="C13" s="133">
        <f t="shared" si="0"/>
        <v>7</v>
      </c>
      <c r="D13" s="133">
        <f t="shared" si="0"/>
        <v>13</v>
      </c>
      <c r="E13" s="133">
        <f t="shared" si="0"/>
        <v>0</v>
      </c>
      <c r="F13" s="133">
        <f t="shared" si="0"/>
        <v>6</v>
      </c>
      <c r="G13" s="133">
        <f t="shared" si="0"/>
        <v>13</v>
      </c>
      <c r="H13" s="112">
        <v>9</v>
      </c>
      <c r="I13" s="87"/>
      <c r="J13" s="9">
        <v>9</v>
      </c>
      <c r="K13" s="16" t="s">
        <v>21</v>
      </c>
      <c r="L13" s="16" t="s">
        <v>92</v>
      </c>
      <c r="M13" s="16" t="s">
        <v>92</v>
      </c>
      <c r="N13" s="16" t="s">
        <v>125</v>
      </c>
      <c r="O13" s="16" t="s">
        <v>19</v>
      </c>
      <c r="Q13" s="9">
        <v>2</v>
      </c>
      <c r="R13" s="9">
        <v>16</v>
      </c>
      <c r="S13" s="9">
        <v>16</v>
      </c>
      <c r="T13" s="9">
        <v>6</v>
      </c>
      <c r="U13" s="9">
        <v>5</v>
      </c>
      <c r="W13" s="25">
        <v>1</v>
      </c>
      <c r="X13" s="25">
        <v>1</v>
      </c>
      <c r="Y13" s="25">
        <v>1</v>
      </c>
      <c r="Z13" s="25">
        <v>1</v>
      </c>
      <c r="AA13" s="25">
        <v>1</v>
      </c>
      <c r="AC13" s="154" t="str">
        <v>A</v>
      </c>
      <c r="AD13" s="133">
        <v>42</v>
      </c>
      <c r="AE13" s="133">
        <v>29</v>
      </c>
      <c r="AF13" s="133">
        <v>0</v>
      </c>
      <c r="AG13" s="133">
        <v>33</v>
      </c>
      <c r="AH13" s="133">
        <v>33</v>
      </c>
      <c r="AI13" s="5"/>
      <c r="AJ13" s="154" t="str">
        <v>A</v>
      </c>
      <c r="AK13" s="133">
        <v>42</v>
      </c>
      <c r="AL13" s="133">
        <v>29</v>
      </c>
      <c r="AM13" s="133">
        <v>0</v>
      </c>
      <c r="AN13" s="133">
        <v>33</v>
      </c>
      <c r="AO13" s="133">
        <v>33</v>
      </c>
    </row>
    <row r="14" spans="1:41" ht="15.9" customHeight="1" x14ac:dyDescent="0.3">
      <c r="A14" s="133" t="str">
        <v>J</v>
      </c>
      <c r="B14" s="112" t="str">
        <v>J</v>
      </c>
      <c r="C14" s="133">
        <f t="shared" si="0"/>
        <v>6</v>
      </c>
      <c r="D14" s="133">
        <f t="shared" si="0"/>
        <v>8</v>
      </c>
      <c r="E14" s="133">
        <f t="shared" si="0"/>
        <v>0</v>
      </c>
      <c r="F14" s="133">
        <f t="shared" si="0"/>
        <v>7</v>
      </c>
      <c r="G14" s="133">
        <f t="shared" si="0"/>
        <v>14</v>
      </c>
      <c r="H14" s="112">
        <v>10</v>
      </c>
      <c r="I14" s="87"/>
      <c r="J14" s="25">
        <v>10</v>
      </c>
      <c r="K14" s="16" t="s">
        <v>19</v>
      </c>
      <c r="L14" s="16" t="s">
        <v>20</v>
      </c>
      <c r="M14" s="16" t="s">
        <v>112</v>
      </c>
      <c r="N14" s="16" t="s">
        <v>19</v>
      </c>
      <c r="O14" s="16" t="s">
        <v>36</v>
      </c>
      <c r="Q14" s="9">
        <v>5</v>
      </c>
      <c r="R14" s="9">
        <v>1</v>
      </c>
      <c r="S14" s="9">
        <v>17</v>
      </c>
      <c r="T14" s="9">
        <v>5</v>
      </c>
      <c r="U14" s="9">
        <v>10</v>
      </c>
      <c r="W14" s="25">
        <v>1</v>
      </c>
      <c r="X14" s="25">
        <v>1</v>
      </c>
      <c r="Y14" s="25">
        <v>1</v>
      </c>
      <c r="Z14" s="25">
        <v>1</v>
      </c>
      <c r="AA14" s="25">
        <v>1</v>
      </c>
      <c r="AC14" s="154" t="str">
        <v>K</v>
      </c>
      <c r="AD14" s="133">
        <v>43</v>
      </c>
      <c r="AE14" s="133">
        <v>26</v>
      </c>
      <c r="AF14" s="133">
        <v>0</v>
      </c>
      <c r="AG14" s="133">
        <v>34</v>
      </c>
      <c r="AH14" s="133">
        <v>33</v>
      </c>
      <c r="AI14" s="5"/>
      <c r="AJ14" s="154" t="str">
        <v>K</v>
      </c>
      <c r="AK14" s="133">
        <v>43</v>
      </c>
      <c r="AL14" s="133">
        <v>26</v>
      </c>
      <c r="AM14" s="133">
        <v>0</v>
      </c>
      <c r="AN14" s="133">
        <v>34</v>
      </c>
      <c r="AO14" s="133">
        <v>33</v>
      </c>
    </row>
    <row r="15" spans="1:41" ht="15.9" customHeight="1" x14ac:dyDescent="0.3">
      <c r="A15" s="29" t="str">
        <v>G1</v>
      </c>
      <c r="B15" s="8" t="str">
        <v>Gold M1</v>
      </c>
      <c r="C15" s="99">
        <f t="shared" si="0"/>
        <v>0</v>
      </c>
      <c r="D15" s="99">
        <f t="shared" si="0"/>
        <v>2</v>
      </c>
      <c r="E15" s="99">
        <f t="shared" si="0"/>
        <v>3</v>
      </c>
      <c r="F15" s="99">
        <f t="shared" si="0"/>
        <v>1</v>
      </c>
      <c r="G15" s="99">
        <f t="shared" si="0"/>
        <v>0</v>
      </c>
      <c r="H15" s="8">
        <v>11</v>
      </c>
      <c r="I15" s="87"/>
      <c r="J15" s="9">
        <v>11</v>
      </c>
      <c r="K15" s="16" t="s">
        <v>125</v>
      </c>
      <c r="L15" s="16" t="s">
        <v>22</v>
      </c>
      <c r="M15" s="16" t="s">
        <v>92</v>
      </c>
      <c r="N15" s="16" t="s">
        <v>20</v>
      </c>
      <c r="O15" s="16" t="s">
        <v>19</v>
      </c>
      <c r="Q15" s="9">
        <v>6</v>
      </c>
      <c r="R15" s="9">
        <v>3</v>
      </c>
      <c r="S15" s="9">
        <v>16</v>
      </c>
      <c r="T15" s="9">
        <v>1</v>
      </c>
      <c r="U15" s="9">
        <v>5</v>
      </c>
      <c r="W15" s="25">
        <v>1</v>
      </c>
      <c r="X15" s="25">
        <v>1</v>
      </c>
      <c r="Y15" s="25">
        <v>1</v>
      </c>
      <c r="Z15" s="25">
        <v>1</v>
      </c>
      <c r="AA15" s="25">
        <v>1</v>
      </c>
      <c r="AC15" s="154" t="str">
        <v>Q</v>
      </c>
      <c r="AD15" s="133">
        <v>7</v>
      </c>
      <c r="AE15" s="133">
        <v>13</v>
      </c>
      <c r="AF15" s="133">
        <v>0</v>
      </c>
      <c r="AG15" s="133">
        <v>6</v>
      </c>
      <c r="AH15" s="133">
        <v>13</v>
      </c>
      <c r="AI15" s="5"/>
      <c r="AJ15" s="154" t="str">
        <v>Q</v>
      </c>
      <c r="AK15" s="133">
        <v>7</v>
      </c>
      <c r="AL15" s="133">
        <v>13</v>
      </c>
      <c r="AM15" s="133">
        <v>0</v>
      </c>
      <c r="AN15" s="133">
        <v>6</v>
      </c>
      <c r="AO15" s="133">
        <v>13</v>
      </c>
    </row>
    <row r="16" spans="1:41" ht="15.9" customHeight="1" x14ac:dyDescent="0.3">
      <c r="A16" s="29" t="str">
        <v>G2</v>
      </c>
      <c r="B16" s="8" t="str">
        <v>Gold M2</v>
      </c>
      <c r="C16" s="99">
        <f t="shared" si="0"/>
        <v>0</v>
      </c>
      <c r="D16" s="99">
        <f t="shared" si="0"/>
        <v>2</v>
      </c>
      <c r="E16" s="99">
        <f t="shared" si="0"/>
        <v>6</v>
      </c>
      <c r="F16" s="99">
        <f t="shared" si="0"/>
        <v>1</v>
      </c>
      <c r="G16" s="99">
        <f t="shared" si="0"/>
        <v>0</v>
      </c>
      <c r="H16" s="8">
        <v>12</v>
      </c>
      <c r="I16" s="87"/>
      <c r="J16" s="25">
        <v>12</v>
      </c>
      <c r="K16" s="16" t="s">
        <v>35</v>
      </c>
      <c r="L16" s="16" t="s">
        <v>125</v>
      </c>
      <c r="M16" s="16" t="s">
        <v>112</v>
      </c>
      <c r="N16" s="16" t="s">
        <v>126</v>
      </c>
      <c r="O16" s="16" t="s">
        <v>34</v>
      </c>
      <c r="Q16" s="9">
        <v>8</v>
      </c>
      <c r="R16" s="9">
        <v>6</v>
      </c>
      <c r="S16" s="9">
        <v>17</v>
      </c>
      <c r="T16" s="9">
        <v>15</v>
      </c>
      <c r="U16" s="9">
        <v>9</v>
      </c>
      <c r="W16" s="25">
        <v>1</v>
      </c>
      <c r="X16" s="25">
        <v>1</v>
      </c>
      <c r="Y16" s="25">
        <v>1</v>
      </c>
      <c r="Z16" s="25">
        <v>1</v>
      </c>
      <c r="AA16" s="25">
        <v>1</v>
      </c>
      <c r="AC16" s="154" t="str">
        <v>J</v>
      </c>
      <c r="AD16" s="133">
        <v>6</v>
      </c>
      <c r="AE16" s="133">
        <v>8</v>
      </c>
      <c r="AF16" s="133">
        <v>0</v>
      </c>
      <c r="AG16" s="133">
        <v>7</v>
      </c>
      <c r="AH16" s="133">
        <v>14</v>
      </c>
      <c r="AI16" s="5"/>
      <c r="AJ16" s="154" t="str">
        <v>J</v>
      </c>
      <c r="AK16" s="133">
        <v>6</v>
      </c>
      <c r="AL16" s="133">
        <v>8</v>
      </c>
      <c r="AM16" s="133">
        <v>0</v>
      </c>
      <c r="AN16" s="133">
        <v>7</v>
      </c>
      <c r="AO16" s="133">
        <v>14</v>
      </c>
    </row>
    <row r="17" spans="1:41" ht="15.9" customHeight="1" x14ac:dyDescent="0.3">
      <c r="A17" s="29" t="str">
        <v>G3</v>
      </c>
      <c r="B17" s="8" t="str">
        <v>Gold M3</v>
      </c>
      <c r="C17" s="99">
        <f t="shared" si="0"/>
        <v>0</v>
      </c>
      <c r="D17" s="99">
        <f t="shared" si="0"/>
        <v>2</v>
      </c>
      <c r="E17" s="99">
        <f t="shared" si="0"/>
        <v>8</v>
      </c>
      <c r="F17" s="99">
        <f t="shared" si="0"/>
        <v>2</v>
      </c>
      <c r="G17" s="99">
        <f t="shared" si="0"/>
        <v>0</v>
      </c>
      <c r="H17" s="8">
        <v>13</v>
      </c>
      <c r="I17" s="87"/>
      <c r="J17" s="9">
        <v>13</v>
      </c>
      <c r="K17" s="16" t="s">
        <v>37</v>
      </c>
      <c r="L17" s="16" t="s">
        <v>35</v>
      </c>
      <c r="M17" s="16" t="s">
        <v>126</v>
      </c>
      <c r="N17" s="16" t="s">
        <v>37</v>
      </c>
      <c r="O17" s="16" t="s">
        <v>19</v>
      </c>
      <c r="Q17" s="9">
        <v>7</v>
      </c>
      <c r="R17" s="9">
        <v>8</v>
      </c>
      <c r="S17" s="9">
        <v>15</v>
      </c>
      <c r="T17" s="9">
        <v>7</v>
      </c>
      <c r="U17" s="9">
        <v>5</v>
      </c>
      <c r="W17" s="25">
        <v>1</v>
      </c>
      <c r="X17" s="25">
        <v>1</v>
      </c>
      <c r="Y17" s="25">
        <v>1</v>
      </c>
      <c r="Z17" s="25">
        <v>1</v>
      </c>
      <c r="AA17" s="25">
        <v>1</v>
      </c>
      <c r="AC17" s="138" t="str">
        <v>G1</v>
      </c>
      <c r="AD17" s="99">
        <v>0</v>
      </c>
      <c r="AE17" s="99">
        <v>3</v>
      </c>
      <c r="AF17" s="99">
        <v>3</v>
      </c>
      <c r="AG17" s="99">
        <v>2</v>
      </c>
      <c r="AH17" s="99">
        <v>0</v>
      </c>
      <c r="AI17" s="5"/>
      <c r="AJ17" s="138" t="str">
        <v>G1</v>
      </c>
      <c r="AK17" s="99">
        <v>0</v>
      </c>
      <c r="AL17" s="99">
        <v>3</v>
      </c>
      <c r="AM17" s="99">
        <v>3</v>
      </c>
      <c r="AN17" s="99">
        <v>2</v>
      </c>
      <c r="AO17" s="99">
        <v>0</v>
      </c>
    </row>
    <row r="18" spans="1:41" ht="15.9" customHeight="1" x14ac:dyDescent="0.3">
      <c r="A18" s="29" t="str">
        <v>G4</v>
      </c>
      <c r="B18" s="8" t="str">
        <v>Gold M4</v>
      </c>
      <c r="C18" s="99">
        <f t="shared" si="0"/>
        <v>0</v>
      </c>
      <c r="D18" s="99">
        <f t="shared" si="0"/>
        <v>5</v>
      </c>
      <c r="E18" s="99">
        <f t="shared" si="0"/>
        <v>42</v>
      </c>
      <c r="F18" s="99">
        <f t="shared" si="0"/>
        <v>7</v>
      </c>
      <c r="G18" s="99">
        <f t="shared" si="0"/>
        <v>0</v>
      </c>
      <c r="H18" s="8">
        <v>14</v>
      </c>
      <c r="I18" s="87"/>
      <c r="J18" s="25">
        <v>14</v>
      </c>
      <c r="K18" s="16" t="s">
        <v>34</v>
      </c>
      <c r="L18" s="16" t="s">
        <v>22</v>
      </c>
      <c r="M18" s="16" t="s">
        <v>91</v>
      </c>
      <c r="N18" s="16" t="s">
        <v>126</v>
      </c>
      <c r="O18" s="16" t="s">
        <v>125</v>
      </c>
      <c r="Q18" s="9">
        <v>9</v>
      </c>
      <c r="R18" s="9">
        <v>3</v>
      </c>
      <c r="S18" s="9">
        <v>14</v>
      </c>
      <c r="T18" s="9">
        <v>15</v>
      </c>
      <c r="U18" s="9">
        <v>6</v>
      </c>
      <c r="W18" s="25">
        <v>1</v>
      </c>
      <c r="X18" s="25">
        <v>1</v>
      </c>
      <c r="Y18" s="25">
        <v>1</v>
      </c>
      <c r="Z18" s="25">
        <v>1</v>
      </c>
      <c r="AA18" s="25">
        <v>1</v>
      </c>
      <c r="AC18" s="138" t="str">
        <v>G2</v>
      </c>
      <c r="AD18" s="99">
        <v>0</v>
      </c>
      <c r="AE18" s="99">
        <v>3</v>
      </c>
      <c r="AF18" s="99">
        <v>1</v>
      </c>
      <c r="AG18" s="99">
        <v>2</v>
      </c>
      <c r="AH18" s="99">
        <v>0</v>
      </c>
      <c r="AI18" s="5"/>
      <c r="AJ18" s="138" t="str">
        <v>G2</v>
      </c>
      <c r="AK18" s="99">
        <v>0</v>
      </c>
      <c r="AL18" s="99">
        <v>3</v>
      </c>
      <c r="AM18" s="99">
        <v>1</v>
      </c>
      <c r="AN18" s="99">
        <v>2</v>
      </c>
      <c r="AO18" s="99">
        <v>0</v>
      </c>
    </row>
    <row r="19" spans="1:41" ht="15.9" customHeight="1" x14ac:dyDescent="0.3">
      <c r="A19" s="29" t="str">
        <v>G5</v>
      </c>
      <c r="B19" s="8" t="str">
        <v>Gold M5</v>
      </c>
      <c r="C19" s="99">
        <f t="shared" si="0"/>
        <v>0</v>
      </c>
      <c r="D19" s="99">
        <f t="shared" si="0"/>
        <v>5</v>
      </c>
      <c r="E19" s="99">
        <f t="shared" si="0"/>
        <v>42</v>
      </c>
      <c r="F19" s="99">
        <f t="shared" si="0"/>
        <v>6</v>
      </c>
      <c r="G19" s="99">
        <f t="shared" si="0"/>
        <v>0</v>
      </c>
      <c r="H19" s="8">
        <v>15</v>
      </c>
      <c r="I19" s="87"/>
      <c r="J19" s="9">
        <v>15</v>
      </c>
      <c r="K19" s="16" t="s">
        <v>37</v>
      </c>
      <c r="L19" s="16" t="s">
        <v>112</v>
      </c>
      <c r="M19" s="16" t="s">
        <v>112</v>
      </c>
      <c r="N19" s="16" t="s">
        <v>89</v>
      </c>
      <c r="O19" s="16" t="s">
        <v>34</v>
      </c>
      <c r="Q19" s="9">
        <v>7</v>
      </c>
      <c r="R19" s="9">
        <v>17</v>
      </c>
      <c r="S19" s="9">
        <v>17</v>
      </c>
      <c r="T19" s="9">
        <v>12</v>
      </c>
      <c r="U19" s="9">
        <v>9</v>
      </c>
      <c r="W19" s="25">
        <v>1</v>
      </c>
      <c r="X19" s="25">
        <v>1</v>
      </c>
      <c r="Y19" s="25">
        <v>1</v>
      </c>
      <c r="Z19" s="25">
        <v>1</v>
      </c>
      <c r="AA19" s="25">
        <v>1</v>
      </c>
      <c r="AC19" s="138" t="str">
        <v>G3</v>
      </c>
      <c r="AD19" s="99">
        <v>0</v>
      </c>
      <c r="AE19" s="99">
        <v>3</v>
      </c>
      <c r="AF19" s="99">
        <v>8</v>
      </c>
      <c r="AG19" s="99">
        <v>3</v>
      </c>
      <c r="AH19" s="99">
        <v>0</v>
      </c>
      <c r="AI19" s="5"/>
      <c r="AJ19" s="138" t="str">
        <v>G3</v>
      </c>
      <c r="AK19" s="99">
        <v>0</v>
      </c>
      <c r="AL19" s="99">
        <v>3</v>
      </c>
      <c r="AM19" s="99">
        <v>8</v>
      </c>
      <c r="AN19" s="99">
        <v>3</v>
      </c>
      <c r="AO19" s="99">
        <v>0</v>
      </c>
    </row>
    <row r="20" spans="1:41" ht="15.9" customHeight="1" x14ac:dyDescent="0.3">
      <c r="A20" s="29" t="str">
        <v>GA</v>
      </c>
      <c r="B20" s="8" t="str">
        <v>Gold A</v>
      </c>
      <c r="C20" s="99">
        <f t="shared" si="0"/>
        <v>0</v>
      </c>
      <c r="D20" s="99">
        <f t="shared" si="0"/>
        <v>7</v>
      </c>
      <c r="E20" s="99">
        <f t="shared" si="0"/>
        <v>42</v>
      </c>
      <c r="F20" s="99">
        <f t="shared" si="0"/>
        <v>6</v>
      </c>
      <c r="G20" s="99">
        <f t="shared" si="0"/>
        <v>0</v>
      </c>
      <c r="H20" s="8">
        <v>16</v>
      </c>
      <c r="I20" s="87"/>
      <c r="J20" s="25">
        <v>16</v>
      </c>
      <c r="K20" s="16" t="s">
        <v>19</v>
      </c>
      <c r="L20" s="16" t="s">
        <v>18</v>
      </c>
      <c r="M20" s="16" t="s">
        <v>92</v>
      </c>
      <c r="N20" s="16" t="s">
        <v>125</v>
      </c>
      <c r="O20" s="16" t="s">
        <v>35</v>
      </c>
      <c r="Q20" s="9">
        <v>5</v>
      </c>
      <c r="R20" s="9">
        <v>4</v>
      </c>
      <c r="S20" s="9">
        <v>16</v>
      </c>
      <c r="T20" s="9">
        <v>6</v>
      </c>
      <c r="U20" s="9">
        <v>8</v>
      </c>
      <c r="W20" s="25">
        <v>1</v>
      </c>
      <c r="X20" s="25">
        <v>1</v>
      </c>
      <c r="Y20" s="25">
        <v>1</v>
      </c>
      <c r="Z20" s="25">
        <v>1</v>
      </c>
      <c r="AA20" s="25">
        <v>1</v>
      </c>
      <c r="AC20" s="138" t="str">
        <v>G4</v>
      </c>
      <c r="AD20" s="99">
        <v>0</v>
      </c>
      <c r="AE20" s="99">
        <v>6</v>
      </c>
      <c r="AF20" s="99">
        <v>42</v>
      </c>
      <c r="AG20" s="99">
        <v>8</v>
      </c>
      <c r="AH20" s="99">
        <v>0</v>
      </c>
      <c r="AI20" s="5"/>
      <c r="AJ20" s="138" t="str">
        <v>G4</v>
      </c>
      <c r="AK20" s="99">
        <v>0</v>
      </c>
      <c r="AL20" s="99">
        <v>6</v>
      </c>
      <c r="AM20" s="99">
        <v>42</v>
      </c>
      <c r="AN20" s="99">
        <v>8</v>
      </c>
      <c r="AO20" s="99">
        <v>0</v>
      </c>
    </row>
    <row r="21" spans="1:41" ht="15.9" customHeight="1" x14ac:dyDescent="0.3">
      <c r="A21" s="29" t="str">
        <v>GK</v>
      </c>
      <c r="B21" s="8" t="str">
        <v>Gold K</v>
      </c>
      <c r="C21" s="99">
        <f t="shared" si="0"/>
        <v>0</v>
      </c>
      <c r="D21" s="99">
        <f t="shared" si="0"/>
        <v>5</v>
      </c>
      <c r="E21" s="99">
        <f t="shared" si="0"/>
        <v>42</v>
      </c>
      <c r="F21" s="99">
        <f t="shared" si="0"/>
        <v>6</v>
      </c>
      <c r="G21" s="99">
        <f t="shared" si="0"/>
        <v>0</v>
      </c>
      <c r="H21" s="8">
        <v>17</v>
      </c>
      <c r="I21" s="87"/>
      <c r="J21" s="9">
        <v>17</v>
      </c>
      <c r="K21" s="16" t="s">
        <v>22</v>
      </c>
      <c r="L21" s="16" t="s">
        <v>36</v>
      </c>
      <c r="M21" s="16" t="s">
        <v>112</v>
      </c>
      <c r="N21" s="16" t="s">
        <v>19</v>
      </c>
      <c r="O21" s="16" t="s">
        <v>21</v>
      </c>
      <c r="Q21" s="9">
        <v>3</v>
      </c>
      <c r="R21" s="9">
        <v>10</v>
      </c>
      <c r="S21" s="9">
        <v>17</v>
      </c>
      <c r="T21" s="9">
        <v>5</v>
      </c>
      <c r="U21" s="9">
        <v>2</v>
      </c>
      <c r="W21" s="25">
        <v>1</v>
      </c>
      <c r="X21" s="25">
        <v>1</v>
      </c>
      <c r="Y21" s="25">
        <v>1</v>
      </c>
      <c r="Z21" s="25">
        <v>1</v>
      </c>
      <c r="AA21" s="25">
        <v>1</v>
      </c>
      <c r="AC21" s="138" t="str">
        <v>G5</v>
      </c>
      <c r="AD21" s="99">
        <v>0</v>
      </c>
      <c r="AE21" s="99">
        <v>6</v>
      </c>
      <c r="AF21" s="99">
        <v>42</v>
      </c>
      <c r="AG21" s="99">
        <v>7</v>
      </c>
      <c r="AH21" s="99">
        <v>0</v>
      </c>
      <c r="AI21" s="5"/>
      <c r="AJ21" s="138" t="str">
        <v>G5</v>
      </c>
      <c r="AK21" s="99">
        <v>0</v>
      </c>
      <c r="AL21" s="99">
        <v>6</v>
      </c>
      <c r="AM21" s="99">
        <v>42</v>
      </c>
      <c r="AN21" s="99">
        <v>7</v>
      </c>
      <c r="AO21" s="99">
        <v>0</v>
      </c>
    </row>
    <row r="22" spans="1:41" ht="15.9" customHeight="1" x14ac:dyDescent="0.3">
      <c r="A22" s="29" t="str">
        <v>GQ</v>
      </c>
      <c r="B22" s="8" t="str">
        <v>Gold Q</v>
      </c>
      <c r="C22" s="99">
        <f t="shared" si="0"/>
        <v>0</v>
      </c>
      <c r="D22" s="99">
        <f t="shared" si="0"/>
        <v>2</v>
      </c>
      <c r="E22" s="99">
        <f t="shared" si="0"/>
        <v>6</v>
      </c>
      <c r="F22" s="99">
        <f t="shared" si="0"/>
        <v>1</v>
      </c>
      <c r="G22" s="99">
        <f t="shared" si="0"/>
        <v>0</v>
      </c>
      <c r="H22" s="8">
        <v>18</v>
      </c>
      <c r="I22" s="87"/>
      <c r="J22" s="25">
        <v>18</v>
      </c>
      <c r="K22" s="16" t="s">
        <v>35</v>
      </c>
      <c r="L22" s="16" t="s">
        <v>18</v>
      </c>
      <c r="M22" s="16" t="s">
        <v>91</v>
      </c>
      <c r="N22" s="16" t="s">
        <v>125</v>
      </c>
      <c r="O22" s="16" t="s">
        <v>19</v>
      </c>
      <c r="Q22" s="9">
        <v>8</v>
      </c>
      <c r="R22" s="9">
        <v>4</v>
      </c>
      <c r="S22" s="9">
        <v>14</v>
      </c>
      <c r="T22" s="9">
        <v>6</v>
      </c>
      <c r="U22" s="9">
        <v>5</v>
      </c>
      <c r="W22" s="25">
        <v>1</v>
      </c>
      <c r="X22" s="25">
        <v>1</v>
      </c>
      <c r="Y22" s="25">
        <v>1</v>
      </c>
      <c r="Z22" s="25">
        <v>1</v>
      </c>
      <c r="AA22" s="25">
        <v>1</v>
      </c>
      <c r="AC22" s="138" t="str">
        <v>GA</v>
      </c>
      <c r="AD22" s="99">
        <v>0</v>
      </c>
      <c r="AE22" s="99">
        <v>8</v>
      </c>
      <c r="AF22" s="99">
        <v>42</v>
      </c>
      <c r="AG22" s="99">
        <v>7</v>
      </c>
      <c r="AH22" s="99">
        <v>0</v>
      </c>
      <c r="AI22" s="5"/>
      <c r="AJ22" s="138" t="str">
        <v>GA</v>
      </c>
      <c r="AK22" s="99">
        <v>0</v>
      </c>
      <c r="AL22" s="99">
        <v>8</v>
      </c>
      <c r="AM22" s="99">
        <v>42</v>
      </c>
      <c r="AN22" s="99">
        <v>7</v>
      </c>
      <c r="AO22" s="99">
        <v>0</v>
      </c>
    </row>
    <row r="23" spans="1:41" ht="15.9" customHeight="1" x14ac:dyDescent="0.3">
      <c r="A23" s="29" t="str">
        <v>GJ</v>
      </c>
      <c r="B23" s="8" t="str">
        <v>Gold J</v>
      </c>
      <c r="C23" s="99">
        <f t="shared" si="0"/>
        <v>0</v>
      </c>
      <c r="D23" s="99">
        <f t="shared" si="0"/>
        <v>2</v>
      </c>
      <c r="E23" s="99">
        <f t="shared" si="0"/>
        <v>9</v>
      </c>
      <c r="F23" s="99">
        <f t="shared" si="0"/>
        <v>2</v>
      </c>
      <c r="G23" s="99">
        <f t="shared" si="0"/>
        <v>0</v>
      </c>
      <c r="H23" s="8">
        <v>19</v>
      </c>
      <c r="I23" s="87"/>
      <c r="J23" s="9">
        <v>19</v>
      </c>
      <c r="K23" s="16" t="s">
        <v>19</v>
      </c>
      <c r="L23" s="16" t="s">
        <v>19</v>
      </c>
      <c r="M23" s="16" t="s">
        <v>90</v>
      </c>
      <c r="N23" s="16" t="s">
        <v>19</v>
      </c>
      <c r="O23" s="16" t="s">
        <v>125</v>
      </c>
      <c r="Q23" s="9">
        <v>5</v>
      </c>
      <c r="R23" s="9">
        <v>5</v>
      </c>
      <c r="S23" s="9">
        <v>13</v>
      </c>
      <c r="T23" s="9">
        <v>5</v>
      </c>
      <c r="U23" s="9">
        <v>6</v>
      </c>
      <c r="W23" s="25">
        <v>1</v>
      </c>
      <c r="X23" s="25">
        <v>1</v>
      </c>
      <c r="Y23" s="25">
        <v>1</v>
      </c>
      <c r="Z23" s="25">
        <v>1</v>
      </c>
      <c r="AA23" s="25">
        <v>1</v>
      </c>
      <c r="AC23" s="138" t="str">
        <v>GK</v>
      </c>
      <c r="AD23" s="99">
        <v>0</v>
      </c>
      <c r="AE23" s="99">
        <v>6</v>
      </c>
      <c r="AF23" s="99">
        <v>42</v>
      </c>
      <c r="AG23" s="99">
        <v>7</v>
      </c>
      <c r="AH23" s="99">
        <v>0</v>
      </c>
      <c r="AI23" s="5"/>
      <c r="AJ23" s="138" t="str">
        <v>GK</v>
      </c>
      <c r="AK23" s="99">
        <v>0</v>
      </c>
      <c r="AL23" s="99">
        <v>6</v>
      </c>
      <c r="AM23" s="99">
        <v>42</v>
      </c>
      <c r="AN23" s="99">
        <v>7</v>
      </c>
      <c r="AO23" s="99">
        <v>0</v>
      </c>
    </row>
    <row r="24" spans="1:41" ht="15.9" customHeight="1" x14ac:dyDescent="0.3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87"/>
      <c r="J24" s="25">
        <v>20</v>
      </c>
      <c r="K24" s="16" t="s">
        <v>35</v>
      </c>
      <c r="L24" s="16" t="s">
        <v>37</v>
      </c>
      <c r="M24" s="16" t="s">
        <v>92</v>
      </c>
      <c r="N24" s="16" t="s">
        <v>20</v>
      </c>
      <c r="O24" s="16" t="s">
        <v>36</v>
      </c>
      <c r="Q24" s="9">
        <v>8</v>
      </c>
      <c r="R24" s="9">
        <v>7</v>
      </c>
      <c r="S24" s="9">
        <v>16</v>
      </c>
      <c r="T24" s="9">
        <v>1</v>
      </c>
      <c r="U24" s="9">
        <v>10</v>
      </c>
      <c r="W24" s="25">
        <v>1</v>
      </c>
      <c r="X24" s="25">
        <v>1</v>
      </c>
      <c r="Y24" s="25">
        <v>1</v>
      </c>
      <c r="Z24" s="25">
        <v>1</v>
      </c>
      <c r="AA24" s="25">
        <v>1</v>
      </c>
      <c r="AC24" s="138" t="str">
        <v>GQ</v>
      </c>
      <c r="AD24" s="99">
        <v>0</v>
      </c>
      <c r="AE24" s="99">
        <v>3</v>
      </c>
      <c r="AF24" s="99">
        <v>6</v>
      </c>
      <c r="AG24" s="99">
        <v>2</v>
      </c>
      <c r="AH24" s="99">
        <v>0</v>
      </c>
      <c r="AI24" s="5"/>
      <c r="AJ24" s="138" t="str">
        <v>GQ</v>
      </c>
      <c r="AK24" s="99">
        <v>0</v>
      </c>
      <c r="AL24" s="99">
        <v>3</v>
      </c>
      <c r="AM24" s="99">
        <v>6</v>
      </c>
      <c r="AN24" s="99">
        <v>2</v>
      </c>
      <c r="AO24" s="99">
        <v>0</v>
      </c>
    </row>
    <row r="25" spans="1:41" ht="16.5" customHeight="1" x14ac:dyDescent="0.3">
      <c r="I25" s="87"/>
      <c r="J25" s="9">
        <v>21</v>
      </c>
      <c r="K25" s="16" t="s">
        <v>19</v>
      </c>
      <c r="L25" s="16" t="s">
        <v>21</v>
      </c>
      <c r="M25" s="16" t="s">
        <v>126</v>
      </c>
      <c r="N25" s="16" t="s">
        <v>37</v>
      </c>
      <c r="O25" s="16" t="s">
        <v>37</v>
      </c>
      <c r="Q25" s="9">
        <v>5</v>
      </c>
      <c r="R25" s="9">
        <v>2</v>
      </c>
      <c r="S25" s="9">
        <v>15</v>
      </c>
      <c r="T25" s="9">
        <v>7</v>
      </c>
      <c r="U25" s="9">
        <v>7</v>
      </c>
      <c r="W25" s="25">
        <v>1</v>
      </c>
      <c r="X25" s="25">
        <v>1</v>
      </c>
      <c r="Y25" s="25">
        <v>1</v>
      </c>
      <c r="Z25" s="25">
        <v>1</v>
      </c>
      <c r="AA25" s="25">
        <v>1</v>
      </c>
      <c r="AC25" s="138" t="str">
        <v>GJ</v>
      </c>
      <c r="AD25" s="99">
        <v>0</v>
      </c>
      <c r="AE25" s="99">
        <v>3</v>
      </c>
      <c r="AF25" s="99">
        <v>9</v>
      </c>
      <c r="AG25" s="99">
        <v>3</v>
      </c>
      <c r="AH25" s="99">
        <v>0</v>
      </c>
      <c r="AI25" s="5"/>
      <c r="AJ25" s="138" t="str">
        <v>GJ</v>
      </c>
      <c r="AK25" s="99">
        <v>0</v>
      </c>
      <c r="AL25" s="99">
        <v>3</v>
      </c>
      <c r="AM25" s="99">
        <v>9</v>
      </c>
      <c r="AN25" s="99">
        <v>3</v>
      </c>
      <c r="AO25" s="99">
        <v>0</v>
      </c>
    </row>
    <row r="26" spans="1:41" ht="16.5" customHeight="1" x14ac:dyDescent="0.3">
      <c r="B26" s="5" t="s">
        <v>244</v>
      </c>
      <c r="C26" s="5">
        <f>SUM(C4:C14)/C24</f>
        <v>1</v>
      </c>
      <c r="D26" s="181">
        <f t="shared" ref="D26:G26" si="1">SUM(D4:D14)/D24</f>
        <v>0.84</v>
      </c>
      <c r="E26" s="181">
        <f t="shared" si="1"/>
        <v>0</v>
      </c>
      <c r="F26" s="181">
        <f t="shared" si="1"/>
        <v>0.84</v>
      </c>
      <c r="G26" s="5">
        <f t="shared" si="1"/>
        <v>1</v>
      </c>
      <c r="I26" s="87"/>
      <c r="J26" s="25">
        <v>22</v>
      </c>
      <c r="K26" s="16" t="s">
        <v>125</v>
      </c>
      <c r="L26" s="16" t="s">
        <v>36</v>
      </c>
      <c r="M26" s="16" t="s">
        <v>88</v>
      </c>
      <c r="N26" s="16" t="s">
        <v>125</v>
      </c>
      <c r="O26" s="16" t="s">
        <v>125</v>
      </c>
      <c r="Q26" s="9">
        <v>6</v>
      </c>
      <c r="R26" s="9">
        <v>10</v>
      </c>
      <c r="S26" s="9">
        <v>11</v>
      </c>
      <c r="T26" s="9">
        <v>6</v>
      </c>
      <c r="U26" s="9">
        <v>6</v>
      </c>
      <c r="W26" s="25">
        <v>1</v>
      </c>
      <c r="X26" s="25">
        <v>1</v>
      </c>
      <c r="Y26" s="25">
        <v>1</v>
      </c>
      <c r="Z26" s="25">
        <v>1</v>
      </c>
      <c r="AA26" s="25">
        <v>1</v>
      </c>
      <c r="AD26" s="113">
        <f>SUM(AD6:AD25)</f>
        <v>196</v>
      </c>
      <c r="AE26" s="113">
        <f>SUM(AE6:AE25)</f>
        <v>205</v>
      </c>
      <c r="AF26" s="113">
        <f>SUM(AF6:AF25)</f>
        <v>195</v>
      </c>
      <c r="AG26" s="113">
        <f>SUM(AG6:AG25)</f>
        <v>202</v>
      </c>
      <c r="AH26" s="113">
        <f>SUM(AH6:AH25)</f>
        <v>193</v>
      </c>
      <c r="AI26" s="5"/>
      <c r="AK26" s="113">
        <f>SUM(AK6:AK25)</f>
        <v>196</v>
      </c>
      <c r="AL26" s="113">
        <f>SUM(AL6:AL25)</f>
        <v>205</v>
      </c>
      <c r="AM26" s="113">
        <f>SUM(AM6:AM25)</f>
        <v>195</v>
      </c>
      <c r="AN26" s="113">
        <f>SUM(AN6:AN25)</f>
        <v>202</v>
      </c>
      <c r="AO26" s="113">
        <f>SUM(AO6:AO25)</f>
        <v>193</v>
      </c>
    </row>
    <row r="27" spans="1:41" ht="16.5" customHeight="1" x14ac:dyDescent="0.3">
      <c r="B27" s="5" t="s">
        <v>245</v>
      </c>
      <c r="C27" s="5">
        <f>SUM(C15:C23)/C24</f>
        <v>0</v>
      </c>
      <c r="D27" s="181">
        <f t="shared" ref="D27:G27" si="2">SUM(D15:D23)/D24</f>
        <v>0.16</v>
      </c>
      <c r="E27" s="181">
        <f t="shared" si="2"/>
        <v>1</v>
      </c>
      <c r="F27" s="181">
        <f t="shared" si="2"/>
        <v>0.16</v>
      </c>
      <c r="G27" s="5">
        <f t="shared" si="2"/>
        <v>0</v>
      </c>
      <c r="I27" s="87"/>
      <c r="J27" s="9">
        <v>23</v>
      </c>
      <c r="K27" s="16" t="s">
        <v>19</v>
      </c>
      <c r="L27" s="16" t="s">
        <v>19</v>
      </c>
      <c r="M27" s="16" t="s">
        <v>126</v>
      </c>
      <c r="N27" s="16" t="s">
        <v>35</v>
      </c>
      <c r="O27" s="16" t="s">
        <v>20</v>
      </c>
      <c r="Q27" s="9">
        <v>5</v>
      </c>
      <c r="R27" s="9">
        <v>5</v>
      </c>
      <c r="S27" s="9">
        <v>15</v>
      </c>
      <c r="T27" s="9">
        <v>8</v>
      </c>
      <c r="U27" s="9">
        <v>1</v>
      </c>
      <c r="W27" s="25">
        <v>1</v>
      </c>
      <c r="X27" s="25">
        <v>1</v>
      </c>
      <c r="Y27" s="25">
        <v>1</v>
      </c>
      <c r="Z27" s="25">
        <v>1</v>
      </c>
      <c r="AA27" s="25">
        <v>1</v>
      </c>
      <c r="AH27" s="5"/>
      <c r="AI27" s="5"/>
      <c r="AO27" s="5"/>
    </row>
    <row r="28" spans="1:41" ht="16.5" customHeight="1" x14ac:dyDescent="0.3">
      <c r="I28" s="87"/>
      <c r="J28" s="25">
        <v>24</v>
      </c>
      <c r="K28" s="16" t="s">
        <v>18</v>
      </c>
      <c r="L28" s="16" t="s">
        <v>22</v>
      </c>
      <c r="M28" s="16" t="s">
        <v>91</v>
      </c>
      <c r="N28" s="16" t="s">
        <v>18</v>
      </c>
      <c r="O28" s="16" t="s">
        <v>37</v>
      </c>
      <c r="Q28" s="9">
        <v>4</v>
      </c>
      <c r="R28" s="9">
        <v>3</v>
      </c>
      <c r="S28" s="9">
        <v>14</v>
      </c>
      <c r="T28" s="9">
        <v>4</v>
      </c>
      <c r="U28" s="9">
        <v>7</v>
      </c>
      <c r="W28" s="25">
        <v>1</v>
      </c>
      <c r="X28" s="25">
        <v>1</v>
      </c>
      <c r="Y28" s="25">
        <v>1</v>
      </c>
      <c r="Z28" s="25">
        <v>1</v>
      </c>
      <c r="AA28" s="25">
        <v>1</v>
      </c>
      <c r="AC28" s="27" t="s">
        <v>132</v>
      </c>
      <c r="AH28" s="5"/>
      <c r="AI28" s="5"/>
      <c r="AJ28" s="27" t="s">
        <v>132</v>
      </c>
      <c r="AO28" s="5"/>
    </row>
    <row r="29" spans="1:41" ht="16.5" customHeight="1" x14ac:dyDescent="0.3">
      <c r="I29" s="87"/>
      <c r="J29" s="9">
        <v>25</v>
      </c>
      <c r="K29" s="16" t="s">
        <v>37</v>
      </c>
      <c r="L29" s="16" t="s">
        <v>35</v>
      </c>
      <c r="M29" s="16" t="s">
        <v>126</v>
      </c>
      <c r="N29" s="16" t="s">
        <v>37</v>
      </c>
      <c r="O29" s="16" t="s">
        <v>19</v>
      </c>
      <c r="Q29" s="9">
        <v>7</v>
      </c>
      <c r="R29" s="9">
        <v>8</v>
      </c>
      <c r="S29" s="9">
        <v>15</v>
      </c>
      <c r="T29" s="9">
        <v>7</v>
      </c>
      <c r="U29" s="9">
        <v>5</v>
      </c>
      <c r="W29" s="25">
        <v>1</v>
      </c>
      <c r="X29" s="25">
        <v>1</v>
      </c>
      <c r="Y29" s="25">
        <v>1</v>
      </c>
      <c r="Z29" s="25">
        <v>1</v>
      </c>
      <c r="AA29" s="25">
        <v>1</v>
      </c>
      <c r="AC29" s="135" t="s">
        <v>42</v>
      </c>
      <c r="AD29" s="135" t="s">
        <v>13</v>
      </c>
      <c r="AE29" s="135" t="s">
        <v>14</v>
      </c>
      <c r="AF29" s="135" t="s">
        <v>15</v>
      </c>
      <c r="AG29" s="135" t="s">
        <v>16</v>
      </c>
      <c r="AH29" s="135" t="s">
        <v>17</v>
      </c>
      <c r="AI29" s="5"/>
      <c r="AJ29" s="135" t="s">
        <v>42</v>
      </c>
      <c r="AK29" s="135" t="s">
        <v>13</v>
      </c>
      <c r="AL29" s="135" t="s">
        <v>14</v>
      </c>
      <c r="AM29" s="135" t="s">
        <v>15</v>
      </c>
      <c r="AN29" s="135" t="s">
        <v>16</v>
      </c>
      <c r="AO29" s="135" t="s">
        <v>17</v>
      </c>
    </row>
    <row r="30" spans="1:41" ht="16.5" customHeight="1" x14ac:dyDescent="0.3">
      <c r="I30" s="87"/>
      <c r="J30" s="25">
        <v>26</v>
      </c>
      <c r="K30" s="16" t="s">
        <v>19</v>
      </c>
      <c r="L30" s="16" t="s">
        <v>92</v>
      </c>
      <c r="M30" s="16" t="s">
        <v>92</v>
      </c>
      <c r="N30" s="16" t="s">
        <v>125</v>
      </c>
      <c r="O30" s="16" t="s">
        <v>35</v>
      </c>
      <c r="Q30" s="9">
        <v>5</v>
      </c>
      <c r="R30" s="9">
        <v>16</v>
      </c>
      <c r="S30" s="9">
        <v>16</v>
      </c>
      <c r="T30" s="9">
        <v>6</v>
      </c>
      <c r="U30" s="9">
        <v>8</v>
      </c>
      <c r="W30" s="25">
        <v>1</v>
      </c>
      <c r="X30" s="25">
        <v>1</v>
      </c>
      <c r="Y30" s="25">
        <v>1</v>
      </c>
      <c r="Z30" s="25">
        <v>1</v>
      </c>
      <c r="AA30" s="25">
        <v>1</v>
      </c>
      <c r="AC30" s="138" t="str" cm="1">
        <f t="array" ref="AC30:AC49">$A$4:$A$23</f>
        <v>WW</v>
      </c>
      <c r="AD30" s="139">
        <v>0</v>
      </c>
      <c r="AE30" s="139">
        <v>0</v>
      </c>
      <c r="AF30" s="139">
        <v>0</v>
      </c>
      <c r="AG30" s="139">
        <v>0</v>
      </c>
      <c r="AH30" s="139">
        <v>0</v>
      </c>
      <c r="AI30" s="5"/>
      <c r="AJ30" s="138" t="str" cm="1">
        <f t="array" ref="AJ30:AJ49">$A$4:$A$23</f>
        <v>WW</v>
      </c>
      <c r="AK30" s="139">
        <v>0</v>
      </c>
      <c r="AL30" s="139">
        <v>0</v>
      </c>
      <c r="AM30" s="139">
        <v>0</v>
      </c>
      <c r="AN30" s="139">
        <v>0</v>
      </c>
      <c r="AO30" s="139">
        <v>0</v>
      </c>
    </row>
    <row r="31" spans="1:41" ht="16.5" customHeight="1" x14ac:dyDescent="0.3">
      <c r="I31" s="87"/>
      <c r="J31" s="9">
        <v>27</v>
      </c>
      <c r="K31" s="16" t="s">
        <v>37</v>
      </c>
      <c r="L31" s="16" t="s">
        <v>21</v>
      </c>
      <c r="M31" s="16" t="s">
        <v>91</v>
      </c>
      <c r="N31" s="16" t="s">
        <v>35</v>
      </c>
      <c r="O31" s="16" t="s">
        <v>18</v>
      </c>
      <c r="Q31" s="9">
        <v>7</v>
      </c>
      <c r="R31" s="9">
        <v>2</v>
      </c>
      <c r="S31" s="9">
        <v>14</v>
      </c>
      <c r="T31" s="9">
        <v>8</v>
      </c>
      <c r="U31" s="9">
        <v>4</v>
      </c>
      <c r="W31" s="25">
        <v>1</v>
      </c>
      <c r="X31" s="25">
        <v>1</v>
      </c>
      <c r="Y31" s="25">
        <v>1</v>
      </c>
      <c r="Z31" s="25">
        <v>1</v>
      </c>
      <c r="AA31" s="25">
        <v>1</v>
      </c>
      <c r="AC31" s="138" t="str">
        <v>C1</v>
      </c>
      <c r="AD31" s="138">
        <v>1</v>
      </c>
      <c r="AE31" s="138">
        <v>1</v>
      </c>
      <c r="AF31" s="138">
        <v>0</v>
      </c>
      <c r="AG31" s="138">
        <v>1</v>
      </c>
      <c r="AH31" s="138">
        <v>1</v>
      </c>
      <c r="AI31" s="5"/>
      <c r="AJ31" s="138" t="str">
        <v>C1</v>
      </c>
      <c r="AK31" s="138">
        <v>1</v>
      </c>
      <c r="AL31" s="138">
        <v>1</v>
      </c>
      <c r="AM31" s="138">
        <v>0</v>
      </c>
      <c r="AN31" s="138">
        <v>1</v>
      </c>
      <c r="AO31" s="138">
        <v>1</v>
      </c>
    </row>
    <row r="32" spans="1:41" ht="16.5" customHeight="1" x14ac:dyDescent="0.3">
      <c r="J32" s="25">
        <v>28</v>
      </c>
      <c r="K32" s="16" t="s">
        <v>19</v>
      </c>
      <c r="L32" s="16" t="s">
        <v>37</v>
      </c>
      <c r="M32" s="16" t="s">
        <v>90</v>
      </c>
      <c r="N32" s="16" t="s">
        <v>125</v>
      </c>
      <c r="O32" s="16" t="s">
        <v>37</v>
      </c>
      <c r="Q32" s="9">
        <v>5</v>
      </c>
      <c r="R32" s="9">
        <v>7</v>
      </c>
      <c r="S32" s="9">
        <v>13</v>
      </c>
      <c r="T32" s="9">
        <v>6</v>
      </c>
      <c r="U32" s="9">
        <v>7</v>
      </c>
      <c r="W32" s="25">
        <v>1</v>
      </c>
      <c r="X32" s="25">
        <v>1</v>
      </c>
      <c r="Y32" s="25">
        <v>1</v>
      </c>
      <c r="Z32" s="25">
        <v>1</v>
      </c>
      <c r="AA32" s="25">
        <v>1</v>
      </c>
      <c r="AC32" s="154" t="str">
        <v>M1</v>
      </c>
      <c r="AD32" s="133">
        <v>3</v>
      </c>
      <c r="AE32" s="133">
        <v>10</v>
      </c>
      <c r="AF32" s="133">
        <v>0</v>
      </c>
      <c r="AG32" s="133">
        <v>3</v>
      </c>
      <c r="AH32" s="133">
        <v>9</v>
      </c>
      <c r="AI32" s="5"/>
      <c r="AJ32" s="154" t="str">
        <v>M1</v>
      </c>
      <c r="AK32" s="133">
        <v>3</v>
      </c>
      <c r="AL32" s="133">
        <v>10</v>
      </c>
      <c r="AM32" s="133">
        <v>0</v>
      </c>
      <c r="AN32" s="133">
        <v>3</v>
      </c>
      <c r="AO32" s="133">
        <v>9</v>
      </c>
    </row>
    <row r="33" spans="10:41" ht="16.5" customHeight="1" x14ac:dyDescent="0.3">
      <c r="J33" s="9">
        <v>29</v>
      </c>
      <c r="K33" s="16" t="s">
        <v>125</v>
      </c>
      <c r="L33" s="16" t="s">
        <v>35</v>
      </c>
      <c r="M33" s="16" t="s">
        <v>92</v>
      </c>
      <c r="N33" s="16" t="s">
        <v>95</v>
      </c>
      <c r="O33" s="16" t="s">
        <v>19</v>
      </c>
      <c r="Q33" s="9">
        <v>6</v>
      </c>
      <c r="R33" s="9">
        <v>8</v>
      </c>
      <c r="S33" s="9">
        <v>16</v>
      </c>
      <c r="T33" s="9">
        <v>18</v>
      </c>
      <c r="U33" s="9">
        <v>5</v>
      </c>
      <c r="W33" s="25">
        <v>1</v>
      </c>
      <c r="X33" s="25">
        <v>1</v>
      </c>
      <c r="Y33" s="25">
        <v>1</v>
      </c>
      <c r="Z33" s="25">
        <v>1</v>
      </c>
      <c r="AA33" s="25">
        <v>1</v>
      </c>
      <c r="AC33" s="154" t="str">
        <v>M2</v>
      </c>
      <c r="AD33" s="133">
        <v>3</v>
      </c>
      <c r="AE33" s="133">
        <v>13</v>
      </c>
      <c r="AF33" s="133">
        <v>0</v>
      </c>
      <c r="AG33" s="133">
        <v>3</v>
      </c>
      <c r="AH33" s="133">
        <v>8</v>
      </c>
      <c r="AI33" s="5"/>
      <c r="AJ33" s="154" t="str">
        <v>M2</v>
      </c>
      <c r="AK33" s="133">
        <v>3</v>
      </c>
      <c r="AL33" s="133">
        <v>13</v>
      </c>
      <c r="AM33" s="133">
        <v>0</v>
      </c>
      <c r="AN33" s="133">
        <v>3</v>
      </c>
      <c r="AO33" s="133">
        <v>8</v>
      </c>
    </row>
    <row r="34" spans="10:41" ht="16.5" customHeight="1" x14ac:dyDescent="0.3">
      <c r="J34" s="25">
        <v>30</v>
      </c>
      <c r="K34" s="16" t="s">
        <v>19</v>
      </c>
      <c r="L34" s="16" t="s">
        <v>21</v>
      </c>
      <c r="M34" s="16" t="s">
        <v>91</v>
      </c>
      <c r="N34" s="16" t="s">
        <v>19</v>
      </c>
      <c r="O34" s="16" t="s">
        <v>37</v>
      </c>
      <c r="Q34" s="9">
        <v>5</v>
      </c>
      <c r="R34" s="9">
        <v>2</v>
      </c>
      <c r="S34" s="9">
        <v>14</v>
      </c>
      <c r="T34" s="9">
        <v>5</v>
      </c>
      <c r="U34" s="9">
        <v>7</v>
      </c>
      <c r="W34" s="25">
        <v>1</v>
      </c>
      <c r="X34" s="25">
        <v>1</v>
      </c>
      <c r="Y34" s="25">
        <v>1</v>
      </c>
      <c r="Z34" s="25">
        <v>1</v>
      </c>
      <c r="AA34" s="25">
        <v>1</v>
      </c>
      <c r="AC34" s="154" t="str">
        <v>M3</v>
      </c>
      <c r="AD34" s="133">
        <v>7</v>
      </c>
      <c r="AE34" s="133">
        <v>14</v>
      </c>
      <c r="AF34" s="133">
        <v>0</v>
      </c>
      <c r="AG34" s="133">
        <v>7</v>
      </c>
      <c r="AH34" s="133">
        <v>14</v>
      </c>
      <c r="AI34" s="5"/>
      <c r="AJ34" s="154" t="str">
        <v>M3</v>
      </c>
      <c r="AK34" s="133">
        <v>7</v>
      </c>
      <c r="AL34" s="133">
        <v>14</v>
      </c>
      <c r="AM34" s="133">
        <v>0</v>
      </c>
      <c r="AN34" s="133">
        <v>7</v>
      </c>
      <c r="AO34" s="133">
        <v>14</v>
      </c>
    </row>
    <row r="35" spans="10:41" ht="16.5" customHeight="1" x14ac:dyDescent="0.3">
      <c r="J35" s="9">
        <v>31</v>
      </c>
      <c r="K35" s="16" t="s">
        <v>125</v>
      </c>
      <c r="L35" s="16" t="s">
        <v>92</v>
      </c>
      <c r="M35" s="16" t="s">
        <v>95</v>
      </c>
      <c r="N35" s="16" t="s">
        <v>91</v>
      </c>
      <c r="O35" s="16" t="s">
        <v>22</v>
      </c>
      <c r="Q35" s="9">
        <v>6</v>
      </c>
      <c r="R35" s="9">
        <v>16</v>
      </c>
      <c r="S35" s="9">
        <v>18</v>
      </c>
      <c r="T35" s="9">
        <v>14</v>
      </c>
      <c r="U35" s="9">
        <v>3</v>
      </c>
      <c r="W35" s="25">
        <v>1</v>
      </c>
      <c r="X35" s="25">
        <v>1</v>
      </c>
      <c r="Y35" s="25">
        <v>1</v>
      </c>
      <c r="Z35" s="25">
        <v>1</v>
      </c>
      <c r="AA35" s="25">
        <v>1</v>
      </c>
      <c r="AC35" s="154" t="str">
        <v>M4</v>
      </c>
      <c r="AD35" s="133">
        <v>42</v>
      </c>
      <c r="AE35" s="133">
        <v>25</v>
      </c>
      <c r="AF35" s="133">
        <v>0</v>
      </c>
      <c r="AG35" s="133">
        <v>33</v>
      </c>
      <c r="AH35" s="133">
        <v>34</v>
      </c>
      <c r="AI35" s="5"/>
      <c r="AJ35" s="154" t="str">
        <v>M4</v>
      </c>
      <c r="AK35" s="133">
        <v>42</v>
      </c>
      <c r="AL35" s="133">
        <v>25</v>
      </c>
      <c r="AM35" s="133">
        <v>0</v>
      </c>
      <c r="AN35" s="133">
        <v>33</v>
      </c>
      <c r="AO35" s="133">
        <v>34</v>
      </c>
    </row>
    <row r="36" spans="10:41" ht="16.5" customHeight="1" x14ac:dyDescent="0.3">
      <c r="J36" s="25">
        <v>32</v>
      </c>
      <c r="K36" s="16" t="s">
        <v>20</v>
      </c>
      <c r="L36" s="16" t="s">
        <v>19</v>
      </c>
      <c r="M36" s="16" t="s">
        <v>91</v>
      </c>
      <c r="N36" s="16" t="s">
        <v>34</v>
      </c>
      <c r="O36" s="16" t="s">
        <v>125</v>
      </c>
      <c r="Q36" s="9">
        <v>1</v>
      </c>
      <c r="R36" s="9">
        <v>5</v>
      </c>
      <c r="S36" s="9">
        <v>14</v>
      </c>
      <c r="T36" s="9">
        <v>9</v>
      </c>
      <c r="U36" s="9">
        <v>6</v>
      </c>
      <c r="W36" s="25">
        <v>1</v>
      </c>
      <c r="X36" s="25">
        <v>1</v>
      </c>
      <c r="Y36" s="25">
        <v>1</v>
      </c>
      <c r="Z36" s="25">
        <v>1</v>
      </c>
      <c r="AA36" s="25">
        <v>1</v>
      </c>
      <c r="AC36" s="154" t="str">
        <v>M5</v>
      </c>
      <c r="AD36" s="133">
        <v>42</v>
      </c>
      <c r="AE36" s="133">
        <v>25</v>
      </c>
      <c r="AF36" s="133">
        <v>0</v>
      </c>
      <c r="AG36" s="133">
        <v>34</v>
      </c>
      <c r="AH36" s="133">
        <v>34</v>
      </c>
      <c r="AI36" s="5"/>
      <c r="AJ36" s="154" t="str">
        <v>M5</v>
      </c>
      <c r="AK36" s="133">
        <v>42</v>
      </c>
      <c r="AL36" s="133">
        <v>25</v>
      </c>
      <c r="AM36" s="133">
        <v>0</v>
      </c>
      <c r="AN36" s="133">
        <v>34</v>
      </c>
      <c r="AO36" s="133">
        <v>34</v>
      </c>
    </row>
    <row r="37" spans="10:41" ht="16.5" customHeight="1" x14ac:dyDescent="0.3">
      <c r="J37" s="9">
        <v>33</v>
      </c>
      <c r="K37" s="16" t="s">
        <v>35</v>
      </c>
      <c r="L37" s="16" t="s">
        <v>35</v>
      </c>
      <c r="M37" s="16" t="s">
        <v>112</v>
      </c>
      <c r="N37" s="16" t="s">
        <v>19</v>
      </c>
      <c r="O37" s="16" t="s">
        <v>18</v>
      </c>
      <c r="Q37" s="9">
        <v>8</v>
      </c>
      <c r="R37" s="9">
        <v>8</v>
      </c>
      <c r="S37" s="9">
        <v>17</v>
      </c>
      <c r="T37" s="9">
        <v>5</v>
      </c>
      <c r="U37" s="9">
        <v>4</v>
      </c>
      <c r="W37" s="25">
        <v>1</v>
      </c>
      <c r="X37" s="25">
        <v>1</v>
      </c>
      <c r="Y37" s="25">
        <v>1</v>
      </c>
      <c r="Z37" s="25">
        <v>1</v>
      </c>
      <c r="AA37" s="25">
        <v>1</v>
      </c>
      <c r="AC37" s="154" t="str">
        <v>A</v>
      </c>
      <c r="AD37" s="133">
        <v>42</v>
      </c>
      <c r="AE37" s="133">
        <v>29</v>
      </c>
      <c r="AF37" s="133">
        <v>0</v>
      </c>
      <c r="AG37" s="133">
        <v>33</v>
      </c>
      <c r="AH37" s="133">
        <v>33</v>
      </c>
      <c r="AI37" s="5"/>
      <c r="AJ37" s="154" t="str">
        <v>A</v>
      </c>
      <c r="AK37" s="133">
        <v>42</v>
      </c>
      <c r="AL37" s="133">
        <v>29</v>
      </c>
      <c r="AM37" s="133">
        <v>0</v>
      </c>
      <c r="AN37" s="133">
        <v>33</v>
      </c>
      <c r="AO37" s="133">
        <v>33</v>
      </c>
    </row>
    <row r="38" spans="10:41" ht="16.5" customHeight="1" x14ac:dyDescent="0.3">
      <c r="J38" s="25">
        <v>34</v>
      </c>
      <c r="K38" s="16" t="s">
        <v>19</v>
      </c>
      <c r="L38" s="16" t="s">
        <v>19</v>
      </c>
      <c r="M38" s="16" t="s">
        <v>91</v>
      </c>
      <c r="N38" s="16" t="s">
        <v>88</v>
      </c>
      <c r="O38" s="16" t="s">
        <v>35</v>
      </c>
      <c r="Q38" s="9">
        <v>5</v>
      </c>
      <c r="R38" s="9">
        <v>5</v>
      </c>
      <c r="S38" s="9">
        <v>14</v>
      </c>
      <c r="T38" s="9">
        <v>11</v>
      </c>
      <c r="U38" s="9">
        <v>8</v>
      </c>
      <c r="W38" s="25">
        <v>1</v>
      </c>
      <c r="X38" s="25">
        <v>1</v>
      </c>
      <c r="Y38" s="25">
        <v>1</v>
      </c>
      <c r="Z38" s="25">
        <v>1</v>
      </c>
      <c r="AA38" s="25">
        <v>1</v>
      </c>
      <c r="AC38" s="154" t="str">
        <v>K</v>
      </c>
      <c r="AD38" s="133">
        <v>43</v>
      </c>
      <c r="AE38" s="133">
        <v>26</v>
      </c>
      <c r="AF38" s="133">
        <v>0</v>
      </c>
      <c r="AG38" s="133">
        <v>34</v>
      </c>
      <c r="AH38" s="133">
        <v>33</v>
      </c>
      <c r="AI38" s="5"/>
      <c r="AJ38" s="154" t="str">
        <v>K</v>
      </c>
      <c r="AK38" s="133">
        <v>43</v>
      </c>
      <c r="AL38" s="133">
        <v>26</v>
      </c>
      <c r="AM38" s="133">
        <v>0</v>
      </c>
      <c r="AN38" s="133">
        <v>34</v>
      </c>
      <c r="AO38" s="133">
        <v>33</v>
      </c>
    </row>
    <row r="39" spans="10:41" ht="16.5" customHeight="1" x14ac:dyDescent="0.3">
      <c r="J39" s="9">
        <v>35</v>
      </c>
      <c r="K39" s="16" t="s">
        <v>35</v>
      </c>
      <c r="L39" s="16" t="s">
        <v>37</v>
      </c>
      <c r="M39" s="16" t="s">
        <v>92</v>
      </c>
      <c r="N39" s="16" t="s">
        <v>35</v>
      </c>
      <c r="O39" s="16" t="s">
        <v>21</v>
      </c>
      <c r="Q39" s="9">
        <v>8</v>
      </c>
      <c r="R39" s="9">
        <v>7</v>
      </c>
      <c r="S39" s="9">
        <v>16</v>
      </c>
      <c r="T39" s="9">
        <v>8</v>
      </c>
      <c r="U39" s="9">
        <v>2</v>
      </c>
      <c r="W39" s="25">
        <v>1</v>
      </c>
      <c r="X39" s="25">
        <v>1</v>
      </c>
      <c r="Y39" s="25">
        <v>1</v>
      </c>
      <c r="Z39" s="25">
        <v>1</v>
      </c>
      <c r="AA39" s="25">
        <v>1</v>
      </c>
      <c r="AC39" s="154" t="str">
        <v>Q</v>
      </c>
      <c r="AD39" s="133">
        <v>7</v>
      </c>
      <c r="AE39" s="133">
        <v>13</v>
      </c>
      <c r="AF39" s="133">
        <v>0</v>
      </c>
      <c r="AG39" s="133">
        <v>6</v>
      </c>
      <c r="AH39" s="133">
        <v>13</v>
      </c>
      <c r="AI39" s="5"/>
      <c r="AJ39" s="154" t="str">
        <v>Q</v>
      </c>
      <c r="AK39" s="133">
        <v>7</v>
      </c>
      <c r="AL39" s="133">
        <v>13</v>
      </c>
      <c r="AM39" s="133">
        <v>0</v>
      </c>
      <c r="AN39" s="133">
        <v>6</v>
      </c>
      <c r="AO39" s="133">
        <v>13</v>
      </c>
    </row>
    <row r="40" spans="10:41" ht="16.5" customHeight="1" x14ac:dyDescent="0.3">
      <c r="J40" s="25">
        <v>36</v>
      </c>
      <c r="K40" s="16" t="s">
        <v>37</v>
      </c>
      <c r="L40" s="16" t="s">
        <v>35</v>
      </c>
      <c r="M40" s="16" t="s">
        <v>89</v>
      </c>
      <c r="N40" s="16" t="s">
        <v>125</v>
      </c>
      <c r="O40" s="16" t="s">
        <v>35</v>
      </c>
      <c r="Q40" s="9">
        <v>7</v>
      </c>
      <c r="R40" s="9">
        <v>8</v>
      </c>
      <c r="S40" s="9">
        <v>12</v>
      </c>
      <c r="T40" s="9">
        <v>6</v>
      </c>
      <c r="U40" s="9">
        <v>8</v>
      </c>
      <c r="W40" s="25">
        <v>1</v>
      </c>
      <c r="X40" s="25">
        <v>1</v>
      </c>
      <c r="Y40" s="25">
        <v>1</v>
      </c>
      <c r="Z40" s="25">
        <v>1</v>
      </c>
      <c r="AA40" s="25">
        <v>1</v>
      </c>
      <c r="AC40" s="154" t="str">
        <v>J</v>
      </c>
      <c r="AD40" s="133">
        <v>6</v>
      </c>
      <c r="AE40" s="133">
        <v>8</v>
      </c>
      <c r="AF40" s="133">
        <v>0</v>
      </c>
      <c r="AG40" s="133">
        <v>7</v>
      </c>
      <c r="AH40" s="133">
        <v>14</v>
      </c>
      <c r="AI40" s="5"/>
      <c r="AJ40" s="154" t="str">
        <v>J</v>
      </c>
      <c r="AK40" s="133">
        <v>6</v>
      </c>
      <c r="AL40" s="133">
        <v>8</v>
      </c>
      <c r="AM40" s="133">
        <v>0</v>
      </c>
      <c r="AN40" s="133">
        <v>7</v>
      </c>
      <c r="AO40" s="133">
        <v>14</v>
      </c>
    </row>
    <row r="41" spans="10:41" ht="16.5" customHeight="1" x14ac:dyDescent="0.3">
      <c r="J41" s="9">
        <v>37</v>
      </c>
      <c r="K41" s="16" t="s">
        <v>19</v>
      </c>
      <c r="L41" s="16" t="s">
        <v>22</v>
      </c>
      <c r="M41" s="16" t="s">
        <v>91</v>
      </c>
      <c r="N41" s="16" t="s">
        <v>35</v>
      </c>
      <c r="O41" s="16" t="s">
        <v>19</v>
      </c>
      <c r="Q41" s="9">
        <v>5</v>
      </c>
      <c r="R41" s="9">
        <v>3</v>
      </c>
      <c r="S41" s="9">
        <v>14</v>
      </c>
      <c r="T41" s="9">
        <v>8</v>
      </c>
      <c r="U41" s="9">
        <v>5</v>
      </c>
      <c r="W41" s="25">
        <v>1</v>
      </c>
      <c r="X41" s="25">
        <v>1</v>
      </c>
      <c r="Y41" s="25">
        <v>1</v>
      </c>
      <c r="Z41" s="25">
        <v>1</v>
      </c>
      <c r="AA41" s="25">
        <v>1</v>
      </c>
      <c r="AC41" s="138" t="str">
        <v>G1</v>
      </c>
      <c r="AD41" s="99">
        <v>0</v>
      </c>
      <c r="AE41" s="99">
        <v>3</v>
      </c>
      <c r="AF41" s="99">
        <v>3</v>
      </c>
      <c r="AG41" s="99">
        <v>2</v>
      </c>
      <c r="AH41" s="99">
        <v>0</v>
      </c>
      <c r="AI41" s="5"/>
      <c r="AJ41" s="138" t="str">
        <v>G1</v>
      </c>
      <c r="AK41" s="99">
        <v>0</v>
      </c>
      <c r="AL41" s="99">
        <v>3</v>
      </c>
      <c r="AM41" s="99">
        <v>3</v>
      </c>
      <c r="AN41" s="99">
        <v>2</v>
      </c>
      <c r="AO41" s="99">
        <v>0</v>
      </c>
    </row>
    <row r="42" spans="10:41" ht="16.5" customHeight="1" x14ac:dyDescent="0.3">
      <c r="J42" s="25">
        <v>38</v>
      </c>
      <c r="K42" s="16" t="s">
        <v>22</v>
      </c>
      <c r="L42" s="16" t="s">
        <v>18</v>
      </c>
      <c r="M42" s="16" t="s">
        <v>92</v>
      </c>
      <c r="N42" s="16" t="s">
        <v>18</v>
      </c>
      <c r="O42" s="16" t="s">
        <v>37</v>
      </c>
      <c r="Q42" s="9">
        <v>3</v>
      </c>
      <c r="R42" s="9">
        <v>4</v>
      </c>
      <c r="S42" s="9">
        <v>16</v>
      </c>
      <c r="T42" s="9">
        <v>4</v>
      </c>
      <c r="U42" s="9">
        <v>7</v>
      </c>
      <c r="W42" s="25">
        <v>1</v>
      </c>
      <c r="X42" s="25">
        <v>1</v>
      </c>
      <c r="Y42" s="25">
        <v>1</v>
      </c>
      <c r="Z42" s="25">
        <v>1</v>
      </c>
      <c r="AA42" s="25">
        <v>1</v>
      </c>
      <c r="AC42" s="138" t="str">
        <v>G2</v>
      </c>
      <c r="AD42" s="99">
        <v>0</v>
      </c>
      <c r="AE42" s="99">
        <v>3</v>
      </c>
      <c r="AF42" s="99">
        <v>1</v>
      </c>
      <c r="AG42" s="99">
        <v>2</v>
      </c>
      <c r="AH42" s="99">
        <v>0</v>
      </c>
      <c r="AI42" s="5"/>
      <c r="AJ42" s="138" t="str">
        <v>G2</v>
      </c>
      <c r="AK42" s="99">
        <v>0</v>
      </c>
      <c r="AL42" s="99">
        <v>3</v>
      </c>
      <c r="AM42" s="99">
        <v>1</v>
      </c>
      <c r="AN42" s="99">
        <v>2</v>
      </c>
      <c r="AO42" s="99">
        <v>0</v>
      </c>
    </row>
    <row r="43" spans="10:41" ht="16.5" customHeight="1" x14ac:dyDescent="0.3">
      <c r="J43" s="9">
        <v>39</v>
      </c>
      <c r="K43" s="16" t="s">
        <v>35</v>
      </c>
      <c r="L43" s="16" t="s">
        <v>35</v>
      </c>
      <c r="M43" s="16" t="s">
        <v>97</v>
      </c>
      <c r="N43" s="16" t="s">
        <v>36</v>
      </c>
      <c r="O43" s="16" t="s">
        <v>19</v>
      </c>
      <c r="Q43" s="9">
        <v>8</v>
      </c>
      <c r="R43" s="9">
        <v>8</v>
      </c>
      <c r="S43" s="9">
        <v>19</v>
      </c>
      <c r="T43" s="9">
        <v>10</v>
      </c>
      <c r="U43" s="9">
        <v>5</v>
      </c>
      <c r="W43" s="25">
        <v>1</v>
      </c>
      <c r="X43" s="25">
        <v>1</v>
      </c>
      <c r="Y43" s="25">
        <v>1</v>
      </c>
      <c r="Z43" s="25">
        <v>1</v>
      </c>
      <c r="AA43" s="25">
        <v>1</v>
      </c>
      <c r="AC43" s="138" t="str">
        <v>G3</v>
      </c>
      <c r="AD43" s="99">
        <v>0</v>
      </c>
      <c r="AE43" s="99">
        <v>3</v>
      </c>
      <c r="AF43" s="99">
        <v>8</v>
      </c>
      <c r="AG43" s="99">
        <v>3</v>
      </c>
      <c r="AH43" s="99">
        <v>0</v>
      </c>
      <c r="AI43" s="5"/>
      <c r="AJ43" s="138" t="str">
        <v>G3</v>
      </c>
      <c r="AK43" s="99">
        <v>0</v>
      </c>
      <c r="AL43" s="99">
        <v>3</v>
      </c>
      <c r="AM43" s="99">
        <v>8</v>
      </c>
      <c r="AN43" s="99">
        <v>3</v>
      </c>
      <c r="AO43" s="99">
        <v>0</v>
      </c>
    </row>
    <row r="44" spans="10:41" ht="16.5" customHeight="1" x14ac:dyDescent="0.3">
      <c r="J44" s="25">
        <v>40</v>
      </c>
      <c r="K44" s="16" t="s">
        <v>19</v>
      </c>
      <c r="L44" s="16" t="s">
        <v>19</v>
      </c>
      <c r="M44" s="16" t="s">
        <v>112</v>
      </c>
      <c r="N44" s="16" t="s">
        <v>37</v>
      </c>
      <c r="O44" s="16" t="s">
        <v>35</v>
      </c>
      <c r="Q44" s="9">
        <v>5</v>
      </c>
      <c r="R44" s="9">
        <v>5</v>
      </c>
      <c r="S44" s="9">
        <v>17</v>
      </c>
      <c r="T44" s="9">
        <v>7</v>
      </c>
      <c r="U44" s="9">
        <v>8</v>
      </c>
      <c r="W44" s="25">
        <v>1</v>
      </c>
      <c r="X44" s="25">
        <v>1</v>
      </c>
      <c r="Y44" s="25">
        <v>1</v>
      </c>
      <c r="Z44" s="25">
        <v>1</v>
      </c>
      <c r="AA44" s="25">
        <v>1</v>
      </c>
      <c r="AC44" s="138" t="str">
        <v>G4</v>
      </c>
      <c r="AD44" s="99">
        <v>0</v>
      </c>
      <c r="AE44" s="99">
        <v>6</v>
      </c>
      <c r="AF44" s="99">
        <v>42</v>
      </c>
      <c r="AG44" s="99">
        <v>8</v>
      </c>
      <c r="AH44" s="99">
        <v>0</v>
      </c>
      <c r="AI44" s="5"/>
      <c r="AJ44" s="138" t="str">
        <v>G4</v>
      </c>
      <c r="AK44" s="99">
        <v>0</v>
      </c>
      <c r="AL44" s="99">
        <v>6</v>
      </c>
      <c r="AM44" s="99">
        <v>42</v>
      </c>
      <c r="AN44" s="99">
        <v>8</v>
      </c>
      <c r="AO44" s="99">
        <v>0</v>
      </c>
    </row>
    <row r="45" spans="10:41" ht="16.5" customHeight="1" x14ac:dyDescent="0.3">
      <c r="J45" s="9">
        <v>41</v>
      </c>
      <c r="K45" s="16" t="s">
        <v>35</v>
      </c>
      <c r="L45" s="16" t="s">
        <v>35</v>
      </c>
      <c r="M45" s="16" t="s">
        <v>97</v>
      </c>
      <c r="N45" s="16" t="s">
        <v>18</v>
      </c>
      <c r="O45" s="16" t="s">
        <v>19</v>
      </c>
      <c r="Q45" s="9">
        <v>8</v>
      </c>
      <c r="R45" s="9">
        <v>8</v>
      </c>
      <c r="S45" s="9">
        <v>19</v>
      </c>
      <c r="T45" s="9">
        <v>4</v>
      </c>
      <c r="U45" s="9">
        <v>5</v>
      </c>
      <c r="W45" s="25">
        <v>1</v>
      </c>
      <c r="X45" s="25">
        <v>1</v>
      </c>
      <c r="Y45" s="25">
        <v>1</v>
      </c>
      <c r="Z45" s="25">
        <v>1</v>
      </c>
      <c r="AA45" s="25">
        <v>1</v>
      </c>
      <c r="AC45" s="138" t="str">
        <v>G5</v>
      </c>
      <c r="AD45" s="99">
        <v>0</v>
      </c>
      <c r="AE45" s="99">
        <v>6</v>
      </c>
      <c r="AF45" s="99">
        <v>42</v>
      </c>
      <c r="AG45" s="99">
        <v>7</v>
      </c>
      <c r="AH45" s="99">
        <v>0</v>
      </c>
      <c r="AI45" s="5"/>
      <c r="AJ45" s="138" t="str">
        <v>G5</v>
      </c>
      <c r="AK45" s="99">
        <v>0</v>
      </c>
      <c r="AL45" s="99">
        <v>6</v>
      </c>
      <c r="AM45" s="99">
        <v>42</v>
      </c>
      <c r="AN45" s="99">
        <v>7</v>
      </c>
      <c r="AO45" s="99">
        <v>0</v>
      </c>
    </row>
    <row r="46" spans="10:41" ht="16.5" customHeight="1" x14ac:dyDescent="0.3">
      <c r="J46" s="25">
        <v>42</v>
      </c>
      <c r="K46" s="16" t="s">
        <v>19</v>
      </c>
      <c r="L46" s="16" t="s">
        <v>125</v>
      </c>
      <c r="M46" s="16" t="s">
        <v>91</v>
      </c>
      <c r="N46" s="16" t="s">
        <v>35</v>
      </c>
      <c r="O46" s="16" t="s">
        <v>37</v>
      </c>
      <c r="Q46" s="9">
        <v>5</v>
      </c>
      <c r="R46" s="9">
        <v>6</v>
      </c>
      <c r="S46" s="9">
        <v>14</v>
      </c>
      <c r="T46" s="9">
        <v>8</v>
      </c>
      <c r="U46" s="9">
        <v>7</v>
      </c>
      <c r="W46" s="25">
        <v>1</v>
      </c>
      <c r="X46" s="25">
        <v>1</v>
      </c>
      <c r="Y46" s="25">
        <v>1</v>
      </c>
      <c r="Z46" s="25">
        <v>1</v>
      </c>
      <c r="AA46" s="25">
        <v>1</v>
      </c>
      <c r="AC46" s="138" t="str">
        <v>GA</v>
      </c>
      <c r="AD46" s="99">
        <v>0</v>
      </c>
      <c r="AE46" s="99">
        <v>8</v>
      </c>
      <c r="AF46" s="99">
        <v>42</v>
      </c>
      <c r="AG46" s="99">
        <v>7</v>
      </c>
      <c r="AH46" s="99">
        <v>0</v>
      </c>
      <c r="AI46" s="5"/>
      <c r="AJ46" s="138" t="str">
        <v>GA</v>
      </c>
      <c r="AK46" s="99">
        <v>0</v>
      </c>
      <c r="AL46" s="99">
        <v>8</v>
      </c>
      <c r="AM46" s="99">
        <v>42</v>
      </c>
      <c r="AN46" s="99">
        <v>7</v>
      </c>
      <c r="AO46" s="99">
        <v>0</v>
      </c>
    </row>
    <row r="47" spans="10:41" ht="16.5" customHeight="1" x14ac:dyDescent="0.3">
      <c r="J47" s="9">
        <v>43</v>
      </c>
      <c r="K47" s="16" t="s">
        <v>18</v>
      </c>
      <c r="L47" s="16" t="s">
        <v>35</v>
      </c>
      <c r="M47" s="16" t="s">
        <v>112</v>
      </c>
      <c r="N47" s="16" t="s">
        <v>37</v>
      </c>
      <c r="O47" s="16" t="s">
        <v>125</v>
      </c>
      <c r="Q47" s="9">
        <v>4</v>
      </c>
      <c r="R47" s="9">
        <v>8</v>
      </c>
      <c r="S47" s="9">
        <v>17</v>
      </c>
      <c r="T47" s="9">
        <v>7</v>
      </c>
      <c r="U47" s="9">
        <v>6</v>
      </c>
      <c r="W47" s="25">
        <v>1</v>
      </c>
      <c r="X47" s="25">
        <v>1</v>
      </c>
      <c r="Y47" s="25">
        <v>1</v>
      </c>
      <c r="Z47" s="25">
        <v>1</v>
      </c>
      <c r="AA47" s="25">
        <v>1</v>
      </c>
      <c r="AC47" s="138" t="str">
        <v>GK</v>
      </c>
      <c r="AD47" s="99">
        <v>0</v>
      </c>
      <c r="AE47" s="99">
        <v>6</v>
      </c>
      <c r="AF47" s="99">
        <v>42</v>
      </c>
      <c r="AG47" s="99">
        <v>7</v>
      </c>
      <c r="AH47" s="99">
        <v>0</v>
      </c>
      <c r="AI47" s="5"/>
      <c r="AJ47" s="138" t="str">
        <v>GK</v>
      </c>
      <c r="AK47" s="99">
        <v>0</v>
      </c>
      <c r="AL47" s="99">
        <v>6</v>
      </c>
      <c r="AM47" s="99">
        <v>42</v>
      </c>
      <c r="AN47" s="99">
        <v>7</v>
      </c>
      <c r="AO47" s="99">
        <v>0</v>
      </c>
    </row>
    <row r="48" spans="10:41" ht="16.5" customHeight="1" x14ac:dyDescent="0.3">
      <c r="J48" s="25">
        <v>44</v>
      </c>
      <c r="K48" s="16" t="s">
        <v>37</v>
      </c>
      <c r="L48" s="16" t="s">
        <v>37</v>
      </c>
      <c r="M48" s="16" t="s">
        <v>91</v>
      </c>
      <c r="N48" s="16" t="s">
        <v>125</v>
      </c>
      <c r="O48" s="16" t="s">
        <v>18</v>
      </c>
      <c r="Q48" s="9">
        <v>7</v>
      </c>
      <c r="R48" s="9">
        <v>7</v>
      </c>
      <c r="S48" s="9">
        <v>14</v>
      </c>
      <c r="T48" s="9">
        <v>6</v>
      </c>
      <c r="U48" s="9">
        <v>4</v>
      </c>
      <c r="W48" s="25">
        <v>1</v>
      </c>
      <c r="X48" s="25">
        <v>1</v>
      </c>
      <c r="Y48" s="25">
        <v>1</v>
      </c>
      <c r="Z48" s="25">
        <v>1</v>
      </c>
      <c r="AA48" s="25">
        <v>1</v>
      </c>
      <c r="AC48" s="138" t="str">
        <v>GQ</v>
      </c>
      <c r="AD48" s="99">
        <v>0</v>
      </c>
      <c r="AE48" s="99">
        <v>3</v>
      </c>
      <c r="AF48" s="99">
        <v>6</v>
      </c>
      <c r="AG48" s="99">
        <v>2</v>
      </c>
      <c r="AH48" s="99">
        <v>0</v>
      </c>
      <c r="AI48" s="5"/>
      <c r="AJ48" s="138" t="str">
        <v>GQ</v>
      </c>
      <c r="AK48" s="99">
        <v>0</v>
      </c>
      <c r="AL48" s="99">
        <v>3</v>
      </c>
      <c r="AM48" s="99">
        <v>6</v>
      </c>
      <c r="AN48" s="99">
        <v>2</v>
      </c>
      <c r="AO48" s="99">
        <v>0</v>
      </c>
    </row>
    <row r="49" spans="10:41" ht="16.5" customHeight="1" x14ac:dyDescent="0.3">
      <c r="J49" s="9">
        <v>45</v>
      </c>
      <c r="K49" s="16" t="s">
        <v>125</v>
      </c>
      <c r="L49" s="16" t="s">
        <v>91</v>
      </c>
      <c r="M49" s="16" t="s">
        <v>112</v>
      </c>
      <c r="N49" s="16" t="s">
        <v>92</v>
      </c>
      <c r="O49" s="16" t="s">
        <v>19</v>
      </c>
      <c r="Q49" s="9">
        <v>6</v>
      </c>
      <c r="R49" s="9">
        <v>14</v>
      </c>
      <c r="S49" s="9">
        <v>17</v>
      </c>
      <c r="T49" s="9">
        <v>16</v>
      </c>
      <c r="U49" s="9">
        <v>5</v>
      </c>
      <c r="W49" s="25">
        <v>1</v>
      </c>
      <c r="X49" s="25">
        <v>1</v>
      </c>
      <c r="Y49" s="25">
        <v>1</v>
      </c>
      <c r="Z49" s="25">
        <v>1</v>
      </c>
      <c r="AA49" s="25">
        <v>1</v>
      </c>
      <c r="AC49" s="138" t="str">
        <v>GJ</v>
      </c>
      <c r="AD49" s="99">
        <v>0</v>
      </c>
      <c r="AE49" s="99">
        <v>3</v>
      </c>
      <c r="AF49" s="99">
        <v>9</v>
      </c>
      <c r="AG49" s="99">
        <v>3</v>
      </c>
      <c r="AH49" s="99">
        <v>0</v>
      </c>
      <c r="AI49" s="5"/>
      <c r="AJ49" s="138" t="str">
        <v>GJ</v>
      </c>
      <c r="AK49" s="99">
        <v>0</v>
      </c>
      <c r="AL49" s="99">
        <v>3</v>
      </c>
      <c r="AM49" s="99">
        <v>9</v>
      </c>
      <c r="AN49" s="99">
        <v>3</v>
      </c>
      <c r="AO49" s="99">
        <v>0</v>
      </c>
    </row>
    <row r="50" spans="10:41" ht="16.5" customHeight="1" x14ac:dyDescent="0.3">
      <c r="J50" s="25">
        <v>46</v>
      </c>
      <c r="K50" s="16" t="s">
        <v>19</v>
      </c>
      <c r="L50" s="16" t="s">
        <v>37</v>
      </c>
      <c r="M50" s="16" t="s">
        <v>91</v>
      </c>
      <c r="N50" s="16" t="s">
        <v>37</v>
      </c>
      <c r="O50" s="16" t="s">
        <v>20</v>
      </c>
      <c r="Q50" s="9">
        <v>5</v>
      </c>
      <c r="R50" s="9">
        <v>7</v>
      </c>
      <c r="S50" s="9">
        <v>14</v>
      </c>
      <c r="T50" s="9">
        <v>7</v>
      </c>
      <c r="U50" s="9">
        <v>1</v>
      </c>
      <c r="W50" s="25">
        <v>1</v>
      </c>
      <c r="X50" s="25">
        <v>1</v>
      </c>
      <c r="Y50" s="25">
        <v>1</v>
      </c>
      <c r="Z50" s="25">
        <v>1</v>
      </c>
      <c r="AA50" s="25">
        <v>1</v>
      </c>
      <c r="AD50" s="113">
        <f>SUM(AD30:AD49)</f>
        <v>196</v>
      </c>
      <c r="AE50" s="113">
        <f>SUM(AE30:AE49)</f>
        <v>205</v>
      </c>
      <c r="AF50" s="113">
        <f>SUM(AF30:AF49)</f>
        <v>195</v>
      </c>
      <c r="AG50" s="113">
        <f>SUM(AG30:AG49)</f>
        <v>202</v>
      </c>
      <c r="AH50" s="113">
        <f>SUM(AH30:AH49)</f>
        <v>193</v>
      </c>
      <c r="AI50" s="5"/>
      <c r="AK50" s="113">
        <f>SUM(AK30:AK49)</f>
        <v>196</v>
      </c>
      <c r="AL50" s="113">
        <f>SUM(AL30:AL49)</f>
        <v>205</v>
      </c>
      <c r="AM50" s="113">
        <f>SUM(AM30:AM49)</f>
        <v>195</v>
      </c>
      <c r="AN50" s="113">
        <f>SUM(AN30:AN49)</f>
        <v>202</v>
      </c>
      <c r="AO50" s="113">
        <f>SUM(AO30:AO49)</f>
        <v>193</v>
      </c>
    </row>
    <row r="51" spans="10:41" ht="16.5" customHeight="1" x14ac:dyDescent="0.3">
      <c r="J51" s="9">
        <v>47</v>
      </c>
      <c r="K51" s="16" t="s">
        <v>37</v>
      </c>
      <c r="L51" s="16" t="s">
        <v>34</v>
      </c>
      <c r="M51" s="16" t="s">
        <v>95</v>
      </c>
      <c r="N51" s="16" t="s">
        <v>125</v>
      </c>
      <c r="O51" s="16" t="s">
        <v>19</v>
      </c>
      <c r="Q51" s="9">
        <v>7</v>
      </c>
      <c r="R51" s="9">
        <v>9</v>
      </c>
      <c r="S51" s="9">
        <v>18</v>
      </c>
      <c r="T51" s="9">
        <v>6</v>
      </c>
      <c r="U51" s="9">
        <v>5</v>
      </c>
      <c r="W51" s="25">
        <v>1</v>
      </c>
      <c r="X51" s="25">
        <v>1</v>
      </c>
      <c r="Y51" s="25">
        <v>1</v>
      </c>
      <c r="Z51" s="25">
        <v>1</v>
      </c>
      <c r="AA51" s="25">
        <v>1</v>
      </c>
      <c r="AH51" s="5"/>
      <c r="AI51" s="5"/>
      <c r="AO51" s="5"/>
    </row>
    <row r="52" spans="10:41" ht="16.5" customHeight="1" x14ac:dyDescent="0.3">
      <c r="J52" s="25">
        <v>48</v>
      </c>
      <c r="K52" s="16" t="s">
        <v>34</v>
      </c>
      <c r="L52" s="16" t="s">
        <v>35</v>
      </c>
      <c r="M52" s="16" t="s">
        <v>112</v>
      </c>
      <c r="N52" s="16" t="s">
        <v>35</v>
      </c>
      <c r="O52" s="16" t="s">
        <v>37</v>
      </c>
      <c r="Q52" s="9">
        <v>9</v>
      </c>
      <c r="R52" s="9">
        <v>8</v>
      </c>
      <c r="S52" s="9">
        <v>17</v>
      </c>
      <c r="T52" s="9">
        <v>8</v>
      </c>
      <c r="U52" s="9">
        <v>7</v>
      </c>
      <c r="W52" s="25">
        <v>1</v>
      </c>
      <c r="X52" s="25">
        <v>1</v>
      </c>
      <c r="Y52" s="25">
        <v>1</v>
      </c>
      <c r="Z52" s="25">
        <v>1</v>
      </c>
      <c r="AA52" s="25">
        <v>1</v>
      </c>
      <c r="AC52" s="27" t="s">
        <v>130</v>
      </c>
      <c r="AH52" s="5"/>
      <c r="AI52" s="5"/>
      <c r="AJ52" s="27" t="s">
        <v>130</v>
      </c>
      <c r="AO52" s="5"/>
    </row>
    <row r="53" spans="10:41" ht="16.5" customHeight="1" x14ac:dyDescent="0.3">
      <c r="J53" s="9">
        <v>49</v>
      </c>
      <c r="K53" s="16" t="s">
        <v>35</v>
      </c>
      <c r="L53" s="16" t="s">
        <v>89</v>
      </c>
      <c r="M53" s="16" t="s">
        <v>126</v>
      </c>
      <c r="N53" s="16" t="s">
        <v>37</v>
      </c>
      <c r="O53" s="16" t="s">
        <v>21</v>
      </c>
      <c r="Q53" s="9">
        <v>8</v>
      </c>
      <c r="R53" s="9">
        <v>12</v>
      </c>
      <c r="S53" s="9">
        <v>15</v>
      </c>
      <c r="T53" s="9">
        <v>7</v>
      </c>
      <c r="U53" s="9">
        <v>2</v>
      </c>
      <c r="W53" s="25">
        <v>1</v>
      </c>
      <c r="X53" s="25">
        <v>1</v>
      </c>
      <c r="Y53" s="25">
        <v>1</v>
      </c>
      <c r="Z53" s="25">
        <v>1</v>
      </c>
      <c r="AA53" s="25">
        <v>1</v>
      </c>
      <c r="AC53" s="135" t="s">
        <v>42</v>
      </c>
      <c r="AD53" s="135" t="s">
        <v>13</v>
      </c>
      <c r="AE53" s="135" t="s">
        <v>14</v>
      </c>
      <c r="AF53" s="135" t="s">
        <v>15</v>
      </c>
      <c r="AG53" s="135" t="s">
        <v>16</v>
      </c>
      <c r="AH53" s="135" t="s">
        <v>17</v>
      </c>
      <c r="AI53" s="5"/>
      <c r="AJ53" s="135" t="s">
        <v>42</v>
      </c>
      <c r="AK53" s="135" t="s">
        <v>13</v>
      </c>
      <c r="AL53" s="135" t="s">
        <v>14</v>
      </c>
      <c r="AM53" s="135" t="s">
        <v>15</v>
      </c>
      <c r="AN53" s="135" t="s">
        <v>16</v>
      </c>
      <c r="AO53" s="135" t="s">
        <v>17</v>
      </c>
    </row>
    <row r="54" spans="10:41" ht="16.5" customHeight="1" x14ac:dyDescent="0.3">
      <c r="J54" s="25">
        <v>50</v>
      </c>
      <c r="K54" s="16" t="s">
        <v>125</v>
      </c>
      <c r="L54" s="16" t="s">
        <v>19</v>
      </c>
      <c r="M54" s="16" t="s">
        <v>88</v>
      </c>
      <c r="N54" s="16" t="s">
        <v>20</v>
      </c>
      <c r="O54" s="16" t="s">
        <v>18</v>
      </c>
      <c r="Q54" s="9">
        <v>6</v>
      </c>
      <c r="R54" s="9">
        <v>5</v>
      </c>
      <c r="S54" s="9">
        <v>11</v>
      </c>
      <c r="T54" s="9">
        <v>1</v>
      </c>
      <c r="U54" s="9">
        <v>4</v>
      </c>
      <c r="W54" s="25">
        <v>1</v>
      </c>
      <c r="X54" s="25">
        <v>1</v>
      </c>
      <c r="Y54" s="25">
        <v>1</v>
      </c>
      <c r="Z54" s="25">
        <v>1</v>
      </c>
      <c r="AA54" s="25">
        <v>1</v>
      </c>
      <c r="AC54" s="138" t="str" cm="1">
        <f t="array" ref="AC54:AC73">$A$4:$A$23</f>
        <v>WW</v>
      </c>
      <c r="AD54" s="139">
        <v>0</v>
      </c>
      <c r="AE54" s="139">
        <v>0</v>
      </c>
      <c r="AF54" s="139">
        <v>0</v>
      </c>
      <c r="AG54" s="139">
        <v>0</v>
      </c>
      <c r="AH54" s="139">
        <v>0</v>
      </c>
      <c r="AI54" s="5"/>
      <c r="AJ54" s="138" t="str" cm="1">
        <f t="array" ref="AJ54:AJ73">$A$4:$A$23</f>
        <v>WW</v>
      </c>
      <c r="AK54" s="139">
        <v>0</v>
      </c>
      <c r="AL54" s="139">
        <v>0</v>
      </c>
      <c r="AM54" s="139">
        <v>0</v>
      </c>
      <c r="AN54" s="139">
        <v>0</v>
      </c>
      <c r="AO54" s="139">
        <v>0</v>
      </c>
    </row>
    <row r="55" spans="10:41" ht="16.5" customHeight="1" x14ac:dyDescent="0.3">
      <c r="J55" s="9">
        <v>51</v>
      </c>
      <c r="K55" s="16" t="s">
        <v>35</v>
      </c>
      <c r="L55" s="16" t="s">
        <v>125</v>
      </c>
      <c r="M55" s="16" t="s">
        <v>91</v>
      </c>
      <c r="N55" s="16" t="s">
        <v>35</v>
      </c>
      <c r="O55" s="16" t="s">
        <v>22</v>
      </c>
      <c r="Q55" s="9">
        <v>8</v>
      </c>
      <c r="R55" s="9">
        <v>6</v>
      </c>
      <c r="S55" s="9">
        <v>14</v>
      </c>
      <c r="T55" s="9">
        <v>8</v>
      </c>
      <c r="U55" s="9">
        <v>3</v>
      </c>
      <c r="W55" s="25">
        <v>1</v>
      </c>
      <c r="X55" s="25">
        <v>1</v>
      </c>
      <c r="Y55" s="25">
        <v>1</v>
      </c>
      <c r="Z55" s="25">
        <v>1</v>
      </c>
      <c r="AA55" s="25">
        <v>1</v>
      </c>
      <c r="AC55" s="138" t="str">
        <v>C1</v>
      </c>
      <c r="AD55" s="138">
        <v>1</v>
      </c>
      <c r="AE55" s="138">
        <v>1</v>
      </c>
      <c r="AF55" s="138">
        <v>0</v>
      </c>
      <c r="AG55" s="138">
        <v>1</v>
      </c>
      <c r="AH55" s="138">
        <v>1</v>
      </c>
      <c r="AI55" s="5"/>
      <c r="AJ55" s="138" t="str">
        <v>C1</v>
      </c>
      <c r="AK55" s="138">
        <v>1</v>
      </c>
      <c r="AL55" s="138">
        <v>1</v>
      </c>
      <c r="AM55" s="138">
        <v>0</v>
      </c>
      <c r="AN55" s="138">
        <v>1</v>
      </c>
      <c r="AO55" s="138">
        <v>1</v>
      </c>
    </row>
    <row r="56" spans="10:41" ht="16.5" customHeight="1" x14ac:dyDescent="0.3">
      <c r="J56" s="25">
        <v>52</v>
      </c>
      <c r="K56" s="16" t="s">
        <v>125</v>
      </c>
      <c r="L56" s="16" t="s">
        <v>21</v>
      </c>
      <c r="M56" s="16" t="s">
        <v>92</v>
      </c>
      <c r="N56" s="16" t="s">
        <v>19</v>
      </c>
      <c r="O56" s="16" t="s">
        <v>36</v>
      </c>
      <c r="Q56" s="9">
        <v>6</v>
      </c>
      <c r="R56" s="9">
        <v>2</v>
      </c>
      <c r="S56" s="9">
        <v>16</v>
      </c>
      <c r="T56" s="9">
        <v>5</v>
      </c>
      <c r="U56" s="9">
        <v>10</v>
      </c>
      <c r="W56" s="25">
        <v>1</v>
      </c>
      <c r="X56" s="25">
        <v>1</v>
      </c>
      <c r="Y56" s="25">
        <v>1</v>
      </c>
      <c r="Z56" s="25">
        <v>1</v>
      </c>
      <c r="AA56" s="25">
        <v>1</v>
      </c>
      <c r="AC56" s="154" t="str">
        <v>M1</v>
      </c>
      <c r="AD56" s="133">
        <v>3</v>
      </c>
      <c r="AE56" s="133">
        <v>10</v>
      </c>
      <c r="AF56" s="133">
        <v>0</v>
      </c>
      <c r="AG56" s="133">
        <v>3</v>
      </c>
      <c r="AH56" s="133">
        <v>9</v>
      </c>
      <c r="AI56" s="5"/>
      <c r="AJ56" s="154" t="str">
        <v>M1</v>
      </c>
      <c r="AK56" s="133">
        <v>3</v>
      </c>
      <c r="AL56" s="133">
        <v>10</v>
      </c>
      <c r="AM56" s="133">
        <v>0</v>
      </c>
      <c r="AN56" s="133">
        <v>3</v>
      </c>
      <c r="AO56" s="133">
        <v>9</v>
      </c>
    </row>
    <row r="57" spans="10:41" ht="16.5" customHeight="1" x14ac:dyDescent="0.3">
      <c r="J57" s="9">
        <v>53</v>
      </c>
      <c r="K57" s="16" t="s">
        <v>20</v>
      </c>
      <c r="L57" s="16" t="s">
        <v>37</v>
      </c>
      <c r="M57" s="16" t="s">
        <v>91</v>
      </c>
      <c r="N57" s="16" t="s">
        <v>125</v>
      </c>
      <c r="O57" s="16" t="s">
        <v>125</v>
      </c>
      <c r="Q57" s="9">
        <v>1</v>
      </c>
      <c r="R57" s="9">
        <v>7</v>
      </c>
      <c r="S57" s="9">
        <v>14</v>
      </c>
      <c r="T57" s="9">
        <v>6</v>
      </c>
      <c r="U57" s="9">
        <v>6</v>
      </c>
      <c r="W57" s="25">
        <v>1</v>
      </c>
      <c r="X57" s="25">
        <v>1</v>
      </c>
      <c r="Y57" s="25">
        <v>1</v>
      </c>
      <c r="Z57" s="25">
        <v>1</v>
      </c>
      <c r="AA57" s="25">
        <v>1</v>
      </c>
      <c r="AC57" s="154" t="str">
        <v>M2</v>
      </c>
      <c r="AD57" s="133">
        <v>3</v>
      </c>
      <c r="AE57" s="133">
        <v>13</v>
      </c>
      <c r="AF57" s="133">
        <v>0</v>
      </c>
      <c r="AG57" s="133">
        <v>3</v>
      </c>
      <c r="AH57" s="133">
        <v>8</v>
      </c>
      <c r="AI57" s="5"/>
      <c r="AJ57" s="154" t="str">
        <v>M2</v>
      </c>
      <c r="AK57" s="133">
        <v>3</v>
      </c>
      <c r="AL57" s="133">
        <v>13</v>
      </c>
      <c r="AM57" s="133">
        <v>0</v>
      </c>
      <c r="AN57" s="133">
        <v>3</v>
      </c>
      <c r="AO57" s="133">
        <v>8</v>
      </c>
    </row>
    <row r="58" spans="10:41" ht="16.5" customHeight="1" x14ac:dyDescent="0.3">
      <c r="J58" s="25">
        <v>54</v>
      </c>
      <c r="K58" s="16" t="s">
        <v>125</v>
      </c>
      <c r="L58" s="16" t="s">
        <v>36</v>
      </c>
      <c r="M58" s="16" t="s">
        <v>126</v>
      </c>
      <c r="N58" s="16" t="s">
        <v>18</v>
      </c>
      <c r="O58" s="16" t="s">
        <v>22</v>
      </c>
      <c r="Q58" s="9">
        <v>6</v>
      </c>
      <c r="R58" s="9">
        <v>10</v>
      </c>
      <c r="S58" s="9">
        <v>15</v>
      </c>
      <c r="T58" s="9">
        <v>4</v>
      </c>
      <c r="U58" s="9">
        <v>3</v>
      </c>
      <c r="W58" s="25">
        <v>1</v>
      </c>
      <c r="X58" s="25">
        <v>1</v>
      </c>
      <c r="Y58" s="25">
        <v>1</v>
      </c>
      <c r="Z58" s="25">
        <v>1</v>
      </c>
      <c r="AA58" s="25">
        <v>1</v>
      </c>
      <c r="AC58" s="154" t="str">
        <v>M3</v>
      </c>
      <c r="AD58" s="133">
        <v>7</v>
      </c>
      <c r="AE58" s="133">
        <v>14</v>
      </c>
      <c r="AF58" s="133">
        <v>0</v>
      </c>
      <c r="AG58" s="133">
        <v>7</v>
      </c>
      <c r="AH58" s="133">
        <v>14</v>
      </c>
      <c r="AI58" s="5"/>
      <c r="AJ58" s="154" t="str">
        <v>M3</v>
      </c>
      <c r="AK58" s="133">
        <v>7</v>
      </c>
      <c r="AL58" s="133">
        <v>14</v>
      </c>
      <c r="AM58" s="133">
        <v>0</v>
      </c>
      <c r="AN58" s="133">
        <v>7</v>
      </c>
      <c r="AO58" s="133">
        <v>14</v>
      </c>
    </row>
    <row r="59" spans="10:41" ht="16.5" customHeight="1" x14ac:dyDescent="0.3">
      <c r="J59" s="9">
        <v>55</v>
      </c>
      <c r="K59" s="16" t="s">
        <v>37</v>
      </c>
      <c r="L59" s="16" t="s">
        <v>18</v>
      </c>
      <c r="M59" s="16" t="s">
        <v>95</v>
      </c>
      <c r="N59" s="16" t="s">
        <v>91</v>
      </c>
      <c r="O59" s="16" t="s">
        <v>21</v>
      </c>
      <c r="Q59" s="9">
        <v>7</v>
      </c>
      <c r="R59" s="9">
        <v>4</v>
      </c>
      <c r="S59" s="9">
        <v>18</v>
      </c>
      <c r="T59" s="9">
        <v>14</v>
      </c>
      <c r="U59" s="9">
        <v>2</v>
      </c>
      <c r="W59" s="25">
        <v>1</v>
      </c>
      <c r="X59" s="25">
        <v>1</v>
      </c>
      <c r="Y59" s="25">
        <v>1</v>
      </c>
      <c r="Z59" s="25">
        <v>1</v>
      </c>
      <c r="AA59" s="25">
        <v>1</v>
      </c>
      <c r="AC59" s="154" t="str">
        <v>M4</v>
      </c>
      <c r="AD59" s="133">
        <v>42</v>
      </c>
      <c r="AE59" s="133">
        <v>25</v>
      </c>
      <c r="AF59" s="133">
        <v>0</v>
      </c>
      <c r="AG59" s="133">
        <v>33</v>
      </c>
      <c r="AH59" s="133">
        <v>34</v>
      </c>
      <c r="AI59" s="5"/>
      <c r="AJ59" s="154" t="str">
        <v>M4</v>
      </c>
      <c r="AK59" s="133">
        <v>42</v>
      </c>
      <c r="AL59" s="133">
        <v>25</v>
      </c>
      <c r="AM59" s="133">
        <v>0</v>
      </c>
      <c r="AN59" s="133">
        <v>33</v>
      </c>
      <c r="AO59" s="133">
        <v>34</v>
      </c>
    </row>
    <row r="60" spans="10:41" ht="16.5" customHeight="1" x14ac:dyDescent="0.3">
      <c r="J60" s="25">
        <v>56</v>
      </c>
      <c r="K60" s="16" t="s">
        <v>125</v>
      </c>
      <c r="L60" s="16" t="s">
        <v>126</v>
      </c>
      <c r="M60" s="16" t="s">
        <v>92</v>
      </c>
      <c r="N60" s="16" t="s">
        <v>37</v>
      </c>
      <c r="O60" s="16" t="s">
        <v>37</v>
      </c>
      <c r="Q60" s="9">
        <v>6</v>
      </c>
      <c r="R60" s="9">
        <v>15</v>
      </c>
      <c r="S60" s="9">
        <v>16</v>
      </c>
      <c r="T60" s="9">
        <v>7</v>
      </c>
      <c r="U60" s="9">
        <v>7</v>
      </c>
      <c r="W60" s="25">
        <v>1</v>
      </c>
      <c r="X60" s="25">
        <v>1</v>
      </c>
      <c r="Y60" s="25">
        <v>1</v>
      </c>
      <c r="Z60" s="25">
        <v>1</v>
      </c>
      <c r="AA60" s="25">
        <v>1</v>
      </c>
      <c r="AC60" s="154" t="str">
        <v>M5</v>
      </c>
      <c r="AD60" s="133">
        <v>42</v>
      </c>
      <c r="AE60" s="133">
        <v>25</v>
      </c>
      <c r="AF60" s="133">
        <v>0</v>
      </c>
      <c r="AG60" s="133">
        <v>34</v>
      </c>
      <c r="AH60" s="133">
        <v>34</v>
      </c>
      <c r="AI60" s="5"/>
      <c r="AJ60" s="154" t="str">
        <v>M5</v>
      </c>
      <c r="AK60" s="133">
        <v>42</v>
      </c>
      <c r="AL60" s="133">
        <v>25</v>
      </c>
      <c r="AM60" s="133">
        <v>0</v>
      </c>
      <c r="AN60" s="133">
        <v>34</v>
      </c>
      <c r="AO60" s="133">
        <v>34</v>
      </c>
    </row>
    <row r="61" spans="10:41" x14ac:dyDescent="0.3">
      <c r="J61" s="9">
        <v>57</v>
      </c>
      <c r="K61" s="16" t="s">
        <v>19</v>
      </c>
      <c r="L61" s="16" t="s">
        <v>19</v>
      </c>
      <c r="M61" s="16" t="s">
        <v>126</v>
      </c>
      <c r="N61" s="16" t="s">
        <v>125</v>
      </c>
      <c r="O61" s="16" t="s">
        <v>35</v>
      </c>
      <c r="Q61" s="9">
        <v>5</v>
      </c>
      <c r="R61" s="9">
        <v>5</v>
      </c>
      <c r="S61" s="9">
        <v>15</v>
      </c>
      <c r="T61" s="9">
        <v>6</v>
      </c>
      <c r="U61" s="9">
        <v>8</v>
      </c>
      <c r="W61" s="25">
        <v>1</v>
      </c>
      <c r="X61" s="25">
        <v>1</v>
      </c>
      <c r="Y61" s="25">
        <v>1</v>
      </c>
      <c r="Z61" s="25">
        <v>1</v>
      </c>
      <c r="AA61" s="25">
        <v>1</v>
      </c>
      <c r="AC61" s="154" t="str">
        <v>A</v>
      </c>
      <c r="AD61" s="133">
        <v>42</v>
      </c>
      <c r="AE61" s="133">
        <v>29</v>
      </c>
      <c r="AF61" s="133">
        <v>0</v>
      </c>
      <c r="AG61" s="133">
        <v>33</v>
      </c>
      <c r="AH61" s="133">
        <v>33</v>
      </c>
      <c r="AI61" s="5"/>
      <c r="AJ61" s="154" t="str">
        <v>A</v>
      </c>
      <c r="AK61" s="133">
        <v>42</v>
      </c>
      <c r="AL61" s="133">
        <v>29</v>
      </c>
      <c r="AM61" s="133">
        <v>0</v>
      </c>
      <c r="AN61" s="133">
        <v>33</v>
      </c>
      <c r="AO61" s="133">
        <v>33</v>
      </c>
    </row>
    <row r="62" spans="10:41" x14ac:dyDescent="0.3">
      <c r="J62" s="25">
        <v>58</v>
      </c>
      <c r="K62" s="16" t="s">
        <v>125</v>
      </c>
      <c r="L62" s="16" t="s">
        <v>35</v>
      </c>
      <c r="M62" s="16" t="s">
        <v>112</v>
      </c>
      <c r="N62" s="16" t="s">
        <v>19</v>
      </c>
      <c r="O62" s="16" t="s">
        <v>37</v>
      </c>
      <c r="Q62" s="9">
        <v>6</v>
      </c>
      <c r="R62" s="9">
        <v>8</v>
      </c>
      <c r="S62" s="9">
        <v>17</v>
      </c>
      <c r="T62" s="9">
        <v>5</v>
      </c>
      <c r="U62" s="9">
        <v>7</v>
      </c>
      <c r="W62" s="25">
        <v>1</v>
      </c>
      <c r="X62" s="25">
        <v>1</v>
      </c>
      <c r="Y62" s="25">
        <v>1</v>
      </c>
      <c r="Z62" s="25">
        <v>1</v>
      </c>
      <c r="AA62" s="25">
        <v>1</v>
      </c>
      <c r="AC62" s="154" t="str">
        <v>K</v>
      </c>
      <c r="AD62" s="133">
        <v>43</v>
      </c>
      <c r="AE62" s="133">
        <v>26</v>
      </c>
      <c r="AF62" s="133">
        <v>0</v>
      </c>
      <c r="AG62" s="133">
        <v>34</v>
      </c>
      <c r="AH62" s="133">
        <v>33</v>
      </c>
      <c r="AI62" s="5"/>
      <c r="AJ62" s="154" t="str">
        <v>K</v>
      </c>
      <c r="AK62" s="133">
        <v>43</v>
      </c>
      <c r="AL62" s="133">
        <v>26</v>
      </c>
      <c r="AM62" s="133">
        <v>0</v>
      </c>
      <c r="AN62" s="133">
        <v>34</v>
      </c>
      <c r="AO62" s="133">
        <v>33</v>
      </c>
    </row>
    <row r="63" spans="10:41" ht="16.5" customHeight="1" x14ac:dyDescent="0.3">
      <c r="J63" s="9">
        <v>59</v>
      </c>
      <c r="K63" s="16" t="s">
        <v>37</v>
      </c>
      <c r="L63" s="16" t="s">
        <v>18</v>
      </c>
      <c r="M63" s="16" t="s">
        <v>91</v>
      </c>
      <c r="N63" s="16" t="s">
        <v>35</v>
      </c>
      <c r="O63" s="16" t="s">
        <v>35</v>
      </c>
      <c r="Q63" s="9">
        <v>7</v>
      </c>
      <c r="R63" s="9">
        <v>4</v>
      </c>
      <c r="S63" s="9">
        <v>14</v>
      </c>
      <c r="T63" s="9">
        <v>8</v>
      </c>
      <c r="U63" s="9">
        <v>8</v>
      </c>
      <c r="W63" s="25">
        <v>1</v>
      </c>
      <c r="X63" s="25">
        <v>1</v>
      </c>
      <c r="Y63" s="25">
        <v>1</v>
      </c>
      <c r="Z63" s="25">
        <v>1</v>
      </c>
      <c r="AA63" s="25">
        <v>1</v>
      </c>
      <c r="AC63" s="154" t="str">
        <v>Q</v>
      </c>
      <c r="AD63" s="133">
        <v>7</v>
      </c>
      <c r="AE63" s="133">
        <v>13</v>
      </c>
      <c r="AF63" s="133">
        <v>0</v>
      </c>
      <c r="AG63" s="133">
        <v>6</v>
      </c>
      <c r="AH63" s="133">
        <v>13</v>
      </c>
      <c r="AI63" s="5"/>
      <c r="AJ63" s="154" t="str">
        <v>Q</v>
      </c>
      <c r="AK63" s="133">
        <v>7</v>
      </c>
      <c r="AL63" s="133">
        <v>13</v>
      </c>
      <c r="AM63" s="133">
        <v>0</v>
      </c>
      <c r="AN63" s="133">
        <v>6</v>
      </c>
      <c r="AO63" s="133">
        <v>13</v>
      </c>
    </row>
    <row r="64" spans="10:41" ht="16.5" customHeight="1" x14ac:dyDescent="0.3">
      <c r="J64" s="25">
        <v>60</v>
      </c>
      <c r="K64" s="16" t="s">
        <v>35</v>
      </c>
      <c r="L64" s="16" t="s">
        <v>35</v>
      </c>
      <c r="M64" s="16" t="s">
        <v>126</v>
      </c>
      <c r="N64" s="16" t="s">
        <v>92</v>
      </c>
      <c r="O64" s="16" t="s">
        <v>19</v>
      </c>
      <c r="Q64" s="9">
        <v>8</v>
      </c>
      <c r="R64" s="9">
        <v>8</v>
      </c>
      <c r="S64" s="9">
        <v>15</v>
      </c>
      <c r="T64" s="9">
        <v>16</v>
      </c>
      <c r="U64" s="9">
        <v>5</v>
      </c>
      <c r="W64" s="25">
        <v>1</v>
      </c>
      <c r="X64" s="25">
        <v>1</v>
      </c>
      <c r="Y64" s="25">
        <v>1</v>
      </c>
      <c r="Z64" s="25">
        <v>1</v>
      </c>
      <c r="AA64" s="25">
        <v>1</v>
      </c>
      <c r="AC64" s="154" t="str">
        <v>J</v>
      </c>
      <c r="AD64" s="133">
        <v>6</v>
      </c>
      <c r="AE64" s="133">
        <v>8</v>
      </c>
      <c r="AF64" s="133">
        <v>0</v>
      </c>
      <c r="AG64" s="133">
        <v>7</v>
      </c>
      <c r="AH64" s="133">
        <v>14</v>
      </c>
      <c r="AI64" s="5"/>
      <c r="AJ64" s="154" t="str">
        <v>J</v>
      </c>
      <c r="AK64" s="133">
        <v>6</v>
      </c>
      <c r="AL64" s="133">
        <v>8</v>
      </c>
      <c r="AM64" s="133">
        <v>0</v>
      </c>
      <c r="AN64" s="133">
        <v>7</v>
      </c>
      <c r="AO64" s="133">
        <v>14</v>
      </c>
    </row>
    <row r="65" spans="10:41" ht="16.5" customHeight="1" x14ac:dyDescent="0.3">
      <c r="J65" s="9">
        <v>61</v>
      </c>
      <c r="K65" s="16" t="s">
        <v>37</v>
      </c>
      <c r="L65" s="16" t="s">
        <v>92</v>
      </c>
      <c r="M65" s="16" t="s">
        <v>91</v>
      </c>
      <c r="N65" s="16" t="s">
        <v>22</v>
      </c>
      <c r="O65" s="16" t="s">
        <v>20</v>
      </c>
      <c r="Q65" s="9">
        <v>7</v>
      </c>
      <c r="R65" s="9">
        <v>16</v>
      </c>
      <c r="S65" s="9">
        <v>14</v>
      </c>
      <c r="T65" s="9">
        <v>3</v>
      </c>
      <c r="U65" s="9">
        <v>1</v>
      </c>
      <c r="W65" s="25">
        <v>1</v>
      </c>
      <c r="X65" s="25">
        <v>1</v>
      </c>
      <c r="Y65" s="25">
        <v>1</v>
      </c>
      <c r="Z65" s="25">
        <v>1</v>
      </c>
      <c r="AA65" s="25">
        <v>1</v>
      </c>
      <c r="AC65" s="138" t="str">
        <v>G1</v>
      </c>
      <c r="AD65" s="99">
        <v>0</v>
      </c>
      <c r="AE65" s="99">
        <v>3</v>
      </c>
      <c r="AF65" s="99">
        <v>3</v>
      </c>
      <c r="AG65" s="99">
        <v>2</v>
      </c>
      <c r="AH65" s="99">
        <v>0</v>
      </c>
      <c r="AI65" s="5"/>
      <c r="AJ65" s="138" t="str">
        <v>G1</v>
      </c>
      <c r="AK65" s="99">
        <v>0</v>
      </c>
      <c r="AL65" s="99">
        <v>3</v>
      </c>
      <c r="AM65" s="99">
        <v>3</v>
      </c>
      <c r="AN65" s="99">
        <v>2</v>
      </c>
      <c r="AO65" s="99">
        <v>0</v>
      </c>
    </row>
    <row r="66" spans="10:41" ht="16.5" customHeight="1" x14ac:dyDescent="0.3">
      <c r="J66" s="25">
        <v>62</v>
      </c>
      <c r="K66" s="16" t="s">
        <v>35</v>
      </c>
      <c r="L66" s="16" t="s">
        <v>19</v>
      </c>
      <c r="M66" s="16" t="s">
        <v>126</v>
      </c>
      <c r="N66" s="16" t="s">
        <v>37</v>
      </c>
      <c r="O66" s="16" t="s">
        <v>125</v>
      </c>
      <c r="Q66" s="9">
        <v>8</v>
      </c>
      <c r="R66" s="9">
        <v>5</v>
      </c>
      <c r="S66" s="9">
        <v>15</v>
      </c>
      <c r="T66" s="9">
        <v>7</v>
      </c>
      <c r="U66" s="9">
        <v>6</v>
      </c>
      <c r="W66" s="25">
        <v>1</v>
      </c>
      <c r="X66" s="25">
        <v>1</v>
      </c>
      <c r="Y66" s="25">
        <v>1</v>
      </c>
      <c r="Z66" s="25">
        <v>1</v>
      </c>
      <c r="AA66" s="25">
        <v>1</v>
      </c>
      <c r="AC66" s="138" t="str">
        <v>G2</v>
      </c>
      <c r="AD66" s="99">
        <v>0</v>
      </c>
      <c r="AE66" s="99">
        <v>3</v>
      </c>
      <c r="AF66" s="99">
        <v>1</v>
      </c>
      <c r="AG66" s="99">
        <v>2</v>
      </c>
      <c r="AH66" s="99">
        <v>0</v>
      </c>
      <c r="AI66" s="5"/>
      <c r="AJ66" s="138" t="str">
        <v>G2</v>
      </c>
      <c r="AK66" s="99">
        <v>0</v>
      </c>
      <c r="AL66" s="99">
        <v>3</v>
      </c>
      <c r="AM66" s="99">
        <v>1</v>
      </c>
      <c r="AN66" s="99">
        <v>2</v>
      </c>
      <c r="AO66" s="99">
        <v>0</v>
      </c>
    </row>
    <row r="67" spans="10:41" ht="16.5" customHeight="1" x14ac:dyDescent="0.3">
      <c r="J67" s="9">
        <v>63</v>
      </c>
      <c r="K67" s="16" t="s">
        <v>37</v>
      </c>
      <c r="L67" s="16" t="s">
        <v>20</v>
      </c>
      <c r="M67" s="16" t="s">
        <v>92</v>
      </c>
      <c r="N67" s="16" t="s">
        <v>19</v>
      </c>
      <c r="O67" s="16" t="s">
        <v>37</v>
      </c>
      <c r="Q67" s="9">
        <v>7</v>
      </c>
      <c r="R67" s="9">
        <v>1</v>
      </c>
      <c r="S67" s="9">
        <v>16</v>
      </c>
      <c r="T67" s="9">
        <v>5</v>
      </c>
      <c r="U67" s="9">
        <v>7</v>
      </c>
      <c r="W67" s="25">
        <v>1</v>
      </c>
      <c r="X67" s="25">
        <v>1</v>
      </c>
      <c r="Y67" s="25">
        <v>1</v>
      </c>
      <c r="Z67" s="25">
        <v>1</v>
      </c>
      <c r="AA67" s="25">
        <v>1</v>
      </c>
      <c r="AC67" s="138" t="str">
        <v>G3</v>
      </c>
      <c r="AD67" s="99">
        <v>0</v>
      </c>
      <c r="AE67" s="99">
        <v>3</v>
      </c>
      <c r="AF67" s="99">
        <v>8</v>
      </c>
      <c r="AG67" s="99">
        <v>3</v>
      </c>
      <c r="AH67" s="99">
        <v>0</v>
      </c>
      <c r="AI67" s="5"/>
      <c r="AJ67" s="138" t="str">
        <v>G3</v>
      </c>
      <c r="AK67" s="99">
        <v>0</v>
      </c>
      <c r="AL67" s="99">
        <v>3</v>
      </c>
      <c r="AM67" s="99">
        <v>8</v>
      </c>
      <c r="AN67" s="99">
        <v>3</v>
      </c>
      <c r="AO67" s="99">
        <v>0</v>
      </c>
    </row>
    <row r="68" spans="10:41" ht="16.5" customHeight="1" x14ac:dyDescent="0.3">
      <c r="J68" s="25">
        <v>64</v>
      </c>
      <c r="K68" s="16" t="s">
        <v>18</v>
      </c>
      <c r="L68" s="16" t="s">
        <v>34</v>
      </c>
      <c r="M68" s="16" t="s">
        <v>126</v>
      </c>
      <c r="N68" s="16" t="s">
        <v>37</v>
      </c>
      <c r="O68" s="16" t="s">
        <v>125</v>
      </c>
      <c r="Q68" s="9">
        <v>4</v>
      </c>
      <c r="R68" s="9">
        <v>9</v>
      </c>
      <c r="S68" s="9">
        <v>15</v>
      </c>
      <c r="T68" s="9">
        <v>7</v>
      </c>
      <c r="U68" s="9">
        <v>6</v>
      </c>
      <c r="W68" s="25">
        <v>1</v>
      </c>
      <c r="X68" s="25">
        <v>1</v>
      </c>
      <c r="Y68" s="25">
        <v>1</v>
      </c>
      <c r="Z68" s="25">
        <v>1</v>
      </c>
      <c r="AA68" s="25">
        <v>1</v>
      </c>
      <c r="AC68" s="138" t="str">
        <v>G4</v>
      </c>
      <c r="AD68" s="99">
        <v>0</v>
      </c>
      <c r="AE68" s="99">
        <v>6</v>
      </c>
      <c r="AF68" s="99">
        <v>42</v>
      </c>
      <c r="AG68" s="99">
        <v>8</v>
      </c>
      <c r="AH68" s="99">
        <v>0</v>
      </c>
      <c r="AI68" s="5"/>
      <c r="AJ68" s="138" t="str">
        <v>G4</v>
      </c>
      <c r="AK68" s="99">
        <v>0</v>
      </c>
      <c r="AL68" s="99">
        <v>6</v>
      </c>
      <c r="AM68" s="99">
        <v>42</v>
      </c>
      <c r="AN68" s="99">
        <v>8</v>
      </c>
      <c r="AO68" s="99">
        <v>0</v>
      </c>
    </row>
    <row r="69" spans="10:41" ht="16.5" customHeight="1" x14ac:dyDescent="0.3">
      <c r="J69" s="9">
        <v>65</v>
      </c>
      <c r="K69" s="16" t="s">
        <v>19</v>
      </c>
      <c r="L69" s="16" t="s">
        <v>18</v>
      </c>
      <c r="M69" s="16" t="s">
        <v>91</v>
      </c>
      <c r="N69" s="16" t="s">
        <v>19</v>
      </c>
      <c r="O69" s="16" t="s">
        <v>37</v>
      </c>
      <c r="Q69" s="9">
        <v>5</v>
      </c>
      <c r="R69" s="9">
        <v>4</v>
      </c>
      <c r="S69" s="9">
        <v>14</v>
      </c>
      <c r="T69" s="9">
        <v>5</v>
      </c>
      <c r="U69" s="9">
        <v>7</v>
      </c>
      <c r="W69" s="25">
        <v>1</v>
      </c>
      <c r="X69" s="25">
        <v>1</v>
      </c>
      <c r="Y69" s="25">
        <v>1</v>
      </c>
      <c r="Z69" s="25">
        <v>1</v>
      </c>
      <c r="AA69" s="25">
        <v>1</v>
      </c>
      <c r="AC69" s="138" t="str">
        <v>G5</v>
      </c>
      <c r="AD69" s="99">
        <v>0</v>
      </c>
      <c r="AE69" s="99">
        <v>6</v>
      </c>
      <c r="AF69" s="99">
        <v>42</v>
      </c>
      <c r="AG69" s="99">
        <v>7</v>
      </c>
      <c r="AH69" s="99">
        <v>0</v>
      </c>
      <c r="AI69" s="5"/>
      <c r="AJ69" s="138" t="str">
        <v>G5</v>
      </c>
      <c r="AK69" s="99">
        <v>0</v>
      </c>
      <c r="AL69" s="99">
        <v>6</v>
      </c>
      <c r="AM69" s="99">
        <v>42</v>
      </c>
      <c r="AN69" s="99">
        <v>7</v>
      </c>
      <c r="AO69" s="99">
        <v>0</v>
      </c>
    </row>
    <row r="70" spans="10:41" ht="16.5" customHeight="1" x14ac:dyDescent="0.3">
      <c r="J70" s="25">
        <v>66</v>
      </c>
      <c r="K70" s="16" t="s">
        <v>125</v>
      </c>
      <c r="L70" s="16" t="s">
        <v>21</v>
      </c>
      <c r="M70" s="16" t="s">
        <v>112</v>
      </c>
      <c r="N70" s="16" t="s">
        <v>91</v>
      </c>
      <c r="O70" s="16" t="s">
        <v>125</v>
      </c>
      <c r="Q70" s="9">
        <v>6</v>
      </c>
      <c r="R70" s="9">
        <v>2</v>
      </c>
      <c r="S70" s="9">
        <v>17</v>
      </c>
      <c r="T70" s="9">
        <v>14</v>
      </c>
      <c r="U70" s="9">
        <v>6</v>
      </c>
      <c r="W70" s="25">
        <v>1</v>
      </c>
      <c r="X70" s="25">
        <v>1</v>
      </c>
      <c r="Y70" s="25">
        <v>1</v>
      </c>
      <c r="Z70" s="25">
        <v>1</v>
      </c>
      <c r="AA70" s="25">
        <v>1</v>
      </c>
      <c r="AC70" s="138" t="str">
        <v>GA</v>
      </c>
      <c r="AD70" s="99">
        <v>0</v>
      </c>
      <c r="AE70" s="99">
        <v>8</v>
      </c>
      <c r="AF70" s="99">
        <v>42</v>
      </c>
      <c r="AG70" s="99">
        <v>7</v>
      </c>
      <c r="AH70" s="99">
        <v>0</v>
      </c>
      <c r="AI70" s="5"/>
      <c r="AJ70" s="138" t="str">
        <v>GA</v>
      </c>
      <c r="AK70" s="99">
        <v>0</v>
      </c>
      <c r="AL70" s="99">
        <v>8</v>
      </c>
      <c r="AM70" s="99">
        <v>42</v>
      </c>
      <c r="AN70" s="99">
        <v>7</v>
      </c>
      <c r="AO70" s="99">
        <v>0</v>
      </c>
    </row>
    <row r="71" spans="10:41" ht="16.5" customHeight="1" x14ac:dyDescent="0.3">
      <c r="J71" s="9">
        <v>67</v>
      </c>
      <c r="K71" s="16" t="s">
        <v>36</v>
      </c>
      <c r="L71" s="16" t="s">
        <v>19</v>
      </c>
      <c r="M71" s="16" t="s">
        <v>90</v>
      </c>
      <c r="N71" s="16" t="s">
        <v>37</v>
      </c>
      <c r="O71" s="16" t="s">
        <v>35</v>
      </c>
      <c r="Q71" s="9">
        <v>10</v>
      </c>
      <c r="R71" s="9">
        <v>5</v>
      </c>
      <c r="S71" s="9">
        <v>13</v>
      </c>
      <c r="T71" s="9">
        <v>7</v>
      </c>
      <c r="U71" s="9">
        <v>8</v>
      </c>
      <c r="W71" s="25">
        <v>1</v>
      </c>
      <c r="X71" s="25">
        <v>1</v>
      </c>
      <c r="Y71" s="25">
        <v>1</v>
      </c>
      <c r="Z71" s="25">
        <v>1</v>
      </c>
      <c r="AA71" s="25">
        <v>1</v>
      </c>
      <c r="AC71" s="138" t="str">
        <v>GK</v>
      </c>
      <c r="AD71" s="99">
        <v>0</v>
      </c>
      <c r="AE71" s="99">
        <v>6</v>
      </c>
      <c r="AF71" s="99">
        <v>42</v>
      </c>
      <c r="AG71" s="99">
        <v>7</v>
      </c>
      <c r="AH71" s="99">
        <v>0</v>
      </c>
      <c r="AI71" s="5"/>
      <c r="AJ71" s="138" t="str">
        <v>GK</v>
      </c>
      <c r="AK71" s="99">
        <v>0</v>
      </c>
      <c r="AL71" s="99">
        <v>6</v>
      </c>
      <c r="AM71" s="99">
        <v>42</v>
      </c>
      <c r="AN71" s="99">
        <v>7</v>
      </c>
      <c r="AO71" s="99">
        <v>0</v>
      </c>
    </row>
    <row r="72" spans="10:41" ht="16.5" customHeight="1" x14ac:dyDescent="0.3">
      <c r="J72" s="25">
        <v>68</v>
      </c>
      <c r="K72" s="16" t="s">
        <v>35</v>
      </c>
      <c r="L72" s="16" t="s">
        <v>35</v>
      </c>
      <c r="M72" s="16" t="s">
        <v>126</v>
      </c>
      <c r="N72" s="16" t="s">
        <v>125</v>
      </c>
      <c r="O72" s="16" t="s">
        <v>125</v>
      </c>
      <c r="Q72" s="9">
        <v>8</v>
      </c>
      <c r="R72" s="9">
        <v>8</v>
      </c>
      <c r="S72" s="9">
        <v>15</v>
      </c>
      <c r="T72" s="9">
        <v>6</v>
      </c>
      <c r="U72" s="9">
        <v>6</v>
      </c>
      <c r="W72" s="25">
        <v>1</v>
      </c>
      <c r="X72" s="25">
        <v>1</v>
      </c>
      <c r="Y72" s="25">
        <v>1</v>
      </c>
      <c r="Z72" s="25">
        <v>1</v>
      </c>
      <c r="AA72" s="25">
        <v>1</v>
      </c>
      <c r="AC72" s="138" t="str">
        <v>GQ</v>
      </c>
      <c r="AD72" s="99">
        <v>0</v>
      </c>
      <c r="AE72" s="99">
        <v>3</v>
      </c>
      <c r="AF72" s="99">
        <v>6</v>
      </c>
      <c r="AG72" s="99">
        <v>2</v>
      </c>
      <c r="AH72" s="99">
        <v>0</v>
      </c>
      <c r="AI72" s="5"/>
      <c r="AJ72" s="138" t="str">
        <v>GQ</v>
      </c>
      <c r="AK72" s="99">
        <v>0</v>
      </c>
      <c r="AL72" s="99">
        <v>3</v>
      </c>
      <c r="AM72" s="99">
        <v>6</v>
      </c>
      <c r="AN72" s="99">
        <v>2</v>
      </c>
      <c r="AO72" s="99">
        <v>0</v>
      </c>
    </row>
    <row r="73" spans="10:41" ht="16.5" customHeight="1" x14ac:dyDescent="0.3">
      <c r="J73" s="9">
        <v>69</v>
      </c>
      <c r="K73" s="16" t="s">
        <v>19</v>
      </c>
      <c r="L73" s="16" t="s">
        <v>126</v>
      </c>
      <c r="M73" s="16" t="s">
        <v>112</v>
      </c>
      <c r="N73" s="16" t="s">
        <v>19</v>
      </c>
      <c r="O73" s="16" t="s">
        <v>34</v>
      </c>
      <c r="Q73" s="9">
        <v>5</v>
      </c>
      <c r="R73" s="9">
        <v>15</v>
      </c>
      <c r="S73" s="9">
        <v>17</v>
      </c>
      <c r="T73" s="9">
        <v>5</v>
      </c>
      <c r="U73" s="9">
        <v>9</v>
      </c>
      <c r="W73" s="25">
        <v>1</v>
      </c>
      <c r="X73" s="25">
        <v>1</v>
      </c>
      <c r="Y73" s="25">
        <v>1</v>
      </c>
      <c r="Z73" s="25">
        <v>1</v>
      </c>
      <c r="AA73" s="25">
        <v>1</v>
      </c>
      <c r="AC73" s="138" t="str">
        <v>GJ</v>
      </c>
      <c r="AD73" s="99">
        <v>0</v>
      </c>
      <c r="AE73" s="99">
        <v>3</v>
      </c>
      <c r="AF73" s="99">
        <v>9</v>
      </c>
      <c r="AG73" s="99">
        <v>3</v>
      </c>
      <c r="AH73" s="99">
        <v>0</v>
      </c>
      <c r="AI73" s="5"/>
      <c r="AJ73" s="138" t="str">
        <v>GJ</v>
      </c>
      <c r="AK73" s="99">
        <v>0</v>
      </c>
      <c r="AL73" s="99">
        <v>3</v>
      </c>
      <c r="AM73" s="99">
        <v>9</v>
      </c>
      <c r="AN73" s="99">
        <v>3</v>
      </c>
      <c r="AO73" s="99">
        <v>0</v>
      </c>
    </row>
    <row r="74" spans="10:41" ht="16.5" customHeight="1" x14ac:dyDescent="0.3">
      <c r="J74" s="25">
        <v>70</v>
      </c>
      <c r="K74" s="16" t="s">
        <v>22</v>
      </c>
      <c r="L74" s="16" t="s">
        <v>21</v>
      </c>
      <c r="M74" s="16" t="s">
        <v>92</v>
      </c>
      <c r="N74" s="16" t="s">
        <v>35</v>
      </c>
      <c r="O74" s="16" t="s">
        <v>125</v>
      </c>
      <c r="Q74" s="9">
        <v>3</v>
      </c>
      <c r="R74" s="9">
        <v>2</v>
      </c>
      <c r="S74" s="9">
        <v>16</v>
      </c>
      <c r="T74" s="9">
        <v>8</v>
      </c>
      <c r="U74" s="9">
        <v>6</v>
      </c>
      <c r="W74" s="25">
        <v>1</v>
      </c>
      <c r="X74" s="25">
        <v>1</v>
      </c>
      <c r="Y74" s="25">
        <v>1</v>
      </c>
      <c r="Z74" s="25">
        <v>1</v>
      </c>
      <c r="AA74" s="25">
        <v>1</v>
      </c>
      <c r="AD74" s="113">
        <f>SUM(AD54:AD73)</f>
        <v>196</v>
      </c>
      <c r="AE74" s="113">
        <f>SUM(AE54:AE73)</f>
        <v>205</v>
      </c>
      <c r="AF74" s="113">
        <f>SUM(AF54:AF73)</f>
        <v>195</v>
      </c>
      <c r="AG74" s="113">
        <f>SUM(AG54:AG73)</f>
        <v>202</v>
      </c>
      <c r="AH74" s="113">
        <f>SUM(AH54:AH73)</f>
        <v>193</v>
      </c>
      <c r="AI74" s="5"/>
      <c r="AK74" s="113">
        <f>SUM(AK54:AK73)</f>
        <v>196</v>
      </c>
      <c r="AL74" s="113">
        <f>SUM(AL54:AL73)</f>
        <v>205</v>
      </c>
      <c r="AM74" s="113">
        <f>SUM(AM54:AM73)</f>
        <v>195</v>
      </c>
      <c r="AN74" s="113">
        <f>SUM(AN54:AN73)</f>
        <v>202</v>
      </c>
      <c r="AO74" s="113">
        <f>SUM(AO54:AO73)</f>
        <v>193</v>
      </c>
    </row>
    <row r="75" spans="10:41" ht="16.5" customHeight="1" x14ac:dyDescent="0.3">
      <c r="J75" s="9">
        <v>71</v>
      </c>
      <c r="K75" s="16" t="s">
        <v>35</v>
      </c>
      <c r="L75" s="16" t="s">
        <v>37</v>
      </c>
      <c r="M75" s="16" t="s">
        <v>112</v>
      </c>
      <c r="N75" s="16" t="s">
        <v>125</v>
      </c>
      <c r="O75" s="16" t="s">
        <v>19</v>
      </c>
      <c r="Q75" s="9">
        <v>8</v>
      </c>
      <c r="R75" s="9">
        <v>7</v>
      </c>
      <c r="S75" s="9">
        <v>17</v>
      </c>
      <c r="T75" s="9">
        <v>6</v>
      </c>
      <c r="U75" s="9">
        <v>5</v>
      </c>
      <c r="W75" s="25">
        <v>1</v>
      </c>
      <c r="X75" s="25">
        <v>1</v>
      </c>
      <c r="Y75" s="25">
        <v>1</v>
      </c>
      <c r="Z75" s="25">
        <v>1</v>
      </c>
      <c r="AA75" s="25">
        <v>1</v>
      </c>
      <c r="AH75" s="5"/>
      <c r="AI75" s="5"/>
      <c r="AO75" s="5"/>
    </row>
    <row r="76" spans="10:41" ht="16.5" customHeight="1" x14ac:dyDescent="0.3">
      <c r="J76" s="25">
        <v>72</v>
      </c>
      <c r="K76" s="16" t="s">
        <v>125</v>
      </c>
      <c r="L76" s="16" t="s">
        <v>125</v>
      </c>
      <c r="M76" s="16" t="s">
        <v>91</v>
      </c>
      <c r="N76" s="16" t="s">
        <v>35</v>
      </c>
      <c r="O76" s="16" t="s">
        <v>22</v>
      </c>
      <c r="Q76" s="9">
        <v>6</v>
      </c>
      <c r="R76" s="9">
        <v>6</v>
      </c>
      <c r="S76" s="9">
        <v>14</v>
      </c>
      <c r="T76" s="9">
        <v>8</v>
      </c>
      <c r="U76" s="9">
        <v>3</v>
      </c>
      <c r="W76" s="25">
        <v>1</v>
      </c>
      <c r="X76" s="25">
        <v>1</v>
      </c>
      <c r="Y76" s="25">
        <v>1</v>
      </c>
      <c r="Z76" s="25">
        <v>1</v>
      </c>
      <c r="AA76" s="25">
        <v>1</v>
      </c>
      <c r="AH76" s="5"/>
      <c r="AI76" s="5"/>
      <c r="AO76" s="5"/>
    </row>
    <row r="77" spans="10:41" ht="16.5" customHeight="1" x14ac:dyDescent="0.3">
      <c r="J77" s="9">
        <v>73</v>
      </c>
      <c r="K77" s="16" t="s">
        <v>37</v>
      </c>
      <c r="L77" s="16" t="s">
        <v>22</v>
      </c>
      <c r="M77" s="16" t="s">
        <v>126</v>
      </c>
      <c r="N77" s="16" t="s">
        <v>125</v>
      </c>
      <c r="O77" s="16" t="s">
        <v>125</v>
      </c>
      <c r="Q77" s="9">
        <v>7</v>
      </c>
      <c r="R77" s="9">
        <v>3</v>
      </c>
      <c r="S77" s="9">
        <v>15</v>
      </c>
      <c r="T77" s="9">
        <v>6</v>
      </c>
      <c r="U77" s="9">
        <v>6</v>
      </c>
      <c r="W77" s="25">
        <v>1</v>
      </c>
      <c r="X77" s="25">
        <v>1</v>
      </c>
      <c r="Y77" s="25">
        <v>1</v>
      </c>
      <c r="Z77" s="25">
        <v>1</v>
      </c>
      <c r="AA77" s="25">
        <v>1</v>
      </c>
      <c r="AH77" s="5"/>
      <c r="AI77" s="5"/>
      <c r="AO77" s="5"/>
    </row>
    <row r="78" spans="10:41" ht="16.5" customHeight="1" x14ac:dyDescent="0.3">
      <c r="J78" s="25">
        <v>74</v>
      </c>
      <c r="K78" s="16" t="s">
        <v>35</v>
      </c>
      <c r="L78" s="16" t="s">
        <v>35</v>
      </c>
      <c r="M78" s="16" t="s">
        <v>91</v>
      </c>
      <c r="N78" s="16" t="s">
        <v>19</v>
      </c>
      <c r="O78" s="16" t="s">
        <v>35</v>
      </c>
      <c r="Q78" s="9">
        <v>8</v>
      </c>
      <c r="R78" s="9">
        <v>8</v>
      </c>
      <c r="S78" s="9">
        <v>14</v>
      </c>
      <c r="T78" s="9">
        <v>5</v>
      </c>
      <c r="U78" s="9">
        <v>8</v>
      </c>
      <c r="W78" s="25">
        <v>1</v>
      </c>
      <c r="X78" s="25">
        <v>1</v>
      </c>
      <c r="Y78" s="25">
        <v>1</v>
      </c>
      <c r="Z78" s="25">
        <v>1</v>
      </c>
      <c r="AA78" s="25">
        <v>1</v>
      </c>
      <c r="AH78" s="5"/>
      <c r="AI78" s="5"/>
      <c r="AO78" s="5"/>
    </row>
    <row r="79" spans="10:41" ht="16.5" customHeight="1" x14ac:dyDescent="0.3">
      <c r="J79" s="9">
        <v>75</v>
      </c>
      <c r="K79" s="16" t="s">
        <v>19</v>
      </c>
      <c r="L79" s="16" t="s">
        <v>19</v>
      </c>
      <c r="M79" s="16" t="s">
        <v>126</v>
      </c>
      <c r="N79" s="16" t="s">
        <v>35</v>
      </c>
      <c r="O79" s="16" t="s">
        <v>19</v>
      </c>
      <c r="Q79" s="9">
        <v>5</v>
      </c>
      <c r="R79" s="9">
        <v>5</v>
      </c>
      <c r="S79" s="9">
        <v>15</v>
      </c>
      <c r="T79" s="9">
        <v>8</v>
      </c>
      <c r="U79" s="9">
        <v>5</v>
      </c>
      <c r="W79" s="25">
        <v>1</v>
      </c>
      <c r="X79" s="25">
        <v>1</v>
      </c>
      <c r="Y79" s="25">
        <v>1</v>
      </c>
      <c r="Z79" s="25">
        <v>1</v>
      </c>
      <c r="AA79" s="25">
        <v>1</v>
      </c>
      <c r="AH79" s="5"/>
      <c r="AI79" s="5"/>
      <c r="AO79" s="5"/>
    </row>
    <row r="80" spans="10:41" x14ac:dyDescent="0.3">
      <c r="J80" s="25">
        <v>76</v>
      </c>
      <c r="K80" s="16" t="s">
        <v>35</v>
      </c>
      <c r="L80" s="16" t="s">
        <v>34</v>
      </c>
      <c r="M80" s="16" t="s">
        <v>91</v>
      </c>
      <c r="N80" s="16" t="s">
        <v>34</v>
      </c>
      <c r="O80" s="16" t="s">
        <v>36</v>
      </c>
      <c r="Q80" s="9">
        <v>8</v>
      </c>
      <c r="R80" s="9">
        <v>9</v>
      </c>
      <c r="S80" s="9">
        <v>14</v>
      </c>
      <c r="T80" s="9">
        <v>9</v>
      </c>
      <c r="U80" s="9">
        <v>10</v>
      </c>
      <c r="W80" s="25">
        <v>1</v>
      </c>
      <c r="X80" s="25">
        <v>1</v>
      </c>
      <c r="Y80" s="25">
        <v>1</v>
      </c>
      <c r="Z80" s="25">
        <v>1</v>
      </c>
      <c r="AA80" s="25">
        <v>1</v>
      </c>
      <c r="AH80" s="5"/>
      <c r="AI80" s="5"/>
      <c r="AO80" s="5"/>
    </row>
    <row r="81" spans="10:41" x14ac:dyDescent="0.3">
      <c r="J81" s="9">
        <v>77</v>
      </c>
      <c r="K81" s="16" t="s">
        <v>125</v>
      </c>
      <c r="L81" s="16" t="s">
        <v>125</v>
      </c>
      <c r="M81" s="16" t="s">
        <v>126</v>
      </c>
      <c r="N81" s="16" t="s">
        <v>19</v>
      </c>
      <c r="O81" s="16" t="s">
        <v>35</v>
      </c>
      <c r="Q81" s="9">
        <v>6</v>
      </c>
      <c r="R81" s="9">
        <v>6</v>
      </c>
      <c r="S81" s="9">
        <v>15</v>
      </c>
      <c r="T81" s="9">
        <v>5</v>
      </c>
      <c r="U81" s="9">
        <v>8</v>
      </c>
      <c r="W81" s="25">
        <v>1</v>
      </c>
      <c r="X81" s="25">
        <v>1</v>
      </c>
      <c r="Y81" s="25">
        <v>1</v>
      </c>
      <c r="Z81" s="25">
        <v>1</v>
      </c>
      <c r="AA81" s="25">
        <v>1</v>
      </c>
      <c r="AH81" s="5"/>
      <c r="AI81" s="5"/>
      <c r="AO81" s="5"/>
    </row>
    <row r="82" spans="10:41" x14ac:dyDescent="0.3">
      <c r="J82" s="25">
        <v>78</v>
      </c>
      <c r="K82" s="16" t="s">
        <v>35</v>
      </c>
      <c r="L82" s="16" t="s">
        <v>22</v>
      </c>
      <c r="M82" s="16" t="s">
        <v>91</v>
      </c>
      <c r="N82" s="16" t="s">
        <v>35</v>
      </c>
      <c r="O82" s="16" t="s">
        <v>125</v>
      </c>
      <c r="Q82" s="9">
        <v>8</v>
      </c>
      <c r="R82" s="9">
        <v>3</v>
      </c>
      <c r="S82" s="9">
        <v>14</v>
      </c>
      <c r="T82" s="9">
        <v>8</v>
      </c>
      <c r="U82" s="9">
        <v>6</v>
      </c>
      <c r="W82" s="25">
        <v>1</v>
      </c>
      <c r="X82" s="25">
        <v>1</v>
      </c>
      <c r="Y82" s="25">
        <v>1</v>
      </c>
      <c r="Z82" s="25">
        <v>1</v>
      </c>
      <c r="AA82" s="25">
        <v>1</v>
      </c>
      <c r="AH82" s="5"/>
      <c r="AI82" s="5"/>
      <c r="AO82" s="5"/>
    </row>
    <row r="83" spans="10:41" x14ac:dyDescent="0.3">
      <c r="J83" s="9">
        <v>79</v>
      </c>
      <c r="K83" s="16" t="s">
        <v>125</v>
      </c>
      <c r="L83" s="16" t="s">
        <v>20</v>
      </c>
      <c r="M83" s="16" t="s">
        <v>90</v>
      </c>
      <c r="N83" s="16" t="s">
        <v>19</v>
      </c>
      <c r="O83" s="16" t="s">
        <v>19</v>
      </c>
      <c r="Q83" s="9">
        <v>6</v>
      </c>
      <c r="R83" s="9">
        <v>1</v>
      </c>
      <c r="S83" s="9">
        <v>13</v>
      </c>
      <c r="T83" s="9">
        <v>5</v>
      </c>
      <c r="U83" s="9">
        <v>5</v>
      </c>
      <c r="W83" s="25">
        <v>1</v>
      </c>
      <c r="X83" s="25">
        <v>1</v>
      </c>
      <c r="Y83" s="25">
        <v>1</v>
      </c>
      <c r="Z83" s="25">
        <v>1</v>
      </c>
      <c r="AA83" s="25">
        <v>1</v>
      </c>
      <c r="AH83" s="5"/>
      <c r="AI83" s="5"/>
      <c r="AO83" s="5"/>
    </row>
    <row r="84" spans="10:41" x14ac:dyDescent="0.3">
      <c r="J84" s="25">
        <v>80</v>
      </c>
      <c r="K84" s="16" t="s">
        <v>18</v>
      </c>
      <c r="L84" s="16" t="s">
        <v>125</v>
      </c>
      <c r="M84" s="16" t="s">
        <v>91</v>
      </c>
      <c r="N84" s="16" t="s">
        <v>35</v>
      </c>
      <c r="O84" s="16" t="s">
        <v>37</v>
      </c>
      <c r="Q84" s="9">
        <v>4</v>
      </c>
      <c r="R84" s="9">
        <v>6</v>
      </c>
      <c r="S84" s="9">
        <v>14</v>
      </c>
      <c r="T84" s="9">
        <v>8</v>
      </c>
      <c r="U84" s="9">
        <v>7</v>
      </c>
      <c r="W84" s="25">
        <v>1</v>
      </c>
      <c r="X84" s="25">
        <v>1</v>
      </c>
      <c r="Y84" s="25">
        <v>1</v>
      </c>
      <c r="Z84" s="25">
        <v>1</v>
      </c>
      <c r="AA84" s="25">
        <v>1</v>
      </c>
      <c r="AH84" s="5"/>
      <c r="AI84" s="5"/>
      <c r="AO84" s="5"/>
    </row>
    <row r="85" spans="10:41" x14ac:dyDescent="0.3">
      <c r="J85" s="9">
        <v>81</v>
      </c>
      <c r="K85" s="16" t="s">
        <v>19</v>
      </c>
      <c r="L85" s="16" t="s">
        <v>35</v>
      </c>
      <c r="M85" s="16" t="s">
        <v>95</v>
      </c>
      <c r="N85" s="16" t="s">
        <v>20</v>
      </c>
      <c r="O85" s="16" t="s">
        <v>36</v>
      </c>
      <c r="Q85" s="9">
        <v>5</v>
      </c>
      <c r="R85" s="9">
        <v>8</v>
      </c>
      <c r="S85" s="9">
        <v>18</v>
      </c>
      <c r="T85" s="9">
        <v>1</v>
      </c>
      <c r="U85" s="9">
        <v>10</v>
      </c>
      <c r="W85" s="25">
        <v>1</v>
      </c>
      <c r="X85" s="25">
        <v>1</v>
      </c>
      <c r="Y85" s="25">
        <v>1</v>
      </c>
      <c r="Z85" s="25">
        <v>1</v>
      </c>
      <c r="AA85" s="25">
        <v>1</v>
      </c>
      <c r="AH85" s="5"/>
      <c r="AI85" s="5"/>
      <c r="AO85" s="5"/>
    </row>
    <row r="86" spans="10:41" x14ac:dyDescent="0.3">
      <c r="J86" s="25">
        <v>82</v>
      </c>
      <c r="K86" s="16" t="s">
        <v>35</v>
      </c>
      <c r="L86" s="16" t="s">
        <v>34</v>
      </c>
      <c r="M86" s="16" t="s">
        <v>92</v>
      </c>
      <c r="N86" s="16" t="s">
        <v>125</v>
      </c>
      <c r="O86" s="16" t="s">
        <v>37</v>
      </c>
      <c r="Q86" s="9">
        <v>8</v>
      </c>
      <c r="R86" s="9">
        <v>9</v>
      </c>
      <c r="S86" s="9">
        <v>16</v>
      </c>
      <c r="T86" s="9">
        <v>6</v>
      </c>
      <c r="U86" s="9">
        <v>7</v>
      </c>
      <c r="W86" s="25">
        <v>1</v>
      </c>
      <c r="X86" s="25">
        <v>1</v>
      </c>
      <c r="Y86" s="25">
        <v>1</v>
      </c>
      <c r="Z86" s="25">
        <v>1</v>
      </c>
      <c r="AA86" s="25">
        <v>1</v>
      </c>
      <c r="AH86" s="5"/>
      <c r="AI86" s="5"/>
      <c r="AO86" s="5"/>
    </row>
    <row r="87" spans="10:41" x14ac:dyDescent="0.3">
      <c r="J87" s="9">
        <v>83</v>
      </c>
      <c r="K87" s="16" t="s">
        <v>36</v>
      </c>
      <c r="L87" s="16" t="s">
        <v>91</v>
      </c>
      <c r="M87" s="16" t="s">
        <v>126</v>
      </c>
      <c r="N87" s="16" t="s">
        <v>22</v>
      </c>
      <c r="O87" s="16" t="s">
        <v>19</v>
      </c>
      <c r="Q87" s="9">
        <v>10</v>
      </c>
      <c r="R87" s="9">
        <v>14</v>
      </c>
      <c r="S87" s="9">
        <v>15</v>
      </c>
      <c r="T87" s="9">
        <v>3</v>
      </c>
      <c r="U87" s="9">
        <v>5</v>
      </c>
      <c r="W87" s="25">
        <v>1</v>
      </c>
      <c r="X87" s="25">
        <v>1</v>
      </c>
      <c r="Y87" s="25">
        <v>1</v>
      </c>
      <c r="Z87" s="25">
        <v>1</v>
      </c>
      <c r="AA87" s="25">
        <v>1</v>
      </c>
      <c r="AH87" s="5"/>
      <c r="AI87" s="5"/>
      <c r="AO87" s="5"/>
    </row>
    <row r="88" spans="10:41" x14ac:dyDescent="0.3">
      <c r="J88" s="25">
        <v>84</v>
      </c>
      <c r="K88" s="16" t="s">
        <v>125</v>
      </c>
      <c r="L88" s="16" t="s">
        <v>36</v>
      </c>
      <c r="M88" s="16" t="s">
        <v>112</v>
      </c>
      <c r="N88" s="16" t="s">
        <v>37</v>
      </c>
      <c r="O88" s="16" t="s">
        <v>34</v>
      </c>
      <c r="Q88" s="9">
        <v>6</v>
      </c>
      <c r="R88" s="9">
        <v>10</v>
      </c>
      <c r="S88" s="9">
        <v>17</v>
      </c>
      <c r="T88" s="9">
        <v>7</v>
      </c>
      <c r="U88" s="9">
        <v>9</v>
      </c>
      <c r="W88" s="25">
        <v>1</v>
      </c>
      <c r="X88" s="25">
        <v>1</v>
      </c>
      <c r="Y88" s="25">
        <v>1</v>
      </c>
      <c r="Z88" s="25">
        <v>1</v>
      </c>
      <c r="AA88" s="25">
        <v>1</v>
      </c>
      <c r="AH88" s="5"/>
      <c r="AI88" s="5"/>
      <c r="AO88" s="5"/>
    </row>
    <row r="89" spans="10:41" x14ac:dyDescent="0.3">
      <c r="J89" s="9">
        <v>85</v>
      </c>
      <c r="K89" s="16" t="s">
        <v>37</v>
      </c>
      <c r="L89" s="16" t="s">
        <v>95</v>
      </c>
      <c r="M89" s="16" t="s">
        <v>92</v>
      </c>
      <c r="N89" s="16" t="s">
        <v>125</v>
      </c>
      <c r="O89" s="16" t="s">
        <v>19</v>
      </c>
      <c r="Q89" s="9">
        <v>7</v>
      </c>
      <c r="R89" s="9">
        <v>18</v>
      </c>
      <c r="S89" s="9">
        <v>16</v>
      </c>
      <c r="T89" s="9">
        <v>6</v>
      </c>
      <c r="U89" s="9">
        <v>5</v>
      </c>
      <c r="W89" s="25">
        <v>1</v>
      </c>
      <c r="X89" s="25">
        <v>1</v>
      </c>
      <c r="Y89" s="25">
        <v>1</v>
      </c>
      <c r="Z89" s="25">
        <v>1</v>
      </c>
      <c r="AA89" s="25">
        <v>1</v>
      </c>
      <c r="AH89" s="5"/>
      <c r="AI89" s="5"/>
      <c r="AO89" s="5"/>
    </row>
    <row r="90" spans="10:41" x14ac:dyDescent="0.3">
      <c r="J90" s="25">
        <v>86</v>
      </c>
      <c r="K90" s="16" t="s">
        <v>125</v>
      </c>
      <c r="L90" s="16" t="s">
        <v>21</v>
      </c>
      <c r="M90" s="16" t="s">
        <v>126</v>
      </c>
      <c r="N90" s="16" t="s">
        <v>19</v>
      </c>
      <c r="O90" s="16" t="s">
        <v>34</v>
      </c>
      <c r="Q90" s="9">
        <v>6</v>
      </c>
      <c r="R90" s="9">
        <v>2</v>
      </c>
      <c r="S90" s="9">
        <v>15</v>
      </c>
      <c r="T90" s="9">
        <v>5</v>
      </c>
      <c r="U90" s="9">
        <v>9</v>
      </c>
      <c r="W90" s="25">
        <v>1</v>
      </c>
      <c r="X90" s="25">
        <v>1</v>
      </c>
      <c r="Y90" s="25">
        <v>1</v>
      </c>
      <c r="Z90" s="25">
        <v>1</v>
      </c>
      <c r="AA90" s="25">
        <v>1</v>
      </c>
      <c r="AH90" s="5"/>
      <c r="AI90" s="5"/>
      <c r="AO90" s="5"/>
    </row>
    <row r="91" spans="10:41" x14ac:dyDescent="0.3">
      <c r="J91" s="9">
        <v>87</v>
      </c>
      <c r="K91" s="16" t="s">
        <v>36</v>
      </c>
      <c r="L91" s="16" t="s">
        <v>90</v>
      </c>
      <c r="M91" s="16" t="s">
        <v>89</v>
      </c>
      <c r="N91" s="16" t="s">
        <v>37</v>
      </c>
      <c r="O91" s="16" t="s">
        <v>36</v>
      </c>
      <c r="Q91" s="9">
        <v>10</v>
      </c>
      <c r="R91" s="9">
        <v>13</v>
      </c>
      <c r="S91" s="9">
        <v>12</v>
      </c>
      <c r="T91" s="9">
        <v>7</v>
      </c>
      <c r="U91" s="9">
        <v>10</v>
      </c>
      <c r="W91" s="25">
        <v>1</v>
      </c>
      <c r="X91" s="25">
        <v>1</v>
      </c>
      <c r="Y91" s="25">
        <v>1</v>
      </c>
      <c r="Z91" s="25">
        <v>1</v>
      </c>
      <c r="AA91" s="25">
        <v>1</v>
      </c>
      <c r="AH91" s="5"/>
      <c r="AI91" s="5"/>
      <c r="AO91" s="5"/>
    </row>
    <row r="92" spans="10:41" x14ac:dyDescent="0.3">
      <c r="J92" s="25">
        <v>88</v>
      </c>
      <c r="K92" s="16" t="s">
        <v>34</v>
      </c>
      <c r="L92" s="16" t="s">
        <v>37</v>
      </c>
      <c r="M92" s="16" t="s">
        <v>97</v>
      </c>
      <c r="N92" s="16" t="s">
        <v>125</v>
      </c>
      <c r="O92" s="16" t="s">
        <v>34</v>
      </c>
      <c r="Q92" s="9">
        <v>9</v>
      </c>
      <c r="R92" s="9">
        <v>7</v>
      </c>
      <c r="S92" s="9">
        <v>19</v>
      </c>
      <c r="T92" s="9">
        <v>6</v>
      </c>
      <c r="U92" s="9">
        <v>9</v>
      </c>
      <c r="W92" s="25">
        <v>1</v>
      </c>
      <c r="X92" s="25">
        <v>1</v>
      </c>
      <c r="Y92" s="25">
        <v>1</v>
      </c>
      <c r="Z92" s="25">
        <v>1</v>
      </c>
      <c r="AA92" s="25">
        <v>1</v>
      </c>
      <c r="AH92" s="5"/>
      <c r="AI92" s="5"/>
      <c r="AO92" s="5"/>
    </row>
    <row r="93" spans="10:41" x14ac:dyDescent="0.3">
      <c r="J93" s="9">
        <v>89</v>
      </c>
      <c r="K93" s="16" t="s">
        <v>35</v>
      </c>
      <c r="L93" s="16" t="s">
        <v>34</v>
      </c>
      <c r="M93" s="16" t="s">
        <v>126</v>
      </c>
      <c r="N93" s="16" t="s">
        <v>112</v>
      </c>
      <c r="O93" s="16" t="s">
        <v>22</v>
      </c>
      <c r="Q93" s="9">
        <v>8</v>
      </c>
      <c r="R93" s="9">
        <v>9</v>
      </c>
      <c r="S93" s="9">
        <v>15</v>
      </c>
      <c r="T93" s="9">
        <v>17</v>
      </c>
      <c r="U93" s="9">
        <v>3</v>
      </c>
      <c r="W93" s="25">
        <v>1</v>
      </c>
      <c r="X93" s="25">
        <v>1</v>
      </c>
      <c r="Y93" s="25">
        <v>1</v>
      </c>
      <c r="Z93" s="25">
        <v>1</v>
      </c>
      <c r="AA93" s="25">
        <v>1</v>
      </c>
      <c r="AH93" s="5"/>
      <c r="AI93" s="5"/>
      <c r="AO93" s="5"/>
    </row>
    <row r="94" spans="10:41" x14ac:dyDescent="0.3">
      <c r="J94" s="25">
        <v>90</v>
      </c>
      <c r="K94" s="16" t="s">
        <v>19</v>
      </c>
      <c r="L94" s="16" t="s">
        <v>125</v>
      </c>
      <c r="M94" s="16" t="s">
        <v>112</v>
      </c>
      <c r="N94" s="16" t="s">
        <v>35</v>
      </c>
      <c r="O94" s="16" t="s">
        <v>21</v>
      </c>
      <c r="Q94" s="9">
        <v>5</v>
      </c>
      <c r="R94" s="9">
        <v>6</v>
      </c>
      <c r="S94" s="9">
        <v>17</v>
      </c>
      <c r="T94" s="9">
        <v>8</v>
      </c>
      <c r="U94" s="9">
        <v>2</v>
      </c>
      <c r="W94" s="25">
        <v>1</v>
      </c>
      <c r="X94" s="25">
        <v>1</v>
      </c>
      <c r="Y94" s="25">
        <v>1</v>
      </c>
      <c r="Z94" s="25">
        <v>1</v>
      </c>
      <c r="AA94" s="25">
        <v>1</v>
      </c>
      <c r="AH94" s="5"/>
      <c r="AI94" s="5"/>
      <c r="AO94" s="5"/>
    </row>
    <row r="95" spans="10:41" x14ac:dyDescent="0.3">
      <c r="J95" s="9">
        <v>91</v>
      </c>
      <c r="K95" s="16" t="s">
        <v>37</v>
      </c>
      <c r="L95" s="16" t="s">
        <v>92</v>
      </c>
      <c r="M95" s="16" t="s">
        <v>92</v>
      </c>
      <c r="N95" s="16" t="s">
        <v>90</v>
      </c>
      <c r="O95" s="16" t="s">
        <v>36</v>
      </c>
      <c r="Q95" s="9">
        <v>7</v>
      </c>
      <c r="R95" s="9">
        <v>16</v>
      </c>
      <c r="S95" s="9">
        <v>16</v>
      </c>
      <c r="T95" s="9">
        <v>13</v>
      </c>
      <c r="U95" s="9">
        <v>10</v>
      </c>
      <c r="W95" s="25">
        <v>1</v>
      </c>
      <c r="X95" s="25">
        <v>1</v>
      </c>
      <c r="Y95" s="25">
        <v>1</v>
      </c>
      <c r="Z95" s="25">
        <v>1</v>
      </c>
      <c r="AA95" s="25">
        <v>1</v>
      </c>
      <c r="AH95" s="5"/>
      <c r="AI95" s="5"/>
      <c r="AO95" s="5"/>
    </row>
    <row r="96" spans="10:41" x14ac:dyDescent="0.3">
      <c r="J96" s="25">
        <v>92</v>
      </c>
      <c r="K96" s="16" t="s">
        <v>19</v>
      </c>
      <c r="L96" s="16" t="s">
        <v>19</v>
      </c>
      <c r="M96" s="16" t="s">
        <v>91</v>
      </c>
      <c r="N96" s="16" t="s">
        <v>19</v>
      </c>
      <c r="O96" s="16" t="s">
        <v>35</v>
      </c>
      <c r="Q96" s="9">
        <v>5</v>
      </c>
      <c r="R96" s="9">
        <v>5</v>
      </c>
      <c r="S96" s="9">
        <v>14</v>
      </c>
      <c r="T96" s="9">
        <v>5</v>
      </c>
      <c r="U96" s="9">
        <v>8</v>
      </c>
      <c r="W96" s="25">
        <v>1</v>
      </c>
      <c r="X96" s="25">
        <v>1</v>
      </c>
      <c r="Y96" s="25">
        <v>1</v>
      </c>
      <c r="Z96" s="25">
        <v>1</v>
      </c>
      <c r="AA96" s="25">
        <v>1</v>
      </c>
      <c r="AH96" s="5"/>
      <c r="AI96" s="5"/>
      <c r="AO96" s="5"/>
    </row>
    <row r="97" spans="10:41" x14ac:dyDescent="0.3">
      <c r="J97" s="9">
        <v>93</v>
      </c>
      <c r="K97" s="16" t="s">
        <v>125</v>
      </c>
      <c r="L97" s="16" t="s">
        <v>36</v>
      </c>
      <c r="M97" s="16" t="s">
        <v>126</v>
      </c>
      <c r="N97" s="16" t="s">
        <v>91</v>
      </c>
      <c r="O97" s="16" t="s">
        <v>20</v>
      </c>
      <c r="Q97" s="9">
        <v>6</v>
      </c>
      <c r="R97" s="9">
        <v>10</v>
      </c>
      <c r="S97" s="9">
        <v>15</v>
      </c>
      <c r="T97" s="9">
        <v>14</v>
      </c>
      <c r="U97" s="9">
        <v>1</v>
      </c>
      <c r="W97" s="25">
        <v>1</v>
      </c>
      <c r="X97" s="25">
        <v>1</v>
      </c>
      <c r="Y97" s="25">
        <v>1</v>
      </c>
      <c r="Z97" s="25">
        <v>1</v>
      </c>
      <c r="AA97" s="25">
        <v>1</v>
      </c>
      <c r="AH97" s="5"/>
      <c r="AI97" s="5"/>
      <c r="AO97" s="5"/>
    </row>
    <row r="98" spans="10:41" x14ac:dyDescent="0.3">
      <c r="J98" s="25">
        <v>94</v>
      </c>
      <c r="K98" s="16" t="s">
        <v>37</v>
      </c>
      <c r="L98" s="16" t="s">
        <v>125</v>
      </c>
      <c r="M98" s="16" t="s">
        <v>112</v>
      </c>
      <c r="N98" s="16" t="s">
        <v>35</v>
      </c>
      <c r="O98" s="16" t="s">
        <v>37</v>
      </c>
      <c r="Q98" s="9">
        <v>7</v>
      </c>
      <c r="R98" s="9">
        <v>6</v>
      </c>
      <c r="S98" s="9">
        <v>17</v>
      </c>
      <c r="T98" s="9">
        <v>8</v>
      </c>
      <c r="U98" s="9">
        <v>7</v>
      </c>
      <c r="W98" s="25">
        <v>1</v>
      </c>
      <c r="X98" s="25">
        <v>1</v>
      </c>
      <c r="Y98" s="25">
        <v>1</v>
      </c>
      <c r="Z98" s="25">
        <v>1</v>
      </c>
      <c r="AA98" s="25">
        <v>1</v>
      </c>
      <c r="AH98" s="5"/>
      <c r="AI98" s="5"/>
      <c r="AO98" s="5"/>
    </row>
    <row r="99" spans="10:41" x14ac:dyDescent="0.3">
      <c r="J99" s="9">
        <v>95</v>
      </c>
      <c r="K99" s="16" t="s">
        <v>35</v>
      </c>
      <c r="L99" s="16" t="s">
        <v>37</v>
      </c>
      <c r="M99" s="16" t="s">
        <v>91</v>
      </c>
      <c r="N99" s="16" t="s">
        <v>19</v>
      </c>
      <c r="O99" s="16" t="s">
        <v>125</v>
      </c>
      <c r="Q99" s="9">
        <v>8</v>
      </c>
      <c r="R99" s="9">
        <v>7</v>
      </c>
      <c r="S99" s="9">
        <v>14</v>
      </c>
      <c r="T99" s="9">
        <v>5</v>
      </c>
      <c r="U99" s="9">
        <v>6</v>
      </c>
      <c r="W99" s="25">
        <v>1</v>
      </c>
      <c r="X99" s="25">
        <v>1</v>
      </c>
      <c r="Y99" s="25">
        <v>1</v>
      </c>
      <c r="Z99" s="25">
        <v>1</v>
      </c>
      <c r="AA99" s="25">
        <v>1</v>
      </c>
      <c r="AH99" s="5"/>
      <c r="AI99" s="5"/>
      <c r="AO99" s="5"/>
    </row>
    <row r="100" spans="10:41" x14ac:dyDescent="0.3">
      <c r="J100" s="25">
        <v>96</v>
      </c>
      <c r="K100" s="16" t="s">
        <v>20</v>
      </c>
      <c r="L100" s="16" t="s">
        <v>35</v>
      </c>
      <c r="M100" s="16" t="s">
        <v>112</v>
      </c>
      <c r="N100" s="16" t="s">
        <v>37</v>
      </c>
      <c r="O100" s="16" t="s">
        <v>18</v>
      </c>
      <c r="Q100" s="9">
        <v>1</v>
      </c>
      <c r="R100" s="9">
        <v>8</v>
      </c>
      <c r="S100" s="9">
        <v>17</v>
      </c>
      <c r="T100" s="9">
        <v>7</v>
      </c>
      <c r="U100" s="9">
        <v>4</v>
      </c>
      <c r="W100" s="25">
        <v>1</v>
      </c>
      <c r="X100" s="25">
        <v>1</v>
      </c>
      <c r="Y100" s="25">
        <v>1</v>
      </c>
      <c r="Z100" s="25">
        <v>1</v>
      </c>
      <c r="AA100" s="25">
        <v>1</v>
      </c>
      <c r="AH100" s="5"/>
      <c r="AI100" s="5"/>
      <c r="AO100" s="5"/>
    </row>
    <row r="101" spans="10:41" x14ac:dyDescent="0.3">
      <c r="J101" s="9">
        <v>97</v>
      </c>
      <c r="K101" s="16" t="s">
        <v>125</v>
      </c>
      <c r="L101" s="16" t="s">
        <v>125</v>
      </c>
      <c r="M101" s="16" t="s">
        <v>92</v>
      </c>
      <c r="N101" s="16" t="s">
        <v>19</v>
      </c>
      <c r="O101" s="16" t="s">
        <v>35</v>
      </c>
      <c r="Q101" s="9">
        <v>6</v>
      </c>
      <c r="R101" s="9">
        <v>6</v>
      </c>
      <c r="S101" s="9">
        <v>16</v>
      </c>
      <c r="T101" s="9">
        <v>5</v>
      </c>
      <c r="U101" s="9">
        <v>8</v>
      </c>
      <c r="W101" s="25">
        <v>1</v>
      </c>
      <c r="X101" s="25">
        <v>1</v>
      </c>
      <c r="Y101" s="25">
        <v>1</v>
      </c>
      <c r="Z101" s="25">
        <v>1</v>
      </c>
      <c r="AA101" s="25">
        <v>1</v>
      </c>
      <c r="AH101" s="5"/>
      <c r="AI101" s="5"/>
      <c r="AO101" s="5"/>
    </row>
    <row r="102" spans="10:41" x14ac:dyDescent="0.3">
      <c r="J102" s="25">
        <v>98</v>
      </c>
      <c r="K102" s="16" t="s">
        <v>35</v>
      </c>
      <c r="L102" s="16" t="s">
        <v>34</v>
      </c>
      <c r="M102" s="16" t="s">
        <v>91</v>
      </c>
      <c r="N102" s="16" t="s">
        <v>97</v>
      </c>
      <c r="O102" s="16" t="s">
        <v>34</v>
      </c>
      <c r="Q102" s="9">
        <v>8</v>
      </c>
      <c r="R102" s="9">
        <v>9</v>
      </c>
      <c r="S102" s="9">
        <v>14</v>
      </c>
      <c r="T102" s="9">
        <v>19</v>
      </c>
      <c r="U102" s="9">
        <v>9</v>
      </c>
      <c r="W102" s="25">
        <v>1</v>
      </c>
      <c r="X102" s="25">
        <v>1</v>
      </c>
      <c r="Y102" s="25">
        <v>1</v>
      </c>
      <c r="Z102" s="25">
        <v>1</v>
      </c>
      <c r="AA102" s="25">
        <v>1</v>
      </c>
      <c r="AH102" s="5"/>
      <c r="AI102" s="5"/>
      <c r="AO102" s="5"/>
    </row>
    <row r="103" spans="10:41" x14ac:dyDescent="0.3">
      <c r="J103" s="9">
        <v>99</v>
      </c>
      <c r="K103" s="16" t="s">
        <v>19</v>
      </c>
      <c r="L103" s="16" t="s">
        <v>125</v>
      </c>
      <c r="M103" s="16" t="s">
        <v>89</v>
      </c>
      <c r="N103" s="16" t="s">
        <v>35</v>
      </c>
      <c r="O103" s="16" t="s">
        <v>35</v>
      </c>
      <c r="Q103" s="9">
        <v>5</v>
      </c>
      <c r="R103" s="9">
        <v>6</v>
      </c>
      <c r="S103" s="9">
        <v>12</v>
      </c>
      <c r="T103" s="9">
        <v>8</v>
      </c>
      <c r="U103" s="9">
        <v>8</v>
      </c>
      <c r="W103" s="25">
        <v>1</v>
      </c>
      <c r="X103" s="25">
        <v>1</v>
      </c>
      <c r="Y103" s="25">
        <v>1</v>
      </c>
      <c r="Z103" s="25">
        <v>1</v>
      </c>
      <c r="AA103" s="25">
        <v>1</v>
      </c>
      <c r="AH103" s="5"/>
      <c r="AI103" s="5"/>
      <c r="AO103" s="5"/>
    </row>
    <row r="104" spans="10:41" x14ac:dyDescent="0.3">
      <c r="J104" s="25">
        <v>100</v>
      </c>
      <c r="K104" s="16" t="s">
        <v>35</v>
      </c>
      <c r="L104" s="16" t="s">
        <v>112</v>
      </c>
      <c r="M104" s="16" t="s">
        <v>92</v>
      </c>
      <c r="N104" s="16" t="s">
        <v>126</v>
      </c>
      <c r="O104" s="16" t="s">
        <v>19</v>
      </c>
      <c r="Q104" s="9">
        <v>8</v>
      </c>
      <c r="R104" s="9">
        <v>17</v>
      </c>
      <c r="S104" s="9">
        <v>16</v>
      </c>
      <c r="T104" s="9">
        <v>15</v>
      </c>
      <c r="U104" s="9">
        <v>5</v>
      </c>
      <c r="W104" s="25">
        <v>1</v>
      </c>
      <c r="X104" s="25">
        <v>1</v>
      </c>
      <c r="Y104" s="25">
        <v>1</v>
      </c>
      <c r="Z104" s="25">
        <v>1</v>
      </c>
      <c r="AA104" s="25">
        <v>1</v>
      </c>
      <c r="AH104" s="5"/>
      <c r="AI104" s="5"/>
      <c r="AO104" s="5"/>
    </row>
    <row r="105" spans="10:41" x14ac:dyDescent="0.3">
      <c r="J105" s="25">
        <v>101</v>
      </c>
      <c r="K105" s="16" t="s">
        <v>125</v>
      </c>
      <c r="L105" s="16" t="s">
        <v>20</v>
      </c>
      <c r="M105" s="16" t="s">
        <v>112</v>
      </c>
      <c r="N105" s="16" t="s">
        <v>19</v>
      </c>
      <c r="O105" s="16" t="s">
        <v>125</v>
      </c>
      <c r="Q105" s="9">
        <v>6</v>
      </c>
      <c r="R105" s="9">
        <v>1</v>
      </c>
      <c r="S105" s="9">
        <v>17</v>
      </c>
      <c r="T105" s="9">
        <v>5</v>
      </c>
      <c r="U105" s="9">
        <v>6</v>
      </c>
      <c r="W105" s="25">
        <v>1</v>
      </c>
      <c r="X105" s="25">
        <v>1</v>
      </c>
      <c r="Y105" s="25">
        <v>1</v>
      </c>
      <c r="Z105" s="25">
        <v>1</v>
      </c>
      <c r="AA105" s="25">
        <v>1</v>
      </c>
      <c r="AH105" s="5"/>
      <c r="AI105" s="5"/>
      <c r="AO105" s="5"/>
    </row>
    <row r="106" spans="10:41" x14ac:dyDescent="0.3">
      <c r="J106" s="9">
        <v>102</v>
      </c>
      <c r="K106" s="16" t="s">
        <v>37</v>
      </c>
      <c r="L106" s="16" t="s">
        <v>35</v>
      </c>
      <c r="M106" s="16" t="s">
        <v>126</v>
      </c>
      <c r="N106" s="16" t="s">
        <v>35</v>
      </c>
      <c r="O106" s="16" t="s">
        <v>19</v>
      </c>
      <c r="Q106" s="9">
        <v>7</v>
      </c>
      <c r="R106" s="9">
        <v>8</v>
      </c>
      <c r="S106" s="9">
        <v>15</v>
      </c>
      <c r="T106" s="9">
        <v>8</v>
      </c>
      <c r="U106" s="9">
        <v>5</v>
      </c>
      <c r="W106" s="25">
        <v>1</v>
      </c>
      <c r="X106" s="25">
        <v>1</v>
      </c>
      <c r="Y106" s="25">
        <v>1</v>
      </c>
      <c r="Z106" s="25">
        <v>1</v>
      </c>
      <c r="AA106" s="25">
        <v>1</v>
      </c>
      <c r="AH106" s="5"/>
      <c r="AI106" s="5"/>
      <c r="AO106" s="5"/>
    </row>
    <row r="107" spans="10:41" x14ac:dyDescent="0.3">
      <c r="J107" s="25">
        <v>103</v>
      </c>
      <c r="K107" s="16" t="s">
        <v>36</v>
      </c>
      <c r="L107" s="16" t="s">
        <v>37</v>
      </c>
      <c r="M107" s="16" t="s">
        <v>91</v>
      </c>
      <c r="N107" s="16" t="s">
        <v>112</v>
      </c>
      <c r="O107" s="16" t="s">
        <v>37</v>
      </c>
      <c r="Q107" s="9">
        <v>10</v>
      </c>
      <c r="R107" s="9">
        <v>7</v>
      </c>
      <c r="S107" s="9">
        <v>14</v>
      </c>
      <c r="T107" s="9">
        <v>17</v>
      </c>
      <c r="U107" s="9">
        <v>7</v>
      </c>
      <c r="W107" s="25">
        <v>1</v>
      </c>
      <c r="X107" s="25">
        <v>1</v>
      </c>
      <c r="Y107" s="25">
        <v>1</v>
      </c>
      <c r="Z107" s="25">
        <v>1</v>
      </c>
      <c r="AA107" s="25">
        <v>1</v>
      </c>
      <c r="AH107" s="5"/>
      <c r="AI107" s="5"/>
      <c r="AO107" s="5"/>
    </row>
    <row r="108" spans="10:41" x14ac:dyDescent="0.3">
      <c r="J108" s="9">
        <v>104</v>
      </c>
      <c r="K108" s="16" t="s">
        <v>34</v>
      </c>
      <c r="L108" s="16" t="s">
        <v>125</v>
      </c>
      <c r="M108" s="16" t="s">
        <v>92</v>
      </c>
      <c r="N108" s="16" t="s">
        <v>37</v>
      </c>
      <c r="O108" s="16" t="s">
        <v>125</v>
      </c>
      <c r="Q108" s="9">
        <v>9</v>
      </c>
      <c r="R108" s="9">
        <v>6</v>
      </c>
      <c r="S108" s="9">
        <v>16</v>
      </c>
      <c r="T108" s="9">
        <v>7</v>
      </c>
      <c r="U108" s="9">
        <v>6</v>
      </c>
      <c r="W108" s="25">
        <v>1</v>
      </c>
      <c r="X108" s="25">
        <v>1</v>
      </c>
      <c r="Y108" s="25">
        <v>1</v>
      </c>
      <c r="Z108" s="25">
        <v>1</v>
      </c>
      <c r="AA108" s="25">
        <v>1</v>
      </c>
      <c r="AH108" s="5"/>
      <c r="AI108" s="5"/>
      <c r="AO108" s="5"/>
    </row>
    <row r="109" spans="10:41" x14ac:dyDescent="0.3">
      <c r="J109" s="25">
        <v>105</v>
      </c>
      <c r="K109" s="16" t="s">
        <v>19</v>
      </c>
      <c r="L109" s="16" t="s">
        <v>88</v>
      </c>
      <c r="M109" s="16" t="s">
        <v>91</v>
      </c>
      <c r="N109" s="16" t="s">
        <v>36</v>
      </c>
      <c r="O109" s="16" t="s">
        <v>18</v>
      </c>
      <c r="Q109" s="9">
        <v>5</v>
      </c>
      <c r="R109" s="9">
        <v>11</v>
      </c>
      <c r="S109" s="9">
        <v>14</v>
      </c>
      <c r="T109" s="9">
        <v>10</v>
      </c>
      <c r="U109" s="9">
        <v>4</v>
      </c>
      <c r="W109" s="25">
        <v>1</v>
      </c>
      <c r="X109" s="25">
        <v>1</v>
      </c>
      <c r="Y109" s="25">
        <v>1</v>
      </c>
      <c r="Z109" s="25">
        <v>1</v>
      </c>
      <c r="AA109" s="25">
        <v>1</v>
      </c>
      <c r="AH109" s="5"/>
      <c r="AI109" s="5"/>
      <c r="AO109" s="5"/>
    </row>
    <row r="110" spans="10:41" x14ac:dyDescent="0.3">
      <c r="J110" s="9">
        <v>106</v>
      </c>
      <c r="K110" s="16" t="s">
        <v>125</v>
      </c>
      <c r="L110" s="16" t="s">
        <v>126</v>
      </c>
      <c r="M110" s="16" t="s">
        <v>112</v>
      </c>
      <c r="N110" s="16" t="s">
        <v>20</v>
      </c>
      <c r="O110" s="16" t="s">
        <v>22</v>
      </c>
      <c r="Q110" s="9">
        <v>6</v>
      </c>
      <c r="R110" s="9">
        <v>15</v>
      </c>
      <c r="S110" s="9">
        <v>17</v>
      </c>
      <c r="T110" s="9">
        <v>1</v>
      </c>
      <c r="U110" s="9">
        <v>3</v>
      </c>
      <c r="W110" s="25">
        <v>1</v>
      </c>
      <c r="X110" s="25">
        <v>1</v>
      </c>
      <c r="Y110" s="25">
        <v>1</v>
      </c>
      <c r="Z110" s="25">
        <v>1</v>
      </c>
      <c r="AA110" s="25">
        <v>1</v>
      </c>
      <c r="AH110" s="5"/>
      <c r="AI110" s="5"/>
      <c r="AO110" s="5"/>
    </row>
    <row r="111" spans="10:41" x14ac:dyDescent="0.3">
      <c r="J111" s="25">
        <v>107</v>
      </c>
      <c r="K111" s="16" t="s">
        <v>35</v>
      </c>
      <c r="L111" s="16" t="s">
        <v>35</v>
      </c>
      <c r="M111" s="16" t="s">
        <v>91</v>
      </c>
      <c r="N111" s="16" t="s">
        <v>21</v>
      </c>
      <c r="O111" s="16" t="s">
        <v>35</v>
      </c>
      <c r="Q111" s="9">
        <v>8</v>
      </c>
      <c r="R111" s="9">
        <v>8</v>
      </c>
      <c r="S111" s="9">
        <v>14</v>
      </c>
      <c r="T111" s="9">
        <v>2</v>
      </c>
      <c r="U111" s="9">
        <v>8</v>
      </c>
      <c r="W111" s="25">
        <v>1</v>
      </c>
      <c r="X111" s="25">
        <v>1</v>
      </c>
      <c r="Y111" s="25">
        <v>1</v>
      </c>
      <c r="Z111" s="25">
        <v>1</v>
      </c>
      <c r="AA111" s="25">
        <v>1</v>
      </c>
      <c r="AH111" s="5"/>
      <c r="AI111" s="5"/>
      <c r="AO111" s="5"/>
    </row>
    <row r="112" spans="10:41" x14ac:dyDescent="0.3">
      <c r="J112" s="9">
        <v>108</v>
      </c>
      <c r="K112" s="16" t="s">
        <v>125</v>
      </c>
      <c r="L112" s="16" t="s">
        <v>112</v>
      </c>
      <c r="M112" s="16" t="s">
        <v>112</v>
      </c>
      <c r="N112" s="16" t="s">
        <v>19</v>
      </c>
      <c r="O112" s="16" t="s">
        <v>19</v>
      </c>
      <c r="Q112" s="9">
        <v>6</v>
      </c>
      <c r="R112" s="9">
        <v>17</v>
      </c>
      <c r="S112" s="9">
        <v>17</v>
      </c>
      <c r="T112" s="9">
        <v>5</v>
      </c>
      <c r="U112" s="9">
        <v>5</v>
      </c>
      <c r="W112" s="25">
        <v>1</v>
      </c>
      <c r="X112" s="25">
        <v>1</v>
      </c>
      <c r="Y112" s="25">
        <v>1</v>
      </c>
      <c r="Z112" s="25">
        <v>1</v>
      </c>
      <c r="AA112" s="25">
        <v>1</v>
      </c>
      <c r="AH112" s="5"/>
      <c r="AI112" s="5"/>
      <c r="AO112" s="5"/>
    </row>
    <row r="113" spans="10:41" x14ac:dyDescent="0.3">
      <c r="J113" s="25">
        <v>109</v>
      </c>
      <c r="K113" s="16" t="s">
        <v>35</v>
      </c>
      <c r="L113" s="16" t="s">
        <v>18</v>
      </c>
      <c r="M113" s="16" t="s">
        <v>91</v>
      </c>
      <c r="N113" s="16" t="s">
        <v>126</v>
      </c>
      <c r="O113" s="16" t="s">
        <v>35</v>
      </c>
      <c r="Q113" s="9">
        <v>8</v>
      </c>
      <c r="R113" s="9">
        <v>4</v>
      </c>
      <c r="S113" s="9">
        <v>14</v>
      </c>
      <c r="T113" s="9">
        <v>15</v>
      </c>
      <c r="U113" s="9">
        <v>8</v>
      </c>
      <c r="W113" s="25">
        <v>1</v>
      </c>
      <c r="X113" s="25">
        <v>1</v>
      </c>
      <c r="Y113" s="25">
        <v>1</v>
      </c>
      <c r="Z113" s="25">
        <v>1</v>
      </c>
      <c r="AA113" s="25">
        <v>1</v>
      </c>
      <c r="AH113" s="5"/>
      <c r="AI113" s="5"/>
      <c r="AO113" s="5"/>
    </row>
    <row r="114" spans="10:41" x14ac:dyDescent="0.3">
      <c r="J114" s="9">
        <v>110</v>
      </c>
      <c r="K114" s="16" t="s">
        <v>19</v>
      </c>
      <c r="L114" s="16" t="s">
        <v>37</v>
      </c>
      <c r="M114" s="16" t="s">
        <v>112</v>
      </c>
      <c r="N114" s="16" t="s">
        <v>37</v>
      </c>
      <c r="O114" s="16" t="s">
        <v>34</v>
      </c>
      <c r="Q114" s="9">
        <v>5</v>
      </c>
      <c r="R114" s="9">
        <v>7</v>
      </c>
      <c r="S114" s="9">
        <v>17</v>
      </c>
      <c r="T114" s="9">
        <v>7</v>
      </c>
      <c r="U114" s="9">
        <v>9</v>
      </c>
      <c r="W114" s="25">
        <v>1</v>
      </c>
      <c r="X114" s="25">
        <v>1</v>
      </c>
      <c r="Y114" s="25">
        <v>1</v>
      </c>
      <c r="Z114" s="25">
        <v>1</v>
      </c>
      <c r="AA114" s="25">
        <v>1</v>
      </c>
      <c r="AH114" s="5"/>
      <c r="AI114" s="5"/>
      <c r="AO114" s="5"/>
    </row>
    <row r="115" spans="10:41" x14ac:dyDescent="0.3">
      <c r="J115" s="25">
        <v>111</v>
      </c>
      <c r="K115" s="16" t="s">
        <v>37</v>
      </c>
      <c r="L115" s="16" t="s">
        <v>89</v>
      </c>
      <c r="M115" s="16" t="s">
        <v>92</v>
      </c>
      <c r="N115" s="16" t="s">
        <v>21</v>
      </c>
      <c r="O115" s="16" t="s">
        <v>125</v>
      </c>
      <c r="Q115" s="9">
        <v>7</v>
      </c>
      <c r="R115" s="9">
        <v>12</v>
      </c>
      <c r="S115" s="9">
        <v>16</v>
      </c>
      <c r="T115" s="9">
        <v>2</v>
      </c>
      <c r="U115" s="9">
        <v>6</v>
      </c>
      <c r="W115" s="25">
        <v>1</v>
      </c>
      <c r="X115" s="25">
        <v>1</v>
      </c>
      <c r="Y115" s="25">
        <v>1</v>
      </c>
      <c r="Z115" s="25">
        <v>1</v>
      </c>
      <c r="AA115" s="25">
        <v>1</v>
      </c>
      <c r="AH115" s="5"/>
      <c r="AI115" s="5"/>
      <c r="AO115" s="5"/>
    </row>
    <row r="116" spans="10:41" x14ac:dyDescent="0.3">
      <c r="J116" s="9">
        <v>112</v>
      </c>
      <c r="K116" s="16" t="s">
        <v>34</v>
      </c>
      <c r="L116" s="16" t="s">
        <v>125</v>
      </c>
      <c r="M116" s="16" t="s">
        <v>91</v>
      </c>
      <c r="N116" s="16" t="s">
        <v>34</v>
      </c>
      <c r="O116" s="16" t="s">
        <v>18</v>
      </c>
      <c r="Q116" s="9">
        <v>9</v>
      </c>
      <c r="R116" s="9">
        <v>6</v>
      </c>
      <c r="S116" s="9">
        <v>14</v>
      </c>
      <c r="T116" s="9">
        <v>9</v>
      </c>
      <c r="U116" s="9">
        <v>4</v>
      </c>
      <c r="W116" s="25">
        <v>1</v>
      </c>
      <c r="X116" s="25">
        <v>1</v>
      </c>
      <c r="Y116" s="25">
        <v>1</v>
      </c>
      <c r="Z116" s="25">
        <v>1</v>
      </c>
      <c r="AA116" s="25">
        <v>1</v>
      </c>
      <c r="AH116" s="5"/>
      <c r="AI116" s="5"/>
      <c r="AO116" s="5"/>
    </row>
    <row r="117" spans="10:41" x14ac:dyDescent="0.3">
      <c r="J117" s="25">
        <v>113</v>
      </c>
      <c r="K117" s="16" t="s">
        <v>35</v>
      </c>
      <c r="L117" s="16" t="s">
        <v>22</v>
      </c>
      <c r="M117" s="16" t="s">
        <v>112</v>
      </c>
      <c r="N117" s="16" t="s">
        <v>35</v>
      </c>
      <c r="O117" s="16" t="s">
        <v>19</v>
      </c>
      <c r="Q117" s="9">
        <v>8</v>
      </c>
      <c r="R117" s="9">
        <v>3</v>
      </c>
      <c r="S117" s="9">
        <v>17</v>
      </c>
      <c r="T117" s="9">
        <v>8</v>
      </c>
      <c r="U117" s="9">
        <v>5</v>
      </c>
      <c r="W117" s="25">
        <v>1</v>
      </c>
      <c r="X117" s="25">
        <v>1</v>
      </c>
      <c r="Y117" s="25">
        <v>1</v>
      </c>
      <c r="Z117" s="25">
        <v>1</v>
      </c>
      <c r="AA117" s="25">
        <v>1</v>
      </c>
      <c r="AH117" s="5"/>
      <c r="AI117" s="5"/>
      <c r="AO117" s="5"/>
    </row>
    <row r="118" spans="10:41" x14ac:dyDescent="0.3">
      <c r="J118" s="9">
        <v>114</v>
      </c>
      <c r="K118" s="16" t="s">
        <v>37</v>
      </c>
      <c r="L118" s="16" t="s">
        <v>125</v>
      </c>
      <c r="M118" s="16" t="s">
        <v>91</v>
      </c>
      <c r="N118" s="16" t="s">
        <v>37</v>
      </c>
      <c r="O118" s="16" t="s">
        <v>125</v>
      </c>
      <c r="Q118" s="9">
        <v>7</v>
      </c>
      <c r="R118" s="9">
        <v>6</v>
      </c>
      <c r="S118" s="9">
        <v>14</v>
      </c>
      <c r="T118" s="9">
        <v>7</v>
      </c>
      <c r="U118" s="9">
        <v>6</v>
      </c>
      <c r="W118" s="25">
        <v>1</v>
      </c>
      <c r="X118" s="25">
        <v>1</v>
      </c>
      <c r="Y118" s="25">
        <v>1</v>
      </c>
      <c r="Z118" s="25">
        <v>1</v>
      </c>
      <c r="AA118" s="25">
        <v>1</v>
      </c>
      <c r="AH118" s="5"/>
      <c r="AI118" s="5"/>
      <c r="AO118" s="5"/>
    </row>
    <row r="119" spans="10:41" x14ac:dyDescent="0.3">
      <c r="J119" s="25">
        <v>115</v>
      </c>
      <c r="K119" s="16" t="s">
        <v>19</v>
      </c>
      <c r="L119" s="16" t="s">
        <v>92</v>
      </c>
      <c r="M119" s="16" t="s">
        <v>126</v>
      </c>
      <c r="N119" s="16" t="s">
        <v>20</v>
      </c>
      <c r="O119" s="16" t="s">
        <v>37</v>
      </c>
      <c r="Q119" s="9">
        <v>5</v>
      </c>
      <c r="R119" s="9">
        <v>16</v>
      </c>
      <c r="S119" s="9">
        <v>15</v>
      </c>
      <c r="T119" s="9">
        <v>1</v>
      </c>
      <c r="U119" s="9">
        <v>7</v>
      </c>
      <c r="W119" s="25">
        <v>1</v>
      </c>
      <c r="X119" s="25">
        <v>1</v>
      </c>
      <c r="Y119" s="25">
        <v>1</v>
      </c>
      <c r="Z119" s="25">
        <v>1</v>
      </c>
      <c r="AA119" s="25">
        <v>1</v>
      </c>
      <c r="AH119" s="5"/>
      <c r="AI119" s="5"/>
      <c r="AO119" s="5"/>
    </row>
    <row r="120" spans="10:41" x14ac:dyDescent="0.3">
      <c r="J120" s="9">
        <v>116</v>
      </c>
      <c r="K120" s="16" t="s">
        <v>37</v>
      </c>
      <c r="L120" s="16" t="s">
        <v>37</v>
      </c>
      <c r="M120" s="16" t="s">
        <v>112</v>
      </c>
      <c r="N120" s="16" t="s">
        <v>125</v>
      </c>
      <c r="O120" s="16" t="s">
        <v>36</v>
      </c>
      <c r="Q120" s="9">
        <v>7</v>
      </c>
      <c r="R120" s="9">
        <v>7</v>
      </c>
      <c r="S120" s="9">
        <v>17</v>
      </c>
      <c r="T120" s="9">
        <v>6</v>
      </c>
      <c r="U120" s="9">
        <v>10</v>
      </c>
      <c r="W120" s="25">
        <v>1</v>
      </c>
      <c r="X120" s="25">
        <v>1</v>
      </c>
      <c r="Y120" s="25">
        <v>1</v>
      </c>
      <c r="Z120" s="25">
        <v>1</v>
      </c>
      <c r="AA120" s="25">
        <v>1</v>
      </c>
      <c r="AH120" s="5"/>
      <c r="AI120" s="5"/>
      <c r="AO120" s="5"/>
    </row>
    <row r="121" spans="10:41" x14ac:dyDescent="0.3">
      <c r="J121" s="25">
        <v>117</v>
      </c>
      <c r="K121" s="16" t="s">
        <v>125</v>
      </c>
      <c r="L121" s="16" t="s">
        <v>125</v>
      </c>
      <c r="M121" s="16" t="s">
        <v>95</v>
      </c>
      <c r="N121" s="16" t="s">
        <v>18</v>
      </c>
      <c r="O121" s="16" t="s">
        <v>35</v>
      </c>
      <c r="Q121" s="9">
        <v>6</v>
      </c>
      <c r="R121" s="9">
        <v>6</v>
      </c>
      <c r="S121" s="9">
        <v>18</v>
      </c>
      <c r="T121" s="9">
        <v>4</v>
      </c>
      <c r="U121" s="9">
        <v>8</v>
      </c>
      <c r="W121" s="25">
        <v>1</v>
      </c>
      <c r="X121" s="25">
        <v>1</v>
      </c>
      <c r="Y121" s="25">
        <v>1</v>
      </c>
      <c r="Z121" s="25">
        <v>1</v>
      </c>
      <c r="AA121" s="25">
        <v>1</v>
      </c>
      <c r="AH121" s="5"/>
      <c r="AI121" s="5"/>
      <c r="AO121" s="5"/>
    </row>
    <row r="122" spans="10:41" x14ac:dyDescent="0.3">
      <c r="J122" s="9">
        <v>118</v>
      </c>
      <c r="K122" s="16" t="s">
        <v>37</v>
      </c>
      <c r="L122" s="16" t="s">
        <v>19</v>
      </c>
      <c r="M122" s="16" t="s">
        <v>90</v>
      </c>
      <c r="N122" s="16" t="s">
        <v>19</v>
      </c>
      <c r="O122" s="16" t="s">
        <v>19</v>
      </c>
      <c r="Q122" s="9">
        <v>7</v>
      </c>
      <c r="R122" s="9">
        <v>5</v>
      </c>
      <c r="S122" s="9">
        <v>13</v>
      </c>
      <c r="T122" s="9">
        <v>5</v>
      </c>
      <c r="U122" s="9">
        <v>5</v>
      </c>
      <c r="W122" s="25">
        <v>1</v>
      </c>
      <c r="X122" s="25">
        <v>1</v>
      </c>
      <c r="Y122" s="25">
        <v>1</v>
      </c>
      <c r="Z122" s="25">
        <v>1</v>
      </c>
      <c r="AA122" s="25">
        <v>1</v>
      </c>
      <c r="AH122" s="5"/>
      <c r="AI122" s="5"/>
      <c r="AO122" s="5"/>
    </row>
    <row r="123" spans="10:41" x14ac:dyDescent="0.3">
      <c r="J123" s="25">
        <v>119</v>
      </c>
      <c r="K123" s="16" t="s">
        <v>19</v>
      </c>
      <c r="L123" s="16" t="s">
        <v>37</v>
      </c>
      <c r="M123" s="16" t="s">
        <v>126</v>
      </c>
      <c r="N123" s="16" t="s">
        <v>37</v>
      </c>
      <c r="O123" s="16" t="s">
        <v>34</v>
      </c>
      <c r="Q123" s="9">
        <v>5</v>
      </c>
      <c r="R123" s="9">
        <v>7</v>
      </c>
      <c r="S123" s="9">
        <v>15</v>
      </c>
      <c r="T123" s="9">
        <v>7</v>
      </c>
      <c r="U123" s="9">
        <v>9</v>
      </c>
      <c r="W123" s="25">
        <v>1</v>
      </c>
      <c r="X123" s="25">
        <v>1</v>
      </c>
      <c r="Y123" s="25">
        <v>1</v>
      </c>
      <c r="Z123" s="25">
        <v>1</v>
      </c>
      <c r="AA123" s="25">
        <v>1</v>
      </c>
      <c r="AH123" s="5"/>
      <c r="AI123" s="5"/>
      <c r="AO123" s="5"/>
    </row>
    <row r="124" spans="10:41" x14ac:dyDescent="0.3">
      <c r="J124" s="9">
        <v>120</v>
      </c>
      <c r="K124" s="16" t="s">
        <v>35</v>
      </c>
      <c r="L124" s="16" t="s">
        <v>97</v>
      </c>
      <c r="M124" s="16" t="s">
        <v>92</v>
      </c>
      <c r="N124" s="16" t="s">
        <v>19</v>
      </c>
      <c r="O124" s="16" t="s">
        <v>35</v>
      </c>
      <c r="Q124" s="9">
        <v>8</v>
      </c>
      <c r="R124" s="9">
        <v>19</v>
      </c>
      <c r="S124" s="9">
        <v>16</v>
      </c>
      <c r="T124" s="9">
        <v>5</v>
      </c>
      <c r="U124" s="9">
        <v>8</v>
      </c>
      <c r="W124" s="25">
        <v>1</v>
      </c>
      <c r="X124" s="25">
        <v>1</v>
      </c>
      <c r="Y124" s="25">
        <v>1</v>
      </c>
      <c r="Z124" s="25">
        <v>1</v>
      </c>
      <c r="AA124" s="25">
        <v>1</v>
      </c>
      <c r="AH124" s="5"/>
      <c r="AI124" s="5"/>
      <c r="AO124" s="5"/>
    </row>
    <row r="125" spans="10:41" x14ac:dyDescent="0.3">
      <c r="J125" s="25">
        <v>121</v>
      </c>
      <c r="K125" s="16" t="s">
        <v>125</v>
      </c>
      <c r="L125" s="16" t="s">
        <v>36</v>
      </c>
      <c r="M125" s="16" t="s">
        <v>126</v>
      </c>
      <c r="N125" s="16" t="s">
        <v>37</v>
      </c>
      <c r="O125" s="16" t="s">
        <v>37</v>
      </c>
      <c r="Q125" s="9">
        <v>6</v>
      </c>
      <c r="R125" s="9">
        <v>10</v>
      </c>
      <c r="S125" s="9">
        <v>15</v>
      </c>
      <c r="T125" s="9">
        <v>7</v>
      </c>
      <c r="U125" s="9">
        <v>7</v>
      </c>
      <c r="W125" s="25">
        <v>1</v>
      </c>
      <c r="X125" s="25">
        <v>1</v>
      </c>
      <c r="Y125" s="25">
        <v>1</v>
      </c>
      <c r="Z125" s="25">
        <v>1</v>
      </c>
      <c r="AA125" s="25">
        <v>1</v>
      </c>
      <c r="AH125" s="5"/>
      <c r="AI125" s="5"/>
      <c r="AO125" s="5"/>
    </row>
    <row r="126" spans="10:41" x14ac:dyDescent="0.3">
      <c r="J126" s="9">
        <v>122</v>
      </c>
      <c r="K126" s="16" t="s">
        <v>37</v>
      </c>
      <c r="L126" s="16" t="s">
        <v>91</v>
      </c>
      <c r="M126" s="16" t="s">
        <v>91</v>
      </c>
      <c r="N126" s="16" t="s">
        <v>126</v>
      </c>
      <c r="O126" s="16" t="s">
        <v>125</v>
      </c>
      <c r="Q126" s="9">
        <v>7</v>
      </c>
      <c r="R126" s="9">
        <v>14</v>
      </c>
      <c r="S126" s="9">
        <v>14</v>
      </c>
      <c r="T126" s="9">
        <v>15</v>
      </c>
      <c r="U126" s="9">
        <v>6</v>
      </c>
      <c r="W126" s="25">
        <v>1</v>
      </c>
      <c r="X126" s="25">
        <v>1</v>
      </c>
      <c r="Y126" s="25">
        <v>1</v>
      </c>
      <c r="Z126" s="25">
        <v>1</v>
      </c>
      <c r="AA126" s="25">
        <v>1</v>
      </c>
      <c r="AH126" s="5"/>
      <c r="AI126" s="5"/>
      <c r="AO126" s="5"/>
    </row>
    <row r="127" spans="10:41" x14ac:dyDescent="0.3">
      <c r="J127" s="25">
        <v>123</v>
      </c>
      <c r="K127" s="16" t="s">
        <v>35</v>
      </c>
      <c r="L127" s="16" t="s">
        <v>125</v>
      </c>
      <c r="M127" s="16" t="s">
        <v>126</v>
      </c>
      <c r="N127" s="16" t="s">
        <v>36</v>
      </c>
      <c r="O127" s="16" t="s">
        <v>35</v>
      </c>
      <c r="Q127" s="9">
        <v>8</v>
      </c>
      <c r="R127" s="9">
        <v>6</v>
      </c>
      <c r="S127" s="9">
        <v>15</v>
      </c>
      <c r="T127" s="9">
        <v>10</v>
      </c>
      <c r="U127" s="9">
        <v>8</v>
      </c>
      <c r="W127" s="25">
        <v>1</v>
      </c>
      <c r="X127" s="25">
        <v>1</v>
      </c>
      <c r="Y127" s="25">
        <v>1</v>
      </c>
      <c r="Z127" s="25">
        <v>1</v>
      </c>
      <c r="AA127" s="25">
        <v>1</v>
      </c>
      <c r="AH127" s="5"/>
      <c r="AI127" s="5"/>
      <c r="AO127" s="5"/>
    </row>
    <row r="128" spans="10:41" x14ac:dyDescent="0.3">
      <c r="J128" s="9">
        <v>124</v>
      </c>
      <c r="K128" s="16" t="s">
        <v>125</v>
      </c>
      <c r="L128" s="16" t="s">
        <v>37</v>
      </c>
      <c r="M128" s="16" t="s">
        <v>112</v>
      </c>
      <c r="N128" s="16" t="s">
        <v>112</v>
      </c>
      <c r="O128" s="16" t="s">
        <v>21</v>
      </c>
      <c r="Q128" s="9">
        <v>6</v>
      </c>
      <c r="R128" s="9">
        <v>7</v>
      </c>
      <c r="S128" s="9">
        <v>17</v>
      </c>
      <c r="T128" s="9">
        <v>17</v>
      </c>
      <c r="U128" s="9">
        <v>2</v>
      </c>
      <c r="W128" s="25">
        <v>1</v>
      </c>
      <c r="X128" s="25">
        <v>1</v>
      </c>
      <c r="Y128" s="25">
        <v>1</v>
      </c>
      <c r="Z128" s="25">
        <v>1</v>
      </c>
      <c r="AA128" s="25">
        <v>1</v>
      </c>
      <c r="AH128" s="5"/>
      <c r="AI128" s="5"/>
      <c r="AO128" s="5"/>
    </row>
    <row r="129" spans="10:41" x14ac:dyDescent="0.3">
      <c r="J129" s="25">
        <v>125</v>
      </c>
      <c r="K129" s="16" t="s">
        <v>19</v>
      </c>
      <c r="L129" s="16" t="s">
        <v>112</v>
      </c>
      <c r="M129" s="16" t="s">
        <v>89</v>
      </c>
      <c r="N129" s="16" t="s">
        <v>92</v>
      </c>
      <c r="O129" s="16" t="s">
        <v>35</v>
      </c>
      <c r="Q129" s="9">
        <v>5</v>
      </c>
      <c r="R129" s="9">
        <v>17</v>
      </c>
      <c r="S129" s="9">
        <v>12</v>
      </c>
      <c r="T129" s="9">
        <v>16</v>
      </c>
      <c r="U129" s="9">
        <v>8</v>
      </c>
      <c r="W129" s="25">
        <v>1</v>
      </c>
      <c r="X129" s="25">
        <v>1</v>
      </c>
      <c r="Y129" s="25">
        <v>1</v>
      </c>
      <c r="Z129" s="25">
        <v>1</v>
      </c>
      <c r="AA129" s="25">
        <v>1</v>
      </c>
      <c r="AH129" s="5"/>
      <c r="AI129" s="5"/>
      <c r="AO129" s="5"/>
    </row>
    <row r="130" spans="10:41" x14ac:dyDescent="0.3">
      <c r="J130" s="9">
        <v>126</v>
      </c>
      <c r="K130" s="16" t="s">
        <v>37</v>
      </c>
      <c r="L130" s="16" t="s">
        <v>22</v>
      </c>
      <c r="M130" s="16" t="s">
        <v>97</v>
      </c>
      <c r="N130" s="16" t="s">
        <v>19</v>
      </c>
      <c r="O130" s="16" t="s">
        <v>37</v>
      </c>
      <c r="Q130" s="9">
        <v>7</v>
      </c>
      <c r="R130" s="9">
        <v>3</v>
      </c>
      <c r="S130" s="9">
        <v>19</v>
      </c>
      <c r="T130" s="9">
        <v>5</v>
      </c>
      <c r="U130" s="9">
        <v>7</v>
      </c>
      <c r="W130" s="25">
        <v>1</v>
      </c>
      <c r="X130" s="25">
        <v>1</v>
      </c>
      <c r="Y130" s="25">
        <v>1</v>
      </c>
      <c r="Z130" s="25">
        <v>1</v>
      </c>
      <c r="AA130" s="25">
        <v>1</v>
      </c>
      <c r="AH130" s="5"/>
      <c r="AI130" s="5"/>
      <c r="AO130" s="5"/>
    </row>
    <row r="131" spans="10:41" x14ac:dyDescent="0.3">
      <c r="J131" s="25">
        <v>127</v>
      </c>
      <c r="K131" s="16" t="s">
        <v>19</v>
      </c>
      <c r="L131" s="16" t="s">
        <v>37</v>
      </c>
      <c r="M131" s="16" t="s">
        <v>92</v>
      </c>
      <c r="N131" s="16" t="s">
        <v>125</v>
      </c>
      <c r="O131" s="16" t="s">
        <v>34</v>
      </c>
      <c r="Q131" s="9">
        <v>5</v>
      </c>
      <c r="R131" s="9">
        <v>7</v>
      </c>
      <c r="S131" s="9">
        <v>16</v>
      </c>
      <c r="T131" s="9">
        <v>6</v>
      </c>
      <c r="U131" s="9">
        <v>9</v>
      </c>
      <c r="W131" s="25">
        <v>1</v>
      </c>
      <c r="X131" s="25">
        <v>1</v>
      </c>
      <c r="Y131" s="25">
        <v>1</v>
      </c>
      <c r="Z131" s="25">
        <v>1</v>
      </c>
      <c r="AA131" s="25">
        <v>1</v>
      </c>
      <c r="AH131" s="5"/>
      <c r="AI131" s="5"/>
      <c r="AO131" s="5"/>
    </row>
    <row r="132" spans="10:41" x14ac:dyDescent="0.3">
      <c r="J132" s="9">
        <v>128</v>
      </c>
      <c r="K132" s="16" t="s">
        <v>37</v>
      </c>
      <c r="L132" s="16" t="s">
        <v>35</v>
      </c>
      <c r="M132" s="16" t="s">
        <v>112</v>
      </c>
      <c r="N132" s="16" t="s">
        <v>19</v>
      </c>
      <c r="O132" s="16" t="s">
        <v>36</v>
      </c>
      <c r="Q132" s="9">
        <v>7</v>
      </c>
      <c r="R132" s="9">
        <v>8</v>
      </c>
      <c r="S132" s="9">
        <v>17</v>
      </c>
      <c r="T132" s="9">
        <v>5</v>
      </c>
      <c r="U132" s="9">
        <v>10</v>
      </c>
      <c r="W132" s="25">
        <v>1</v>
      </c>
      <c r="X132" s="25">
        <v>1</v>
      </c>
      <c r="Y132" s="25">
        <v>1</v>
      </c>
      <c r="Z132" s="25">
        <v>1</v>
      </c>
      <c r="AA132" s="25">
        <v>1</v>
      </c>
      <c r="AH132" s="5"/>
      <c r="AI132" s="5"/>
      <c r="AO132" s="5"/>
    </row>
    <row r="133" spans="10:41" x14ac:dyDescent="0.3">
      <c r="J133" s="25">
        <v>129</v>
      </c>
      <c r="K133" s="16" t="s">
        <v>125</v>
      </c>
      <c r="L133" s="16" t="s">
        <v>125</v>
      </c>
      <c r="M133" s="16" t="s">
        <v>126</v>
      </c>
      <c r="N133" s="16" t="s">
        <v>112</v>
      </c>
      <c r="O133" s="16" t="s">
        <v>125</v>
      </c>
      <c r="Q133" s="9">
        <v>6</v>
      </c>
      <c r="R133" s="9">
        <v>6</v>
      </c>
      <c r="S133" s="9">
        <v>15</v>
      </c>
      <c r="T133" s="9">
        <v>17</v>
      </c>
      <c r="U133" s="9">
        <v>6</v>
      </c>
      <c r="W133" s="25">
        <v>1</v>
      </c>
      <c r="X133" s="25">
        <v>1</v>
      </c>
      <c r="Y133" s="25">
        <v>1</v>
      </c>
      <c r="Z133" s="25">
        <v>1</v>
      </c>
      <c r="AA133" s="25">
        <v>1</v>
      </c>
      <c r="AH133" s="5"/>
      <c r="AI133" s="5"/>
      <c r="AO133" s="5"/>
    </row>
    <row r="134" spans="10:41" x14ac:dyDescent="0.3">
      <c r="J134" s="9">
        <v>130</v>
      </c>
      <c r="K134" s="16" t="s">
        <v>37</v>
      </c>
      <c r="L134" s="16" t="s">
        <v>22</v>
      </c>
      <c r="M134" s="16" t="s">
        <v>91</v>
      </c>
      <c r="N134" s="16" t="s">
        <v>37</v>
      </c>
      <c r="O134" s="16" t="s">
        <v>37</v>
      </c>
      <c r="Q134" s="9">
        <v>7</v>
      </c>
      <c r="R134" s="9">
        <v>3</v>
      </c>
      <c r="S134" s="9">
        <v>14</v>
      </c>
      <c r="T134" s="9">
        <v>7</v>
      </c>
      <c r="U134" s="9">
        <v>7</v>
      </c>
      <c r="W134" s="25">
        <v>1</v>
      </c>
      <c r="X134" s="25">
        <v>1</v>
      </c>
      <c r="Y134" s="25">
        <v>1</v>
      </c>
      <c r="Z134" s="25">
        <v>1</v>
      </c>
      <c r="AA134" s="25">
        <v>1</v>
      </c>
      <c r="AH134" s="5"/>
      <c r="AI134" s="5"/>
      <c r="AO134" s="5"/>
    </row>
    <row r="135" spans="10:41" x14ac:dyDescent="0.3">
      <c r="J135" s="25">
        <v>131</v>
      </c>
      <c r="K135" s="16" t="s">
        <v>35</v>
      </c>
      <c r="L135" s="16" t="s">
        <v>34</v>
      </c>
      <c r="M135" s="16" t="s">
        <v>112</v>
      </c>
      <c r="N135" s="16" t="s">
        <v>35</v>
      </c>
      <c r="O135" s="16" t="s">
        <v>19</v>
      </c>
      <c r="Q135" s="9">
        <v>8</v>
      </c>
      <c r="R135" s="9">
        <v>9</v>
      </c>
      <c r="S135" s="9">
        <v>17</v>
      </c>
      <c r="T135" s="9">
        <v>8</v>
      </c>
      <c r="U135" s="9">
        <v>5</v>
      </c>
      <c r="W135" s="25">
        <v>1</v>
      </c>
      <c r="X135" s="25">
        <v>1</v>
      </c>
      <c r="Y135" s="25">
        <v>1</v>
      </c>
      <c r="Z135" s="25">
        <v>1</v>
      </c>
      <c r="AA135" s="25">
        <v>1</v>
      </c>
      <c r="AH135" s="5"/>
      <c r="AI135" s="5"/>
      <c r="AO135" s="5"/>
    </row>
    <row r="136" spans="10:41" x14ac:dyDescent="0.3">
      <c r="J136" s="9">
        <v>132</v>
      </c>
      <c r="K136" s="16" t="s">
        <v>125</v>
      </c>
      <c r="L136" s="16" t="s">
        <v>20</v>
      </c>
      <c r="M136" s="16" t="s">
        <v>92</v>
      </c>
      <c r="N136" s="16" t="s">
        <v>37</v>
      </c>
      <c r="O136" s="16" t="s">
        <v>37</v>
      </c>
      <c r="Q136" s="9">
        <v>6</v>
      </c>
      <c r="R136" s="9">
        <v>1</v>
      </c>
      <c r="S136" s="9">
        <v>16</v>
      </c>
      <c r="T136" s="9">
        <v>7</v>
      </c>
      <c r="U136" s="9">
        <v>7</v>
      </c>
      <c r="W136" s="25">
        <v>1</v>
      </c>
      <c r="X136" s="25">
        <v>1</v>
      </c>
      <c r="Y136" s="25">
        <v>1</v>
      </c>
      <c r="Z136" s="25">
        <v>1</v>
      </c>
      <c r="AA136" s="25">
        <v>1</v>
      </c>
      <c r="AH136" s="5"/>
      <c r="AI136" s="5"/>
      <c r="AO136" s="5"/>
    </row>
    <row r="137" spans="10:41" x14ac:dyDescent="0.3">
      <c r="J137" s="25">
        <v>133</v>
      </c>
      <c r="K137" s="16" t="s">
        <v>19</v>
      </c>
      <c r="L137" s="16" t="s">
        <v>37</v>
      </c>
      <c r="M137" s="16" t="s">
        <v>112</v>
      </c>
      <c r="N137" s="16" t="s">
        <v>35</v>
      </c>
      <c r="O137" s="16" t="s">
        <v>22</v>
      </c>
      <c r="Q137" s="9">
        <v>5</v>
      </c>
      <c r="R137" s="9">
        <v>7</v>
      </c>
      <c r="S137" s="9">
        <v>17</v>
      </c>
      <c r="T137" s="9">
        <v>8</v>
      </c>
      <c r="U137" s="9">
        <v>3</v>
      </c>
      <c r="W137" s="25">
        <v>1</v>
      </c>
      <c r="X137" s="25">
        <v>1</v>
      </c>
      <c r="Y137" s="25">
        <v>1</v>
      </c>
      <c r="Z137" s="25">
        <v>1</v>
      </c>
      <c r="AA137" s="25">
        <v>1</v>
      </c>
      <c r="AH137" s="5"/>
      <c r="AI137" s="5"/>
      <c r="AO137" s="5"/>
    </row>
    <row r="138" spans="10:41" x14ac:dyDescent="0.3">
      <c r="J138" s="9">
        <v>134</v>
      </c>
      <c r="K138" s="16" t="s">
        <v>35</v>
      </c>
      <c r="L138" s="16" t="s">
        <v>95</v>
      </c>
      <c r="M138" s="16" t="s">
        <v>91</v>
      </c>
      <c r="N138" s="16" t="s">
        <v>37</v>
      </c>
      <c r="O138" s="16" t="s">
        <v>125</v>
      </c>
      <c r="Q138" s="9">
        <v>8</v>
      </c>
      <c r="R138" s="9">
        <v>18</v>
      </c>
      <c r="S138" s="9">
        <v>14</v>
      </c>
      <c r="T138" s="9">
        <v>7</v>
      </c>
      <c r="U138" s="9">
        <v>6</v>
      </c>
      <c r="W138" s="25">
        <v>1</v>
      </c>
      <c r="X138" s="25">
        <v>1</v>
      </c>
      <c r="Y138" s="25">
        <v>1</v>
      </c>
      <c r="Z138" s="25">
        <v>1</v>
      </c>
      <c r="AA138" s="25">
        <v>1</v>
      </c>
      <c r="AH138" s="5"/>
      <c r="AI138" s="5"/>
      <c r="AO138" s="5"/>
    </row>
    <row r="139" spans="10:41" x14ac:dyDescent="0.3">
      <c r="J139" s="25">
        <v>135</v>
      </c>
      <c r="K139" s="16" t="s">
        <v>37</v>
      </c>
      <c r="L139" s="16" t="s">
        <v>35</v>
      </c>
      <c r="M139" s="16" t="s">
        <v>92</v>
      </c>
      <c r="N139" s="16" t="s">
        <v>35</v>
      </c>
      <c r="O139" s="16" t="s">
        <v>20</v>
      </c>
      <c r="Q139" s="9">
        <v>7</v>
      </c>
      <c r="R139" s="9">
        <v>8</v>
      </c>
      <c r="S139" s="9">
        <v>16</v>
      </c>
      <c r="T139" s="9">
        <v>8</v>
      </c>
      <c r="U139" s="9">
        <v>1</v>
      </c>
      <c r="W139" s="25">
        <v>1</v>
      </c>
      <c r="X139" s="25">
        <v>1</v>
      </c>
      <c r="Y139" s="25">
        <v>1</v>
      </c>
      <c r="Z139" s="25">
        <v>1</v>
      </c>
      <c r="AA139" s="25">
        <v>1</v>
      </c>
      <c r="AH139" s="5"/>
      <c r="AI139" s="5"/>
      <c r="AO139" s="5"/>
    </row>
    <row r="140" spans="10:41" x14ac:dyDescent="0.3">
      <c r="J140" s="9">
        <v>136</v>
      </c>
      <c r="K140" s="16" t="s">
        <v>19</v>
      </c>
      <c r="L140" s="16" t="s">
        <v>19</v>
      </c>
      <c r="M140" s="16" t="s">
        <v>89</v>
      </c>
      <c r="N140" s="16" t="s">
        <v>125</v>
      </c>
      <c r="O140" s="16" t="s">
        <v>37</v>
      </c>
      <c r="Q140" s="9">
        <v>5</v>
      </c>
      <c r="R140" s="9">
        <v>5</v>
      </c>
      <c r="S140" s="9">
        <v>12</v>
      </c>
      <c r="T140" s="9">
        <v>6</v>
      </c>
      <c r="U140" s="9">
        <v>7</v>
      </c>
      <c r="W140" s="25">
        <v>1</v>
      </c>
      <c r="X140" s="25">
        <v>1</v>
      </c>
      <c r="Y140" s="25">
        <v>1</v>
      </c>
      <c r="Z140" s="25">
        <v>1</v>
      </c>
      <c r="AA140" s="25">
        <v>1</v>
      </c>
      <c r="AH140" s="5"/>
      <c r="AI140" s="5"/>
      <c r="AO140" s="5"/>
    </row>
    <row r="141" spans="10:41" x14ac:dyDescent="0.3">
      <c r="J141" s="25">
        <v>137</v>
      </c>
      <c r="K141" s="16" t="s">
        <v>37</v>
      </c>
      <c r="L141" s="16" t="s">
        <v>37</v>
      </c>
      <c r="M141" s="16" t="s">
        <v>126</v>
      </c>
      <c r="N141" s="16" t="s">
        <v>37</v>
      </c>
      <c r="O141" s="16" t="s">
        <v>35</v>
      </c>
      <c r="Q141" s="9">
        <v>7</v>
      </c>
      <c r="R141" s="9">
        <v>7</v>
      </c>
      <c r="S141" s="9">
        <v>15</v>
      </c>
      <c r="T141" s="9">
        <v>7</v>
      </c>
      <c r="U141" s="9">
        <v>8</v>
      </c>
      <c r="W141" s="25">
        <v>1</v>
      </c>
      <c r="X141" s="25">
        <v>1</v>
      </c>
      <c r="Y141" s="25">
        <v>1</v>
      </c>
      <c r="Z141" s="25">
        <v>1</v>
      </c>
      <c r="AA141" s="25">
        <v>1</v>
      </c>
      <c r="AH141" s="5"/>
      <c r="AI141" s="5"/>
      <c r="AO141" s="5"/>
    </row>
    <row r="142" spans="10:41" x14ac:dyDescent="0.3">
      <c r="J142" s="9">
        <v>138</v>
      </c>
      <c r="K142" s="16" t="s">
        <v>19</v>
      </c>
      <c r="L142" s="16" t="s">
        <v>22</v>
      </c>
      <c r="M142" s="16" t="s">
        <v>92</v>
      </c>
      <c r="N142" s="16" t="s">
        <v>19</v>
      </c>
      <c r="O142" s="16" t="s">
        <v>37</v>
      </c>
      <c r="Q142" s="9">
        <v>5</v>
      </c>
      <c r="R142" s="9">
        <v>3</v>
      </c>
      <c r="S142" s="9">
        <v>16</v>
      </c>
      <c r="T142" s="9">
        <v>5</v>
      </c>
      <c r="U142" s="9">
        <v>7</v>
      </c>
      <c r="W142" s="25">
        <v>1</v>
      </c>
      <c r="X142" s="25">
        <v>1</v>
      </c>
      <c r="Y142" s="25">
        <v>1</v>
      </c>
      <c r="Z142" s="25">
        <v>1</v>
      </c>
      <c r="AA142" s="25">
        <v>1</v>
      </c>
      <c r="AH142" s="5"/>
      <c r="AI142" s="5"/>
      <c r="AO142" s="5"/>
    </row>
    <row r="143" spans="10:41" x14ac:dyDescent="0.3">
      <c r="J143" s="25">
        <v>139</v>
      </c>
      <c r="K143" s="16" t="s">
        <v>36</v>
      </c>
      <c r="L143" s="16" t="s">
        <v>37</v>
      </c>
      <c r="M143" s="16" t="s">
        <v>88</v>
      </c>
      <c r="N143" s="16" t="s">
        <v>90</v>
      </c>
      <c r="O143" s="16" t="s">
        <v>36</v>
      </c>
      <c r="Q143" s="9">
        <v>10</v>
      </c>
      <c r="R143" s="9">
        <v>7</v>
      </c>
      <c r="S143" s="9">
        <v>11</v>
      </c>
      <c r="T143" s="9">
        <v>13</v>
      </c>
      <c r="U143" s="9">
        <v>10</v>
      </c>
      <c r="W143" s="25">
        <v>1</v>
      </c>
      <c r="X143" s="25">
        <v>1</v>
      </c>
      <c r="Y143" s="25">
        <v>1</v>
      </c>
      <c r="Z143" s="25">
        <v>1</v>
      </c>
      <c r="AA143" s="25">
        <v>1</v>
      </c>
      <c r="AH143" s="5"/>
      <c r="AI143" s="5"/>
      <c r="AO143" s="5"/>
    </row>
    <row r="144" spans="10:41" x14ac:dyDescent="0.3">
      <c r="J144" s="9">
        <v>140</v>
      </c>
      <c r="K144" s="16" t="s">
        <v>35</v>
      </c>
      <c r="L144" s="16" t="s">
        <v>18</v>
      </c>
      <c r="M144" s="16" t="s">
        <v>126</v>
      </c>
      <c r="N144" s="16" t="s">
        <v>125</v>
      </c>
      <c r="O144" s="16" t="s">
        <v>125</v>
      </c>
      <c r="Q144" s="9">
        <v>8</v>
      </c>
      <c r="R144" s="9">
        <v>4</v>
      </c>
      <c r="S144" s="9">
        <v>15</v>
      </c>
      <c r="T144" s="9">
        <v>6</v>
      </c>
      <c r="U144" s="9">
        <v>6</v>
      </c>
      <c r="W144" s="25">
        <v>1</v>
      </c>
      <c r="X144" s="25">
        <v>1</v>
      </c>
      <c r="Y144" s="25">
        <v>1</v>
      </c>
      <c r="Z144" s="25">
        <v>1</v>
      </c>
      <c r="AA144" s="25">
        <v>1</v>
      </c>
      <c r="AH144" s="5"/>
      <c r="AI144" s="5"/>
      <c r="AO144" s="5"/>
    </row>
    <row r="145" spans="10:41" x14ac:dyDescent="0.3">
      <c r="J145" s="25">
        <v>141</v>
      </c>
      <c r="K145" s="16" t="s">
        <v>125</v>
      </c>
      <c r="L145" s="16" t="s">
        <v>37</v>
      </c>
      <c r="M145" s="16" t="s">
        <v>92</v>
      </c>
      <c r="N145" s="16" t="s">
        <v>37</v>
      </c>
      <c r="O145" s="16" t="s">
        <v>18</v>
      </c>
      <c r="Q145" s="9">
        <v>6</v>
      </c>
      <c r="R145" s="9">
        <v>7</v>
      </c>
      <c r="S145" s="9">
        <v>16</v>
      </c>
      <c r="T145" s="9">
        <v>7</v>
      </c>
      <c r="U145" s="9">
        <v>4</v>
      </c>
      <c r="W145" s="25">
        <v>1</v>
      </c>
      <c r="X145" s="25">
        <v>1</v>
      </c>
      <c r="Y145" s="25">
        <v>1</v>
      </c>
      <c r="Z145" s="25">
        <v>1</v>
      </c>
      <c r="AA145" s="25">
        <v>1</v>
      </c>
      <c r="AH145" s="5"/>
      <c r="AI145" s="5"/>
      <c r="AO145" s="5"/>
    </row>
    <row r="146" spans="10:41" x14ac:dyDescent="0.3">
      <c r="J146" s="9">
        <v>142</v>
      </c>
      <c r="K146" s="16" t="s">
        <v>20</v>
      </c>
      <c r="L146" s="16" t="s">
        <v>91</v>
      </c>
      <c r="M146" s="16" t="s">
        <v>112</v>
      </c>
      <c r="N146" s="16" t="s">
        <v>97</v>
      </c>
      <c r="O146" s="16" t="s">
        <v>36</v>
      </c>
      <c r="Q146" s="9">
        <v>1</v>
      </c>
      <c r="R146" s="9">
        <v>14</v>
      </c>
      <c r="S146" s="9">
        <v>17</v>
      </c>
      <c r="T146" s="9">
        <v>19</v>
      </c>
      <c r="U146" s="9">
        <v>10</v>
      </c>
      <c r="W146" s="25">
        <v>1</v>
      </c>
      <c r="X146" s="25">
        <v>1</v>
      </c>
      <c r="Y146" s="25">
        <v>1</v>
      </c>
      <c r="Z146" s="25">
        <v>1</v>
      </c>
      <c r="AA146" s="25">
        <v>1</v>
      </c>
      <c r="AH146" s="5"/>
      <c r="AI146" s="5"/>
      <c r="AO146" s="5"/>
    </row>
    <row r="147" spans="10:41" x14ac:dyDescent="0.3">
      <c r="J147" s="25">
        <v>143</v>
      </c>
      <c r="K147" s="16" t="s">
        <v>19</v>
      </c>
      <c r="L147" s="16" t="s">
        <v>37</v>
      </c>
      <c r="M147" s="16" t="s">
        <v>92</v>
      </c>
      <c r="N147" s="16" t="s">
        <v>125</v>
      </c>
      <c r="O147" s="16" t="s">
        <v>125</v>
      </c>
      <c r="Q147" s="9">
        <v>5</v>
      </c>
      <c r="R147" s="9">
        <v>7</v>
      </c>
      <c r="S147" s="9">
        <v>16</v>
      </c>
      <c r="T147" s="9">
        <v>6</v>
      </c>
      <c r="U147" s="9">
        <v>6</v>
      </c>
      <c r="W147" s="25">
        <v>1</v>
      </c>
      <c r="X147" s="25">
        <v>1</v>
      </c>
      <c r="Y147" s="25">
        <v>1</v>
      </c>
      <c r="Z147" s="25">
        <v>1</v>
      </c>
      <c r="AA147" s="25">
        <v>1</v>
      </c>
      <c r="AH147" s="5"/>
      <c r="AI147" s="5"/>
      <c r="AO147" s="5"/>
    </row>
    <row r="148" spans="10:41" x14ac:dyDescent="0.3">
      <c r="J148" s="9">
        <v>144</v>
      </c>
      <c r="K148" s="16" t="s">
        <v>21</v>
      </c>
      <c r="L148" s="16" t="s">
        <v>18</v>
      </c>
      <c r="M148" s="16" t="s">
        <v>112</v>
      </c>
      <c r="N148" s="16" t="s">
        <v>36</v>
      </c>
      <c r="O148" s="16" t="s">
        <v>18</v>
      </c>
      <c r="Q148" s="9">
        <v>2</v>
      </c>
      <c r="R148" s="9">
        <v>4</v>
      </c>
      <c r="S148" s="9">
        <v>17</v>
      </c>
      <c r="T148" s="9">
        <v>10</v>
      </c>
      <c r="U148" s="9">
        <v>4</v>
      </c>
      <c r="W148" s="25">
        <v>1</v>
      </c>
      <c r="X148" s="25">
        <v>1</v>
      </c>
      <c r="Y148" s="25">
        <v>1</v>
      </c>
      <c r="Z148" s="25">
        <v>1</v>
      </c>
      <c r="AA148" s="25">
        <v>1</v>
      </c>
      <c r="AH148" s="5"/>
      <c r="AI148" s="5"/>
      <c r="AO148" s="5"/>
    </row>
    <row r="149" spans="10:41" x14ac:dyDescent="0.3">
      <c r="J149" s="25">
        <v>145</v>
      </c>
      <c r="K149" s="16" t="s">
        <v>35</v>
      </c>
      <c r="L149" s="16" t="s">
        <v>37</v>
      </c>
      <c r="M149" s="16" t="s">
        <v>92</v>
      </c>
      <c r="N149" s="16" t="s">
        <v>37</v>
      </c>
      <c r="O149" s="16" t="s">
        <v>35</v>
      </c>
      <c r="Q149" s="9">
        <v>8</v>
      </c>
      <c r="R149" s="9">
        <v>7</v>
      </c>
      <c r="S149" s="9">
        <v>16</v>
      </c>
      <c r="T149" s="9">
        <v>7</v>
      </c>
      <c r="U149" s="9">
        <v>8</v>
      </c>
      <c r="W149" s="25">
        <v>1</v>
      </c>
      <c r="X149" s="25">
        <v>1</v>
      </c>
      <c r="Y149" s="25">
        <v>1</v>
      </c>
      <c r="Z149" s="25">
        <v>1</v>
      </c>
      <c r="AA149" s="25">
        <v>1</v>
      </c>
      <c r="AH149" s="5"/>
      <c r="AI149" s="5"/>
      <c r="AO149" s="5"/>
    </row>
    <row r="150" spans="10:41" x14ac:dyDescent="0.3">
      <c r="J150" s="9">
        <v>146</v>
      </c>
      <c r="K150" s="16" t="s">
        <v>125</v>
      </c>
      <c r="L150" s="16" t="s">
        <v>19</v>
      </c>
      <c r="M150" s="16" t="s">
        <v>91</v>
      </c>
      <c r="N150" s="16" t="s">
        <v>125</v>
      </c>
      <c r="O150" s="16" t="s">
        <v>19</v>
      </c>
      <c r="Q150" s="9">
        <v>6</v>
      </c>
      <c r="R150" s="9">
        <v>5</v>
      </c>
      <c r="S150" s="9">
        <v>14</v>
      </c>
      <c r="T150" s="9">
        <v>6</v>
      </c>
      <c r="U150" s="9">
        <v>5</v>
      </c>
      <c r="W150" s="25">
        <v>1</v>
      </c>
      <c r="X150" s="25">
        <v>1</v>
      </c>
      <c r="Y150" s="25">
        <v>1</v>
      </c>
      <c r="Z150" s="25">
        <v>1</v>
      </c>
      <c r="AA150" s="25">
        <v>1</v>
      </c>
      <c r="AH150" s="5"/>
      <c r="AI150" s="5"/>
      <c r="AO150" s="5"/>
    </row>
    <row r="151" spans="10:41" x14ac:dyDescent="0.3">
      <c r="J151" s="25">
        <v>147</v>
      </c>
      <c r="K151" s="16" t="s">
        <v>37</v>
      </c>
      <c r="L151" s="16" t="s">
        <v>37</v>
      </c>
      <c r="M151" s="16" t="s">
        <v>92</v>
      </c>
      <c r="N151" s="16" t="s">
        <v>35</v>
      </c>
      <c r="O151" s="16" t="s">
        <v>35</v>
      </c>
      <c r="Q151" s="9">
        <v>7</v>
      </c>
      <c r="R151" s="9">
        <v>7</v>
      </c>
      <c r="S151" s="9">
        <v>16</v>
      </c>
      <c r="T151" s="9">
        <v>8</v>
      </c>
      <c r="U151" s="9">
        <v>8</v>
      </c>
      <c r="W151" s="25">
        <v>1</v>
      </c>
      <c r="X151" s="25">
        <v>1</v>
      </c>
      <c r="Y151" s="25">
        <v>1</v>
      </c>
      <c r="Z151" s="25">
        <v>1</v>
      </c>
      <c r="AA151" s="25">
        <v>1</v>
      </c>
      <c r="AH151" s="5"/>
      <c r="AI151" s="5"/>
      <c r="AO151" s="5"/>
    </row>
    <row r="152" spans="10:41" x14ac:dyDescent="0.3">
      <c r="J152" s="9">
        <v>148</v>
      </c>
      <c r="K152" s="16" t="s">
        <v>125</v>
      </c>
      <c r="L152" s="16" t="s">
        <v>19</v>
      </c>
      <c r="M152" s="16" t="s">
        <v>97</v>
      </c>
      <c r="N152" s="16" t="s">
        <v>37</v>
      </c>
      <c r="O152" s="16" t="s">
        <v>37</v>
      </c>
      <c r="Q152" s="9">
        <v>6</v>
      </c>
      <c r="R152" s="9">
        <v>5</v>
      </c>
      <c r="S152" s="9">
        <v>19</v>
      </c>
      <c r="T152" s="9">
        <v>7</v>
      </c>
      <c r="U152" s="9">
        <v>7</v>
      </c>
      <c r="W152" s="25">
        <v>1</v>
      </c>
      <c r="X152" s="25">
        <v>1</v>
      </c>
      <c r="Y152" s="25">
        <v>1</v>
      </c>
      <c r="Z152" s="25">
        <v>1</v>
      </c>
      <c r="AA152" s="25">
        <v>1</v>
      </c>
      <c r="AH152" s="5"/>
      <c r="AI152" s="5"/>
      <c r="AO152" s="5"/>
    </row>
    <row r="153" spans="10:41" x14ac:dyDescent="0.3">
      <c r="J153" s="25">
        <v>149</v>
      </c>
      <c r="K153" s="16" t="s">
        <v>19</v>
      </c>
      <c r="L153" s="16" t="s">
        <v>34</v>
      </c>
      <c r="M153" s="16" t="s">
        <v>126</v>
      </c>
      <c r="N153" s="16" t="s">
        <v>125</v>
      </c>
      <c r="O153" s="16" t="s">
        <v>19</v>
      </c>
      <c r="Q153" s="9">
        <v>5</v>
      </c>
      <c r="R153" s="9">
        <v>9</v>
      </c>
      <c r="S153" s="9">
        <v>15</v>
      </c>
      <c r="T153" s="9">
        <v>6</v>
      </c>
      <c r="U153" s="9">
        <v>5</v>
      </c>
      <c r="W153" s="25">
        <v>1</v>
      </c>
      <c r="X153" s="25">
        <v>1</v>
      </c>
      <c r="Y153" s="25">
        <v>1</v>
      </c>
      <c r="Z153" s="25">
        <v>1</v>
      </c>
      <c r="AA153" s="25">
        <v>1</v>
      </c>
      <c r="AH153" s="5"/>
      <c r="AI153" s="5"/>
      <c r="AO153" s="5"/>
    </row>
    <row r="154" spans="10:41" x14ac:dyDescent="0.3">
      <c r="J154" s="9">
        <v>150</v>
      </c>
      <c r="K154" s="16" t="s">
        <v>37</v>
      </c>
      <c r="L154" s="16" t="s">
        <v>21</v>
      </c>
      <c r="M154" s="16" t="s">
        <v>97</v>
      </c>
      <c r="N154" s="16" t="s">
        <v>112</v>
      </c>
      <c r="O154" s="16" t="s">
        <v>35</v>
      </c>
      <c r="Q154" s="9">
        <v>7</v>
      </c>
      <c r="R154" s="9">
        <v>2</v>
      </c>
      <c r="S154" s="9">
        <v>19</v>
      </c>
      <c r="T154" s="9">
        <v>17</v>
      </c>
      <c r="U154" s="9">
        <v>8</v>
      </c>
      <c r="W154" s="25">
        <v>1</v>
      </c>
      <c r="X154" s="25">
        <v>1</v>
      </c>
      <c r="Y154" s="25">
        <v>1</v>
      </c>
      <c r="Z154" s="25">
        <v>1</v>
      </c>
      <c r="AA154" s="25">
        <v>1</v>
      </c>
      <c r="AH154" s="5"/>
      <c r="AI154" s="5"/>
      <c r="AO154" s="5"/>
    </row>
    <row r="155" spans="10:41" x14ac:dyDescent="0.3">
      <c r="J155" s="25">
        <v>151</v>
      </c>
      <c r="K155" s="16" t="s">
        <v>19</v>
      </c>
      <c r="L155" s="16" t="s">
        <v>22</v>
      </c>
      <c r="M155" s="16" t="s">
        <v>92</v>
      </c>
      <c r="N155" s="16" t="s">
        <v>18</v>
      </c>
      <c r="O155" s="16" t="s">
        <v>19</v>
      </c>
      <c r="Q155" s="9">
        <v>5</v>
      </c>
      <c r="R155" s="9">
        <v>3</v>
      </c>
      <c r="S155" s="9">
        <v>16</v>
      </c>
      <c r="T155" s="9">
        <v>4</v>
      </c>
      <c r="U155" s="9">
        <v>5</v>
      </c>
      <c r="W155" s="25">
        <v>1</v>
      </c>
      <c r="X155" s="25">
        <v>1</v>
      </c>
      <c r="Y155" s="25">
        <v>1</v>
      </c>
      <c r="Z155" s="25">
        <v>1</v>
      </c>
      <c r="AA155" s="25">
        <v>1</v>
      </c>
      <c r="AH155" s="5"/>
      <c r="AI155" s="5"/>
      <c r="AO155" s="5"/>
    </row>
    <row r="156" spans="10:41" x14ac:dyDescent="0.3">
      <c r="J156" s="9">
        <v>152</v>
      </c>
      <c r="K156" s="16" t="s">
        <v>35</v>
      </c>
      <c r="L156" s="16" t="s">
        <v>125</v>
      </c>
      <c r="M156" s="16" t="s">
        <v>126</v>
      </c>
      <c r="N156" s="16" t="s">
        <v>19</v>
      </c>
      <c r="O156" s="16" t="s">
        <v>35</v>
      </c>
      <c r="Q156" s="9">
        <v>8</v>
      </c>
      <c r="R156" s="9">
        <v>6</v>
      </c>
      <c r="S156" s="9">
        <v>15</v>
      </c>
      <c r="T156" s="9">
        <v>5</v>
      </c>
      <c r="U156" s="9">
        <v>8</v>
      </c>
      <c r="W156" s="25">
        <v>1</v>
      </c>
      <c r="X156" s="25">
        <v>1</v>
      </c>
      <c r="Y156" s="25">
        <v>1</v>
      </c>
      <c r="Z156" s="25">
        <v>1</v>
      </c>
      <c r="AA156" s="25">
        <v>1</v>
      </c>
      <c r="AH156" s="5"/>
      <c r="AI156" s="5"/>
      <c r="AO156" s="5"/>
    </row>
    <row r="157" spans="10:41" x14ac:dyDescent="0.3">
      <c r="J157" s="25">
        <v>153</v>
      </c>
      <c r="K157" s="16" t="s">
        <v>21</v>
      </c>
      <c r="L157" s="16" t="s">
        <v>36</v>
      </c>
      <c r="M157" s="16" t="s">
        <v>90</v>
      </c>
      <c r="N157" s="16" t="s">
        <v>34</v>
      </c>
      <c r="O157" s="16" t="s">
        <v>20</v>
      </c>
      <c r="Q157" s="9">
        <v>2</v>
      </c>
      <c r="R157" s="9">
        <v>10</v>
      </c>
      <c r="S157" s="9">
        <v>13</v>
      </c>
      <c r="T157" s="9">
        <v>9</v>
      </c>
      <c r="U157" s="9">
        <v>1</v>
      </c>
      <c r="W157" s="25">
        <v>1</v>
      </c>
      <c r="X157" s="25">
        <v>1</v>
      </c>
      <c r="Y157" s="25">
        <v>1</v>
      </c>
      <c r="Z157" s="25">
        <v>1</v>
      </c>
      <c r="AA157" s="25">
        <v>1</v>
      </c>
      <c r="AH157" s="5"/>
      <c r="AI157" s="5"/>
      <c r="AO157" s="5"/>
    </row>
    <row r="158" spans="10:41" x14ac:dyDescent="0.3">
      <c r="J158" s="9">
        <v>154</v>
      </c>
      <c r="K158" s="16" t="s">
        <v>19</v>
      </c>
      <c r="L158" s="16" t="s">
        <v>35</v>
      </c>
      <c r="M158" s="16" t="s">
        <v>92</v>
      </c>
      <c r="N158" s="16" t="s">
        <v>35</v>
      </c>
      <c r="O158" s="16" t="s">
        <v>37</v>
      </c>
      <c r="Q158" s="9">
        <v>5</v>
      </c>
      <c r="R158" s="9">
        <v>8</v>
      </c>
      <c r="S158" s="9">
        <v>16</v>
      </c>
      <c r="T158" s="9">
        <v>8</v>
      </c>
      <c r="U158" s="9">
        <v>7</v>
      </c>
      <c r="W158" s="25">
        <v>1</v>
      </c>
      <c r="X158" s="25">
        <v>1</v>
      </c>
      <c r="Y158" s="25">
        <v>1</v>
      </c>
      <c r="Z158" s="25">
        <v>1</v>
      </c>
      <c r="AA158" s="25">
        <v>1</v>
      </c>
      <c r="AH158" s="5"/>
      <c r="AI158" s="5"/>
      <c r="AO158" s="5"/>
    </row>
    <row r="159" spans="10:41" x14ac:dyDescent="0.3">
      <c r="J159" s="25">
        <v>155</v>
      </c>
      <c r="K159" s="16" t="s">
        <v>37</v>
      </c>
      <c r="L159" s="16" t="s">
        <v>125</v>
      </c>
      <c r="M159" s="16" t="s">
        <v>91</v>
      </c>
      <c r="N159" s="16" t="s">
        <v>125</v>
      </c>
      <c r="O159" s="16" t="s">
        <v>18</v>
      </c>
      <c r="Q159" s="9">
        <v>7</v>
      </c>
      <c r="R159" s="9">
        <v>6</v>
      </c>
      <c r="S159" s="9">
        <v>14</v>
      </c>
      <c r="T159" s="9">
        <v>6</v>
      </c>
      <c r="U159" s="9">
        <v>4</v>
      </c>
      <c r="W159" s="25">
        <v>1</v>
      </c>
      <c r="X159" s="25">
        <v>1</v>
      </c>
      <c r="Y159" s="25">
        <v>1</v>
      </c>
      <c r="Z159" s="25">
        <v>1</v>
      </c>
      <c r="AA159" s="25">
        <v>1</v>
      </c>
      <c r="AH159" s="5"/>
      <c r="AI159" s="5"/>
      <c r="AO159" s="5"/>
    </row>
    <row r="160" spans="10:41" x14ac:dyDescent="0.3">
      <c r="J160" s="9">
        <v>156</v>
      </c>
      <c r="K160" s="16" t="s">
        <v>18</v>
      </c>
      <c r="L160" s="16" t="s">
        <v>35</v>
      </c>
      <c r="M160" s="16" t="s">
        <v>126</v>
      </c>
      <c r="N160" s="16" t="s">
        <v>35</v>
      </c>
      <c r="O160" s="16" t="s">
        <v>19</v>
      </c>
      <c r="Q160" s="9">
        <v>4</v>
      </c>
      <c r="R160" s="9">
        <v>8</v>
      </c>
      <c r="S160" s="9">
        <v>15</v>
      </c>
      <c r="T160" s="9">
        <v>8</v>
      </c>
      <c r="U160" s="9">
        <v>5</v>
      </c>
      <c r="W160" s="25">
        <v>1</v>
      </c>
      <c r="X160" s="25">
        <v>1</v>
      </c>
      <c r="Y160" s="25">
        <v>1</v>
      </c>
      <c r="Z160" s="25">
        <v>1</v>
      </c>
      <c r="AA160" s="25">
        <v>1</v>
      </c>
      <c r="AH160" s="5"/>
      <c r="AI160" s="5"/>
      <c r="AO160" s="5"/>
    </row>
    <row r="161" spans="10:41" x14ac:dyDescent="0.3">
      <c r="J161" s="25">
        <v>157</v>
      </c>
      <c r="K161" s="16" t="s">
        <v>19</v>
      </c>
      <c r="L161" s="16" t="s">
        <v>18</v>
      </c>
      <c r="M161" s="16" t="s">
        <v>112</v>
      </c>
      <c r="N161" s="16" t="s">
        <v>36</v>
      </c>
      <c r="O161" s="16" t="s">
        <v>37</v>
      </c>
      <c r="Q161" s="9">
        <v>5</v>
      </c>
      <c r="R161" s="9">
        <v>4</v>
      </c>
      <c r="S161" s="9">
        <v>17</v>
      </c>
      <c r="T161" s="9">
        <v>10</v>
      </c>
      <c r="U161" s="9">
        <v>7</v>
      </c>
      <c r="W161" s="25">
        <v>1</v>
      </c>
      <c r="X161" s="25">
        <v>1</v>
      </c>
      <c r="Y161" s="25">
        <v>1</v>
      </c>
      <c r="Z161" s="25">
        <v>1</v>
      </c>
      <c r="AA161" s="25">
        <v>1</v>
      </c>
      <c r="AH161" s="5"/>
      <c r="AI161" s="5"/>
      <c r="AO161" s="5"/>
    </row>
    <row r="162" spans="10:41" x14ac:dyDescent="0.3">
      <c r="J162" s="9">
        <v>158</v>
      </c>
      <c r="K162" s="16" t="s">
        <v>37</v>
      </c>
      <c r="L162" s="16" t="s">
        <v>35</v>
      </c>
      <c r="M162" s="16" t="s">
        <v>126</v>
      </c>
      <c r="N162" s="16" t="s">
        <v>35</v>
      </c>
      <c r="O162" s="16" t="s">
        <v>35</v>
      </c>
      <c r="Q162" s="9">
        <v>7</v>
      </c>
      <c r="R162" s="9">
        <v>8</v>
      </c>
      <c r="S162" s="9">
        <v>15</v>
      </c>
      <c r="T162" s="9">
        <v>8</v>
      </c>
      <c r="U162" s="9">
        <v>8</v>
      </c>
      <c r="W162" s="25">
        <v>1</v>
      </c>
      <c r="X162" s="25">
        <v>1</v>
      </c>
      <c r="Y162" s="25">
        <v>1</v>
      </c>
      <c r="Z162" s="25">
        <v>1</v>
      </c>
      <c r="AA162" s="25">
        <v>1</v>
      </c>
      <c r="AH162" s="5"/>
      <c r="AI162" s="5"/>
      <c r="AO162" s="5"/>
    </row>
    <row r="163" spans="10:41" x14ac:dyDescent="0.3">
      <c r="J163" s="25">
        <v>159</v>
      </c>
      <c r="K163" s="16" t="s">
        <v>20</v>
      </c>
      <c r="L163" s="16" t="s">
        <v>125</v>
      </c>
      <c r="M163" s="16" t="s">
        <v>92</v>
      </c>
      <c r="N163" s="16" t="s">
        <v>37</v>
      </c>
      <c r="O163" s="16" t="s">
        <v>37</v>
      </c>
      <c r="Q163" s="9">
        <v>1</v>
      </c>
      <c r="R163" s="9">
        <v>6</v>
      </c>
      <c r="S163" s="9">
        <v>16</v>
      </c>
      <c r="T163" s="9">
        <v>7</v>
      </c>
      <c r="U163" s="9">
        <v>7</v>
      </c>
      <c r="W163" s="25">
        <v>1</v>
      </c>
      <c r="X163" s="25">
        <v>1</v>
      </c>
      <c r="Y163" s="25">
        <v>1</v>
      </c>
      <c r="Z163" s="25">
        <v>1</v>
      </c>
      <c r="AA163" s="25">
        <v>1</v>
      </c>
      <c r="AH163" s="5"/>
      <c r="AI163" s="5"/>
      <c r="AO163" s="5"/>
    </row>
    <row r="164" spans="10:41" x14ac:dyDescent="0.3">
      <c r="J164" s="9">
        <v>160</v>
      </c>
      <c r="K164" s="16" t="s">
        <v>37</v>
      </c>
      <c r="L164" s="16" t="s">
        <v>88</v>
      </c>
      <c r="M164" s="16" t="s">
        <v>126</v>
      </c>
      <c r="N164" s="16" t="s">
        <v>92</v>
      </c>
      <c r="O164" s="16" t="s">
        <v>125</v>
      </c>
      <c r="Q164" s="9">
        <v>7</v>
      </c>
      <c r="R164" s="9">
        <v>11</v>
      </c>
      <c r="S164" s="9">
        <v>15</v>
      </c>
      <c r="T164" s="9">
        <v>16</v>
      </c>
      <c r="U164" s="9">
        <v>6</v>
      </c>
      <c r="W164" s="25">
        <v>1</v>
      </c>
      <c r="X164" s="25">
        <v>1</v>
      </c>
      <c r="Y164" s="25">
        <v>1</v>
      </c>
      <c r="Z164" s="25">
        <v>1</v>
      </c>
      <c r="AA164" s="25">
        <v>1</v>
      </c>
      <c r="AH164" s="5"/>
      <c r="AI164" s="5"/>
      <c r="AO164" s="5"/>
    </row>
    <row r="165" spans="10:41" x14ac:dyDescent="0.3">
      <c r="J165" s="25">
        <v>161</v>
      </c>
      <c r="K165" s="16" t="s">
        <v>35</v>
      </c>
      <c r="L165" s="16" t="s">
        <v>112</v>
      </c>
      <c r="M165" s="16" t="s">
        <v>91</v>
      </c>
      <c r="N165" s="16" t="s">
        <v>91</v>
      </c>
      <c r="O165" s="16" t="s">
        <v>34</v>
      </c>
      <c r="Q165" s="9">
        <v>8</v>
      </c>
      <c r="R165" s="9">
        <v>17</v>
      </c>
      <c r="S165" s="9">
        <v>14</v>
      </c>
      <c r="T165" s="9">
        <v>14</v>
      </c>
      <c r="U165" s="9">
        <v>9</v>
      </c>
      <c r="W165" s="25">
        <v>1</v>
      </c>
      <c r="X165" s="25">
        <v>1</v>
      </c>
      <c r="Y165" s="25">
        <v>1</v>
      </c>
      <c r="Z165" s="25">
        <v>1</v>
      </c>
      <c r="AA165" s="25">
        <v>1</v>
      </c>
      <c r="AH165" s="5"/>
      <c r="AI165" s="5"/>
      <c r="AO165" s="5"/>
    </row>
    <row r="166" spans="10:41" x14ac:dyDescent="0.3">
      <c r="J166" s="9">
        <v>162</v>
      </c>
      <c r="K166" s="16" t="s">
        <v>37</v>
      </c>
      <c r="L166" s="16" t="s">
        <v>91</v>
      </c>
      <c r="M166" s="16" t="s">
        <v>92</v>
      </c>
      <c r="N166" s="16" t="s">
        <v>125</v>
      </c>
      <c r="O166" s="16" t="s">
        <v>19</v>
      </c>
      <c r="Q166" s="9">
        <v>7</v>
      </c>
      <c r="R166" s="9">
        <v>14</v>
      </c>
      <c r="S166" s="9">
        <v>16</v>
      </c>
      <c r="T166" s="9">
        <v>6</v>
      </c>
      <c r="U166" s="9">
        <v>5</v>
      </c>
      <c r="W166" s="25">
        <v>1</v>
      </c>
      <c r="X166" s="25">
        <v>1</v>
      </c>
      <c r="Y166" s="25">
        <v>1</v>
      </c>
      <c r="Z166" s="25">
        <v>1</v>
      </c>
      <c r="AA166" s="25">
        <v>1</v>
      </c>
      <c r="AH166" s="5"/>
      <c r="AI166" s="5"/>
      <c r="AO166" s="5"/>
    </row>
    <row r="167" spans="10:41" x14ac:dyDescent="0.3">
      <c r="J167" s="25">
        <v>163</v>
      </c>
      <c r="K167" s="16" t="s">
        <v>125</v>
      </c>
      <c r="L167" s="16" t="s">
        <v>21</v>
      </c>
      <c r="M167" s="16" t="s">
        <v>126</v>
      </c>
      <c r="N167" s="16" t="s">
        <v>91</v>
      </c>
      <c r="O167" s="16" t="s">
        <v>34</v>
      </c>
      <c r="Q167" s="9">
        <v>6</v>
      </c>
      <c r="R167" s="9">
        <v>2</v>
      </c>
      <c r="S167" s="9">
        <v>15</v>
      </c>
      <c r="T167" s="9">
        <v>14</v>
      </c>
      <c r="U167" s="9">
        <v>9</v>
      </c>
      <c r="W167" s="25">
        <v>1</v>
      </c>
      <c r="X167" s="25">
        <v>1</v>
      </c>
      <c r="Y167" s="25">
        <v>1</v>
      </c>
      <c r="Z167" s="25">
        <v>1</v>
      </c>
      <c r="AA167" s="25">
        <v>1</v>
      </c>
      <c r="AH167" s="5"/>
      <c r="AI167" s="5"/>
      <c r="AO167" s="5"/>
    </row>
    <row r="168" spans="10:41" x14ac:dyDescent="0.3">
      <c r="J168" s="9">
        <v>164</v>
      </c>
      <c r="K168" s="16" t="s">
        <v>37</v>
      </c>
      <c r="L168" s="16" t="s">
        <v>19</v>
      </c>
      <c r="M168" s="16" t="s">
        <v>95</v>
      </c>
      <c r="N168" s="16" t="s">
        <v>35</v>
      </c>
      <c r="O168" s="16" t="s">
        <v>19</v>
      </c>
      <c r="Q168" s="9">
        <v>7</v>
      </c>
      <c r="R168" s="9">
        <v>5</v>
      </c>
      <c r="S168" s="9">
        <v>18</v>
      </c>
      <c r="T168" s="9">
        <v>8</v>
      </c>
      <c r="U168" s="9">
        <v>5</v>
      </c>
      <c r="W168" s="25">
        <v>1</v>
      </c>
      <c r="X168" s="25">
        <v>1</v>
      </c>
      <c r="Y168" s="25">
        <v>1</v>
      </c>
      <c r="Z168" s="25">
        <v>1</v>
      </c>
      <c r="AA168" s="25">
        <v>1</v>
      </c>
      <c r="AH168" s="5"/>
      <c r="AI168" s="5"/>
      <c r="AO168" s="5"/>
    </row>
    <row r="169" spans="10:41" x14ac:dyDescent="0.3">
      <c r="J169" s="25">
        <v>165</v>
      </c>
      <c r="K169" s="16" t="s">
        <v>35</v>
      </c>
      <c r="L169" s="16" t="s">
        <v>35</v>
      </c>
      <c r="M169" s="16" t="s">
        <v>112</v>
      </c>
      <c r="N169" s="16" t="s">
        <v>19</v>
      </c>
      <c r="O169" s="16" t="s">
        <v>125</v>
      </c>
      <c r="Q169" s="9">
        <v>8</v>
      </c>
      <c r="R169" s="9">
        <v>8</v>
      </c>
      <c r="S169" s="9">
        <v>17</v>
      </c>
      <c r="T169" s="9">
        <v>5</v>
      </c>
      <c r="U169" s="9">
        <v>6</v>
      </c>
      <c r="W169" s="25">
        <v>1</v>
      </c>
      <c r="X169" s="25">
        <v>1</v>
      </c>
      <c r="Y169" s="25">
        <v>1</v>
      </c>
      <c r="Z169" s="25">
        <v>1</v>
      </c>
      <c r="AA169" s="25">
        <v>1</v>
      </c>
      <c r="AH169" s="5"/>
      <c r="AI169" s="5"/>
      <c r="AO169" s="5"/>
    </row>
    <row r="170" spans="10:41" x14ac:dyDescent="0.3">
      <c r="J170" s="9">
        <v>166</v>
      </c>
      <c r="K170" s="16" t="s">
        <v>37</v>
      </c>
      <c r="L170" s="16" t="s">
        <v>19</v>
      </c>
      <c r="M170" s="16" t="s">
        <v>92</v>
      </c>
      <c r="N170" s="16" t="s">
        <v>37</v>
      </c>
      <c r="O170" s="16" t="s">
        <v>19</v>
      </c>
      <c r="Q170" s="9">
        <v>7</v>
      </c>
      <c r="R170" s="9">
        <v>5</v>
      </c>
      <c r="S170" s="9">
        <v>16</v>
      </c>
      <c r="T170" s="9">
        <v>7</v>
      </c>
      <c r="U170" s="9">
        <v>5</v>
      </c>
      <c r="W170" s="25">
        <v>1</v>
      </c>
      <c r="X170" s="25">
        <v>1</v>
      </c>
      <c r="Y170" s="25">
        <v>1</v>
      </c>
      <c r="Z170" s="25">
        <v>1</v>
      </c>
      <c r="AA170" s="25">
        <v>1</v>
      </c>
      <c r="AH170" s="5"/>
      <c r="AI170" s="5"/>
      <c r="AO170" s="5"/>
    </row>
    <row r="171" spans="10:41" x14ac:dyDescent="0.3">
      <c r="J171" s="25">
        <v>167</v>
      </c>
      <c r="K171" s="16" t="s">
        <v>36</v>
      </c>
      <c r="L171" s="16" t="s">
        <v>35</v>
      </c>
      <c r="M171" s="16" t="s">
        <v>97</v>
      </c>
      <c r="N171" s="16" t="s">
        <v>35</v>
      </c>
      <c r="O171" s="16" t="s">
        <v>18</v>
      </c>
      <c r="Q171" s="9">
        <v>10</v>
      </c>
      <c r="R171" s="9">
        <v>8</v>
      </c>
      <c r="S171" s="9">
        <v>19</v>
      </c>
      <c r="T171" s="9">
        <v>8</v>
      </c>
      <c r="U171" s="9">
        <v>4</v>
      </c>
      <c r="W171" s="25">
        <v>1</v>
      </c>
      <c r="X171" s="25">
        <v>1</v>
      </c>
      <c r="Y171" s="25">
        <v>1</v>
      </c>
      <c r="Z171" s="25">
        <v>1</v>
      </c>
      <c r="AA171" s="25">
        <v>1</v>
      </c>
      <c r="AH171" s="5"/>
      <c r="AI171" s="5"/>
      <c r="AO171" s="5"/>
    </row>
    <row r="172" spans="10:41" x14ac:dyDescent="0.3">
      <c r="J172" s="9">
        <v>168</v>
      </c>
      <c r="K172" s="16" t="s">
        <v>35</v>
      </c>
      <c r="L172" s="16" t="s">
        <v>22</v>
      </c>
      <c r="M172" s="16" t="s">
        <v>92</v>
      </c>
      <c r="N172" s="16" t="s">
        <v>125</v>
      </c>
      <c r="O172" s="16" t="s">
        <v>35</v>
      </c>
      <c r="Q172" s="9">
        <v>8</v>
      </c>
      <c r="R172" s="9">
        <v>3</v>
      </c>
      <c r="S172" s="9">
        <v>16</v>
      </c>
      <c r="T172" s="9">
        <v>6</v>
      </c>
      <c r="U172" s="9">
        <v>8</v>
      </c>
      <c r="W172" s="25">
        <v>1</v>
      </c>
      <c r="X172" s="25">
        <v>1</v>
      </c>
      <c r="Y172" s="25">
        <v>1</v>
      </c>
      <c r="Z172" s="25">
        <v>1</v>
      </c>
      <c r="AA172" s="25">
        <v>1</v>
      </c>
      <c r="AH172" s="5"/>
      <c r="AI172" s="5"/>
      <c r="AO172" s="5"/>
    </row>
    <row r="173" spans="10:41" x14ac:dyDescent="0.3">
      <c r="J173" s="25">
        <v>169</v>
      </c>
      <c r="K173" s="16" t="s">
        <v>125</v>
      </c>
      <c r="L173" s="16" t="s">
        <v>18</v>
      </c>
      <c r="M173" s="16" t="s">
        <v>126</v>
      </c>
      <c r="N173" s="16" t="s">
        <v>19</v>
      </c>
      <c r="O173" s="16" t="s">
        <v>19</v>
      </c>
      <c r="Q173" s="9">
        <v>6</v>
      </c>
      <c r="R173" s="9">
        <v>4</v>
      </c>
      <c r="S173" s="9">
        <v>15</v>
      </c>
      <c r="T173" s="9">
        <v>5</v>
      </c>
      <c r="U173" s="9">
        <v>5</v>
      </c>
      <c r="W173" s="25">
        <v>1</v>
      </c>
      <c r="X173" s="25">
        <v>1</v>
      </c>
      <c r="Y173" s="25">
        <v>1</v>
      </c>
      <c r="Z173" s="25">
        <v>1</v>
      </c>
      <c r="AA173" s="25">
        <v>1</v>
      </c>
      <c r="AH173" s="5"/>
      <c r="AI173" s="5"/>
      <c r="AO173" s="5"/>
    </row>
    <row r="174" spans="10:41" x14ac:dyDescent="0.3">
      <c r="J174" s="9">
        <v>170</v>
      </c>
      <c r="K174" s="16" t="s">
        <v>19</v>
      </c>
      <c r="L174" s="16" t="s">
        <v>19</v>
      </c>
      <c r="M174" s="16" t="s">
        <v>112</v>
      </c>
      <c r="N174" s="16" t="s">
        <v>20</v>
      </c>
      <c r="O174" s="16" t="s">
        <v>35</v>
      </c>
      <c r="Q174" s="9">
        <v>5</v>
      </c>
      <c r="R174" s="9">
        <v>5</v>
      </c>
      <c r="S174" s="9">
        <v>17</v>
      </c>
      <c r="T174" s="9">
        <v>1</v>
      </c>
      <c r="U174" s="9">
        <v>8</v>
      </c>
      <c r="W174" s="25">
        <v>1</v>
      </c>
      <c r="X174" s="25">
        <v>1</v>
      </c>
      <c r="Y174" s="25">
        <v>1</v>
      </c>
      <c r="Z174" s="25">
        <v>1</v>
      </c>
      <c r="AA174" s="25">
        <v>1</v>
      </c>
      <c r="AH174" s="5"/>
      <c r="AI174" s="5"/>
      <c r="AO174" s="5"/>
    </row>
    <row r="175" spans="10:41" x14ac:dyDescent="0.3">
      <c r="J175" s="25">
        <v>171</v>
      </c>
      <c r="K175" s="16" t="s">
        <v>35</v>
      </c>
      <c r="L175" s="16" t="s">
        <v>18</v>
      </c>
      <c r="M175" s="16" t="s">
        <v>91</v>
      </c>
      <c r="N175" s="16" t="s">
        <v>21</v>
      </c>
      <c r="O175" s="16" t="s">
        <v>37</v>
      </c>
      <c r="Q175" s="9">
        <v>8</v>
      </c>
      <c r="R175" s="9">
        <v>4</v>
      </c>
      <c r="S175" s="9">
        <v>14</v>
      </c>
      <c r="T175" s="9">
        <v>2</v>
      </c>
      <c r="U175" s="9">
        <v>7</v>
      </c>
      <c r="W175" s="25">
        <v>1</v>
      </c>
      <c r="X175" s="25">
        <v>1</v>
      </c>
      <c r="Y175" s="25">
        <v>1</v>
      </c>
      <c r="Z175" s="25">
        <v>1</v>
      </c>
      <c r="AA175" s="25">
        <v>1</v>
      </c>
      <c r="AH175" s="5"/>
      <c r="AI175" s="5"/>
      <c r="AO175" s="5"/>
    </row>
    <row r="176" spans="10:41" x14ac:dyDescent="0.3">
      <c r="J176" s="9">
        <v>172</v>
      </c>
      <c r="K176" s="16" t="s">
        <v>125</v>
      </c>
      <c r="L176" s="16" t="s">
        <v>92</v>
      </c>
      <c r="M176" s="16" t="s">
        <v>92</v>
      </c>
      <c r="N176" s="16" t="s">
        <v>125</v>
      </c>
      <c r="O176" s="16" t="s">
        <v>125</v>
      </c>
      <c r="Q176" s="9">
        <v>6</v>
      </c>
      <c r="R176" s="9">
        <v>16</v>
      </c>
      <c r="S176" s="9">
        <v>16</v>
      </c>
      <c r="T176" s="9">
        <v>6</v>
      </c>
      <c r="U176" s="9">
        <v>6</v>
      </c>
      <c r="W176" s="25">
        <v>1</v>
      </c>
      <c r="X176" s="25">
        <v>1</v>
      </c>
      <c r="Y176" s="25">
        <v>1</v>
      </c>
      <c r="Z176" s="25">
        <v>1</v>
      </c>
      <c r="AA176" s="25">
        <v>1</v>
      </c>
      <c r="AH176" s="5"/>
      <c r="AI176" s="5"/>
      <c r="AO176" s="5"/>
    </row>
    <row r="177" spans="10:41" x14ac:dyDescent="0.3">
      <c r="J177" s="25">
        <v>173</v>
      </c>
      <c r="K177" s="16" t="s">
        <v>34</v>
      </c>
      <c r="L177" s="16" t="s">
        <v>37</v>
      </c>
      <c r="M177" s="16" t="s">
        <v>126</v>
      </c>
      <c r="N177" s="16" t="s">
        <v>91</v>
      </c>
      <c r="O177" s="16" t="s">
        <v>20</v>
      </c>
      <c r="Q177" s="9">
        <v>9</v>
      </c>
      <c r="R177" s="9">
        <v>7</v>
      </c>
      <c r="S177" s="9">
        <v>15</v>
      </c>
      <c r="T177" s="9">
        <v>14</v>
      </c>
      <c r="U177" s="9">
        <v>1</v>
      </c>
      <c r="W177" s="25">
        <v>1</v>
      </c>
      <c r="X177" s="25">
        <v>1</v>
      </c>
      <c r="Y177" s="25">
        <v>1</v>
      </c>
      <c r="Z177" s="25">
        <v>1</v>
      </c>
      <c r="AA177" s="25">
        <v>1</v>
      </c>
      <c r="AH177" s="5"/>
      <c r="AI177" s="5"/>
      <c r="AO177" s="5"/>
    </row>
    <row r="178" spans="10:41" x14ac:dyDescent="0.3">
      <c r="J178" s="9">
        <v>174</v>
      </c>
      <c r="K178" s="16" t="s">
        <v>37</v>
      </c>
      <c r="L178" s="16" t="s">
        <v>19</v>
      </c>
      <c r="M178" s="16" t="s">
        <v>112</v>
      </c>
      <c r="N178" s="16" t="s">
        <v>125</v>
      </c>
      <c r="O178" s="16" t="s">
        <v>22</v>
      </c>
      <c r="Q178" s="9">
        <v>7</v>
      </c>
      <c r="R178" s="9">
        <v>5</v>
      </c>
      <c r="S178" s="9">
        <v>17</v>
      </c>
      <c r="T178" s="9">
        <v>6</v>
      </c>
      <c r="U178" s="9">
        <v>3</v>
      </c>
      <c r="W178" s="25">
        <v>1</v>
      </c>
      <c r="X178" s="25">
        <v>1</v>
      </c>
      <c r="Y178" s="25">
        <v>1</v>
      </c>
      <c r="Z178" s="25">
        <v>1</v>
      </c>
      <c r="AA178" s="25">
        <v>1</v>
      </c>
      <c r="AH178" s="5"/>
      <c r="AI178" s="5"/>
      <c r="AO178" s="5"/>
    </row>
    <row r="179" spans="10:41" x14ac:dyDescent="0.3">
      <c r="J179" s="25">
        <v>175</v>
      </c>
      <c r="K179" s="16" t="s">
        <v>19</v>
      </c>
      <c r="L179" s="16" t="s">
        <v>18</v>
      </c>
      <c r="M179" s="16" t="s">
        <v>92</v>
      </c>
      <c r="N179" s="16" t="s">
        <v>35</v>
      </c>
      <c r="O179" s="16" t="s">
        <v>35</v>
      </c>
      <c r="Q179" s="9">
        <v>5</v>
      </c>
      <c r="R179" s="9">
        <v>4</v>
      </c>
      <c r="S179" s="9">
        <v>16</v>
      </c>
      <c r="T179" s="9">
        <v>8</v>
      </c>
      <c r="U179" s="9">
        <v>8</v>
      </c>
      <c r="W179" s="25">
        <v>1</v>
      </c>
      <c r="X179" s="25">
        <v>1</v>
      </c>
      <c r="Y179" s="25">
        <v>1</v>
      </c>
      <c r="Z179" s="25">
        <v>1</v>
      </c>
      <c r="AA179" s="25">
        <v>1</v>
      </c>
      <c r="AH179" s="5"/>
      <c r="AI179" s="5"/>
      <c r="AO179" s="5"/>
    </row>
    <row r="180" spans="10:41" x14ac:dyDescent="0.3">
      <c r="J180" s="9">
        <v>176</v>
      </c>
      <c r="K180" s="16" t="s">
        <v>18</v>
      </c>
      <c r="L180" s="16" t="s">
        <v>37</v>
      </c>
      <c r="M180" s="16" t="s">
        <v>126</v>
      </c>
      <c r="N180" s="16" t="s">
        <v>37</v>
      </c>
      <c r="O180" s="16" t="s">
        <v>125</v>
      </c>
      <c r="Q180" s="9">
        <v>4</v>
      </c>
      <c r="R180" s="9">
        <v>7</v>
      </c>
      <c r="S180" s="9">
        <v>15</v>
      </c>
      <c r="T180" s="9">
        <v>7</v>
      </c>
      <c r="U180" s="9">
        <v>6</v>
      </c>
      <c r="W180" s="25">
        <v>1</v>
      </c>
      <c r="X180" s="25">
        <v>1</v>
      </c>
      <c r="Y180" s="25">
        <v>1</v>
      </c>
      <c r="Z180" s="25">
        <v>1</v>
      </c>
      <c r="AA180" s="25">
        <v>1</v>
      </c>
      <c r="AH180" s="5"/>
      <c r="AI180" s="5"/>
      <c r="AO180" s="5"/>
    </row>
    <row r="181" spans="10:41" x14ac:dyDescent="0.3">
      <c r="J181" s="25">
        <v>177</v>
      </c>
      <c r="K181" s="16" t="s">
        <v>125</v>
      </c>
      <c r="L181" s="16" t="s">
        <v>125</v>
      </c>
      <c r="M181" s="16" t="s">
        <v>112</v>
      </c>
      <c r="N181" s="16" t="s">
        <v>92</v>
      </c>
      <c r="O181" s="16" t="s">
        <v>35</v>
      </c>
      <c r="Q181" s="9">
        <v>6</v>
      </c>
      <c r="R181" s="9">
        <v>6</v>
      </c>
      <c r="S181" s="9">
        <v>17</v>
      </c>
      <c r="T181" s="9">
        <v>16</v>
      </c>
      <c r="U181" s="9">
        <v>8</v>
      </c>
      <c r="W181" s="25">
        <v>1</v>
      </c>
      <c r="X181" s="25">
        <v>1</v>
      </c>
      <c r="Y181" s="25">
        <v>1</v>
      </c>
      <c r="Z181" s="25">
        <v>1</v>
      </c>
      <c r="AA181" s="25">
        <v>1</v>
      </c>
      <c r="AH181" s="5"/>
      <c r="AI181" s="5"/>
      <c r="AO181" s="5"/>
    </row>
    <row r="182" spans="10:41" x14ac:dyDescent="0.3">
      <c r="J182" s="9">
        <v>178</v>
      </c>
      <c r="K182" s="16" t="s">
        <v>35</v>
      </c>
      <c r="L182" s="16" t="s">
        <v>19</v>
      </c>
      <c r="M182" s="16" t="s">
        <v>126</v>
      </c>
      <c r="N182" s="16" t="s">
        <v>35</v>
      </c>
      <c r="O182" s="16" t="s">
        <v>21</v>
      </c>
      <c r="Q182" s="9">
        <v>8</v>
      </c>
      <c r="R182" s="9">
        <v>5</v>
      </c>
      <c r="S182" s="9">
        <v>15</v>
      </c>
      <c r="T182" s="9">
        <v>8</v>
      </c>
      <c r="U182" s="9">
        <v>2</v>
      </c>
      <c r="W182" s="25">
        <v>1</v>
      </c>
      <c r="X182" s="25">
        <v>1</v>
      </c>
      <c r="Y182" s="25">
        <v>1</v>
      </c>
      <c r="Z182" s="25">
        <v>1</v>
      </c>
      <c r="AA182" s="25">
        <v>1</v>
      </c>
      <c r="AH182" s="5"/>
      <c r="AI182" s="5"/>
      <c r="AO182" s="5"/>
    </row>
    <row r="183" spans="10:41" x14ac:dyDescent="0.3">
      <c r="J183" s="25">
        <v>179</v>
      </c>
      <c r="K183" s="16" t="s">
        <v>37</v>
      </c>
      <c r="L183" s="16" t="s">
        <v>37</v>
      </c>
      <c r="M183" s="16" t="s">
        <v>112</v>
      </c>
      <c r="N183" s="16" t="s">
        <v>37</v>
      </c>
      <c r="O183" s="16" t="s">
        <v>125</v>
      </c>
      <c r="Q183" s="9">
        <v>7</v>
      </c>
      <c r="R183" s="9">
        <v>7</v>
      </c>
      <c r="S183" s="9">
        <v>17</v>
      </c>
      <c r="T183" s="9">
        <v>7</v>
      </c>
      <c r="U183" s="9">
        <v>6</v>
      </c>
      <c r="W183" s="25">
        <v>1</v>
      </c>
      <c r="X183" s="25">
        <v>1</v>
      </c>
      <c r="Y183" s="25">
        <v>1</v>
      </c>
      <c r="Z183" s="25">
        <v>1</v>
      </c>
      <c r="AA183" s="25">
        <v>1</v>
      </c>
      <c r="AH183" s="5"/>
      <c r="AI183" s="5"/>
      <c r="AO183" s="5"/>
    </row>
    <row r="184" spans="10:41" x14ac:dyDescent="0.3">
      <c r="J184" s="9">
        <v>180</v>
      </c>
      <c r="K184" s="16" t="s">
        <v>125</v>
      </c>
      <c r="L184" s="16" t="s">
        <v>125</v>
      </c>
      <c r="M184" s="16" t="s">
        <v>97</v>
      </c>
      <c r="N184" s="16" t="s">
        <v>19</v>
      </c>
      <c r="O184" s="16" t="s">
        <v>19</v>
      </c>
      <c r="Q184" s="9">
        <v>6</v>
      </c>
      <c r="R184" s="9">
        <v>6</v>
      </c>
      <c r="S184" s="9">
        <v>19</v>
      </c>
      <c r="T184" s="9">
        <v>5</v>
      </c>
      <c r="U184" s="9">
        <v>5</v>
      </c>
      <c r="W184" s="25">
        <v>1</v>
      </c>
      <c r="X184" s="25">
        <v>1</v>
      </c>
      <c r="Y184" s="25">
        <v>1</v>
      </c>
      <c r="Z184" s="25">
        <v>1</v>
      </c>
      <c r="AA184" s="25">
        <v>1</v>
      </c>
      <c r="AH184" s="5"/>
      <c r="AI184" s="5"/>
      <c r="AO184" s="5"/>
    </row>
    <row r="185" spans="10:41" x14ac:dyDescent="0.3">
      <c r="J185" s="25">
        <v>181</v>
      </c>
      <c r="K185" s="16" t="s">
        <v>37</v>
      </c>
      <c r="L185" s="16" t="s">
        <v>37</v>
      </c>
      <c r="M185" s="16" t="s">
        <v>126</v>
      </c>
      <c r="N185" s="16" t="s">
        <v>112</v>
      </c>
      <c r="O185" s="16" t="s">
        <v>37</v>
      </c>
      <c r="Q185" s="9">
        <v>7</v>
      </c>
      <c r="R185" s="9">
        <v>7</v>
      </c>
      <c r="S185" s="9">
        <v>15</v>
      </c>
      <c r="T185" s="9">
        <v>17</v>
      </c>
      <c r="U185" s="9">
        <v>7</v>
      </c>
      <c r="W185" s="25">
        <v>1</v>
      </c>
      <c r="X185" s="25">
        <v>1</v>
      </c>
      <c r="Y185" s="25">
        <v>1</v>
      </c>
      <c r="Z185" s="25">
        <v>1</v>
      </c>
      <c r="AA185" s="25">
        <v>1</v>
      </c>
      <c r="AH185" s="5"/>
      <c r="AI185" s="5"/>
      <c r="AO185" s="5"/>
    </row>
    <row r="186" spans="10:41" x14ac:dyDescent="0.3">
      <c r="J186" s="9">
        <v>182</v>
      </c>
      <c r="K186" s="16" t="s">
        <v>125</v>
      </c>
      <c r="L186" s="16" t="s">
        <v>34</v>
      </c>
      <c r="M186" s="16" t="s">
        <v>91</v>
      </c>
      <c r="N186" s="16" t="s">
        <v>35</v>
      </c>
      <c r="O186" s="16" t="s">
        <v>125</v>
      </c>
      <c r="Q186" s="9">
        <v>6</v>
      </c>
      <c r="R186" s="9">
        <v>9</v>
      </c>
      <c r="S186" s="9">
        <v>14</v>
      </c>
      <c r="T186" s="9">
        <v>8</v>
      </c>
      <c r="U186" s="9">
        <v>6</v>
      </c>
      <c r="W186" s="25">
        <v>1</v>
      </c>
      <c r="X186" s="25">
        <v>1</v>
      </c>
      <c r="Y186" s="25">
        <v>1</v>
      </c>
      <c r="Z186" s="25">
        <v>1</v>
      </c>
      <c r="AA186" s="25">
        <v>1</v>
      </c>
      <c r="AH186" s="5"/>
      <c r="AI186" s="5"/>
      <c r="AO186" s="5"/>
    </row>
    <row r="187" spans="10:41" x14ac:dyDescent="0.3">
      <c r="J187" s="25">
        <v>183</v>
      </c>
      <c r="K187" s="16" t="s">
        <v>35</v>
      </c>
      <c r="L187" s="16" t="s">
        <v>126</v>
      </c>
      <c r="M187" s="16" t="s">
        <v>112</v>
      </c>
      <c r="N187" s="16" t="s">
        <v>20</v>
      </c>
      <c r="O187" s="16" t="s">
        <v>36</v>
      </c>
      <c r="Q187" s="9">
        <v>8</v>
      </c>
      <c r="R187" s="9">
        <v>15</v>
      </c>
      <c r="S187" s="9">
        <v>17</v>
      </c>
      <c r="T187" s="9">
        <v>1</v>
      </c>
      <c r="U187" s="9">
        <v>10</v>
      </c>
      <c r="W187" s="25">
        <v>1</v>
      </c>
      <c r="X187" s="25">
        <v>1</v>
      </c>
      <c r="Y187" s="25">
        <v>1</v>
      </c>
      <c r="Z187" s="25">
        <v>1</v>
      </c>
      <c r="AA187" s="25">
        <v>1</v>
      </c>
      <c r="AH187" s="5"/>
      <c r="AI187" s="5"/>
      <c r="AO187" s="5"/>
    </row>
    <row r="188" spans="10:41" x14ac:dyDescent="0.3">
      <c r="J188" s="9">
        <v>184</v>
      </c>
      <c r="K188" s="16" t="s">
        <v>37</v>
      </c>
      <c r="L188" s="16" t="s">
        <v>34</v>
      </c>
      <c r="M188" s="16" t="s">
        <v>91</v>
      </c>
      <c r="N188" s="16" t="s">
        <v>125</v>
      </c>
      <c r="O188" s="16" t="s">
        <v>19</v>
      </c>
      <c r="Q188" s="9">
        <v>7</v>
      </c>
      <c r="R188" s="9">
        <v>9</v>
      </c>
      <c r="S188" s="9">
        <v>14</v>
      </c>
      <c r="T188" s="9">
        <v>6</v>
      </c>
      <c r="U188" s="9">
        <v>5</v>
      </c>
      <c r="W188" s="25">
        <v>1</v>
      </c>
      <c r="X188" s="25">
        <v>1</v>
      </c>
      <c r="Y188" s="25">
        <v>1</v>
      </c>
      <c r="Z188" s="25">
        <v>1</v>
      </c>
      <c r="AA188" s="25">
        <v>1</v>
      </c>
      <c r="AH188" s="5"/>
      <c r="AI188" s="5"/>
      <c r="AO188" s="5"/>
    </row>
    <row r="189" spans="10:41" x14ac:dyDescent="0.3">
      <c r="J189" s="25">
        <v>185</v>
      </c>
      <c r="K189" s="16" t="s">
        <v>35</v>
      </c>
      <c r="L189" s="16" t="s">
        <v>19</v>
      </c>
      <c r="M189" s="16" t="s">
        <v>112</v>
      </c>
      <c r="N189" s="16" t="s">
        <v>18</v>
      </c>
      <c r="O189" s="16" t="s">
        <v>34</v>
      </c>
      <c r="Q189" s="9">
        <v>8</v>
      </c>
      <c r="R189" s="9">
        <v>5</v>
      </c>
      <c r="S189" s="9">
        <v>17</v>
      </c>
      <c r="T189" s="9">
        <v>4</v>
      </c>
      <c r="U189" s="9">
        <v>9</v>
      </c>
      <c r="W189" s="25">
        <v>1</v>
      </c>
      <c r="X189" s="25">
        <v>1</v>
      </c>
      <c r="Y189" s="25">
        <v>1</v>
      </c>
      <c r="Z189" s="25">
        <v>1</v>
      </c>
      <c r="AA189" s="25">
        <v>1</v>
      </c>
      <c r="AH189" s="5"/>
      <c r="AI189" s="5"/>
      <c r="AO189" s="5"/>
    </row>
    <row r="190" spans="10:41" x14ac:dyDescent="0.3">
      <c r="J190" s="9">
        <v>186</v>
      </c>
      <c r="K190" s="16" t="s">
        <v>18</v>
      </c>
      <c r="L190" s="16" t="s">
        <v>126</v>
      </c>
      <c r="M190" s="16" t="s">
        <v>126</v>
      </c>
      <c r="N190" s="16" t="s">
        <v>125</v>
      </c>
      <c r="O190" s="16" t="s">
        <v>20</v>
      </c>
      <c r="Q190" s="9">
        <v>4</v>
      </c>
      <c r="R190" s="9">
        <v>15</v>
      </c>
      <c r="S190" s="9">
        <v>15</v>
      </c>
      <c r="T190" s="9">
        <v>6</v>
      </c>
      <c r="U190" s="9">
        <v>1</v>
      </c>
      <c r="W190" s="25">
        <v>1</v>
      </c>
      <c r="X190" s="25">
        <v>1</v>
      </c>
      <c r="Y190" s="25">
        <v>1</v>
      </c>
      <c r="Z190" s="25">
        <v>1</v>
      </c>
      <c r="AA190" s="25">
        <v>1</v>
      </c>
      <c r="AH190" s="5"/>
      <c r="AI190" s="5"/>
      <c r="AO190" s="5"/>
    </row>
    <row r="191" spans="10:41" x14ac:dyDescent="0.3">
      <c r="J191" s="25">
        <v>187</v>
      </c>
      <c r="K191" s="16" t="s">
        <v>35</v>
      </c>
      <c r="L191" s="16" t="s">
        <v>125</v>
      </c>
      <c r="M191" s="16" t="s">
        <v>91</v>
      </c>
      <c r="N191" s="16" t="s">
        <v>37</v>
      </c>
      <c r="O191" s="16" t="s">
        <v>125</v>
      </c>
      <c r="Q191" s="9">
        <v>8</v>
      </c>
      <c r="R191" s="9">
        <v>6</v>
      </c>
      <c r="S191" s="9">
        <v>14</v>
      </c>
      <c r="T191" s="9">
        <v>7</v>
      </c>
      <c r="U191" s="9">
        <v>6</v>
      </c>
      <c r="W191" s="25">
        <v>1</v>
      </c>
      <c r="X191" s="25">
        <v>1</v>
      </c>
      <c r="Y191" s="25">
        <v>1</v>
      </c>
      <c r="Z191" s="25">
        <v>1</v>
      </c>
      <c r="AA191" s="25">
        <v>1</v>
      </c>
      <c r="AH191" s="5"/>
      <c r="AI191" s="5"/>
      <c r="AO191" s="5"/>
    </row>
    <row r="192" spans="10:41" x14ac:dyDescent="0.3">
      <c r="J192" s="9">
        <v>188</v>
      </c>
      <c r="K192" s="16" t="s">
        <v>37</v>
      </c>
      <c r="L192" s="16" t="s">
        <v>19</v>
      </c>
      <c r="M192" s="16" t="s">
        <v>92</v>
      </c>
      <c r="N192" s="16" t="s">
        <v>92</v>
      </c>
      <c r="O192" s="16" t="s">
        <v>35</v>
      </c>
      <c r="Q192" s="9">
        <v>7</v>
      </c>
      <c r="R192" s="9">
        <v>5</v>
      </c>
      <c r="S192" s="9">
        <v>16</v>
      </c>
      <c r="T192" s="9">
        <v>16</v>
      </c>
      <c r="U192" s="9">
        <v>8</v>
      </c>
      <c r="W192" s="25">
        <v>1</v>
      </c>
      <c r="X192" s="25">
        <v>1</v>
      </c>
      <c r="Y192" s="25">
        <v>1</v>
      </c>
      <c r="Z192" s="25">
        <v>1</v>
      </c>
      <c r="AA192" s="25">
        <v>1</v>
      </c>
      <c r="AH192" s="5"/>
      <c r="AI192" s="5"/>
      <c r="AO192" s="5"/>
    </row>
    <row r="193" spans="10:41" x14ac:dyDescent="0.3">
      <c r="J193" s="25">
        <v>189</v>
      </c>
      <c r="K193" s="16" t="s">
        <v>125</v>
      </c>
      <c r="L193" s="16" t="s">
        <v>35</v>
      </c>
      <c r="M193" s="16" t="s">
        <v>91</v>
      </c>
      <c r="N193" s="16" t="s">
        <v>19</v>
      </c>
      <c r="O193" s="16" t="s">
        <v>125</v>
      </c>
      <c r="Q193" s="9">
        <v>6</v>
      </c>
      <c r="R193" s="9">
        <v>8</v>
      </c>
      <c r="S193" s="9">
        <v>14</v>
      </c>
      <c r="T193" s="9">
        <v>5</v>
      </c>
      <c r="U193" s="9">
        <v>6</v>
      </c>
      <c r="W193" s="25">
        <v>1</v>
      </c>
      <c r="X193" s="25">
        <v>1</v>
      </c>
      <c r="Y193" s="25">
        <v>1</v>
      </c>
      <c r="Z193" s="25">
        <v>1</v>
      </c>
      <c r="AA193" s="25">
        <v>1</v>
      </c>
      <c r="AH193" s="5"/>
      <c r="AI193" s="5"/>
      <c r="AO193" s="5"/>
    </row>
    <row r="194" spans="10:41" x14ac:dyDescent="0.3">
      <c r="J194" s="9">
        <v>190</v>
      </c>
      <c r="K194" s="16" t="s">
        <v>35</v>
      </c>
      <c r="L194" s="16" t="s">
        <v>90</v>
      </c>
      <c r="M194" s="16" t="s">
        <v>92</v>
      </c>
      <c r="N194" s="16" t="s">
        <v>35</v>
      </c>
      <c r="O194" s="16" t="s">
        <v>35</v>
      </c>
      <c r="Q194" s="9">
        <v>8</v>
      </c>
      <c r="R194" s="9">
        <v>13</v>
      </c>
      <c r="S194" s="9">
        <v>16</v>
      </c>
      <c r="T194" s="9">
        <v>8</v>
      </c>
      <c r="U194" s="9">
        <v>8</v>
      </c>
      <c r="W194" s="25">
        <v>1</v>
      </c>
      <c r="X194" s="25">
        <v>1</v>
      </c>
      <c r="Y194" s="25">
        <v>1</v>
      </c>
      <c r="Z194" s="25">
        <v>1</v>
      </c>
      <c r="AA194" s="25">
        <v>1</v>
      </c>
      <c r="AH194" s="5"/>
      <c r="AI194" s="5"/>
      <c r="AO194" s="5"/>
    </row>
    <row r="195" spans="10:41" x14ac:dyDescent="0.3">
      <c r="J195" s="25">
        <v>191</v>
      </c>
      <c r="K195" s="16" t="s">
        <v>19</v>
      </c>
      <c r="L195" s="16" t="s">
        <v>37</v>
      </c>
      <c r="M195" s="16" t="s">
        <v>90</v>
      </c>
      <c r="N195" s="16" t="s">
        <v>19</v>
      </c>
      <c r="O195" s="16" t="s">
        <v>125</v>
      </c>
      <c r="Q195" s="9">
        <v>5</v>
      </c>
      <c r="R195" s="9">
        <v>7</v>
      </c>
      <c r="S195" s="9">
        <v>13</v>
      </c>
      <c r="T195" s="9">
        <v>5</v>
      </c>
      <c r="U195" s="9">
        <v>6</v>
      </c>
      <c r="W195" s="25">
        <v>1</v>
      </c>
      <c r="X195" s="25">
        <v>1</v>
      </c>
      <c r="Y195" s="25">
        <v>1</v>
      </c>
      <c r="Z195" s="25">
        <v>1</v>
      </c>
      <c r="AA195" s="25">
        <v>1</v>
      </c>
      <c r="AH195" s="5"/>
      <c r="AI195" s="5"/>
      <c r="AO195" s="5"/>
    </row>
    <row r="196" spans="10:41" x14ac:dyDescent="0.3">
      <c r="J196" s="9">
        <v>192</v>
      </c>
      <c r="K196" s="16" t="s">
        <v>125</v>
      </c>
      <c r="L196" s="16" t="s">
        <v>19</v>
      </c>
      <c r="M196" s="16" t="s">
        <v>92</v>
      </c>
      <c r="N196" s="16" t="s">
        <v>22</v>
      </c>
      <c r="O196" s="16" t="s">
        <v>18</v>
      </c>
      <c r="Q196" s="9">
        <v>6</v>
      </c>
      <c r="R196" s="9">
        <v>5</v>
      </c>
      <c r="S196" s="9">
        <v>16</v>
      </c>
      <c r="T196" s="9">
        <v>3</v>
      </c>
      <c r="U196" s="9">
        <v>4</v>
      </c>
      <c r="W196" s="25">
        <v>1</v>
      </c>
      <c r="X196" s="25">
        <v>1</v>
      </c>
      <c r="Y196" s="25">
        <v>1</v>
      </c>
      <c r="Z196" s="25">
        <v>1</v>
      </c>
      <c r="AA196" s="25">
        <v>1</v>
      </c>
      <c r="AH196" s="5"/>
      <c r="AI196" s="5"/>
      <c r="AO196" s="5"/>
    </row>
    <row r="197" spans="10:41" x14ac:dyDescent="0.3">
      <c r="J197" s="25">
        <v>193</v>
      </c>
      <c r="K197" s="16" t="s">
        <v>35</v>
      </c>
      <c r="L197" s="16" t="s">
        <v>35</v>
      </c>
      <c r="M197" s="16" t="s">
        <v>112</v>
      </c>
      <c r="N197" s="16" t="s">
        <v>125</v>
      </c>
      <c r="O197" s="16" t="s">
        <v>37</v>
      </c>
      <c r="Q197" s="9">
        <v>8</v>
      </c>
      <c r="R197" s="9">
        <v>8</v>
      </c>
      <c r="S197" s="9">
        <v>17</v>
      </c>
      <c r="T197" s="9">
        <v>6</v>
      </c>
      <c r="U197" s="9">
        <v>7</v>
      </c>
      <c r="W197" s="25">
        <v>1</v>
      </c>
      <c r="X197" s="25">
        <v>1</v>
      </c>
      <c r="Y197" s="25">
        <v>1</v>
      </c>
      <c r="Z197" s="25">
        <v>1</v>
      </c>
      <c r="AA197" s="25">
        <v>1</v>
      </c>
      <c r="AH197" s="5"/>
      <c r="AI197" s="5"/>
      <c r="AO197" s="5"/>
    </row>
    <row r="198" spans="10:41" x14ac:dyDescent="0.3">
      <c r="J198" s="9">
        <v>194</v>
      </c>
      <c r="K198" s="16" t="s">
        <v>125</v>
      </c>
      <c r="L198" s="16" t="s">
        <v>34</v>
      </c>
      <c r="M198" s="16" t="s">
        <v>92</v>
      </c>
      <c r="N198" s="16" t="s">
        <v>35</v>
      </c>
      <c r="O198" s="16" t="s">
        <v>125</v>
      </c>
      <c r="Q198" s="9">
        <v>6</v>
      </c>
      <c r="R198" s="9">
        <v>9</v>
      </c>
      <c r="S198" s="9">
        <v>16</v>
      </c>
      <c r="T198" s="9">
        <v>8</v>
      </c>
      <c r="U198" s="9">
        <v>6</v>
      </c>
      <c r="W198" s="25">
        <v>1</v>
      </c>
      <c r="X198" s="25">
        <v>1</v>
      </c>
      <c r="Y198" s="25">
        <v>1</v>
      </c>
      <c r="Z198" s="25">
        <v>1</v>
      </c>
      <c r="AA198" s="25">
        <v>1</v>
      </c>
      <c r="AH198" s="5"/>
      <c r="AI198" s="5"/>
      <c r="AO198" s="5"/>
    </row>
    <row r="199" spans="10:41" x14ac:dyDescent="0.3">
      <c r="J199" s="25">
        <v>195</v>
      </c>
      <c r="K199" s="16" t="s">
        <v>37</v>
      </c>
      <c r="L199" s="16" t="s">
        <v>19</v>
      </c>
      <c r="M199" s="16" t="s">
        <v>112</v>
      </c>
      <c r="N199" s="16" t="s">
        <v>19</v>
      </c>
      <c r="O199" s="16" t="s">
        <v>37</v>
      </c>
      <c r="Q199" s="9">
        <v>7</v>
      </c>
      <c r="R199" s="9">
        <v>5</v>
      </c>
      <c r="S199" s="9">
        <v>17</v>
      </c>
      <c r="T199" s="9">
        <v>5</v>
      </c>
      <c r="U199" s="9">
        <v>7</v>
      </c>
      <c r="W199" s="25">
        <v>1</v>
      </c>
      <c r="X199" s="25">
        <v>1</v>
      </c>
      <c r="Y199" s="25">
        <v>1</v>
      </c>
      <c r="Z199" s="25">
        <v>1</v>
      </c>
      <c r="AA199" s="25">
        <v>1</v>
      </c>
      <c r="AH199" s="5"/>
      <c r="AI199" s="5"/>
      <c r="AO199" s="5"/>
    </row>
    <row r="200" spans="10:41" x14ac:dyDescent="0.3">
      <c r="J200" s="9">
        <v>196</v>
      </c>
      <c r="K200" s="16" t="s">
        <v>19</v>
      </c>
      <c r="L200" s="16" t="s">
        <v>125</v>
      </c>
      <c r="M200" s="16" t="s">
        <v>97</v>
      </c>
      <c r="N200" s="16" t="s">
        <v>125</v>
      </c>
      <c r="O200" s="16" t="s">
        <v>35</v>
      </c>
      <c r="Q200" s="9">
        <v>5</v>
      </c>
      <c r="R200" s="9">
        <v>6</v>
      </c>
      <c r="S200" s="9">
        <v>19</v>
      </c>
      <c r="T200" s="9">
        <v>6</v>
      </c>
      <c r="U200" s="9">
        <v>8</v>
      </c>
      <c r="W200" s="25">
        <v>1</v>
      </c>
      <c r="X200" s="25">
        <v>1</v>
      </c>
      <c r="Y200" s="25">
        <v>1</v>
      </c>
      <c r="Z200" s="25">
        <v>1</v>
      </c>
      <c r="AA200" s="25">
        <v>1</v>
      </c>
      <c r="AH200" s="5"/>
      <c r="AI200" s="5"/>
      <c r="AO200" s="5"/>
    </row>
    <row r="201" spans="10:41" x14ac:dyDescent="0.3">
      <c r="J201" s="25">
        <v>197</v>
      </c>
      <c r="K201" s="16" t="s">
        <v>125</v>
      </c>
      <c r="L201" s="16" t="s">
        <v>18</v>
      </c>
      <c r="M201" s="16" t="s">
        <v>92</v>
      </c>
      <c r="N201" s="16" t="s">
        <v>19</v>
      </c>
      <c r="O201" s="16" t="s">
        <v>37</v>
      </c>
      <c r="Q201" s="9">
        <v>6</v>
      </c>
      <c r="R201" s="9">
        <v>4</v>
      </c>
      <c r="S201" s="9">
        <v>16</v>
      </c>
      <c r="T201" s="9">
        <v>5</v>
      </c>
      <c r="U201" s="9">
        <v>7</v>
      </c>
      <c r="W201" s="25">
        <v>1</v>
      </c>
      <c r="X201" s="25">
        <v>1</v>
      </c>
      <c r="Y201" s="25">
        <v>1</v>
      </c>
      <c r="Z201" s="25">
        <v>1</v>
      </c>
      <c r="AA201" s="25">
        <v>1</v>
      </c>
      <c r="AH201" s="5"/>
      <c r="AI201" s="5"/>
      <c r="AO201" s="5"/>
    </row>
    <row r="202" spans="10:41" x14ac:dyDescent="0.3">
      <c r="J202" s="9">
        <v>198</v>
      </c>
      <c r="K202" s="16" t="s">
        <v>37</v>
      </c>
      <c r="L202" s="16" t="s">
        <v>34</v>
      </c>
      <c r="M202" s="16" t="s">
        <v>112</v>
      </c>
      <c r="N202" s="16" t="s">
        <v>34</v>
      </c>
      <c r="O202" s="16" t="s">
        <v>19</v>
      </c>
      <c r="Q202" s="9">
        <v>7</v>
      </c>
      <c r="R202" s="9">
        <v>9</v>
      </c>
      <c r="S202" s="9">
        <v>17</v>
      </c>
      <c r="T202" s="9">
        <v>9</v>
      </c>
      <c r="U202" s="9">
        <v>5</v>
      </c>
      <c r="W202" s="25">
        <v>1</v>
      </c>
      <c r="X202" s="25">
        <v>1</v>
      </c>
      <c r="Y202" s="25">
        <v>1</v>
      </c>
      <c r="Z202" s="25">
        <v>1</v>
      </c>
      <c r="AA202" s="25">
        <v>1</v>
      </c>
      <c r="AH202" s="5"/>
      <c r="AI202" s="5"/>
      <c r="AO202" s="5"/>
    </row>
    <row r="203" spans="10:41" x14ac:dyDescent="0.3">
      <c r="J203" s="25">
        <v>199</v>
      </c>
      <c r="K203" s="16" t="s">
        <v>35</v>
      </c>
      <c r="L203" s="16" t="s">
        <v>37</v>
      </c>
      <c r="M203" s="16" t="s">
        <v>126</v>
      </c>
      <c r="N203" s="16" t="s">
        <v>37</v>
      </c>
      <c r="O203" s="16" t="s">
        <v>35</v>
      </c>
      <c r="Q203" s="9">
        <v>8</v>
      </c>
      <c r="R203" s="9">
        <v>7</v>
      </c>
      <c r="S203" s="9">
        <v>15</v>
      </c>
      <c r="T203" s="9">
        <v>7</v>
      </c>
      <c r="U203" s="9">
        <v>8</v>
      </c>
      <c r="W203" s="25">
        <v>1</v>
      </c>
      <c r="X203" s="25">
        <v>1</v>
      </c>
      <c r="Y203" s="25">
        <v>1</v>
      </c>
      <c r="Z203" s="25">
        <v>1</v>
      </c>
      <c r="AA203" s="25">
        <v>1</v>
      </c>
      <c r="AH203" s="5"/>
      <c r="AI203" s="5"/>
      <c r="AO203" s="5"/>
    </row>
    <row r="204" spans="10:41" x14ac:dyDescent="0.3">
      <c r="J204" s="9"/>
      <c r="K204" s="16"/>
      <c r="L204" s="16"/>
      <c r="M204" s="16"/>
      <c r="N204" s="16"/>
      <c r="O204" s="16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5"/>
      <c r="X204" s="25"/>
      <c r="Y204" s="25"/>
      <c r="Z204" s="25"/>
      <c r="AA204" s="25"/>
      <c r="AH204" s="5"/>
      <c r="AI204" s="5"/>
      <c r="AO204" s="5"/>
    </row>
    <row r="205" spans="10:41" x14ac:dyDescent="0.3">
      <c r="J205" s="25"/>
      <c r="K205" s="16"/>
      <c r="L205" s="16"/>
      <c r="M205" s="16"/>
      <c r="N205" s="16"/>
      <c r="O205" s="16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5"/>
      <c r="X205" s="25"/>
      <c r="Y205" s="25"/>
      <c r="Z205" s="25"/>
      <c r="AA205" s="25"/>
      <c r="AH205" s="5"/>
      <c r="AI205" s="5"/>
      <c r="AO205" s="5"/>
    </row>
    <row r="206" spans="10:41" x14ac:dyDescent="0.3">
      <c r="J206" s="25"/>
      <c r="K206" s="16"/>
      <c r="L206" s="16"/>
      <c r="M206" s="16"/>
      <c r="N206" s="16"/>
      <c r="O206" s="16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5"/>
      <c r="X206" s="25"/>
      <c r="Y206" s="25"/>
      <c r="Z206" s="25"/>
      <c r="AA206" s="25"/>
      <c r="AH206" s="5"/>
      <c r="AI206" s="5"/>
      <c r="AO206" s="5"/>
    </row>
    <row r="207" spans="10:41" x14ac:dyDescent="0.3">
      <c r="J207" s="9"/>
      <c r="K207" s="16"/>
      <c r="L207" s="16"/>
      <c r="M207" s="16"/>
      <c r="N207" s="16"/>
      <c r="O207" s="16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5"/>
      <c r="X207" s="25"/>
      <c r="Y207" s="25"/>
      <c r="Z207" s="25"/>
      <c r="AA207" s="25"/>
      <c r="AH207" s="5"/>
      <c r="AI207" s="5"/>
      <c r="AO207" s="5"/>
    </row>
    <row r="208" spans="10:41" x14ac:dyDescent="0.3">
      <c r="J208" s="25"/>
      <c r="K208" s="16"/>
      <c r="L208" s="16"/>
      <c r="M208" s="16"/>
      <c r="N208" s="16"/>
      <c r="O208" s="16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5"/>
      <c r="X208" s="25"/>
      <c r="Y208" s="25"/>
      <c r="Z208" s="25"/>
      <c r="AA208" s="25"/>
      <c r="AH208" s="5"/>
      <c r="AI208" s="5"/>
      <c r="AO208" s="5"/>
    </row>
    <row r="209" spans="10:41" x14ac:dyDescent="0.3">
      <c r="J209" s="9"/>
      <c r="K209" s="16"/>
      <c r="L209" s="16"/>
      <c r="M209" s="16"/>
      <c r="N209" s="16"/>
      <c r="O209" s="16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5"/>
      <c r="X209" s="25"/>
      <c r="Y209" s="25"/>
      <c r="Z209" s="25"/>
      <c r="AA209" s="25"/>
      <c r="AH209" s="5"/>
      <c r="AI209" s="5"/>
      <c r="AO209" s="5"/>
    </row>
    <row r="210" spans="10:41" x14ac:dyDescent="0.3">
      <c r="J210" s="25"/>
      <c r="K210" s="16"/>
      <c r="L210" s="16"/>
      <c r="M210" s="16"/>
      <c r="N210" s="16"/>
      <c r="O210" s="16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5"/>
      <c r="X210" s="25"/>
      <c r="Y210" s="25"/>
      <c r="Z210" s="25"/>
      <c r="AA210" s="25"/>
      <c r="AH210" s="5"/>
      <c r="AI210" s="5"/>
      <c r="AO210" s="5"/>
    </row>
    <row r="211" spans="10:41" x14ac:dyDescent="0.3">
      <c r="J211" s="9"/>
      <c r="K211" s="16"/>
      <c r="L211" s="16"/>
      <c r="M211" s="16"/>
      <c r="N211" s="16"/>
      <c r="O211" s="16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5"/>
      <c r="X211" s="25"/>
      <c r="Y211" s="25"/>
      <c r="Z211" s="25"/>
      <c r="AA211" s="25"/>
      <c r="AH211" s="5"/>
      <c r="AI211" s="5"/>
      <c r="AO211" s="5"/>
    </row>
    <row r="212" spans="10:41" x14ac:dyDescent="0.3">
      <c r="J212" s="25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5"/>
      <c r="X212" s="25"/>
      <c r="Y212" s="25"/>
      <c r="Z212" s="25"/>
      <c r="AA212" s="25"/>
      <c r="AH212" s="5"/>
      <c r="AI212" s="5"/>
      <c r="AO212" s="5"/>
    </row>
    <row r="213" spans="10:41" x14ac:dyDescent="0.3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5"/>
      <c r="X213" s="25"/>
      <c r="Y213" s="25"/>
      <c r="Z213" s="25"/>
      <c r="AA213" s="25"/>
      <c r="AH213" s="5"/>
      <c r="AI213" s="5"/>
      <c r="AO213" s="5"/>
    </row>
    <row r="214" spans="10:41" x14ac:dyDescent="0.3">
      <c r="J214" s="25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5"/>
      <c r="X214" s="25"/>
      <c r="Y214" s="25"/>
      <c r="Z214" s="25"/>
      <c r="AA214" s="25"/>
      <c r="AH214" s="5"/>
      <c r="AI214" s="5"/>
      <c r="AO214" s="5"/>
    </row>
    <row r="215" spans="10:41" x14ac:dyDescent="0.3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5"/>
      <c r="X215" s="25"/>
      <c r="Y215" s="25"/>
      <c r="Z215" s="25"/>
      <c r="AA215" s="25"/>
      <c r="AH215" s="5"/>
      <c r="AI215" s="5"/>
      <c r="AO215" s="5"/>
    </row>
    <row r="216" spans="10:41" x14ac:dyDescent="0.3">
      <c r="J216" s="25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5"/>
      <c r="X216" s="25"/>
      <c r="Y216" s="25"/>
      <c r="Z216" s="25"/>
      <c r="AA216" s="25"/>
      <c r="AH216" s="5"/>
      <c r="AI216" s="5"/>
      <c r="AO216" s="5"/>
    </row>
    <row r="217" spans="10:41" x14ac:dyDescent="0.3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5"/>
      <c r="X217" s="25"/>
      <c r="Y217" s="25"/>
      <c r="Z217" s="25"/>
      <c r="AA217" s="25"/>
      <c r="AH217" s="5"/>
      <c r="AI217" s="5"/>
      <c r="AO217" s="5"/>
    </row>
    <row r="218" spans="10:41" x14ac:dyDescent="0.3">
      <c r="J218" s="25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5"/>
      <c r="X218" s="25"/>
      <c r="Y218" s="25"/>
      <c r="Z218" s="25"/>
      <c r="AA218" s="25"/>
      <c r="AH218" s="5"/>
      <c r="AI218" s="5"/>
      <c r="AO218" s="5"/>
    </row>
    <row r="219" spans="10:41" x14ac:dyDescent="0.3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5"/>
      <c r="X219" s="25"/>
      <c r="Y219" s="25"/>
      <c r="Z219" s="25"/>
      <c r="AA219" s="25"/>
      <c r="AH219" s="5"/>
      <c r="AI219" s="5"/>
      <c r="AO219" s="5"/>
    </row>
    <row r="220" spans="10:41" x14ac:dyDescent="0.3">
      <c r="J220" s="25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5"/>
      <c r="X220" s="25"/>
      <c r="Y220" s="25"/>
      <c r="Z220" s="25"/>
      <c r="AA220" s="25"/>
      <c r="AH220" s="5"/>
      <c r="AI220" s="5"/>
      <c r="AO220" s="5"/>
    </row>
    <row r="221" spans="10:41" x14ac:dyDescent="0.3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5"/>
      <c r="X221" s="25"/>
      <c r="Y221" s="25"/>
      <c r="Z221" s="25"/>
      <c r="AA221" s="25"/>
      <c r="AH221" s="5"/>
      <c r="AI221" s="5"/>
      <c r="AO221" s="5"/>
    </row>
    <row r="222" spans="10:41" x14ac:dyDescent="0.3">
      <c r="J222" s="25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5"/>
      <c r="X222" s="25"/>
      <c r="Y222" s="25"/>
      <c r="Z222" s="25"/>
      <c r="AA222" s="25"/>
      <c r="AH222" s="5"/>
      <c r="AI222" s="5"/>
      <c r="AO222" s="5"/>
    </row>
    <row r="223" spans="10:41" x14ac:dyDescent="0.3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5"/>
      <c r="X223" s="25"/>
      <c r="Y223" s="25"/>
      <c r="Z223" s="25"/>
      <c r="AA223" s="25"/>
      <c r="AH223" s="5"/>
      <c r="AI223" s="5"/>
      <c r="AO223" s="5"/>
    </row>
    <row r="224" spans="10:41" x14ac:dyDescent="0.3">
      <c r="J224" s="25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5"/>
      <c r="X224" s="25"/>
      <c r="Y224" s="25"/>
      <c r="Z224" s="25"/>
      <c r="AA224" s="25"/>
      <c r="AH224" s="5"/>
      <c r="AI224" s="5"/>
      <c r="AO224" s="5"/>
    </row>
    <row r="225" spans="10:41" x14ac:dyDescent="0.3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5"/>
      <c r="X225" s="25"/>
      <c r="Y225" s="25"/>
      <c r="Z225" s="25"/>
      <c r="AA225" s="25"/>
      <c r="AH225" s="5"/>
      <c r="AI225" s="5"/>
      <c r="AO225" s="5"/>
    </row>
    <row r="226" spans="10:41" x14ac:dyDescent="0.3">
      <c r="J226" s="25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5"/>
      <c r="X226" s="25"/>
      <c r="Y226" s="25"/>
      <c r="Z226" s="25"/>
      <c r="AA226" s="25"/>
      <c r="AH226" s="5"/>
      <c r="AI226" s="5"/>
      <c r="AO226" s="5"/>
    </row>
    <row r="227" spans="10:41" x14ac:dyDescent="0.3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5"/>
      <c r="X227" s="25"/>
      <c r="Y227" s="25"/>
      <c r="Z227" s="25"/>
      <c r="AA227" s="25"/>
      <c r="AH227" s="5"/>
      <c r="AI227" s="5"/>
      <c r="AO227" s="5"/>
    </row>
    <row r="228" spans="10:41" x14ac:dyDescent="0.3">
      <c r="J228" s="25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5"/>
      <c r="X228" s="25"/>
      <c r="Y228" s="25"/>
      <c r="Z228" s="25"/>
      <c r="AA228" s="25"/>
      <c r="AH228" s="5"/>
      <c r="AI228" s="5"/>
      <c r="AO228" s="5"/>
    </row>
    <row r="229" spans="10:41" x14ac:dyDescent="0.3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5"/>
      <c r="X229" s="25"/>
      <c r="Y229" s="25"/>
      <c r="Z229" s="25"/>
      <c r="AA229" s="25"/>
      <c r="AH229" s="5"/>
      <c r="AI229" s="5"/>
      <c r="AO229" s="5"/>
    </row>
    <row r="230" spans="10:41" x14ac:dyDescent="0.3">
      <c r="J230" s="25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5"/>
      <c r="X230" s="25"/>
      <c r="Y230" s="25"/>
      <c r="Z230" s="25"/>
      <c r="AA230" s="25"/>
      <c r="AH230" s="5"/>
      <c r="AI230" s="5"/>
      <c r="AO230" s="5"/>
    </row>
    <row r="231" spans="10:41" x14ac:dyDescent="0.3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5"/>
      <c r="X231" s="25"/>
      <c r="Y231" s="25"/>
      <c r="Z231" s="25"/>
      <c r="AA231" s="25"/>
      <c r="AH231" s="5"/>
      <c r="AI231" s="5"/>
      <c r="AO231" s="5"/>
    </row>
    <row r="232" spans="10:41" x14ac:dyDescent="0.3">
      <c r="J232" s="25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5"/>
      <c r="X232" s="25"/>
      <c r="Y232" s="25"/>
      <c r="Z232" s="25"/>
      <c r="AA232" s="25"/>
      <c r="AH232" s="5"/>
      <c r="AI232" s="5"/>
      <c r="AO232" s="5"/>
    </row>
    <row r="233" spans="10:41" x14ac:dyDescent="0.3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5"/>
      <c r="X233" s="25"/>
      <c r="Y233" s="25"/>
      <c r="Z233" s="25"/>
      <c r="AA233" s="25"/>
      <c r="AH233" s="5"/>
      <c r="AI233" s="5"/>
      <c r="AO233" s="5"/>
    </row>
    <row r="234" spans="10:41" x14ac:dyDescent="0.3">
      <c r="J234" s="25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5"/>
      <c r="X234" s="25"/>
      <c r="Y234" s="25"/>
      <c r="Z234" s="25"/>
      <c r="AA234" s="25"/>
      <c r="AH234" s="5"/>
      <c r="AI234" s="5"/>
      <c r="AO234" s="5"/>
    </row>
    <row r="235" spans="10:41" x14ac:dyDescent="0.3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5"/>
      <c r="X235" s="25"/>
      <c r="Y235" s="25"/>
      <c r="Z235" s="25"/>
      <c r="AA235" s="25"/>
      <c r="AH235" s="5"/>
      <c r="AI235" s="5"/>
      <c r="AO235" s="5"/>
    </row>
    <row r="236" spans="10:41" x14ac:dyDescent="0.3">
      <c r="J236" s="25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5"/>
      <c r="X236" s="25"/>
      <c r="Y236" s="25"/>
      <c r="Z236" s="25"/>
      <c r="AA236" s="25"/>
      <c r="AH236" s="5"/>
      <c r="AI236" s="5"/>
      <c r="AO236" s="5"/>
    </row>
    <row r="237" spans="10:41" x14ac:dyDescent="0.3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5"/>
      <c r="X237" s="25"/>
      <c r="Y237" s="25"/>
      <c r="Z237" s="25"/>
      <c r="AA237" s="25"/>
      <c r="AH237" s="5"/>
      <c r="AI237" s="5"/>
      <c r="AO237" s="5"/>
    </row>
    <row r="238" spans="10:41" x14ac:dyDescent="0.3">
      <c r="J238" s="25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5"/>
      <c r="X238" s="25"/>
      <c r="Y238" s="25"/>
      <c r="Z238" s="25"/>
      <c r="AA238" s="25"/>
      <c r="AH238" s="5"/>
      <c r="AI238" s="5"/>
      <c r="AO238" s="5"/>
    </row>
    <row r="239" spans="10:41" x14ac:dyDescent="0.3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5"/>
      <c r="X239" s="25"/>
      <c r="Y239" s="25"/>
      <c r="Z239" s="25"/>
      <c r="AA239" s="25"/>
      <c r="AH239" s="5"/>
      <c r="AI239" s="5"/>
      <c r="AO239" s="5"/>
    </row>
    <row r="240" spans="10:41" x14ac:dyDescent="0.3">
      <c r="J240" s="25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5"/>
      <c r="X240" s="25"/>
      <c r="Y240" s="25"/>
      <c r="Z240" s="25"/>
      <c r="AA240" s="25"/>
      <c r="AH240" s="5"/>
      <c r="AI240" s="5"/>
      <c r="AO240" s="5"/>
    </row>
    <row r="241" spans="10:41" x14ac:dyDescent="0.3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5"/>
      <c r="X241" s="25"/>
      <c r="Y241" s="25"/>
      <c r="Z241" s="25"/>
      <c r="AA241" s="25"/>
      <c r="AH241" s="5"/>
      <c r="AI241" s="5"/>
      <c r="AO241" s="5"/>
    </row>
    <row r="242" spans="10:41" x14ac:dyDescent="0.3">
      <c r="J242" s="25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5"/>
      <c r="X242" s="25"/>
      <c r="Y242" s="25"/>
      <c r="Z242" s="25"/>
      <c r="AA242" s="25"/>
      <c r="AH242" s="5"/>
      <c r="AI242" s="5"/>
      <c r="AO242" s="5"/>
    </row>
    <row r="243" spans="10:41" x14ac:dyDescent="0.3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5"/>
      <c r="X243" s="25"/>
      <c r="Y243" s="25"/>
      <c r="Z243" s="25"/>
      <c r="AA243" s="25"/>
      <c r="AH243" s="5"/>
      <c r="AI243" s="5"/>
      <c r="AO243" s="5"/>
    </row>
    <row r="244" spans="10:41" x14ac:dyDescent="0.3">
      <c r="J244" s="25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5"/>
      <c r="X244" s="25"/>
      <c r="Y244" s="25"/>
      <c r="Z244" s="25"/>
      <c r="AA244" s="25"/>
      <c r="AH244" s="5"/>
      <c r="AI244" s="5"/>
      <c r="AO244" s="5"/>
    </row>
    <row r="245" spans="10:41" x14ac:dyDescent="0.3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5"/>
      <c r="X245" s="25"/>
      <c r="Y245" s="25"/>
      <c r="Z245" s="25"/>
      <c r="AA245" s="25"/>
      <c r="AH245" s="5"/>
      <c r="AI245" s="5"/>
      <c r="AO245" s="5"/>
    </row>
    <row r="246" spans="10:41" x14ac:dyDescent="0.3">
      <c r="J246" s="25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5"/>
      <c r="X246" s="25"/>
      <c r="Y246" s="25"/>
      <c r="Z246" s="25"/>
      <c r="AA246" s="25"/>
      <c r="AH246" s="5"/>
      <c r="AI246" s="5"/>
      <c r="AO246" s="5"/>
    </row>
    <row r="247" spans="10:41" x14ac:dyDescent="0.3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5"/>
      <c r="X247" s="25"/>
      <c r="Y247" s="25"/>
      <c r="Z247" s="25"/>
      <c r="AA247" s="25"/>
      <c r="AH247" s="5"/>
      <c r="AI247" s="5"/>
      <c r="AO247" s="5"/>
    </row>
    <row r="248" spans="10:41" x14ac:dyDescent="0.3">
      <c r="J248" s="25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5"/>
      <c r="X248" s="25"/>
      <c r="Y248" s="25"/>
      <c r="Z248" s="25"/>
      <c r="AA248" s="25"/>
      <c r="AH248" s="5"/>
      <c r="AI248" s="5"/>
      <c r="AO248" s="5"/>
    </row>
    <row r="249" spans="10:41" x14ac:dyDescent="0.3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5"/>
      <c r="X249" s="25"/>
      <c r="Y249" s="25"/>
      <c r="Z249" s="25"/>
      <c r="AA249" s="25"/>
      <c r="AH249" s="5"/>
      <c r="AI249" s="5"/>
      <c r="AO249" s="5"/>
    </row>
    <row r="250" spans="10:41" x14ac:dyDescent="0.3">
      <c r="J250" s="25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5"/>
      <c r="X250" s="25"/>
      <c r="Y250" s="25"/>
      <c r="Z250" s="25"/>
      <c r="AA250" s="25"/>
      <c r="AH250" s="5"/>
      <c r="AI250" s="5"/>
      <c r="AO250" s="5"/>
    </row>
    <row r="251" spans="10:41" x14ac:dyDescent="0.3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5"/>
      <c r="X251" s="25"/>
      <c r="Y251" s="25"/>
      <c r="Z251" s="25"/>
      <c r="AA251" s="25"/>
      <c r="AH251" s="5"/>
      <c r="AI251" s="5"/>
      <c r="AO251" s="5"/>
    </row>
    <row r="252" spans="10:41" x14ac:dyDescent="0.3">
      <c r="J252" s="25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5"/>
      <c r="X252" s="25"/>
      <c r="Y252" s="25"/>
      <c r="Z252" s="25"/>
      <c r="AA252" s="25"/>
      <c r="AH252" s="5"/>
      <c r="AI252" s="5"/>
      <c r="AO252" s="5"/>
    </row>
    <row r="253" spans="10:41" x14ac:dyDescent="0.3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5"/>
      <c r="X253" s="25"/>
      <c r="Y253" s="25"/>
      <c r="Z253" s="25"/>
      <c r="AA253" s="25"/>
      <c r="AH253" s="5"/>
      <c r="AI253" s="5"/>
      <c r="AO253" s="5"/>
    </row>
    <row r="254" spans="10:41" x14ac:dyDescent="0.3">
      <c r="J254" s="25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5"/>
      <c r="X254" s="25"/>
      <c r="Y254" s="25"/>
      <c r="Z254" s="25"/>
      <c r="AA254" s="25"/>
      <c r="AH254" s="5"/>
      <c r="AI254" s="5"/>
      <c r="AO254" s="5"/>
    </row>
    <row r="255" spans="10:41" x14ac:dyDescent="0.3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5"/>
      <c r="X255" s="25"/>
      <c r="Y255" s="25"/>
      <c r="Z255" s="25"/>
      <c r="AA255" s="25"/>
      <c r="AH255" s="5"/>
      <c r="AI255" s="5"/>
      <c r="AO255" s="5"/>
    </row>
    <row r="256" spans="10:41" x14ac:dyDescent="0.3">
      <c r="J256" s="25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5"/>
      <c r="X256" s="25"/>
      <c r="Y256" s="25"/>
      <c r="Z256" s="25"/>
      <c r="AA256" s="25"/>
      <c r="AH256" s="5"/>
      <c r="AI256" s="5"/>
      <c r="AO256" s="5"/>
    </row>
    <row r="257" spans="10:41" x14ac:dyDescent="0.3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5"/>
      <c r="X257" s="25"/>
      <c r="Y257" s="25"/>
      <c r="Z257" s="25"/>
      <c r="AA257" s="25"/>
      <c r="AH257" s="5"/>
      <c r="AI257" s="5"/>
      <c r="AO257" s="5"/>
    </row>
    <row r="258" spans="10:41" x14ac:dyDescent="0.3">
      <c r="J258" s="25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5"/>
      <c r="X258" s="25"/>
      <c r="Y258" s="25"/>
      <c r="Z258" s="25"/>
      <c r="AA258" s="25"/>
      <c r="AH258" s="5"/>
      <c r="AI258" s="5"/>
      <c r="AO258" s="5"/>
    </row>
    <row r="259" spans="10:41" x14ac:dyDescent="0.3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5"/>
      <c r="X259" s="25"/>
      <c r="Y259" s="25"/>
      <c r="Z259" s="25"/>
      <c r="AA259" s="25"/>
      <c r="AH259" s="5"/>
      <c r="AI259" s="5"/>
      <c r="AO259" s="5"/>
    </row>
    <row r="260" spans="10:41" x14ac:dyDescent="0.3">
      <c r="J260" s="25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5"/>
      <c r="X260" s="25"/>
      <c r="Y260" s="25"/>
      <c r="Z260" s="25"/>
      <c r="AA260" s="25"/>
      <c r="AH260" s="5"/>
      <c r="AI260" s="5"/>
      <c r="AO260" s="5"/>
    </row>
    <row r="261" spans="10:41" x14ac:dyDescent="0.3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5"/>
      <c r="X261" s="25"/>
      <c r="Y261" s="25"/>
      <c r="Z261" s="25"/>
      <c r="AA261" s="25"/>
      <c r="AH261" s="5"/>
      <c r="AI261" s="5"/>
      <c r="AO261" s="5"/>
    </row>
    <row r="262" spans="10:41" x14ac:dyDescent="0.3">
      <c r="J262" s="25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5"/>
      <c r="X262" s="25"/>
      <c r="Y262" s="25"/>
      <c r="Z262" s="25"/>
      <c r="AA262" s="25"/>
      <c r="AH262" s="5"/>
      <c r="AI262" s="5"/>
      <c r="AO262" s="5"/>
    </row>
    <row r="263" spans="10:41" x14ac:dyDescent="0.3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5"/>
      <c r="X263" s="25"/>
      <c r="Y263" s="25"/>
      <c r="Z263" s="25"/>
      <c r="AA263" s="25"/>
      <c r="AH263" s="5"/>
      <c r="AI263" s="5"/>
      <c r="AO263" s="5"/>
    </row>
    <row r="264" spans="10:41" x14ac:dyDescent="0.3">
      <c r="J264" s="25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5"/>
      <c r="X264" s="25"/>
      <c r="Y264" s="25"/>
      <c r="Z264" s="25"/>
      <c r="AA264" s="25"/>
      <c r="AH264" s="5"/>
      <c r="AI264" s="5"/>
      <c r="AO264" s="5"/>
    </row>
    <row r="265" spans="10:41" x14ac:dyDescent="0.3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5"/>
      <c r="X265" s="25"/>
      <c r="Y265" s="25"/>
      <c r="Z265" s="25"/>
      <c r="AA265" s="25"/>
      <c r="AH265" s="5"/>
      <c r="AI265" s="5"/>
      <c r="AO265" s="5"/>
    </row>
    <row r="266" spans="10:41" x14ac:dyDescent="0.3">
      <c r="J266" s="25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5"/>
      <c r="X266" s="25"/>
      <c r="Y266" s="25"/>
      <c r="Z266" s="25"/>
      <c r="AA266" s="25"/>
      <c r="AH266" s="5"/>
      <c r="AI266" s="5"/>
      <c r="AO266" s="5"/>
    </row>
    <row r="267" spans="10:41" x14ac:dyDescent="0.3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5"/>
      <c r="X267" s="25"/>
      <c r="Y267" s="25"/>
      <c r="Z267" s="25"/>
      <c r="AA267" s="25"/>
      <c r="AH267" s="5"/>
      <c r="AI267" s="5"/>
      <c r="AO267" s="5"/>
    </row>
    <row r="268" spans="10:41" x14ac:dyDescent="0.3">
      <c r="J268" s="25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5"/>
      <c r="X268" s="25"/>
      <c r="Y268" s="25"/>
      <c r="Z268" s="25"/>
      <c r="AA268" s="25"/>
      <c r="AH268" s="5"/>
      <c r="AI268" s="5"/>
      <c r="AO268" s="5"/>
    </row>
    <row r="269" spans="10:41" x14ac:dyDescent="0.3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5"/>
      <c r="X269" s="25"/>
      <c r="Y269" s="25"/>
      <c r="Z269" s="25"/>
      <c r="AA269" s="25"/>
      <c r="AH269" s="5"/>
      <c r="AI269" s="5"/>
      <c r="AO269" s="5"/>
    </row>
    <row r="270" spans="10:41" x14ac:dyDescent="0.3">
      <c r="J270" s="25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5"/>
      <c r="X270" s="25"/>
      <c r="Y270" s="25"/>
      <c r="Z270" s="25"/>
      <c r="AA270" s="25"/>
      <c r="AH270" s="5"/>
      <c r="AI270" s="5"/>
      <c r="AO270" s="5"/>
    </row>
    <row r="271" spans="10:41" x14ac:dyDescent="0.3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5"/>
      <c r="X271" s="25"/>
      <c r="Y271" s="25"/>
      <c r="Z271" s="25"/>
      <c r="AA271" s="25"/>
      <c r="AH271" s="5"/>
      <c r="AI271" s="5"/>
      <c r="AO271" s="5"/>
    </row>
    <row r="272" spans="10:41" x14ac:dyDescent="0.3">
      <c r="J272" s="25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5"/>
      <c r="X272" s="25"/>
      <c r="Y272" s="25"/>
      <c r="Z272" s="25"/>
      <c r="AA272" s="25"/>
      <c r="AH272" s="5"/>
      <c r="AI272" s="5"/>
      <c r="AO272" s="5"/>
    </row>
    <row r="273" spans="10:41" x14ac:dyDescent="0.3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5"/>
      <c r="X273" s="25"/>
      <c r="Y273" s="25"/>
      <c r="Z273" s="25"/>
      <c r="AA273" s="25"/>
      <c r="AH273" s="5"/>
      <c r="AI273" s="5"/>
      <c r="AO273" s="5"/>
    </row>
    <row r="274" spans="10:41" x14ac:dyDescent="0.3">
      <c r="J274" s="25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5"/>
      <c r="X274" s="25"/>
      <c r="Y274" s="25"/>
      <c r="Z274" s="25"/>
      <c r="AA274" s="25"/>
      <c r="AH274" s="5"/>
      <c r="AI274" s="5"/>
      <c r="AO274" s="5"/>
    </row>
    <row r="275" spans="10:41" x14ac:dyDescent="0.3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5"/>
      <c r="X275" s="25"/>
      <c r="Y275" s="25"/>
      <c r="Z275" s="25"/>
      <c r="AA275" s="25"/>
      <c r="AH275" s="5"/>
      <c r="AI275" s="5"/>
      <c r="AO275" s="5"/>
    </row>
    <row r="276" spans="10:41" x14ac:dyDescent="0.3">
      <c r="J276" s="25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5"/>
      <c r="X276" s="25"/>
      <c r="Y276" s="25"/>
      <c r="Z276" s="25"/>
      <c r="AA276" s="25"/>
      <c r="AH276" s="5"/>
      <c r="AI276" s="5"/>
      <c r="AO276" s="5"/>
    </row>
    <row r="277" spans="10:41" x14ac:dyDescent="0.3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5"/>
      <c r="X277" s="25"/>
      <c r="Y277" s="25"/>
      <c r="Z277" s="25"/>
      <c r="AA277" s="25"/>
      <c r="AH277" s="5"/>
      <c r="AI277" s="5"/>
      <c r="AO277" s="5"/>
    </row>
    <row r="278" spans="10:41" x14ac:dyDescent="0.3">
      <c r="J278" s="25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5"/>
      <c r="X278" s="25"/>
      <c r="Y278" s="25"/>
      <c r="Z278" s="25"/>
      <c r="AA278" s="25"/>
      <c r="AH278" s="5"/>
      <c r="AI278" s="5"/>
      <c r="AO278" s="5"/>
    </row>
    <row r="279" spans="10:41" x14ac:dyDescent="0.3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5"/>
      <c r="X279" s="25"/>
      <c r="Y279" s="25"/>
      <c r="Z279" s="25"/>
      <c r="AA279" s="25"/>
      <c r="AH279" s="5"/>
      <c r="AI279" s="5"/>
      <c r="AO279" s="5"/>
    </row>
    <row r="280" spans="10:41" x14ac:dyDescent="0.3">
      <c r="J280" s="25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5"/>
      <c r="X280" s="25"/>
      <c r="Y280" s="25"/>
      <c r="Z280" s="25"/>
      <c r="AA280" s="25"/>
      <c r="AH280" s="5"/>
      <c r="AI280" s="5"/>
      <c r="AO280" s="5"/>
    </row>
    <row r="281" spans="10:41" x14ac:dyDescent="0.3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5"/>
      <c r="X281" s="25"/>
      <c r="Y281" s="25"/>
      <c r="Z281" s="25"/>
      <c r="AA281" s="25"/>
      <c r="AH281" s="5"/>
      <c r="AI281" s="5"/>
      <c r="AO281" s="5"/>
    </row>
    <row r="282" spans="10:41" x14ac:dyDescent="0.3">
      <c r="J282" s="25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5"/>
      <c r="X282" s="25"/>
      <c r="Y282" s="25"/>
      <c r="Z282" s="25"/>
      <c r="AA282" s="25"/>
      <c r="AH282" s="5"/>
      <c r="AI282" s="5"/>
      <c r="AO282" s="5"/>
    </row>
    <row r="283" spans="10:41" x14ac:dyDescent="0.3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5"/>
      <c r="X283" s="25"/>
      <c r="Y283" s="25"/>
      <c r="Z283" s="25"/>
      <c r="AA283" s="25"/>
      <c r="AH283" s="5"/>
      <c r="AI283" s="5"/>
      <c r="AO283" s="5"/>
    </row>
    <row r="284" spans="10:41" x14ac:dyDescent="0.3">
      <c r="J284" s="25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5"/>
      <c r="X284" s="25"/>
      <c r="Y284" s="25"/>
      <c r="Z284" s="25"/>
      <c r="AA284" s="25"/>
      <c r="AH284" s="5"/>
      <c r="AI284" s="5"/>
      <c r="AO284" s="5"/>
    </row>
    <row r="285" spans="10:41" x14ac:dyDescent="0.3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5"/>
      <c r="X285" s="25"/>
      <c r="Y285" s="25"/>
      <c r="Z285" s="25"/>
      <c r="AA285" s="25"/>
      <c r="AH285" s="5"/>
      <c r="AI285" s="5"/>
      <c r="AO285" s="5"/>
    </row>
    <row r="286" spans="10:41" x14ac:dyDescent="0.3">
      <c r="J286" s="25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5"/>
      <c r="X286" s="25"/>
      <c r="Y286" s="25"/>
      <c r="Z286" s="25"/>
      <c r="AA286" s="25"/>
      <c r="AH286" s="5"/>
      <c r="AI286" s="5"/>
      <c r="AO286" s="5"/>
    </row>
    <row r="287" spans="10:41" x14ac:dyDescent="0.3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5"/>
      <c r="X287" s="25"/>
      <c r="Y287" s="25"/>
      <c r="Z287" s="25"/>
      <c r="AA287" s="25"/>
      <c r="AH287" s="5"/>
      <c r="AI287" s="5"/>
      <c r="AO287" s="5"/>
    </row>
    <row r="288" spans="10:41" x14ac:dyDescent="0.3">
      <c r="J288" s="25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5"/>
      <c r="X288" s="25"/>
      <c r="Y288" s="25"/>
      <c r="Z288" s="25"/>
      <c r="AA288" s="25"/>
      <c r="AH288" s="5"/>
      <c r="AI288" s="5"/>
      <c r="AO288" s="5"/>
    </row>
    <row r="289" spans="10:41" x14ac:dyDescent="0.3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5"/>
      <c r="X289" s="25"/>
      <c r="Y289" s="25"/>
      <c r="Z289" s="25"/>
      <c r="AA289" s="25"/>
      <c r="AH289" s="5"/>
      <c r="AI289" s="5"/>
      <c r="AO289" s="5"/>
    </row>
    <row r="290" spans="10:41" x14ac:dyDescent="0.3">
      <c r="J290" s="25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5"/>
      <c r="X290" s="25"/>
      <c r="Y290" s="25"/>
      <c r="Z290" s="25"/>
      <c r="AA290" s="25"/>
      <c r="AH290" s="5"/>
      <c r="AI290" s="5"/>
      <c r="AO290" s="5"/>
    </row>
    <row r="291" spans="10:41" x14ac:dyDescent="0.3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5"/>
      <c r="X291" s="25"/>
      <c r="Y291" s="25"/>
      <c r="Z291" s="25"/>
      <c r="AA291" s="25"/>
      <c r="AH291" s="5"/>
      <c r="AI291" s="5"/>
      <c r="AO291" s="5"/>
    </row>
    <row r="292" spans="10:41" x14ac:dyDescent="0.3">
      <c r="J292" s="25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5"/>
      <c r="X292" s="25"/>
      <c r="Y292" s="25"/>
      <c r="Z292" s="25"/>
      <c r="AA292" s="25"/>
      <c r="AH292" s="5"/>
      <c r="AI292" s="5"/>
      <c r="AO292" s="5"/>
    </row>
    <row r="293" spans="10:41" x14ac:dyDescent="0.3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5"/>
      <c r="X293" s="25"/>
      <c r="Y293" s="25"/>
      <c r="Z293" s="25"/>
      <c r="AA293" s="25"/>
      <c r="AH293" s="5"/>
      <c r="AI293" s="5"/>
      <c r="AO293" s="5"/>
    </row>
    <row r="294" spans="10:41" x14ac:dyDescent="0.3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5"/>
      <c r="X294" s="25"/>
      <c r="Y294" s="25"/>
      <c r="Z294" s="25"/>
      <c r="AA294" s="25"/>
      <c r="AH294" s="5"/>
      <c r="AI294" s="5"/>
      <c r="AO294" s="5"/>
    </row>
    <row r="295" spans="10:41" x14ac:dyDescent="0.3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5"/>
      <c r="X295" s="25"/>
      <c r="Y295" s="25"/>
      <c r="Z295" s="25"/>
      <c r="AA295" s="25"/>
      <c r="AH295" s="5"/>
      <c r="AI295" s="5"/>
      <c r="AO295" s="5"/>
    </row>
    <row r="296" spans="10:41" x14ac:dyDescent="0.3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5"/>
      <c r="X296" s="25"/>
      <c r="Y296" s="25"/>
      <c r="Z296" s="25"/>
      <c r="AA296" s="25"/>
      <c r="AH296" s="5"/>
      <c r="AI296" s="5"/>
      <c r="AO296" s="5"/>
    </row>
    <row r="297" spans="10:41" x14ac:dyDescent="0.3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5"/>
      <c r="X297" s="25"/>
      <c r="Y297" s="25"/>
      <c r="Z297" s="25"/>
      <c r="AA297" s="25"/>
      <c r="AH297" s="5"/>
      <c r="AI297" s="5"/>
      <c r="AO297" s="5"/>
    </row>
    <row r="298" spans="10:41" x14ac:dyDescent="0.3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5"/>
      <c r="X298" s="25"/>
      <c r="Y298" s="25"/>
      <c r="Z298" s="25"/>
      <c r="AA298" s="25"/>
      <c r="AH298" s="5"/>
      <c r="AI298" s="5"/>
      <c r="AO298" s="5"/>
    </row>
    <row r="299" spans="10:41" x14ac:dyDescent="0.3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5"/>
      <c r="X299" s="25"/>
      <c r="Y299" s="25"/>
      <c r="Z299" s="25"/>
      <c r="AA299" s="25"/>
      <c r="AH299" s="5"/>
      <c r="AI299" s="5"/>
      <c r="AO299" s="5"/>
    </row>
    <row r="300" spans="10:41" x14ac:dyDescent="0.3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5"/>
      <c r="X300" s="25"/>
      <c r="Y300" s="25"/>
      <c r="Z300" s="25"/>
      <c r="AA300" s="25"/>
      <c r="AH300" s="5"/>
      <c r="AI300" s="5"/>
      <c r="AO300" s="5"/>
    </row>
    <row r="301" spans="10:41" x14ac:dyDescent="0.3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5"/>
      <c r="X301" s="25"/>
      <c r="Y301" s="25"/>
      <c r="Z301" s="25"/>
      <c r="AA301" s="25"/>
      <c r="AH301" s="5"/>
      <c r="AI301" s="5"/>
      <c r="AO301" s="5"/>
    </row>
    <row r="302" spans="10:41" x14ac:dyDescent="0.3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5"/>
      <c r="X302" s="25"/>
      <c r="Y302" s="25"/>
      <c r="Z302" s="25"/>
      <c r="AA302" s="25"/>
      <c r="AH302" s="5"/>
      <c r="AI302" s="5"/>
      <c r="AO302" s="5"/>
    </row>
    <row r="303" spans="10:41" x14ac:dyDescent="0.3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5"/>
      <c r="X303" s="25"/>
      <c r="Y303" s="25"/>
      <c r="Z303" s="25"/>
      <c r="AA303" s="25"/>
      <c r="AH303" s="5"/>
      <c r="AI303" s="5"/>
      <c r="AO303" s="5"/>
    </row>
    <row r="304" spans="10:41" x14ac:dyDescent="0.3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5"/>
      <c r="X304" s="25"/>
      <c r="Y304" s="25"/>
      <c r="Z304" s="25"/>
      <c r="AA304" s="25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W5:AA304 X4:AA4">
    <cfRule type="expression" dxfId="55" priority="29">
      <formula>_xlfn.LET(_xlpm.x, W4, AND(NOT(_xlfn.ISFORMULA(_xlpm.x)), _xlpm.x&lt;&gt;""))</formula>
    </cfRule>
  </conditionalFormatting>
  <conditionalFormatting sqref="W4:AA203">
    <cfRule type="expression" dxfId="54" priority="24">
      <formula>_xlfn.LET(_xlpm.x, W4, AND(NOT(_xlfn.ISFORMULA(_xlpm.x)), _xlpm.x&lt;&gt;""))</formula>
    </cfRule>
  </conditionalFormatting>
  <conditionalFormatting sqref="K1:O1048576">
    <cfRule type="cellIs" dxfId="53" priority="17" operator="equal">
      <formula>"C1"</formula>
    </cfRule>
    <cfRule type="cellIs" dxfId="52" priority="17" operator="between">
      <formula>"G1"</formula>
      <formula>"G5"</formula>
    </cfRule>
    <cfRule type="cellIs" dxfId="51" priority="19" operator="between">
      <formula>"M1"</formula>
      <formula>"M5"</formula>
    </cfRule>
  </conditionalFormatting>
  <conditionalFormatting sqref="C28:G28 D27:G27 C31:G46 C29:C30 G29:G30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{8E65BA87-580F-45E0-B69A-B2C6F12976E3}</x14:id>
        </ext>
      </extLst>
    </cfRule>
  </conditionalFormatting>
  <conditionalFormatting sqref="D52:D54">
    <cfRule type="cellIs" dxfId="50" priority="11" operator="equal">
      <formula>"C1"</formula>
    </cfRule>
    <cfRule type="cellIs" dxfId="49" priority="12" operator="between">
      <formula>"G1"</formula>
      <formula>"G4"</formula>
    </cfRule>
    <cfRule type="cellIs" dxfId="48" priority="13" operator="between">
      <formula>"GA"</formula>
      <formula>"GQ"</formula>
    </cfRule>
    <cfRule type="cellIs" dxfId="47" priority="14" operator="between">
      <formula>"M1"</formula>
      <formula>"M4"</formula>
    </cfRule>
  </conditionalFormatting>
  <conditionalFormatting sqref="E52:E54">
    <cfRule type="cellIs" dxfId="46" priority="7" operator="equal">
      <formula>"C1"</formula>
    </cfRule>
    <cfRule type="cellIs" dxfId="45" priority="8" operator="between">
      <formula>"G1"</formula>
      <formula>"G4"</formula>
    </cfRule>
    <cfRule type="cellIs" dxfId="44" priority="9" operator="between">
      <formula>"GA"</formula>
      <formula>"GQ"</formula>
    </cfRule>
    <cfRule type="cellIs" dxfId="43" priority="10" operator="between">
      <formula>"M1"</formula>
      <formula>"M4"</formula>
    </cfRule>
  </conditionalFormatting>
  <conditionalFormatting sqref="F52:F54">
    <cfRule type="cellIs" dxfId="42" priority="3" operator="equal">
      <formula>"C1"</formula>
    </cfRule>
    <cfRule type="cellIs" dxfId="41" priority="4" operator="between">
      <formula>"G1"</formula>
      <formula>"G4"</formula>
    </cfRule>
    <cfRule type="cellIs" dxfId="40" priority="5" operator="between">
      <formula>"GA"</formula>
      <formula>"GQ"</formula>
    </cfRule>
    <cfRule type="cellIs" dxfId="39" priority="6" operator="between">
      <formula>"M1"</formula>
      <formula>"M4"</formula>
    </cfRule>
  </conditionalFormatting>
  <conditionalFormatting sqref="D29:F3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{A9A76519-133E-4138-9656-78090B0A2F8B}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65BA87-580F-45E0-B69A-B2C6F12976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A9A76519-133E-4138-9656-78090B0A2F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18" operator="containsText" id="{61DEA912-D582-4791-AC7F-9224E18056E7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7215-007A-4007-A547-DECD16AB4889}">
  <sheetPr codeName="工作表13">
    <tabColor theme="3" tint="0.59999389629810485"/>
  </sheetPr>
  <dimension ref="A1:AO305"/>
  <sheetViews>
    <sheetView workbookViewId="0"/>
  </sheetViews>
  <sheetFormatPr defaultColWidth="9" defaultRowHeight="15.6" x14ac:dyDescent="0.3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 x14ac:dyDescent="0.3"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I1" s="5"/>
    </row>
    <row r="2" spans="1:41" ht="15.9" customHeight="1" x14ac:dyDescent="0.3">
      <c r="I2" s="15"/>
      <c r="J2" s="27" t="s">
        <v>133</v>
      </c>
      <c r="Q2" s="27" t="s">
        <v>134</v>
      </c>
      <c r="W2" s="27" t="s">
        <v>135</v>
      </c>
      <c r="AC2" s="27" t="s">
        <v>147</v>
      </c>
      <c r="AH2" s="5"/>
      <c r="AI2" s="5"/>
      <c r="AJ2" s="27" t="s">
        <v>111</v>
      </c>
      <c r="AO2" s="5"/>
    </row>
    <row r="3" spans="1:41" ht="15.9" customHeight="1" x14ac:dyDescent="0.3">
      <c r="A3" s="20" t="s">
        <v>5</v>
      </c>
      <c r="B3" s="20" t="s">
        <v>12</v>
      </c>
      <c r="C3" s="20" t="s">
        <v>6</v>
      </c>
      <c r="D3" s="20" t="s">
        <v>7</v>
      </c>
      <c r="E3" s="20" t="s">
        <v>8</v>
      </c>
      <c r="F3" s="20" t="s">
        <v>9</v>
      </c>
      <c r="G3" s="20" t="s">
        <v>10</v>
      </c>
      <c r="H3" s="20" t="s">
        <v>11</v>
      </c>
      <c r="I3" s="15"/>
      <c r="J3" s="20"/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Q3" s="20" t="s">
        <v>13</v>
      </c>
      <c r="R3" s="20" t="s">
        <v>14</v>
      </c>
      <c r="S3" s="20" t="s">
        <v>15</v>
      </c>
      <c r="T3" s="20" t="s">
        <v>16</v>
      </c>
      <c r="U3" s="20" t="s">
        <v>17</v>
      </c>
      <c r="W3" s="20" t="s">
        <v>6</v>
      </c>
      <c r="X3" s="20" t="s">
        <v>14</v>
      </c>
      <c r="Y3" s="20" t="s">
        <v>15</v>
      </c>
      <c r="Z3" s="20" t="s">
        <v>16</v>
      </c>
      <c r="AA3" s="20" t="s">
        <v>17</v>
      </c>
      <c r="AO3" s="5"/>
    </row>
    <row r="4" spans="1:41" ht="15.9" customHeight="1" x14ac:dyDescent="0.3">
      <c r="A4" s="29" t="str" cm="1">
        <f t="array" ref="A4:B23">Overview!A38:B57</f>
        <v>WW</v>
      </c>
      <c r="B4" s="8" t="str">
        <v>Wild</v>
      </c>
      <c r="C4" s="99">
        <f t="shared" ref="C4:G23" si="0">COUNTIF(K:K, $A4)</f>
        <v>0</v>
      </c>
      <c r="D4" s="99">
        <f t="shared" si="0"/>
        <v>0</v>
      </c>
      <c r="E4" s="99">
        <f t="shared" si="0"/>
        <v>0</v>
      </c>
      <c r="F4" s="99">
        <f t="shared" si="0"/>
        <v>0</v>
      </c>
      <c r="G4" s="99">
        <f t="shared" si="0"/>
        <v>0</v>
      </c>
      <c r="H4" s="8" cm="1">
        <f t="array" ref="H4:H23">Overview!F38:F57</f>
        <v>0</v>
      </c>
      <c r="I4" s="87"/>
      <c r="J4" s="25" cm="1">
        <f t="array" ref="J4:J203">_xlfn.SEQUENCE(MAX(COUNTA(K:K), COUNTA(L:L), COUNTA(M:M), COUNTA(N:N), COUNTA(O:O))-1,,0)</f>
        <v>0</v>
      </c>
      <c r="K4" s="26" t="s">
        <v>22</v>
      </c>
      <c r="L4" s="26" t="s">
        <v>18</v>
      </c>
      <c r="M4" s="26" t="s">
        <v>18</v>
      </c>
      <c r="N4" s="26" t="s">
        <v>125</v>
      </c>
      <c r="O4" s="26" t="s">
        <v>35</v>
      </c>
      <c r="Q4" s="25" cm="1">
        <f t="array" ref="Q4:U304">_xlfn.LET(_xlpm.x, K4:O304, IF(_xlpm.x="", "", _xlfn.XLOOKUP(_xlpm.x, $A$4:$A$23,_xlfn.ANCHORARRAY( H4))))</f>
        <v>3</v>
      </c>
      <c r="R4" s="25">
        <v>4</v>
      </c>
      <c r="S4" s="25">
        <v>4</v>
      </c>
      <c r="T4" s="25">
        <v>6</v>
      </c>
      <c r="U4" s="25">
        <v>8</v>
      </c>
      <c r="W4" s="25" cm="1">
        <f t="array" ref="W4">_xlfn.LET(_xlpm.x, K4:K6, IF(SUM((_xlpm.x="C1")*1)=1, 1, 0))</f>
        <v>0</v>
      </c>
      <c r="X4" s="25" cm="1">
        <f t="array" ref="X4">_xlfn.LET(_xlpm.x, L4:L6, IF(SUM((_xlpm.x="C1")*1)=1, 1, 0))</f>
        <v>0</v>
      </c>
      <c r="Y4" s="25" cm="1">
        <f t="array" ref="Y4">_xlfn.LET(_xlpm.x, M4:M6, IF(SUM((_xlpm.x="C1")*1)=1, 1, 0))</f>
        <v>1</v>
      </c>
      <c r="Z4" s="25">
        <v>1</v>
      </c>
      <c r="AA4" s="25">
        <v>1</v>
      </c>
      <c r="AB4" s="43"/>
      <c r="AC4" s="27" t="s">
        <v>131</v>
      </c>
      <c r="AH4" s="5"/>
      <c r="AI4" s="5"/>
      <c r="AJ4" s="27" t="s">
        <v>131</v>
      </c>
      <c r="AO4" s="5"/>
    </row>
    <row r="5" spans="1:41" ht="15.9" customHeight="1" x14ac:dyDescent="0.3">
      <c r="A5" s="29" t="str">
        <v>C1</v>
      </c>
      <c r="B5" s="8" t="str">
        <v>Scatter</v>
      </c>
      <c r="C5" s="99">
        <f t="shared" si="0"/>
        <v>6</v>
      </c>
      <c r="D5" s="99">
        <f t="shared" si="0"/>
        <v>6</v>
      </c>
      <c r="E5" s="99">
        <f t="shared" si="0"/>
        <v>6</v>
      </c>
      <c r="F5" s="99">
        <f t="shared" si="0"/>
        <v>9</v>
      </c>
      <c r="G5" s="99">
        <f t="shared" si="0"/>
        <v>9</v>
      </c>
      <c r="H5" s="8">
        <v>1</v>
      </c>
      <c r="I5" s="87"/>
      <c r="J5" s="9">
        <v>1</v>
      </c>
      <c r="K5" s="16" t="s">
        <v>35</v>
      </c>
      <c r="L5" s="16" t="s">
        <v>97</v>
      </c>
      <c r="M5" s="16" t="s">
        <v>22</v>
      </c>
      <c r="N5" s="16" t="s">
        <v>37</v>
      </c>
      <c r="O5" s="16" t="s">
        <v>36</v>
      </c>
      <c r="Q5" s="9">
        <v>8</v>
      </c>
      <c r="R5" s="9">
        <v>19</v>
      </c>
      <c r="S5" s="9">
        <v>3</v>
      </c>
      <c r="T5" s="9">
        <v>7</v>
      </c>
      <c r="U5" s="9">
        <v>10</v>
      </c>
      <c r="W5" s="25" cm="1">
        <f t="array" ref="W5">_xlfn.LET(_xlpm.x, K5:K7, IF(SUM((_xlpm.x="C1")*1)=1, 1, 0))</f>
        <v>0</v>
      </c>
      <c r="X5" s="25" cm="1">
        <f t="array" ref="X5">_xlfn.LET(_xlpm.x, L5:L7, IF(SUM((_xlpm.x="C1")*1)=1, 1, 0))</f>
        <v>0</v>
      </c>
      <c r="Y5" s="25" cm="1">
        <f t="array" ref="Y5">_xlfn.LET(_xlpm.x, M5:M7, IF(SUM((_xlpm.x="C1")*1)=1, 1, 0))</f>
        <v>1</v>
      </c>
      <c r="Z5" s="25">
        <v>1</v>
      </c>
      <c r="AA5" s="25">
        <v>1</v>
      </c>
      <c r="AC5" s="135" t="s">
        <v>42</v>
      </c>
      <c r="AD5" s="135" t="s">
        <v>13</v>
      </c>
      <c r="AE5" s="135" t="s">
        <v>14</v>
      </c>
      <c r="AF5" s="135" t="s">
        <v>15</v>
      </c>
      <c r="AG5" s="135" t="s">
        <v>16</v>
      </c>
      <c r="AH5" s="135" t="s">
        <v>17</v>
      </c>
      <c r="AI5" s="5"/>
      <c r="AJ5" s="135" t="s">
        <v>42</v>
      </c>
      <c r="AK5" s="135" t="s">
        <v>13</v>
      </c>
      <c r="AL5" s="135" t="s">
        <v>14</v>
      </c>
      <c r="AM5" s="135" t="s">
        <v>15</v>
      </c>
      <c r="AN5" s="135" t="s">
        <v>16</v>
      </c>
      <c r="AO5" s="135" t="s">
        <v>17</v>
      </c>
    </row>
    <row r="6" spans="1:41" ht="15.9" customHeight="1" x14ac:dyDescent="0.3">
      <c r="A6" s="133" t="str">
        <v>M1</v>
      </c>
      <c r="B6" s="112" t="str">
        <v>M1</v>
      </c>
      <c r="C6" s="133">
        <f t="shared" si="0"/>
        <v>3</v>
      </c>
      <c r="D6" s="133">
        <f t="shared" si="0"/>
        <v>20</v>
      </c>
      <c r="E6" s="133">
        <f t="shared" si="0"/>
        <v>4</v>
      </c>
      <c r="F6" s="133">
        <f t="shared" si="0"/>
        <v>21</v>
      </c>
      <c r="G6" s="133">
        <f t="shared" si="0"/>
        <v>22</v>
      </c>
      <c r="H6" s="112">
        <v>2</v>
      </c>
      <c r="I6" s="87"/>
      <c r="J6" s="25">
        <v>2</v>
      </c>
      <c r="K6" s="16" t="s">
        <v>35</v>
      </c>
      <c r="L6" s="16" t="s">
        <v>89</v>
      </c>
      <c r="M6" s="16" t="s">
        <v>20</v>
      </c>
      <c r="N6" s="16" t="s">
        <v>36</v>
      </c>
      <c r="O6" s="16" t="s">
        <v>20</v>
      </c>
      <c r="Q6" s="9">
        <v>8</v>
      </c>
      <c r="R6" s="9">
        <v>12</v>
      </c>
      <c r="S6" s="9">
        <v>1</v>
      </c>
      <c r="T6" s="9">
        <v>10</v>
      </c>
      <c r="U6" s="9">
        <v>1</v>
      </c>
      <c r="W6" s="25" cm="1">
        <f t="array" ref="W6">_xlfn.LET(_xlpm.x, K6:K8, IF(SUM((_xlpm.x="C1")*1)=1, 1, 0))</f>
        <v>0</v>
      </c>
      <c r="X6" s="25" cm="1">
        <f t="array" ref="X6">_xlfn.LET(_xlpm.x, L6:L8, IF(SUM((_xlpm.x="C1")*1)=1, 1, 0))</f>
        <v>0</v>
      </c>
      <c r="Y6" s="25" cm="1">
        <f t="array" ref="Y6">_xlfn.LET(_xlpm.x, M6:M8, IF(SUM((_xlpm.x="C1")*1)=1, 1, 0))</f>
        <v>1</v>
      </c>
      <c r="Z6" s="25">
        <v>1</v>
      </c>
      <c r="AA6" s="25">
        <v>1</v>
      </c>
      <c r="AC6" s="138" t="str" cm="1">
        <f t="array" ref="AC6:AC25">$A$4:$A$23</f>
        <v>WW</v>
      </c>
      <c r="AD6" s="139">
        <v>0</v>
      </c>
      <c r="AE6" s="139">
        <v>0</v>
      </c>
      <c r="AF6" s="139">
        <v>0</v>
      </c>
      <c r="AG6" s="139">
        <v>0</v>
      </c>
      <c r="AH6" s="139">
        <v>0</v>
      </c>
      <c r="AI6" s="5"/>
      <c r="AJ6" s="138" t="str" cm="1">
        <f t="array" ref="AJ6:AJ25">$A$4:$A$23</f>
        <v>WW</v>
      </c>
      <c r="AK6" s="139">
        <v>0</v>
      </c>
      <c r="AL6" s="139">
        <v>0</v>
      </c>
      <c r="AM6" s="139">
        <v>0</v>
      </c>
      <c r="AN6" s="139">
        <v>0</v>
      </c>
      <c r="AO6" s="139">
        <v>0</v>
      </c>
    </row>
    <row r="7" spans="1:41" ht="15.9" customHeight="1" x14ac:dyDescent="0.3">
      <c r="A7" s="133" t="str">
        <v>M2</v>
      </c>
      <c r="B7" s="112" t="str">
        <v>M2</v>
      </c>
      <c r="C7" s="133">
        <f t="shared" si="0"/>
        <v>2</v>
      </c>
      <c r="D7" s="133">
        <f t="shared" si="0"/>
        <v>18</v>
      </c>
      <c r="E7" s="133">
        <f t="shared" si="0"/>
        <v>4</v>
      </c>
      <c r="F7" s="133">
        <f t="shared" si="0"/>
        <v>20</v>
      </c>
      <c r="G7" s="133">
        <f t="shared" si="0"/>
        <v>22</v>
      </c>
      <c r="H7" s="112">
        <v>3</v>
      </c>
      <c r="I7" s="87"/>
      <c r="J7" s="9">
        <v>3</v>
      </c>
      <c r="K7" s="16" t="s">
        <v>125</v>
      </c>
      <c r="L7" s="26" t="s">
        <v>126</v>
      </c>
      <c r="M7" s="16" t="s">
        <v>35</v>
      </c>
      <c r="N7" s="16" t="s">
        <v>22</v>
      </c>
      <c r="O7" s="16" t="s">
        <v>22</v>
      </c>
      <c r="Q7" s="9">
        <v>6</v>
      </c>
      <c r="R7" s="9">
        <v>15</v>
      </c>
      <c r="S7" s="9">
        <v>8</v>
      </c>
      <c r="T7" s="9">
        <v>3</v>
      </c>
      <c r="U7" s="9">
        <v>3</v>
      </c>
      <c r="W7" s="25" cm="1">
        <f t="array" ref="W7">_xlfn.LET(_xlpm.x, K7:K9, IF(SUM((_xlpm.x="C1")*1)=1, 1, 0))</f>
        <v>0</v>
      </c>
      <c r="X7" s="25" cm="1">
        <f t="array" ref="X7">_xlfn.LET(_xlpm.x, L7:L9, IF(SUM((_xlpm.x="C1")*1)=1, 1, 0))</f>
        <v>0</v>
      </c>
      <c r="Y7" s="25" cm="1">
        <f t="array" ref="Y7">_xlfn.LET(_xlpm.x, M7:M9, IF(SUM((_xlpm.x="C1")*1)=1, 1, 0))</f>
        <v>0</v>
      </c>
      <c r="Z7" s="25">
        <v>1</v>
      </c>
      <c r="AA7" s="25">
        <v>1</v>
      </c>
      <c r="AC7" s="138" t="str">
        <v>C1</v>
      </c>
      <c r="AD7" s="138">
        <v>6</v>
      </c>
      <c r="AE7" s="138">
        <v>6</v>
      </c>
      <c r="AF7" s="138">
        <v>6</v>
      </c>
      <c r="AG7" s="138">
        <v>9</v>
      </c>
      <c r="AH7" s="138">
        <v>9</v>
      </c>
      <c r="AI7" s="5"/>
      <c r="AJ7" s="138" t="str">
        <v>C1</v>
      </c>
      <c r="AK7" s="138">
        <v>6</v>
      </c>
      <c r="AL7" s="138">
        <v>6</v>
      </c>
      <c r="AM7" s="138">
        <v>6</v>
      </c>
      <c r="AN7" s="138">
        <v>9</v>
      </c>
      <c r="AO7" s="138">
        <v>9</v>
      </c>
    </row>
    <row r="8" spans="1:41" ht="15.9" customHeight="1" x14ac:dyDescent="0.3">
      <c r="A8" s="133" t="str">
        <v>M3</v>
      </c>
      <c r="B8" s="112" t="str">
        <v>M3</v>
      </c>
      <c r="C8" s="133">
        <f t="shared" si="0"/>
        <v>4</v>
      </c>
      <c r="D8" s="133">
        <f t="shared" si="0"/>
        <v>18</v>
      </c>
      <c r="E8" s="133">
        <f t="shared" si="0"/>
        <v>4</v>
      </c>
      <c r="F8" s="133">
        <f t="shared" si="0"/>
        <v>20</v>
      </c>
      <c r="G8" s="133">
        <f t="shared" si="0"/>
        <v>21</v>
      </c>
      <c r="H8" s="112">
        <v>4</v>
      </c>
      <c r="I8" s="87"/>
      <c r="J8" s="25">
        <v>4</v>
      </c>
      <c r="K8" s="16" t="s">
        <v>35</v>
      </c>
      <c r="L8" s="16" t="s">
        <v>126</v>
      </c>
      <c r="M8" s="16" t="s">
        <v>19</v>
      </c>
      <c r="N8" s="16" t="s">
        <v>90</v>
      </c>
      <c r="O8" s="16" t="s">
        <v>22</v>
      </c>
      <c r="Q8" s="9">
        <v>8</v>
      </c>
      <c r="R8" s="9">
        <v>15</v>
      </c>
      <c r="S8" s="9">
        <v>5</v>
      </c>
      <c r="T8" s="9">
        <v>13</v>
      </c>
      <c r="U8" s="9">
        <v>3</v>
      </c>
      <c r="W8" s="25" cm="1">
        <f t="array" ref="W8">_xlfn.LET(_xlpm.x, K8:K10, IF(SUM((_xlpm.x="C1")*1)=1, 1, 0))</f>
        <v>0</v>
      </c>
      <c r="X8" s="25" cm="1">
        <f t="array" ref="X8">_xlfn.LET(_xlpm.x, L8:L10, IF(SUM((_xlpm.x="C1")*1)=1, 1, 0))</f>
        <v>0</v>
      </c>
      <c r="Y8" s="25" cm="1">
        <f t="array" ref="Y8">_xlfn.LET(_xlpm.x, M8:M10, IF(SUM((_xlpm.x="C1")*1)=1, 1, 0))</f>
        <v>0</v>
      </c>
      <c r="Z8" s="25">
        <v>1</v>
      </c>
      <c r="AA8" s="25">
        <v>1</v>
      </c>
      <c r="AC8" s="154" t="str">
        <v>M1</v>
      </c>
      <c r="AD8" s="133">
        <v>4</v>
      </c>
      <c r="AE8" s="133">
        <v>17</v>
      </c>
      <c r="AF8" s="133">
        <v>4</v>
      </c>
      <c r="AG8" s="133">
        <v>21</v>
      </c>
      <c r="AH8" s="133">
        <v>22</v>
      </c>
      <c r="AI8" s="5"/>
      <c r="AJ8" s="154" t="str">
        <v>M1</v>
      </c>
      <c r="AK8" s="133">
        <v>4</v>
      </c>
      <c r="AL8" s="133">
        <v>17</v>
      </c>
      <c r="AM8" s="133">
        <v>4</v>
      </c>
      <c r="AN8" s="133">
        <v>21</v>
      </c>
      <c r="AO8" s="133">
        <v>22</v>
      </c>
    </row>
    <row r="9" spans="1:41" ht="15.9" customHeight="1" x14ac:dyDescent="0.3">
      <c r="A9" s="133" t="str">
        <v>M4</v>
      </c>
      <c r="B9" s="112" t="str">
        <v>M4</v>
      </c>
      <c r="C9" s="133">
        <f t="shared" si="0"/>
        <v>40</v>
      </c>
      <c r="D9" s="133">
        <f t="shared" si="0"/>
        <v>17</v>
      </c>
      <c r="E9" s="133">
        <f t="shared" si="0"/>
        <v>41</v>
      </c>
      <c r="F9" s="133">
        <f t="shared" si="0"/>
        <v>14</v>
      </c>
      <c r="G9" s="133">
        <f t="shared" si="0"/>
        <v>21</v>
      </c>
      <c r="H9" s="112">
        <v>5</v>
      </c>
      <c r="I9" s="87"/>
      <c r="J9" s="9">
        <v>5</v>
      </c>
      <c r="K9" s="16" t="s">
        <v>37</v>
      </c>
      <c r="L9" s="16" t="s">
        <v>112</v>
      </c>
      <c r="M9" s="16" t="s">
        <v>37</v>
      </c>
      <c r="N9" s="16" t="s">
        <v>36</v>
      </c>
      <c r="O9" s="16" t="s">
        <v>36</v>
      </c>
      <c r="Q9" s="9">
        <v>7</v>
      </c>
      <c r="R9" s="9">
        <v>17</v>
      </c>
      <c r="S9" s="9">
        <v>7</v>
      </c>
      <c r="T9" s="9">
        <v>10</v>
      </c>
      <c r="U9" s="9">
        <v>10</v>
      </c>
      <c r="W9" s="25" cm="1">
        <f t="array" ref="W9">_xlfn.LET(_xlpm.x, K9:K11, IF(SUM((_xlpm.x="C1")*1)=1, 1, 0))</f>
        <v>0</v>
      </c>
      <c r="X9" s="25" cm="1">
        <f t="array" ref="X9">_xlfn.LET(_xlpm.x, L9:L11, IF(SUM((_xlpm.x="C1")*1)=1, 1, 0))</f>
        <v>0</v>
      </c>
      <c r="Y9" s="25" cm="1">
        <f t="array" ref="Y9">_xlfn.LET(_xlpm.x, M9:M11, IF(SUM((_xlpm.x="C1")*1)=1, 1, 0))</f>
        <v>0</v>
      </c>
      <c r="Z9" s="25">
        <v>1</v>
      </c>
      <c r="AA9" s="25">
        <v>1</v>
      </c>
      <c r="AC9" s="154" t="str">
        <v>M2</v>
      </c>
      <c r="AD9" s="133">
        <v>4</v>
      </c>
      <c r="AE9" s="133">
        <v>18</v>
      </c>
      <c r="AF9" s="133">
        <v>4</v>
      </c>
      <c r="AG9" s="133">
        <v>20</v>
      </c>
      <c r="AH9" s="133">
        <v>22</v>
      </c>
      <c r="AI9" s="5"/>
      <c r="AJ9" s="154" t="str">
        <v>M2</v>
      </c>
      <c r="AK9" s="133">
        <v>4</v>
      </c>
      <c r="AL9" s="133">
        <v>18</v>
      </c>
      <c r="AM9" s="133">
        <v>4</v>
      </c>
      <c r="AN9" s="133">
        <v>20</v>
      </c>
      <c r="AO9" s="133">
        <v>22</v>
      </c>
    </row>
    <row r="10" spans="1:41" ht="15.9" customHeight="1" x14ac:dyDescent="0.3">
      <c r="A10" s="133" t="str">
        <v>M5</v>
      </c>
      <c r="B10" s="112" t="str">
        <v>M5</v>
      </c>
      <c r="C10" s="133">
        <f t="shared" si="0"/>
        <v>43</v>
      </c>
      <c r="D10" s="133">
        <f t="shared" si="0"/>
        <v>11</v>
      </c>
      <c r="E10" s="133">
        <f t="shared" si="0"/>
        <v>41</v>
      </c>
      <c r="F10" s="133">
        <f t="shared" si="0"/>
        <v>14</v>
      </c>
      <c r="G10" s="133">
        <f t="shared" si="0"/>
        <v>21</v>
      </c>
      <c r="H10" s="112">
        <v>6</v>
      </c>
      <c r="I10" s="87"/>
      <c r="J10" s="25">
        <v>6</v>
      </c>
      <c r="K10" s="16" t="s">
        <v>125</v>
      </c>
      <c r="L10" s="16" t="s">
        <v>29</v>
      </c>
      <c r="M10" s="16" t="s">
        <v>19</v>
      </c>
      <c r="N10" s="16" t="s">
        <v>36</v>
      </c>
      <c r="O10" s="16" t="s">
        <v>19</v>
      </c>
      <c r="Q10" s="9">
        <v>6</v>
      </c>
      <c r="R10" s="9">
        <v>5</v>
      </c>
      <c r="S10" s="9">
        <v>5</v>
      </c>
      <c r="T10" s="9">
        <v>10</v>
      </c>
      <c r="U10" s="9">
        <v>5</v>
      </c>
      <c r="W10" s="25" cm="1">
        <f t="array" ref="W10">_xlfn.LET(_xlpm.x, K10:K12, IF(SUM((_xlpm.x="C1")*1)=1, 1, 0))</f>
        <v>0</v>
      </c>
      <c r="X10" s="25" cm="1">
        <f t="array" ref="X10">_xlfn.LET(_xlpm.x, L10:L12, IF(SUM((_xlpm.x="C1")*1)=1, 1, 0))</f>
        <v>0</v>
      </c>
      <c r="Y10" s="25" cm="1">
        <f t="array" ref="Y10">_xlfn.LET(_xlpm.x, M10:M12, IF(SUM((_xlpm.x="C1")*1)=1, 1, 0))</f>
        <v>0</v>
      </c>
      <c r="Z10" s="25">
        <v>1</v>
      </c>
      <c r="AA10" s="25">
        <v>1</v>
      </c>
      <c r="AC10" s="154" t="str">
        <v>M3</v>
      </c>
      <c r="AD10" s="133">
        <v>4</v>
      </c>
      <c r="AE10" s="133">
        <v>18</v>
      </c>
      <c r="AF10" s="133">
        <v>4</v>
      </c>
      <c r="AG10" s="133">
        <v>20</v>
      </c>
      <c r="AH10" s="133">
        <v>21</v>
      </c>
      <c r="AI10" s="5"/>
      <c r="AJ10" s="154" t="str">
        <v>M3</v>
      </c>
      <c r="AK10" s="133">
        <v>4</v>
      </c>
      <c r="AL10" s="133">
        <v>18</v>
      </c>
      <c r="AM10" s="133">
        <v>4</v>
      </c>
      <c r="AN10" s="133">
        <v>20</v>
      </c>
      <c r="AO10" s="133">
        <v>21</v>
      </c>
    </row>
    <row r="11" spans="1:41" ht="15.9" customHeight="1" x14ac:dyDescent="0.3">
      <c r="A11" s="133" t="str">
        <v>A</v>
      </c>
      <c r="B11" s="112" t="str">
        <v>A</v>
      </c>
      <c r="C11" s="133">
        <f t="shared" si="0"/>
        <v>48</v>
      </c>
      <c r="D11" s="133">
        <f t="shared" si="0"/>
        <v>12</v>
      </c>
      <c r="E11" s="133">
        <f t="shared" si="0"/>
        <v>41</v>
      </c>
      <c r="F11" s="133">
        <f t="shared" si="0"/>
        <v>14</v>
      </c>
      <c r="G11" s="133">
        <f t="shared" si="0"/>
        <v>21</v>
      </c>
      <c r="H11" s="112">
        <v>7</v>
      </c>
      <c r="I11" s="87"/>
      <c r="J11" s="9">
        <v>7</v>
      </c>
      <c r="K11" s="16" t="s">
        <v>125</v>
      </c>
      <c r="L11" s="16" t="s">
        <v>29</v>
      </c>
      <c r="M11" s="16" t="s">
        <v>37</v>
      </c>
      <c r="N11" s="16" t="s">
        <v>37</v>
      </c>
      <c r="O11" s="16" t="s">
        <v>125</v>
      </c>
      <c r="Q11" s="9">
        <v>6</v>
      </c>
      <c r="R11" s="9">
        <v>5</v>
      </c>
      <c r="S11" s="9">
        <v>7</v>
      </c>
      <c r="T11" s="9">
        <v>7</v>
      </c>
      <c r="U11" s="9">
        <v>6</v>
      </c>
      <c r="W11" s="25" cm="1">
        <f t="array" ref="W11">_xlfn.LET(_xlpm.x, K11:K13, IF(SUM((_xlpm.x="C1")*1)=1, 1, 0))</f>
        <v>0</v>
      </c>
      <c r="X11" s="25" cm="1">
        <f t="array" ref="X11">_xlfn.LET(_xlpm.x, L11:L13, IF(SUM((_xlpm.x="C1")*1)=1, 1, 0))</f>
        <v>1</v>
      </c>
      <c r="Y11" s="25" cm="1">
        <f t="array" ref="Y11">_xlfn.LET(_xlpm.x, M11:M13, IF(SUM((_xlpm.x="C1")*1)=1, 1, 0))</f>
        <v>0</v>
      </c>
      <c r="Z11" s="25">
        <v>1</v>
      </c>
      <c r="AA11" s="25">
        <v>1</v>
      </c>
      <c r="AC11" s="154" t="str">
        <v>M4</v>
      </c>
      <c r="AD11" s="133">
        <v>40</v>
      </c>
      <c r="AE11" s="133">
        <v>14</v>
      </c>
      <c r="AF11" s="133">
        <v>41</v>
      </c>
      <c r="AG11" s="133">
        <v>14</v>
      </c>
      <c r="AH11" s="133">
        <v>21</v>
      </c>
      <c r="AI11" s="5"/>
      <c r="AJ11" s="154" t="str">
        <v>M4</v>
      </c>
      <c r="AK11" s="133">
        <v>40</v>
      </c>
      <c r="AL11" s="133">
        <v>14</v>
      </c>
      <c r="AM11" s="133">
        <v>41</v>
      </c>
      <c r="AN11" s="133">
        <v>14</v>
      </c>
      <c r="AO11" s="133">
        <v>21</v>
      </c>
    </row>
    <row r="12" spans="1:41" ht="15.9" customHeight="1" x14ac:dyDescent="0.3">
      <c r="A12" s="133" t="str">
        <v>K</v>
      </c>
      <c r="B12" s="112" t="str">
        <v>K</v>
      </c>
      <c r="C12" s="133">
        <f t="shared" si="0"/>
        <v>47</v>
      </c>
      <c r="D12" s="133">
        <f t="shared" si="0"/>
        <v>12</v>
      </c>
      <c r="E12" s="133">
        <f t="shared" si="0"/>
        <v>41</v>
      </c>
      <c r="F12" s="133">
        <f t="shared" si="0"/>
        <v>14</v>
      </c>
      <c r="G12" s="133">
        <f t="shared" si="0"/>
        <v>21</v>
      </c>
      <c r="H12" s="112">
        <v>8</v>
      </c>
      <c r="I12" s="87"/>
      <c r="J12" s="25">
        <v>8</v>
      </c>
      <c r="K12" s="16" t="s">
        <v>37</v>
      </c>
      <c r="L12" s="16" t="s">
        <v>89</v>
      </c>
      <c r="M12" s="16" t="s">
        <v>126</v>
      </c>
      <c r="N12" s="16" t="s">
        <v>18</v>
      </c>
      <c r="O12" s="16" t="s">
        <v>34</v>
      </c>
      <c r="Q12" s="9">
        <v>7</v>
      </c>
      <c r="R12" s="9">
        <v>12</v>
      </c>
      <c r="S12" s="9">
        <v>15</v>
      </c>
      <c r="T12" s="9">
        <v>4</v>
      </c>
      <c r="U12" s="9">
        <v>9</v>
      </c>
      <c r="W12" s="25" cm="1">
        <f t="array" ref="W12">_xlfn.LET(_xlpm.x, K12:K14, IF(SUM((_xlpm.x="C1")*1)=1, 1, 0))</f>
        <v>0</v>
      </c>
      <c r="X12" s="25" cm="1">
        <f t="array" ref="X12">_xlfn.LET(_xlpm.x, L12:L14, IF(SUM((_xlpm.x="C1")*1)=1, 1, 0))</f>
        <v>1</v>
      </c>
      <c r="Y12" s="25" cm="1">
        <f t="array" ref="Y12">_xlfn.LET(_xlpm.x, M12:M14, IF(SUM((_xlpm.x="C1")*1)=1, 1, 0))</f>
        <v>0</v>
      </c>
      <c r="Z12" s="25">
        <v>1</v>
      </c>
      <c r="AA12" s="25">
        <v>1</v>
      </c>
      <c r="AC12" s="154" t="str">
        <v>M5</v>
      </c>
      <c r="AD12" s="133">
        <v>40</v>
      </c>
      <c r="AE12" s="133">
        <v>14</v>
      </c>
      <c r="AF12" s="133">
        <v>41</v>
      </c>
      <c r="AG12" s="133">
        <v>14</v>
      </c>
      <c r="AH12" s="133">
        <v>21</v>
      </c>
      <c r="AI12" s="5"/>
      <c r="AJ12" s="154" t="str">
        <v>M5</v>
      </c>
      <c r="AK12" s="133">
        <v>40</v>
      </c>
      <c r="AL12" s="133">
        <v>14</v>
      </c>
      <c r="AM12" s="133">
        <v>41</v>
      </c>
      <c r="AN12" s="133">
        <v>14</v>
      </c>
      <c r="AO12" s="133">
        <v>21</v>
      </c>
    </row>
    <row r="13" spans="1:41" ht="15.9" customHeight="1" x14ac:dyDescent="0.3">
      <c r="A13" s="133" t="str">
        <v>Q</v>
      </c>
      <c r="B13" s="112" t="str">
        <v>Q</v>
      </c>
      <c r="C13" s="133">
        <f t="shared" si="0"/>
        <v>3</v>
      </c>
      <c r="D13" s="133">
        <f t="shared" si="0"/>
        <v>19</v>
      </c>
      <c r="E13" s="133">
        <f t="shared" si="0"/>
        <v>3</v>
      </c>
      <c r="F13" s="133">
        <f t="shared" si="0"/>
        <v>21</v>
      </c>
      <c r="G13" s="133">
        <f t="shared" si="0"/>
        <v>21</v>
      </c>
      <c r="H13" s="112">
        <v>9</v>
      </c>
      <c r="I13" s="87"/>
      <c r="J13" s="9">
        <v>9</v>
      </c>
      <c r="K13" s="16" t="s">
        <v>125</v>
      </c>
      <c r="L13" s="16" t="s">
        <v>20</v>
      </c>
      <c r="M13" s="16" t="s">
        <v>37</v>
      </c>
      <c r="N13" s="16" t="s">
        <v>125</v>
      </c>
      <c r="O13" s="16" t="s">
        <v>34</v>
      </c>
      <c r="Q13" s="9">
        <v>6</v>
      </c>
      <c r="R13" s="9">
        <v>1</v>
      </c>
      <c r="S13" s="9">
        <v>7</v>
      </c>
      <c r="T13" s="9">
        <v>6</v>
      </c>
      <c r="U13" s="9">
        <v>9</v>
      </c>
      <c r="W13" s="25" cm="1">
        <f t="array" ref="W13">_xlfn.LET(_xlpm.x, K13:K15, IF(SUM((_xlpm.x="C1")*1)=1, 1, 0))</f>
        <v>0</v>
      </c>
      <c r="X13" s="25" cm="1">
        <f t="array" ref="X13">_xlfn.LET(_xlpm.x, L13:L15, IF(SUM((_xlpm.x="C1")*1)=1, 1, 0))</f>
        <v>1</v>
      </c>
      <c r="Y13" s="25" cm="1">
        <f t="array" ref="Y13">_xlfn.LET(_xlpm.x, M13:M15, IF(SUM((_xlpm.x="C1")*1)=1, 1, 0))</f>
        <v>0</v>
      </c>
      <c r="Z13" s="25">
        <v>1</v>
      </c>
      <c r="AA13" s="25">
        <v>1</v>
      </c>
      <c r="AC13" s="154" t="str">
        <v>A</v>
      </c>
      <c r="AD13" s="133">
        <v>47</v>
      </c>
      <c r="AE13" s="133">
        <v>13</v>
      </c>
      <c r="AF13" s="133">
        <v>41</v>
      </c>
      <c r="AG13" s="133">
        <v>14</v>
      </c>
      <c r="AH13" s="133">
        <v>21</v>
      </c>
      <c r="AI13" s="5"/>
      <c r="AJ13" s="154" t="str">
        <v>A</v>
      </c>
      <c r="AK13" s="133">
        <v>47</v>
      </c>
      <c r="AL13" s="133">
        <v>13</v>
      </c>
      <c r="AM13" s="133">
        <v>41</v>
      </c>
      <c r="AN13" s="133">
        <v>14</v>
      </c>
      <c r="AO13" s="133">
        <v>21</v>
      </c>
    </row>
    <row r="14" spans="1:41" ht="15.9" customHeight="1" x14ac:dyDescent="0.3">
      <c r="A14" s="133" t="str">
        <v>J</v>
      </c>
      <c r="B14" s="112" t="str">
        <v>J</v>
      </c>
      <c r="C14" s="133">
        <f t="shared" si="0"/>
        <v>4</v>
      </c>
      <c r="D14" s="133">
        <f t="shared" si="0"/>
        <v>16</v>
      </c>
      <c r="E14" s="133">
        <f t="shared" si="0"/>
        <v>3</v>
      </c>
      <c r="F14" s="133">
        <f t="shared" si="0"/>
        <v>21</v>
      </c>
      <c r="G14" s="133">
        <f t="shared" si="0"/>
        <v>21</v>
      </c>
      <c r="H14" s="112">
        <v>10</v>
      </c>
      <c r="I14" s="87"/>
      <c r="J14" s="25">
        <v>10</v>
      </c>
      <c r="K14" s="16" t="s">
        <v>35</v>
      </c>
      <c r="L14" s="16" t="s">
        <v>32</v>
      </c>
      <c r="M14" s="16" t="s">
        <v>35</v>
      </c>
      <c r="N14" s="16" t="s">
        <v>22</v>
      </c>
      <c r="O14" s="16" t="s">
        <v>21</v>
      </c>
      <c r="Q14" s="9">
        <v>8</v>
      </c>
      <c r="R14" s="9">
        <v>9</v>
      </c>
      <c r="S14" s="9">
        <v>8</v>
      </c>
      <c r="T14" s="9">
        <v>3</v>
      </c>
      <c r="U14" s="9">
        <v>2</v>
      </c>
      <c r="W14" s="25" cm="1">
        <f t="array" ref="W14">_xlfn.LET(_xlpm.x, K14:K16, IF(SUM((_xlpm.x="C1")*1)=1, 1, 0))</f>
        <v>0</v>
      </c>
      <c r="X14" s="25" cm="1">
        <f t="array" ref="X14">_xlfn.LET(_xlpm.x, L14:L16, IF(SUM((_xlpm.x="C1")*1)=1, 1, 0))</f>
        <v>0</v>
      </c>
      <c r="Y14" s="25" cm="1">
        <f t="array" ref="Y14">_xlfn.LET(_xlpm.x, M14:M16, IF(SUM((_xlpm.x="C1")*1)=1, 1, 0))</f>
        <v>0</v>
      </c>
      <c r="Z14" s="25">
        <v>1</v>
      </c>
      <c r="AA14" s="25">
        <v>1</v>
      </c>
      <c r="AC14" s="154" t="str">
        <v>K</v>
      </c>
      <c r="AD14" s="133">
        <v>47</v>
      </c>
      <c r="AE14" s="133">
        <v>13</v>
      </c>
      <c r="AF14" s="133">
        <v>41</v>
      </c>
      <c r="AG14" s="133">
        <v>14</v>
      </c>
      <c r="AH14" s="133">
        <v>21</v>
      </c>
      <c r="AI14" s="5"/>
      <c r="AJ14" s="154" t="str">
        <v>K</v>
      </c>
      <c r="AK14" s="133">
        <v>47</v>
      </c>
      <c r="AL14" s="133">
        <v>13</v>
      </c>
      <c r="AM14" s="133">
        <v>41</v>
      </c>
      <c r="AN14" s="133">
        <v>14</v>
      </c>
      <c r="AO14" s="133">
        <v>21</v>
      </c>
    </row>
    <row r="15" spans="1:41" ht="15.9" customHeight="1" x14ac:dyDescent="0.3">
      <c r="A15" s="29" t="str">
        <v>G1</v>
      </c>
      <c r="B15" s="8" t="str">
        <v>Gold M1</v>
      </c>
      <c r="C15" s="99">
        <f t="shared" si="0"/>
        <v>0</v>
      </c>
      <c r="D15" s="99">
        <f t="shared" si="0"/>
        <v>8</v>
      </c>
      <c r="E15" s="99">
        <f t="shared" si="0"/>
        <v>0</v>
      </c>
      <c r="F15" s="99">
        <f t="shared" si="0"/>
        <v>4</v>
      </c>
      <c r="G15" s="99">
        <f t="shared" si="0"/>
        <v>0</v>
      </c>
      <c r="H15" s="8">
        <v>11</v>
      </c>
      <c r="I15" s="87"/>
      <c r="J15" s="9">
        <v>11</v>
      </c>
      <c r="K15" s="16" t="s">
        <v>125</v>
      </c>
      <c r="L15" s="16" t="s">
        <v>26</v>
      </c>
      <c r="M15" s="16" t="s">
        <v>125</v>
      </c>
      <c r="N15" s="16" t="s">
        <v>18</v>
      </c>
      <c r="O15" s="16" t="s">
        <v>18</v>
      </c>
      <c r="Q15" s="9">
        <v>6</v>
      </c>
      <c r="R15" s="9">
        <v>2</v>
      </c>
      <c r="S15" s="9">
        <v>6</v>
      </c>
      <c r="T15" s="9">
        <v>4</v>
      </c>
      <c r="U15" s="9">
        <v>4</v>
      </c>
      <c r="W15" s="25" cm="1">
        <f t="array" ref="W15">_xlfn.LET(_xlpm.x, K15:K17, IF(SUM((_xlpm.x="C1")*1)=1, 1, 0))</f>
        <v>0</v>
      </c>
      <c r="X15" s="25" cm="1">
        <f t="array" ref="X15">_xlfn.LET(_xlpm.x, L15:L17, IF(SUM((_xlpm.x="C1")*1)=1, 1, 0))</f>
        <v>0</v>
      </c>
      <c r="Y15" s="25" cm="1">
        <f t="array" ref="Y15">_xlfn.LET(_xlpm.x, M15:M17, IF(SUM((_xlpm.x="C1")*1)=1, 1, 0))</f>
        <v>0</v>
      </c>
      <c r="Z15" s="25">
        <v>1</v>
      </c>
      <c r="AA15" s="25">
        <v>1</v>
      </c>
      <c r="AC15" s="154" t="str">
        <v>Q</v>
      </c>
      <c r="AD15" s="133">
        <v>4</v>
      </c>
      <c r="AE15" s="133">
        <v>17</v>
      </c>
      <c r="AF15" s="133">
        <v>3</v>
      </c>
      <c r="AG15" s="133">
        <v>21</v>
      </c>
      <c r="AH15" s="133">
        <v>21</v>
      </c>
      <c r="AI15" s="5"/>
      <c r="AJ15" s="154" t="str">
        <v>Q</v>
      </c>
      <c r="AK15" s="133">
        <v>4</v>
      </c>
      <c r="AL15" s="133">
        <v>17</v>
      </c>
      <c r="AM15" s="133">
        <v>3</v>
      </c>
      <c r="AN15" s="133">
        <v>21</v>
      </c>
      <c r="AO15" s="133">
        <v>21</v>
      </c>
    </row>
    <row r="16" spans="1:41" ht="15.9" customHeight="1" x14ac:dyDescent="0.3">
      <c r="A16" s="29" t="str">
        <v>G2</v>
      </c>
      <c r="B16" s="8" t="str">
        <v>Gold M2</v>
      </c>
      <c r="C16" s="99">
        <f t="shared" si="0"/>
        <v>0</v>
      </c>
      <c r="D16" s="99">
        <f t="shared" si="0"/>
        <v>7</v>
      </c>
      <c r="E16" s="99">
        <f t="shared" si="0"/>
        <v>0</v>
      </c>
      <c r="F16" s="99">
        <f t="shared" si="0"/>
        <v>4</v>
      </c>
      <c r="G16" s="99">
        <f t="shared" si="0"/>
        <v>0</v>
      </c>
      <c r="H16" s="8">
        <v>12</v>
      </c>
      <c r="I16" s="87"/>
      <c r="J16" s="25">
        <v>12</v>
      </c>
      <c r="K16" s="16" t="s">
        <v>19</v>
      </c>
      <c r="L16" s="16" t="s">
        <v>95</v>
      </c>
      <c r="M16" s="16" t="s">
        <v>125</v>
      </c>
      <c r="N16" s="16" t="s">
        <v>36</v>
      </c>
      <c r="O16" s="16" t="s">
        <v>18</v>
      </c>
      <c r="Q16" s="9">
        <v>5</v>
      </c>
      <c r="R16" s="9">
        <v>18</v>
      </c>
      <c r="S16" s="9">
        <v>6</v>
      </c>
      <c r="T16" s="9">
        <v>10</v>
      </c>
      <c r="U16" s="9">
        <v>4</v>
      </c>
      <c r="W16" s="25" cm="1">
        <f t="array" ref="W16">_xlfn.LET(_xlpm.x, K16:K18, IF(SUM((_xlpm.x="C1")*1)=1, 1, 0))</f>
        <v>0</v>
      </c>
      <c r="X16" s="25" cm="1">
        <f t="array" ref="X16">_xlfn.LET(_xlpm.x, L16:L18, IF(SUM((_xlpm.x="C1")*1)=1, 1, 0))</f>
        <v>0</v>
      </c>
      <c r="Y16" s="25" cm="1">
        <f t="array" ref="Y16">_xlfn.LET(_xlpm.x, M16:M18, IF(SUM((_xlpm.x="C1")*1)=1, 1, 0))</f>
        <v>0</v>
      </c>
      <c r="Z16" s="25">
        <v>1</v>
      </c>
      <c r="AA16" s="25">
        <v>1</v>
      </c>
      <c r="AC16" s="154" t="str">
        <v>J</v>
      </c>
      <c r="AD16" s="133">
        <v>4</v>
      </c>
      <c r="AE16" s="133">
        <v>17</v>
      </c>
      <c r="AF16" s="133">
        <v>3</v>
      </c>
      <c r="AG16" s="133">
        <v>21</v>
      </c>
      <c r="AH16" s="133">
        <v>21</v>
      </c>
      <c r="AI16" s="5"/>
      <c r="AJ16" s="154" t="str">
        <v>J</v>
      </c>
      <c r="AK16" s="133">
        <v>4</v>
      </c>
      <c r="AL16" s="133">
        <v>17</v>
      </c>
      <c r="AM16" s="133">
        <v>3</v>
      </c>
      <c r="AN16" s="133">
        <v>21</v>
      </c>
      <c r="AO16" s="133">
        <v>21</v>
      </c>
    </row>
    <row r="17" spans="1:41" ht="15.9" customHeight="1" x14ac:dyDescent="0.3">
      <c r="A17" s="29" t="str">
        <v>G3</v>
      </c>
      <c r="B17" s="8" t="str">
        <v>Gold M3</v>
      </c>
      <c r="C17" s="99">
        <f t="shared" si="0"/>
        <v>0</v>
      </c>
      <c r="D17" s="99">
        <f t="shared" si="0"/>
        <v>7</v>
      </c>
      <c r="E17" s="99">
        <f t="shared" si="0"/>
        <v>0</v>
      </c>
      <c r="F17" s="99">
        <f t="shared" si="0"/>
        <v>4</v>
      </c>
      <c r="G17" s="99">
        <f t="shared" si="0"/>
        <v>0</v>
      </c>
      <c r="H17" s="8">
        <v>13</v>
      </c>
      <c r="I17" s="87"/>
      <c r="J17" s="9">
        <v>13</v>
      </c>
      <c r="K17" s="16" t="s">
        <v>19</v>
      </c>
      <c r="L17" s="16" t="s">
        <v>125</v>
      </c>
      <c r="M17" s="16" t="s">
        <v>21</v>
      </c>
      <c r="N17" s="16" t="s">
        <v>36</v>
      </c>
      <c r="O17" s="16" t="s">
        <v>22</v>
      </c>
      <c r="Q17" s="9">
        <v>5</v>
      </c>
      <c r="R17" s="9">
        <v>6</v>
      </c>
      <c r="S17" s="9">
        <v>2</v>
      </c>
      <c r="T17" s="9">
        <v>10</v>
      </c>
      <c r="U17" s="9">
        <v>3</v>
      </c>
      <c r="W17" s="25" cm="1">
        <f t="array" ref="W17">_xlfn.LET(_xlpm.x, K17:K19, IF(SUM((_xlpm.x="C1")*1)=1, 1, 0))</f>
        <v>0</v>
      </c>
      <c r="X17" s="25" cm="1">
        <f t="array" ref="X17">_xlfn.LET(_xlpm.x, L17:L19, IF(SUM((_xlpm.x="C1")*1)=1, 1, 0))</f>
        <v>0</v>
      </c>
      <c r="Y17" s="25" cm="1">
        <f t="array" ref="Y17">_xlfn.LET(_xlpm.x, M17:M19, IF(SUM((_xlpm.x="C1")*1)=1, 1, 0))</f>
        <v>0</v>
      </c>
      <c r="Z17" s="25">
        <v>1</v>
      </c>
      <c r="AA17" s="25">
        <v>1</v>
      </c>
      <c r="AC17" s="138" t="str">
        <v>G1</v>
      </c>
      <c r="AD17" s="99">
        <v>0</v>
      </c>
      <c r="AE17" s="99">
        <v>8</v>
      </c>
      <c r="AF17" s="99">
        <v>1</v>
      </c>
      <c r="AG17" s="99">
        <v>5</v>
      </c>
      <c r="AH17" s="99">
        <v>0</v>
      </c>
      <c r="AI17" s="5"/>
      <c r="AJ17" s="138" t="str">
        <v>G1</v>
      </c>
      <c r="AK17" s="99">
        <v>0</v>
      </c>
      <c r="AL17" s="99">
        <v>8</v>
      </c>
      <c r="AM17" s="99">
        <v>1</v>
      </c>
      <c r="AN17" s="99">
        <v>5</v>
      </c>
      <c r="AO17" s="99">
        <v>0</v>
      </c>
    </row>
    <row r="18" spans="1:41" ht="15.9" customHeight="1" x14ac:dyDescent="0.3">
      <c r="A18" s="29" t="str">
        <v>G4</v>
      </c>
      <c r="B18" s="8" t="str">
        <v>Gold M4</v>
      </c>
      <c r="C18" s="99">
        <f t="shared" si="0"/>
        <v>0</v>
      </c>
      <c r="D18" s="99">
        <f t="shared" si="0"/>
        <v>4</v>
      </c>
      <c r="E18" s="99">
        <f t="shared" si="0"/>
        <v>3</v>
      </c>
      <c r="F18" s="99">
        <f t="shared" si="0"/>
        <v>3</v>
      </c>
      <c r="G18" s="99">
        <f t="shared" si="0"/>
        <v>0</v>
      </c>
      <c r="H18" s="8">
        <v>14</v>
      </c>
      <c r="I18" s="87"/>
      <c r="J18" s="25">
        <v>14</v>
      </c>
      <c r="K18" s="16" t="s">
        <v>125</v>
      </c>
      <c r="L18" s="16" t="s">
        <v>88</v>
      </c>
      <c r="M18" s="16" t="s">
        <v>35</v>
      </c>
      <c r="N18" s="16" t="s">
        <v>35</v>
      </c>
      <c r="O18" s="16" t="s">
        <v>22</v>
      </c>
      <c r="Q18" s="9">
        <v>6</v>
      </c>
      <c r="R18" s="9">
        <v>11</v>
      </c>
      <c r="S18" s="9">
        <v>8</v>
      </c>
      <c r="T18" s="9">
        <v>8</v>
      </c>
      <c r="U18" s="9">
        <v>3</v>
      </c>
      <c r="W18" s="25" cm="1">
        <f t="array" ref="W18">_xlfn.LET(_xlpm.x, K18:K20, IF(SUM((_xlpm.x="C1")*1)=1, 1, 0))</f>
        <v>0</v>
      </c>
      <c r="X18" s="25" cm="1">
        <f t="array" ref="X18">_xlfn.LET(_xlpm.x, L18:L20, IF(SUM((_xlpm.x="C1")*1)=1, 1, 0))</f>
        <v>0</v>
      </c>
      <c r="Y18" s="25" cm="1">
        <f t="array" ref="Y18">_xlfn.LET(_xlpm.x, M18:M20, IF(SUM((_xlpm.x="C1")*1)=1, 1, 0))</f>
        <v>0</v>
      </c>
      <c r="Z18" s="25">
        <v>1</v>
      </c>
      <c r="AA18" s="25">
        <v>1</v>
      </c>
      <c r="AC18" s="138" t="str">
        <v>G2</v>
      </c>
      <c r="AD18" s="99">
        <v>0</v>
      </c>
      <c r="AE18" s="99">
        <v>8</v>
      </c>
      <c r="AF18" s="99">
        <v>1</v>
      </c>
      <c r="AG18" s="99">
        <v>5</v>
      </c>
      <c r="AH18" s="99">
        <v>0</v>
      </c>
      <c r="AI18" s="5"/>
      <c r="AJ18" s="138" t="str">
        <v>G2</v>
      </c>
      <c r="AK18" s="99">
        <v>0</v>
      </c>
      <c r="AL18" s="99">
        <v>8</v>
      </c>
      <c r="AM18" s="99">
        <v>1</v>
      </c>
      <c r="AN18" s="99">
        <v>5</v>
      </c>
      <c r="AO18" s="99">
        <v>0</v>
      </c>
    </row>
    <row r="19" spans="1:41" ht="15.9" customHeight="1" x14ac:dyDescent="0.3">
      <c r="A19" s="29" t="str">
        <v>G5</v>
      </c>
      <c r="B19" s="8" t="str">
        <v>Gold M5</v>
      </c>
      <c r="C19" s="99">
        <f t="shared" si="0"/>
        <v>0</v>
      </c>
      <c r="D19" s="99">
        <f t="shared" si="0"/>
        <v>4</v>
      </c>
      <c r="E19" s="99">
        <f t="shared" si="0"/>
        <v>3</v>
      </c>
      <c r="F19" s="99">
        <f t="shared" si="0"/>
        <v>3</v>
      </c>
      <c r="G19" s="99">
        <f t="shared" si="0"/>
        <v>0</v>
      </c>
      <c r="H19" s="8">
        <v>15</v>
      </c>
      <c r="I19" s="87"/>
      <c r="J19" s="9">
        <v>15</v>
      </c>
      <c r="K19" s="16" t="s">
        <v>37</v>
      </c>
      <c r="L19" s="16" t="s">
        <v>22</v>
      </c>
      <c r="M19" s="16" t="s">
        <v>37</v>
      </c>
      <c r="N19" s="16" t="s">
        <v>21</v>
      </c>
      <c r="O19" s="16" t="s">
        <v>37</v>
      </c>
      <c r="Q19" s="9">
        <v>7</v>
      </c>
      <c r="R19" s="9">
        <v>3</v>
      </c>
      <c r="S19" s="9">
        <v>7</v>
      </c>
      <c r="T19" s="9">
        <v>2</v>
      </c>
      <c r="U19" s="9">
        <v>7</v>
      </c>
      <c r="W19" s="25" cm="1">
        <f t="array" ref="W19">_xlfn.LET(_xlpm.x, K19:K21, IF(SUM((_xlpm.x="C1")*1)=1, 1, 0))</f>
        <v>0</v>
      </c>
      <c r="X19" s="25" cm="1">
        <f t="array" ref="X19">_xlfn.LET(_xlpm.x, L19:L21, IF(SUM((_xlpm.x="C1")*1)=1, 1, 0))</f>
        <v>0</v>
      </c>
      <c r="Y19" s="25" cm="1">
        <f t="array" ref="Y19">_xlfn.LET(_xlpm.x, M19:M21, IF(SUM((_xlpm.x="C1")*1)=1, 1, 0))</f>
        <v>0</v>
      </c>
      <c r="Z19" s="25">
        <v>1</v>
      </c>
      <c r="AA19" s="25">
        <v>1</v>
      </c>
      <c r="AC19" s="138" t="str">
        <v>G3</v>
      </c>
      <c r="AD19" s="99">
        <v>0</v>
      </c>
      <c r="AE19" s="99">
        <v>8</v>
      </c>
      <c r="AF19" s="99">
        <v>1</v>
      </c>
      <c r="AG19" s="99">
        <v>5</v>
      </c>
      <c r="AH19" s="99">
        <v>0</v>
      </c>
      <c r="AI19" s="5"/>
      <c r="AJ19" s="138" t="str">
        <v>G3</v>
      </c>
      <c r="AK19" s="99">
        <v>0</v>
      </c>
      <c r="AL19" s="99">
        <v>8</v>
      </c>
      <c r="AM19" s="99">
        <v>1</v>
      </c>
      <c r="AN19" s="99">
        <v>5</v>
      </c>
      <c r="AO19" s="99">
        <v>0</v>
      </c>
    </row>
    <row r="20" spans="1:41" ht="15.9" customHeight="1" x14ac:dyDescent="0.3">
      <c r="A20" s="29" t="str">
        <v>GA</v>
      </c>
      <c r="B20" s="8" t="str">
        <v>Gold A</v>
      </c>
      <c r="C20" s="99">
        <f t="shared" si="0"/>
        <v>0</v>
      </c>
      <c r="D20" s="99">
        <f t="shared" si="0"/>
        <v>4</v>
      </c>
      <c r="E20" s="99">
        <f t="shared" si="0"/>
        <v>3</v>
      </c>
      <c r="F20" s="99">
        <f t="shared" si="0"/>
        <v>3</v>
      </c>
      <c r="G20" s="99">
        <f t="shared" si="0"/>
        <v>0</v>
      </c>
      <c r="H20" s="8">
        <v>16</v>
      </c>
      <c r="I20" s="87"/>
      <c r="J20" s="25">
        <v>16</v>
      </c>
      <c r="K20" s="16" t="s">
        <v>22</v>
      </c>
      <c r="L20" s="16" t="s">
        <v>88</v>
      </c>
      <c r="M20" s="16" t="s">
        <v>21</v>
      </c>
      <c r="N20" s="16" t="s">
        <v>95</v>
      </c>
      <c r="O20" s="16" t="s">
        <v>19</v>
      </c>
      <c r="Q20" s="9">
        <v>3</v>
      </c>
      <c r="R20" s="9">
        <v>11</v>
      </c>
      <c r="S20" s="9">
        <v>2</v>
      </c>
      <c r="T20" s="9">
        <v>18</v>
      </c>
      <c r="U20" s="9">
        <v>5</v>
      </c>
      <c r="W20" s="25" cm="1">
        <f t="array" ref="W20">_xlfn.LET(_xlpm.x, K20:K22, IF(SUM((_xlpm.x="C1")*1)=1, 1, 0))</f>
        <v>0</v>
      </c>
      <c r="X20" s="25" cm="1">
        <f t="array" ref="X20">_xlfn.LET(_xlpm.x, L20:L22, IF(SUM((_xlpm.x="C1")*1)=1, 1, 0))</f>
        <v>0</v>
      </c>
      <c r="Y20" s="25" cm="1">
        <f t="array" ref="Y20">_xlfn.LET(_xlpm.x, M20:M22, IF(SUM((_xlpm.x="C1")*1)=1, 1, 0))</f>
        <v>0</v>
      </c>
      <c r="Z20" s="25">
        <v>1</v>
      </c>
      <c r="AA20" s="25">
        <v>1</v>
      </c>
      <c r="AC20" s="138" t="str">
        <v>G4</v>
      </c>
      <c r="AD20" s="99">
        <v>0</v>
      </c>
      <c r="AE20" s="99">
        <v>5</v>
      </c>
      <c r="AF20" s="99">
        <v>4</v>
      </c>
      <c r="AG20" s="99">
        <v>4</v>
      </c>
      <c r="AH20" s="99">
        <v>0</v>
      </c>
      <c r="AI20" s="5"/>
      <c r="AJ20" s="138" t="str">
        <v>G4</v>
      </c>
      <c r="AK20" s="99">
        <v>0</v>
      </c>
      <c r="AL20" s="99">
        <v>5</v>
      </c>
      <c r="AM20" s="99">
        <v>4</v>
      </c>
      <c r="AN20" s="99">
        <v>4</v>
      </c>
      <c r="AO20" s="99">
        <v>0</v>
      </c>
    </row>
    <row r="21" spans="1:41" ht="15.9" customHeight="1" x14ac:dyDescent="0.3">
      <c r="A21" s="29" t="str">
        <v>GK</v>
      </c>
      <c r="B21" s="8" t="str">
        <v>Gold K</v>
      </c>
      <c r="C21" s="99">
        <f t="shared" si="0"/>
        <v>0</v>
      </c>
      <c r="D21" s="99">
        <f t="shared" si="0"/>
        <v>4</v>
      </c>
      <c r="E21" s="99">
        <f t="shared" si="0"/>
        <v>3</v>
      </c>
      <c r="F21" s="99">
        <f t="shared" si="0"/>
        <v>3</v>
      </c>
      <c r="G21" s="99">
        <f t="shared" si="0"/>
        <v>0</v>
      </c>
      <c r="H21" s="8">
        <v>17</v>
      </c>
      <c r="I21" s="87"/>
      <c r="J21" s="9">
        <v>17</v>
      </c>
      <c r="K21" s="16" t="s">
        <v>37</v>
      </c>
      <c r="L21" s="16" t="s">
        <v>125</v>
      </c>
      <c r="M21" s="16" t="s">
        <v>36</v>
      </c>
      <c r="N21" s="16" t="s">
        <v>34</v>
      </c>
      <c r="O21" s="16" t="s">
        <v>125</v>
      </c>
      <c r="Q21" s="9">
        <v>7</v>
      </c>
      <c r="R21" s="9">
        <v>6</v>
      </c>
      <c r="S21" s="9">
        <v>10</v>
      </c>
      <c r="T21" s="9">
        <v>9</v>
      </c>
      <c r="U21" s="9">
        <v>6</v>
      </c>
      <c r="W21" s="25" cm="1">
        <f t="array" ref="W21">_xlfn.LET(_xlpm.x, K21:K23, IF(SUM((_xlpm.x="C1")*1)=1, 1, 0))</f>
        <v>0</v>
      </c>
      <c r="X21" s="25" cm="1">
        <f t="array" ref="X21">_xlfn.LET(_xlpm.x, L21:L23, IF(SUM((_xlpm.x="C1")*1)=1, 1, 0))</f>
        <v>0</v>
      </c>
      <c r="Y21" s="25" cm="1">
        <f t="array" ref="Y21">_xlfn.LET(_xlpm.x, M21:M23, IF(SUM((_xlpm.x="C1")*1)=1, 1, 0))</f>
        <v>0</v>
      </c>
      <c r="Z21" s="25">
        <v>1</v>
      </c>
      <c r="AA21" s="25">
        <v>1</v>
      </c>
      <c r="AC21" s="138" t="str">
        <v>G5</v>
      </c>
      <c r="AD21" s="99">
        <v>0</v>
      </c>
      <c r="AE21" s="99">
        <v>5</v>
      </c>
      <c r="AF21" s="99">
        <v>4</v>
      </c>
      <c r="AG21" s="99">
        <v>4</v>
      </c>
      <c r="AH21" s="99">
        <v>0</v>
      </c>
      <c r="AI21" s="5"/>
      <c r="AJ21" s="138" t="str">
        <v>G5</v>
      </c>
      <c r="AK21" s="99">
        <v>0</v>
      </c>
      <c r="AL21" s="99">
        <v>5</v>
      </c>
      <c r="AM21" s="99">
        <v>4</v>
      </c>
      <c r="AN21" s="99">
        <v>4</v>
      </c>
      <c r="AO21" s="99">
        <v>0</v>
      </c>
    </row>
    <row r="22" spans="1:41" ht="15.9" customHeight="1" x14ac:dyDescent="0.3">
      <c r="A22" s="29" t="str">
        <v>GQ</v>
      </c>
      <c r="B22" s="8" t="str">
        <v>Gold Q</v>
      </c>
      <c r="C22" s="99">
        <f t="shared" si="0"/>
        <v>0</v>
      </c>
      <c r="D22" s="99">
        <f t="shared" si="0"/>
        <v>8</v>
      </c>
      <c r="E22" s="99">
        <f t="shared" si="0"/>
        <v>0</v>
      </c>
      <c r="F22" s="99">
        <f t="shared" si="0"/>
        <v>4</v>
      </c>
      <c r="G22" s="99">
        <f t="shared" si="0"/>
        <v>0</v>
      </c>
      <c r="H22" s="8">
        <v>18</v>
      </c>
      <c r="I22" s="87"/>
      <c r="J22" s="25">
        <v>18</v>
      </c>
      <c r="K22" s="16" t="s">
        <v>35</v>
      </c>
      <c r="L22" s="16" t="s">
        <v>125</v>
      </c>
      <c r="M22" s="16" t="s">
        <v>35</v>
      </c>
      <c r="N22" s="16" t="s">
        <v>18</v>
      </c>
      <c r="O22" s="16" t="s">
        <v>21</v>
      </c>
      <c r="Q22" s="9">
        <v>8</v>
      </c>
      <c r="R22" s="9">
        <v>6</v>
      </c>
      <c r="S22" s="9">
        <v>8</v>
      </c>
      <c r="T22" s="9">
        <v>4</v>
      </c>
      <c r="U22" s="9">
        <v>2</v>
      </c>
      <c r="W22" s="25" cm="1">
        <f t="array" ref="W22">_xlfn.LET(_xlpm.x, K22:K24, IF(SUM((_xlpm.x="C1")*1)=1, 1, 0))</f>
        <v>0</v>
      </c>
      <c r="X22" s="25" cm="1">
        <f t="array" ref="X22">_xlfn.LET(_xlpm.x, L22:L24, IF(SUM((_xlpm.x="C1")*1)=1, 1, 0))</f>
        <v>0</v>
      </c>
      <c r="Y22" s="25" cm="1">
        <f t="array" ref="Y22">_xlfn.LET(_xlpm.x, M22:M24, IF(SUM((_xlpm.x="C1")*1)=1, 1, 0))</f>
        <v>0</v>
      </c>
      <c r="Z22" s="25">
        <v>1</v>
      </c>
      <c r="AA22" s="25">
        <v>1</v>
      </c>
      <c r="AC22" s="138" t="str">
        <v>GA</v>
      </c>
      <c r="AD22" s="99">
        <v>0</v>
      </c>
      <c r="AE22" s="99">
        <v>5</v>
      </c>
      <c r="AF22" s="99">
        <v>4</v>
      </c>
      <c r="AG22" s="99">
        <v>4</v>
      </c>
      <c r="AH22" s="99">
        <v>0</v>
      </c>
      <c r="AI22" s="5"/>
      <c r="AJ22" s="138" t="str">
        <v>GA</v>
      </c>
      <c r="AK22" s="99">
        <v>0</v>
      </c>
      <c r="AL22" s="99">
        <v>5</v>
      </c>
      <c r="AM22" s="99">
        <v>4</v>
      </c>
      <c r="AN22" s="99">
        <v>4</v>
      </c>
      <c r="AO22" s="99">
        <v>0</v>
      </c>
    </row>
    <row r="23" spans="1:41" ht="15.9" customHeight="1" x14ac:dyDescent="0.3">
      <c r="A23" s="29" t="str">
        <v>GJ</v>
      </c>
      <c r="B23" s="8" t="str">
        <v>Gold J</v>
      </c>
      <c r="C23" s="99">
        <f t="shared" si="0"/>
        <v>0</v>
      </c>
      <c r="D23" s="99">
        <f t="shared" si="0"/>
        <v>5</v>
      </c>
      <c r="E23" s="99">
        <f t="shared" si="0"/>
        <v>0</v>
      </c>
      <c r="F23" s="99">
        <f t="shared" si="0"/>
        <v>4</v>
      </c>
      <c r="G23" s="99">
        <f t="shared" si="0"/>
        <v>0</v>
      </c>
      <c r="H23" s="8">
        <v>19</v>
      </c>
      <c r="I23" s="87"/>
      <c r="J23" s="9">
        <v>19</v>
      </c>
      <c r="K23" s="16" t="s">
        <v>125</v>
      </c>
      <c r="L23" s="16" t="s">
        <v>19</v>
      </c>
      <c r="M23" s="16" t="s">
        <v>125</v>
      </c>
      <c r="N23" s="16" t="s">
        <v>92</v>
      </c>
      <c r="O23" s="16" t="s">
        <v>21</v>
      </c>
      <c r="Q23" s="9">
        <v>6</v>
      </c>
      <c r="R23" s="9">
        <v>5</v>
      </c>
      <c r="S23" s="9">
        <v>6</v>
      </c>
      <c r="T23" s="9">
        <v>16</v>
      </c>
      <c r="U23" s="9">
        <v>2</v>
      </c>
      <c r="W23" s="25" cm="1">
        <f t="array" ref="W23">_xlfn.LET(_xlpm.x, K23:K25, IF(SUM((_xlpm.x="C1")*1)=1, 1, 0))</f>
        <v>0</v>
      </c>
      <c r="X23" s="25" cm="1">
        <f t="array" ref="X23">_xlfn.LET(_xlpm.x, L23:L25, IF(SUM((_xlpm.x="C1")*1)=1, 1, 0))</f>
        <v>0</v>
      </c>
      <c r="Y23" s="25" cm="1">
        <f t="array" ref="Y23">_xlfn.LET(_xlpm.x, M23:M25, IF(SUM((_xlpm.x="C1")*1)=1, 1, 0))</f>
        <v>0</v>
      </c>
      <c r="Z23" s="25">
        <v>1</v>
      </c>
      <c r="AA23" s="25">
        <v>1</v>
      </c>
      <c r="AC23" s="138" t="str">
        <v>GK</v>
      </c>
      <c r="AD23" s="99">
        <v>0</v>
      </c>
      <c r="AE23" s="99">
        <v>5</v>
      </c>
      <c r="AF23" s="99">
        <v>4</v>
      </c>
      <c r="AG23" s="99">
        <v>4</v>
      </c>
      <c r="AH23" s="99">
        <v>0</v>
      </c>
      <c r="AI23" s="5"/>
      <c r="AJ23" s="138" t="str">
        <v>GK</v>
      </c>
      <c r="AK23" s="99">
        <v>0</v>
      </c>
      <c r="AL23" s="99">
        <v>5</v>
      </c>
      <c r="AM23" s="99">
        <v>4</v>
      </c>
      <c r="AN23" s="99">
        <v>4</v>
      </c>
      <c r="AO23" s="99">
        <v>0</v>
      </c>
    </row>
    <row r="24" spans="1:41" ht="15.9" customHeight="1" x14ac:dyDescent="0.3">
      <c r="C24" s="5">
        <f>SUM(C4:C23)</f>
        <v>200</v>
      </c>
      <c r="D24" s="5">
        <f>SUM(D4:D23)</f>
        <v>200</v>
      </c>
      <c r="E24" s="5">
        <f>SUM(E4:E23)</f>
        <v>200</v>
      </c>
      <c r="F24" s="5">
        <f>SUM(F4:F23)</f>
        <v>200</v>
      </c>
      <c r="G24" s="5">
        <f>SUM(G4:G23)</f>
        <v>200</v>
      </c>
      <c r="H24" s="11"/>
      <c r="I24" s="87"/>
      <c r="J24" s="25">
        <v>20</v>
      </c>
      <c r="K24" s="16" t="s">
        <v>37</v>
      </c>
      <c r="L24" s="16" t="s">
        <v>112</v>
      </c>
      <c r="M24" s="16" t="s">
        <v>37</v>
      </c>
      <c r="N24" s="16" t="s">
        <v>34</v>
      </c>
      <c r="O24" s="16" t="s">
        <v>19</v>
      </c>
      <c r="Q24" s="9">
        <v>7</v>
      </c>
      <c r="R24" s="9">
        <v>17</v>
      </c>
      <c r="S24" s="9">
        <v>7</v>
      </c>
      <c r="T24" s="9">
        <v>9</v>
      </c>
      <c r="U24" s="9">
        <v>5</v>
      </c>
      <c r="W24" s="25" cm="1">
        <f t="array" ref="W24">_xlfn.LET(_xlpm.x, K24:K26, IF(SUM((_xlpm.x="C1")*1)=1, 1, 0))</f>
        <v>0</v>
      </c>
      <c r="X24" s="25" cm="1">
        <f t="array" ref="X24">_xlfn.LET(_xlpm.x, L24:L26, IF(SUM((_xlpm.x="C1")*1)=1, 1, 0))</f>
        <v>0</v>
      </c>
      <c r="Y24" s="25" cm="1">
        <f t="array" ref="Y24">_xlfn.LET(_xlpm.x, M24:M26, IF(SUM((_xlpm.x="C1")*1)=1, 1, 0))</f>
        <v>0</v>
      </c>
      <c r="Z24" s="25">
        <v>1</v>
      </c>
      <c r="AA24" s="25">
        <v>1</v>
      </c>
      <c r="AC24" s="138" t="str">
        <v>GQ</v>
      </c>
      <c r="AD24" s="99">
        <v>0</v>
      </c>
      <c r="AE24" s="99">
        <v>9</v>
      </c>
      <c r="AF24" s="99">
        <v>1</v>
      </c>
      <c r="AG24" s="99">
        <v>5</v>
      </c>
      <c r="AH24" s="99">
        <v>0</v>
      </c>
      <c r="AI24" s="5"/>
      <c r="AJ24" s="138" t="str">
        <v>GQ</v>
      </c>
      <c r="AK24" s="99">
        <v>0</v>
      </c>
      <c r="AL24" s="99">
        <v>9</v>
      </c>
      <c r="AM24" s="99">
        <v>1</v>
      </c>
      <c r="AN24" s="99">
        <v>5</v>
      </c>
      <c r="AO24" s="99">
        <v>0</v>
      </c>
    </row>
    <row r="25" spans="1:41" ht="16.5" customHeight="1" x14ac:dyDescent="0.3">
      <c r="I25" s="87"/>
      <c r="J25" s="9">
        <v>21</v>
      </c>
      <c r="K25" s="16" t="s">
        <v>35</v>
      </c>
      <c r="L25" s="16" t="s">
        <v>112</v>
      </c>
      <c r="M25" s="16" t="s">
        <v>18</v>
      </c>
      <c r="N25" s="16" t="s">
        <v>21</v>
      </c>
      <c r="O25" s="16" t="s">
        <v>21</v>
      </c>
      <c r="Q25" s="9">
        <v>8</v>
      </c>
      <c r="R25" s="9">
        <v>17</v>
      </c>
      <c r="S25" s="9">
        <v>4</v>
      </c>
      <c r="T25" s="9">
        <v>2</v>
      </c>
      <c r="U25" s="9">
        <v>2</v>
      </c>
      <c r="W25" s="25" cm="1">
        <f t="array" ref="W25">_xlfn.LET(_xlpm.x, K25:K27, IF(SUM((_xlpm.x="C1")*1)=1, 1, 0))</f>
        <v>0</v>
      </c>
      <c r="X25" s="25" cm="1">
        <f t="array" ref="X25">_xlfn.LET(_xlpm.x, L25:L27, IF(SUM((_xlpm.x="C1")*1)=1, 1, 0))</f>
        <v>0</v>
      </c>
      <c r="Y25" s="25" cm="1">
        <f t="array" ref="Y25">_xlfn.LET(_xlpm.x, M25:M27, IF(SUM((_xlpm.x="C1")*1)=1, 1, 0))</f>
        <v>0</v>
      </c>
      <c r="Z25" s="25">
        <v>1</v>
      </c>
      <c r="AA25" s="25">
        <v>1</v>
      </c>
      <c r="AC25" s="138" t="str">
        <v>GJ</v>
      </c>
      <c r="AD25" s="99">
        <v>0</v>
      </c>
      <c r="AE25" s="99">
        <v>9</v>
      </c>
      <c r="AF25" s="99">
        <v>1</v>
      </c>
      <c r="AG25" s="99">
        <v>5</v>
      </c>
      <c r="AH25" s="99">
        <v>0</v>
      </c>
      <c r="AI25" s="5"/>
      <c r="AJ25" s="138" t="str">
        <v>GJ</v>
      </c>
      <c r="AK25" s="99">
        <v>0</v>
      </c>
      <c r="AL25" s="99">
        <v>9</v>
      </c>
      <c r="AM25" s="99">
        <v>1</v>
      </c>
      <c r="AN25" s="99">
        <v>5</v>
      </c>
      <c r="AO25" s="99">
        <v>0</v>
      </c>
    </row>
    <row r="26" spans="1:41" ht="16.5" customHeight="1" x14ac:dyDescent="0.3">
      <c r="B26" s="5" t="s">
        <v>244</v>
      </c>
      <c r="C26" s="5">
        <f>SUM(C4:C14)/C24</f>
        <v>1</v>
      </c>
      <c r="D26" s="181">
        <f t="shared" ref="D26:G26" si="1">SUM(D4:D14)/D24</f>
        <v>0.745</v>
      </c>
      <c r="E26" s="181">
        <f t="shared" si="1"/>
        <v>0.94</v>
      </c>
      <c r="F26" s="181">
        <f t="shared" si="1"/>
        <v>0.84</v>
      </c>
      <c r="G26" s="5">
        <f t="shared" si="1"/>
        <v>1</v>
      </c>
      <c r="I26" s="87"/>
      <c r="J26" s="25">
        <v>22</v>
      </c>
      <c r="K26" s="16" t="s">
        <v>35</v>
      </c>
      <c r="L26" s="16" t="s">
        <v>22</v>
      </c>
      <c r="M26" s="16" t="s">
        <v>35</v>
      </c>
      <c r="N26" s="16" t="s">
        <v>37</v>
      </c>
      <c r="O26" s="16" t="s">
        <v>19</v>
      </c>
      <c r="Q26" s="9">
        <v>8</v>
      </c>
      <c r="R26" s="9">
        <v>3</v>
      </c>
      <c r="S26" s="9">
        <v>8</v>
      </c>
      <c r="T26" s="9">
        <v>7</v>
      </c>
      <c r="U26" s="9">
        <v>5</v>
      </c>
      <c r="W26" s="25" cm="1">
        <f t="array" ref="W26">_xlfn.LET(_xlpm.x, K26:K28, IF(SUM((_xlpm.x="C1")*1)=1, 1, 0))</f>
        <v>0</v>
      </c>
      <c r="X26" s="25" cm="1">
        <f t="array" ref="X26">_xlfn.LET(_xlpm.x, L26:L28, IF(SUM((_xlpm.x="C1")*1)=1, 1, 0))</f>
        <v>0</v>
      </c>
      <c r="Y26" s="25" cm="1">
        <f t="array" ref="Y26">_xlfn.LET(_xlpm.x, M26:M28, IF(SUM((_xlpm.x="C1")*1)=1, 1, 0))</f>
        <v>0</v>
      </c>
      <c r="Z26" s="25">
        <v>1</v>
      </c>
      <c r="AA26" s="25">
        <v>1</v>
      </c>
      <c r="AD26" s="113">
        <f>SUM(AD6:AD25)</f>
        <v>200</v>
      </c>
      <c r="AE26" s="113">
        <f>SUM(AE6:AE25)</f>
        <v>209</v>
      </c>
      <c r="AF26" s="113">
        <f>SUM(AF6:AF25)</f>
        <v>209</v>
      </c>
      <c r="AG26" s="113">
        <f>SUM(AG6:AG25)</f>
        <v>209</v>
      </c>
      <c r="AH26" s="113">
        <f>SUM(AH6:AH25)</f>
        <v>200</v>
      </c>
      <c r="AI26" s="5"/>
      <c r="AK26" s="113">
        <f>SUM(AK6:AK25)</f>
        <v>200</v>
      </c>
      <c r="AL26" s="113">
        <f>SUM(AL6:AL25)</f>
        <v>209</v>
      </c>
      <c r="AM26" s="113">
        <f>SUM(AM6:AM25)</f>
        <v>209</v>
      </c>
      <c r="AN26" s="113">
        <f>SUM(AN6:AN25)</f>
        <v>209</v>
      </c>
      <c r="AO26" s="113">
        <f>SUM(AO6:AO25)</f>
        <v>200</v>
      </c>
    </row>
    <row r="27" spans="1:41" ht="16.5" customHeight="1" x14ac:dyDescent="0.3">
      <c r="B27" s="5" t="s">
        <v>245</v>
      </c>
      <c r="C27" s="5">
        <f>SUM(C15:C23)/C24</f>
        <v>0</v>
      </c>
      <c r="D27" s="181">
        <f t="shared" ref="D27:G27" si="2">SUM(D15:D23)/D24</f>
        <v>0.255</v>
      </c>
      <c r="E27" s="181">
        <f t="shared" si="2"/>
        <v>0.06</v>
      </c>
      <c r="F27" s="181">
        <f t="shared" si="2"/>
        <v>0.16</v>
      </c>
      <c r="G27" s="5">
        <f t="shared" si="2"/>
        <v>0</v>
      </c>
      <c r="I27" s="87"/>
      <c r="J27" s="9">
        <v>23</v>
      </c>
      <c r="K27" s="16" t="s">
        <v>35</v>
      </c>
      <c r="L27" s="16" t="s">
        <v>18</v>
      </c>
      <c r="M27" s="16" t="s">
        <v>125</v>
      </c>
      <c r="N27" s="16" t="s">
        <v>20</v>
      </c>
      <c r="O27" s="16" t="s">
        <v>125</v>
      </c>
      <c r="Q27" s="9">
        <v>8</v>
      </c>
      <c r="R27" s="9">
        <v>4</v>
      </c>
      <c r="S27" s="9">
        <v>6</v>
      </c>
      <c r="T27" s="9">
        <v>1</v>
      </c>
      <c r="U27" s="9">
        <v>6</v>
      </c>
      <c r="W27" s="25" cm="1">
        <f t="array" ref="W27">_xlfn.LET(_xlpm.x, K27:K29, IF(SUM((_xlpm.x="C1")*1)=1, 1, 0))</f>
        <v>0</v>
      </c>
      <c r="X27" s="25" cm="1">
        <f t="array" ref="X27">_xlfn.LET(_xlpm.x, L27:L29, IF(SUM((_xlpm.x="C1")*1)=1, 1, 0))</f>
        <v>0</v>
      </c>
      <c r="Y27" s="25" cm="1">
        <f t="array" ref="Y27">_xlfn.LET(_xlpm.x, M27:M29, IF(SUM((_xlpm.x="C1")*1)=1, 1, 0))</f>
        <v>0</v>
      </c>
      <c r="Z27" s="25">
        <v>1</v>
      </c>
      <c r="AA27" s="25">
        <v>1</v>
      </c>
      <c r="AH27" s="5"/>
      <c r="AI27" s="5"/>
      <c r="AO27" s="5"/>
    </row>
    <row r="28" spans="1:41" ht="16.5" customHeight="1" x14ac:dyDescent="0.3">
      <c r="I28" s="87"/>
      <c r="J28" s="25">
        <v>24</v>
      </c>
      <c r="K28" s="16" t="s">
        <v>19</v>
      </c>
      <c r="L28" s="16" t="s">
        <v>18</v>
      </c>
      <c r="M28" s="16" t="s">
        <v>34</v>
      </c>
      <c r="N28" s="16" t="s">
        <v>97</v>
      </c>
      <c r="O28" s="16" t="s">
        <v>35</v>
      </c>
      <c r="Q28" s="9">
        <v>5</v>
      </c>
      <c r="R28" s="9">
        <v>4</v>
      </c>
      <c r="S28" s="9">
        <v>9</v>
      </c>
      <c r="T28" s="9">
        <v>19</v>
      </c>
      <c r="U28" s="9">
        <v>8</v>
      </c>
      <c r="W28" s="25" cm="1">
        <f t="array" ref="W28">_xlfn.LET(_xlpm.x, K28:K30, IF(SUM((_xlpm.x="C1")*1)=1, 1, 0))</f>
        <v>0</v>
      </c>
      <c r="X28" s="25" cm="1">
        <f t="array" ref="X28">_xlfn.LET(_xlpm.x, L28:L30, IF(SUM((_xlpm.x="C1")*1)=1, 1, 0))</f>
        <v>0</v>
      </c>
      <c r="Y28" s="25" cm="1">
        <f t="array" ref="Y28">_xlfn.LET(_xlpm.x, M28:M30, IF(SUM((_xlpm.x="C1")*1)=1, 1, 0))</f>
        <v>0</v>
      </c>
      <c r="Z28" s="25">
        <v>1</v>
      </c>
      <c r="AA28" s="25">
        <v>1</v>
      </c>
      <c r="AC28" s="27" t="s">
        <v>132</v>
      </c>
      <c r="AH28" s="5"/>
      <c r="AI28" s="5"/>
      <c r="AJ28" s="27" t="s">
        <v>132</v>
      </c>
      <c r="AO28" s="5"/>
    </row>
    <row r="29" spans="1:41" ht="16.5" customHeight="1" x14ac:dyDescent="0.3">
      <c r="I29" s="87"/>
      <c r="J29" s="9">
        <v>25</v>
      </c>
      <c r="K29" s="16" t="s">
        <v>35</v>
      </c>
      <c r="L29" s="16" t="s">
        <v>35</v>
      </c>
      <c r="M29" s="16" t="s">
        <v>35</v>
      </c>
      <c r="N29" s="16" t="s">
        <v>18</v>
      </c>
      <c r="O29" s="16" t="s">
        <v>18</v>
      </c>
      <c r="Q29" s="9">
        <v>8</v>
      </c>
      <c r="R29" s="9">
        <v>8</v>
      </c>
      <c r="S29" s="9">
        <v>8</v>
      </c>
      <c r="T29" s="9">
        <v>4</v>
      </c>
      <c r="U29" s="9">
        <v>4</v>
      </c>
      <c r="W29" s="25" cm="1">
        <f t="array" ref="W29">_xlfn.LET(_xlpm.x, K29:K31, IF(SUM((_xlpm.x="C1")*1)=1, 1, 0))</f>
        <v>0</v>
      </c>
      <c r="X29" s="25" cm="1">
        <f t="array" ref="X29">_xlfn.LET(_xlpm.x, L29:L31, IF(SUM((_xlpm.x="C1")*1)=1, 1, 0))</f>
        <v>0</v>
      </c>
      <c r="Y29" s="25" cm="1">
        <f t="array" ref="Y29">_xlfn.LET(_xlpm.x, M29:M31, IF(SUM((_xlpm.x="C1")*1)=1, 1, 0))</f>
        <v>0</v>
      </c>
      <c r="Z29" s="25">
        <v>1</v>
      </c>
      <c r="AA29" s="25">
        <v>1</v>
      </c>
      <c r="AC29" s="135" t="s">
        <v>42</v>
      </c>
      <c r="AD29" s="135" t="s">
        <v>13</v>
      </c>
      <c r="AE29" s="135" t="s">
        <v>14</v>
      </c>
      <c r="AF29" s="135" t="s">
        <v>15</v>
      </c>
      <c r="AG29" s="135" t="s">
        <v>16</v>
      </c>
      <c r="AH29" s="135" t="s">
        <v>17</v>
      </c>
      <c r="AI29" s="5"/>
      <c r="AJ29" s="135" t="s">
        <v>42</v>
      </c>
      <c r="AK29" s="135" t="s">
        <v>13</v>
      </c>
      <c r="AL29" s="135" t="s">
        <v>14</v>
      </c>
      <c r="AM29" s="135" t="s">
        <v>15</v>
      </c>
      <c r="AN29" s="135" t="s">
        <v>16</v>
      </c>
      <c r="AO29" s="135" t="s">
        <v>17</v>
      </c>
    </row>
    <row r="30" spans="1:41" ht="16.5" customHeight="1" x14ac:dyDescent="0.3">
      <c r="I30" s="87"/>
      <c r="J30" s="25">
        <v>26</v>
      </c>
      <c r="K30" s="16" t="s">
        <v>37</v>
      </c>
      <c r="L30" s="16" t="s">
        <v>35</v>
      </c>
      <c r="M30" s="16" t="s">
        <v>125</v>
      </c>
      <c r="N30" s="16" t="s">
        <v>36</v>
      </c>
      <c r="O30" s="16" t="s">
        <v>125</v>
      </c>
      <c r="Q30" s="9">
        <v>7</v>
      </c>
      <c r="R30" s="9">
        <v>8</v>
      </c>
      <c r="S30" s="9">
        <v>6</v>
      </c>
      <c r="T30" s="9">
        <v>10</v>
      </c>
      <c r="U30" s="9">
        <v>6</v>
      </c>
      <c r="W30" s="25" cm="1">
        <f t="array" ref="W30">_xlfn.LET(_xlpm.x, K30:K32, IF(SUM((_xlpm.x="C1")*1)=1, 1, 0))</f>
        <v>0</v>
      </c>
      <c r="X30" s="25" cm="1">
        <f t="array" ref="X30">_xlfn.LET(_xlpm.x, L30:L32, IF(SUM((_xlpm.x="C1")*1)=1, 1, 0))</f>
        <v>0</v>
      </c>
      <c r="Y30" s="25" cm="1">
        <f t="array" ref="Y30">_xlfn.LET(_xlpm.x, M30:M32, IF(SUM((_xlpm.x="C1")*1)=1, 1, 0))</f>
        <v>0</v>
      </c>
      <c r="Z30" s="25">
        <v>1</v>
      </c>
      <c r="AA30" s="25">
        <v>1</v>
      </c>
      <c r="AC30" s="138" t="str" cm="1">
        <f t="array" ref="AC30:AC49">$A$4:$A$23</f>
        <v>WW</v>
      </c>
      <c r="AD30" s="139">
        <v>0</v>
      </c>
      <c r="AE30" s="139">
        <v>0</v>
      </c>
      <c r="AF30" s="139">
        <v>0</v>
      </c>
      <c r="AG30" s="139">
        <v>0</v>
      </c>
      <c r="AH30" s="139">
        <v>0</v>
      </c>
      <c r="AI30" s="5"/>
      <c r="AJ30" s="138" t="str" cm="1">
        <f t="array" ref="AJ30:AJ49">$A$4:$A$23</f>
        <v>WW</v>
      </c>
      <c r="AK30" s="139">
        <v>0</v>
      </c>
      <c r="AL30" s="139">
        <v>0</v>
      </c>
      <c r="AM30" s="139">
        <v>0</v>
      </c>
      <c r="AN30" s="139">
        <v>0</v>
      </c>
      <c r="AO30" s="139">
        <v>0</v>
      </c>
    </row>
    <row r="31" spans="1:41" ht="16.5" customHeight="1" x14ac:dyDescent="0.3">
      <c r="I31" s="87"/>
      <c r="J31" s="9">
        <v>27</v>
      </c>
      <c r="K31" s="16" t="s">
        <v>19</v>
      </c>
      <c r="L31" s="16" t="s">
        <v>95</v>
      </c>
      <c r="M31" s="16" t="s">
        <v>37</v>
      </c>
      <c r="N31" s="16" t="s">
        <v>97</v>
      </c>
      <c r="O31" s="16" t="s">
        <v>34</v>
      </c>
      <c r="Q31" s="9">
        <v>5</v>
      </c>
      <c r="R31" s="9">
        <v>18</v>
      </c>
      <c r="S31" s="9">
        <v>7</v>
      </c>
      <c r="T31" s="9">
        <v>19</v>
      </c>
      <c r="U31" s="9">
        <v>9</v>
      </c>
      <c r="W31" s="25" cm="1">
        <f t="array" ref="W31">_xlfn.LET(_xlpm.x, K31:K33, IF(SUM((_xlpm.x="C1")*1)=1, 1, 0))</f>
        <v>0</v>
      </c>
      <c r="X31" s="25" cm="1">
        <f t="array" ref="X31">_xlfn.LET(_xlpm.x, L31:L33, IF(SUM((_xlpm.x="C1")*1)=1, 1, 0))</f>
        <v>0</v>
      </c>
      <c r="Y31" s="25" cm="1">
        <f t="array" ref="Y31">_xlfn.LET(_xlpm.x, M31:M33, IF(SUM((_xlpm.x="C1")*1)=1, 1, 0))</f>
        <v>0</v>
      </c>
      <c r="Z31" s="25">
        <v>1</v>
      </c>
      <c r="AA31" s="25">
        <v>1</v>
      </c>
      <c r="AC31" s="138" t="str">
        <v>C1</v>
      </c>
      <c r="AD31" s="138">
        <v>3</v>
      </c>
      <c r="AE31" s="138">
        <v>3</v>
      </c>
      <c r="AF31" s="138">
        <v>3</v>
      </c>
      <c r="AG31" s="138">
        <v>6</v>
      </c>
      <c r="AH31" s="138">
        <v>6</v>
      </c>
      <c r="AI31" s="5"/>
      <c r="AJ31" s="138" t="str">
        <v>C1</v>
      </c>
      <c r="AK31" s="138">
        <v>3</v>
      </c>
      <c r="AL31" s="138">
        <v>3</v>
      </c>
      <c r="AM31" s="138">
        <v>3</v>
      </c>
      <c r="AN31" s="138">
        <v>6</v>
      </c>
      <c r="AO31" s="138">
        <v>6</v>
      </c>
    </row>
    <row r="32" spans="1:41" ht="16.5" customHeight="1" x14ac:dyDescent="0.3">
      <c r="J32" s="25">
        <v>28</v>
      </c>
      <c r="K32" s="16" t="s">
        <v>35</v>
      </c>
      <c r="L32" s="16" t="s">
        <v>91</v>
      </c>
      <c r="M32" s="16" t="s">
        <v>125</v>
      </c>
      <c r="N32" s="16" t="s">
        <v>88</v>
      </c>
      <c r="O32" s="16" t="s">
        <v>34</v>
      </c>
      <c r="Q32" s="9">
        <v>8</v>
      </c>
      <c r="R32" s="9">
        <v>14</v>
      </c>
      <c r="S32" s="9">
        <v>6</v>
      </c>
      <c r="T32" s="9">
        <v>11</v>
      </c>
      <c r="U32" s="9">
        <v>9</v>
      </c>
      <c r="W32" s="25" cm="1">
        <f t="array" ref="W32">_xlfn.LET(_xlpm.x, K32:K34, IF(SUM((_xlpm.x="C1")*1)=1, 1, 0))</f>
        <v>0</v>
      </c>
      <c r="X32" s="25" cm="1">
        <f t="array" ref="X32">_xlfn.LET(_xlpm.x, L32:L34, IF(SUM((_xlpm.x="C1")*1)=1, 1, 0))</f>
        <v>0</v>
      </c>
      <c r="Y32" s="25" cm="1">
        <f t="array" ref="Y32">_xlfn.LET(_xlpm.x, M32:M34, IF(SUM((_xlpm.x="C1")*1)=1, 1, 0))</f>
        <v>0</v>
      </c>
      <c r="Z32" s="25">
        <v>1</v>
      </c>
      <c r="AA32" s="25">
        <v>1</v>
      </c>
      <c r="AC32" s="154" t="str">
        <v>M1</v>
      </c>
      <c r="AD32" s="133">
        <v>4</v>
      </c>
      <c r="AE32" s="133">
        <v>17</v>
      </c>
      <c r="AF32" s="133">
        <v>4</v>
      </c>
      <c r="AG32" s="133">
        <v>21</v>
      </c>
      <c r="AH32" s="133">
        <v>22</v>
      </c>
      <c r="AI32" s="5"/>
      <c r="AJ32" s="154" t="str">
        <v>M1</v>
      </c>
      <c r="AK32" s="133">
        <v>4</v>
      </c>
      <c r="AL32" s="133">
        <v>17</v>
      </c>
      <c r="AM32" s="133">
        <v>4</v>
      </c>
      <c r="AN32" s="133">
        <v>21</v>
      </c>
      <c r="AO32" s="133">
        <v>22</v>
      </c>
    </row>
    <row r="33" spans="10:41" ht="16.5" customHeight="1" x14ac:dyDescent="0.3">
      <c r="J33" s="9">
        <v>29</v>
      </c>
      <c r="K33" s="16" t="s">
        <v>21</v>
      </c>
      <c r="L33" s="16" t="s">
        <v>90</v>
      </c>
      <c r="M33" s="16" t="s">
        <v>19</v>
      </c>
      <c r="N33" s="16" t="s">
        <v>22</v>
      </c>
      <c r="O33" s="16" t="s">
        <v>21</v>
      </c>
      <c r="Q33" s="9">
        <v>2</v>
      </c>
      <c r="R33" s="9">
        <v>13</v>
      </c>
      <c r="S33" s="9">
        <v>5</v>
      </c>
      <c r="T33" s="9">
        <v>3</v>
      </c>
      <c r="U33" s="9">
        <v>2</v>
      </c>
      <c r="W33" s="25" cm="1">
        <f t="array" ref="W33">_xlfn.LET(_xlpm.x, K33:K35, IF(SUM((_xlpm.x="C1")*1)=1, 1, 0))</f>
        <v>0</v>
      </c>
      <c r="X33" s="25" cm="1">
        <f t="array" ref="X33">_xlfn.LET(_xlpm.x, L33:L35, IF(SUM((_xlpm.x="C1")*1)=1, 1, 0))</f>
        <v>0</v>
      </c>
      <c r="Y33" s="25" cm="1">
        <f t="array" ref="Y33">_xlfn.LET(_xlpm.x, M33:M35, IF(SUM((_xlpm.x="C1")*1)=1, 1, 0))</f>
        <v>0</v>
      </c>
      <c r="Z33" s="25">
        <v>1</v>
      </c>
      <c r="AA33" s="25">
        <v>1</v>
      </c>
      <c r="AC33" s="154" t="str">
        <v>M2</v>
      </c>
      <c r="AD33" s="133">
        <v>4</v>
      </c>
      <c r="AE33" s="133">
        <v>18</v>
      </c>
      <c r="AF33" s="133">
        <v>4</v>
      </c>
      <c r="AG33" s="133">
        <v>20</v>
      </c>
      <c r="AH33" s="133">
        <v>22</v>
      </c>
      <c r="AI33" s="5"/>
      <c r="AJ33" s="154" t="str">
        <v>M2</v>
      </c>
      <c r="AK33" s="133">
        <v>4</v>
      </c>
      <c r="AL33" s="133">
        <v>18</v>
      </c>
      <c r="AM33" s="133">
        <v>4</v>
      </c>
      <c r="AN33" s="133">
        <v>20</v>
      </c>
      <c r="AO33" s="133">
        <v>22</v>
      </c>
    </row>
    <row r="34" spans="10:41" ht="16.5" customHeight="1" x14ac:dyDescent="0.3">
      <c r="J34" s="25">
        <v>30</v>
      </c>
      <c r="K34" s="16" t="s">
        <v>35</v>
      </c>
      <c r="L34" s="16" t="s">
        <v>36</v>
      </c>
      <c r="M34" s="16" t="s">
        <v>35</v>
      </c>
      <c r="N34" s="16" t="s">
        <v>21</v>
      </c>
      <c r="O34" s="16" t="s">
        <v>21</v>
      </c>
      <c r="Q34" s="9">
        <v>8</v>
      </c>
      <c r="R34" s="9">
        <v>10</v>
      </c>
      <c r="S34" s="9">
        <v>8</v>
      </c>
      <c r="T34" s="9">
        <v>2</v>
      </c>
      <c r="U34" s="9">
        <v>2</v>
      </c>
      <c r="W34" s="25" cm="1">
        <f t="array" ref="W34">_xlfn.LET(_xlpm.x, K34:K36, IF(SUM((_xlpm.x="C1")*1)=1, 1, 0))</f>
        <v>0</v>
      </c>
      <c r="X34" s="25" cm="1">
        <f t="array" ref="X34">_xlfn.LET(_xlpm.x, L34:L36, IF(SUM((_xlpm.x="C1")*1)=1, 1, 0))</f>
        <v>0</v>
      </c>
      <c r="Y34" s="25" cm="1">
        <f t="array" ref="Y34">_xlfn.LET(_xlpm.x, M34:M36, IF(SUM((_xlpm.x="C1")*1)=1, 1, 0))</f>
        <v>0</v>
      </c>
      <c r="Z34" s="25">
        <v>1</v>
      </c>
      <c r="AA34" s="25">
        <v>1</v>
      </c>
      <c r="AC34" s="154" t="str">
        <v>M3</v>
      </c>
      <c r="AD34" s="133">
        <v>4</v>
      </c>
      <c r="AE34" s="133">
        <v>18</v>
      </c>
      <c r="AF34" s="133">
        <v>4</v>
      </c>
      <c r="AG34" s="133">
        <v>20</v>
      </c>
      <c r="AH34" s="133">
        <v>21</v>
      </c>
      <c r="AI34" s="5"/>
      <c r="AJ34" s="154" t="str">
        <v>M3</v>
      </c>
      <c r="AK34" s="133">
        <v>4</v>
      </c>
      <c r="AL34" s="133">
        <v>18</v>
      </c>
      <c r="AM34" s="133">
        <v>4</v>
      </c>
      <c r="AN34" s="133">
        <v>20</v>
      </c>
      <c r="AO34" s="133">
        <v>21</v>
      </c>
    </row>
    <row r="35" spans="10:41" ht="16.5" customHeight="1" x14ac:dyDescent="0.3">
      <c r="J35" s="9">
        <v>31</v>
      </c>
      <c r="K35" s="16" t="s">
        <v>19</v>
      </c>
      <c r="L35" s="16" t="s">
        <v>36</v>
      </c>
      <c r="M35" s="16" t="s">
        <v>37</v>
      </c>
      <c r="N35" s="16" t="s">
        <v>125</v>
      </c>
      <c r="O35" s="16" t="s">
        <v>20</v>
      </c>
      <c r="Q35" s="9">
        <v>5</v>
      </c>
      <c r="R35" s="9">
        <v>10</v>
      </c>
      <c r="S35" s="9">
        <v>7</v>
      </c>
      <c r="T35" s="9">
        <v>6</v>
      </c>
      <c r="U35" s="9">
        <v>1</v>
      </c>
      <c r="W35" s="25" cm="1">
        <f t="array" ref="W35">_xlfn.LET(_xlpm.x, K35:K37, IF(SUM((_xlpm.x="C1")*1)=1, 1, 0))</f>
        <v>0</v>
      </c>
      <c r="X35" s="25" cm="1">
        <f t="array" ref="X35">_xlfn.LET(_xlpm.x, L35:L37, IF(SUM((_xlpm.x="C1")*1)=1, 1, 0))</f>
        <v>0</v>
      </c>
      <c r="Y35" s="25" cm="1">
        <f t="array" ref="Y35">_xlfn.LET(_xlpm.x, M35:M37, IF(SUM((_xlpm.x="C1")*1)=1, 1, 0))</f>
        <v>0</v>
      </c>
      <c r="Z35" s="25">
        <v>1</v>
      </c>
      <c r="AA35" s="25">
        <v>1</v>
      </c>
      <c r="AC35" s="154" t="str">
        <v>M4</v>
      </c>
      <c r="AD35" s="133">
        <v>40</v>
      </c>
      <c r="AE35" s="133">
        <v>14</v>
      </c>
      <c r="AF35" s="133">
        <v>41</v>
      </c>
      <c r="AG35" s="133">
        <v>14</v>
      </c>
      <c r="AH35" s="133">
        <v>21</v>
      </c>
      <c r="AI35" s="5"/>
      <c r="AJ35" s="154" t="str">
        <v>M4</v>
      </c>
      <c r="AK35" s="133">
        <v>40</v>
      </c>
      <c r="AL35" s="133">
        <v>14</v>
      </c>
      <c r="AM35" s="133">
        <v>41</v>
      </c>
      <c r="AN35" s="133">
        <v>14</v>
      </c>
      <c r="AO35" s="133">
        <v>21</v>
      </c>
    </row>
    <row r="36" spans="10:41" ht="16.5" customHeight="1" x14ac:dyDescent="0.3">
      <c r="J36" s="25">
        <v>32</v>
      </c>
      <c r="K36" s="16" t="s">
        <v>37</v>
      </c>
      <c r="L36" s="16" t="s">
        <v>19</v>
      </c>
      <c r="M36" s="16" t="s">
        <v>18</v>
      </c>
      <c r="N36" s="16" t="s">
        <v>125</v>
      </c>
      <c r="O36" s="16" t="s">
        <v>34</v>
      </c>
      <c r="Q36" s="9">
        <v>7</v>
      </c>
      <c r="R36" s="9">
        <v>5</v>
      </c>
      <c r="S36" s="9">
        <v>4</v>
      </c>
      <c r="T36" s="9">
        <v>6</v>
      </c>
      <c r="U36" s="9">
        <v>9</v>
      </c>
      <c r="W36" s="25" cm="1">
        <f t="array" ref="W36">_xlfn.LET(_xlpm.x, K36:K38, IF(SUM((_xlpm.x="C1")*1)=1, 1, 0))</f>
        <v>0</v>
      </c>
      <c r="X36" s="25" cm="1">
        <f t="array" ref="X36">_xlfn.LET(_xlpm.x, L36:L38, IF(SUM((_xlpm.x="C1")*1)=1, 1, 0))</f>
        <v>0</v>
      </c>
      <c r="Y36" s="25" cm="1">
        <f t="array" ref="Y36">_xlfn.LET(_xlpm.x, M36:M38, IF(SUM((_xlpm.x="C1")*1)=1, 1, 0))</f>
        <v>0</v>
      </c>
      <c r="Z36" s="25">
        <v>1</v>
      </c>
      <c r="AA36" s="25">
        <v>1</v>
      </c>
      <c r="AC36" s="154" t="str">
        <v>M5</v>
      </c>
      <c r="AD36" s="133">
        <v>40</v>
      </c>
      <c r="AE36" s="133">
        <v>14</v>
      </c>
      <c r="AF36" s="133">
        <v>41</v>
      </c>
      <c r="AG36" s="133">
        <v>14</v>
      </c>
      <c r="AH36" s="133">
        <v>21</v>
      </c>
      <c r="AI36" s="5"/>
      <c r="AJ36" s="154" t="str">
        <v>M5</v>
      </c>
      <c r="AK36" s="133">
        <v>40</v>
      </c>
      <c r="AL36" s="133">
        <v>14</v>
      </c>
      <c r="AM36" s="133">
        <v>41</v>
      </c>
      <c r="AN36" s="133">
        <v>14</v>
      </c>
      <c r="AO36" s="133">
        <v>21</v>
      </c>
    </row>
    <row r="37" spans="10:41" ht="16.5" customHeight="1" x14ac:dyDescent="0.3">
      <c r="J37" s="9">
        <v>33</v>
      </c>
      <c r="K37" s="16" t="s">
        <v>19</v>
      </c>
      <c r="L37" s="16" t="s">
        <v>35</v>
      </c>
      <c r="M37" s="16" t="s">
        <v>35</v>
      </c>
      <c r="N37" s="16" t="s">
        <v>92</v>
      </c>
      <c r="O37" s="16" t="s">
        <v>35</v>
      </c>
      <c r="Q37" s="9">
        <v>5</v>
      </c>
      <c r="R37" s="9">
        <v>8</v>
      </c>
      <c r="S37" s="9">
        <v>8</v>
      </c>
      <c r="T37" s="9">
        <v>16</v>
      </c>
      <c r="U37" s="9">
        <v>8</v>
      </c>
      <c r="W37" s="25" cm="1">
        <f t="array" ref="W37">_xlfn.LET(_xlpm.x, K37:K39, IF(SUM((_xlpm.x="C1")*1)=1, 1, 0))</f>
        <v>0</v>
      </c>
      <c r="X37" s="25" cm="1">
        <f t="array" ref="X37">_xlfn.LET(_xlpm.x, L37:L39, IF(SUM((_xlpm.x="C1")*1)=1, 1, 0))</f>
        <v>0</v>
      </c>
      <c r="Y37" s="25" cm="1">
        <f t="array" ref="Y37">_xlfn.LET(_xlpm.x, M37:M39, IF(SUM((_xlpm.x="C1")*1)=1, 1, 0))</f>
        <v>0</v>
      </c>
      <c r="Z37" s="25">
        <v>1</v>
      </c>
      <c r="AA37" s="25">
        <v>1</v>
      </c>
      <c r="AC37" s="154" t="str">
        <v>A</v>
      </c>
      <c r="AD37" s="133">
        <v>47</v>
      </c>
      <c r="AE37" s="133">
        <v>13</v>
      </c>
      <c r="AF37" s="133">
        <v>41</v>
      </c>
      <c r="AG37" s="133">
        <v>14</v>
      </c>
      <c r="AH37" s="133">
        <v>21</v>
      </c>
      <c r="AI37" s="5"/>
      <c r="AJ37" s="154" t="str">
        <v>A</v>
      </c>
      <c r="AK37" s="133">
        <v>47</v>
      </c>
      <c r="AL37" s="133">
        <v>13</v>
      </c>
      <c r="AM37" s="133">
        <v>41</v>
      </c>
      <c r="AN37" s="133">
        <v>14</v>
      </c>
      <c r="AO37" s="133">
        <v>21</v>
      </c>
    </row>
    <row r="38" spans="10:41" ht="16.5" customHeight="1" x14ac:dyDescent="0.3">
      <c r="J38" s="25">
        <v>34</v>
      </c>
      <c r="K38" s="16" t="s">
        <v>125</v>
      </c>
      <c r="L38" s="16" t="s">
        <v>89</v>
      </c>
      <c r="M38" s="16" t="s">
        <v>19</v>
      </c>
      <c r="N38" s="16" t="s">
        <v>35</v>
      </c>
      <c r="O38" s="16" t="s">
        <v>22</v>
      </c>
      <c r="Q38" s="9">
        <v>6</v>
      </c>
      <c r="R38" s="9">
        <v>12</v>
      </c>
      <c r="S38" s="9">
        <v>5</v>
      </c>
      <c r="T38" s="9">
        <v>8</v>
      </c>
      <c r="U38" s="9">
        <v>3</v>
      </c>
      <c r="W38" s="25" cm="1">
        <f t="array" ref="W38">_xlfn.LET(_xlpm.x, K38:K40, IF(SUM((_xlpm.x="C1")*1)=1, 1, 0))</f>
        <v>0</v>
      </c>
      <c r="X38" s="25" cm="1">
        <f t="array" ref="X38">_xlfn.LET(_xlpm.x, L38:L40, IF(SUM((_xlpm.x="C1")*1)=1, 1, 0))</f>
        <v>0</v>
      </c>
      <c r="Y38" s="25" cm="1">
        <f t="array" ref="Y38">_xlfn.LET(_xlpm.x, M38:M40, IF(SUM((_xlpm.x="C1")*1)=1, 1, 0))</f>
        <v>0</v>
      </c>
      <c r="Z38" s="25">
        <v>1</v>
      </c>
      <c r="AA38" s="25">
        <v>1</v>
      </c>
      <c r="AC38" s="154" t="str">
        <v>K</v>
      </c>
      <c r="AD38" s="133">
        <v>47</v>
      </c>
      <c r="AE38" s="133">
        <v>13</v>
      </c>
      <c r="AF38" s="133">
        <v>41</v>
      </c>
      <c r="AG38" s="133">
        <v>14</v>
      </c>
      <c r="AH38" s="133">
        <v>21</v>
      </c>
      <c r="AI38" s="5"/>
      <c r="AJ38" s="154" t="str">
        <v>K</v>
      </c>
      <c r="AK38" s="133">
        <v>47</v>
      </c>
      <c r="AL38" s="133">
        <v>13</v>
      </c>
      <c r="AM38" s="133">
        <v>41</v>
      </c>
      <c r="AN38" s="133">
        <v>14</v>
      </c>
      <c r="AO38" s="133">
        <v>21</v>
      </c>
    </row>
    <row r="39" spans="10:41" ht="16.5" customHeight="1" x14ac:dyDescent="0.3">
      <c r="J39" s="9">
        <v>35</v>
      </c>
      <c r="K39" s="16" t="s">
        <v>125</v>
      </c>
      <c r="L39" s="16" t="s">
        <v>37</v>
      </c>
      <c r="M39" s="16" t="s">
        <v>125</v>
      </c>
      <c r="N39" s="16" t="s">
        <v>21</v>
      </c>
      <c r="O39" s="16" t="s">
        <v>36</v>
      </c>
      <c r="Q39" s="9">
        <v>6</v>
      </c>
      <c r="R39" s="9">
        <v>7</v>
      </c>
      <c r="S39" s="9">
        <v>6</v>
      </c>
      <c r="T39" s="9">
        <v>2</v>
      </c>
      <c r="U39" s="9">
        <v>10</v>
      </c>
      <c r="W39" s="25" cm="1">
        <f t="array" ref="W39">_xlfn.LET(_xlpm.x, K39:K41, IF(SUM((_xlpm.x="C1")*1)=1, 1, 0))</f>
        <v>0</v>
      </c>
      <c r="X39" s="25" cm="1">
        <f t="array" ref="X39">_xlfn.LET(_xlpm.x, L39:L41, IF(SUM((_xlpm.x="C1")*1)=1, 1, 0))</f>
        <v>0</v>
      </c>
      <c r="Y39" s="25" cm="1">
        <f t="array" ref="Y39">_xlfn.LET(_xlpm.x, M39:M41, IF(SUM((_xlpm.x="C1")*1)=1, 1, 0))</f>
        <v>0</v>
      </c>
      <c r="Z39" s="25">
        <v>1</v>
      </c>
      <c r="AA39" s="25">
        <v>1</v>
      </c>
      <c r="AC39" s="154" t="str">
        <v>Q</v>
      </c>
      <c r="AD39" s="133">
        <v>4</v>
      </c>
      <c r="AE39" s="133">
        <v>17</v>
      </c>
      <c r="AF39" s="133">
        <v>3</v>
      </c>
      <c r="AG39" s="133">
        <v>21</v>
      </c>
      <c r="AH39" s="133">
        <v>21</v>
      </c>
      <c r="AI39" s="5"/>
      <c r="AJ39" s="154" t="str">
        <v>Q</v>
      </c>
      <c r="AK39" s="133">
        <v>4</v>
      </c>
      <c r="AL39" s="133">
        <v>17</v>
      </c>
      <c r="AM39" s="133">
        <v>3</v>
      </c>
      <c r="AN39" s="133">
        <v>21</v>
      </c>
      <c r="AO39" s="133">
        <v>21</v>
      </c>
    </row>
    <row r="40" spans="10:41" ht="16.5" customHeight="1" x14ac:dyDescent="0.3">
      <c r="J40" s="25">
        <v>36</v>
      </c>
      <c r="K40" s="16" t="s">
        <v>37</v>
      </c>
      <c r="L40" s="16" t="s">
        <v>92</v>
      </c>
      <c r="M40" s="16" t="s">
        <v>35</v>
      </c>
      <c r="N40" s="16" t="s">
        <v>91</v>
      </c>
      <c r="O40" s="16" t="s">
        <v>21</v>
      </c>
      <c r="Q40" s="9">
        <v>7</v>
      </c>
      <c r="R40" s="9">
        <v>16</v>
      </c>
      <c r="S40" s="9">
        <v>8</v>
      </c>
      <c r="T40" s="9">
        <v>14</v>
      </c>
      <c r="U40" s="9">
        <v>2</v>
      </c>
      <c r="W40" s="25" cm="1">
        <f t="array" ref="W40">_xlfn.LET(_xlpm.x, K40:K42, IF(SUM((_xlpm.x="C1")*1)=1, 1, 0))</f>
        <v>0</v>
      </c>
      <c r="X40" s="25" cm="1">
        <f t="array" ref="X40">_xlfn.LET(_xlpm.x, L40:L42, IF(SUM((_xlpm.x="C1")*1)=1, 1, 0))</f>
        <v>0</v>
      </c>
      <c r="Y40" s="25" cm="1">
        <f t="array" ref="Y40">_xlfn.LET(_xlpm.x, M40:M42, IF(SUM((_xlpm.x="C1")*1)=1, 1, 0))</f>
        <v>0</v>
      </c>
      <c r="Z40" s="25">
        <v>1</v>
      </c>
      <c r="AA40" s="25">
        <v>1</v>
      </c>
      <c r="AC40" s="154" t="str">
        <v>J</v>
      </c>
      <c r="AD40" s="133">
        <v>4</v>
      </c>
      <c r="AE40" s="133">
        <v>17</v>
      </c>
      <c r="AF40" s="133">
        <v>3</v>
      </c>
      <c r="AG40" s="133">
        <v>21</v>
      </c>
      <c r="AH40" s="133">
        <v>21</v>
      </c>
      <c r="AI40" s="5"/>
      <c r="AJ40" s="154" t="str">
        <v>J</v>
      </c>
      <c r="AK40" s="133">
        <v>4</v>
      </c>
      <c r="AL40" s="133">
        <v>17</v>
      </c>
      <c r="AM40" s="133">
        <v>3</v>
      </c>
      <c r="AN40" s="133">
        <v>21</v>
      </c>
      <c r="AO40" s="133">
        <v>21</v>
      </c>
    </row>
    <row r="41" spans="10:41" ht="16.5" customHeight="1" x14ac:dyDescent="0.3">
      <c r="J41" s="9">
        <v>37</v>
      </c>
      <c r="K41" s="16" t="s">
        <v>19</v>
      </c>
      <c r="L41" s="16" t="s">
        <v>92</v>
      </c>
      <c r="M41" s="16" t="s">
        <v>37</v>
      </c>
      <c r="N41" s="16" t="s">
        <v>20</v>
      </c>
      <c r="O41" s="16" t="s">
        <v>34</v>
      </c>
      <c r="Q41" s="9">
        <v>5</v>
      </c>
      <c r="R41" s="9">
        <v>16</v>
      </c>
      <c r="S41" s="9">
        <v>7</v>
      </c>
      <c r="T41" s="9">
        <v>1</v>
      </c>
      <c r="U41" s="9">
        <v>9</v>
      </c>
      <c r="W41" s="25" cm="1">
        <f t="array" ref="W41">_xlfn.LET(_xlpm.x, K41:K43, IF(SUM((_xlpm.x="C1")*1)=1, 1, 0))</f>
        <v>0</v>
      </c>
      <c r="X41" s="25" cm="1">
        <f t="array" ref="X41">_xlfn.LET(_xlpm.x, L41:L43, IF(SUM((_xlpm.x="C1")*1)=1, 1, 0))</f>
        <v>0</v>
      </c>
      <c r="Y41" s="25" cm="1">
        <f t="array" ref="Y41">_xlfn.LET(_xlpm.x, M41:M43, IF(SUM((_xlpm.x="C1")*1)=1, 1, 0))</f>
        <v>0</v>
      </c>
      <c r="Z41" s="25">
        <v>1</v>
      </c>
      <c r="AA41" s="25">
        <v>1</v>
      </c>
      <c r="AC41" s="138" t="str">
        <v>G1</v>
      </c>
      <c r="AD41" s="99">
        <v>0</v>
      </c>
      <c r="AE41" s="99">
        <v>8</v>
      </c>
      <c r="AF41" s="99">
        <v>1</v>
      </c>
      <c r="AG41" s="99">
        <v>5</v>
      </c>
      <c r="AH41" s="99">
        <v>0</v>
      </c>
      <c r="AI41" s="5"/>
      <c r="AJ41" s="138" t="str">
        <v>G1</v>
      </c>
      <c r="AK41" s="99">
        <v>0</v>
      </c>
      <c r="AL41" s="99">
        <v>8</v>
      </c>
      <c r="AM41" s="99">
        <v>1</v>
      </c>
      <c r="AN41" s="99">
        <v>5</v>
      </c>
      <c r="AO41" s="99">
        <v>0</v>
      </c>
    </row>
    <row r="42" spans="10:41" ht="16.5" customHeight="1" x14ac:dyDescent="0.3">
      <c r="J42" s="25">
        <v>38</v>
      </c>
      <c r="K42" s="16" t="s">
        <v>19</v>
      </c>
      <c r="L42" s="16" t="s">
        <v>36</v>
      </c>
      <c r="M42" s="16" t="s">
        <v>36</v>
      </c>
      <c r="N42" s="16" t="s">
        <v>125</v>
      </c>
      <c r="O42" s="16" t="s">
        <v>19</v>
      </c>
      <c r="Q42" s="9">
        <v>5</v>
      </c>
      <c r="R42" s="9">
        <v>10</v>
      </c>
      <c r="S42" s="9">
        <v>10</v>
      </c>
      <c r="T42" s="9">
        <v>6</v>
      </c>
      <c r="U42" s="9">
        <v>5</v>
      </c>
      <c r="W42" s="25" cm="1">
        <f t="array" ref="W42">_xlfn.LET(_xlpm.x, K42:K44, IF(SUM((_xlpm.x="C1")*1)=1, 1, 0))</f>
        <v>0</v>
      </c>
      <c r="X42" s="25" cm="1">
        <f t="array" ref="X42">_xlfn.LET(_xlpm.x, L42:L44, IF(SUM((_xlpm.x="C1")*1)=1, 1, 0))</f>
        <v>0</v>
      </c>
      <c r="Y42" s="25" cm="1">
        <f t="array" ref="Y42">_xlfn.LET(_xlpm.x, M42:M44, IF(SUM((_xlpm.x="C1")*1)=1, 1, 0))</f>
        <v>0</v>
      </c>
      <c r="Z42" s="25">
        <v>1</v>
      </c>
      <c r="AA42" s="25">
        <v>1</v>
      </c>
      <c r="AC42" s="138" t="str">
        <v>G2</v>
      </c>
      <c r="AD42" s="99">
        <v>0</v>
      </c>
      <c r="AE42" s="99">
        <v>8</v>
      </c>
      <c r="AF42" s="99">
        <v>1</v>
      </c>
      <c r="AG42" s="99">
        <v>5</v>
      </c>
      <c r="AH42" s="99">
        <v>0</v>
      </c>
      <c r="AI42" s="5"/>
      <c r="AJ42" s="138" t="str">
        <v>G2</v>
      </c>
      <c r="AK42" s="99">
        <v>0</v>
      </c>
      <c r="AL42" s="99">
        <v>8</v>
      </c>
      <c r="AM42" s="99">
        <v>1</v>
      </c>
      <c r="AN42" s="99">
        <v>5</v>
      </c>
      <c r="AO42" s="99">
        <v>0</v>
      </c>
    </row>
    <row r="43" spans="10:41" ht="16.5" customHeight="1" x14ac:dyDescent="0.3">
      <c r="J43" s="9">
        <v>39</v>
      </c>
      <c r="K43" s="16" t="s">
        <v>19</v>
      </c>
      <c r="L43" s="16" t="s">
        <v>19</v>
      </c>
      <c r="M43" s="16" t="s">
        <v>37</v>
      </c>
      <c r="N43" s="16" t="s">
        <v>125</v>
      </c>
      <c r="O43" s="16" t="s">
        <v>19</v>
      </c>
      <c r="Q43" s="9">
        <v>5</v>
      </c>
      <c r="R43" s="9">
        <v>5</v>
      </c>
      <c r="S43" s="9">
        <v>7</v>
      </c>
      <c r="T43" s="9">
        <v>6</v>
      </c>
      <c r="U43" s="9">
        <v>5</v>
      </c>
      <c r="W43" s="25" cm="1">
        <f t="array" ref="W43">_xlfn.LET(_xlpm.x, K43:K45, IF(SUM((_xlpm.x="C1")*1)=1, 1, 0))</f>
        <v>0</v>
      </c>
      <c r="X43" s="25" cm="1">
        <f t="array" ref="X43">_xlfn.LET(_xlpm.x, L43:L45, IF(SUM((_xlpm.x="C1")*1)=1, 1, 0))</f>
        <v>0</v>
      </c>
      <c r="Y43" s="25" cm="1">
        <f t="array" ref="Y43">_xlfn.LET(_xlpm.x, M43:M45, IF(SUM((_xlpm.x="C1")*1)=1, 1, 0))</f>
        <v>0</v>
      </c>
      <c r="Z43" s="25">
        <v>1</v>
      </c>
      <c r="AA43" s="25">
        <v>1</v>
      </c>
      <c r="AC43" s="138" t="str">
        <v>G3</v>
      </c>
      <c r="AD43" s="99">
        <v>0</v>
      </c>
      <c r="AE43" s="99">
        <v>8</v>
      </c>
      <c r="AF43" s="99">
        <v>1</v>
      </c>
      <c r="AG43" s="99">
        <v>5</v>
      </c>
      <c r="AH43" s="99">
        <v>0</v>
      </c>
      <c r="AI43" s="5"/>
      <c r="AJ43" s="138" t="str">
        <v>G3</v>
      </c>
      <c r="AK43" s="99">
        <v>0</v>
      </c>
      <c r="AL43" s="99">
        <v>8</v>
      </c>
      <c r="AM43" s="99">
        <v>1</v>
      </c>
      <c r="AN43" s="99">
        <v>5</v>
      </c>
      <c r="AO43" s="99">
        <v>0</v>
      </c>
    </row>
    <row r="44" spans="10:41" ht="16.5" customHeight="1" x14ac:dyDescent="0.3">
      <c r="J44" s="25">
        <v>40</v>
      </c>
      <c r="K44" s="16" t="s">
        <v>35</v>
      </c>
      <c r="L44" s="16" t="s">
        <v>22</v>
      </c>
      <c r="M44" s="16" t="s">
        <v>19</v>
      </c>
      <c r="N44" s="16" t="s">
        <v>112</v>
      </c>
      <c r="O44" s="16" t="s">
        <v>37</v>
      </c>
      <c r="Q44" s="9">
        <v>8</v>
      </c>
      <c r="R44" s="9">
        <v>3</v>
      </c>
      <c r="S44" s="9">
        <v>5</v>
      </c>
      <c r="T44" s="9">
        <v>17</v>
      </c>
      <c r="U44" s="9">
        <v>7</v>
      </c>
      <c r="W44" s="25" cm="1">
        <f t="array" ref="W44">_xlfn.LET(_xlpm.x, K44:K46, IF(SUM((_xlpm.x="C1")*1)=1, 1, 0))</f>
        <v>0</v>
      </c>
      <c r="X44" s="25" cm="1">
        <f t="array" ref="X44">_xlfn.LET(_xlpm.x, L44:L46, IF(SUM((_xlpm.x="C1")*1)=1, 1, 0))</f>
        <v>0</v>
      </c>
      <c r="Y44" s="25" cm="1">
        <f t="array" ref="Y44">_xlfn.LET(_xlpm.x, M44:M46, IF(SUM((_xlpm.x="C1")*1)=1, 1, 0))</f>
        <v>0</v>
      </c>
      <c r="Z44" s="25">
        <v>1</v>
      </c>
      <c r="AA44" s="25">
        <v>1</v>
      </c>
      <c r="AC44" s="138" t="str">
        <v>G4</v>
      </c>
      <c r="AD44" s="99">
        <v>0</v>
      </c>
      <c r="AE44" s="99">
        <v>5</v>
      </c>
      <c r="AF44" s="99">
        <v>4</v>
      </c>
      <c r="AG44" s="99">
        <v>4</v>
      </c>
      <c r="AH44" s="99">
        <v>0</v>
      </c>
      <c r="AI44" s="5"/>
      <c r="AJ44" s="138" t="str">
        <v>G4</v>
      </c>
      <c r="AK44" s="99">
        <v>0</v>
      </c>
      <c r="AL44" s="99">
        <v>5</v>
      </c>
      <c r="AM44" s="99">
        <v>4</v>
      </c>
      <c r="AN44" s="99">
        <v>4</v>
      </c>
      <c r="AO44" s="99">
        <v>0</v>
      </c>
    </row>
    <row r="45" spans="10:41" ht="16.5" customHeight="1" x14ac:dyDescent="0.3">
      <c r="J45" s="9">
        <v>41</v>
      </c>
      <c r="K45" s="16" t="s">
        <v>125</v>
      </c>
      <c r="L45" s="16" t="s">
        <v>36</v>
      </c>
      <c r="M45" s="16" t="s">
        <v>125</v>
      </c>
      <c r="N45" s="16" t="s">
        <v>21</v>
      </c>
      <c r="O45" s="16" t="s">
        <v>19</v>
      </c>
      <c r="Q45" s="9">
        <v>6</v>
      </c>
      <c r="R45" s="9">
        <v>10</v>
      </c>
      <c r="S45" s="9">
        <v>6</v>
      </c>
      <c r="T45" s="9">
        <v>2</v>
      </c>
      <c r="U45" s="9">
        <v>5</v>
      </c>
      <c r="W45" s="25" cm="1">
        <f t="array" ref="W45">_xlfn.LET(_xlpm.x, K45:K47, IF(SUM((_xlpm.x="C1")*1)=1, 1, 0))</f>
        <v>0</v>
      </c>
      <c r="X45" s="25" cm="1">
        <f t="array" ref="X45">_xlfn.LET(_xlpm.x, L45:L47, IF(SUM((_xlpm.x="C1")*1)=1, 1, 0))</f>
        <v>0</v>
      </c>
      <c r="Y45" s="25" cm="1">
        <f t="array" ref="Y45">_xlfn.LET(_xlpm.x, M45:M47, IF(SUM((_xlpm.x="C1")*1)=1, 1, 0))</f>
        <v>0</v>
      </c>
      <c r="Z45" s="25">
        <v>1</v>
      </c>
      <c r="AA45" s="25">
        <v>1</v>
      </c>
      <c r="AC45" s="138" t="str">
        <v>G5</v>
      </c>
      <c r="AD45" s="99">
        <v>0</v>
      </c>
      <c r="AE45" s="99">
        <v>5</v>
      </c>
      <c r="AF45" s="99">
        <v>4</v>
      </c>
      <c r="AG45" s="99">
        <v>4</v>
      </c>
      <c r="AH45" s="99">
        <v>0</v>
      </c>
      <c r="AI45" s="5"/>
      <c r="AJ45" s="138" t="str">
        <v>G5</v>
      </c>
      <c r="AK45" s="99">
        <v>0</v>
      </c>
      <c r="AL45" s="99">
        <v>5</v>
      </c>
      <c r="AM45" s="99">
        <v>4</v>
      </c>
      <c r="AN45" s="99">
        <v>4</v>
      </c>
      <c r="AO45" s="99">
        <v>0</v>
      </c>
    </row>
    <row r="46" spans="10:41" ht="16.5" customHeight="1" x14ac:dyDescent="0.3">
      <c r="J46" s="25">
        <v>42</v>
      </c>
      <c r="K46" s="16" t="s">
        <v>125</v>
      </c>
      <c r="L46" s="16" t="s">
        <v>29</v>
      </c>
      <c r="M46" s="16" t="s">
        <v>37</v>
      </c>
      <c r="N46" s="16" t="s">
        <v>22</v>
      </c>
      <c r="O46" s="16" t="s">
        <v>36</v>
      </c>
      <c r="Q46" s="9">
        <v>6</v>
      </c>
      <c r="R46" s="9">
        <v>5</v>
      </c>
      <c r="S46" s="9">
        <v>7</v>
      </c>
      <c r="T46" s="9">
        <v>3</v>
      </c>
      <c r="U46" s="9">
        <v>10</v>
      </c>
      <c r="W46" s="25" cm="1">
        <f t="array" ref="W46">_xlfn.LET(_xlpm.x, K46:K48, IF(SUM((_xlpm.x="C1")*1)=1, 1, 0))</f>
        <v>0</v>
      </c>
      <c r="X46" s="25" cm="1">
        <f t="array" ref="X46">_xlfn.LET(_xlpm.x, L46:L48, IF(SUM((_xlpm.x="C1")*1)=1, 1, 0))</f>
        <v>1</v>
      </c>
      <c r="Y46" s="25" cm="1">
        <f t="array" ref="Y46">_xlfn.LET(_xlpm.x, M46:M48, IF(SUM((_xlpm.x="C1")*1)=1, 1, 0))</f>
        <v>0</v>
      </c>
      <c r="Z46" s="25">
        <v>1</v>
      </c>
      <c r="AA46" s="25">
        <v>1</v>
      </c>
      <c r="AC46" s="138" t="str">
        <v>GA</v>
      </c>
      <c r="AD46" s="99">
        <v>0</v>
      </c>
      <c r="AE46" s="99">
        <v>5</v>
      </c>
      <c r="AF46" s="99">
        <v>4</v>
      </c>
      <c r="AG46" s="99">
        <v>4</v>
      </c>
      <c r="AH46" s="99">
        <v>0</v>
      </c>
      <c r="AI46" s="5"/>
      <c r="AJ46" s="138" t="str">
        <v>GA</v>
      </c>
      <c r="AK46" s="99">
        <v>0</v>
      </c>
      <c r="AL46" s="99">
        <v>5</v>
      </c>
      <c r="AM46" s="99">
        <v>4</v>
      </c>
      <c r="AN46" s="99">
        <v>4</v>
      </c>
      <c r="AO46" s="99">
        <v>0</v>
      </c>
    </row>
    <row r="47" spans="10:41" ht="16.5" customHeight="1" x14ac:dyDescent="0.3">
      <c r="J47" s="9">
        <v>43</v>
      </c>
      <c r="K47" s="16" t="s">
        <v>125</v>
      </c>
      <c r="L47" s="16" t="s">
        <v>95</v>
      </c>
      <c r="M47" s="16" t="s">
        <v>35</v>
      </c>
      <c r="N47" s="16" t="s">
        <v>22</v>
      </c>
      <c r="O47" s="16" t="s">
        <v>20</v>
      </c>
      <c r="Q47" s="9">
        <v>6</v>
      </c>
      <c r="R47" s="9">
        <v>18</v>
      </c>
      <c r="S47" s="9">
        <v>8</v>
      </c>
      <c r="T47" s="9">
        <v>3</v>
      </c>
      <c r="U47" s="9">
        <v>1</v>
      </c>
      <c r="W47" s="25" cm="1">
        <f t="array" ref="W47">_xlfn.LET(_xlpm.x, K47:K49, IF(SUM((_xlpm.x="C1")*1)=1, 1, 0))</f>
        <v>0</v>
      </c>
      <c r="X47" s="25" cm="1">
        <f t="array" ref="X47">_xlfn.LET(_xlpm.x, L47:L49, IF(SUM((_xlpm.x="C1")*1)=1, 1, 0))</f>
        <v>1</v>
      </c>
      <c r="Y47" s="25" cm="1">
        <f t="array" ref="Y47">_xlfn.LET(_xlpm.x, M47:M49, IF(SUM((_xlpm.x="C1")*1)=1, 1, 0))</f>
        <v>0</v>
      </c>
      <c r="Z47" s="25">
        <v>1</v>
      </c>
      <c r="AA47" s="25">
        <v>1</v>
      </c>
      <c r="AC47" s="138" t="str">
        <v>GK</v>
      </c>
      <c r="AD47" s="99">
        <v>0</v>
      </c>
      <c r="AE47" s="99">
        <v>5</v>
      </c>
      <c r="AF47" s="99">
        <v>4</v>
      </c>
      <c r="AG47" s="99">
        <v>4</v>
      </c>
      <c r="AH47" s="99">
        <v>0</v>
      </c>
      <c r="AI47" s="5"/>
      <c r="AJ47" s="138" t="str">
        <v>GK</v>
      </c>
      <c r="AK47" s="99">
        <v>0</v>
      </c>
      <c r="AL47" s="99">
        <v>5</v>
      </c>
      <c r="AM47" s="99">
        <v>4</v>
      </c>
      <c r="AN47" s="99">
        <v>4</v>
      </c>
      <c r="AO47" s="99">
        <v>0</v>
      </c>
    </row>
    <row r="48" spans="10:41" ht="16.5" customHeight="1" x14ac:dyDescent="0.3">
      <c r="J48" s="25">
        <v>44</v>
      </c>
      <c r="K48" s="16" t="s">
        <v>19</v>
      </c>
      <c r="L48" s="16" t="s">
        <v>20</v>
      </c>
      <c r="M48" s="16" t="s">
        <v>37</v>
      </c>
      <c r="N48" s="16" t="s">
        <v>21</v>
      </c>
      <c r="O48" s="16" t="s">
        <v>19</v>
      </c>
      <c r="Q48" s="9">
        <v>5</v>
      </c>
      <c r="R48" s="9">
        <v>1</v>
      </c>
      <c r="S48" s="9">
        <v>7</v>
      </c>
      <c r="T48" s="9">
        <v>2</v>
      </c>
      <c r="U48" s="9">
        <v>5</v>
      </c>
      <c r="W48" s="25" cm="1">
        <f t="array" ref="W48">_xlfn.LET(_xlpm.x, K48:K50, IF(SUM((_xlpm.x="C1")*1)=1, 1, 0))</f>
        <v>0</v>
      </c>
      <c r="X48" s="25" cm="1">
        <f t="array" ref="X48">_xlfn.LET(_xlpm.x, L48:L50, IF(SUM((_xlpm.x="C1")*1)=1, 1, 0))</f>
        <v>1</v>
      </c>
      <c r="Y48" s="25" cm="1">
        <f t="array" ref="Y48">_xlfn.LET(_xlpm.x, M48:M50, IF(SUM((_xlpm.x="C1")*1)=1, 1, 0))</f>
        <v>0</v>
      </c>
      <c r="Z48" s="25">
        <v>1</v>
      </c>
      <c r="AA48" s="25">
        <v>1</v>
      </c>
      <c r="AC48" s="138" t="str">
        <v>GQ</v>
      </c>
      <c r="AD48" s="99">
        <v>0</v>
      </c>
      <c r="AE48" s="99">
        <v>9</v>
      </c>
      <c r="AF48" s="99">
        <v>1</v>
      </c>
      <c r="AG48" s="99">
        <v>5</v>
      </c>
      <c r="AH48" s="99">
        <v>0</v>
      </c>
      <c r="AI48" s="5"/>
      <c r="AJ48" s="138" t="str">
        <v>GQ</v>
      </c>
      <c r="AK48" s="99">
        <v>0</v>
      </c>
      <c r="AL48" s="99">
        <v>9</v>
      </c>
      <c r="AM48" s="99">
        <v>1</v>
      </c>
      <c r="AN48" s="99">
        <v>5</v>
      </c>
      <c r="AO48" s="99">
        <v>0</v>
      </c>
    </row>
    <row r="49" spans="10:41" ht="16.5" customHeight="1" x14ac:dyDescent="0.3">
      <c r="J49" s="9">
        <v>45</v>
      </c>
      <c r="K49" s="16" t="s">
        <v>35</v>
      </c>
      <c r="L49" s="16" t="s">
        <v>18</v>
      </c>
      <c r="M49" s="16" t="s">
        <v>125</v>
      </c>
      <c r="N49" s="16" t="s">
        <v>36</v>
      </c>
      <c r="O49" s="16" t="s">
        <v>18</v>
      </c>
      <c r="Q49" s="9">
        <v>8</v>
      </c>
      <c r="R49" s="9">
        <v>4</v>
      </c>
      <c r="S49" s="9">
        <v>6</v>
      </c>
      <c r="T49" s="9">
        <v>10</v>
      </c>
      <c r="U49" s="9">
        <v>4</v>
      </c>
      <c r="W49" s="25" cm="1">
        <f t="array" ref="W49">_xlfn.LET(_xlpm.x, K49:K51, IF(SUM((_xlpm.x="C1")*1)=1, 1, 0))</f>
        <v>1</v>
      </c>
      <c r="X49" s="25" cm="1">
        <f t="array" ref="X49">_xlfn.LET(_xlpm.x, L49:L51, IF(SUM((_xlpm.x="C1")*1)=1, 1, 0))</f>
        <v>0</v>
      </c>
      <c r="Y49" s="25" cm="1">
        <f t="array" ref="Y49">_xlfn.LET(_xlpm.x, M49:M51, IF(SUM((_xlpm.x="C1")*1)=1, 1, 0))</f>
        <v>0</v>
      </c>
      <c r="Z49" s="25">
        <v>1</v>
      </c>
      <c r="AA49" s="25">
        <v>1</v>
      </c>
      <c r="AC49" s="138" t="str">
        <v>GJ</v>
      </c>
      <c r="AD49" s="99">
        <v>0</v>
      </c>
      <c r="AE49" s="99">
        <v>9</v>
      </c>
      <c r="AF49" s="99">
        <v>1</v>
      </c>
      <c r="AG49" s="99">
        <v>5</v>
      </c>
      <c r="AH49" s="99">
        <v>0</v>
      </c>
      <c r="AI49" s="5"/>
      <c r="AJ49" s="138" t="str">
        <v>GJ</v>
      </c>
      <c r="AK49" s="99">
        <v>0</v>
      </c>
      <c r="AL49" s="99">
        <v>9</v>
      </c>
      <c r="AM49" s="99">
        <v>1</v>
      </c>
      <c r="AN49" s="99">
        <v>5</v>
      </c>
      <c r="AO49" s="99">
        <v>0</v>
      </c>
    </row>
    <row r="50" spans="10:41" ht="16.5" customHeight="1" x14ac:dyDescent="0.3">
      <c r="J50" s="25">
        <v>46</v>
      </c>
      <c r="K50" s="16" t="s">
        <v>37</v>
      </c>
      <c r="L50" s="16" t="s">
        <v>21</v>
      </c>
      <c r="M50" s="16" t="s">
        <v>37</v>
      </c>
      <c r="N50" s="16" t="s">
        <v>22</v>
      </c>
      <c r="O50" s="16" t="s">
        <v>36</v>
      </c>
      <c r="Q50" s="9">
        <v>7</v>
      </c>
      <c r="R50" s="9">
        <v>2</v>
      </c>
      <c r="S50" s="9">
        <v>7</v>
      </c>
      <c r="T50" s="9">
        <v>3</v>
      </c>
      <c r="U50" s="9">
        <v>10</v>
      </c>
      <c r="W50" s="25" cm="1">
        <f t="array" ref="W50">_xlfn.LET(_xlpm.x, K50:K52, IF(SUM((_xlpm.x="C1")*1)=1, 1, 0))</f>
        <v>1</v>
      </c>
      <c r="X50" s="25" cm="1">
        <f t="array" ref="X50">_xlfn.LET(_xlpm.x, L50:L52, IF(SUM((_xlpm.x="C1")*1)=1, 1, 0))</f>
        <v>0</v>
      </c>
      <c r="Y50" s="25" cm="1">
        <f t="array" ref="Y50">_xlfn.LET(_xlpm.x, M50:M52, IF(SUM((_xlpm.x="C1")*1)=1, 1, 0))</f>
        <v>0</v>
      </c>
      <c r="Z50" s="25">
        <v>1</v>
      </c>
      <c r="AA50" s="25">
        <v>1</v>
      </c>
      <c r="AD50" s="113">
        <f>SUM(AD30:AD49)</f>
        <v>197</v>
      </c>
      <c r="AE50" s="113">
        <f>SUM(AE30:AE49)</f>
        <v>206</v>
      </c>
      <c r="AF50" s="113">
        <f>SUM(AF30:AF49)</f>
        <v>206</v>
      </c>
      <c r="AG50" s="113">
        <f>SUM(AG30:AG49)</f>
        <v>206</v>
      </c>
      <c r="AH50" s="113">
        <f>SUM(AH30:AH49)</f>
        <v>197</v>
      </c>
      <c r="AI50" s="5"/>
      <c r="AK50" s="113">
        <f>SUM(AK30:AK49)</f>
        <v>197</v>
      </c>
      <c r="AL50" s="113">
        <f>SUM(AL30:AL49)</f>
        <v>206</v>
      </c>
      <c r="AM50" s="113">
        <f>SUM(AM30:AM49)</f>
        <v>206</v>
      </c>
      <c r="AN50" s="113">
        <f>SUM(AN30:AN49)</f>
        <v>206</v>
      </c>
      <c r="AO50" s="113">
        <f>SUM(AO30:AO49)</f>
        <v>197</v>
      </c>
    </row>
    <row r="51" spans="10:41" ht="16.5" customHeight="1" x14ac:dyDescent="0.3">
      <c r="J51" s="9">
        <v>47</v>
      </c>
      <c r="K51" s="16" t="s">
        <v>20</v>
      </c>
      <c r="L51" s="16" t="s">
        <v>21</v>
      </c>
      <c r="M51" s="16" t="s">
        <v>22</v>
      </c>
      <c r="N51" s="16" t="s">
        <v>21</v>
      </c>
      <c r="O51" s="16" t="s">
        <v>34</v>
      </c>
      <c r="Q51" s="9">
        <v>1</v>
      </c>
      <c r="R51" s="9">
        <v>2</v>
      </c>
      <c r="S51" s="9">
        <v>3</v>
      </c>
      <c r="T51" s="9">
        <v>2</v>
      </c>
      <c r="U51" s="9">
        <v>9</v>
      </c>
      <c r="W51" s="25" cm="1">
        <f t="array" ref="W51">_xlfn.LET(_xlpm.x, K51:K53, IF(SUM((_xlpm.x="C1")*1)=1, 1, 0))</f>
        <v>1</v>
      </c>
      <c r="X51" s="25" cm="1">
        <f t="array" ref="X51">_xlfn.LET(_xlpm.x, L51:L53, IF(SUM((_xlpm.x="C1")*1)=1, 1, 0))</f>
        <v>0</v>
      </c>
      <c r="Y51" s="25" cm="1">
        <f t="array" ref="Y51">_xlfn.LET(_xlpm.x, M51:M53, IF(SUM((_xlpm.x="C1")*1)=1, 1, 0))</f>
        <v>0</v>
      </c>
      <c r="Z51" s="25">
        <v>1</v>
      </c>
      <c r="AA51" s="25">
        <v>1</v>
      </c>
      <c r="AH51" s="5"/>
      <c r="AI51" s="5"/>
      <c r="AO51" s="5"/>
    </row>
    <row r="52" spans="10:41" ht="16.5" customHeight="1" x14ac:dyDescent="0.3">
      <c r="J52" s="25">
        <v>48</v>
      </c>
      <c r="K52" s="16" t="s">
        <v>35</v>
      </c>
      <c r="L52" s="16" t="s">
        <v>19</v>
      </c>
      <c r="M52" s="16" t="s">
        <v>37</v>
      </c>
      <c r="N52" s="16" t="s">
        <v>37</v>
      </c>
      <c r="O52" s="16" t="s">
        <v>21</v>
      </c>
      <c r="Q52" s="9">
        <v>8</v>
      </c>
      <c r="R52" s="9">
        <v>5</v>
      </c>
      <c r="S52" s="9">
        <v>7</v>
      </c>
      <c r="T52" s="9">
        <v>7</v>
      </c>
      <c r="U52" s="9">
        <v>2</v>
      </c>
      <c r="W52" s="25" cm="1">
        <f t="array" ref="W52">_xlfn.LET(_xlpm.x, K52:K54, IF(SUM((_xlpm.x="C1")*1)=1, 1, 0))</f>
        <v>0</v>
      </c>
      <c r="X52" s="25" cm="1">
        <f t="array" ref="X52">_xlfn.LET(_xlpm.x, L52:L54, IF(SUM((_xlpm.x="C1")*1)=1, 1, 0))</f>
        <v>0</v>
      </c>
      <c r="Y52" s="25" cm="1">
        <f t="array" ref="Y52">_xlfn.LET(_xlpm.x, M52:M54, IF(SUM((_xlpm.x="C1")*1)=1, 1, 0))</f>
        <v>0</v>
      </c>
      <c r="Z52" s="25">
        <v>1</v>
      </c>
      <c r="AA52" s="25">
        <v>1</v>
      </c>
      <c r="AC52" s="27" t="s">
        <v>130</v>
      </c>
      <c r="AH52" s="5"/>
      <c r="AI52" s="5"/>
      <c r="AJ52" s="27" t="s">
        <v>130</v>
      </c>
      <c r="AO52" s="5"/>
    </row>
    <row r="53" spans="10:41" ht="16.5" customHeight="1" x14ac:dyDescent="0.3">
      <c r="J53" s="9">
        <v>49</v>
      </c>
      <c r="K53" s="16" t="s">
        <v>37</v>
      </c>
      <c r="L53" s="16" t="s">
        <v>35</v>
      </c>
      <c r="M53" s="16" t="s">
        <v>37</v>
      </c>
      <c r="N53" s="16" t="s">
        <v>34</v>
      </c>
      <c r="O53" s="16" t="s">
        <v>37</v>
      </c>
      <c r="Q53" s="9">
        <v>7</v>
      </c>
      <c r="R53" s="9">
        <v>8</v>
      </c>
      <c r="S53" s="9">
        <v>7</v>
      </c>
      <c r="T53" s="9">
        <v>9</v>
      </c>
      <c r="U53" s="9">
        <v>7</v>
      </c>
      <c r="W53" s="25" cm="1">
        <f t="array" ref="W53">_xlfn.LET(_xlpm.x, K53:K55, IF(SUM((_xlpm.x="C1")*1)=1, 1, 0))</f>
        <v>0</v>
      </c>
      <c r="X53" s="25" cm="1">
        <f t="array" ref="X53">_xlfn.LET(_xlpm.x, L53:L55, IF(SUM((_xlpm.x="C1")*1)=1, 1, 0))</f>
        <v>0</v>
      </c>
      <c r="Y53" s="25" cm="1">
        <f t="array" ref="Y53">_xlfn.LET(_xlpm.x, M53:M55, IF(SUM((_xlpm.x="C1")*1)=1, 1, 0))</f>
        <v>0</v>
      </c>
      <c r="Z53" s="25">
        <v>1</v>
      </c>
      <c r="AA53" s="25">
        <v>1</v>
      </c>
      <c r="AC53" s="135" t="s">
        <v>42</v>
      </c>
      <c r="AD53" s="135" t="s">
        <v>13</v>
      </c>
      <c r="AE53" s="135" t="s">
        <v>14</v>
      </c>
      <c r="AF53" s="135" t="s">
        <v>15</v>
      </c>
      <c r="AG53" s="135" t="s">
        <v>16</v>
      </c>
      <c r="AH53" s="135" t="s">
        <v>17</v>
      </c>
      <c r="AI53" s="5"/>
      <c r="AJ53" s="135" t="s">
        <v>42</v>
      </c>
      <c r="AK53" s="135" t="s">
        <v>13</v>
      </c>
      <c r="AL53" s="135" t="s">
        <v>14</v>
      </c>
      <c r="AM53" s="135" t="s">
        <v>15</v>
      </c>
      <c r="AN53" s="135" t="s">
        <v>16</v>
      </c>
      <c r="AO53" s="135" t="s">
        <v>17</v>
      </c>
    </row>
    <row r="54" spans="10:41" ht="16.5" customHeight="1" x14ac:dyDescent="0.3">
      <c r="J54" s="25">
        <v>50</v>
      </c>
      <c r="K54" s="16" t="s">
        <v>37</v>
      </c>
      <c r="L54" s="16" t="s">
        <v>35</v>
      </c>
      <c r="M54" s="16" t="s">
        <v>37</v>
      </c>
      <c r="N54" s="16" t="s">
        <v>34</v>
      </c>
      <c r="O54" s="16" t="s">
        <v>18</v>
      </c>
      <c r="Q54" s="9">
        <v>7</v>
      </c>
      <c r="R54" s="9">
        <v>8</v>
      </c>
      <c r="S54" s="9">
        <v>7</v>
      </c>
      <c r="T54" s="9">
        <v>9</v>
      </c>
      <c r="U54" s="9">
        <v>4</v>
      </c>
      <c r="W54" s="25" cm="1">
        <f t="array" ref="W54">_xlfn.LET(_xlpm.x, K54:K56, IF(SUM((_xlpm.x="C1")*1)=1, 1, 0))</f>
        <v>0</v>
      </c>
      <c r="X54" s="25" cm="1">
        <f t="array" ref="X54">_xlfn.LET(_xlpm.x, L54:L56, IF(SUM((_xlpm.x="C1")*1)=1, 1, 0))</f>
        <v>0</v>
      </c>
      <c r="Y54" s="25" cm="1">
        <f t="array" ref="Y54">_xlfn.LET(_xlpm.x, M54:M56, IF(SUM((_xlpm.x="C1")*1)=1, 1, 0))</f>
        <v>0</v>
      </c>
      <c r="Z54" s="25">
        <v>1</v>
      </c>
      <c r="AA54" s="25">
        <v>1</v>
      </c>
      <c r="AC54" s="138" t="str" cm="1">
        <f t="array" ref="AC54:AC73">$A$4:$A$23</f>
        <v>WW</v>
      </c>
      <c r="AD54" s="139">
        <v>0</v>
      </c>
      <c r="AE54" s="139">
        <v>0</v>
      </c>
      <c r="AF54" s="139">
        <v>0</v>
      </c>
      <c r="AG54" s="139">
        <v>0</v>
      </c>
      <c r="AH54" s="139">
        <v>0</v>
      </c>
      <c r="AI54" s="5"/>
      <c r="AJ54" s="138" t="str" cm="1">
        <f t="array" ref="AJ54:AJ73">$A$4:$A$23</f>
        <v>WW</v>
      </c>
      <c r="AK54" s="139">
        <v>0</v>
      </c>
      <c r="AL54" s="139">
        <v>0</v>
      </c>
      <c r="AM54" s="139">
        <v>0</v>
      </c>
      <c r="AN54" s="139">
        <v>0</v>
      </c>
      <c r="AO54" s="139">
        <v>0</v>
      </c>
    </row>
    <row r="55" spans="10:41" ht="16.5" customHeight="1" x14ac:dyDescent="0.3">
      <c r="J55" s="9">
        <v>51</v>
      </c>
      <c r="K55" s="16" t="s">
        <v>125</v>
      </c>
      <c r="L55" s="16" t="s">
        <v>35</v>
      </c>
      <c r="M55" s="16" t="s">
        <v>35</v>
      </c>
      <c r="N55" s="16" t="s">
        <v>91</v>
      </c>
      <c r="O55" s="16" t="s">
        <v>21</v>
      </c>
      <c r="Q55" s="9">
        <v>6</v>
      </c>
      <c r="R55" s="9">
        <v>8</v>
      </c>
      <c r="S55" s="9">
        <v>8</v>
      </c>
      <c r="T55" s="9">
        <v>14</v>
      </c>
      <c r="U55" s="9">
        <v>2</v>
      </c>
      <c r="W55" s="25" cm="1">
        <f t="array" ref="W55">_xlfn.LET(_xlpm.x, K55:K57, IF(SUM((_xlpm.x="C1")*1)=1, 1, 0))</f>
        <v>0</v>
      </c>
      <c r="X55" s="25" cm="1">
        <f t="array" ref="X55">_xlfn.LET(_xlpm.x, L55:L57, IF(SUM((_xlpm.x="C1")*1)=1, 1, 0))</f>
        <v>0</v>
      </c>
      <c r="Y55" s="25" cm="1">
        <f t="array" ref="Y55">_xlfn.LET(_xlpm.x, M55:M57, IF(SUM((_xlpm.x="C1")*1)=1, 1, 0))</f>
        <v>0</v>
      </c>
      <c r="Z55" s="25">
        <v>1</v>
      </c>
      <c r="AA55" s="25">
        <v>1</v>
      </c>
      <c r="AC55" s="138" t="str">
        <v>C1</v>
      </c>
      <c r="AD55" s="138">
        <v>1</v>
      </c>
      <c r="AE55" s="138">
        <v>1</v>
      </c>
      <c r="AF55" s="138">
        <v>1</v>
      </c>
      <c r="AG55" s="138">
        <v>3</v>
      </c>
      <c r="AH55" s="138">
        <v>3</v>
      </c>
      <c r="AI55" s="5"/>
      <c r="AJ55" s="138" t="str">
        <v>C1</v>
      </c>
      <c r="AK55" s="138">
        <v>1</v>
      </c>
      <c r="AL55" s="138">
        <v>1</v>
      </c>
      <c r="AM55" s="138">
        <v>1</v>
      </c>
      <c r="AN55" s="138">
        <v>3</v>
      </c>
      <c r="AO55" s="138">
        <v>3</v>
      </c>
    </row>
    <row r="56" spans="10:41" ht="16.5" customHeight="1" x14ac:dyDescent="0.3">
      <c r="J56" s="25">
        <v>52</v>
      </c>
      <c r="K56" s="16" t="s">
        <v>35</v>
      </c>
      <c r="L56" s="16" t="s">
        <v>34</v>
      </c>
      <c r="M56" s="16" t="s">
        <v>37</v>
      </c>
      <c r="N56" s="16" t="s">
        <v>18</v>
      </c>
      <c r="O56" s="16" t="s">
        <v>19</v>
      </c>
      <c r="Q56" s="9">
        <v>8</v>
      </c>
      <c r="R56" s="9">
        <v>9</v>
      </c>
      <c r="S56" s="9">
        <v>7</v>
      </c>
      <c r="T56" s="9">
        <v>4</v>
      </c>
      <c r="U56" s="9">
        <v>5</v>
      </c>
      <c r="W56" s="25" cm="1">
        <f t="array" ref="W56">_xlfn.LET(_xlpm.x, K56:K58, IF(SUM((_xlpm.x="C1")*1)=1, 1, 0))</f>
        <v>0</v>
      </c>
      <c r="X56" s="25" cm="1">
        <f t="array" ref="X56">_xlfn.LET(_xlpm.x, L56:L58, IF(SUM((_xlpm.x="C1")*1)=1, 1, 0))</f>
        <v>0</v>
      </c>
      <c r="Y56" s="25" cm="1">
        <f t="array" ref="Y56">_xlfn.LET(_xlpm.x, M56:M58, IF(SUM((_xlpm.x="C1")*1)=1, 1, 0))</f>
        <v>0</v>
      </c>
      <c r="Z56" s="25">
        <v>1</v>
      </c>
      <c r="AA56" s="25">
        <v>1</v>
      </c>
      <c r="AC56" s="154" t="str">
        <v>M1</v>
      </c>
      <c r="AD56" s="133">
        <v>4</v>
      </c>
      <c r="AE56" s="133">
        <v>17</v>
      </c>
      <c r="AF56" s="133">
        <v>4</v>
      </c>
      <c r="AG56" s="133">
        <v>21</v>
      </c>
      <c r="AH56" s="133">
        <v>22</v>
      </c>
      <c r="AI56" s="5"/>
      <c r="AJ56" s="154" t="str">
        <v>M1</v>
      </c>
      <c r="AK56" s="133">
        <v>4</v>
      </c>
      <c r="AL56" s="133">
        <v>17</v>
      </c>
      <c r="AM56" s="133">
        <v>4</v>
      </c>
      <c r="AN56" s="133">
        <v>21</v>
      </c>
      <c r="AO56" s="133">
        <v>22</v>
      </c>
    </row>
    <row r="57" spans="10:41" ht="16.5" customHeight="1" x14ac:dyDescent="0.3">
      <c r="J57" s="9">
        <v>53</v>
      </c>
      <c r="K57" s="16" t="s">
        <v>37</v>
      </c>
      <c r="L57" s="16" t="s">
        <v>34</v>
      </c>
      <c r="M57" s="16" t="s">
        <v>125</v>
      </c>
      <c r="N57" s="16" t="s">
        <v>18</v>
      </c>
      <c r="O57" s="16" t="s">
        <v>22</v>
      </c>
      <c r="Q57" s="9">
        <v>7</v>
      </c>
      <c r="R57" s="9">
        <v>9</v>
      </c>
      <c r="S57" s="9">
        <v>6</v>
      </c>
      <c r="T57" s="9">
        <v>4</v>
      </c>
      <c r="U57" s="9">
        <v>3</v>
      </c>
      <c r="W57" s="25" cm="1">
        <f t="array" ref="W57">_xlfn.LET(_xlpm.x, K57:K59, IF(SUM((_xlpm.x="C1")*1)=1, 1, 0))</f>
        <v>0</v>
      </c>
      <c r="X57" s="25" cm="1">
        <f t="array" ref="X57">_xlfn.LET(_xlpm.x, L57:L59, IF(SUM((_xlpm.x="C1")*1)=1, 1, 0))</f>
        <v>0</v>
      </c>
      <c r="Y57" s="25" cm="1">
        <f t="array" ref="Y57">_xlfn.LET(_xlpm.x, M57:M59, IF(SUM((_xlpm.x="C1")*1)=1, 1, 0))</f>
        <v>0</v>
      </c>
      <c r="Z57" s="25">
        <v>1</v>
      </c>
      <c r="AA57" s="25">
        <v>1</v>
      </c>
      <c r="AC57" s="154" t="str">
        <v>M2</v>
      </c>
      <c r="AD57" s="133">
        <v>4</v>
      </c>
      <c r="AE57" s="133">
        <v>18</v>
      </c>
      <c r="AF57" s="133">
        <v>4</v>
      </c>
      <c r="AG57" s="133">
        <v>20</v>
      </c>
      <c r="AH57" s="133">
        <v>22</v>
      </c>
      <c r="AI57" s="5"/>
      <c r="AJ57" s="154" t="str">
        <v>M2</v>
      </c>
      <c r="AK57" s="133">
        <v>4</v>
      </c>
      <c r="AL57" s="133">
        <v>18</v>
      </c>
      <c r="AM57" s="133">
        <v>4</v>
      </c>
      <c r="AN57" s="133">
        <v>20</v>
      </c>
      <c r="AO57" s="133">
        <v>22</v>
      </c>
    </row>
    <row r="58" spans="10:41" ht="16.5" customHeight="1" x14ac:dyDescent="0.3">
      <c r="J58" s="25">
        <v>54</v>
      </c>
      <c r="K58" s="16" t="s">
        <v>37</v>
      </c>
      <c r="L58" s="16" t="s">
        <v>18</v>
      </c>
      <c r="M58" s="16" t="s">
        <v>35</v>
      </c>
      <c r="N58" s="16" t="s">
        <v>88</v>
      </c>
      <c r="O58" s="16" t="s">
        <v>21</v>
      </c>
      <c r="Q58" s="9">
        <v>7</v>
      </c>
      <c r="R58" s="9">
        <v>4</v>
      </c>
      <c r="S58" s="9">
        <v>8</v>
      </c>
      <c r="T58" s="9">
        <v>11</v>
      </c>
      <c r="U58" s="9">
        <v>2</v>
      </c>
      <c r="W58" s="25" cm="1">
        <f t="array" ref="W58">_xlfn.LET(_xlpm.x, K58:K60, IF(SUM((_xlpm.x="C1")*1)=1, 1, 0))</f>
        <v>0</v>
      </c>
      <c r="X58" s="25" cm="1">
        <f t="array" ref="X58">_xlfn.LET(_xlpm.x, L58:L60, IF(SUM((_xlpm.x="C1")*1)=1, 1, 0))</f>
        <v>0</v>
      </c>
      <c r="Y58" s="25" cm="1">
        <f t="array" ref="Y58">_xlfn.LET(_xlpm.x, M58:M60, IF(SUM((_xlpm.x="C1")*1)=1, 1, 0))</f>
        <v>0</v>
      </c>
      <c r="Z58" s="25">
        <v>1</v>
      </c>
      <c r="AA58" s="25">
        <v>1</v>
      </c>
      <c r="AC58" s="154" t="str">
        <v>M3</v>
      </c>
      <c r="AD58" s="133">
        <v>4</v>
      </c>
      <c r="AE58" s="133">
        <v>18</v>
      </c>
      <c r="AF58" s="133">
        <v>4</v>
      </c>
      <c r="AG58" s="133">
        <v>20</v>
      </c>
      <c r="AH58" s="133">
        <v>21</v>
      </c>
      <c r="AI58" s="5"/>
      <c r="AJ58" s="154" t="str">
        <v>M3</v>
      </c>
      <c r="AK58" s="133">
        <v>4</v>
      </c>
      <c r="AL58" s="133">
        <v>18</v>
      </c>
      <c r="AM58" s="133">
        <v>4</v>
      </c>
      <c r="AN58" s="133">
        <v>20</v>
      </c>
      <c r="AO58" s="133">
        <v>21</v>
      </c>
    </row>
    <row r="59" spans="10:41" ht="16.5" customHeight="1" x14ac:dyDescent="0.3">
      <c r="J59" s="9">
        <v>55</v>
      </c>
      <c r="K59" s="16" t="s">
        <v>37</v>
      </c>
      <c r="L59" s="16" t="s">
        <v>18</v>
      </c>
      <c r="M59" s="16" t="s">
        <v>35</v>
      </c>
      <c r="N59" s="16" t="s">
        <v>18</v>
      </c>
      <c r="O59" s="16" t="s">
        <v>35</v>
      </c>
      <c r="Q59" s="9">
        <v>7</v>
      </c>
      <c r="R59" s="9">
        <v>4</v>
      </c>
      <c r="S59" s="9">
        <v>8</v>
      </c>
      <c r="T59" s="9">
        <v>4</v>
      </c>
      <c r="U59" s="9">
        <v>8</v>
      </c>
      <c r="W59" s="25" cm="1">
        <f t="array" ref="W59">_xlfn.LET(_xlpm.x, K59:K61, IF(SUM((_xlpm.x="C1")*1)=1, 1, 0))</f>
        <v>0</v>
      </c>
      <c r="X59" s="25" cm="1">
        <f t="array" ref="X59">_xlfn.LET(_xlpm.x, L59:L61, IF(SUM((_xlpm.x="C1")*1)=1, 1, 0))</f>
        <v>0</v>
      </c>
      <c r="Y59" s="25" cm="1">
        <f t="array" ref="Y59">_xlfn.LET(_xlpm.x, M59:M61, IF(SUM((_xlpm.x="C1")*1)=1, 1, 0))</f>
        <v>0</v>
      </c>
      <c r="Z59" s="25">
        <v>1</v>
      </c>
      <c r="AA59" s="25">
        <v>1</v>
      </c>
      <c r="AC59" s="154" t="str">
        <v>M4</v>
      </c>
      <c r="AD59" s="133">
        <v>40</v>
      </c>
      <c r="AE59" s="133">
        <v>14</v>
      </c>
      <c r="AF59" s="133">
        <v>41</v>
      </c>
      <c r="AG59" s="133">
        <v>14</v>
      </c>
      <c r="AH59" s="133">
        <v>21</v>
      </c>
      <c r="AI59" s="5"/>
      <c r="AJ59" s="154" t="str">
        <v>M4</v>
      </c>
      <c r="AK59" s="133">
        <v>40</v>
      </c>
      <c r="AL59" s="133">
        <v>14</v>
      </c>
      <c r="AM59" s="133">
        <v>41</v>
      </c>
      <c r="AN59" s="133">
        <v>14</v>
      </c>
      <c r="AO59" s="133">
        <v>21</v>
      </c>
    </row>
    <row r="60" spans="10:41" ht="16.5" customHeight="1" x14ac:dyDescent="0.3">
      <c r="J60" s="25">
        <v>56</v>
      </c>
      <c r="K60" s="16" t="s">
        <v>19</v>
      </c>
      <c r="L60" s="16" t="s">
        <v>91</v>
      </c>
      <c r="M60" s="16" t="s">
        <v>35</v>
      </c>
      <c r="N60" s="16" t="s">
        <v>35</v>
      </c>
      <c r="O60" s="16" t="s">
        <v>36</v>
      </c>
      <c r="Q60" s="9">
        <v>5</v>
      </c>
      <c r="R60" s="9">
        <v>14</v>
      </c>
      <c r="S60" s="9">
        <v>8</v>
      </c>
      <c r="T60" s="9">
        <v>8</v>
      </c>
      <c r="U60" s="9">
        <v>10</v>
      </c>
      <c r="W60" s="25" cm="1">
        <f t="array" ref="W60">_xlfn.LET(_xlpm.x, K60:K62, IF(SUM((_xlpm.x="C1")*1)=1, 1, 0))</f>
        <v>0</v>
      </c>
      <c r="X60" s="25" cm="1">
        <f t="array" ref="X60">_xlfn.LET(_xlpm.x, L60:L62, IF(SUM((_xlpm.x="C1")*1)=1, 1, 0))</f>
        <v>0</v>
      </c>
      <c r="Y60" s="25" cm="1">
        <f t="array" ref="Y60">_xlfn.LET(_xlpm.x, M60:M62, IF(SUM((_xlpm.x="C1")*1)=1, 1, 0))</f>
        <v>0</v>
      </c>
      <c r="Z60" s="25">
        <v>1</v>
      </c>
      <c r="AA60" s="25">
        <v>1</v>
      </c>
      <c r="AC60" s="154" t="str">
        <v>M5</v>
      </c>
      <c r="AD60" s="133">
        <v>40</v>
      </c>
      <c r="AE60" s="133">
        <v>14</v>
      </c>
      <c r="AF60" s="133">
        <v>41</v>
      </c>
      <c r="AG60" s="133">
        <v>14</v>
      </c>
      <c r="AH60" s="133">
        <v>21</v>
      </c>
      <c r="AI60" s="5"/>
      <c r="AJ60" s="154" t="str">
        <v>M5</v>
      </c>
      <c r="AK60" s="133">
        <v>40</v>
      </c>
      <c r="AL60" s="133">
        <v>14</v>
      </c>
      <c r="AM60" s="133">
        <v>41</v>
      </c>
      <c r="AN60" s="133">
        <v>14</v>
      </c>
      <c r="AO60" s="133">
        <v>21</v>
      </c>
    </row>
    <row r="61" spans="10:41" x14ac:dyDescent="0.3">
      <c r="J61" s="9">
        <v>57</v>
      </c>
      <c r="K61" s="16" t="s">
        <v>125</v>
      </c>
      <c r="L61" s="16" t="s">
        <v>91</v>
      </c>
      <c r="M61" s="16" t="s">
        <v>125</v>
      </c>
      <c r="N61" s="16" t="s">
        <v>18</v>
      </c>
      <c r="O61" s="16" t="s">
        <v>36</v>
      </c>
      <c r="Q61" s="9">
        <v>6</v>
      </c>
      <c r="R61" s="9">
        <v>14</v>
      </c>
      <c r="S61" s="9">
        <v>6</v>
      </c>
      <c r="T61" s="9">
        <v>4</v>
      </c>
      <c r="U61" s="9">
        <v>10</v>
      </c>
      <c r="W61" s="25" cm="1">
        <f t="array" ref="W61">_xlfn.LET(_xlpm.x, K61:K63, IF(SUM((_xlpm.x="C1")*1)=1, 1, 0))</f>
        <v>0</v>
      </c>
      <c r="X61" s="25" cm="1">
        <f t="array" ref="X61">_xlfn.LET(_xlpm.x, L61:L63, IF(SUM((_xlpm.x="C1")*1)=1, 1, 0))</f>
        <v>0</v>
      </c>
      <c r="Y61" s="25" cm="1">
        <f t="array" ref="Y61">_xlfn.LET(_xlpm.x, M61:M63, IF(SUM((_xlpm.x="C1")*1)=1, 1, 0))</f>
        <v>1</v>
      </c>
      <c r="Z61" s="25">
        <v>1</v>
      </c>
      <c r="AA61" s="25">
        <v>1</v>
      </c>
      <c r="AC61" s="154" t="str">
        <v>A</v>
      </c>
      <c r="AD61" s="133">
        <v>47</v>
      </c>
      <c r="AE61" s="133">
        <v>13</v>
      </c>
      <c r="AF61" s="133">
        <v>41</v>
      </c>
      <c r="AG61" s="133">
        <v>14</v>
      </c>
      <c r="AH61" s="133">
        <v>21</v>
      </c>
      <c r="AI61" s="5"/>
      <c r="AJ61" s="154" t="str">
        <v>A</v>
      </c>
      <c r="AK61" s="133">
        <v>47</v>
      </c>
      <c r="AL61" s="133">
        <v>13</v>
      </c>
      <c r="AM61" s="133">
        <v>41</v>
      </c>
      <c r="AN61" s="133">
        <v>14</v>
      </c>
      <c r="AO61" s="133">
        <v>21</v>
      </c>
    </row>
    <row r="62" spans="10:41" x14ac:dyDescent="0.3">
      <c r="J62" s="25">
        <v>58</v>
      </c>
      <c r="K62" s="16" t="s">
        <v>36</v>
      </c>
      <c r="L62" s="16" t="s">
        <v>34</v>
      </c>
      <c r="M62" s="16" t="s">
        <v>125</v>
      </c>
      <c r="N62" s="16" t="s">
        <v>112</v>
      </c>
      <c r="O62" s="16" t="s">
        <v>22</v>
      </c>
      <c r="Q62" s="9">
        <v>10</v>
      </c>
      <c r="R62" s="9">
        <v>9</v>
      </c>
      <c r="S62" s="9">
        <v>6</v>
      </c>
      <c r="T62" s="9">
        <v>17</v>
      </c>
      <c r="U62" s="9">
        <v>3</v>
      </c>
      <c r="W62" s="25" cm="1">
        <f t="array" ref="W62">_xlfn.LET(_xlpm.x, K62:K64, IF(SUM((_xlpm.x="C1")*1)=1, 1, 0))</f>
        <v>0</v>
      </c>
      <c r="X62" s="25" cm="1">
        <f t="array" ref="X62">_xlfn.LET(_xlpm.x, L62:L64, IF(SUM((_xlpm.x="C1")*1)=1, 1, 0))</f>
        <v>0</v>
      </c>
      <c r="Y62" s="25" cm="1">
        <f t="array" ref="Y62">_xlfn.LET(_xlpm.x, M62:M64, IF(SUM((_xlpm.x="C1")*1)=1, 1, 0))</f>
        <v>1</v>
      </c>
      <c r="Z62" s="25">
        <v>1</v>
      </c>
      <c r="AA62" s="25">
        <v>1</v>
      </c>
      <c r="AC62" s="154" t="str">
        <v>K</v>
      </c>
      <c r="AD62" s="133">
        <v>47</v>
      </c>
      <c r="AE62" s="133">
        <v>13</v>
      </c>
      <c r="AF62" s="133">
        <v>41</v>
      </c>
      <c r="AG62" s="133">
        <v>14</v>
      </c>
      <c r="AH62" s="133">
        <v>21</v>
      </c>
      <c r="AI62" s="5"/>
      <c r="AJ62" s="154" t="str">
        <v>K</v>
      </c>
      <c r="AK62" s="133">
        <v>47</v>
      </c>
      <c r="AL62" s="133">
        <v>13</v>
      </c>
      <c r="AM62" s="133">
        <v>41</v>
      </c>
      <c r="AN62" s="133">
        <v>14</v>
      </c>
      <c r="AO62" s="133">
        <v>21</v>
      </c>
    </row>
    <row r="63" spans="10:41" ht="16.5" customHeight="1" x14ac:dyDescent="0.3">
      <c r="J63" s="9">
        <v>59</v>
      </c>
      <c r="K63" s="16" t="s">
        <v>35</v>
      </c>
      <c r="L63" s="16" t="s">
        <v>90</v>
      </c>
      <c r="M63" s="16" t="s">
        <v>20</v>
      </c>
      <c r="N63" s="16" t="s">
        <v>95</v>
      </c>
      <c r="O63" s="16" t="s">
        <v>19</v>
      </c>
      <c r="Q63" s="9">
        <v>8</v>
      </c>
      <c r="R63" s="9">
        <v>13</v>
      </c>
      <c r="S63" s="9">
        <v>1</v>
      </c>
      <c r="T63" s="9">
        <v>18</v>
      </c>
      <c r="U63" s="9">
        <v>5</v>
      </c>
      <c r="W63" s="25" cm="1">
        <f t="array" ref="W63">_xlfn.LET(_xlpm.x, K63:K65, IF(SUM((_xlpm.x="C1")*1)=1, 1, 0))</f>
        <v>0</v>
      </c>
      <c r="X63" s="25" cm="1">
        <f t="array" ref="X63">_xlfn.LET(_xlpm.x, L63:L65, IF(SUM((_xlpm.x="C1")*1)=1, 1, 0))</f>
        <v>0</v>
      </c>
      <c r="Y63" s="25" cm="1">
        <f t="array" ref="Y63">_xlfn.LET(_xlpm.x, M63:M65, IF(SUM((_xlpm.x="C1")*1)=1, 1, 0))</f>
        <v>1</v>
      </c>
      <c r="Z63" s="25">
        <v>1</v>
      </c>
      <c r="AA63" s="25">
        <v>1</v>
      </c>
      <c r="AC63" s="154" t="str">
        <v>Q</v>
      </c>
      <c r="AD63" s="133">
        <v>4</v>
      </c>
      <c r="AE63" s="133">
        <v>17</v>
      </c>
      <c r="AF63" s="133">
        <v>3</v>
      </c>
      <c r="AG63" s="133">
        <v>21</v>
      </c>
      <c r="AH63" s="133">
        <v>21</v>
      </c>
      <c r="AI63" s="5"/>
      <c r="AJ63" s="154" t="str">
        <v>Q</v>
      </c>
      <c r="AK63" s="133">
        <v>4</v>
      </c>
      <c r="AL63" s="133">
        <v>17</v>
      </c>
      <c r="AM63" s="133">
        <v>3</v>
      </c>
      <c r="AN63" s="133">
        <v>21</v>
      </c>
      <c r="AO63" s="133">
        <v>21</v>
      </c>
    </row>
    <row r="64" spans="10:41" ht="16.5" customHeight="1" x14ac:dyDescent="0.3">
      <c r="J64" s="25">
        <v>60</v>
      </c>
      <c r="K64" s="16" t="s">
        <v>125</v>
      </c>
      <c r="L64" s="16" t="s">
        <v>34</v>
      </c>
      <c r="M64" s="16" t="s">
        <v>19</v>
      </c>
      <c r="N64" s="16" t="s">
        <v>18</v>
      </c>
      <c r="O64" s="16" t="s">
        <v>34</v>
      </c>
      <c r="Q64" s="9">
        <v>6</v>
      </c>
      <c r="R64" s="9">
        <v>9</v>
      </c>
      <c r="S64" s="9">
        <v>5</v>
      </c>
      <c r="T64" s="9">
        <v>4</v>
      </c>
      <c r="U64" s="9">
        <v>9</v>
      </c>
      <c r="W64" s="25" cm="1">
        <f t="array" ref="W64">_xlfn.LET(_xlpm.x, K64:K66, IF(SUM((_xlpm.x="C1")*1)=1, 1, 0))</f>
        <v>0</v>
      </c>
      <c r="X64" s="25" cm="1">
        <f t="array" ref="X64">_xlfn.LET(_xlpm.x, L64:L66, IF(SUM((_xlpm.x="C1")*1)=1, 1, 0))</f>
        <v>0</v>
      </c>
      <c r="Y64" s="25" cm="1">
        <f t="array" ref="Y64">_xlfn.LET(_xlpm.x, M64:M66, IF(SUM((_xlpm.x="C1")*1)=1, 1, 0))</f>
        <v>0</v>
      </c>
      <c r="Z64" s="25">
        <v>1</v>
      </c>
      <c r="AA64" s="25">
        <v>1</v>
      </c>
      <c r="AC64" s="154" t="str">
        <v>J</v>
      </c>
      <c r="AD64" s="133">
        <v>4</v>
      </c>
      <c r="AE64" s="133">
        <v>17</v>
      </c>
      <c r="AF64" s="133">
        <v>3</v>
      </c>
      <c r="AG64" s="133">
        <v>21</v>
      </c>
      <c r="AH64" s="133">
        <v>21</v>
      </c>
      <c r="AI64" s="5"/>
      <c r="AJ64" s="154" t="str">
        <v>J</v>
      </c>
      <c r="AK64" s="133">
        <v>4</v>
      </c>
      <c r="AL64" s="133">
        <v>17</v>
      </c>
      <c r="AM64" s="133">
        <v>3</v>
      </c>
      <c r="AN64" s="133">
        <v>21</v>
      </c>
      <c r="AO64" s="133">
        <v>21</v>
      </c>
    </row>
    <row r="65" spans="10:41" ht="16.5" customHeight="1" x14ac:dyDescent="0.3">
      <c r="J65" s="9">
        <v>61</v>
      </c>
      <c r="K65" s="16" t="s">
        <v>37</v>
      </c>
      <c r="L65" s="16" t="s">
        <v>36</v>
      </c>
      <c r="M65" s="16" t="s">
        <v>91</v>
      </c>
      <c r="N65" s="16" t="s">
        <v>22</v>
      </c>
      <c r="O65" s="16" t="s">
        <v>35</v>
      </c>
      <c r="Q65" s="9">
        <v>7</v>
      </c>
      <c r="R65" s="9">
        <v>10</v>
      </c>
      <c r="S65" s="9">
        <v>14</v>
      </c>
      <c r="T65" s="9">
        <v>3</v>
      </c>
      <c r="U65" s="9">
        <v>8</v>
      </c>
      <c r="W65" s="25" cm="1">
        <f t="array" ref="W65">_xlfn.LET(_xlpm.x, K65:K67, IF(SUM((_xlpm.x="C1")*1)=1, 1, 0))</f>
        <v>0</v>
      </c>
      <c r="X65" s="25" cm="1">
        <f t="array" ref="X65">_xlfn.LET(_xlpm.x, L65:L67, IF(SUM((_xlpm.x="C1")*1)=1, 1, 0))</f>
        <v>0</v>
      </c>
      <c r="Y65" s="25" cm="1">
        <f t="array" ref="Y65">_xlfn.LET(_xlpm.x, M65:M67, IF(SUM((_xlpm.x="C1")*1)=1, 1, 0))</f>
        <v>0</v>
      </c>
      <c r="Z65" s="25">
        <v>1</v>
      </c>
      <c r="AA65" s="25">
        <v>1</v>
      </c>
      <c r="AC65" s="138" t="str">
        <v>G1</v>
      </c>
      <c r="AD65" s="99">
        <v>0</v>
      </c>
      <c r="AE65" s="99">
        <v>8</v>
      </c>
      <c r="AF65" s="99">
        <v>1</v>
      </c>
      <c r="AG65" s="99">
        <v>5</v>
      </c>
      <c r="AH65" s="99">
        <v>0</v>
      </c>
      <c r="AI65" s="5"/>
      <c r="AJ65" s="138" t="str">
        <v>G1</v>
      </c>
      <c r="AK65" s="99">
        <v>0</v>
      </c>
      <c r="AL65" s="99">
        <v>8</v>
      </c>
      <c r="AM65" s="99">
        <v>1</v>
      </c>
      <c r="AN65" s="99">
        <v>5</v>
      </c>
      <c r="AO65" s="99">
        <v>0</v>
      </c>
    </row>
    <row r="66" spans="10:41" ht="16.5" customHeight="1" x14ac:dyDescent="0.3">
      <c r="J66" s="25">
        <v>62</v>
      </c>
      <c r="K66" s="16" t="s">
        <v>21</v>
      </c>
      <c r="L66" s="16" t="s">
        <v>22</v>
      </c>
      <c r="M66" s="16" t="s">
        <v>19</v>
      </c>
      <c r="N66" s="16" t="s">
        <v>34</v>
      </c>
      <c r="O66" s="16" t="s">
        <v>34</v>
      </c>
      <c r="Q66" s="9">
        <v>2</v>
      </c>
      <c r="R66" s="9">
        <v>3</v>
      </c>
      <c r="S66" s="9">
        <v>5</v>
      </c>
      <c r="T66" s="9">
        <v>9</v>
      </c>
      <c r="U66" s="9">
        <v>9</v>
      </c>
      <c r="W66" s="25" cm="1">
        <f t="array" ref="W66">_xlfn.LET(_xlpm.x, K66:K68, IF(SUM((_xlpm.x="C1")*1)=1, 1, 0))</f>
        <v>0</v>
      </c>
      <c r="X66" s="25" cm="1">
        <f t="array" ref="X66">_xlfn.LET(_xlpm.x, L66:L68, IF(SUM((_xlpm.x="C1")*1)=1, 1, 0))</f>
        <v>0</v>
      </c>
      <c r="Y66" s="25" cm="1">
        <f t="array" ref="Y66">_xlfn.LET(_xlpm.x, M66:M68, IF(SUM((_xlpm.x="C1")*1)=1, 1, 0))</f>
        <v>0</v>
      </c>
      <c r="Z66" s="25">
        <v>1</v>
      </c>
      <c r="AA66" s="25">
        <v>1</v>
      </c>
      <c r="AC66" s="138" t="str">
        <v>G2</v>
      </c>
      <c r="AD66" s="99">
        <v>0</v>
      </c>
      <c r="AE66" s="99">
        <v>8</v>
      </c>
      <c r="AF66" s="99">
        <v>1</v>
      </c>
      <c r="AG66" s="99">
        <v>5</v>
      </c>
      <c r="AH66" s="99">
        <v>0</v>
      </c>
      <c r="AI66" s="5"/>
      <c r="AJ66" s="138" t="str">
        <v>G2</v>
      </c>
      <c r="AK66" s="99">
        <v>0</v>
      </c>
      <c r="AL66" s="99">
        <v>8</v>
      </c>
      <c r="AM66" s="99">
        <v>1</v>
      </c>
      <c r="AN66" s="99">
        <v>5</v>
      </c>
      <c r="AO66" s="99">
        <v>0</v>
      </c>
    </row>
    <row r="67" spans="10:41" ht="16.5" customHeight="1" x14ac:dyDescent="0.3">
      <c r="J67" s="9">
        <v>63</v>
      </c>
      <c r="K67" s="16" t="s">
        <v>37</v>
      </c>
      <c r="L67" s="16" t="s">
        <v>95</v>
      </c>
      <c r="M67" s="16" t="s">
        <v>125</v>
      </c>
      <c r="N67" s="16" t="s">
        <v>126</v>
      </c>
      <c r="O67" s="16" t="s">
        <v>22</v>
      </c>
      <c r="Q67" s="9">
        <v>7</v>
      </c>
      <c r="R67" s="9">
        <v>18</v>
      </c>
      <c r="S67" s="9">
        <v>6</v>
      </c>
      <c r="T67" s="9">
        <v>15</v>
      </c>
      <c r="U67" s="9">
        <v>3</v>
      </c>
      <c r="W67" s="25" cm="1">
        <f t="array" ref="W67">_xlfn.LET(_xlpm.x, K67:K69, IF(SUM((_xlpm.x="C1")*1)=1, 1, 0))</f>
        <v>1</v>
      </c>
      <c r="X67" s="25" cm="1">
        <f t="array" ref="X67">_xlfn.LET(_xlpm.x, L67:L69, IF(SUM((_xlpm.x="C1")*1)=1, 1, 0))</f>
        <v>0</v>
      </c>
      <c r="Y67" s="25" cm="1">
        <f t="array" ref="Y67">_xlfn.LET(_xlpm.x, M67:M69, IF(SUM((_xlpm.x="C1")*1)=1, 1, 0))</f>
        <v>0</v>
      </c>
      <c r="Z67" s="25">
        <v>1</v>
      </c>
      <c r="AA67" s="25">
        <v>1</v>
      </c>
      <c r="AC67" s="138" t="str">
        <v>G3</v>
      </c>
      <c r="AD67" s="99">
        <v>0</v>
      </c>
      <c r="AE67" s="99">
        <v>8</v>
      </c>
      <c r="AF67" s="99">
        <v>1</v>
      </c>
      <c r="AG67" s="99">
        <v>5</v>
      </c>
      <c r="AH67" s="99">
        <v>0</v>
      </c>
      <c r="AI67" s="5"/>
      <c r="AJ67" s="138" t="str">
        <v>G3</v>
      </c>
      <c r="AK67" s="99">
        <v>0</v>
      </c>
      <c r="AL67" s="99">
        <v>8</v>
      </c>
      <c r="AM67" s="99">
        <v>1</v>
      </c>
      <c r="AN67" s="99">
        <v>5</v>
      </c>
      <c r="AO67" s="99">
        <v>0</v>
      </c>
    </row>
    <row r="68" spans="10:41" ht="16.5" customHeight="1" x14ac:dyDescent="0.3">
      <c r="J68" s="25">
        <v>64</v>
      </c>
      <c r="K68" s="16" t="s">
        <v>125</v>
      </c>
      <c r="L68" s="16" t="s">
        <v>22</v>
      </c>
      <c r="M68" s="16" t="s">
        <v>19</v>
      </c>
      <c r="N68" s="16" t="s">
        <v>35</v>
      </c>
      <c r="O68" s="16" t="s">
        <v>36</v>
      </c>
      <c r="Q68" s="9">
        <v>6</v>
      </c>
      <c r="R68" s="9">
        <v>3</v>
      </c>
      <c r="S68" s="9">
        <v>5</v>
      </c>
      <c r="T68" s="9">
        <v>8</v>
      </c>
      <c r="U68" s="9">
        <v>10</v>
      </c>
      <c r="W68" s="25" cm="1">
        <f t="array" ref="W68">_xlfn.LET(_xlpm.x, K68:K70, IF(SUM((_xlpm.x="C1")*1)=1, 1, 0))</f>
        <v>1</v>
      </c>
      <c r="X68" s="25" cm="1">
        <f t="array" ref="X68">_xlfn.LET(_xlpm.x, L68:L70, IF(SUM((_xlpm.x="C1")*1)=1, 1, 0))</f>
        <v>0</v>
      </c>
      <c r="Y68" s="25" cm="1">
        <f t="array" ref="Y68">_xlfn.LET(_xlpm.x, M68:M70, IF(SUM((_xlpm.x="C1")*1)=1, 1, 0))</f>
        <v>0</v>
      </c>
      <c r="Z68" s="25">
        <v>1</v>
      </c>
      <c r="AA68" s="25">
        <v>1</v>
      </c>
      <c r="AC68" s="138" t="str">
        <v>G4</v>
      </c>
      <c r="AD68" s="99">
        <v>0</v>
      </c>
      <c r="AE68" s="99">
        <v>5</v>
      </c>
      <c r="AF68" s="99">
        <v>4</v>
      </c>
      <c r="AG68" s="99">
        <v>4</v>
      </c>
      <c r="AH68" s="99">
        <v>0</v>
      </c>
      <c r="AI68" s="5"/>
      <c r="AJ68" s="138" t="str">
        <v>G4</v>
      </c>
      <c r="AK68" s="99">
        <v>0</v>
      </c>
      <c r="AL68" s="99">
        <v>5</v>
      </c>
      <c r="AM68" s="99">
        <v>4</v>
      </c>
      <c r="AN68" s="99">
        <v>4</v>
      </c>
      <c r="AO68" s="99">
        <v>0</v>
      </c>
    </row>
    <row r="69" spans="10:41" ht="16.5" customHeight="1" x14ac:dyDescent="0.3">
      <c r="J69" s="9">
        <v>65</v>
      </c>
      <c r="K69" s="16" t="s">
        <v>20</v>
      </c>
      <c r="L69" s="16" t="s">
        <v>22</v>
      </c>
      <c r="M69" s="16" t="s">
        <v>125</v>
      </c>
      <c r="N69" s="16" t="s">
        <v>22</v>
      </c>
      <c r="O69" s="16" t="s">
        <v>34</v>
      </c>
      <c r="Q69" s="9">
        <v>1</v>
      </c>
      <c r="R69" s="9">
        <v>3</v>
      </c>
      <c r="S69" s="9">
        <v>6</v>
      </c>
      <c r="T69" s="9">
        <v>3</v>
      </c>
      <c r="U69" s="9">
        <v>9</v>
      </c>
      <c r="W69" s="25" cm="1">
        <f t="array" ref="W69">_xlfn.LET(_xlpm.x, K69:K71, IF(SUM((_xlpm.x="C1")*1)=1, 1, 0))</f>
        <v>1</v>
      </c>
      <c r="X69" s="25" cm="1">
        <f t="array" ref="X69">_xlfn.LET(_xlpm.x, L69:L71, IF(SUM((_xlpm.x="C1")*1)=1, 1, 0))</f>
        <v>0</v>
      </c>
      <c r="Y69" s="25" cm="1">
        <f t="array" ref="Y69">_xlfn.LET(_xlpm.x, M69:M71, IF(SUM((_xlpm.x="C1")*1)=1, 1, 0))</f>
        <v>0</v>
      </c>
      <c r="Z69" s="25">
        <v>1</v>
      </c>
      <c r="AA69" s="25">
        <v>1</v>
      </c>
      <c r="AC69" s="138" t="str">
        <v>G5</v>
      </c>
      <c r="AD69" s="99">
        <v>0</v>
      </c>
      <c r="AE69" s="99">
        <v>5</v>
      </c>
      <c r="AF69" s="99">
        <v>4</v>
      </c>
      <c r="AG69" s="99">
        <v>4</v>
      </c>
      <c r="AH69" s="99">
        <v>0</v>
      </c>
      <c r="AI69" s="5"/>
      <c r="AJ69" s="138" t="str">
        <v>G5</v>
      </c>
      <c r="AK69" s="99">
        <v>0</v>
      </c>
      <c r="AL69" s="99">
        <v>5</v>
      </c>
      <c r="AM69" s="99">
        <v>4</v>
      </c>
      <c r="AN69" s="99">
        <v>4</v>
      </c>
      <c r="AO69" s="99">
        <v>0</v>
      </c>
    </row>
    <row r="70" spans="10:41" ht="16.5" customHeight="1" x14ac:dyDescent="0.3">
      <c r="J70" s="25">
        <v>66</v>
      </c>
      <c r="K70" s="16" t="s">
        <v>37</v>
      </c>
      <c r="L70" s="16" t="s">
        <v>327</v>
      </c>
      <c r="M70" s="16" t="s">
        <v>126</v>
      </c>
      <c r="N70" s="16" t="s">
        <v>36</v>
      </c>
      <c r="O70" s="16" t="s">
        <v>125</v>
      </c>
      <c r="Q70" s="9">
        <v>7</v>
      </c>
      <c r="R70" s="9">
        <v>11</v>
      </c>
      <c r="S70" s="9">
        <v>15</v>
      </c>
      <c r="T70" s="9">
        <v>10</v>
      </c>
      <c r="U70" s="9">
        <v>6</v>
      </c>
      <c r="W70" s="25" cm="1">
        <f t="array" ref="W70">_xlfn.LET(_xlpm.x, K70:K72, IF(SUM((_xlpm.x="C1")*1)=1, 1, 0))</f>
        <v>0</v>
      </c>
      <c r="X70" s="25" cm="1">
        <f t="array" ref="X70">_xlfn.LET(_xlpm.x, L70:L72, IF(SUM((_xlpm.x="C1")*1)=1, 1, 0))</f>
        <v>1</v>
      </c>
      <c r="Y70" s="25" cm="1">
        <f t="array" ref="Y70">_xlfn.LET(_xlpm.x, M70:M72, IF(SUM((_xlpm.x="C1")*1)=1, 1, 0))</f>
        <v>0</v>
      </c>
      <c r="Z70" s="25">
        <v>1</v>
      </c>
      <c r="AA70" s="25">
        <v>1</v>
      </c>
      <c r="AC70" s="138" t="str">
        <v>GA</v>
      </c>
      <c r="AD70" s="99">
        <v>0</v>
      </c>
      <c r="AE70" s="99">
        <v>5</v>
      </c>
      <c r="AF70" s="99">
        <v>4</v>
      </c>
      <c r="AG70" s="99">
        <v>4</v>
      </c>
      <c r="AH70" s="99">
        <v>0</v>
      </c>
      <c r="AI70" s="5"/>
      <c r="AJ70" s="138" t="str">
        <v>GA</v>
      </c>
      <c r="AK70" s="99">
        <v>0</v>
      </c>
      <c r="AL70" s="99">
        <v>5</v>
      </c>
      <c r="AM70" s="99">
        <v>4</v>
      </c>
      <c r="AN70" s="99">
        <v>4</v>
      </c>
      <c r="AO70" s="99">
        <v>0</v>
      </c>
    </row>
    <row r="71" spans="10:41" ht="16.5" customHeight="1" x14ac:dyDescent="0.3">
      <c r="J71" s="9">
        <v>67</v>
      </c>
      <c r="K71" s="16" t="s">
        <v>36</v>
      </c>
      <c r="L71" s="16" t="s">
        <v>88</v>
      </c>
      <c r="M71" s="16" t="s">
        <v>125</v>
      </c>
      <c r="N71" s="16" t="s">
        <v>88</v>
      </c>
      <c r="O71" s="16" t="s">
        <v>21</v>
      </c>
      <c r="Q71" s="9">
        <v>10</v>
      </c>
      <c r="R71" s="9">
        <v>11</v>
      </c>
      <c r="S71" s="9">
        <v>6</v>
      </c>
      <c r="T71" s="9">
        <v>11</v>
      </c>
      <c r="U71" s="9">
        <v>2</v>
      </c>
      <c r="W71" s="25" cm="1">
        <f t="array" ref="W71">_xlfn.LET(_xlpm.x, K71:K73, IF(SUM((_xlpm.x="C1")*1)=1, 1, 0))</f>
        <v>0</v>
      </c>
      <c r="X71" s="25" cm="1">
        <f t="array" ref="X71">_xlfn.LET(_xlpm.x, L71:L73, IF(SUM((_xlpm.x="C1")*1)=1, 1, 0))</f>
        <v>1</v>
      </c>
      <c r="Y71" s="25" cm="1">
        <f t="array" ref="Y71">_xlfn.LET(_xlpm.x, M71:M73, IF(SUM((_xlpm.x="C1")*1)=1, 1, 0))</f>
        <v>0</v>
      </c>
      <c r="Z71" s="25">
        <v>1</v>
      </c>
      <c r="AA71" s="25">
        <v>1</v>
      </c>
      <c r="AC71" s="138" t="str">
        <v>GK</v>
      </c>
      <c r="AD71" s="99">
        <v>0</v>
      </c>
      <c r="AE71" s="99">
        <v>5</v>
      </c>
      <c r="AF71" s="99">
        <v>4</v>
      </c>
      <c r="AG71" s="99">
        <v>4</v>
      </c>
      <c r="AH71" s="99">
        <v>0</v>
      </c>
      <c r="AI71" s="5"/>
      <c r="AJ71" s="138" t="str">
        <v>GK</v>
      </c>
      <c r="AK71" s="99">
        <v>0</v>
      </c>
      <c r="AL71" s="99">
        <v>5</v>
      </c>
      <c r="AM71" s="99">
        <v>4</v>
      </c>
      <c r="AN71" s="99">
        <v>4</v>
      </c>
      <c r="AO71" s="99">
        <v>0</v>
      </c>
    </row>
    <row r="72" spans="10:41" ht="16.5" customHeight="1" x14ac:dyDescent="0.3">
      <c r="J72" s="25">
        <v>68</v>
      </c>
      <c r="K72" s="16" t="s">
        <v>125</v>
      </c>
      <c r="L72" s="16" t="s">
        <v>20</v>
      </c>
      <c r="M72" s="16" t="s">
        <v>35</v>
      </c>
      <c r="N72" s="16" t="s">
        <v>36</v>
      </c>
      <c r="O72" s="16" t="s">
        <v>125</v>
      </c>
      <c r="Q72" s="9">
        <v>6</v>
      </c>
      <c r="R72" s="9">
        <v>1</v>
      </c>
      <c r="S72" s="9">
        <v>8</v>
      </c>
      <c r="T72" s="9">
        <v>10</v>
      </c>
      <c r="U72" s="9">
        <v>6</v>
      </c>
      <c r="W72" s="25" cm="1">
        <f t="array" ref="W72">_xlfn.LET(_xlpm.x, K72:K74, IF(SUM((_xlpm.x="C1")*1)=1, 1, 0))</f>
        <v>0</v>
      </c>
      <c r="X72" s="25" cm="1">
        <f t="array" ref="X72">_xlfn.LET(_xlpm.x, L72:L74, IF(SUM((_xlpm.x="C1")*1)=1, 1, 0))</f>
        <v>1</v>
      </c>
      <c r="Y72" s="25" cm="1">
        <f t="array" ref="Y72">_xlfn.LET(_xlpm.x, M72:M74, IF(SUM((_xlpm.x="C1")*1)=1, 1, 0))</f>
        <v>0</v>
      </c>
      <c r="Z72" s="25">
        <v>1</v>
      </c>
      <c r="AA72" s="25">
        <v>1</v>
      </c>
      <c r="AC72" s="138" t="str">
        <v>GQ</v>
      </c>
      <c r="AD72" s="99">
        <v>0</v>
      </c>
      <c r="AE72" s="99">
        <v>9</v>
      </c>
      <c r="AF72" s="99">
        <v>1</v>
      </c>
      <c r="AG72" s="99">
        <v>5</v>
      </c>
      <c r="AH72" s="99">
        <v>0</v>
      </c>
      <c r="AI72" s="5"/>
      <c r="AJ72" s="138" t="str">
        <v>GQ</v>
      </c>
      <c r="AK72" s="99">
        <v>0</v>
      </c>
      <c r="AL72" s="99">
        <v>9</v>
      </c>
      <c r="AM72" s="99">
        <v>1</v>
      </c>
      <c r="AN72" s="99">
        <v>5</v>
      </c>
      <c r="AO72" s="99">
        <v>0</v>
      </c>
    </row>
    <row r="73" spans="10:41" ht="16.5" customHeight="1" x14ac:dyDescent="0.3">
      <c r="J73" s="9">
        <v>69</v>
      </c>
      <c r="K73" s="16" t="s">
        <v>36</v>
      </c>
      <c r="L73" s="16" t="s">
        <v>32</v>
      </c>
      <c r="M73" s="16" t="s">
        <v>125</v>
      </c>
      <c r="N73" s="16" t="s">
        <v>125</v>
      </c>
      <c r="O73" s="16" t="s">
        <v>37</v>
      </c>
      <c r="Q73" s="9">
        <v>10</v>
      </c>
      <c r="R73" s="9">
        <v>9</v>
      </c>
      <c r="S73" s="9">
        <v>6</v>
      </c>
      <c r="T73" s="9">
        <v>6</v>
      </c>
      <c r="U73" s="9">
        <v>7</v>
      </c>
      <c r="W73" s="25" cm="1">
        <f t="array" ref="W73">_xlfn.LET(_xlpm.x, K73:K75, IF(SUM((_xlpm.x="C1")*1)=1, 1, 0))</f>
        <v>0</v>
      </c>
      <c r="X73" s="25" cm="1">
        <f t="array" ref="X73">_xlfn.LET(_xlpm.x, L73:L75, IF(SUM((_xlpm.x="C1")*1)=1, 1, 0))</f>
        <v>0</v>
      </c>
      <c r="Y73" s="25" cm="1">
        <f t="array" ref="Y73">_xlfn.LET(_xlpm.x, M73:M75, IF(SUM((_xlpm.x="C1")*1)=1, 1, 0))</f>
        <v>0</v>
      </c>
      <c r="Z73" s="25">
        <v>1</v>
      </c>
      <c r="AA73" s="25">
        <v>1</v>
      </c>
      <c r="AC73" s="138" t="str">
        <v>GJ</v>
      </c>
      <c r="AD73" s="99">
        <v>0</v>
      </c>
      <c r="AE73" s="99">
        <v>9</v>
      </c>
      <c r="AF73" s="99">
        <v>1</v>
      </c>
      <c r="AG73" s="99">
        <v>5</v>
      </c>
      <c r="AH73" s="99">
        <v>0</v>
      </c>
      <c r="AI73" s="5"/>
      <c r="AJ73" s="138" t="str">
        <v>GJ</v>
      </c>
      <c r="AK73" s="99">
        <v>0</v>
      </c>
      <c r="AL73" s="99">
        <v>9</v>
      </c>
      <c r="AM73" s="99">
        <v>1</v>
      </c>
      <c r="AN73" s="99">
        <v>5</v>
      </c>
      <c r="AO73" s="99">
        <v>0</v>
      </c>
    </row>
    <row r="74" spans="10:41" ht="16.5" customHeight="1" x14ac:dyDescent="0.3">
      <c r="J74" s="25">
        <v>70</v>
      </c>
      <c r="K74" s="16" t="s">
        <v>35</v>
      </c>
      <c r="L74" s="16" t="s">
        <v>34</v>
      </c>
      <c r="M74" s="16" t="s">
        <v>37</v>
      </c>
      <c r="N74" s="16" t="s">
        <v>22</v>
      </c>
      <c r="O74" s="16" t="s">
        <v>18</v>
      </c>
      <c r="Q74" s="9">
        <v>8</v>
      </c>
      <c r="R74" s="9">
        <v>9</v>
      </c>
      <c r="S74" s="9">
        <v>7</v>
      </c>
      <c r="T74" s="9">
        <v>3</v>
      </c>
      <c r="U74" s="9">
        <v>4</v>
      </c>
      <c r="W74" s="25" cm="1">
        <f t="array" ref="W74">_xlfn.LET(_xlpm.x, K74:K76, IF(SUM((_xlpm.x="C1")*1)=1, 1, 0))</f>
        <v>0</v>
      </c>
      <c r="X74" s="25" cm="1">
        <f t="array" ref="X74">_xlfn.LET(_xlpm.x, L74:L76, IF(SUM((_xlpm.x="C1")*1)=1, 1, 0))</f>
        <v>0</v>
      </c>
      <c r="Y74" s="25" cm="1">
        <f t="array" ref="Y74">_xlfn.LET(_xlpm.x, M74:M76, IF(SUM((_xlpm.x="C1")*1)=1, 1, 0))</f>
        <v>0</v>
      </c>
      <c r="Z74" s="25">
        <v>1</v>
      </c>
      <c r="AA74" s="25">
        <v>1</v>
      </c>
      <c r="AD74" s="113">
        <f>SUM(AD54:AD73)</f>
        <v>195</v>
      </c>
      <c r="AE74" s="113">
        <f>SUM(AE54:AE73)</f>
        <v>204</v>
      </c>
      <c r="AF74" s="113">
        <f>SUM(AF54:AF73)</f>
        <v>204</v>
      </c>
      <c r="AG74" s="113">
        <f>SUM(AG54:AG73)</f>
        <v>203</v>
      </c>
      <c r="AH74" s="113">
        <f>SUM(AH54:AH73)</f>
        <v>194</v>
      </c>
      <c r="AI74" s="5"/>
      <c r="AK74" s="113">
        <f>SUM(AK54:AK73)</f>
        <v>195</v>
      </c>
      <c r="AL74" s="113">
        <f>SUM(AL54:AL73)</f>
        <v>204</v>
      </c>
      <c r="AM74" s="113">
        <f>SUM(AM54:AM73)</f>
        <v>204</v>
      </c>
      <c r="AN74" s="113">
        <f>SUM(AN54:AN73)</f>
        <v>203</v>
      </c>
      <c r="AO74" s="113">
        <f>SUM(AO54:AO73)</f>
        <v>194</v>
      </c>
    </row>
    <row r="75" spans="10:41" ht="16.5" customHeight="1" x14ac:dyDescent="0.3">
      <c r="J75" s="9">
        <v>71</v>
      </c>
      <c r="K75" s="16" t="s">
        <v>19</v>
      </c>
      <c r="L75" s="16" t="s">
        <v>22</v>
      </c>
      <c r="M75" s="16" t="s">
        <v>125</v>
      </c>
      <c r="N75" s="16" t="s">
        <v>20</v>
      </c>
      <c r="O75" s="16" t="s">
        <v>36</v>
      </c>
      <c r="Q75" s="9">
        <v>5</v>
      </c>
      <c r="R75" s="9">
        <v>3</v>
      </c>
      <c r="S75" s="9">
        <v>6</v>
      </c>
      <c r="T75" s="9">
        <v>1</v>
      </c>
      <c r="U75" s="9">
        <v>10</v>
      </c>
      <c r="W75" s="25" cm="1">
        <f t="array" ref="W75">_xlfn.LET(_xlpm.x, K75:K77, IF(SUM((_xlpm.x="C1")*1)=1, 1, 0))</f>
        <v>0</v>
      </c>
      <c r="X75" s="25" cm="1">
        <f t="array" ref="X75">_xlfn.LET(_xlpm.x, L75:L77, IF(SUM((_xlpm.x="C1")*1)=1, 1, 0))</f>
        <v>0</v>
      </c>
      <c r="Y75" s="25" cm="1">
        <f t="array" ref="Y75">_xlfn.LET(_xlpm.x, M75:M77, IF(SUM((_xlpm.x="C1")*1)=1, 1, 0))</f>
        <v>0</v>
      </c>
      <c r="Z75" s="25">
        <v>1</v>
      </c>
      <c r="AA75" s="25">
        <v>1</v>
      </c>
      <c r="AH75" s="5"/>
      <c r="AI75" s="5"/>
      <c r="AO75" s="5"/>
    </row>
    <row r="76" spans="10:41" ht="16.5" customHeight="1" x14ac:dyDescent="0.3">
      <c r="J76" s="25">
        <v>72</v>
      </c>
      <c r="K76" s="16" t="s">
        <v>34</v>
      </c>
      <c r="L76" s="16" t="s">
        <v>22</v>
      </c>
      <c r="M76" s="16" t="s">
        <v>91</v>
      </c>
      <c r="N76" s="16" t="s">
        <v>88</v>
      </c>
      <c r="O76" s="16" t="s">
        <v>37</v>
      </c>
      <c r="Q76" s="9">
        <v>9</v>
      </c>
      <c r="R76" s="9">
        <v>3</v>
      </c>
      <c r="S76" s="9">
        <v>14</v>
      </c>
      <c r="T76" s="9">
        <v>11</v>
      </c>
      <c r="U76" s="9">
        <v>7</v>
      </c>
      <c r="W76" s="25" cm="1">
        <f t="array" ref="W76">_xlfn.LET(_xlpm.x, K76:K78, IF(SUM((_xlpm.x="C1")*1)=1, 1, 0))</f>
        <v>0</v>
      </c>
      <c r="X76" s="25" cm="1">
        <f t="array" ref="X76">_xlfn.LET(_xlpm.x, L76:L78, IF(SUM((_xlpm.x="C1")*1)=1, 1, 0))</f>
        <v>0</v>
      </c>
      <c r="Y76" s="25" cm="1">
        <f t="array" ref="Y76">_xlfn.LET(_xlpm.x, M76:M78, IF(SUM((_xlpm.x="C1")*1)=1, 1, 0))</f>
        <v>0</v>
      </c>
      <c r="Z76" s="25">
        <v>1</v>
      </c>
      <c r="AA76" s="25">
        <v>1</v>
      </c>
      <c r="AH76" s="5"/>
      <c r="AI76" s="5"/>
      <c r="AO76" s="5"/>
    </row>
    <row r="77" spans="10:41" ht="16.5" customHeight="1" x14ac:dyDescent="0.3">
      <c r="J77" s="9">
        <v>73</v>
      </c>
      <c r="K77" s="16" t="s">
        <v>19</v>
      </c>
      <c r="L77" s="16" t="s">
        <v>91</v>
      </c>
      <c r="M77" s="16" t="s">
        <v>19</v>
      </c>
      <c r="N77" s="16" t="s">
        <v>21</v>
      </c>
      <c r="O77" s="16" t="s">
        <v>18</v>
      </c>
      <c r="Q77" s="9">
        <v>5</v>
      </c>
      <c r="R77" s="9">
        <v>14</v>
      </c>
      <c r="S77" s="9">
        <v>5</v>
      </c>
      <c r="T77" s="9">
        <v>2</v>
      </c>
      <c r="U77" s="9">
        <v>4</v>
      </c>
      <c r="W77" s="25" cm="1">
        <f t="array" ref="W77">_xlfn.LET(_xlpm.x, K77:K79, IF(SUM((_xlpm.x="C1")*1)=1, 1, 0))</f>
        <v>0</v>
      </c>
      <c r="X77" s="25" cm="1">
        <f t="array" ref="X77">_xlfn.LET(_xlpm.x, L77:L79, IF(SUM((_xlpm.x="C1")*1)=1, 1, 0))</f>
        <v>0</v>
      </c>
      <c r="Y77" s="25" cm="1">
        <f t="array" ref="Y77">_xlfn.LET(_xlpm.x, M77:M79, IF(SUM((_xlpm.x="C1")*1)=1, 1, 0))</f>
        <v>0</v>
      </c>
      <c r="Z77" s="25">
        <v>1</v>
      </c>
      <c r="AA77" s="25">
        <v>1</v>
      </c>
      <c r="AH77" s="5"/>
      <c r="AI77" s="5"/>
      <c r="AO77" s="5"/>
    </row>
    <row r="78" spans="10:41" ht="16.5" customHeight="1" x14ac:dyDescent="0.3">
      <c r="J78" s="25">
        <v>74</v>
      </c>
      <c r="K78" s="16" t="s">
        <v>37</v>
      </c>
      <c r="L78" s="16" t="s">
        <v>21</v>
      </c>
      <c r="M78" s="16" t="s">
        <v>125</v>
      </c>
      <c r="N78" s="16" t="s">
        <v>34</v>
      </c>
      <c r="O78" s="16" t="s">
        <v>36</v>
      </c>
      <c r="Q78" s="9">
        <v>7</v>
      </c>
      <c r="R78" s="9">
        <v>2</v>
      </c>
      <c r="S78" s="9">
        <v>6</v>
      </c>
      <c r="T78" s="9">
        <v>9</v>
      </c>
      <c r="U78" s="9">
        <v>10</v>
      </c>
      <c r="W78" s="25" cm="1">
        <f t="array" ref="W78">_xlfn.LET(_xlpm.x, K78:K80, IF(SUM((_xlpm.x="C1")*1)=1, 1, 0))</f>
        <v>0</v>
      </c>
      <c r="X78" s="25" cm="1">
        <f t="array" ref="X78">_xlfn.LET(_xlpm.x, L78:L80, IF(SUM((_xlpm.x="C1")*1)=1, 1, 0))</f>
        <v>0</v>
      </c>
      <c r="Y78" s="25" cm="1">
        <f t="array" ref="Y78">_xlfn.LET(_xlpm.x, M78:M80, IF(SUM((_xlpm.x="C1")*1)=1, 1, 0))</f>
        <v>0</v>
      </c>
      <c r="Z78" s="25">
        <v>1</v>
      </c>
      <c r="AA78" s="25">
        <v>1</v>
      </c>
      <c r="AH78" s="5"/>
      <c r="AI78" s="5"/>
      <c r="AO78" s="5"/>
    </row>
    <row r="79" spans="10:41" ht="16.5" customHeight="1" x14ac:dyDescent="0.3">
      <c r="J79" s="9">
        <v>75</v>
      </c>
      <c r="K79" s="16" t="s">
        <v>37</v>
      </c>
      <c r="L79" s="16" t="s">
        <v>36</v>
      </c>
      <c r="M79" s="16" t="s">
        <v>37</v>
      </c>
      <c r="N79" s="16" t="s">
        <v>90</v>
      </c>
      <c r="O79" s="16" t="s">
        <v>37</v>
      </c>
      <c r="Q79" s="9">
        <v>7</v>
      </c>
      <c r="R79" s="9">
        <v>10</v>
      </c>
      <c r="S79" s="9">
        <v>7</v>
      </c>
      <c r="T79" s="9">
        <v>13</v>
      </c>
      <c r="U79" s="9">
        <v>7</v>
      </c>
      <c r="W79" s="25" cm="1">
        <f t="array" ref="W79">_xlfn.LET(_xlpm.x, K79:K81, IF(SUM((_xlpm.x="C1")*1)=1, 1, 0))</f>
        <v>0</v>
      </c>
      <c r="X79" s="25" cm="1">
        <f t="array" ref="X79">_xlfn.LET(_xlpm.x, L79:L81, IF(SUM((_xlpm.x="C1")*1)=1, 1, 0))</f>
        <v>0</v>
      </c>
      <c r="Y79" s="25" cm="1">
        <f t="array" ref="Y79">_xlfn.LET(_xlpm.x, M79:M81, IF(SUM((_xlpm.x="C1")*1)=1, 1, 0))</f>
        <v>0</v>
      </c>
      <c r="Z79" s="25">
        <v>1</v>
      </c>
      <c r="AA79" s="25">
        <v>1</v>
      </c>
      <c r="AH79" s="5"/>
      <c r="AI79" s="5"/>
      <c r="AO79" s="5"/>
    </row>
    <row r="80" spans="10:41" x14ac:dyDescent="0.3">
      <c r="J80" s="25">
        <v>76</v>
      </c>
      <c r="K80" s="16" t="s">
        <v>35</v>
      </c>
      <c r="L80" s="16" t="s">
        <v>21</v>
      </c>
      <c r="M80" s="16" t="s">
        <v>36</v>
      </c>
      <c r="N80" s="16" t="s">
        <v>37</v>
      </c>
      <c r="O80" s="16" t="s">
        <v>19</v>
      </c>
      <c r="Q80" s="9">
        <v>8</v>
      </c>
      <c r="R80" s="9">
        <v>2</v>
      </c>
      <c r="S80" s="9">
        <v>10</v>
      </c>
      <c r="T80" s="9">
        <v>7</v>
      </c>
      <c r="U80" s="9">
        <v>5</v>
      </c>
      <c r="W80" s="25" cm="1">
        <f t="array" ref="W80">_xlfn.LET(_xlpm.x, K80:K82, IF(SUM((_xlpm.x="C1")*1)=1, 1, 0))</f>
        <v>0</v>
      </c>
      <c r="X80" s="25" cm="1">
        <f t="array" ref="X80">_xlfn.LET(_xlpm.x, L80:L82, IF(SUM((_xlpm.x="C1")*1)=1, 1, 0))</f>
        <v>0</v>
      </c>
      <c r="Y80" s="25" cm="1">
        <f t="array" ref="Y80">_xlfn.LET(_xlpm.x, M80:M82, IF(SUM((_xlpm.x="C1")*1)=1, 1, 0))</f>
        <v>0</v>
      </c>
      <c r="Z80" s="25">
        <v>1</v>
      </c>
      <c r="AA80" s="25">
        <v>1</v>
      </c>
      <c r="AH80" s="5"/>
      <c r="AI80" s="5"/>
      <c r="AO80" s="5"/>
    </row>
    <row r="81" spans="10:41" x14ac:dyDescent="0.3">
      <c r="J81" s="9">
        <v>77</v>
      </c>
      <c r="K81" s="16" t="s">
        <v>37</v>
      </c>
      <c r="L81" s="16" t="s">
        <v>125</v>
      </c>
      <c r="M81" s="16" t="s">
        <v>19</v>
      </c>
      <c r="N81" s="16" t="s">
        <v>35</v>
      </c>
      <c r="O81" s="16" t="s">
        <v>37</v>
      </c>
      <c r="Q81" s="9">
        <v>7</v>
      </c>
      <c r="R81" s="9">
        <v>6</v>
      </c>
      <c r="S81" s="9">
        <v>5</v>
      </c>
      <c r="T81" s="9">
        <v>8</v>
      </c>
      <c r="U81" s="9">
        <v>7</v>
      </c>
      <c r="W81" s="25" cm="1">
        <f t="array" ref="W81">_xlfn.LET(_xlpm.x, K81:K83, IF(SUM((_xlpm.x="C1")*1)=1, 1, 0))</f>
        <v>0</v>
      </c>
      <c r="X81" s="25" cm="1">
        <f t="array" ref="X81">_xlfn.LET(_xlpm.x, L81:L83, IF(SUM((_xlpm.x="C1")*1)=1, 1, 0))</f>
        <v>0</v>
      </c>
      <c r="Y81" s="25" cm="1">
        <f t="array" ref="Y81">_xlfn.LET(_xlpm.x, M81:M83, IF(SUM((_xlpm.x="C1")*1)=1, 1, 0))</f>
        <v>0</v>
      </c>
      <c r="Z81" s="25">
        <v>1</v>
      </c>
      <c r="AA81" s="25">
        <v>1</v>
      </c>
      <c r="AH81" s="5"/>
      <c r="AI81" s="5"/>
      <c r="AO81" s="5"/>
    </row>
    <row r="82" spans="10:41" x14ac:dyDescent="0.3">
      <c r="J82" s="25">
        <v>78</v>
      </c>
      <c r="K82" s="16" t="s">
        <v>19</v>
      </c>
      <c r="L82" s="16" t="s">
        <v>89</v>
      </c>
      <c r="M82" s="16" t="s">
        <v>35</v>
      </c>
      <c r="N82" s="16" t="s">
        <v>18</v>
      </c>
      <c r="O82" s="16" t="s">
        <v>19</v>
      </c>
      <c r="Q82" s="9">
        <v>5</v>
      </c>
      <c r="R82" s="9">
        <v>12</v>
      </c>
      <c r="S82" s="9">
        <v>8</v>
      </c>
      <c r="T82" s="9">
        <v>4</v>
      </c>
      <c r="U82" s="9">
        <v>5</v>
      </c>
      <c r="W82" s="25" cm="1">
        <f t="array" ref="W82">_xlfn.LET(_xlpm.x, K82:K84, IF(SUM((_xlpm.x="C1")*1)=1, 1, 0))</f>
        <v>0</v>
      </c>
      <c r="X82" s="25" cm="1">
        <f t="array" ref="X82">_xlfn.LET(_xlpm.x, L82:L84, IF(SUM((_xlpm.x="C1")*1)=1, 1, 0))</f>
        <v>0</v>
      </c>
      <c r="Y82" s="25" cm="1">
        <f t="array" ref="Y82">_xlfn.LET(_xlpm.x, M82:M84, IF(SUM((_xlpm.x="C1")*1)=1, 1, 0))</f>
        <v>0</v>
      </c>
      <c r="Z82" s="25">
        <v>1</v>
      </c>
      <c r="AA82" s="25">
        <v>1</v>
      </c>
      <c r="AH82" s="5"/>
      <c r="AI82" s="5"/>
      <c r="AO82" s="5"/>
    </row>
    <row r="83" spans="10:41" x14ac:dyDescent="0.3">
      <c r="J83" s="9">
        <v>79</v>
      </c>
      <c r="K83" s="16" t="s">
        <v>125</v>
      </c>
      <c r="L83" s="16" t="s">
        <v>36</v>
      </c>
      <c r="M83" s="16" t="s">
        <v>125</v>
      </c>
      <c r="N83" s="16" t="s">
        <v>22</v>
      </c>
      <c r="O83" s="16" t="s">
        <v>21</v>
      </c>
      <c r="Q83" s="9">
        <v>6</v>
      </c>
      <c r="R83" s="9">
        <v>10</v>
      </c>
      <c r="S83" s="9">
        <v>6</v>
      </c>
      <c r="T83" s="9">
        <v>3</v>
      </c>
      <c r="U83" s="9">
        <v>2</v>
      </c>
      <c r="W83" s="25" cm="1">
        <f t="array" ref="W83">_xlfn.LET(_xlpm.x, K83:K85, IF(SUM((_xlpm.x="C1")*1)=1, 1, 0))</f>
        <v>0</v>
      </c>
      <c r="X83" s="25" cm="1">
        <f t="array" ref="X83">_xlfn.LET(_xlpm.x, L83:L85, IF(SUM((_xlpm.x="C1")*1)=1, 1, 0))</f>
        <v>0</v>
      </c>
      <c r="Y83" s="25" cm="1">
        <f t="array" ref="Y83">_xlfn.LET(_xlpm.x, M83:M85, IF(SUM((_xlpm.x="C1")*1)=1, 1, 0))</f>
        <v>0</v>
      </c>
      <c r="Z83" s="25">
        <v>1</v>
      </c>
      <c r="AA83" s="25">
        <v>1</v>
      </c>
      <c r="AH83" s="5"/>
      <c r="AI83" s="5"/>
      <c r="AO83" s="5"/>
    </row>
    <row r="84" spans="10:41" x14ac:dyDescent="0.3">
      <c r="J84" s="25">
        <v>80</v>
      </c>
      <c r="K84" s="16" t="s">
        <v>35</v>
      </c>
      <c r="L84" s="16" t="s">
        <v>36</v>
      </c>
      <c r="M84" s="16" t="s">
        <v>112</v>
      </c>
      <c r="N84" s="16" t="s">
        <v>20</v>
      </c>
      <c r="O84" s="16" t="s">
        <v>36</v>
      </c>
      <c r="Q84" s="9">
        <v>8</v>
      </c>
      <c r="R84" s="9">
        <v>10</v>
      </c>
      <c r="S84" s="9">
        <v>17</v>
      </c>
      <c r="T84" s="9">
        <v>1</v>
      </c>
      <c r="U84" s="9">
        <v>10</v>
      </c>
      <c r="W84" s="25" cm="1">
        <f t="array" ref="W84">_xlfn.LET(_xlpm.x, K84:K86, IF(SUM((_xlpm.x="C1")*1)=1, 1, 0))</f>
        <v>0</v>
      </c>
      <c r="X84" s="25" cm="1">
        <f t="array" ref="X84">_xlfn.LET(_xlpm.x, L84:L86, IF(SUM((_xlpm.x="C1")*1)=1, 1, 0))</f>
        <v>0</v>
      </c>
      <c r="Y84" s="25" cm="1">
        <f t="array" ref="Y84">_xlfn.LET(_xlpm.x, M84:M86, IF(SUM((_xlpm.x="C1")*1)=1, 1, 0))</f>
        <v>0</v>
      </c>
      <c r="Z84" s="25">
        <v>1</v>
      </c>
      <c r="AA84" s="25">
        <v>1</v>
      </c>
      <c r="AH84" s="5"/>
      <c r="AI84" s="5"/>
      <c r="AO84" s="5"/>
    </row>
    <row r="85" spans="10:41" x14ac:dyDescent="0.3">
      <c r="J85" s="9">
        <v>81</v>
      </c>
      <c r="K85" s="16" t="s">
        <v>37</v>
      </c>
      <c r="L85" s="16" t="s">
        <v>37</v>
      </c>
      <c r="M85" s="16" t="s">
        <v>37</v>
      </c>
      <c r="N85" s="16" t="s">
        <v>37</v>
      </c>
      <c r="O85" s="16" t="s">
        <v>35</v>
      </c>
      <c r="Q85" s="9">
        <v>7</v>
      </c>
      <c r="R85" s="9">
        <v>7</v>
      </c>
      <c r="S85" s="9">
        <v>7</v>
      </c>
      <c r="T85" s="9">
        <v>7</v>
      </c>
      <c r="U85" s="9">
        <v>8</v>
      </c>
      <c r="W85" s="25" cm="1">
        <f t="array" ref="W85">_xlfn.LET(_xlpm.x, K85:K87, IF(SUM((_xlpm.x="C1")*1)=1, 1, 0))</f>
        <v>0</v>
      </c>
      <c r="X85" s="25" cm="1">
        <f t="array" ref="X85">_xlfn.LET(_xlpm.x, L85:L87, IF(SUM((_xlpm.x="C1")*1)=1, 1, 0))</f>
        <v>0</v>
      </c>
      <c r="Y85" s="25" cm="1">
        <f t="array" ref="Y85">_xlfn.LET(_xlpm.x, M85:M87, IF(SUM((_xlpm.x="C1")*1)=1, 1, 0))</f>
        <v>0</v>
      </c>
      <c r="Z85" s="25">
        <v>1</v>
      </c>
      <c r="AA85" s="25">
        <v>1</v>
      </c>
      <c r="AH85" s="5"/>
      <c r="AI85" s="5"/>
      <c r="AO85" s="5"/>
    </row>
    <row r="86" spans="10:41" x14ac:dyDescent="0.3">
      <c r="J86" s="25">
        <v>82</v>
      </c>
      <c r="K86" s="16" t="s">
        <v>18</v>
      </c>
      <c r="L86" s="16" t="s">
        <v>19</v>
      </c>
      <c r="M86" s="16" t="s">
        <v>18</v>
      </c>
      <c r="N86" s="16" t="s">
        <v>37</v>
      </c>
      <c r="O86" s="16" t="s">
        <v>21</v>
      </c>
      <c r="Q86" s="9">
        <v>4</v>
      </c>
      <c r="R86" s="9">
        <v>5</v>
      </c>
      <c r="S86" s="9">
        <v>4</v>
      </c>
      <c r="T86" s="9">
        <v>7</v>
      </c>
      <c r="U86" s="9">
        <v>2</v>
      </c>
      <c r="W86" s="25" cm="1">
        <f t="array" ref="W86">_xlfn.LET(_xlpm.x, K86:K88, IF(SUM((_xlpm.x="C1")*1)=1, 1, 0))</f>
        <v>0</v>
      </c>
      <c r="X86" s="25" cm="1">
        <f t="array" ref="X86">_xlfn.LET(_xlpm.x, L86:L88, IF(SUM((_xlpm.x="C1")*1)=1, 1, 0))</f>
        <v>0</v>
      </c>
      <c r="Y86" s="25" cm="1">
        <f t="array" ref="Y86">_xlfn.LET(_xlpm.x, M86:M88, IF(SUM((_xlpm.x="C1")*1)=1, 1, 0))</f>
        <v>0</v>
      </c>
      <c r="Z86" s="25">
        <v>1</v>
      </c>
      <c r="AA86" s="25">
        <v>1</v>
      </c>
      <c r="AH86" s="5"/>
      <c r="AI86" s="5"/>
      <c r="AO86" s="5"/>
    </row>
    <row r="87" spans="10:41" x14ac:dyDescent="0.3">
      <c r="J87" s="9">
        <v>83</v>
      </c>
      <c r="K87" s="16" t="s">
        <v>125</v>
      </c>
      <c r="L87" s="16" t="s">
        <v>22</v>
      </c>
      <c r="M87" s="16" t="s">
        <v>19</v>
      </c>
      <c r="N87" s="16" t="s">
        <v>19</v>
      </c>
      <c r="O87" s="16" t="s">
        <v>22</v>
      </c>
      <c r="Q87" s="9">
        <v>6</v>
      </c>
      <c r="R87" s="9">
        <v>3</v>
      </c>
      <c r="S87" s="9">
        <v>5</v>
      </c>
      <c r="T87" s="9">
        <v>5</v>
      </c>
      <c r="U87" s="9">
        <v>3</v>
      </c>
      <c r="W87" s="25" cm="1">
        <f t="array" ref="W87">_xlfn.LET(_xlpm.x, K87:K89, IF(SUM((_xlpm.x="C1")*1)=1, 1, 0))</f>
        <v>1</v>
      </c>
      <c r="X87" s="25" cm="1">
        <f t="array" ref="X87">_xlfn.LET(_xlpm.x, L87:L89, IF(SUM((_xlpm.x="C1")*1)=1, 1, 0))</f>
        <v>0</v>
      </c>
      <c r="Y87" s="25" cm="1">
        <f t="array" ref="Y87">_xlfn.LET(_xlpm.x, M87:M89, IF(SUM((_xlpm.x="C1")*1)=1, 1, 0))</f>
        <v>0</v>
      </c>
      <c r="Z87" s="25">
        <v>1</v>
      </c>
      <c r="AA87" s="25">
        <v>1</v>
      </c>
      <c r="AH87" s="5"/>
      <c r="AI87" s="5"/>
      <c r="AO87" s="5"/>
    </row>
    <row r="88" spans="10:41" x14ac:dyDescent="0.3">
      <c r="J88" s="25">
        <v>84</v>
      </c>
      <c r="K88" s="16" t="s">
        <v>125</v>
      </c>
      <c r="L88" s="16" t="s">
        <v>34</v>
      </c>
      <c r="M88" s="16" t="s">
        <v>35</v>
      </c>
      <c r="N88" s="16" t="s">
        <v>22</v>
      </c>
      <c r="O88" s="16" t="s">
        <v>18</v>
      </c>
      <c r="Q88" s="9">
        <v>6</v>
      </c>
      <c r="R88" s="9">
        <v>9</v>
      </c>
      <c r="S88" s="9">
        <v>8</v>
      </c>
      <c r="T88" s="9">
        <v>3</v>
      </c>
      <c r="U88" s="9">
        <v>4</v>
      </c>
      <c r="W88" s="25" cm="1">
        <f t="array" ref="W88">_xlfn.LET(_xlpm.x, K88:K90, IF(SUM((_xlpm.x="C1")*1)=1, 1, 0))</f>
        <v>1</v>
      </c>
      <c r="X88" s="25" cm="1">
        <f t="array" ref="X88">_xlfn.LET(_xlpm.x, L88:L90, IF(SUM((_xlpm.x="C1")*1)=1, 1, 0))</f>
        <v>0</v>
      </c>
      <c r="Y88" s="25" cm="1">
        <f t="array" ref="Y88">_xlfn.LET(_xlpm.x, M88:M90, IF(SUM((_xlpm.x="C1")*1)=1, 1, 0))</f>
        <v>0</v>
      </c>
      <c r="Z88" s="25">
        <v>1</v>
      </c>
      <c r="AA88" s="25">
        <v>1</v>
      </c>
      <c r="AH88" s="5"/>
      <c r="AI88" s="5"/>
      <c r="AO88" s="5"/>
    </row>
    <row r="89" spans="10:41" x14ac:dyDescent="0.3">
      <c r="J89" s="9">
        <v>85</v>
      </c>
      <c r="K89" s="16" t="s">
        <v>20</v>
      </c>
      <c r="L89" s="16" t="s">
        <v>88</v>
      </c>
      <c r="M89" s="16" t="s">
        <v>35</v>
      </c>
      <c r="N89" s="16" t="s">
        <v>22</v>
      </c>
      <c r="O89" s="16" t="s">
        <v>35</v>
      </c>
      <c r="Q89" s="9">
        <v>1</v>
      </c>
      <c r="R89" s="9">
        <v>11</v>
      </c>
      <c r="S89" s="9">
        <v>8</v>
      </c>
      <c r="T89" s="9">
        <v>3</v>
      </c>
      <c r="U89" s="9">
        <v>8</v>
      </c>
      <c r="W89" s="25" cm="1">
        <f t="array" ref="W89">_xlfn.LET(_xlpm.x, K89:K91, IF(SUM((_xlpm.x="C1")*1)=1, 1, 0))</f>
        <v>1</v>
      </c>
      <c r="X89" s="25" cm="1">
        <f t="array" ref="X89">_xlfn.LET(_xlpm.x, L89:L91, IF(SUM((_xlpm.x="C1")*1)=1, 1, 0))</f>
        <v>1</v>
      </c>
      <c r="Y89" s="25" cm="1">
        <f t="array" ref="Y89">_xlfn.LET(_xlpm.x, M89:M91, IF(SUM((_xlpm.x="C1")*1)=1, 1, 0))</f>
        <v>0</v>
      </c>
      <c r="Z89" s="25">
        <v>1</v>
      </c>
      <c r="AA89" s="25">
        <v>1</v>
      </c>
      <c r="AH89" s="5"/>
      <c r="AI89" s="5"/>
      <c r="AO89" s="5"/>
    </row>
    <row r="90" spans="10:41" x14ac:dyDescent="0.3">
      <c r="J90" s="25">
        <v>86</v>
      </c>
      <c r="K90" s="16" t="s">
        <v>35</v>
      </c>
      <c r="L90" s="16" t="s">
        <v>22</v>
      </c>
      <c r="M90" s="16" t="s">
        <v>35</v>
      </c>
      <c r="N90" s="16" t="s">
        <v>22</v>
      </c>
      <c r="O90" s="16" t="s">
        <v>18</v>
      </c>
      <c r="Q90" s="9">
        <v>8</v>
      </c>
      <c r="R90" s="9">
        <v>3</v>
      </c>
      <c r="S90" s="9">
        <v>8</v>
      </c>
      <c r="T90" s="9">
        <v>3</v>
      </c>
      <c r="U90" s="9">
        <v>4</v>
      </c>
      <c r="W90" s="25" cm="1">
        <f t="array" ref="W90">_xlfn.LET(_xlpm.x, K90:K92, IF(SUM((_xlpm.x="C1")*1)=1, 1, 0))</f>
        <v>0</v>
      </c>
      <c r="X90" s="25" cm="1">
        <f t="array" ref="X90">_xlfn.LET(_xlpm.x, L90:L92, IF(SUM((_xlpm.x="C1")*1)=1, 1, 0))</f>
        <v>1</v>
      </c>
      <c r="Y90" s="25" cm="1">
        <f t="array" ref="Y90">_xlfn.LET(_xlpm.x, M90:M92, IF(SUM((_xlpm.x="C1")*1)=1, 1, 0))</f>
        <v>0</v>
      </c>
      <c r="Z90" s="25">
        <v>1</v>
      </c>
      <c r="AA90" s="25">
        <v>1</v>
      </c>
      <c r="AH90" s="5"/>
      <c r="AI90" s="5"/>
      <c r="AO90" s="5"/>
    </row>
    <row r="91" spans="10:41" x14ac:dyDescent="0.3">
      <c r="J91" s="9">
        <v>87</v>
      </c>
      <c r="K91" s="16" t="s">
        <v>37</v>
      </c>
      <c r="L91" s="16" t="s">
        <v>20</v>
      </c>
      <c r="M91" s="16" t="s">
        <v>37</v>
      </c>
      <c r="N91" s="16" t="s">
        <v>89</v>
      </c>
      <c r="O91" s="16" t="s">
        <v>18</v>
      </c>
      <c r="Q91" s="9">
        <v>7</v>
      </c>
      <c r="R91" s="9">
        <v>1</v>
      </c>
      <c r="S91" s="9">
        <v>7</v>
      </c>
      <c r="T91" s="9">
        <v>12</v>
      </c>
      <c r="U91" s="9">
        <v>4</v>
      </c>
      <c r="W91" s="25" cm="1">
        <f t="array" ref="W91">_xlfn.LET(_xlpm.x, K91:K93, IF(SUM((_xlpm.x="C1")*1)=1, 1, 0))</f>
        <v>0</v>
      </c>
      <c r="X91" s="25" cm="1">
        <f t="array" ref="X91">_xlfn.LET(_xlpm.x, L91:L93, IF(SUM((_xlpm.x="C1")*1)=1, 1, 0))</f>
        <v>1</v>
      </c>
      <c r="Y91" s="25" cm="1">
        <f t="array" ref="Y91">_xlfn.LET(_xlpm.x, M91:M93, IF(SUM((_xlpm.x="C1")*1)=1, 1, 0))</f>
        <v>1</v>
      </c>
      <c r="Z91" s="25">
        <v>1</v>
      </c>
      <c r="AA91" s="25">
        <v>1</v>
      </c>
      <c r="AH91" s="5"/>
      <c r="AI91" s="5"/>
      <c r="AO91" s="5"/>
    </row>
    <row r="92" spans="10:41" x14ac:dyDescent="0.3">
      <c r="J92" s="25">
        <v>88</v>
      </c>
      <c r="K92" s="16" t="s">
        <v>19</v>
      </c>
      <c r="L92" s="16" t="s">
        <v>19</v>
      </c>
      <c r="M92" s="16" t="s">
        <v>125</v>
      </c>
      <c r="N92" s="16" t="s">
        <v>34</v>
      </c>
      <c r="O92" s="16" t="s">
        <v>19</v>
      </c>
      <c r="Q92" s="9">
        <v>5</v>
      </c>
      <c r="R92" s="9">
        <v>5</v>
      </c>
      <c r="S92" s="9">
        <v>6</v>
      </c>
      <c r="T92" s="9">
        <v>9</v>
      </c>
      <c r="U92" s="9">
        <v>5</v>
      </c>
      <c r="W92" s="25" cm="1">
        <f t="array" ref="W92">_xlfn.LET(_xlpm.x, K92:K94, IF(SUM((_xlpm.x="C1")*1)=1, 1, 0))</f>
        <v>0</v>
      </c>
      <c r="X92" s="25" cm="1">
        <f t="array" ref="X92">_xlfn.LET(_xlpm.x, L92:L94, IF(SUM((_xlpm.x="C1")*1)=1, 1, 0))</f>
        <v>0</v>
      </c>
      <c r="Y92" s="25" cm="1">
        <f t="array" ref="Y92">_xlfn.LET(_xlpm.x, M92:M94, IF(SUM((_xlpm.x="C1")*1)=1, 1, 0))</f>
        <v>1</v>
      </c>
      <c r="Z92" s="25">
        <v>1</v>
      </c>
      <c r="AA92" s="25">
        <v>1</v>
      </c>
      <c r="AH92" s="5"/>
      <c r="AI92" s="5"/>
      <c r="AO92" s="5"/>
    </row>
    <row r="93" spans="10:41" x14ac:dyDescent="0.3">
      <c r="J93" s="9">
        <v>89</v>
      </c>
      <c r="K93" s="16" t="s">
        <v>19</v>
      </c>
      <c r="L93" s="16" t="s">
        <v>19</v>
      </c>
      <c r="M93" s="16" t="s">
        <v>20</v>
      </c>
      <c r="N93" s="16" t="s">
        <v>36</v>
      </c>
      <c r="O93" s="16" t="s">
        <v>19</v>
      </c>
      <c r="Q93" s="9">
        <v>5</v>
      </c>
      <c r="R93" s="9">
        <v>5</v>
      </c>
      <c r="S93" s="9">
        <v>1</v>
      </c>
      <c r="T93" s="9">
        <v>10</v>
      </c>
      <c r="U93" s="9">
        <v>5</v>
      </c>
      <c r="W93" s="25" cm="1">
        <f t="array" ref="W93">_xlfn.LET(_xlpm.x, K93:K95, IF(SUM((_xlpm.x="C1")*1)=1, 1, 0))</f>
        <v>0</v>
      </c>
      <c r="X93" s="25" cm="1">
        <f t="array" ref="X93">_xlfn.LET(_xlpm.x, L93:L95, IF(SUM((_xlpm.x="C1")*1)=1, 1, 0))</f>
        <v>0</v>
      </c>
      <c r="Y93" s="25" cm="1">
        <f t="array" ref="Y93">_xlfn.LET(_xlpm.x, M93:M95, IF(SUM((_xlpm.x="C1")*1)=1, 1, 0))</f>
        <v>1</v>
      </c>
      <c r="Z93" s="25">
        <v>1</v>
      </c>
      <c r="AA93" s="25">
        <v>1</v>
      </c>
      <c r="AH93" s="5"/>
      <c r="AI93" s="5"/>
      <c r="AO93" s="5"/>
    </row>
    <row r="94" spans="10:41" x14ac:dyDescent="0.3">
      <c r="J94" s="25">
        <v>90</v>
      </c>
      <c r="K94" s="16" t="s">
        <v>125</v>
      </c>
      <c r="L94" s="16" t="s">
        <v>36</v>
      </c>
      <c r="M94" s="16" t="s">
        <v>92</v>
      </c>
      <c r="N94" s="16" t="s">
        <v>18</v>
      </c>
      <c r="O94" s="16" t="s">
        <v>20</v>
      </c>
      <c r="Q94" s="9">
        <v>6</v>
      </c>
      <c r="R94" s="9">
        <v>10</v>
      </c>
      <c r="S94" s="9">
        <v>16</v>
      </c>
      <c r="T94" s="9">
        <v>4</v>
      </c>
      <c r="U94" s="9">
        <v>1</v>
      </c>
      <c r="W94" s="25" cm="1">
        <f t="array" ref="W94">_xlfn.LET(_xlpm.x, K94:K96, IF(SUM((_xlpm.x="C1")*1)=1, 1, 0))</f>
        <v>0</v>
      </c>
      <c r="X94" s="25" cm="1">
        <f t="array" ref="X94">_xlfn.LET(_xlpm.x, L94:L96, IF(SUM((_xlpm.x="C1")*1)=1, 1, 0))</f>
        <v>0</v>
      </c>
      <c r="Y94" s="25" cm="1">
        <f t="array" ref="Y94">_xlfn.LET(_xlpm.x, M94:M96, IF(SUM((_xlpm.x="C1")*1)=1, 1, 0))</f>
        <v>0</v>
      </c>
      <c r="Z94" s="25">
        <v>1</v>
      </c>
      <c r="AA94" s="25">
        <v>1</v>
      </c>
      <c r="AH94" s="5"/>
      <c r="AI94" s="5"/>
      <c r="AO94" s="5"/>
    </row>
    <row r="95" spans="10:41" x14ac:dyDescent="0.3">
      <c r="J95" s="9">
        <v>91</v>
      </c>
      <c r="K95" s="16" t="s">
        <v>19</v>
      </c>
      <c r="L95" s="16" t="s">
        <v>22</v>
      </c>
      <c r="M95" s="16" t="s">
        <v>35</v>
      </c>
      <c r="N95" s="16" t="s">
        <v>18</v>
      </c>
      <c r="O95" s="16" t="s">
        <v>22</v>
      </c>
      <c r="Q95" s="9">
        <v>5</v>
      </c>
      <c r="R95" s="9">
        <v>3</v>
      </c>
      <c r="S95" s="9">
        <v>8</v>
      </c>
      <c r="T95" s="9">
        <v>4</v>
      </c>
      <c r="U95" s="9">
        <v>3</v>
      </c>
      <c r="W95" s="25" cm="1">
        <f t="array" ref="W95">_xlfn.LET(_xlpm.x, K95:K97, IF(SUM((_xlpm.x="C1")*1)=1, 1, 0))</f>
        <v>0</v>
      </c>
      <c r="X95" s="25" cm="1">
        <f t="array" ref="X95">_xlfn.LET(_xlpm.x, L95:L97, IF(SUM((_xlpm.x="C1")*1)=1, 1, 0))</f>
        <v>0</v>
      </c>
      <c r="Y95" s="25" cm="1">
        <f t="array" ref="Y95">_xlfn.LET(_xlpm.x, M95:M97, IF(SUM((_xlpm.x="C1")*1)=1, 1, 0))</f>
        <v>0</v>
      </c>
      <c r="Z95" s="25">
        <v>1</v>
      </c>
      <c r="AA95" s="25">
        <v>1</v>
      </c>
      <c r="AH95" s="5"/>
      <c r="AI95" s="5"/>
      <c r="AO95" s="5"/>
    </row>
    <row r="96" spans="10:41" x14ac:dyDescent="0.3">
      <c r="J96" s="25">
        <v>92</v>
      </c>
      <c r="K96" s="16" t="s">
        <v>35</v>
      </c>
      <c r="L96" s="16" t="s">
        <v>88</v>
      </c>
      <c r="M96" s="16" t="s">
        <v>125</v>
      </c>
      <c r="N96" s="16" t="s">
        <v>34</v>
      </c>
      <c r="O96" s="16" t="s">
        <v>22</v>
      </c>
      <c r="Q96" s="9">
        <v>8</v>
      </c>
      <c r="R96" s="9">
        <v>11</v>
      </c>
      <c r="S96" s="9">
        <v>6</v>
      </c>
      <c r="T96" s="9">
        <v>9</v>
      </c>
      <c r="U96" s="9">
        <v>3</v>
      </c>
      <c r="W96" s="25" cm="1">
        <f t="array" ref="W96">_xlfn.LET(_xlpm.x, K96:K98, IF(SUM((_xlpm.x="C1")*1)=1, 1, 0))</f>
        <v>0</v>
      </c>
      <c r="X96" s="25" cm="1">
        <f t="array" ref="X96">_xlfn.LET(_xlpm.x, L96:L98, IF(SUM((_xlpm.x="C1")*1)=1, 1, 0))</f>
        <v>0</v>
      </c>
      <c r="Y96" s="25" cm="1">
        <f t="array" ref="Y96">_xlfn.LET(_xlpm.x, M96:M98, IF(SUM((_xlpm.x="C1")*1)=1, 1, 0))</f>
        <v>0</v>
      </c>
      <c r="Z96" s="25">
        <v>1</v>
      </c>
      <c r="AA96" s="25">
        <v>1</v>
      </c>
      <c r="AH96" s="5"/>
      <c r="AI96" s="5"/>
      <c r="AO96" s="5"/>
    </row>
    <row r="97" spans="10:41" x14ac:dyDescent="0.3">
      <c r="J97" s="9">
        <v>93</v>
      </c>
      <c r="K97" s="16" t="s">
        <v>21</v>
      </c>
      <c r="L97" s="16" t="s">
        <v>36</v>
      </c>
      <c r="M97" s="16" t="s">
        <v>37</v>
      </c>
      <c r="N97" s="16" t="s">
        <v>112</v>
      </c>
      <c r="O97" s="16" t="s">
        <v>37</v>
      </c>
      <c r="Q97" s="9">
        <v>2</v>
      </c>
      <c r="R97" s="9">
        <v>10</v>
      </c>
      <c r="S97" s="9">
        <v>7</v>
      </c>
      <c r="T97" s="9">
        <v>17</v>
      </c>
      <c r="U97" s="9">
        <v>7</v>
      </c>
      <c r="W97" s="25" cm="1">
        <f t="array" ref="W97">_xlfn.LET(_xlpm.x, K97:K99, IF(SUM((_xlpm.x="C1")*1)=1, 1, 0))</f>
        <v>0</v>
      </c>
      <c r="X97" s="25" cm="1">
        <f t="array" ref="X97">_xlfn.LET(_xlpm.x, L97:L99, IF(SUM((_xlpm.x="C1")*1)=1, 1, 0))</f>
        <v>0</v>
      </c>
      <c r="Y97" s="25" cm="1">
        <f t="array" ref="Y97">_xlfn.LET(_xlpm.x, M97:M99, IF(SUM((_xlpm.x="C1")*1)=1, 1, 0))</f>
        <v>0</v>
      </c>
      <c r="Z97" s="25">
        <v>1</v>
      </c>
      <c r="AA97" s="25">
        <v>1</v>
      </c>
      <c r="AH97" s="5"/>
      <c r="AI97" s="5"/>
      <c r="AO97" s="5"/>
    </row>
    <row r="98" spans="10:41" x14ac:dyDescent="0.3">
      <c r="J98" s="25">
        <v>94</v>
      </c>
      <c r="K98" s="16" t="s">
        <v>19</v>
      </c>
      <c r="L98" s="16" t="s">
        <v>89</v>
      </c>
      <c r="M98" s="16" t="s">
        <v>19</v>
      </c>
      <c r="N98" s="16" t="s">
        <v>21</v>
      </c>
      <c r="O98" s="16" t="s">
        <v>36</v>
      </c>
      <c r="Q98" s="9">
        <v>5</v>
      </c>
      <c r="R98" s="9">
        <v>12</v>
      </c>
      <c r="S98" s="9">
        <v>5</v>
      </c>
      <c r="T98" s="9">
        <v>2</v>
      </c>
      <c r="U98" s="9">
        <v>10</v>
      </c>
      <c r="W98" s="25" cm="1">
        <f t="array" ref="W98">_xlfn.LET(_xlpm.x, K98:K100, IF(SUM((_xlpm.x="C1")*1)=1, 1, 0))</f>
        <v>0</v>
      </c>
      <c r="X98" s="25" cm="1">
        <f t="array" ref="X98">_xlfn.LET(_xlpm.x, L98:L100, IF(SUM((_xlpm.x="C1")*1)=1, 1, 0))</f>
        <v>0</v>
      </c>
      <c r="Y98" s="25" cm="1">
        <f t="array" ref="Y98">_xlfn.LET(_xlpm.x, M98:M100, IF(SUM((_xlpm.x="C1")*1)=1, 1, 0))</f>
        <v>0</v>
      </c>
      <c r="Z98" s="25">
        <v>1</v>
      </c>
      <c r="AA98" s="25">
        <v>1</v>
      </c>
      <c r="AH98" s="5"/>
      <c r="AI98" s="5"/>
      <c r="AO98" s="5"/>
    </row>
    <row r="99" spans="10:41" x14ac:dyDescent="0.3">
      <c r="J99" s="9">
        <v>95</v>
      </c>
      <c r="K99" s="16" t="s">
        <v>19</v>
      </c>
      <c r="L99" s="16" t="s">
        <v>21</v>
      </c>
      <c r="M99" s="16" t="s">
        <v>34</v>
      </c>
      <c r="N99" s="16" t="s">
        <v>36</v>
      </c>
      <c r="O99" s="16" t="s">
        <v>19</v>
      </c>
      <c r="Q99" s="9">
        <v>5</v>
      </c>
      <c r="R99" s="9">
        <v>2</v>
      </c>
      <c r="S99" s="9">
        <v>9</v>
      </c>
      <c r="T99" s="9">
        <v>10</v>
      </c>
      <c r="U99" s="9">
        <v>5</v>
      </c>
      <c r="W99" s="25" cm="1">
        <f t="array" ref="W99">_xlfn.LET(_xlpm.x, K99:K101, IF(SUM((_xlpm.x="C1")*1)=1, 1, 0))</f>
        <v>0</v>
      </c>
      <c r="X99" s="25" cm="1">
        <f t="array" ref="X99">_xlfn.LET(_xlpm.x, L99:L101, IF(SUM((_xlpm.x="C1")*1)=1, 1, 0))</f>
        <v>0</v>
      </c>
      <c r="Y99" s="25" cm="1">
        <f t="array" ref="Y99">_xlfn.LET(_xlpm.x, M99:M101, IF(SUM((_xlpm.x="C1")*1)=1, 1, 0))</f>
        <v>0</v>
      </c>
      <c r="Z99" s="25">
        <v>1</v>
      </c>
      <c r="AA99" s="25">
        <v>1</v>
      </c>
      <c r="AH99" s="5"/>
      <c r="AI99" s="5"/>
      <c r="AO99" s="5"/>
    </row>
    <row r="100" spans="10:41" x14ac:dyDescent="0.3">
      <c r="J100" s="25">
        <v>96</v>
      </c>
      <c r="K100" s="16" t="s">
        <v>37</v>
      </c>
      <c r="L100" s="16" t="s">
        <v>19</v>
      </c>
      <c r="M100" s="16" t="s">
        <v>35</v>
      </c>
      <c r="N100" s="16" t="s">
        <v>21</v>
      </c>
      <c r="O100" s="16" t="s">
        <v>21</v>
      </c>
      <c r="Q100" s="9">
        <v>7</v>
      </c>
      <c r="R100" s="9">
        <v>5</v>
      </c>
      <c r="S100" s="9">
        <v>8</v>
      </c>
      <c r="T100" s="9">
        <v>2</v>
      </c>
      <c r="U100" s="9">
        <v>2</v>
      </c>
      <c r="W100" s="25" cm="1">
        <f t="array" ref="W100">_xlfn.LET(_xlpm.x, K100:K102, IF(SUM((_xlpm.x="C1")*1)=1, 1, 0))</f>
        <v>1</v>
      </c>
      <c r="X100" s="25" cm="1">
        <f t="array" ref="X100">_xlfn.LET(_xlpm.x, L100:L102, IF(SUM((_xlpm.x="C1")*1)=1, 1, 0))</f>
        <v>0</v>
      </c>
      <c r="Y100" s="25" cm="1">
        <f t="array" ref="Y100">_xlfn.LET(_xlpm.x, M100:M102, IF(SUM((_xlpm.x="C1")*1)=1, 1, 0))</f>
        <v>0</v>
      </c>
      <c r="Z100" s="25">
        <v>1</v>
      </c>
      <c r="AA100" s="25">
        <v>1</v>
      </c>
      <c r="AH100" s="5"/>
      <c r="AI100" s="5"/>
      <c r="AO100" s="5"/>
    </row>
    <row r="101" spans="10:41" x14ac:dyDescent="0.3">
      <c r="J101" s="9">
        <v>97</v>
      </c>
      <c r="K101" s="16" t="s">
        <v>35</v>
      </c>
      <c r="L101" s="16" t="s">
        <v>19</v>
      </c>
      <c r="M101" s="16" t="s">
        <v>19</v>
      </c>
      <c r="N101" s="16" t="s">
        <v>21</v>
      </c>
      <c r="O101" s="16" t="s">
        <v>21</v>
      </c>
      <c r="Q101" s="9">
        <v>8</v>
      </c>
      <c r="R101" s="9">
        <v>5</v>
      </c>
      <c r="S101" s="9">
        <v>5</v>
      </c>
      <c r="T101" s="9">
        <v>2</v>
      </c>
      <c r="U101" s="9">
        <v>2</v>
      </c>
      <c r="W101" s="25" cm="1">
        <f t="array" ref="W101">_xlfn.LET(_xlpm.x, K101:K103, IF(SUM((_xlpm.x="C1")*1)=1, 1, 0))</f>
        <v>1</v>
      </c>
      <c r="X101" s="25" cm="1">
        <f t="array" ref="X101">_xlfn.LET(_xlpm.x, L101:L103, IF(SUM((_xlpm.x="C1")*1)=1, 1, 0))</f>
        <v>0</v>
      </c>
      <c r="Y101" s="25" cm="1">
        <f t="array" ref="Y101">_xlfn.LET(_xlpm.x, M101:M103, IF(SUM((_xlpm.x="C1")*1)=1, 1, 0))</f>
        <v>0</v>
      </c>
      <c r="Z101" s="25">
        <v>1</v>
      </c>
      <c r="AA101" s="25">
        <v>1</v>
      </c>
      <c r="AH101" s="5"/>
      <c r="AI101" s="5"/>
      <c r="AO101" s="5"/>
    </row>
    <row r="102" spans="10:41" x14ac:dyDescent="0.3">
      <c r="J102" s="25">
        <v>98</v>
      </c>
      <c r="K102" s="16" t="s">
        <v>20</v>
      </c>
      <c r="L102" s="16" t="s">
        <v>88</v>
      </c>
      <c r="M102" s="16" t="s">
        <v>19</v>
      </c>
      <c r="N102" s="16" t="s">
        <v>19</v>
      </c>
      <c r="O102" s="16" t="s">
        <v>125</v>
      </c>
      <c r="Q102" s="9">
        <v>1</v>
      </c>
      <c r="R102" s="9">
        <v>11</v>
      </c>
      <c r="S102" s="9">
        <v>5</v>
      </c>
      <c r="T102" s="9">
        <v>5</v>
      </c>
      <c r="U102" s="9">
        <v>6</v>
      </c>
      <c r="W102" s="25" cm="1">
        <f t="array" ref="W102">_xlfn.LET(_xlpm.x, K102:K104, IF(SUM((_xlpm.x="C1")*1)=1, 1, 0))</f>
        <v>1</v>
      </c>
      <c r="X102" s="25" cm="1">
        <f t="array" ref="X102">_xlfn.LET(_xlpm.x, L102:L104, IF(SUM((_xlpm.x="C1")*1)=1, 1, 0))</f>
        <v>0</v>
      </c>
      <c r="Y102" s="25" cm="1">
        <f t="array" ref="Y102">_xlfn.LET(_xlpm.x, M102:M104, IF(SUM((_xlpm.x="C1")*1)=1, 1, 0))</f>
        <v>0</v>
      </c>
      <c r="Z102" s="25">
        <v>1</v>
      </c>
      <c r="AA102" s="25">
        <v>1</v>
      </c>
      <c r="AH102" s="5"/>
      <c r="AI102" s="5"/>
      <c r="AO102" s="5"/>
    </row>
    <row r="103" spans="10:41" x14ac:dyDescent="0.3">
      <c r="J103" s="9">
        <v>99</v>
      </c>
      <c r="K103" s="16" t="s">
        <v>326</v>
      </c>
      <c r="L103" s="16" t="s">
        <v>126</v>
      </c>
      <c r="M103" s="16" t="s">
        <v>35</v>
      </c>
      <c r="N103" s="16" t="s">
        <v>34</v>
      </c>
      <c r="O103" s="16" t="s">
        <v>34</v>
      </c>
      <c r="Q103" s="9">
        <v>6</v>
      </c>
      <c r="R103" s="9">
        <v>15</v>
      </c>
      <c r="S103" s="9">
        <v>8</v>
      </c>
      <c r="T103" s="9">
        <v>9</v>
      </c>
      <c r="U103" s="9">
        <v>9</v>
      </c>
      <c r="W103" s="25" cm="1">
        <f t="array" ref="W103">_xlfn.LET(_xlpm.x, K103:K105, IF(SUM((_xlpm.x="C1")*1)=1, 1, 0))</f>
        <v>0</v>
      </c>
      <c r="X103" s="25" cm="1">
        <f t="array" ref="X103">_xlfn.LET(_xlpm.x, L103:L105, IF(SUM((_xlpm.x="C1")*1)=1, 1, 0))</f>
        <v>0</v>
      </c>
      <c r="Y103" s="25" cm="1">
        <f t="array" ref="Y103">_xlfn.LET(_xlpm.x, M103:M105, IF(SUM((_xlpm.x="C1")*1)=1, 1, 0))</f>
        <v>0</v>
      </c>
      <c r="Z103" s="25">
        <v>1</v>
      </c>
      <c r="AA103" s="25">
        <v>1</v>
      </c>
      <c r="AH103" s="5"/>
      <c r="AI103" s="5"/>
      <c r="AO103" s="5"/>
    </row>
    <row r="104" spans="10:41" x14ac:dyDescent="0.3">
      <c r="J104" s="25">
        <v>100</v>
      </c>
      <c r="K104" s="16" t="s">
        <v>326</v>
      </c>
      <c r="L104" s="16" t="s">
        <v>18</v>
      </c>
      <c r="M104" s="16" t="s">
        <v>37</v>
      </c>
      <c r="N104" s="16" t="s">
        <v>37</v>
      </c>
      <c r="O104" s="16" t="s">
        <v>18</v>
      </c>
      <c r="Q104" s="9">
        <v>6</v>
      </c>
      <c r="R104" s="9">
        <v>4</v>
      </c>
      <c r="S104" s="9">
        <v>7</v>
      </c>
      <c r="T104" s="9">
        <v>7</v>
      </c>
      <c r="U104" s="9">
        <v>4</v>
      </c>
      <c r="W104" s="25" cm="1">
        <f t="array" ref="W104">_xlfn.LET(_xlpm.x, K104:K106, IF(SUM((_xlpm.x="C1")*1)=1, 1, 0))</f>
        <v>0</v>
      </c>
      <c r="X104" s="25" cm="1">
        <f t="array" ref="X104">_xlfn.LET(_xlpm.x, L104:L106, IF(SUM((_xlpm.x="C1")*1)=1, 1, 0))</f>
        <v>0</v>
      </c>
      <c r="Y104" s="25" cm="1">
        <f t="array" ref="Y104">_xlfn.LET(_xlpm.x, M104:M106, IF(SUM((_xlpm.x="C1")*1)=1, 1, 0))</f>
        <v>0</v>
      </c>
      <c r="Z104" s="25">
        <v>1</v>
      </c>
      <c r="AA104" s="25">
        <v>1</v>
      </c>
      <c r="AH104" s="5"/>
      <c r="AI104" s="5"/>
      <c r="AO104" s="5"/>
    </row>
    <row r="105" spans="10:41" x14ac:dyDescent="0.3">
      <c r="J105" s="25">
        <v>101</v>
      </c>
      <c r="K105" s="16" t="s">
        <v>34</v>
      </c>
      <c r="L105" s="16" t="s">
        <v>125</v>
      </c>
      <c r="M105" s="16" t="s">
        <v>37</v>
      </c>
      <c r="N105" s="16" t="s">
        <v>35</v>
      </c>
      <c r="O105" s="16" t="s">
        <v>19</v>
      </c>
      <c r="Q105" s="9">
        <v>9</v>
      </c>
      <c r="R105" s="9">
        <v>6</v>
      </c>
      <c r="S105" s="9">
        <v>7</v>
      </c>
      <c r="T105" s="9">
        <v>8</v>
      </c>
      <c r="U105" s="9">
        <v>5</v>
      </c>
      <c r="W105" s="25" cm="1">
        <f t="array" ref="W105">_xlfn.LET(_xlpm.x, K105:K107, IF(SUM((_xlpm.x="C1")*1)=1, 1, 0))</f>
        <v>0</v>
      </c>
      <c r="X105" s="25" cm="1">
        <f t="array" ref="X105">_xlfn.LET(_xlpm.x, L105:L107, IF(SUM((_xlpm.x="C1")*1)=1, 1, 0))</f>
        <v>0</v>
      </c>
      <c r="Y105" s="25" cm="1">
        <f t="array" ref="Y105">_xlfn.LET(_xlpm.x, M105:M107, IF(SUM((_xlpm.x="C1")*1)=1, 1, 0))</f>
        <v>0</v>
      </c>
      <c r="Z105" s="25">
        <v>1</v>
      </c>
      <c r="AA105" s="25">
        <v>1</v>
      </c>
      <c r="AH105" s="5"/>
      <c r="AI105" s="5"/>
      <c r="AO105" s="5"/>
    </row>
    <row r="106" spans="10:41" x14ac:dyDescent="0.3">
      <c r="J106" s="9">
        <v>102</v>
      </c>
      <c r="K106" s="16" t="s">
        <v>18</v>
      </c>
      <c r="L106" s="16" t="s">
        <v>125</v>
      </c>
      <c r="M106" s="16" t="s">
        <v>125</v>
      </c>
      <c r="N106" s="16" t="s">
        <v>35</v>
      </c>
      <c r="O106" s="16" t="s">
        <v>34</v>
      </c>
      <c r="Q106" s="9">
        <v>4</v>
      </c>
      <c r="R106" s="9">
        <v>6</v>
      </c>
      <c r="S106" s="9">
        <v>6</v>
      </c>
      <c r="T106" s="9">
        <v>8</v>
      </c>
      <c r="U106" s="9">
        <v>9</v>
      </c>
      <c r="W106" s="25" cm="1">
        <f t="array" ref="W106">_xlfn.LET(_xlpm.x, K106:K108, IF(SUM((_xlpm.x="C1")*1)=1, 1, 0))</f>
        <v>0</v>
      </c>
      <c r="X106" s="25" cm="1">
        <f t="array" ref="X106">_xlfn.LET(_xlpm.x, L106:L108, IF(SUM((_xlpm.x="C1")*1)=1, 1, 0))</f>
        <v>0</v>
      </c>
      <c r="Y106" s="25" cm="1">
        <f t="array" ref="Y106">_xlfn.LET(_xlpm.x, M106:M108, IF(SUM((_xlpm.x="C1")*1)=1, 1, 0))</f>
        <v>0</v>
      </c>
      <c r="Z106" s="25">
        <v>1</v>
      </c>
      <c r="AA106" s="25">
        <v>1</v>
      </c>
      <c r="AH106" s="5"/>
      <c r="AI106" s="5"/>
      <c r="AO106" s="5"/>
    </row>
    <row r="107" spans="10:41" x14ac:dyDescent="0.3">
      <c r="J107" s="25">
        <v>103</v>
      </c>
      <c r="K107" s="16" t="s">
        <v>35</v>
      </c>
      <c r="L107" s="16" t="s">
        <v>125</v>
      </c>
      <c r="M107" s="16" t="s">
        <v>22</v>
      </c>
      <c r="N107" s="16" t="s">
        <v>19</v>
      </c>
      <c r="O107" s="16" t="s">
        <v>36</v>
      </c>
      <c r="Q107" s="9">
        <v>8</v>
      </c>
      <c r="R107" s="9">
        <v>6</v>
      </c>
      <c r="S107" s="9">
        <v>3</v>
      </c>
      <c r="T107" s="9">
        <v>5</v>
      </c>
      <c r="U107" s="9">
        <v>10</v>
      </c>
      <c r="W107" s="25" cm="1">
        <f t="array" ref="W107">_xlfn.LET(_xlpm.x, K107:K109, IF(SUM((_xlpm.x="C1")*1)=1, 1, 0))</f>
        <v>0</v>
      </c>
      <c r="X107" s="25" cm="1">
        <f t="array" ref="X107">_xlfn.LET(_xlpm.x, L107:L109, IF(SUM((_xlpm.x="C1")*1)=1, 1, 0))</f>
        <v>0</v>
      </c>
      <c r="Y107" s="25" cm="1">
        <f t="array" ref="Y107">_xlfn.LET(_xlpm.x, M107:M109, IF(SUM((_xlpm.x="C1")*1)=1, 1, 0))</f>
        <v>0</v>
      </c>
      <c r="Z107" s="25">
        <v>1</v>
      </c>
      <c r="AA107" s="25">
        <v>1</v>
      </c>
      <c r="AH107" s="5"/>
      <c r="AI107" s="5"/>
      <c r="AO107" s="5"/>
    </row>
    <row r="108" spans="10:41" x14ac:dyDescent="0.3">
      <c r="J108" s="9">
        <v>104</v>
      </c>
      <c r="K108" s="16" t="s">
        <v>19</v>
      </c>
      <c r="L108" s="16" t="s">
        <v>36</v>
      </c>
      <c r="M108" s="16" t="s">
        <v>35</v>
      </c>
      <c r="N108" s="16" t="s">
        <v>36</v>
      </c>
      <c r="O108" s="16" t="s">
        <v>36</v>
      </c>
      <c r="Q108" s="9">
        <v>5</v>
      </c>
      <c r="R108" s="9">
        <v>10</v>
      </c>
      <c r="S108" s="9">
        <v>8</v>
      </c>
      <c r="T108" s="9">
        <v>10</v>
      </c>
      <c r="U108" s="9">
        <v>10</v>
      </c>
      <c r="W108" s="25" cm="1">
        <f t="array" ref="W108">_xlfn.LET(_xlpm.x, K108:K110, IF(SUM((_xlpm.x="C1")*1)=1, 1, 0))</f>
        <v>0</v>
      </c>
      <c r="X108" s="25" cm="1">
        <f t="array" ref="X108">_xlfn.LET(_xlpm.x, L108:L110, IF(SUM((_xlpm.x="C1")*1)=1, 1, 0))</f>
        <v>0</v>
      </c>
      <c r="Y108" s="25" cm="1">
        <f t="array" ref="Y108">_xlfn.LET(_xlpm.x, M108:M110, IF(SUM((_xlpm.x="C1")*1)=1, 1, 0))</f>
        <v>0</v>
      </c>
      <c r="Z108" s="25">
        <v>1</v>
      </c>
      <c r="AA108" s="25">
        <v>1</v>
      </c>
      <c r="AH108" s="5"/>
      <c r="AI108" s="5"/>
      <c r="AO108" s="5"/>
    </row>
    <row r="109" spans="10:41" x14ac:dyDescent="0.3">
      <c r="J109" s="25">
        <v>105</v>
      </c>
      <c r="K109" s="16" t="s">
        <v>36</v>
      </c>
      <c r="L109" s="16" t="s">
        <v>22</v>
      </c>
      <c r="M109" s="16" t="s">
        <v>37</v>
      </c>
      <c r="N109" s="16" t="s">
        <v>34</v>
      </c>
      <c r="O109" s="16" t="s">
        <v>22</v>
      </c>
      <c r="Q109" s="9">
        <v>10</v>
      </c>
      <c r="R109" s="9">
        <v>3</v>
      </c>
      <c r="S109" s="9">
        <v>7</v>
      </c>
      <c r="T109" s="9">
        <v>9</v>
      </c>
      <c r="U109" s="9">
        <v>3</v>
      </c>
      <c r="W109" s="25" cm="1">
        <f t="array" ref="W109">_xlfn.LET(_xlpm.x, K109:K111, IF(SUM((_xlpm.x="C1")*1)=1, 1, 0))</f>
        <v>0</v>
      </c>
      <c r="X109" s="25" cm="1">
        <f t="array" ref="X109">_xlfn.LET(_xlpm.x, L109:L111, IF(SUM((_xlpm.x="C1")*1)=1, 1, 0))</f>
        <v>0</v>
      </c>
      <c r="Y109" s="25" cm="1">
        <f t="array" ref="Y109">_xlfn.LET(_xlpm.x, M109:M111, IF(SUM((_xlpm.x="C1")*1)=1, 1, 0))</f>
        <v>1</v>
      </c>
      <c r="Z109" s="25">
        <v>1</v>
      </c>
      <c r="AA109" s="25">
        <v>1</v>
      </c>
      <c r="AH109" s="5"/>
      <c r="AI109" s="5"/>
      <c r="AO109" s="5"/>
    </row>
    <row r="110" spans="10:41" x14ac:dyDescent="0.3">
      <c r="J110" s="9">
        <v>106</v>
      </c>
      <c r="K110" s="16" t="s">
        <v>35</v>
      </c>
      <c r="L110" s="16" t="s">
        <v>18</v>
      </c>
      <c r="M110" s="16" t="s">
        <v>19</v>
      </c>
      <c r="N110" s="16" t="s">
        <v>20</v>
      </c>
      <c r="O110" s="16" t="s">
        <v>34</v>
      </c>
      <c r="Q110" s="9">
        <v>8</v>
      </c>
      <c r="R110" s="9">
        <v>4</v>
      </c>
      <c r="S110" s="9">
        <v>5</v>
      </c>
      <c r="T110" s="9">
        <v>1</v>
      </c>
      <c r="U110" s="9">
        <v>9</v>
      </c>
      <c r="W110" s="25" cm="1">
        <f t="array" ref="W110">_xlfn.LET(_xlpm.x, K110:K112, IF(SUM((_xlpm.x="C1")*1)=1, 1, 0))</f>
        <v>0</v>
      </c>
      <c r="X110" s="25" cm="1">
        <f t="array" ref="X110">_xlfn.LET(_xlpm.x, L110:L112, IF(SUM((_xlpm.x="C1")*1)=1, 1, 0))</f>
        <v>0</v>
      </c>
      <c r="Y110" s="25" cm="1">
        <f t="array" ref="Y110">_xlfn.LET(_xlpm.x, M110:M112, IF(SUM((_xlpm.x="C1")*1)=1, 1, 0))</f>
        <v>1</v>
      </c>
      <c r="Z110" s="25">
        <v>1</v>
      </c>
      <c r="AA110" s="25">
        <v>1</v>
      </c>
      <c r="AH110" s="5"/>
      <c r="AI110" s="5"/>
      <c r="AO110" s="5"/>
    </row>
    <row r="111" spans="10:41" x14ac:dyDescent="0.3">
      <c r="J111" s="25">
        <v>107</v>
      </c>
      <c r="K111" s="16" t="s">
        <v>35</v>
      </c>
      <c r="L111" s="16" t="s">
        <v>97</v>
      </c>
      <c r="M111" s="16" t="s">
        <v>20</v>
      </c>
      <c r="N111" s="16" t="s">
        <v>125</v>
      </c>
      <c r="O111" s="16" t="s">
        <v>18</v>
      </c>
      <c r="Q111" s="9">
        <v>8</v>
      </c>
      <c r="R111" s="9">
        <v>19</v>
      </c>
      <c r="S111" s="9">
        <v>1</v>
      </c>
      <c r="T111" s="9">
        <v>6</v>
      </c>
      <c r="U111" s="9">
        <v>4</v>
      </c>
      <c r="W111" s="25" cm="1">
        <f t="array" ref="W111">_xlfn.LET(_xlpm.x, K111:K113, IF(SUM((_xlpm.x="C1")*1)=1, 1, 0))</f>
        <v>0</v>
      </c>
      <c r="X111" s="25" cm="1">
        <f t="array" ref="X111">_xlfn.LET(_xlpm.x, L111:L113, IF(SUM((_xlpm.x="C1")*1)=1, 1, 0))</f>
        <v>0</v>
      </c>
      <c r="Y111" s="25" cm="1">
        <f t="array" ref="Y111">_xlfn.LET(_xlpm.x, M111:M113, IF(SUM((_xlpm.x="C1")*1)=1, 1, 0))</f>
        <v>1</v>
      </c>
      <c r="Z111" s="25">
        <v>1</v>
      </c>
      <c r="AA111" s="25">
        <v>1</v>
      </c>
      <c r="AH111" s="5"/>
      <c r="AI111" s="5"/>
      <c r="AO111" s="5"/>
    </row>
    <row r="112" spans="10:41" x14ac:dyDescent="0.3">
      <c r="J112" s="9">
        <v>108</v>
      </c>
      <c r="K112" s="16" t="s">
        <v>35</v>
      </c>
      <c r="L112" s="16" t="s">
        <v>95</v>
      </c>
      <c r="M112" s="16" t="s">
        <v>126</v>
      </c>
      <c r="N112" s="16" t="s">
        <v>21</v>
      </c>
      <c r="O112" s="16" t="s">
        <v>22</v>
      </c>
      <c r="Q112" s="9">
        <v>8</v>
      </c>
      <c r="R112" s="9">
        <v>18</v>
      </c>
      <c r="S112" s="9">
        <v>15</v>
      </c>
      <c r="T112" s="9">
        <v>2</v>
      </c>
      <c r="U112" s="9">
        <v>3</v>
      </c>
      <c r="W112" s="25" cm="1">
        <f t="array" ref="W112">_xlfn.LET(_xlpm.x, K112:K114, IF(SUM((_xlpm.x="C1")*1)=1, 1, 0))</f>
        <v>0</v>
      </c>
      <c r="X112" s="25" cm="1">
        <f t="array" ref="X112">_xlfn.LET(_xlpm.x, L112:L114, IF(SUM((_xlpm.x="C1")*1)=1, 1, 0))</f>
        <v>0</v>
      </c>
      <c r="Y112" s="25" cm="1">
        <f t="array" ref="Y112">_xlfn.LET(_xlpm.x, M112:M114, IF(SUM((_xlpm.x="C1")*1)=1, 1, 0))</f>
        <v>0</v>
      </c>
      <c r="Z112" s="25">
        <v>1</v>
      </c>
      <c r="AA112" s="25">
        <v>1</v>
      </c>
      <c r="AH112" s="5"/>
      <c r="AI112" s="5"/>
      <c r="AO112" s="5"/>
    </row>
    <row r="113" spans="10:41" x14ac:dyDescent="0.3">
      <c r="J113" s="25">
        <v>109</v>
      </c>
      <c r="K113" s="16" t="s">
        <v>37</v>
      </c>
      <c r="L113" s="16" t="s">
        <v>125</v>
      </c>
      <c r="M113" s="16" t="s">
        <v>92</v>
      </c>
      <c r="N113" s="16" t="s">
        <v>21</v>
      </c>
      <c r="O113" s="16" t="s">
        <v>21</v>
      </c>
      <c r="Q113" s="9">
        <v>7</v>
      </c>
      <c r="R113" s="9">
        <v>6</v>
      </c>
      <c r="S113" s="9">
        <v>16</v>
      </c>
      <c r="T113" s="9">
        <v>2</v>
      </c>
      <c r="U113" s="9">
        <v>2</v>
      </c>
      <c r="W113" s="25" cm="1">
        <f t="array" ref="W113">_xlfn.LET(_xlpm.x, K113:K115, IF(SUM((_xlpm.x="C1")*1)=1, 1, 0))</f>
        <v>0</v>
      </c>
      <c r="X113" s="25" cm="1">
        <f t="array" ref="X113">_xlfn.LET(_xlpm.x, L113:L115, IF(SUM((_xlpm.x="C1")*1)=1, 1, 0))</f>
        <v>0</v>
      </c>
      <c r="Y113" s="25" cm="1">
        <f t="array" ref="Y113">_xlfn.LET(_xlpm.x, M113:M115, IF(SUM((_xlpm.x="C1")*1)=1, 1, 0))</f>
        <v>0</v>
      </c>
      <c r="Z113" s="25">
        <v>1</v>
      </c>
      <c r="AA113" s="25">
        <v>1</v>
      </c>
      <c r="AH113" s="5"/>
      <c r="AI113" s="5"/>
      <c r="AO113" s="5"/>
    </row>
    <row r="114" spans="10:41" x14ac:dyDescent="0.3">
      <c r="J114" s="9">
        <v>110</v>
      </c>
      <c r="K114" s="16" t="s">
        <v>125</v>
      </c>
      <c r="L114" s="16" t="s">
        <v>112</v>
      </c>
      <c r="M114" s="16" t="s">
        <v>35</v>
      </c>
      <c r="N114" s="16" t="s">
        <v>21</v>
      </c>
      <c r="O114" s="16" t="s">
        <v>19</v>
      </c>
      <c r="Q114" s="9">
        <v>6</v>
      </c>
      <c r="R114" s="9">
        <v>17</v>
      </c>
      <c r="S114" s="9">
        <v>8</v>
      </c>
      <c r="T114" s="9">
        <v>2</v>
      </c>
      <c r="U114" s="9">
        <v>5</v>
      </c>
      <c r="W114" s="25" cm="1">
        <f t="array" ref="W114">_xlfn.LET(_xlpm.x, K114:K116, IF(SUM((_xlpm.x="C1")*1)=1, 1, 0))</f>
        <v>0</v>
      </c>
      <c r="X114" s="25" cm="1">
        <f t="array" ref="X114">_xlfn.LET(_xlpm.x, L114:L116, IF(SUM((_xlpm.x="C1")*1)=1, 1, 0))</f>
        <v>0</v>
      </c>
      <c r="Y114" s="25" cm="1">
        <f t="array" ref="Y114">_xlfn.LET(_xlpm.x, M114:M116, IF(SUM((_xlpm.x="C1")*1)=1, 1, 0))</f>
        <v>0</v>
      </c>
      <c r="Z114" s="25">
        <v>1</v>
      </c>
      <c r="AA114" s="25">
        <v>1</v>
      </c>
      <c r="AH114" s="5"/>
      <c r="AI114" s="5"/>
      <c r="AO114" s="5"/>
    </row>
    <row r="115" spans="10:41" x14ac:dyDescent="0.3">
      <c r="J115" s="25">
        <v>111</v>
      </c>
      <c r="K115" s="16" t="s">
        <v>19</v>
      </c>
      <c r="L115" s="16" t="s">
        <v>35</v>
      </c>
      <c r="M115" s="16" t="s">
        <v>19</v>
      </c>
      <c r="N115" s="16" t="s">
        <v>36</v>
      </c>
      <c r="O115" s="16" t="s">
        <v>19</v>
      </c>
      <c r="Q115" s="9">
        <v>5</v>
      </c>
      <c r="R115" s="9">
        <v>8</v>
      </c>
      <c r="S115" s="9">
        <v>5</v>
      </c>
      <c r="T115" s="9">
        <v>10</v>
      </c>
      <c r="U115" s="9">
        <v>5</v>
      </c>
      <c r="W115" s="25" cm="1">
        <f t="array" ref="W115">_xlfn.LET(_xlpm.x, K115:K117, IF(SUM((_xlpm.x="C1")*1)=1, 1, 0))</f>
        <v>0</v>
      </c>
      <c r="X115" s="25" cm="1">
        <f t="array" ref="X115">_xlfn.LET(_xlpm.x, L115:L117, IF(SUM((_xlpm.x="C1")*1)=1, 1, 0))</f>
        <v>0</v>
      </c>
      <c r="Y115" s="25" cm="1">
        <f t="array" ref="Y115">_xlfn.LET(_xlpm.x, M115:M117, IF(SUM((_xlpm.x="C1")*1)=1, 1, 0))</f>
        <v>0</v>
      </c>
      <c r="Z115" s="25">
        <v>1</v>
      </c>
      <c r="AA115" s="25">
        <v>1</v>
      </c>
      <c r="AH115" s="5"/>
      <c r="AI115" s="5"/>
      <c r="AO115" s="5"/>
    </row>
    <row r="116" spans="10:41" x14ac:dyDescent="0.3">
      <c r="J116" s="9">
        <v>112</v>
      </c>
      <c r="K116" s="16" t="s">
        <v>37</v>
      </c>
      <c r="L116" s="16" t="s">
        <v>34</v>
      </c>
      <c r="M116" s="16" t="s">
        <v>125</v>
      </c>
      <c r="N116" s="16" t="s">
        <v>35</v>
      </c>
      <c r="O116" s="16" t="s">
        <v>37</v>
      </c>
      <c r="Q116" s="9">
        <v>7</v>
      </c>
      <c r="R116" s="9">
        <v>9</v>
      </c>
      <c r="S116" s="9">
        <v>6</v>
      </c>
      <c r="T116" s="9">
        <v>8</v>
      </c>
      <c r="U116" s="9">
        <v>7</v>
      </c>
      <c r="W116" s="25" cm="1">
        <f t="array" ref="W116">_xlfn.LET(_xlpm.x, K116:K118, IF(SUM((_xlpm.x="C1")*1)=1, 1, 0))</f>
        <v>0</v>
      </c>
      <c r="X116" s="25" cm="1">
        <f t="array" ref="X116">_xlfn.LET(_xlpm.x, L116:L118, IF(SUM((_xlpm.x="C1")*1)=1, 1, 0))</f>
        <v>0</v>
      </c>
      <c r="Y116" s="25" cm="1">
        <f t="array" ref="Y116">_xlfn.LET(_xlpm.x, M116:M118, IF(SUM((_xlpm.x="C1")*1)=1, 1, 0))</f>
        <v>0</v>
      </c>
      <c r="Z116" s="25">
        <v>1</v>
      </c>
      <c r="AA116" s="25">
        <v>1</v>
      </c>
      <c r="AH116" s="5"/>
      <c r="AI116" s="5"/>
      <c r="AO116" s="5"/>
    </row>
    <row r="117" spans="10:41" x14ac:dyDescent="0.3">
      <c r="J117" s="25">
        <v>113</v>
      </c>
      <c r="K117" s="16" t="s">
        <v>125</v>
      </c>
      <c r="L117" s="16" t="s">
        <v>34</v>
      </c>
      <c r="M117" s="16" t="s">
        <v>112</v>
      </c>
      <c r="N117" s="16" t="s">
        <v>36</v>
      </c>
      <c r="O117" s="16" t="s">
        <v>22</v>
      </c>
      <c r="Q117" s="9">
        <v>6</v>
      </c>
      <c r="R117" s="9">
        <v>9</v>
      </c>
      <c r="S117" s="9">
        <v>17</v>
      </c>
      <c r="T117" s="9">
        <v>10</v>
      </c>
      <c r="U117" s="9">
        <v>3</v>
      </c>
      <c r="W117" s="25" cm="1">
        <f t="array" ref="W117">_xlfn.LET(_xlpm.x, K117:K119, IF(SUM((_xlpm.x="C1")*1)=1, 1, 0))</f>
        <v>0</v>
      </c>
      <c r="X117" s="25" cm="1">
        <f t="array" ref="X117">_xlfn.LET(_xlpm.x, L117:L119, IF(SUM((_xlpm.x="C1")*1)=1, 1, 0))</f>
        <v>0</v>
      </c>
      <c r="Y117" s="25" cm="1">
        <f t="array" ref="Y117">_xlfn.LET(_xlpm.x, M117:M119, IF(SUM((_xlpm.x="C1")*1)=1, 1, 0))</f>
        <v>0</v>
      </c>
      <c r="Z117" s="25">
        <v>1</v>
      </c>
      <c r="AA117" s="25">
        <v>1</v>
      </c>
      <c r="AH117" s="5"/>
      <c r="AI117" s="5"/>
      <c r="AO117" s="5"/>
    </row>
    <row r="118" spans="10:41" x14ac:dyDescent="0.3">
      <c r="J118" s="9">
        <v>114</v>
      </c>
      <c r="K118" s="16" t="s">
        <v>35</v>
      </c>
      <c r="L118" s="16" t="s">
        <v>90</v>
      </c>
      <c r="M118" s="16" t="s">
        <v>37</v>
      </c>
      <c r="N118" s="16" t="s">
        <v>22</v>
      </c>
      <c r="O118" s="16" t="s">
        <v>125</v>
      </c>
      <c r="Q118" s="9">
        <v>8</v>
      </c>
      <c r="R118" s="9">
        <v>13</v>
      </c>
      <c r="S118" s="9">
        <v>7</v>
      </c>
      <c r="T118" s="9">
        <v>3</v>
      </c>
      <c r="U118" s="9">
        <v>6</v>
      </c>
      <c r="W118" s="25" cm="1">
        <f t="array" ref="W118">_xlfn.LET(_xlpm.x, K118:K120, IF(SUM((_xlpm.x="C1")*1)=1, 1, 0))</f>
        <v>0</v>
      </c>
      <c r="X118" s="25" cm="1">
        <f t="array" ref="X118">_xlfn.LET(_xlpm.x, L118:L120, IF(SUM((_xlpm.x="C1")*1)=1, 1, 0))</f>
        <v>0</v>
      </c>
      <c r="Y118" s="25" cm="1">
        <f t="array" ref="Y118">_xlfn.LET(_xlpm.x, M118:M120, IF(SUM((_xlpm.x="C1")*1)=1, 1, 0))</f>
        <v>0</v>
      </c>
      <c r="Z118" s="25">
        <v>1</v>
      </c>
      <c r="AA118" s="25">
        <v>1</v>
      </c>
      <c r="AH118" s="5"/>
      <c r="AI118" s="5"/>
      <c r="AO118" s="5"/>
    </row>
    <row r="119" spans="10:41" x14ac:dyDescent="0.3">
      <c r="J119" s="25">
        <v>115</v>
      </c>
      <c r="K119" s="16" t="s">
        <v>37</v>
      </c>
      <c r="L119" s="16" t="s">
        <v>35</v>
      </c>
      <c r="M119" s="16" t="s">
        <v>125</v>
      </c>
      <c r="N119" s="16" t="s">
        <v>19</v>
      </c>
      <c r="O119" s="16" t="s">
        <v>20</v>
      </c>
      <c r="Q119" s="9">
        <v>7</v>
      </c>
      <c r="R119" s="9">
        <v>8</v>
      </c>
      <c r="S119" s="9">
        <v>6</v>
      </c>
      <c r="T119" s="9">
        <v>5</v>
      </c>
      <c r="U119" s="9">
        <v>1</v>
      </c>
      <c r="W119" s="25" cm="1">
        <f t="array" ref="W119">_xlfn.LET(_xlpm.x, K119:K121, IF(SUM((_xlpm.x="C1")*1)=1, 1, 0))</f>
        <v>0</v>
      </c>
      <c r="X119" s="25" cm="1">
        <f t="array" ref="X119">_xlfn.LET(_xlpm.x, L119:L121, IF(SUM((_xlpm.x="C1")*1)=1, 1, 0))</f>
        <v>0</v>
      </c>
      <c r="Y119" s="25" cm="1">
        <f t="array" ref="Y119">_xlfn.LET(_xlpm.x, M119:M121, IF(SUM((_xlpm.x="C1")*1)=1, 1, 0))</f>
        <v>0</v>
      </c>
      <c r="Z119" s="25">
        <v>1</v>
      </c>
      <c r="AA119" s="25">
        <v>1</v>
      </c>
      <c r="AH119" s="5"/>
      <c r="AI119" s="5"/>
      <c r="AO119" s="5"/>
    </row>
    <row r="120" spans="10:41" x14ac:dyDescent="0.3">
      <c r="J120" s="9">
        <v>116</v>
      </c>
      <c r="K120" s="16" t="s">
        <v>19</v>
      </c>
      <c r="L120" s="16" t="s">
        <v>35</v>
      </c>
      <c r="M120" s="16" t="s">
        <v>91</v>
      </c>
      <c r="N120" s="16" t="s">
        <v>20</v>
      </c>
      <c r="O120" s="16" t="s">
        <v>37</v>
      </c>
      <c r="Q120" s="9">
        <v>5</v>
      </c>
      <c r="R120" s="9">
        <v>8</v>
      </c>
      <c r="S120" s="9">
        <v>14</v>
      </c>
      <c r="T120" s="9">
        <v>1</v>
      </c>
      <c r="U120" s="9">
        <v>7</v>
      </c>
      <c r="W120" s="25" cm="1">
        <f t="array" ref="W120">_xlfn.LET(_xlpm.x, K120:K122, IF(SUM((_xlpm.x="C1")*1)=1, 1, 0))</f>
        <v>0</v>
      </c>
      <c r="X120" s="25" cm="1">
        <f t="array" ref="X120">_xlfn.LET(_xlpm.x, L120:L122, IF(SUM((_xlpm.x="C1")*1)=1, 1, 0))</f>
        <v>0</v>
      </c>
      <c r="Y120" s="25" cm="1">
        <f t="array" ref="Y120">_xlfn.LET(_xlpm.x, M120:M122, IF(SUM((_xlpm.x="C1")*1)=1, 1, 0))</f>
        <v>0</v>
      </c>
      <c r="Z120" s="25">
        <v>1</v>
      </c>
      <c r="AA120" s="25">
        <v>1</v>
      </c>
      <c r="AH120" s="5"/>
      <c r="AI120" s="5"/>
      <c r="AO120" s="5"/>
    </row>
    <row r="121" spans="10:41" x14ac:dyDescent="0.3">
      <c r="J121" s="25">
        <v>117</v>
      </c>
      <c r="K121" s="16" t="s">
        <v>37</v>
      </c>
      <c r="L121" s="16" t="s">
        <v>19</v>
      </c>
      <c r="M121" s="16" t="s">
        <v>125</v>
      </c>
      <c r="N121" s="16" t="s">
        <v>18</v>
      </c>
      <c r="O121" s="16" t="s">
        <v>22</v>
      </c>
      <c r="Q121" s="9">
        <v>7</v>
      </c>
      <c r="R121" s="9">
        <v>5</v>
      </c>
      <c r="S121" s="9">
        <v>6</v>
      </c>
      <c r="T121" s="9">
        <v>4</v>
      </c>
      <c r="U121" s="9">
        <v>3</v>
      </c>
      <c r="W121" s="25" cm="1">
        <f t="array" ref="W121">_xlfn.LET(_xlpm.x, K121:K123, IF(SUM((_xlpm.x="C1")*1)=1, 1, 0))</f>
        <v>0</v>
      </c>
      <c r="X121" s="25" cm="1">
        <f t="array" ref="X121">_xlfn.LET(_xlpm.x, L121:L123, IF(SUM((_xlpm.x="C1")*1)=1, 1, 0))</f>
        <v>0</v>
      </c>
      <c r="Y121" s="25" cm="1">
        <f t="array" ref="Y121">_xlfn.LET(_xlpm.x, M121:M123, IF(SUM((_xlpm.x="C1")*1)=1, 1, 0))</f>
        <v>0</v>
      </c>
      <c r="Z121" s="25">
        <v>1</v>
      </c>
      <c r="AA121" s="25">
        <v>1</v>
      </c>
      <c r="AH121" s="5"/>
      <c r="AI121" s="5"/>
      <c r="AO121" s="5"/>
    </row>
    <row r="122" spans="10:41" x14ac:dyDescent="0.3">
      <c r="J122" s="9">
        <v>118</v>
      </c>
      <c r="K122" s="16" t="s">
        <v>37</v>
      </c>
      <c r="L122" s="16" t="s">
        <v>19</v>
      </c>
      <c r="M122" s="16" t="s">
        <v>37</v>
      </c>
      <c r="N122" s="16" t="s">
        <v>37</v>
      </c>
      <c r="O122" s="16" t="s">
        <v>21</v>
      </c>
      <c r="Q122" s="9">
        <v>7</v>
      </c>
      <c r="R122" s="9">
        <v>5</v>
      </c>
      <c r="S122" s="9">
        <v>7</v>
      </c>
      <c r="T122" s="9">
        <v>7</v>
      </c>
      <c r="U122" s="9">
        <v>2</v>
      </c>
      <c r="W122" s="25" cm="1">
        <f t="array" ref="W122">_xlfn.LET(_xlpm.x, K122:K124, IF(SUM((_xlpm.x="C1")*1)=1, 1, 0))</f>
        <v>0</v>
      </c>
      <c r="X122" s="25" cm="1">
        <f t="array" ref="X122">_xlfn.LET(_xlpm.x, L122:L124, IF(SUM((_xlpm.x="C1")*1)=1, 1, 0))</f>
        <v>0</v>
      </c>
      <c r="Y122" s="25" cm="1">
        <f t="array" ref="Y122">_xlfn.LET(_xlpm.x, M122:M124, IF(SUM((_xlpm.x="C1")*1)=1, 1, 0))</f>
        <v>0</v>
      </c>
      <c r="Z122" s="25">
        <v>1</v>
      </c>
      <c r="AA122" s="25">
        <v>1</v>
      </c>
      <c r="AH122" s="5"/>
      <c r="AI122" s="5"/>
      <c r="AO122" s="5"/>
    </row>
    <row r="123" spans="10:41" x14ac:dyDescent="0.3">
      <c r="J123" s="25">
        <v>119</v>
      </c>
      <c r="K123" s="16" t="s">
        <v>19</v>
      </c>
      <c r="L123" s="16" t="s">
        <v>19</v>
      </c>
      <c r="M123" s="16" t="s">
        <v>37</v>
      </c>
      <c r="N123" s="16" t="s">
        <v>37</v>
      </c>
      <c r="O123" s="16" t="s">
        <v>22</v>
      </c>
      <c r="Q123" s="9">
        <v>5</v>
      </c>
      <c r="R123" s="9">
        <v>5</v>
      </c>
      <c r="S123" s="9">
        <v>7</v>
      </c>
      <c r="T123" s="9">
        <v>7</v>
      </c>
      <c r="U123" s="9">
        <v>3</v>
      </c>
      <c r="W123" s="25" cm="1">
        <f t="array" ref="W123">_xlfn.LET(_xlpm.x, K123:K125, IF(SUM((_xlpm.x="C1")*1)=1, 1, 0))</f>
        <v>0</v>
      </c>
      <c r="X123" s="25" cm="1">
        <f t="array" ref="X123">_xlfn.LET(_xlpm.x, L123:L125, IF(SUM((_xlpm.x="C1")*1)=1, 1, 0))</f>
        <v>0</v>
      </c>
      <c r="Y123" s="25" cm="1">
        <f t="array" ref="Y123">_xlfn.LET(_xlpm.x, M123:M125, IF(SUM((_xlpm.x="C1")*1)=1, 1, 0))</f>
        <v>0</v>
      </c>
      <c r="Z123" s="25">
        <v>1</v>
      </c>
      <c r="AA123" s="25">
        <v>1</v>
      </c>
      <c r="AH123" s="5"/>
      <c r="AI123" s="5"/>
      <c r="AO123" s="5"/>
    </row>
    <row r="124" spans="10:41" x14ac:dyDescent="0.3">
      <c r="J124" s="9">
        <v>120</v>
      </c>
      <c r="K124" s="16" t="s">
        <v>19</v>
      </c>
      <c r="L124" s="16" t="s">
        <v>36</v>
      </c>
      <c r="M124" s="16" t="s">
        <v>125</v>
      </c>
      <c r="N124" s="16" t="s">
        <v>34</v>
      </c>
      <c r="O124" s="16" t="s">
        <v>18</v>
      </c>
      <c r="Q124" s="9">
        <v>5</v>
      </c>
      <c r="R124" s="9">
        <v>10</v>
      </c>
      <c r="S124" s="9">
        <v>6</v>
      </c>
      <c r="T124" s="9">
        <v>9</v>
      </c>
      <c r="U124" s="9">
        <v>4</v>
      </c>
      <c r="W124" s="25" cm="1">
        <f t="array" ref="W124">_xlfn.LET(_xlpm.x, K124:K126, IF(SUM((_xlpm.x="C1")*1)=1, 1, 0))</f>
        <v>0</v>
      </c>
      <c r="X124" s="25" cm="1">
        <f t="array" ref="X124">_xlfn.LET(_xlpm.x, L124:L126, IF(SUM((_xlpm.x="C1")*1)=1, 1, 0))</f>
        <v>0</v>
      </c>
      <c r="Y124" s="25" cm="1">
        <f t="array" ref="Y124">_xlfn.LET(_xlpm.x, M124:M126, IF(SUM((_xlpm.x="C1")*1)=1, 1, 0))</f>
        <v>1</v>
      </c>
      <c r="Z124" s="25">
        <v>1</v>
      </c>
      <c r="AA124" s="25">
        <v>1</v>
      </c>
      <c r="AH124" s="5"/>
      <c r="AI124" s="5"/>
      <c r="AO124" s="5"/>
    </row>
    <row r="125" spans="10:41" x14ac:dyDescent="0.3">
      <c r="J125" s="25">
        <v>121</v>
      </c>
      <c r="K125" s="16" t="s">
        <v>37</v>
      </c>
      <c r="L125" s="16" t="s">
        <v>22</v>
      </c>
      <c r="M125" s="16" t="s">
        <v>125</v>
      </c>
      <c r="N125" s="16" t="s">
        <v>22</v>
      </c>
      <c r="O125" s="16" t="s">
        <v>19</v>
      </c>
      <c r="Q125" s="9">
        <v>7</v>
      </c>
      <c r="R125" s="9">
        <v>3</v>
      </c>
      <c r="S125" s="9">
        <v>6</v>
      </c>
      <c r="T125" s="9">
        <v>3</v>
      </c>
      <c r="U125" s="9">
        <v>5</v>
      </c>
      <c r="W125" s="25" cm="1">
        <f t="array" ref="W125">_xlfn.LET(_xlpm.x, K125:K127, IF(SUM((_xlpm.x="C1")*1)=1, 1, 0))</f>
        <v>0</v>
      </c>
      <c r="X125" s="25" cm="1">
        <f t="array" ref="X125">_xlfn.LET(_xlpm.x, L125:L127, IF(SUM((_xlpm.x="C1")*1)=1, 1, 0))</f>
        <v>0</v>
      </c>
      <c r="Y125" s="25" cm="1">
        <f t="array" ref="Y125">_xlfn.LET(_xlpm.x, M125:M127, IF(SUM((_xlpm.x="C1")*1)=1, 1, 0))</f>
        <v>1</v>
      </c>
      <c r="Z125" s="25">
        <v>1</v>
      </c>
      <c r="AA125" s="25">
        <v>1</v>
      </c>
      <c r="AH125" s="5"/>
      <c r="AI125" s="5"/>
      <c r="AO125" s="5"/>
    </row>
    <row r="126" spans="10:41" x14ac:dyDescent="0.3">
      <c r="J126" s="9">
        <v>122</v>
      </c>
      <c r="K126" s="16" t="s">
        <v>125</v>
      </c>
      <c r="L126" s="16" t="s">
        <v>34</v>
      </c>
      <c r="M126" s="16" t="s">
        <v>20</v>
      </c>
      <c r="N126" s="16" t="s">
        <v>90</v>
      </c>
      <c r="O126" s="16" t="s">
        <v>34</v>
      </c>
      <c r="Q126" s="9">
        <v>6</v>
      </c>
      <c r="R126" s="9">
        <v>9</v>
      </c>
      <c r="S126" s="9">
        <v>1</v>
      </c>
      <c r="T126" s="9">
        <v>13</v>
      </c>
      <c r="U126" s="9">
        <v>9</v>
      </c>
      <c r="W126" s="25" cm="1">
        <f t="array" ref="W126">_xlfn.LET(_xlpm.x, K126:K128, IF(SUM((_xlpm.x="C1")*1)=1, 1, 0))</f>
        <v>0</v>
      </c>
      <c r="X126" s="25" cm="1">
        <f t="array" ref="X126">_xlfn.LET(_xlpm.x, L126:L128, IF(SUM((_xlpm.x="C1")*1)=1, 1, 0))</f>
        <v>0</v>
      </c>
      <c r="Y126" s="25" cm="1">
        <f t="array" ref="Y126">_xlfn.LET(_xlpm.x, M126:M128, IF(SUM((_xlpm.x="C1")*1)=1, 1, 0))</f>
        <v>1</v>
      </c>
      <c r="Z126" s="25">
        <v>1</v>
      </c>
      <c r="AA126" s="25">
        <v>1</v>
      </c>
      <c r="AH126" s="5"/>
      <c r="AI126" s="5"/>
      <c r="AO126" s="5"/>
    </row>
    <row r="127" spans="10:41" x14ac:dyDescent="0.3">
      <c r="J127" s="25">
        <v>123</v>
      </c>
      <c r="K127" s="16" t="s">
        <v>35</v>
      </c>
      <c r="L127" s="16" t="s">
        <v>36</v>
      </c>
      <c r="M127" s="16" t="s">
        <v>35</v>
      </c>
      <c r="N127" s="16" t="s">
        <v>89</v>
      </c>
      <c r="O127" s="16" t="s">
        <v>22</v>
      </c>
      <c r="Q127" s="9">
        <v>8</v>
      </c>
      <c r="R127" s="9">
        <v>10</v>
      </c>
      <c r="S127" s="9">
        <v>8</v>
      </c>
      <c r="T127" s="9">
        <v>12</v>
      </c>
      <c r="U127" s="9">
        <v>3</v>
      </c>
      <c r="W127" s="25" cm="1">
        <f t="array" ref="W127">_xlfn.LET(_xlpm.x, K127:K129, IF(SUM((_xlpm.x="C1")*1)=1, 1, 0))</f>
        <v>0</v>
      </c>
      <c r="X127" s="25" cm="1">
        <f t="array" ref="X127">_xlfn.LET(_xlpm.x, L127:L129, IF(SUM((_xlpm.x="C1")*1)=1, 1, 0))</f>
        <v>0</v>
      </c>
      <c r="Y127" s="25" cm="1">
        <f t="array" ref="Y127">_xlfn.LET(_xlpm.x, M127:M129, IF(SUM((_xlpm.x="C1")*1)=1, 1, 0))</f>
        <v>0</v>
      </c>
      <c r="Z127" s="25">
        <v>1</v>
      </c>
      <c r="AA127" s="25">
        <v>1</v>
      </c>
      <c r="AH127" s="5"/>
      <c r="AI127" s="5"/>
      <c r="AO127" s="5"/>
    </row>
    <row r="128" spans="10:41" x14ac:dyDescent="0.3">
      <c r="J128" s="9">
        <v>124</v>
      </c>
      <c r="K128" s="16" t="s">
        <v>19</v>
      </c>
      <c r="L128" s="16" t="s">
        <v>97</v>
      </c>
      <c r="M128" s="16" t="s">
        <v>21</v>
      </c>
      <c r="N128" s="16" t="s">
        <v>36</v>
      </c>
      <c r="O128" s="16" t="s">
        <v>36</v>
      </c>
      <c r="Q128" s="9">
        <v>5</v>
      </c>
      <c r="R128" s="9">
        <v>19</v>
      </c>
      <c r="S128" s="9">
        <v>2</v>
      </c>
      <c r="T128" s="9">
        <v>10</v>
      </c>
      <c r="U128" s="9">
        <v>10</v>
      </c>
      <c r="W128" s="25" cm="1">
        <f t="array" ref="W128">_xlfn.LET(_xlpm.x, K128:K130, IF(SUM((_xlpm.x="C1")*1)=1, 1, 0))</f>
        <v>0</v>
      </c>
      <c r="X128" s="25" cm="1">
        <f t="array" ref="X128">_xlfn.LET(_xlpm.x, L128:L130, IF(SUM((_xlpm.x="C1")*1)=1, 1, 0))</f>
        <v>0</v>
      </c>
      <c r="Y128" s="25" cm="1">
        <f t="array" ref="Y128">_xlfn.LET(_xlpm.x, M128:M130, IF(SUM((_xlpm.x="C1")*1)=1, 1, 0))</f>
        <v>0</v>
      </c>
      <c r="Z128" s="25">
        <v>1</v>
      </c>
      <c r="AA128" s="25">
        <v>1</v>
      </c>
      <c r="AH128" s="5"/>
      <c r="AI128" s="5"/>
      <c r="AO128" s="5"/>
    </row>
    <row r="129" spans="10:41" x14ac:dyDescent="0.3">
      <c r="J129" s="25">
        <v>125</v>
      </c>
      <c r="K129" s="16" t="s">
        <v>37</v>
      </c>
      <c r="L129" s="16" t="s">
        <v>21</v>
      </c>
      <c r="M129" s="16" t="s">
        <v>19</v>
      </c>
      <c r="N129" s="16" t="s">
        <v>36</v>
      </c>
      <c r="O129" s="16" t="s">
        <v>22</v>
      </c>
      <c r="Q129" s="9">
        <v>7</v>
      </c>
      <c r="R129" s="9">
        <v>2</v>
      </c>
      <c r="S129" s="9">
        <v>5</v>
      </c>
      <c r="T129" s="9">
        <v>10</v>
      </c>
      <c r="U129" s="9">
        <v>3</v>
      </c>
      <c r="W129" s="25" cm="1">
        <f t="array" ref="W129">_xlfn.LET(_xlpm.x, K129:K131, IF(SUM((_xlpm.x="C1")*1)=1, 1, 0))</f>
        <v>0</v>
      </c>
      <c r="X129" s="25" cm="1">
        <f t="array" ref="X129">_xlfn.LET(_xlpm.x, L129:L131, IF(SUM((_xlpm.x="C1")*1)=1, 1, 0))</f>
        <v>0</v>
      </c>
      <c r="Y129" s="25" cm="1">
        <f t="array" ref="Y129">_xlfn.LET(_xlpm.x, M129:M131, IF(SUM((_xlpm.x="C1")*1)=1, 1, 0))</f>
        <v>0</v>
      </c>
      <c r="Z129" s="25">
        <v>1</v>
      </c>
      <c r="AA129" s="25">
        <v>1</v>
      </c>
      <c r="AH129" s="5"/>
      <c r="AI129" s="5"/>
      <c r="AO129" s="5"/>
    </row>
    <row r="130" spans="10:41" x14ac:dyDescent="0.3">
      <c r="J130" s="9">
        <v>126</v>
      </c>
      <c r="K130" s="16" t="s">
        <v>35</v>
      </c>
      <c r="L130" s="16" t="s">
        <v>95</v>
      </c>
      <c r="M130" s="16" t="s">
        <v>35</v>
      </c>
      <c r="N130" s="16" t="s">
        <v>36</v>
      </c>
      <c r="O130" s="16" t="s">
        <v>21</v>
      </c>
      <c r="Q130" s="9">
        <v>8</v>
      </c>
      <c r="R130" s="9">
        <v>18</v>
      </c>
      <c r="S130" s="9">
        <v>8</v>
      </c>
      <c r="T130" s="9">
        <v>10</v>
      </c>
      <c r="U130" s="9">
        <v>2</v>
      </c>
      <c r="W130" s="25" cm="1">
        <f t="array" ref="W130">_xlfn.LET(_xlpm.x, K130:K132, IF(SUM((_xlpm.x="C1")*1)=1, 1, 0))</f>
        <v>0</v>
      </c>
      <c r="X130" s="25" cm="1">
        <f t="array" ref="X130">_xlfn.LET(_xlpm.x, L130:L132, IF(SUM((_xlpm.x="C1")*1)=1, 1, 0))</f>
        <v>0</v>
      </c>
      <c r="Y130" s="25" cm="1">
        <f t="array" ref="Y130">_xlfn.LET(_xlpm.x, M130:M132, IF(SUM((_xlpm.x="C1")*1)=1, 1, 0))</f>
        <v>0</v>
      </c>
      <c r="Z130" s="25">
        <v>1</v>
      </c>
      <c r="AA130" s="25">
        <v>1</v>
      </c>
      <c r="AH130" s="5"/>
      <c r="AI130" s="5"/>
      <c r="AO130" s="5"/>
    </row>
    <row r="131" spans="10:41" x14ac:dyDescent="0.3">
      <c r="J131" s="25">
        <v>127</v>
      </c>
      <c r="K131" s="16" t="s">
        <v>125</v>
      </c>
      <c r="L131" s="16" t="s">
        <v>18</v>
      </c>
      <c r="M131" s="16" t="s">
        <v>37</v>
      </c>
      <c r="N131" s="16" t="s">
        <v>18</v>
      </c>
      <c r="O131" s="16" t="s">
        <v>18</v>
      </c>
      <c r="Q131" s="9">
        <v>6</v>
      </c>
      <c r="R131" s="9">
        <v>4</v>
      </c>
      <c r="S131" s="9">
        <v>7</v>
      </c>
      <c r="T131" s="9">
        <v>4</v>
      </c>
      <c r="U131" s="9">
        <v>4</v>
      </c>
      <c r="W131" s="25" cm="1">
        <f t="array" ref="W131">_xlfn.LET(_xlpm.x, K131:K133, IF(SUM((_xlpm.x="C1")*1)=1, 1, 0))</f>
        <v>0</v>
      </c>
      <c r="X131" s="25" cm="1">
        <f t="array" ref="X131">_xlfn.LET(_xlpm.x, L131:L133, IF(SUM((_xlpm.x="C1")*1)=1, 1, 0))</f>
        <v>0</v>
      </c>
      <c r="Y131" s="25" cm="1">
        <f t="array" ref="Y131">_xlfn.LET(_xlpm.x, M131:M133, IF(SUM((_xlpm.x="C1")*1)=1, 1, 0))</f>
        <v>0</v>
      </c>
      <c r="Z131" s="25">
        <v>1</v>
      </c>
      <c r="AA131" s="25">
        <v>1</v>
      </c>
      <c r="AH131" s="5"/>
      <c r="AI131" s="5"/>
      <c r="AO131" s="5"/>
    </row>
    <row r="132" spans="10:41" x14ac:dyDescent="0.3">
      <c r="J132" s="9">
        <v>128</v>
      </c>
      <c r="K132" s="16" t="s">
        <v>125</v>
      </c>
      <c r="L132" s="16" t="s">
        <v>97</v>
      </c>
      <c r="M132" s="16" t="s">
        <v>37</v>
      </c>
      <c r="N132" s="16" t="s">
        <v>125</v>
      </c>
      <c r="O132" s="16" t="s">
        <v>18</v>
      </c>
      <c r="Q132" s="9">
        <v>6</v>
      </c>
      <c r="R132" s="9">
        <v>19</v>
      </c>
      <c r="S132" s="9">
        <v>7</v>
      </c>
      <c r="T132" s="9">
        <v>6</v>
      </c>
      <c r="U132" s="9">
        <v>4</v>
      </c>
      <c r="W132" s="25" cm="1">
        <f t="array" ref="W132">_xlfn.LET(_xlpm.x, K132:K134, IF(SUM((_xlpm.x="C1")*1)=1, 1, 0))</f>
        <v>0</v>
      </c>
      <c r="X132" s="25" cm="1">
        <f t="array" ref="X132">_xlfn.LET(_xlpm.x, L132:L134, IF(SUM((_xlpm.x="C1")*1)=1, 1, 0))</f>
        <v>0</v>
      </c>
      <c r="Y132" s="25" cm="1">
        <f t="array" ref="Y132">_xlfn.LET(_xlpm.x, M132:M134, IF(SUM((_xlpm.x="C1")*1)=1, 1, 0))</f>
        <v>0</v>
      </c>
      <c r="Z132" s="25">
        <v>1</v>
      </c>
      <c r="AA132" s="25">
        <v>1</v>
      </c>
      <c r="AH132" s="5"/>
      <c r="AI132" s="5"/>
      <c r="AO132" s="5"/>
    </row>
    <row r="133" spans="10:41" x14ac:dyDescent="0.3">
      <c r="J133" s="25">
        <v>129</v>
      </c>
      <c r="K133" s="16" t="s">
        <v>19</v>
      </c>
      <c r="L133" s="16" t="s">
        <v>97</v>
      </c>
      <c r="M133" s="16" t="s">
        <v>19</v>
      </c>
      <c r="N133" s="16" t="s">
        <v>36</v>
      </c>
      <c r="O133" s="16" t="s">
        <v>36</v>
      </c>
      <c r="Q133" s="9">
        <v>5</v>
      </c>
      <c r="R133" s="9">
        <v>19</v>
      </c>
      <c r="S133" s="9">
        <v>5</v>
      </c>
      <c r="T133" s="9">
        <v>10</v>
      </c>
      <c r="U133" s="9">
        <v>10</v>
      </c>
      <c r="W133" s="25" cm="1">
        <f t="array" ref="W133">_xlfn.LET(_xlpm.x, K133:K135, IF(SUM((_xlpm.x="C1")*1)=1, 1, 0))</f>
        <v>0</v>
      </c>
      <c r="X133" s="25" cm="1">
        <f t="array" ref="X133">_xlfn.LET(_xlpm.x, L133:L135, IF(SUM((_xlpm.x="C1")*1)=1, 1, 0))</f>
        <v>0</v>
      </c>
      <c r="Y133" s="25" cm="1">
        <f t="array" ref="Y133">_xlfn.LET(_xlpm.x, M133:M135, IF(SUM((_xlpm.x="C1")*1)=1, 1, 0))</f>
        <v>0</v>
      </c>
      <c r="Z133" s="25">
        <v>1</v>
      </c>
      <c r="AA133" s="25">
        <v>1</v>
      </c>
      <c r="AH133" s="5"/>
      <c r="AI133" s="5"/>
      <c r="AO133" s="5"/>
    </row>
    <row r="134" spans="10:41" x14ac:dyDescent="0.3">
      <c r="J134" s="9">
        <v>130</v>
      </c>
      <c r="K134" s="16" t="s">
        <v>35</v>
      </c>
      <c r="L134" s="16" t="s">
        <v>21</v>
      </c>
      <c r="M134" s="16" t="s">
        <v>19</v>
      </c>
      <c r="N134" s="16" t="s">
        <v>18</v>
      </c>
      <c r="O134" s="16" t="s">
        <v>34</v>
      </c>
      <c r="Q134" s="9">
        <v>8</v>
      </c>
      <c r="R134" s="9">
        <v>2</v>
      </c>
      <c r="S134" s="9">
        <v>5</v>
      </c>
      <c r="T134" s="9">
        <v>4</v>
      </c>
      <c r="U134" s="9">
        <v>9</v>
      </c>
      <c r="W134" s="25" cm="1">
        <f t="array" ref="W134">_xlfn.LET(_xlpm.x, K134:K136, IF(SUM((_xlpm.x="C1")*1)=1, 1, 0))</f>
        <v>0</v>
      </c>
      <c r="X134" s="25" cm="1">
        <f t="array" ref="X134">_xlfn.LET(_xlpm.x, L134:L136, IF(SUM((_xlpm.x="C1")*1)=1, 1, 0))</f>
        <v>0</v>
      </c>
      <c r="Y134" s="25" cm="1">
        <f t="array" ref="Y134">_xlfn.LET(_xlpm.x, M134:M136, IF(SUM((_xlpm.x="C1")*1)=1, 1, 0))</f>
        <v>0</v>
      </c>
      <c r="Z134" s="25">
        <v>1</v>
      </c>
      <c r="AA134" s="25">
        <v>1</v>
      </c>
      <c r="AH134" s="5"/>
      <c r="AI134" s="5"/>
      <c r="AO134" s="5"/>
    </row>
    <row r="135" spans="10:41" x14ac:dyDescent="0.3">
      <c r="J135" s="25">
        <v>131</v>
      </c>
      <c r="K135" s="16" t="s">
        <v>35</v>
      </c>
      <c r="L135" s="16" t="s">
        <v>90</v>
      </c>
      <c r="M135" s="16" t="s">
        <v>37</v>
      </c>
      <c r="N135" s="16" t="s">
        <v>19</v>
      </c>
      <c r="O135" s="16" t="s">
        <v>125</v>
      </c>
      <c r="Q135" s="9">
        <v>8</v>
      </c>
      <c r="R135" s="9">
        <v>13</v>
      </c>
      <c r="S135" s="9">
        <v>7</v>
      </c>
      <c r="T135" s="9">
        <v>5</v>
      </c>
      <c r="U135" s="9">
        <v>6</v>
      </c>
      <c r="W135" s="25" cm="1">
        <f t="array" ref="W135">_xlfn.LET(_xlpm.x, K135:K137, IF(SUM((_xlpm.x="C1")*1)=1, 1, 0))</f>
        <v>0</v>
      </c>
      <c r="X135" s="25" cm="1">
        <f t="array" ref="X135">_xlfn.LET(_xlpm.x, L135:L137, IF(SUM((_xlpm.x="C1")*1)=1, 1, 0))</f>
        <v>0</v>
      </c>
      <c r="Y135" s="25" cm="1">
        <f t="array" ref="Y135">_xlfn.LET(_xlpm.x, M135:M137, IF(SUM((_xlpm.x="C1")*1)=1, 1, 0))</f>
        <v>0</v>
      </c>
      <c r="Z135" s="25">
        <v>1</v>
      </c>
      <c r="AA135" s="25">
        <v>1</v>
      </c>
      <c r="AH135" s="5"/>
      <c r="AI135" s="5"/>
      <c r="AO135" s="5"/>
    </row>
    <row r="136" spans="10:41" x14ac:dyDescent="0.3">
      <c r="J136" s="9">
        <v>132</v>
      </c>
      <c r="K136" s="16" t="s">
        <v>37</v>
      </c>
      <c r="L136" s="16" t="s">
        <v>35</v>
      </c>
      <c r="M136" s="16" t="s">
        <v>92</v>
      </c>
      <c r="N136" s="16" t="s">
        <v>89</v>
      </c>
      <c r="O136" s="16" t="s">
        <v>21</v>
      </c>
      <c r="Q136" s="9">
        <v>7</v>
      </c>
      <c r="R136" s="9">
        <v>8</v>
      </c>
      <c r="S136" s="9">
        <v>16</v>
      </c>
      <c r="T136" s="9">
        <v>12</v>
      </c>
      <c r="U136" s="9">
        <v>2</v>
      </c>
      <c r="W136" s="25" cm="1">
        <f t="array" ref="W136">_xlfn.LET(_xlpm.x, K136:K138, IF(SUM((_xlpm.x="C1")*1)=1, 1, 0))</f>
        <v>0</v>
      </c>
      <c r="X136" s="25" cm="1">
        <f t="array" ref="X136">_xlfn.LET(_xlpm.x, L136:L138, IF(SUM((_xlpm.x="C1")*1)=1, 1, 0))</f>
        <v>0</v>
      </c>
      <c r="Y136" s="25" cm="1">
        <f t="array" ref="Y136">_xlfn.LET(_xlpm.x, M136:M138, IF(SUM((_xlpm.x="C1")*1)=1, 1, 0))</f>
        <v>0</v>
      </c>
      <c r="Z136" s="25">
        <v>1</v>
      </c>
      <c r="AA136" s="25">
        <v>1</v>
      </c>
      <c r="AH136" s="5"/>
      <c r="AI136" s="5"/>
      <c r="AO136" s="5"/>
    </row>
    <row r="137" spans="10:41" x14ac:dyDescent="0.3">
      <c r="J137" s="25">
        <v>133</v>
      </c>
      <c r="K137" s="16" t="s">
        <v>125</v>
      </c>
      <c r="L137" s="16" t="s">
        <v>18</v>
      </c>
      <c r="M137" s="16" t="s">
        <v>37</v>
      </c>
      <c r="N137" s="16" t="s">
        <v>21</v>
      </c>
      <c r="O137" s="16" t="s">
        <v>19</v>
      </c>
      <c r="Q137" s="9">
        <v>6</v>
      </c>
      <c r="R137" s="9">
        <v>4</v>
      </c>
      <c r="S137" s="9">
        <v>7</v>
      </c>
      <c r="T137" s="9">
        <v>2</v>
      </c>
      <c r="U137" s="9">
        <v>5</v>
      </c>
      <c r="W137" s="25" cm="1">
        <f t="array" ref="W137">_xlfn.LET(_xlpm.x, K137:K139, IF(SUM((_xlpm.x="C1")*1)=1, 1, 0))</f>
        <v>0</v>
      </c>
      <c r="X137" s="25" cm="1">
        <f t="array" ref="X137">_xlfn.LET(_xlpm.x, L137:L139, IF(SUM((_xlpm.x="C1")*1)=1, 1, 0))</f>
        <v>0</v>
      </c>
      <c r="Y137" s="25" cm="1">
        <f t="array" ref="Y137">_xlfn.LET(_xlpm.x, M137:M139, IF(SUM((_xlpm.x="C1")*1)=1, 1, 0))</f>
        <v>0</v>
      </c>
      <c r="Z137" s="25">
        <v>1</v>
      </c>
      <c r="AA137" s="25">
        <v>1</v>
      </c>
      <c r="AH137" s="5"/>
      <c r="AI137" s="5"/>
      <c r="AO137" s="5"/>
    </row>
    <row r="138" spans="10:41" x14ac:dyDescent="0.3">
      <c r="J138" s="9">
        <v>134</v>
      </c>
      <c r="K138" s="16" t="s">
        <v>35</v>
      </c>
      <c r="L138" s="16" t="s">
        <v>19</v>
      </c>
      <c r="M138" s="16" t="s">
        <v>19</v>
      </c>
      <c r="N138" s="16" t="s">
        <v>34</v>
      </c>
      <c r="O138" s="16" t="s">
        <v>22</v>
      </c>
      <c r="Q138" s="9">
        <v>8</v>
      </c>
      <c r="R138" s="9">
        <v>5</v>
      </c>
      <c r="S138" s="9">
        <v>5</v>
      </c>
      <c r="T138" s="9">
        <v>9</v>
      </c>
      <c r="U138" s="9">
        <v>3</v>
      </c>
      <c r="W138" s="25" cm="1">
        <f t="array" ref="W138">_xlfn.LET(_xlpm.x, K138:K140, IF(SUM((_xlpm.x="C1")*1)=1, 1, 0))</f>
        <v>0</v>
      </c>
      <c r="X138" s="25" cm="1">
        <f t="array" ref="X138">_xlfn.LET(_xlpm.x, L138:L140, IF(SUM((_xlpm.x="C1")*1)=1, 1, 0))</f>
        <v>0</v>
      </c>
      <c r="Y138" s="25" cm="1">
        <f t="array" ref="Y138">_xlfn.LET(_xlpm.x, M138:M140, IF(SUM((_xlpm.x="C1")*1)=1, 1, 0))</f>
        <v>0</v>
      </c>
      <c r="Z138" s="25">
        <v>1</v>
      </c>
      <c r="AA138" s="25">
        <v>1</v>
      </c>
      <c r="AH138" s="5"/>
      <c r="AI138" s="5"/>
      <c r="AO138" s="5"/>
    </row>
    <row r="139" spans="10:41" x14ac:dyDescent="0.3">
      <c r="J139" s="25">
        <v>135</v>
      </c>
      <c r="K139" s="16" t="s">
        <v>37</v>
      </c>
      <c r="L139" s="16" t="s">
        <v>21</v>
      </c>
      <c r="M139" s="16" t="s">
        <v>35</v>
      </c>
      <c r="N139" s="16" t="s">
        <v>95</v>
      </c>
      <c r="O139" s="16" t="s">
        <v>36</v>
      </c>
      <c r="Q139" s="9">
        <v>7</v>
      </c>
      <c r="R139" s="9">
        <v>2</v>
      </c>
      <c r="S139" s="9">
        <v>8</v>
      </c>
      <c r="T139" s="9">
        <v>18</v>
      </c>
      <c r="U139" s="9">
        <v>10</v>
      </c>
      <c r="W139" s="25" cm="1">
        <f t="array" ref="W139">_xlfn.LET(_xlpm.x, K139:K141, IF(SUM((_xlpm.x="C1")*1)=1, 1, 0))</f>
        <v>0</v>
      </c>
      <c r="X139" s="25" cm="1">
        <f t="array" ref="X139">_xlfn.LET(_xlpm.x, L139:L141, IF(SUM((_xlpm.x="C1")*1)=1, 1, 0))</f>
        <v>0</v>
      </c>
      <c r="Y139" s="25" cm="1">
        <f t="array" ref="Y139">_xlfn.LET(_xlpm.x, M139:M141, IF(SUM((_xlpm.x="C1")*1)=1, 1, 0))</f>
        <v>0</v>
      </c>
      <c r="Z139" s="25">
        <v>1</v>
      </c>
      <c r="AA139" s="25">
        <v>1</v>
      </c>
      <c r="AH139" s="5"/>
      <c r="AI139" s="5"/>
      <c r="AO139" s="5"/>
    </row>
    <row r="140" spans="10:41" x14ac:dyDescent="0.3">
      <c r="J140" s="9">
        <v>136</v>
      </c>
      <c r="K140" s="16" t="s">
        <v>19</v>
      </c>
      <c r="L140" s="16" t="s">
        <v>37</v>
      </c>
      <c r="M140" s="16" t="s">
        <v>19</v>
      </c>
      <c r="N140" s="16" t="s">
        <v>34</v>
      </c>
      <c r="O140" s="16" t="s">
        <v>37</v>
      </c>
      <c r="Q140" s="9">
        <v>5</v>
      </c>
      <c r="R140" s="9">
        <v>7</v>
      </c>
      <c r="S140" s="9">
        <v>5</v>
      </c>
      <c r="T140" s="9">
        <v>9</v>
      </c>
      <c r="U140" s="9">
        <v>7</v>
      </c>
      <c r="W140" s="25" cm="1">
        <f t="array" ref="W140">_xlfn.LET(_xlpm.x, K140:K142, IF(SUM((_xlpm.x="C1")*1)=1, 1, 0))</f>
        <v>0</v>
      </c>
      <c r="X140" s="25" cm="1">
        <f t="array" ref="X140">_xlfn.LET(_xlpm.x, L140:L142, IF(SUM((_xlpm.x="C1")*1)=1, 1, 0))</f>
        <v>0</v>
      </c>
      <c r="Y140" s="25" cm="1">
        <f t="array" ref="Y140">_xlfn.LET(_xlpm.x, M140:M142, IF(SUM((_xlpm.x="C1")*1)=1, 1, 0))</f>
        <v>0</v>
      </c>
      <c r="Z140" s="25">
        <v>1</v>
      </c>
      <c r="AA140" s="25">
        <v>1</v>
      </c>
      <c r="AH140" s="5"/>
      <c r="AI140" s="5"/>
      <c r="AO140" s="5"/>
    </row>
    <row r="141" spans="10:41" x14ac:dyDescent="0.3">
      <c r="J141" s="25">
        <v>137</v>
      </c>
      <c r="K141" s="16" t="s">
        <v>35</v>
      </c>
      <c r="L141" s="16" t="s">
        <v>37</v>
      </c>
      <c r="M141" s="16" t="s">
        <v>125</v>
      </c>
      <c r="N141" s="16" t="s">
        <v>21</v>
      </c>
      <c r="O141" s="16" t="s">
        <v>34</v>
      </c>
      <c r="Q141" s="9">
        <v>8</v>
      </c>
      <c r="R141" s="9">
        <v>7</v>
      </c>
      <c r="S141" s="9">
        <v>6</v>
      </c>
      <c r="T141" s="9">
        <v>2</v>
      </c>
      <c r="U141" s="9">
        <v>9</v>
      </c>
      <c r="W141" s="25" cm="1">
        <f t="array" ref="W141">_xlfn.LET(_xlpm.x, K141:K143, IF(SUM((_xlpm.x="C1")*1)=1, 1, 0))</f>
        <v>0</v>
      </c>
      <c r="X141" s="25" cm="1">
        <f t="array" ref="X141">_xlfn.LET(_xlpm.x, L141:L143, IF(SUM((_xlpm.x="C1")*1)=1, 1, 0))</f>
        <v>0</v>
      </c>
      <c r="Y141" s="25" cm="1">
        <f t="array" ref="Y141">_xlfn.LET(_xlpm.x, M141:M143, IF(SUM((_xlpm.x="C1")*1)=1, 1, 0))</f>
        <v>0</v>
      </c>
      <c r="Z141" s="25">
        <v>1</v>
      </c>
      <c r="AA141" s="25">
        <v>1</v>
      </c>
      <c r="AH141" s="5"/>
      <c r="AI141" s="5"/>
      <c r="AO141" s="5"/>
    </row>
    <row r="142" spans="10:41" x14ac:dyDescent="0.3">
      <c r="J142" s="9">
        <v>138</v>
      </c>
      <c r="K142" s="16" t="s">
        <v>37</v>
      </c>
      <c r="L142" s="16" t="s">
        <v>37</v>
      </c>
      <c r="M142" s="16" t="s">
        <v>112</v>
      </c>
      <c r="N142" s="16" t="s">
        <v>125</v>
      </c>
      <c r="O142" s="16" t="s">
        <v>18</v>
      </c>
      <c r="Q142" s="9">
        <v>7</v>
      </c>
      <c r="R142" s="9">
        <v>7</v>
      </c>
      <c r="S142" s="9">
        <v>17</v>
      </c>
      <c r="T142" s="9">
        <v>6</v>
      </c>
      <c r="U142" s="9">
        <v>4</v>
      </c>
      <c r="W142" s="25" cm="1">
        <f t="array" ref="W142">_xlfn.LET(_xlpm.x, K142:K144, IF(SUM((_xlpm.x="C1")*1)=1, 1, 0))</f>
        <v>0</v>
      </c>
      <c r="X142" s="25" cm="1">
        <f t="array" ref="X142">_xlfn.LET(_xlpm.x, L142:L144, IF(SUM((_xlpm.x="C1")*1)=1, 1, 0))</f>
        <v>0</v>
      </c>
      <c r="Y142" s="25" cm="1">
        <f t="array" ref="Y142">_xlfn.LET(_xlpm.x, M142:M144, IF(SUM((_xlpm.x="C1")*1)=1, 1, 0))</f>
        <v>0</v>
      </c>
      <c r="Z142" s="25">
        <v>1</v>
      </c>
      <c r="AA142" s="25">
        <v>1</v>
      </c>
      <c r="AH142" s="5"/>
      <c r="AI142" s="5"/>
      <c r="AO142" s="5"/>
    </row>
    <row r="143" spans="10:41" x14ac:dyDescent="0.3">
      <c r="J143" s="25">
        <v>139</v>
      </c>
      <c r="K143" s="16" t="s">
        <v>19</v>
      </c>
      <c r="L143" s="16" t="s">
        <v>22</v>
      </c>
      <c r="M143" s="16" t="s">
        <v>35</v>
      </c>
      <c r="N143" s="16" t="s">
        <v>18</v>
      </c>
      <c r="O143" s="16" t="s">
        <v>37</v>
      </c>
      <c r="Q143" s="9">
        <v>5</v>
      </c>
      <c r="R143" s="9">
        <v>3</v>
      </c>
      <c r="S143" s="9">
        <v>8</v>
      </c>
      <c r="T143" s="9">
        <v>4</v>
      </c>
      <c r="U143" s="9">
        <v>7</v>
      </c>
      <c r="W143" s="25" cm="1">
        <f t="array" ref="W143">_xlfn.LET(_xlpm.x, K143:K145, IF(SUM((_xlpm.x="C1")*1)=1, 1, 0))</f>
        <v>0</v>
      </c>
      <c r="X143" s="25" cm="1">
        <f t="array" ref="X143">_xlfn.LET(_xlpm.x, L143:L145, IF(SUM((_xlpm.x="C1")*1)=1, 1, 0))</f>
        <v>0</v>
      </c>
      <c r="Y143" s="25" cm="1">
        <f t="array" ref="Y143">_xlfn.LET(_xlpm.x, M143:M145, IF(SUM((_xlpm.x="C1")*1)=1, 1, 0))</f>
        <v>0</v>
      </c>
      <c r="Z143" s="25">
        <v>1</v>
      </c>
      <c r="AA143" s="25">
        <v>1</v>
      </c>
      <c r="AH143" s="5"/>
      <c r="AI143" s="5"/>
      <c r="AO143" s="5"/>
    </row>
    <row r="144" spans="10:41" x14ac:dyDescent="0.3">
      <c r="J144" s="9">
        <v>140</v>
      </c>
      <c r="K144" s="16" t="s">
        <v>125</v>
      </c>
      <c r="L144" s="16" t="s">
        <v>37</v>
      </c>
      <c r="M144" s="16" t="s">
        <v>19</v>
      </c>
      <c r="N144" s="16" t="s">
        <v>35</v>
      </c>
      <c r="O144" s="16" t="s">
        <v>37</v>
      </c>
      <c r="Q144" s="9">
        <v>6</v>
      </c>
      <c r="R144" s="9">
        <v>7</v>
      </c>
      <c r="S144" s="9">
        <v>5</v>
      </c>
      <c r="T144" s="9">
        <v>8</v>
      </c>
      <c r="U144" s="9">
        <v>7</v>
      </c>
      <c r="W144" s="25" cm="1">
        <f t="array" ref="W144">_xlfn.LET(_xlpm.x, K144:K146, IF(SUM((_xlpm.x="C1")*1)=1, 1, 0))</f>
        <v>0</v>
      </c>
      <c r="X144" s="25" cm="1">
        <f t="array" ref="X144">_xlfn.LET(_xlpm.x, L144:L146, IF(SUM((_xlpm.x="C1")*1)=1, 1, 0))</f>
        <v>0</v>
      </c>
      <c r="Y144" s="25" cm="1">
        <f t="array" ref="Y144">_xlfn.LET(_xlpm.x, M144:M146, IF(SUM((_xlpm.x="C1")*1)=1, 1, 0))</f>
        <v>0</v>
      </c>
      <c r="Z144" s="25">
        <v>1</v>
      </c>
      <c r="AA144" s="25">
        <v>1</v>
      </c>
      <c r="AH144" s="5"/>
      <c r="AI144" s="5"/>
      <c r="AO144" s="5"/>
    </row>
    <row r="145" spans="10:41" x14ac:dyDescent="0.3">
      <c r="J145" s="25">
        <v>141</v>
      </c>
      <c r="K145" s="16" t="s">
        <v>37</v>
      </c>
      <c r="L145" s="16" t="s">
        <v>37</v>
      </c>
      <c r="M145" s="16" t="s">
        <v>19</v>
      </c>
      <c r="N145" s="16" t="s">
        <v>37</v>
      </c>
      <c r="O145" s="16" t="s">
        <v>20</v>
      </c>
      <c r="Q145" s="9">
        <v>7</v>
      </c>
      <c r="R145" s="9">
        <v>7</v>
      </c>
      <c r="S145" s="9">
        <v>5</v>
      </c>
      <c r="T145" s="9">
        <v>7</v>
      </c>
      <c r="U145" s="9">
        <v>1</v>
      </c>
      <c r="W145" s="25" cm="1">
        <f t="array" ref="W145">_xlfn.LET(_xlpm.x, K145:K147, IF(SUM((_xlpm.x="C1")*1)=1, 1, 0))</f>
        <v>0</v>
      </c>
      <c r="X145" s="25" cm="1">
        <f t="array" ref="X145">_xlfn.LET(_xlpm.x, L145:L147, IF(SUM((_xlpm.x="C1")*1)=1, 1, 0))</f>
        <v>0</v>
      </c>
      <c r="Y145" s="25" cm="1">
        <f t="array" ref="Y145">_xlfn.LET(_xlpm.x, M145:M147, IF(SUM((_xlpm.x="C1")*1)=1, 1, 0))</f>
        <v>0</v>
      </c>
      <c r="Z145" s="25">
        <v>1</v>
      </c>
      <c r="AA145" s="25">
        <v>1</v>
      </c>
      <c r="AH145" s="5"/>
      <c r="AI145" s="5"/>
      <c r="AO145" s="5"/>
    </row>
    <row r="146" spans="10:41" x14ac:dyDescent="0.3">
      <c r="J146" s="9">
        <v>142</v>
      </c>
      <c r="K146" s="16" t="s">
        <v>125</v>
      </c>
      <c r="L146" s="16" t="s">
        <v>125</v>
      </c>
      <c r="M146" s="16" t="s">
        <v>19</v>
      </c>
      <c r="N146" s="16" t="s">
        <v>19</v>
      </c>
      <c r="O146" s="16" t="s">
        <v>125</v>
      </c>
      <c r="Q146" s="9">
        <v>6</v>
      </c>
      <c r="R146" s="9">
        <v>6</v>
      </c>
      <c r="S146" s="9">
        <v>5</v>
      </c>
      <c r="T146" s="9">
        <v>5</v>
      </c>
      <c r="U146" s="9">
        <v>6</v>
      </c>
      <c r="W146" s="25" cm="1">
        <f t="array" ref="W146">_xlfn.LET(_xlpm.x, K146:K148, IF(SUM((_xlpm.x="C1")*1)=1, 1, 0))</f>
        <v>0</v>
      </c>
      <c r="X146" s="25" cm="1">
        <f t="array" ref="X146">_xlfn.LET(_xlpm.x, L146:L148, IF(SUM((_xlpm.x="C1")*1)=1, 1, 0))</f>
        <v>0</v>
      </c>
      <c r="Y146" s="25" cm="1">
        <f t="array" ref="Y146">_xlfn.LET(_xlpm.x, M146:M148, IF(SUM((_xlpm.x="C1")*1)=1, 1, 0))</f>
        <v>0</v>
      </c>
      <c r="Z146" s="25">
        <v>1</v>
      </c>
      <c r="AA146" s="25">
        <v>1</v>
      </c>
      <c r="AH146" s="5"/>
      <c r="AI146" s="5"/>
      <c r="AO146" s="5"/>
    </row>
    <row r="147" spans="10:41" x14ac:dyDescent="0.3">
      <c r="J147" s="25">
        <v>143</v>
      </c>
      <c r="K147" s="16" t="s">
        <v>19</v>
      </c>
      <c r="L147" s="16" t="s">
        <v>89</v>
      </c>
      <c r="M147" s="16" t="s">
        <v>125</v>
      </c>
      <c r="N147" s="16" t="s">
        <v>19</v>
      </c>
      <c r="O147" s="16" t="s">
        <v>37</v>
      </c>
      <c r="Q147" s="9">
        <v>5</v>
      </c>
      <c r="R147" s="9">
        <v>12</v>
      </c>
      <c r="S147" s="9">
        <v>6</v>
      </c>
      <c r="T147" s="9">
        <v>5</v>
      </c>
      <c r="U147" s="9">
        <v>7</v>
      </c>
      <c r="W147" s="25" cm="1">
        <f t="array" ref="W147">_xlfn.LET(_xlpm.x, K147:K149, IF(SUM((_xlpm.x="C1")*1)=1, 1, 0))</f>
        <v>0</v>
      </c>
      <c r="X147" s="25" cm="1">
        <f t="array" ref="X147">_xlfn.LET(_xlpm.x, L147:L149, IF(SUM((_xlpm.x="C1")*1)=1, 1, 0))</f>
        <v>1</v>
      </c>
      <c r="Y147" s="25" cm="1">
        <f t="array" ref="Y147">_xlfn.LET(_xlpm.x, M147:M149, IF(SUM((_xlpm.x="C1")*1)=1, 1, 0))</f>
        <v>0</v>
      </c>
      <c r="Z147" s="25">
        <v>1</v>
      </c>
      <c r="AA147" s="25">
        <v>1</v>
      </c>
      <c r="AH147" s="5"/>
      <c r="AI147" s="5"/>
      <c r="AO147" s="5"/>
    </row>
    <row r="148" spans="10:41" x14ac:dyDescent="0.3">
      <c r="J148" s="9">
        <v>144</v>
      </c>
      <c r="K148" s="16" t="s">
        <v>37</v>
      </c>
      <c r="L148" s="16" t="s">
        <v>34</v>
      </c>
      <c r="M148" s="16" t="s">
        <v>37</v>
      </c>
      <c r="N148" s="16" t="s">
        <v>37</v>
      </c>
      <c r="O148" s="16" t="s">
        <v>125</v>
      </c>
      <c r="Q148" s="9">
        <v>7</v>
      </c>
      <c r="R148" s="9">
        <v>9</v>
      </c>
      <c r="S148" s="9">
        <v>7</v>
      </c>
      <c r="T148" s="9">
        <v>7</v>
      </c>
      <c r="U148" s="9">
        <v>6</v>
      </c>
      <c r="W148" s="25" cm="1">
        <f t="array" ref="W148">_xlfn.LET(_xlpm.x, K148:K150, IF(SUM((_xlpm.x="C1")*1)=1, 1, 0))</f>
        <v>0</v>
      </c>
      <c r="X148" s="25" cm="1">
        <f t="array" ref="X148">_xlfn.LET(_xlpm.x, L148:L150, IF(SUM((_xlpm.x="C1")*1)=1, 1, 0))</f>
        <v>1</v>
      </c>
      <c r="Y148" s="25" cm="1">
        <f t="array" ref="Y148">_xlfn.LET(_xlpm.x, M148:M150, IF(SUM((_xlpm.x="C1")*1)=1, 1, 0))</f>
        <v>0</v>
      </c>
      <c r="Z148" s="25">
        <v>1</v>
      </c>
      <c r="AA148" s="25">
        <v>1</v>
      </c>
      <c r="AH148" s="5"/>
      <c r="AI148" s="5"/>
      <c r="AO148" s="5"/>
    </row>
    <row r="149" spans="10:41" x14ac:dyDescent="0.3">
      <c r="J149" s="25">
        <v>145</v>
      </c>
      <c r="K149" s="16" t="s">
        <v>35</v>
      </c>
      <c r="L149" s="16" t="s">
        <v>20</v>
      </c>
      <c r="M149" s="16" t="s">
        <v>37</v>
      </c>
      <c r="N149" s="16" t="s">
        <v>18</v>
      </c>
      <c r="O149" s="16" t="s">
        <v>22</v>
      </c>
      <c r="Q149" s="9">
        <v>8</v>
      </c>
      <c r="R149" s="9">
        <v>1</v>
      </c>
      <c r="S149" s="9">
        <v>7</v>
      </c>
      <c r="T149" s="9">
        <v>4</v>
      </c>
      <c r="U149" s="9">
        <v>3</v>
      </c>
      <c r="W149" s="25" cm="1">
        <f t="array" ref="W149">_xlfn.LET(_xlpm.x, K149:K151, IF(SUM((_xlpm.x="C1")*1)=1, 1, 0))</f>
        <v>0</v>
      </c>
      <c r="X149" s="25" cm="1">
        <f t="array" ref="X149">_xlfn.LET(_xlpm.x, L149:L151, IF(SUM((_xlpm.x="C1")*1)=1, 1, 0))</f>
        <v>1</v>
      </c>
      <c r="Y149" s="25" cm="1">
        <f t="array" ref="Y149">_xlfn.LET(_xlpm.x, M149:M151, IF(SUM((_xlpm.x="C1")*1)=1, 1, 0))</f>
        <v>0</v>
      </c>
      <c r="Z149" s="25">
        <v>1</v>
      </c>
      <c r="AA149" s="25">
        <v>1</v>
      </c>
      <c r="AH149" s="5"/>
      <c r="AI149" s="5"/>
      <c r="AO149" s="5"/>
    </row>
    <row r="150" spans="10:41" x14ac:dyDescent="0.3">
      <c r="J150" s="9">
        <v>146</v>
      </c>
      <c r="K150" s="16" t="s">
        <v>37</v>
      </c>
      <c r="L150" s="16" t="s">
        <v>26</v>
      </c>
      <c r="M150" s="16" t="s">
        <v>37</v>
      </c>
      <c r="N150" s="16" t="s">
        <v>18</v>
      </c>
      <c r="O150" s="16" t="s">
        <v>125</v>
      </c>
      <c r="Q150" s="9">
        <v>7</v>
      </c>
      <c r="R150" s="9">
        <v>2</v>
      </c>
      <c r="S150" s="9">
        <v>7</v>
      </c>
      <c r="T150" s="9">
        <v>4</v>
      </c>
      <c r="U150" s="9">
        <v>6</v>
      </c>
      <c r="W150" s="25" cm="1">
        <f t="array" ref="W150">_xlfn.LET(_xlpm.x, K150:K152, IF(SUM((_xlpm.x="C1")*1)=1, 1, 0))</f>
        <v>0</v>
      </c>
      <c r="X150" s="25" cm="1">
        <f t="array" ref="X150">_xlfn.LET(_xlpm.x, L150:L152, IF(SUM((_xlpm.x="C1")*1)=1, 1, 0))</f>
        <v>0</v>
      </c>
      <c r="Y150" s="25" cm="1">
        <f t="array" ref="Y150">_xlfn.LET(_xlpm.x, M150:M152, IF(SUM((_xlpm.x="C1")*1)=1, 1, 0))</f>
        <v>0</v>
      </c>
      <c r="Z150" s="25">
        <v>1</v>
      </c>
      <c r="AA150" s="25">
        <v>1</v>
      </c>
      <c r="AH150" s="5"/>
      <c r="AI150" s="5"/>
      <c r="AO150" s="5"/>
    </row>
    <row r="151" spans="10:41" x14ac:dyDescent="0.3">
      <c r="J151" s="25">
        <v>147</v>
      </c>
      <c r="K151" s="16" t="s">
        <v>125</v>
      </c>
      <c r="L151" s="16" t="s">
        <v>26</v>
      </c>
      <c r="M151" s="16" t="s">
        <v>125</v>
      </c>
      <c r="N151" s="16" t="s">
        <v>18</v>
      </c>
      <c r="O151" s="16" t="s">
        <v>21</v>
      </c>
      <c r="Q151" s="9">
        <v>6</v>
      </c>
      <c r="R151" s="9">
        <v>2</v>
      </c>
      <c r="S151" s="9">
        <v>6</v>
      </c>
      <c r="T151" s="9">
        <v>4</v>
      </c>
      <c r="U151" s="9">
        <v>2</v>
      </c>
      <c r="W151" s="25" cm="1">
        <f t="array" ref="W151">_xlfn.LET(_xlpm.x, K151:K153, IF(SUM((_xlpm.x="C1")*1)=1, 1, 0))</f>
        <v>0</v>
      </c>
      <c r="X151" s="25" cm="1">
        <f t="array" ref="X151">_xlfn.LET(_xlpm.x, L151:L153, IF(SUM((_xlpm.x="C1")*1)=1, 1, 0))</f>
        <v>0</v>
      </c>
      <c r="Y151" s="25" cm="1">
        <f t="array" ref="Y151">_xlfn.LET(_xlpm.x, M151:M153, IF(SUM((_xlpm.x="C1")*1)=1, 1, 0))</f>
        <v>0</v>
      </c>
      <c r="Z151" s="25">
        <v>1</v>
      </c>
      <c r="AA151" s="25">
        <v>1</v>
      </c>
      <c r="AH151" s="5"/>
      <c r="AI151" s="5"/>
      <c r="AO151" s="5"/>
    </row>
    <row r="152" spans="10:41" x14ac:dyDescent="0.3">
      <c r="J152" s="9">
        <v>148</v>
      </c>
      <c r="K152" s="16" t="s">
        <v>18</v>
      </c>
      <c r="L152" s="16" t="s">
        <v>22</v>
      </c>
      <c r="M152" s="16" t="s">
        <v>19</v>
      </c>
      <c r="N152" s="16" t="s">
        <v>36</v>
      </c>
      <c r="O152" s="16" t="s">
        <v>20</v>
      </c>
      <c r="Q152" s="9">
        <v>4</v>
      </c>
      <c r="R152" s="9">
        <v>3</v>
      </c>
      <c r="S152" s="9">
        <v>5</v>
      </c>
      <c r="T152" s="9">
        <v>10</v>
      </c>
      <c r="U152" s="9">
        <v>1</v>
      </c>
      <c r="W152" s="25" cm="1">
        <f t="array" ref="W152">_xlfn.LET(_xlpm.x, K152:K154, IF(SUM((_xlpm.x="C1")*1)=1, 1, 0))</f>
        <v>0</v>
      </c>
      <c r="X152" s="25" cm="1">
        <f t="array" ref="X152">_xlfn.LET(_xlpm.x, L152:L154, IF(SUM((_xlpm.x="C1")*1)=1, 1, 0))</f>
        <v>0</v>
      </c>
      <c r="Y152" s="25" cm="1">
        <f t="array" ref="Y152">_xlfn.LET(_xlpm.x, M152:M154, IF(SUM((_xlpm.x="C1")*1)=1, 1, 0))</f>
        <v>0</v>
      </c>
      <c r="Z152" s="25">
        <v>1</v>
      </c>
      <c r="AA152" s="25">
        <v>1</v>
      </c>
      <c r="AH152" s="5"/>
      <c r="AI152" s="5"/>
      <c r="AO152" s="5"/>
    </row>
    <row r="153" spans="10:41" x14ac:dyDescent="0.3">
      <c r="J153" s="25">
        <v>149</v>
      </c>
      <c r="K153" s="16" t="s">
        <v>37</v>
      </c>
      <c r="L153" s="16" t="s">
        <v>18</v>
      </c>
      <c r="M153" s="16" t="s">
        <v>22</v>
      </c>
      <c r="N153" s="16" t="s">
        <v>90</v>
      </c>
      <c r="O153" s="16" t="s">
        <v>125</v>
      </c>
      <c r="Q153" s="9">
        <v>7</v>
      </c>
      <c r="R153" s="9">
        <v>4</v>
      </c>
      <c r="S153" s="9">
        <v>3</v>
      </c>
      <c r="T153" s="9">
        <v>13</v>
      </c>
      <c r="U153" s="9">
        <v>6</v>
      </c>
      <c r="W153" s="25" cm="1">
        <f t="array" ref="W153">_xlfn.LET(_xlpm.x, K153:K155, IF(SUM((_xlpm.x="C1")*1)=1, 1, 0))</f>
        <v>0</v>
      </c>
      <c r="X153" s="25" cm="1">
        <f t="array" ref="X153">_xlfn.LET(_xlpm.x, L153:L155, IF(SUM((_xlpm.x="C1")*1)=1, 1, 0))</f>
        <v>0</v>
      </c>
      <c r="Y153" s="25" cm="1">
        <f t="array" ref="Y153">_xlfn.LET(_xlpm.x, M153:M155, IF(SUM((_xlpm.x="C1")*1)=1, 1, 0))</f>
        <v>0</v>
      </c>
      <c r="Z153" s="25">
        <v>1</v>
      </c>
      <c r="AA153" s="25">
        <v>1</v>
      </c>
      <c r="AH153" s="5"/>
      <c r="AI153" s="5"/>
      <c r="AO153" s="5"/>
    </row>
    <row r="154" spans="10:41" x14ac:dyDescent="0.3">
      <c r="J154" s="9">
        <v>150</v>
      </c>
      <c r="K154" s="16" t="s">
        <v>37</v>
      </c>
      <c r="L154" s="16" t="s">
        <v>92</v>
      </c>
      <c r="M154" s="16" t="s">
        <v>35</v>
      </c>
      <c r="N154" s="16" t="s">
        <v>34</v>
      </c>
      <c r="O154" s="16" t="s">
        <v>34</v>
      </c>
      <c r="Q154" s="9">
        <v>7</v>
      </c>
      <c r="R154" s="9">
        <v>16</v>
      </c>
      <c r="S154" s="9">
        <v>8</v>
      </c>
      <c r="T154" s="9">
        <v>9</v>
      </c>
      <c r="U154" s="9">
        <v>9</v>
      </c>
      <c r="W154" s="25" cm="1">
        <f t="array" ref="W154">_xlfn.LET(_xlpm.x, K154:K156, IF(SUM((_xlpm.x="C1")*1)=1, 1, 0))</f>
        <v>0</v>
      </c>
      <c r="X154" s="25" cm="1">
        <f t="array" ref="X154">_xlfn.LET(_xlpm.x, L154:L156, IF(SUM((_xlpm.x="C1")*1)=1, 1, 0))</f>
        <v>0</v>
      </c>
      <c r="Y154" s="25" cm="1">
        <f t="array" ref="Y154">_xlfn.LET(_xlpm.x, M154:M156, IF(SUM((_xlpm.x="C1")*1)=1, 1, 0))</f>
        <v>0</v>
      </c>
      <c r="Z154" s="25">
        <v>1</v>
      </c>
      <c r="AA154" s="25">
        <v>1</v>
      </c>
      <c r="AH154" s="5"/>
      <c r="AI154" s="5"/>
      <c r="AO154" s="5"/>
    </row>
    <row r="155" spans="10:41" x14ac:dyDescent="0.3">
      <c r="J155" s="25">
        <v>151</v>
      </c>
      <c r="K155" s="16" t="s">
        <v>125</v>
      </c>
      <c r="L155" s="16" t="s">
        <v>18</v>
      </c>
      <c r="M155" s="16" t="s">
        <v>19</v>
      </c>
      <c r="N155" s="16" t="s">
        <v>19</v>
      </c>
      <c r="O155" s="16" t="s">
        <v>34</v>
      </c>
      <c r="Q155" s="9">
        <v>6</v>
      </c>
      <c r="R155" s="9">
        <v>4</v>
      </c>
      <c r="S155" s="9">
        <v>5</v>
      </c>
      <c r="T155" s="9">
        <v>5</v>
      </c>
      <c r="U155" s="9">
        <v>9</v>
      </c>
      <c r="W155" s="25" cm="1">
        <f t="array" ref="W155">_xlfn.LET(_xlpm.x, K155:K157, IF(SUM((_xlpm.x="C1")*1)=1, 1, 0))</f>
        <v>0</v>
      </c>
      <c r="X155" s="25" cm="1">
        <f t="array" ref="X155">_xlfn.LET(_xlpm.x, L155:L157, IF(SUM((_xlpm.x="C1")*1)=1, 1, 0))</f>
        <v>0</v>
      </c>
      <c r="Y155" s="25" cm="1">
        <f t="array" ref="Y155">_xlfn.LET(_xlpm.x, M155:M157, IF(SUM((_xlpm.x="C1")*1)=1, 1, 0))</f>
        <v>0</v>
      </c>
      <c r="Z155" s="25">
        <v>1</v>
      </c>
      <c r="AA155" s="25">
        <v>1</v>
      </c>
      <c r="AH155" s="5"/>
      <c r="AI155" s="5"/>
      <c r="AO155" s="5"/>
    </row>
    <row r="156" spans="10:41" x14ac:dyDescent="0.3">
      <c r="J156" s="9">
        <v>152</v>
      </c>
      <c r="K156" s="16" t="s">
        <v>37</v>
      </c>
      <c r="L156" s="16" t="s">
        <v>36</v>
      </c>
      <c r="M156" s="16" t="s">
        <v>19</v>
      </c>
      <c r="N156" s="16" t="s">
        <v>35</v>
      </c>
      <c r="O156" s="16" t="s">
        <v>125</v>
      </c>
      <c r="Q156" s="9">
        <v>7</v>
      </c>
      <c r="R156" s="9">
        <v>10</v>
      </c>
      <c r="S156" s="9">
        <v>5</v>
      </c>
      <c r="T156" s="9">
        <v>8</v>
      </c>
      <c r="U156" s="9">
        <v>6</v>
      </c>
      <c r="W156" s="25" cm="1">
        <f t="array" ref="W156">_xlfn.LET(_xlpm.x, K156:K158, IF(SUM((_xlpm.x="C1")*1)=1, 1, 0))</f>
        <v>0</v>
      </c>
      <c r="X156" s="25" cm="1">
        <f t="array" ref="X156">_xlfn.LET(_xlpm.x, L156:L158, IF(SUM((_xlpm.x="C1")*1)=1, 1, 0))</f>
        <v>0</v>
      </c>
      <c r="Y156" s="25" cm="1">
        <f t="array" ref="Y156">_xlfn.LET(_xlpm.x, M156:M158, IF(SUM((_xlpm.x="C1")*1)=1, 1, 0))</f>
        <v>0</v>
      </c>
      <c r="Z156" s="25">
        <v>1</v>
      </c>
      <c r="AA156" s="25">
        <v>1</v>
      </c>
      <c r="AH156" s="5"/>
      <c r="AI156" s="5"/>
      <c r="AO156" s="5"/>
    </row>
    <row r="157" spans="10:41" x14ac:dyDescent="0.3">
      <c r="J157" s="25">
        <v>153</v>
      </c>
      <c r="K157" s="16" t="s">
        <v>125</v>
      </c>
      <c r="L157" s="16" t="s">
        <v>21</v>
      </c>
      <c r="M157" s="16" t="s">
        <v>19</v>
      </c>
      <c r="N157" s="16" t="s">
        <v>92</v>
      </c>
      <c r="O157" s="16" t="s">
        <v>125</v>
      </c>
      <c r="Q157" s="9">
        <v>6</v>
      </c>
      <c r="R157" s="9">
        <v>2</v>
      </c>
      <c r="S157" s="9">
        <v>5</v>
      </c>
      <c r="T157" s="9">
        <v>16</v>
      </c>
      <c r="U157" s="9">
        <v>6</v>
      </c>
      <c r="W157" s="25" cm="1">
        <f t="array" ref="W157">_xlfn.LET(_xlpm.x, K157:K159, IF(SUM((_xlpm.x="C1")*1)=1, 1, 0))</f>
        <v>0</v>
      </c>
      <c r="X157" s="25" cm="1">
        <f t="array" ref="X157">_xlfn.LET(_xlpm.x, L157:L159, IF(SUM((_xlpm.x="C1")*1)=1, 1, 0))</f>
        <v>0</v>
      </c>
      <c r="Y157" s="25" cm="1">
        <f t="array" ref="Y157">_xlfn.LET(_xlpm.x, M157:M159, IF(SUM((_xlpm.x="C1")*1)=1, 1, 0))</f>
        <v>0</v>
      </c>
      <c r="Z157" s="25">
        <v>1</v>
      </c>
      <c r="AA157" s="25">
        <v>1</v>
      </c>
      <c r="AH157" s="5"/>
      <c r="AI157" s="5"/>
      <c r="AO157" s="5"/>
    </row>
    <row r="158" spans="10:41" x14ac:dyDescent="0.3">
      <c r="J158" s="9">
        <v>154</v>
      </c>
      <c r="K158" s="16" t="s">
        <v>35</v>
      </c>
      <c r="L158" s="16" t="s">
        <v>18</v>
      </c>
      <c r="M158" s="16" t="s">
        <v>35</v>
      </c>
      <c r="N158" s="16" t="s">
        <v>21</v>
      </c>
      <c r="O158" s="16" t="s">
        <v>35</v>
      </c>
      <c r="Q158" s="9">
        <v>8</v>
      </c>
      <c r="R158" s="9">
        <v>4</v>
      </c>
      <c r="S158" s="9">
        <v>8</v>
      </c>
      <c r="T158" s="9">
        <v>2</v>
      </c>
      <c r="U158" s="9">
        <v>8</v>
      </c>
      <c r="W158" s="25" cm="1">
        <f t="array" ref="W158">_xlfn.LET(_xlpm.x, K158:K160, IF(SUM((_xlpm.x="C1")*1)=1, 1, 0))</f>
        <v>1</v>
      </c>
      <c r="X158" s="25" cm="1">
        <f t="array" ref="X158">_xlfn.LET(_xlpm.x, L158:L160, IF(SUM((_xlpm.x="C1")*1)=1, 1, 0))</f>
        <v>0</v>
      </c>
      <c r="Y158" s="25" cm="1">
        <f t="array" ref="Y158">_xlfn.LET(_xlpm.x, M158:M160, IF(SUM((_xlpm.x="C1")*1)=1, 1, 0))</f>
        <v>0</v>
      </c>
      <c r="Z158" s="25">
        <v>1</v>
      </c>
      <c r="AA158" s="25">
        <v>1</v>
      </c>
      <c r="AH158" s="5"/>
      <c r="AI158" s="5"/>
      <c r="AO158" s="5"/>
    </row>
    <row r="159" spans="10:41" x14ac:dyDescent="0.3">
      <c r="J159" s="25">
        <v>155</v>
      </c>
      <c r="K159" s="16" t="s">
        <v>35</v>
      </c>
      <c r="L159" s="16" t="s">
        <v>37</v>
      </c>
      <c r="M159" s="16" t="s">
        <v>35</v>
      </c>
      <c r="N159" s="16" t="s">
        <v>20</v>
      </c>
      <c r="O159" s="16" t="s">
        <v>20</v>
      </c>
      <c r="Q159" s="9">
        <v>8</v>
      </c>
      <c r="R159" s="9">
        <v>7</v>
      </c>
      <c r="S159" s="9">
        <v>8</v>
      </c>
      <c r="T159" s="9">
        <v>1</v>
      </c>
      <c r="U159" s="9">
        <v>1</v>
      </c>
      <c r="W159" s="25" cm="1">
        <f t="array" ref="W159">_xlfn.LET(_xlpm.x, K159:K161, IF(SUM((_xlpm.x="C1")*1)=1, 1, 0))</f>
        <v>1</v>
      </c>
      <c r="X159" s="25" cm="1">
        <f t="array" ref="X159">_xlfn.LET(_xlpm.x, L159:L161, IF(SUM((_xlpm.x="C1")*1)=1, 1, 0))</f>
        <v>0</v>
      </c>
      <c r="Y159" s="25" cm="1">
        <f t="array" ref="Y159">_xlfn.LET(_xlpm.x, M159:M161, IF(SUM((_xlpm.x="C1")*1)=1, 1, 0))</f>
        <v>0</v>
      </c>
      <c r="Z159" s="25">
        <v>1</v>
      </c>
      <c r="AA159" s="25">
        <v>1</v>
      </c>
      <c r="AH159" s="5"/>
      <c r="AI159" s="5"/>
      <c r="AO159" s="5"/>
    </row>
    <row r="160" spans="10:41" x14ac:dyDescent="0.3">
      <c r="J160" s="9">
        <v>156</v>
      </c>
      <c r="K160" s="16" t="s">
        <v>20</v>
      </c>
      <c r="L160" s="16" t="s">
        <v>125</v>
      </c>
      <c r="M160" s="16" t="s">
        <v>37</v>
      </c>
      <c r="N160" s="16" t="s">
        <v>37</v>
      </c>
      <c r="O160" s="16" t="s">
        <v>19</v>
      </c>
      <c r="Q160" s="9">
        <v>1</v>
      </c>
      <c r="R160" s="9">
        <v>6</v>
      </c>
      <c r="S160" s="9">
        <v>7</v>
      </c>
      <c r="T160" s="9">
        <v>7</v>
      </c>
      <c r="U160" s="9">
        <v>5</v>
      </c>
      <c r="W160" s="25" cm="1">
        <f t="array" ref="W160">_xlfn.LET(_xlpm.x, K160:K162, IF(SUM((_xlpm.x="C1")*1)=1, 1, 0))</f>
        <v>1</v>
      </c>
      <c r="X160" s="25" cm="1">
        <f t="array" ref="X160">_xlfn.LET(_xlpm.x, L160:L162, IF(SUM((_xlpm.x="C1")*1)=1, 1, 0))</f>
        <v>0</v>
      </c>
      <c r="Y160" s="25" cm="1">
        <f t="array" ref="Y160">_xlfn.LET(_xlpm.x, M160:M162, IF(SUM((_xlpm.x="C1")*1)=1, 1, 0))</f>
        <v>0</v>
      </c>
      <c r="Z160" s="25">
        <v>1</v>
      </c>
      <c r="AA160" s="25">
        <v>1</v>
      </c>
      <c r="AH160" s="5"/>
      <c r="AI160" s="5"/>
      <c r="AO160" s="5"/>
    </row>
    <row r="161" spans="10:41" x14ac:dyDescent="0.3">
      <c r="J161" s="25">
        <v>157</v>
      </c>
      <c r="K161" s="16" t="s">
        <v>35</v>
      </c>
      <c r="L161" s="16" t="s">
        <v>21</v>
      </c>
      <c r="M161" s="16" t="s">
        <v>125</v>
      </c>
      <c r="N161" s="16" t="s">
        <v>34</v>
      </c>
      <c r="O161" s="16" t="s">
        <v>37</v>
      </c>
      <c r="Q161" s="9">
        <v>8</v>
      </c>
      <c r="R161" s="9">
        <v>2</v>
      </c>
      <c r="S161" s="9">
        <v>6</v>
      </c>
      <c r="T161" s="9">
        <v>9</v>
      </c>
      <c r="U161" s="9">
        <v>7</v>
      </c>
      <c r="W161" s="25" cm="1">
        <f t="array" ref="W161">_xlfn.LET(_xlpm.x, K161:K163, IF(SUM((_xlpm.x="C1")*1)=1, 1, 0))</f>
        <v>0</v>
      </c>
      <c r="X161" s="25" cm="1">
        <f t="array" ref="X161">_xlfn.LET(_xlpm.x, L161:L163, IF(SUM((_xlpm.x="C1")*1)=1, 1, 0))</f>
        <v>0</v>
      </c>
      <c r="Y161" s="25" cm="1">
        <f t="array" ref="Y161">_xlfn.LET(_xlpm.x, M161:M163, IF(SUM((_xlpm.x="C1")*1)=1, 1, 0))</f>
        <v>0</v>
      </c>
      <c r="Z161" s="25">
        <v>1</v>
      </c>
      <c r="AA161" s="25">
        <v>1</v>
      </c>
      <c r="AH161" s="5"/>
      <c r="AI161" s="5"/>
      <c r="AO161" s="5"/>
    </row>
    <row r="162" spans="10:41" x14ac:dyDescent="0.3">
      <c r="J162" s="9">
        <v>158</v>
      </c>
      <c r="K162" s="16" t="s">
        <v>23</v>
      </c>
      <c r="L162" s="16" t="s">
        <v>36</v>
      </c>
      <c r="M162" s="16" t="s">
        <v>125</v>
      </c>
      <c r="N162" s="16" t="s">
        <v>34</v>
      </c>
      <c r="O162" s="16" t="s">
        <v>125</v>
      </c>
      <c r="Q162" s="9">
        <v>7</v>
      </c>
      <c r="R162" s="9">
        <v>10</v>
      </c>
      <c r="S162" s="9">
        <v>6</v>
      </c>
      <c r="T162" s="9">
        <v>9</v>
      </c>
      <c r="U162" s="9">
        <v>6</v>
      </c>
      <c r="W162" s="25" cm="1">
        <f t="array" ref="W162">_xlfn.LET(_xlpm.x, K162:K164, IF(SUM((_xlpm.x="C1")*1)=1, 1, 0))</f>
        <v>0</v>
      </c>
      <c r="X162" s="25" cm="1">
        <f t="array" ref="X162">_xlfn.LET(_xlpm.x, L162:L164, IF(SUM((_xlpm.x="C1")*1)=1, 1, 0))</f>
        <v>0</v>
      </c>
      <c r="Y162" s="25" cm="1">
        <f t="array" ref="Y162">_xlfn.LET(_xlpm.x, M162:M164, IF(SUM((_xlpm.x="C1")*1)=1, 1, 0))</f>
        <v>0</v>
      </c>
      <c r="Z162" s="25">
        <v>1</v>
      </c>
      <c r="AA162" s="25">
        <v>1</v>
      </c>
      <c r="AH162" s="5"/>
      <c r="AI162" s="5"/>
      <c r="AO162" s="5"/>
    </row>
    <row r="163" spans="10:41" x14ac:dyDescent="0.3">
      <c r="J163" s="25">
        <v>159</v>
      </c>
      <c r="K163" s="16" t="s">
        <v>35</v>
      </c>
      <c r="L163" s="16" t="s">
        <v>18</v>
      </c>
      <c r="M163" s="16" t="s">
        <v>125</v>
      </c>
      <c r="N163" s="16" t="s">
        <v>34</v>
      </c>
      <c r="O163" s="16" t="s">
        <v>125</v>
      </c>
      <c r="Q163" s="9">
        <v>8</v>
      </c>
      <c r="R163" s="9">
        <v>4</v>
      </c>
      <c r="S163" s="9">
        <v>6</v>
      </c>
      <c r="T163" s="9">
        <v>9</v>
      </c>
      <c r="U163" s="9">
        <v>6</v>
      </c>
      <c r="W163" s="25" cm="1">
        <f t="array" ref="W163">_xlfn.LET(_xlpm.x, K163:K165, IF(SUM((_xlpm.x="C1")*1)=1, 1, 0))</f>
        <v>0</v>
      </c>
      <c r="X163" s="25" cm="1">
        <f t="array" ref="X163">_xlfn.LET(_xlpm.x, L163:L165, IF(SUM((_xlpm.x="C1")*1)=1, 1, 0))</f>
        <v>0</v>
      </c>
      <c r="Y163" s="25" cm="1">
        <f t="array" ref="Y163">_xlfn.LET(_xlpm.x, M163:M165, IF(SUM((_xlpm.x="C1")*1)=1, 1, 0))</f>
        <v>0</v>
      </c>
      <c r="Z163" s="25">
        <v>1</v>
      </c>
      <c r="AA163" s="25">
        <v>1</v>
      </c>
      <c r="AH163" s="5"/>
      <c r="AI163" s="5"/>
      <c r="AO163" s="5"/>
    </row>
    <row r="164" spans="10:41" x14ac:dyDescent="0.3">
      <c r="J164" s="9">
        <v>160</v>
      </c>
      <c r="K164" s="16" t="s">
        <v>35</v>
      </c>
      <c r="L164" s="16" t="s">
        <v>22</v>
      </c>
      <c r="M164" s="16" t="s">
        <v>19</v>
      </c>
      <c r="N164" s="16" t="s">
        <v>36</v>
      </c>
      <c r="O164" s="16" t="s">
        <v>35</v>
      </c>
      <c r="Q164" s="9">
        <v>8</v>
      </c>
      <c r="R164" s="9">
        <v>3</v>
      </c>
      <c r="S164" s="9">
        <v>5</v>
      </c>
      <c r="T164" s="9">
        <v>10</v>
      </c>
      <c r="U164" s="9">
        <v>8</v>
      </c>
      <c r="W164" s="25" cm="1">
        <f t="array" ref="W164">_xlfn.LET(_xlpm.x, K164:K166, IF(SUM((_xlpm.x="C1")*1)=1, 1, 0))</f>
        <v>0</v>
      </c>
      <c r="X164" s="25" cm="1">
        <f t="array" ref="X164">_xlfn.LET(_xlpm.x, L164:L166, IF(SUM((_xlpm.x="C1")*1)=1, 1, 0))</f>
        <v>0</v>
      </c>
      <c r="Y164" s="25" cm="1">
        <f t="array" ref="Y164">_xlfn.LET(_xlpm.x, M164:M166, IF(SUM((_xlpm.x="C1")*1)=1, 1, 0))</f>
        <v>0</v>
      </c>
      <c r="Z164" s="25">
        <v>1</v>
      </c>
      <c r="AA164" s="25">
        <v>1</v>
      </c>
      <c r="AH164" s="5"/>
      <c r="AI164" s="5"/>
      <c r="AO164" s="5"/>
    </row>
    <row r="165" spans="10:41" x14ac:dyDescent="0.3">
      <c r="J165" s="25">
        <v>161</v>
      </c>
      <c r="K165" s="16" t="s">
        <v>19</v>
      </c>
      <c r="L165" s="16" t="s">
        <v>88</v>
      </c>
      <c r="M165" s="16" t="s">
        <v>21</v>
      </c>
      <c r="N165" s="16" t="s">
        <v>35</v>
      </c>
      <c r="O165" s="16" t="s">
        <v>36</v>
      </c>
      <c r="Q165" s="9">
        <v>5</v>
      </c>
      <c r="R165" s="9">
        <v>11</v>
      </c>
      <c r="S165" s="9">
        <v>2</v>
      </c>
      <c r="T165" s="9">
        <v>8</v>
      </c>
      <c r="U165" s="9">
        <v>10</v>
      </c>
      <c r="W165" s="25" cm="1">
        <f t="array" ref="W165">_xlfn.LET(_xlpm.x, K165:K167, IF(SUM((_xlpm.x="C1")*1)=1, 1, 0))</f>
        <v>0</v>
      </c>
      <c r="X165" s="25" cm="1">
        <f t="array" ref="X165">_xlfn.LET(_xlpm.x, L165:L167, IF(SUM((_xlpm.x="C1")*1)=1, 1, 0))</f>
        <v>0</v>
      </c>
      <c r="Y165" s="25" cm="1">
        <f t="array" ref="Y165">_xlfn.LET(_xlpm.x, M165:M167, IF(SUM((_xlpm.x="C1")*1)=1, 1, 0))</f>
        <v>0</v>
      </c>
      <c r="Z165" s="25">
        <v>1</v>
      </c>
      <c r="AA165" s="25">
        <v>1</v>
      </c>
      <c r="AH165" s="5"/>
      <c r="AI165" s="5"/>
      <c r="AO165" s="5"/>
    </row>
    <row r="166" spans="10:41" x14ac:dyDescent="0.3">
      <c r="J166" s="9">
        <v>162</v>
      </c>
      <c r="K166" s="16" t="s">
        <v>125</v>
      </c>
      <c r="L166" s="16" t="s">
        <v>18</v>
      </c>
      <c r="M166" s="16" t="s">
        <v>37</v>
      </c>
      <c r="N166" s="16" t="s">
        <v>35</v>
      </c>
      <c r="O166" s="16" t="s">
        <v>35</v>
      </c>
      <c r="Q166" s="9">
        <v>6</v>
      </c>
      <c r="R166" s="9">
        <v>4</v>
      </c>
      <c r="S166" s="9">
        <v>7</v>
      </c>
      <c r="T166" s="9">
        <v>8</v>
      </c>
      <c r="U166" s="9">
        <v>8</v>
      </c>
      <c r="W166" s="25" cm="1">
        <f t="array" ref="W166">_xlfn.LET(_xlpm.x, K166:K168, IF(SUM((_xlpm.x="C1")*1)=1, 1, 0))</f>
        <v>0</v>
      </c>
      <c r="X166" s="25" cm="1">
        <f t="array" ref="X166">_xlfn.LET(_xlpm.x, L166:L168, IF(SUM((_xlpm.x="C1")*1)=1, 1, 0))</f>
        <v>0</v>
      </c>
      <c r="Y166" s="25" cm="1">
        <f t="array" ref="Y166">_xlfn.LET(_xlpm.x, M166:M168, IF(SUM((_xlpm.x="C1")*1)=1, 1, 0))</f>
        <v>0</v>
      </c>
      <c r="Z166" s="25">
        <v>1</v>
      </c>
      <c r="AA166" s="25">
        <v>1</v>
      </c>
      <c r="AH166" s="5"/>
      <c r="AI166" s="5"/>
      <c r="AO166" s="5"/>
    </row>
    <row r="167" spans="10:41" x14ac:dyDescent="0.3">
      <c r="J167" s="25">
        <v>163</v>
      </c>
      <c r="K167" s="16" t="s">
        <v>35</v>
      </c>
      <c r="L167" s="16" t="s">
        <v>22</v>
      </c>
      <c r="M167" s="16" t="s">
        <v>19</v>
      </c>
      <c r="N167" s="16" t="s">
        <v>19</v>
      </c>
      <c r="O167" s="16" t="s">
        <v>21</v>
      </c>
      <c r="Q167" s="9">
        <v>8</v>
      </c>
      <c r="R167" s="9">
        <v>3</v>
      </c>
      <c r="S167" s="9">
        <v>5</v>
      </c>
      <c r="T167" s="9">
        <v>5</v>
      </c>
      <c r="U167" s="9">
        <v>2</v>
      </c>
      <c r="W167" s="25" cm="1">
        <f t="array" ref="W167">_xlfn.LET(_xlpm.x, K167:K169, IF(SUM((_xlpm.x="C1")*1)=1, 1, 0))</f>
        <v>0</v>
      </c>
      <c r="X167" s="25" cm="1">
        <f t="array" ref="X167">_xlfn.LET(_xlpm.x, L167:L169, IF(SUM((_xlpm.x="C1")*1)=1, 1, 0))</f>
        <v>0</v>
      </c>
      <c r="Y167" s="25" cm="1">
        <f t="array" ref="Y167">_xlfn.LET(_xlpm.x, M167:M169, IF(SUM((_xlpm.x="C1")*1)=1, 1, 0))</f>
        <v>0</v>
      </c>
      <c r="Z167" s="25">
        <v>1</v>
      </c>
      <c r="AA167" s="25">
        <v>1</v>
      </c>
      <c r="AH167" s="5"/>
      <c r="AI167" s="5"/>
      <c r="AO167" s="5"/>
    </row>
    <row r="168" spans="10:41" x14ac:dyDescent="0.3">
      <c r="J168" s="9">
        <v>164</v>
      </c>
      <c r="K168" s="16" t="s">
        <v>37</v>
      </c>
      <c r="L168" s="16" t="s">
        <v>90</v>
      </c>
      <c r="M168" s="16" t="s">
        <v>125</v>
      </c>
      <c r="N168" s="16" t="s">
        <v>21</v>
      </c>
      <c r="O168" s="16" t="s">
        <v>34</v>
      </c>
      <c r="Q168" s="9">
        <v>7</v>
      </c>
      <c r="R168" s="9">
        <v>13</v>
      </c>
      <c r="S168" s="9">
        <v>6</v>
      </c>
      <c r="T168" s="9">
        <v>2</v>
      </c>
      <c r="U168" s="9">
        <v>9</v>
      </c>
      <c r="W168" s="25" cm="1">
        <f t="array" ref="W168">_xlfn.LET(_xlpm.x, K168:K170, IF(SUM((_xlpm.x="C1")*1)=1, 1, 0))</f>
        <v>0</v>
      </c>
      <c r="X168" s="25" cm="1">
        <f t="array" ref="X168">_xlfn.LET(_xlpm.x, L168:L170, IF(SUM((_xlpm.x="C1")*1)=1, 1, 0))</f>
        <v>0</v>
      </c>
      <c r="Y168" s="25" cm="1">
        <f t="array" ref="Y168">_xlfn.LET(_xlpm.x, M168:M170, IF(SUM((_xlpm.x="C1")*1)=1, 1, 0))</f>
        <v>0</v>
      </c>
      <c r="Z168" s="25">
        <v>1</v>
      </c>
      <c r="AA168" s="25">
        <v>1</v>
      </c>
      <c r="AH168" s="5"/>
      <c r="AI168" s="5"/>
      <c r="AO168" s="5"/>
    </row>
    <row r="169" spans="10:41" x14ac:dyDescent="0.3">
      <c r="J169" s="25">
        <v>165</v>
      </c>
      <c r="K169" s="16" t="s">
        <v>37</v>
      </c>
      <c r="L169" s="16" t="s">
        <v>34</v>
      </c>
      <c r="M169" s="16" t="s">
        <v>125</v>
      </c>
      <c r="N169" s="16" t="s">
        <v>21</v>
      </c>
      <c r="O169" s="16" t="s">
        <v>18</v>
      </c>
      <c r="Q169" s="9">
        <v>7</v>
      </c>
      <c r="R169" s="9">
        <v>9</v>
      </c>
      <c r="S169" s="9">
        <v>6</v>
      </c>
      <c r="T169" s="9">
        <v>2</v>
      </c>
      <c r="U169" s="9">
        <v>4</v>
      </c>
      <c r="W169" s="25" cm="1">
        <f t="array" ref="W169">_xlfn.LET(_xlpm.x, K169:K171, IF(SUM((_xlpm.x="C1")*1)=1, 1, 0))</f>
        <v>0</v>
      </c>
      <c r="X169" s="25" cm="1">
        <f t="array" ref="X169">_xlfn.LET(_xlpm.x, L169:L171, IF(SUM((_xlpm.x="C1")*1)=1, 1, 0))</f>
        <v>0</v>
      </c>
      <c r="Y169" s="25" cm="1">
        <f t="array" ref="Y169">_xlfn.LET(_xlpm.x, M169:M171, IF(SUM((_xlpm.x="C1")*1)=1, 1, 0))</f>
        <v>0</v>
      </c>
      <c r="Z169" s="25">
        <v>1</v>
      </c>
      <c r="AA169" s="25">
        <v>1</v>
      </c>
      <c r="AH169" s="5"/>
      <c r="AI169" s="5"/>
      <c r="AO169" s="5"/>
    </row>
    <row r="170" spans="10:41" x14ac:dyDescent="0.3">
      <c r="J170" s="9">
        <v>166</v>
      </c>
      <c r="K170" s="16" t="s">
        <v>37</v>
      </c>
      <c r="L170" s="16" t="s">
        <v>21</v>
      </c>
      <c r="M170" s="16" t="s">
        <v>125</v>
      </c>
      <c r="N170" s="16" t="s">
        <v>19</v>
      </c>
      <c r="O170" s="16" t="s">
        <v>22</v>
      </c>
      <c r="Q170" s="9">
        <v>7</v>
      </c>
      <c r="R170" s="9">
        <v>2</v>
      </c>
      <c r="S170" s="9">
        <v>6</v>
      </c>
      <c r="T170" s="9">
        <v>5</v>
      </c>
      <c r="U170" s="9">
        <v>3</v>
      </c>
      <c r="W170" s="25" cm="1">
        <f t="array" ref="W170">_xlfn.LET(_xlpm.x, K170:K172, IF(SUM((_xlpm.x="C1")*1)=1, 1, 0))</f>
        <v>0</v>
      </c>
      <c r="X170" s="25" cm="1">
        <f t="array" ref="X170">_xlfn.LET(_xlpm.x, L170:L172, IF(SUM((_xlpm.x="C1")*1)=1, 1, 0))</f>
        <v>0</v>
      </c>
      <c r="Y170" s="25" cm="1">
        <f t="array" ref="Y170">_xlfn.LET(_xlpm.x, M170:M172, IF(SUM((_xlpm.x="C1")*1)=1, 1, 0))</f>
        <v>0</v>
      </c>
      <c r="Z170" s="25">
        <v>1</v>
      </c>
      <c r="AA170" s="25">
        <v>1</v>
      </c>
      <c r="AH170" s="5"/>
      <c r="AI170" s="5"/>
      <c r="AO170" s="5"/>
    </row>
    <row r="171" spans="10:41" x14ac:dyDescent="0.3">
      <c r="J171" s="25">
        <v>167</v>
      </c>
      <c r="K171" s="16" t="s">
        <v>35</v>
      </c>
      <c r="L171" s="16" t="s">
        <v>35</v>
      </c>
      <c r="M171" s="16" t="s">
        <v>19</v>
      </c>
      <c r="N171" s="16" t="s">
        <v>21</v>
      </c>
      <c r="O171" s="16" t="s">
        <v>35</v>
      </c>
      <c r="Q171" s="9">
        <v>8</v>
      </c>
      <c r="R171" s="9">
        <v>8</v>
      </c>
      <c r="S171" s="9">
        <v>5</v>
      </c>
      <c r="T171" s="9">
        <v>2</v>
      </c>
      <c r="U171" s="9">
        <v>8</v>
      </c>
      <c r="W171" s="25" cm="1">
        <f t="array" ref="W171">_xlfn.LET(_xlpm.x, K171:K173, IF(SUM((_xlpm.x="C1")*1)=1, 1, 0))</f>
        <v>0</v>
      </c>
      <c r="X171" s="25" cm="1">
        <f t="array" ref="X171">_xlfn.LET(_xlpm.x, L171:L173, IF(SUM((_xlpm.x="C1")*1)=1, 1, 0))</f>
        <v>0</v>
      </c>
      <c r="Y171" s="25" cm="1">
        <f t="array" ref="Y171">_xlfn.LET(_xlpm.x, M171:M173, IF(SUM((_xlpm.x="C1")*1)=1, 1, 0))</f>
        <v>0</v>
      </c>
      <c r="Z171" s="25">
        <v>1</v>
      </c>
      <c r="AA171" s="25">
        <v>1</v>
      </c>
      <c r="AH171" s="5"/>
      <c r="AI171" s="5"/>
      <c r="AO171" s="5"/>
    </row>
    <row r="172" spans="10:41" x14ac:dyDescent="0.3">
      <c r="J172" s="9">
        <v>168</v>
      </c>
      <c r="K172" s="16" t="s">
        <v>37</v>
      </c>
      <c r="L172" s="16" t="s">
        <v>22</v>
      </c>
      <c r="M172" s="16" t="s">
        <v>125</v>
      </c>
      <c r="N172" s="16" t="s">
        <v>125</v>
      </c>
      <c r="O172" s="16" t="s">
        <v>21</v>
      </c>
      <c r="Q172" s="9">
        <v>7</v>
      </c>
      <c r="R172" s="9">
        <v>3</v>
      </c>
      <c r="S172" s="9">
        <v>6</v>
      </c>
      <c r="T172" s="9">
        <v>6</v>
      </c>
      <c r="U172" s="9">
        <v>2</v>
      </c>
      <c r="W172" s="25" cm="1">
        <f t="array" ref="W172">_xlfn.LET(_xlpm.x, K172:K174, IF(SUM((_xlpm.x="C1")*1)=1, 1, 0))</f>
        <v>0</v>
      </c>
      <c r="X172" s="25" cm="1">
        <f t="array" ref="X172">_xlfn.LET(_xlpm.x, L172:L174, IF(SUM((_xlpm.x="C1")*1)=1, 1, 0))</f>
        <v>0</v>
      </c>
      <c r="Y172" s="25" cm="1">
        <f t="array" ref="Y172">_xlfn.LET(_xlpm.x, M172:M174, IF(SUM((_xlpm.x="C1")*1)=1, 1, 0))</f>
        <v>1</v>
      </c>
      <c r="Z172" s="25">
        <v>1</v>
      </c>
      <c r="AA172" s="25">
        <v>1</v>
      </c>
      <c r="AH172" s="5"/>
      <c r="AI172" s="5"/>
      <c r="AO172" s="5"/>
    </row>
    <row r="173" spans="10:41" x14ac:dyDescent="0.3">
      <c r="J173" s="25">
        <v>169</v>
      </c>
      <c r="K173" s="16" t="s">
        <v>19</v>
      </c>
      <c r="L173" s="16" t="s">
        <v>34</v>
      </c>
      <c r="M173" s="16" t="s">
        <v>19</v>
      </c>
      <c r="N173" s="16" t="s">
        <v>22</v>
      </c>
      <c r="O173" s="16" t="s">
        <v>18</v>
      </c>
      <c r="Q173" s="9">
        <v>5</v>
      </c>
      <c r="R173" s="9">
        <v>9</v>
      </c>
      <c r="S173" s="9">
        <v>5</v>
      </c>
      <c r="T173" s="9">
        <v>3</v>
      </c>
      <c r="U173" s="9">
        <v>4</v>
      </c>
      <c r="W173" s="25" cm="1">
        <f t="array" ref="W173">_xlfn.LET(_xlpm.x, K173:K175, IF(SUM((_xlpm.x="C1")*1)=1, 1, 0))</f>
        <v>0</v>
      </c>
      <c r="X173" s="25" cm="1">
        <f t="array" ref="X173">_xlfn.LET(_xlpm.x, L173:L175, IF(SUM((_xlpm.x="C1")*1)=1, 1, 0))</f>
        <v>0</v>
      </c>
      <c r="Y173" s="25" cm="1">
        <f t="array" ref="Y173">_xlfn.LET(_xlpm.x, M173:M175, IF(SUM((_xlpm.x="C1")*1)=1, 1, 0))</f>
        <v>1</v>
      </c>
      <c r="Z173" s="25">
        <v>1</v>
      </c>
      <c r="AA173" s="25">
        <v>1</v>
      </c>
      <c r="AH173" s="5"/>
      <c r="AI173" s="5"/>
      <c r="AO173" s="5"/>
    </row>
    <row r="174" spans="10:41" x14ac:dyDescent="0.3">
      <c r="J174" s="9">
        <v>170</v>
      </c>
      <c r="K174" s="16" t="s">
        <v>125</v>
      </c>
      <c r="L174" s="16" t="s">
        <v>37</v>
      </c>
      <c r="M174" s="16" t="s">
        <v>20</v>
      </c>
      <c r="N174" s="16" t="s">
        <v>125</v>
      </c>
      <c r="O174" s="16" t="s">
        <v>37</v>
      </c>
      <c r="Q174" s="9">
        <v>6</v>
      </c>
      <c r="R174" s="9">
        <v>7</v>
      </c>
      <c r="S174" s="9">
        <v>1</v>
      </c>
      <c r="T174" s="9">
        <v>6</v>
      </c>
      <c r="U174" s="9">
        <v>7</v>
      </c>
      <c r="W174" s="25" cm="1">
        <f t="array" ref="W174">_xlfn.LET(_xlpm.x, K174:K176, IF(SUM((_xlpm.x="C1")*1)=1, 1, 0))</f>
        <v>0</v>
      </c>
      <c r="X174" s="25" cm="1">
        <f t="array" ref="X174">_xlfn.LET(_xlpm.x, L174:L176, IF(SUM((_xlpm.x="C1")*1)=1, 1, 0))</f>
        <v>0</v>
      </c>
      <c r="Y174" s="25" cm="1">
        <f t="array" ref="Y174">_xlfn.LET(_xlpm.x, M174:M176, IF(SUM((_xlpm.x="C1")*1)=1, 1, 0))</f>
        <v>1</v>
      </c>
      <c r="Z174" s="25">
        <v>1</v>
      </c>
      <c r="AA174" s="25">
        <v>1</v>
      </c>
      <c r="AH174" s="5"/>
      <c r="AI174" s="5"/>
      <c r="AO174" s="5"/>
    </row>
    <row r="175" spans="10:41" x14ac:dyDescent="0.3">
      <c r="J175" s="25">
        <v>171</v>
      </c>
      <c r="K175" s="16" t="s">
        <v>37</v>
      </c>
      <c r="L175" s="16" t="s">
        <v>37</v>
      </c>
      <c r="M175" s="16" t="s">
        <v>35</v>
      </c>
      <c r="N175" s="16" t="s">
        <v>37</v>
      </c>
      <c r="O175" s="16" t="s">
        <v>35</v>
      </c>
      <c r="Q175" s="9">
        <v>7</v>
      </c>
      <c r="R175" s="9">
        <v>7</v>
      </c>
      <c r="S175" s="9">
        <v>8</v>
      </c>
      <c r="T175" s="9">
        <v>7</v>
      </c>
      <c r="U175" s="9">
        <v>8</v>
      </c>
      <c r="W175" s="25" cm="1">
        <f t="array" ref="W175">_xlfn.LET(_xlpm.x, K175:K177, IF(SUM((_xlpm.x="C1")*1)=1, 1, 0))</f>
        <v>0</v>
      </c>
      <c r="X175" s="25" cm="1">
        <f t="array" ref="X175">_xlfn.LET(_xlpm.x, L175:L177, IF(SUM((_xlpm.x="C1")*1)=1, 1, 0))</f>
        <v>0</v>
      </c>
      <c r="Y175" s="25" cm="1">
        <f t="array" ref="Y175">_xlfn.LET(_xlpm.x, M175:M177, IF(SUM((_xlpm.x="C1")*1)=1, 1, 0))</f>
        <v>0</v>
      </c>
      <c r="Z175" s="25">
        <v>1</v>
      </c>
      <c r="AA175" s="25">
        <v>1</v>
      </c>
      <c r="AH175" s="5"/>
      <c r="AI175" s="5"/>
      <c r="AO175" s="5"/>
    </row>
    <row r="176" spans="10:41" x14ac:dyDescent="0.3">
      <c r="J176" s="9">
        <v>172</v>
      </c>
      <c r="K176" s="16" t="s">
        <v>125</v>
      </c>
      <c r="L176" s="16" t="s">
        <v>18</v>
      </c>
      <c r="M176" s="16" t="s">
        <v>35</v>
      </c>
      <c r="N176" s="16" t="s">
        <v>91</v>
      </c>
      <c r="O176" s="16" t="s">
        <v>20</v>
      </c>
      <c r="Q176" s="9">
        <v>6</v>
      </c>
      <c r="R176" s="9">
        <v>4</v>
      </c>
      <c r="S176" s="9">
        <v>8</v>
      </c>
      <c r="T176" s="9">
        <v>14</v>
      </c>
      <c r="U176" s="9">
        <v>1</v>
      </c>
      <c r="W176" s="25" cm="1">
        <f t="array" ref="W176">_xlfn.LET(_xlpm.x, K176:K178, IF(SUM((_xlpm.x="C1")*1)=1, 1, 0))</f>
        <v>0</v>
      </c>
      <c r="X176" s="25" cm="1">
        <f t="array" ref="X176">_xlfn.LET(_xlpm.x, L176:L178, IF(SUM((_xlpm.x="C1")*1)=1, 1, 0))</f>
        <v>0</v>
      </c>
      <c r="Y176" s="25" cm="1">
        <f t="array" ref="Y176">_xlfn.LET(_xlpm.x, M176:M178, IF(SUM((_xlpm.x="C1")*1)=1, 1, 0))</f>
        <v>0</v>
      </c>
      <c r="Z176" s="25">
        <v>1</v>
      </c>
      <c r="AA176" s="25">
        <v>1</v>
      </c>
      <c r="AH176" s="5"/>
      <c r="AI176" s="5"/>
      <c r="AO176" s="5"/>
    </row>
    <row r="177" spans="10:41" x14ac:dyDescent="0.3">
      <c r="J177" s="25">
        <v>173</v>
      </c>
      <c r="K177" s="16" t="s">
        <v>125</v>
      </c>
      <c r="L177" s="16" t="s">
        <v>90</v>
      </c>
      <c r="M177" s="16" t="s">
        <v>19</v>
      </c>
      <c r="N177" s="16" t="s">
        <v>95</v>
      </c>
      <c r="O177" s="16" t="s">
        <v>35</v>
      </c>
      <c r="Q177" s="9">
        <v>6</v>
      </c>
      <c r="R177" s="9">
        <v>13</v>
      </c>
      <c r="S177" s="9">
        <v>5</v>
      </c>
      <c r="T177" s="9">
        <v>18</v>
      </c>
      <c r="U177" s="9">
        <v>8</v>
      </c>
      <c r="W177" s="25" cm="1">
        <f t="array" ref="W177">_xlfn.LET(_xlpm.x, K177:K179, IF(SUM((_xlpm.x="C1")*1)=1, 1, 0))</f>
        <v>1</v>
      </c>
      <c r="X177" s="25" cm="1">
        <f t="array" ref="X177">_xlfn.LET(_xlpm.x, L177:L179, IF(SUM((_xlpm.x="C1")*1)=1, 1, 0))</f>
        <v>0</v>
      </c>
      <c r="Y177" s="25" cm="1">
        <f t="array" ref="Y177">_xlfn.LET(_xlpm.x, M177:M179, IF(SUM((_xlpm.x="C1")*1)=1, 1, 0))</f>
        <v>0</v>
      </c>
      <c r="Z177" s="25">
        <v>1</v>
      </c>
      <c r="AA177" s="25">
        <v>1</v>
      </c>
      <c r="AH177" s="5"/>
      <c r="AI177" s="5"/>
      <c r="AO177" s="5"/>
    </row>
    <row r="178" spans="10:41" x14ac:dyDescent="0.3">
      <c r="J178" s="9">
        <v>174</v>
      </c>
      <c r="K178" s="16" t="s">
        <v>125</v>
      </c>
      <c r="L178" s="16" t="s">
        <v>21</v>
      </c>
      <c r="M178" s="16" t="s">
        <v>35</v>
      </c>
      <c r="N178" s="16" t="s">
        <v>97</v>
      </c>
      <c r="O178" s="16" t="s">
        <v>35</v>
      </c>
      <c r="Q178" s="9">
        <v>6</v>
      </c>
      <c r="R178" s="9">
        <v>2</v>
      </c>
      <c r="S178" s="9">
        <v>8</v>
      </c>
      <c r="T178" s="9">
        <v>19</v>
      </c>
      <c r="U178" s="9">
        <v>8</v>
      </c>
      <c r="W178" s="25" cm="1">
        <f t="array" ref="W178">_xlfn.LET(_xlpm.x, K178:K180, IF(SUM((_xlpm.x="C1")*1)=1, 1, 0))</f>
        <v>1</v>
      </c>
      <c r="X178" s="25" cm="1">
        <f t="array" ref="X178">_xlfn.LET(_xlpm.x, L178:L180, IF(SUM((_xlpm.x="C1")*1)=1, 1, 0))</f>
        <v>0</v>
      </c>
      <c r="Y178" s="25" cm="1">
        <f t="array" ref="Y178">_xlfn.LET(_xlpm.x, M178:M180, IF(SUM((_xlpm.x="C1")*1)=1, 1, 0))</f>
        <v>0</v>
      </c>
      <c r="Z178" s="25">
        <v>1</v>
      </c>
      <c r="AA178" s="25">
        <v>1</v>
      </c>
      <c r="AH178" s="5"/>
      <c r="AI178" s="5"/>
      <c r="AO178" s="5"/>
    </row>
    <row r="179" spans="10:41" x14ac:dyDescent="0.3">
      <c r="J179" s="25">
        <v>175</v>
      </c>
      <c r="K179" s="16" t="s">
        <v>20</v>
      </c>
      <c r="L179" s="16" t="s">
        <v>21</v>
      </c>
      <c r="M179" s="16" t="s">
        <v>19</v>
      </c>
      <c r="N179" s="16" t="s">
        <v>34</v>
      </c>
      <c r="O179" s="16" t="s">
        <v>37</v>
      </c>
      <c r="Q179" s="9">
        <v>1</v>
      </c>
      <c r="R179" s="9">
        <v>2</v>
      </c>
      <c r="S179" s="9">
        <v>5</v>
      </c>
      <c r="T179" s="9">
        <v>9</v>
      </c>
      <c r="U179" s="9">
        <v>7</v>
      </c>
      <c r="W179" s="25" cm="1">
        <f t="array" ref="W179">_xlfn.LET(_xlpm.x, K179:K181, IF(SUM((_xlpm.x="C1")*1)=1, 1, 0))</f>
        <v>1</v>
      </c>
      <c r="X179" s="25" cm="1">
        <f t="array" ref="X179">_xlfn.LET(_xlpm.x, L179:L181, IF(SUM((_xlpm.x="C1")*1)=1, 1, 0))</f>
        <v>0</v>
      </c>
      <c r="Y179" s="25" cm="1">
        <f t="array" ref="Y179">_xlfn.LET(_xlpm.x, M179:M181, IF(SUM((_xlpm.x="C1")*1)=1, 1, 0))</f>
        <v>0</v>
      </c>
      <c r="Z179" s="25">
        <v>1</v>
      </c>
      <c r="AA179" s="25">
        <v>1</v>
      </c>
      <c r="AH179" s="5"/>
      <c r="AI179" s="5"/>
      <c r="AO179" s="5"/>
    </row>
    <row r="180" spans="10:41" x14ac:dyDescent="0.3">
      <c r="J180" s="9">
        <v>176</v>
      </c>
      <c r="K180" s="16" t="s">
        <v>37</v>
      </c>
      <c r="L180" s="16" t="s">
        <v>21</v>
      </c>
      <c r="M180" s="16" t="s">
        <v>19</v>
      </c>
      <c r="N180" s="16" t="s">
        <v>19</v>
      </c>
      <c r="O180" s="16" t="s">
        <v>36</v>
      </c>
      <c r="Q180" s="9">
        <v>7</v>
      </c>
      <c r="R180" s="9">
        <v>2</v>
      </c>
      <c r="S180" s="9">
        <v>5</v>
      </c>
      <c r="T180" s="9">
        <v>5</v>
      </c>
      <c r="U180" s="9">
        <v>10</v>
      </c>
      <c r="W180" s="25" cm="1">
        <f t="array" ref="W180">_xlfn.LET(_xlpm.x, K180:K182, IF(SUM((_xlpm.x="C1")*1)=1, 1, 0))</f>
        <v>0</v>
      </c>
      <c r="X180" s="25" cm="1">
        <f t="array" ref="X180">_xlfn.LET(_xlpm.x, L180:L182, IF(SUM((_xlpm.x="C1")*1)=1, 1, 0))</f>
        <v>0</v>
      </c>
      <c r="Y180" s="25" cm="1">
        <f t="array" ref="Y180">_xlfn.LET(_xlpm.x, M180:M182, IF(SUM((_xlpm.x="C1")*1)=1, 1, 0))</f>
        <v>0</v>
      </c>
      <c r="Z180" s="25">
        <v>1</v>
      </c>
      <c r="AA180" s="25">
        <v>1</v>
      </c>
      <c r="AH180" s="5"/>
      <c r="AI180" s="5"/>
      <c r="AO180" s="5"/>
    </row>
    <row r="181" spans="10:41" x14ac:dyDescent="0.3">
      <c r="J181" s="25">
        <v>177</v>
      </c>
      <c r="K181" s="16" t="s">
        <v>326</v>
      </c>
      <c r="L181" s="16" t="s">
        <v>21</v>
      </c>
      <c r="M181" s="16" t="s">
        <v>37</v>
      </c>
      <c r="N181" s="16" t="s">
        <v>21</v>
      </c>
      <c r="O181" s="16" t="s">
        <v>36</v>
      </c>
      <c r="Q181" s="9">
        <v>6</v>
      </c>
      <c r="R181" s="9">
        <v>2</v>
      </c>
      <c r="S181" s="9">
        <v>7</v>
      </c>
      <c r="T181" s="9">
        <v>2</v>
      </c>
      <c r="U181" s="9">
        <v>10</v>
      </c>
      <c r="W181" s="25" cm="1">
        <f t="array" ref="W181">_xlfn.LET(_xlpm.x, K181:K183, IF(SUM((_xlpm.x="C1")*1)=1, 1, 0))</f>
        <v>0</v>
      </c>
      <c r="X181" s="25" cm="1">
        <f t="array" ref="X181">_xlfn.LET(_xlpm.x, L181:L183, IF(SUM((_xlpm.x="C1")*1)=1, 1, 0))</f>
        <v>0</v>
      </c>
      <c r="Y181" s="25" cm="1">
        <f t="array" ref="Y181">_xlfn.LET(_xlpm.x, M181:M183, IF(SUM((_xlpm.x="C1")*1)=1, 1, 0))</f>
        <v>0</v>
      </c>
      <c r="Z181" s="25">
        <v>1</v>
      </c>
      <c r="AA181" s="25">
        <v>1</v>
      </c>
      <c r="AH181" s="5"/>
      <c r="AI181" s="5"/>
      <c r="AO181" s="5"/>
    </row>
    <row r="182" spans="10:41" x14ac:dyDescent="0.3">
      <c r="J182" s="9">
        <v>178</v>
      </c>
      <c r="K182" s="16" t="s">
        <v>19</v>
      </c>
      <c r="L182" s="16" t="s">
        <v>36</v>
      </c>
      <c r="M182" s="16" t="s">
        <v>35</v>
      </c>
      <c r="N182" s="16" t="s">
        <v>20</v>
      </c>
      <c r="O182" s="16" t="s">
        <v>35</v>
      </c>
      <c r="Q182" s="9">
        <v>5</v>
      </c>
      <c r="R182" s="9">
        <v>10</v>
      </c>
      <c r="S182" s="9">
        <v>8</v>
      </c>
      <c r="T182" s="9">
        <v>1</v>
      </c>
      <c r="U182" s="9">
        <v>8</v>
      </c>
      <c r="W182" s="25" cm="1">
        <f t="array" ref="W182">_xlfn.LET(_xlpm.x, K182:K184, IF(SUM((_xlpm.x="C1")*1)=1, 1, 0))</f>
        <v>0</v>
      </c>
      <c r="X182" s="25" cm="1">
        <f t="array" ref="X182">_xlfn.LET(_xlpm.x, L182:L184, IF(SUM((_xlpm.x="C1")*1)=1, 1, 0))</f>
        <v>0</v>
      </c>
      <c r="Y182" s="25" cm="1">
        <f t="array" ref="Y182">_xlfn.LET(_xlpm.x, M182:M184, IF(SUM((_xlpm.x="C1")*1)=1, 1, 0))</f>
        <v>0</v>
      </c>
      <c r="Z182" s="25">
        <v>1</v>
      </c>
      <c r="AA182" s="25">
        <v>1</v>
      </c>
      <c r="AH182" s="5"/>
      <c r="AI182" s="5"/>
      <c r="AO182" s="5"/>
    </row>
    <row r="183" spans="10:41" x14ac:dyDescent="0.3">
      <c r="J183" s="25">
        <v>179</v>
      </c>
      <c r="K183" s="16" t="s">
        <v>19</v>
      </c>
      <c r="L183" s="16" t="s">
        <v>34</v>
      </c>
      <c r="M183" s="16" t="s">
        <v>125</v>
      </c>
      <c r="N183" s="16" t="s">
        <v>35</v>
      </c>
      <c r="O183" s="16" t="s">
        <v>125</v>
      </c>
      <c r="Q183" s="9">
        <v>5</v>
      </c>
      <c r="R183" s="9">
        <v>9</v>
      </c>
      <c r="S183" s="9">
        <v>6</v>
      </c>
      <c r="T183" s="9">
        <v>8</v>
      </c>
      <c r="U183" s="9">
        <v>6</v>
      </c>
      <c r="W183" s="25" cm="1">
        <f t="array" ref="W183">_xlfn.LET(_xlpm.x, K183:K185, IF(SUM((_xlpm.x="C1")*1)=1, 1, 0))</f>
        <v>0</v>
      </c>
      <c r="X183" s="25" cm="1">
        <f t="array" ref="X183">_xlfn.LET(_xlpm.x, L183:L185, IF(SUM((_xlpm.x="C1")*1)=1, 1, 0))</f>
        <v>0</v>
      </c>
      <c r="Y183" s="25" cm="1">
        <f t="array" ref="Y183">_xlfn.LET(_xlpm.x, M183:M185, IF(SUM((_xlpm.x="C1")*1)=1, 1, 0))</f>
        <v>0</v>
      </c>
      <c r="Z183" s="25">
        <v>1</v>
      </c>
      <c r="AA183" s="25">
        <v>1</v>
      </c>
      <c r="AH183" s="5"/>
      <c r="AI183" s="5"/>
      <c r="AO183" s="5"/>
    </row>
    <row r="184" spans="10:41" x14ac:dyDescent="0.3">
      <c r="J184" s="9">
        <v>180</v>
      </c>
      <c r="K184" s="16" t="s">
        <v>19</v>
      </c>
      <c r="L184" s="16" t="s">
        <v>126</v>
      </c>
      <c r="M184" s="16" t="s">
        <v>125</v>
      </c>
      <c r="N184" s="16" t="s">
        <v>22</v>
      </c>
      <c r="O184" s="16" t="s">
        <v>18</v>
      </c>
      <c r="Q184" s="9">
        <v>5</v>
      </c>
      <c r="R184" s="9">
        <v>15</v>
      </c>
      <c r="S184" s="9">
        <v>6</v>
      </c>
      <c r="T184" s="9">
        <v>3</v>
      </c>
      <c r="U184" s="9">
        <v>4</v>
      </c>
      <c r="W184" s="25" cm="1">
        <f t="array" ref="W184">_xlfn.LET(_xlpm.x, K184:K186, IF(SUM((_xlpm.x="C1")*1)=1, 1, 0))</f>
        <v>0</v>
      </c>
      <c r="X184" s="25" cm="1">
        <f t="array" ref="X184">_xlfn.LET(_xlpm.x, L184:L186, IF(SUM((_xlpm.x="C1")*1)=1, 1, 0))</f>
        <v>0</v>
      </c>
      <c r="Y184" s="25" cm="1">
        <f t="array" ref="Y184">_xlfn.LET(_xlpm.x, M184:M186, IF(SUM((_xlpm.x="C1")*1)=1, 1, 0))</f>
        <v>0</v>
      </c>
      <c r="Z184" s="25">
        <v>1</v>
      </c>
      <c r="AA184" s="25">
        <v>1</v>
      </c>
      <c r="AH184" s="5"/>
      <c r="AI184" s="5"/>
      <c r="AO184" s="5"/>
    </row>
    <row r="185" spans="10:41" x14ac:dyDescent="0.3">
      <c r="J185" s="25">
        <v>181</v>
      </c>
      <c r="K185" s="16" t="s">
        <v>35</v>
      </c>
      <c r="L185" s="16" t="s">
        <v>35</v>
      </c>
      <c r="M185" s="16" t="s">
        <v>19</v>
      </c>
      <c r="N185" s="16" t="s">
        <v>22</v>
      </c>
      <c r="O185" s="16" t="s">
        <v>35</v>
      </c>
      <c r="Q185" s="9">
        <v>8</v>
      </c>
      <c r="R185" s="9">
        <v>8</v>
      </c>
      <c r="S185" s="9">
        <v>5</v>
      </c>
      <c r="T185" s="9">
        <v>3</v>
      </c>
      <c r="U185" s="9">
        <v>8</v>
      </c>
      <c r="W185" s="25" cm="1">
        <f t="array" ref="W185">_xlfn.LET(_xlpm.x, K185:K187, IF(SUM((_xlpm.x="C1")*1)=1, 1, 0))</f>
        <v>0</v>
      </c>
      <c r="X185" s="25" cm="1">
        <f t="array" ref="X185">_xlfn.LET(_xlpm.x, L185:L187, IF(SUM((_xlpm.x="C1")*1)=1, 1, 0))</f>
        <v>0</v>
      </c>
      <c r="Y185" s="25" cm="1">
        <f t="array" ref="Y185">_xlfn.LET(_xlpm.x, M185:M187, IF(SUM((_xlpm.x="C1")*1)=1, 1, 0))</f>
        <v>0</v>
      </c>
      <c r="Z185" s="25">
        <v>1</v>
      </c>
      <c r="AA185" s="25">
        <v>1</v>
      </c>
      <c r="AH185" s="5"/>
      <c r="AI185" s="5"/>
      <c r="AO185" s="5"/>
    </row>
    <row r="186" spans="10:41" x14ac:dyDescent="0.3">
      <c r="J186" s="9">
        <v>182</v>
      </c>
      <c r="K186" s="16" t="s">
        <v>19</v>
      </c>
      <c r="L186" s="16" t="s">
        <v>37</v>
      </c>
      <c r="M186" s="16" t="s">
        <v>37</v>
      </c>
      <c r="N186" s="16" t="s">
        <v>125</v>
      </c>
      <c r="O186" s="16" t="s">
        <v>35</v>
      </c>
      <c r="Q186" s="9">
        <v>5</v>
      </c>
      <c r="R186" s="9">
        <v>7</v>
      </c>
      <c r="S186" s="9">
        <v>7</v>
      </c>
      <c r="T186" s="9">
        <v>6</v>
      </c>
      <c r="U186" s="9">
        <v>8</v>
      </c>
      <c r="W186" s="25" cm="1">
        <f t="array" ref="W186">_xlfn.LET(_xlpm.x, K186:K188, IF(SUM((_xlpm.x="C1")*1)=1, 1, 0))</f>
        <v>0</v>
      </c>
      <c r="X186" s="25" cm="1">
        <f t="array" ref="X186">_xlfn.LET(_xlpm.x, L186:L188, IF(SUM((_xlpm.x="C1")*1)=1, 1, 0))</f>
        <v>0</v>
      </c>
      <c r="Y186" s="25" cm="1">
        <f t="array" ref="Y186">_xlfn.LET(_xlpm.x, M186:M188, IF(SUM((_xlpm.x="C1")*1)=1, 1, 0))</f>
        <v>0</v>
      </c>
      <c r="Z186" s="25">
        <v>1</v>
      </c>
      <c r="AA186" s="25">
        <v>1</v>
      </c>
      <c r="AH186" s="5"/>
      <c r="AI186" s="5"/>
      <c r="AO186" s="5"/>
    </row>
    <row r="187" spans="10:41" x14ac:dyDescent="0.3">
      <c r="J187" s="25">
        <v>183</v>
      </c>
      <c r="K187" s="16" t="s">
        <v>35</v>
      </c>
      <c r="L187" s="16" t="s">
        <v>34</v>
      </c>
      <c r="M187" s="16" t="s">
        <v>19</v>
      </c>
      <c r="N187" s="16" t="s">
        <v>126</v>
      </c>
      <c r="O187" s="16" t="s">
        <v>34</v>
      </c>
      <c r="Q187" s="9">
        <v>8</v>
      </c>
      <c r="R187" s="9">
        <v>9</v>
      </c>
      <c r="S187" s="9">
        <v>5</v>
      </c>
      <c r="T187" s="9">
        <v>15</v>
      </c>
      <c r="U187" s="9">
        <v>9</v>
      </c>
      <c r="W187" s="25" cm="1">
        <f t="array" ref="W187">_xlfn.LET(_xlpm.x, K187:K189, IF(SUM((_xlpm.x="C1")*1)=1, 1, 0))</f>
        <v>0</v>
      </c>
      <c r="X187" s="25" cm="1">
        <f t="array" ref="X187">_xlfn.LET(_xlpm.x, L187:L189, IF(SUM((_xlpm.x="C1")*1)=1, 1, 0))</f>
        <v>1</v>
      </c>
      <c r="Y187" s="25" cm="1">
        <f t="array" ref="Y187">_xlfn.LET(_xlpm.x, M187:M189, IF(SUM((_xlpm.x="C1")*1)=1, 1, 0))</f>
        <v>0</v>
      </c>
      <c r="Z187" s="25">
        <v>1</v>
      </c>
      <c r="AA187" s="25">
        <v>1</v>
      </c>
      <c r="AH187" s="5"/>
      <c r="AI187" s="5"/>
      <c r="AO187" s="5"/>
    </row>
    <row r="188" spans="10:41" x14ac:dyDescent="0.3">
      <c r="J188" s="9">
        <v>184</v>
      </c>
      <c r="K188" s="16" t="s">
        <v>18</v>
      </c>
      <c r="L188" s="16" t="s">
        <v>90</v>
      </c>
      <c r="M188" s="16" t="s">
        <v>35</v>
      </c>
      <c r="N188" s="16" t="s">
        <v>34</v>
      </c>
      <c r="O188" s="16" t="s">
        <v>36</v>
      </c>
      <c r="Q188" s="9">
        <v>4</v>
      </c>
      <c r="R188" s="9">
        <v>13</v>
      </c>
      <c r="S188" s="9">
        <v>8</v>
      </c>
      <c r="T188" s="9">
        <v>9</v>
      </c>
      <c r="U188" s="9">
        <v>10</v>
      </c>
      <c r="W188" s="25" cm="1">
        <f t="array" ref="W188">_xlfn.LET(_xlpm.x, K188:K190, IF(SUM((_xlpm.x="C1")*1)=1, 1, 0))</f>
        <v>0</v>
      </c>
      <c r="X188" s="25" cm="1">
        <f t="array" ref="X188">_xlfn.LET(_xlpm.x, L188:L190, IF(SUM((_xlpm.x="C1")*1)=1, 1, 0))</f>
        <v>1</v>
      </c>
      <c r="Y188" s="25" cm="1">
        <f t="array" ref="Y188">_xlfn.LET(_xlpm.x, M188:M190, IF(SUM((_xlpm.x="C1")*1)=1, 1, 0))</f>
        <v>0</v>
      </c>
      <c r="Z188" s="25">
        <v>1</v>
      </c>
      <c r="AA188" s="25">
        <v>1</v>
      </c>
      <c r="AH188" s="5"/>
      <c r="AI188" s="5"/>
      <c r="AO188" s="5"/>
    </row>
    <row r="189" spans="10:41" x14ac:dyDescent="0.3">
      <c r="J189" s="25">
        <v>185</v>
      </c>
      <c r="K189" s="16" t="s">
        <v>35</v>
      </c>
      <c r="L189" s="16" t="s">
        <v>20</v>
      </c>
      <c r="M189" s="16" t="s">
        <v>19</v>
      </c>
      <c r="N189" s="16" t="s">
        <v>18</v>
      </c>
      <c r="O189" s="16" t="s">
        <v>35</v>
      </c>
      <c r="Q189" s="9">
        <v>8</v>
      </c>
      <c r="R189" s="9">
        <v>1</v>
      </c>
      <c r="S189" s="9">
        <v>5</v>
      </c>
      <c r="T189" s="9">
        <v>4</v>
      </c>
      <c r="U189" s="9">
        <v>8</v>
      </c>
      <c r="W189" s="25" cm="1">
        <f t="array" ref="W189">_xlfn.LET(_xlpm.x, K189:K191, IF(SUM((_xlpm.x="C1")*1)=1, 1, 0))</f>
        <v>0</v>
      </c>
      <c r="X189" s="25" cm="1">
        <f t="array" ref="X189">_xlfn.LET(_xlpm.x, L189:L191, IF(SUM((_xlpm.x="C1")*1)=1, 1, 0))</f>
        <v>1</v>
      </c>
      <c r="Y189" s="25" cm="1">
        <f t="array" ref="Y189">_xlfn.LET(_xlpm.x, M189:M191, IF(SUM((_xlpm.x="C1")*1)=1, 1, 0))</f>
        <v>0</v>
      </c>
      <c r="Z189" s="25">
        <v>1</v>
      </c>
      <c r="AA189" s="25">
        <v>1</v>
      </c>
      <c r="AH189" s="5"/>
      <c r="AI189" s="5"/>
      <c r="AO189" s="5"/>
    </row>
    <row r="190" spans="10:41" x14ac:dyDescent="0.3">
      <c r="J190" s="9">
        <v>186</v>
      </c>
      <c r="K190" s="16" t="s">
        <v>19</v>
      </c>
      <c r="L190" s="16" t="s">
        <v>95</v>
      </c>
      <c r="M190" s="16" t="s">
        <v>19</v>
      </c>
      <c r="N190" s="16" t="s">
        <v>20</v>
      </c>
      <c r="O190" s="16" t="s">
        <v>35</v>
      </c>
      <c r="Q190" s="9">
        <v>5</v>
      </c>
      <c r="R190" s="9">
        <v>18</v>
      </c>
      <c r="S190" s="9">
        <v>5</v>
      </c>
      <c r="T190" s="9">
        <v>1</v>
      </c>
      <c r="U190" s="9">
        <v>8</v>
      </c>
      <c r="W190" s="25" cm="1">
        <f t="array" ref="W190">_xlfn.LET(_xlpm.x, K190:K192, IF(SUM((_xlpm.x="C1")*1)=1, 1, 0))</f>
        <v>0</v>
      </c>
      <c r="X190" s="25" cm="1">
        <f t="array" ref="X190">_xlfn.LET(_xlpm.x, L190:L192, IF(SUM((_xlpm.x="C1")*1)=1, 1, 0))</f>
        <v>0</v>
      </c>
      <c r="Y190" s="25" cm="1">
        <f t="array" ref="Y190">_xlfn.LET(_xlpm.x, M190:M192, IF(SUM((_xlpm.x="C1")*1)=1, 1, 0))</f>
        <v>0</v>
      </c>
      <c r="Z190" s="25">
        <v>1</v>
      </c>
      <c r="AA190" s="25">
        <v>1</v>
      </c>
      <c r="AH190" s="5"/>
      <c r="AI190" s="5"/>
      <c r="AO190" s="5"/>
    </row>
    <row r="191" spans="10:41" x14ac:dyDescent="0.3">
      <c r="J191" s="25">
        <v>187</v>
      </c>
      <c r="K191" s="16" t="s">
        <v>35</v>
      </c>
      <c r="L191" s="16" t="s">
        <v>21</v>
      </c>
      <c r="M191" s="16" t="s">
        <v>35</v>
      </c>
      <c r="N191" s="16" t="s">
        <v>125</v>
      </c>
      <c r="O191" s="16" t="s">
        <v>37</v>
      </c>
      <c r="Q191" s="9">
        <v>8</v>
      </c>
      <c r="R191" s="9">
        <v>2</v>
      </c>
      <c r="S191" s="9">
        <v>8</v>
      </c>
      <c r="T191" s="9">
        <v>6</v>
      </c>
      <c r="U191" s="9">
        <v>7</v>
      </c>
      <c r="W191" s="25" cm="1">
        <f t="array" ref="W191">_xlfn.LET(_xlpm.x, K191:K193, IF(SUM((_xlpm.x="C1")*1)=1, 1, 0))</f>
        <v>0</v>
      </c>
      <c r="X191" s="25" cm="1">
        <f t="array" ref="X191">_xlfn.LET(_xlpm.x, L191:L193, IF(SUM((_xlpm.x="C1")*1)=1, 1, 0))</f>
        <v>0</v>
      </c>
      <c r="Y191" s="25" cm="1">
        <f t="array" ref="Y191">_xlfn.LET(_xlpm.x, M191:M193, IF(SUM((_xlpm.x="C1")*1)=1, 1, 0))</f>
        <v>0</v>
      </c>
      <c r="Z191" s="25">
        <v>1</v>
      </c>
      <c r="AA191" s="25">
        <v>1</v>
      </c>
      <c r="AH191" s="5"/>
      <c r="AI191" s="5"/>
      <c r="AO191" s="5"/>
    </row>
    <row r="192" spans="10:41" x14ac:dyDescent="0.3">
      <c r="J192" s="9">
        <v>188</v>
      </c>
      <c r="K192" s="16" t="s">
        <v>125</v>
      </c>
      <c r="L192" s="16" t="s">
        <v>37</v>
      </c>
      <c r="M192" s="16" t="s">
        <v>35</v>
      </c>
      <c r="N192" s="16" t="s">
        <v>22</v>
      </c>
      <c r="O192" s="16" t="s">
        <v>37</v>
      </c>
      <c r="Q192" s="9">
        <v>6</v>
      </c>
      <c r="R192" s="9">
        <v>7</v>
      </c>
      <c r="S192" s="9">
        <v>8</v>
      </c>
      <c r="T192" s="9">
        <v>3</v>
      </c>
      <c r="U192" s="9">
        <v>7</v>
      </c>
      <c r="W192" s="25" cm="1">
        <f t="array" ref="W192">_xlfn.LET(_xlpm.x, K192:K194, IF(SUM((_xlpm.x="C1")*1)=1, 1, 0))</f>
        <v>0</v>
      </c>
      <c r="X192" s="25" cm="1">
        <f t="array" ref="X192">_xlfn.LET(_xlpm.x, L192:L194, IF(SUM((_xlpm.x="C1")*1)=1, 1, 0))</f>
        <v>0</v>
      </c>
      <c r="Y192" s="25" cm="1">
        <f t="array" ref="Y192">_xlfn.LET(_xlpm.x, M192:M194, IF(SUM((_xlpm.x="C1")*1)=1, 1, 0))</f>
        <v>0</v>
      </c>
      <c r="Z192" s="25">
        <v>1</v>
      </c>
      <c r="AA192" s="25">
        <v>1</v>
      </c>
      <c r="AH192" s="5"/>
      <c r="AI192" s="5"/>
      <c r="AO192" s="5"/>
    </row>
    <row r="193" spans="10:41" x14ac:dyDescent="0.3">
      <c r="J193" s="25">
        <v>189</v>
      </c>
      <c r="K193" s="16" t="s">
        <v>19</v>
      </c>
      <c r="L193" s="16" t="s">
        <v>34</v>
      </c>
      <c r="M193" s="16" t="s">
        <v>37</v>
      </c>
      <c r="N193" s="16" t="s">
        <v>19</v>
      </c>
      <c r="O193" s="16" t="s">
        <v>34</v>
      </c>
      <c r="Q193" s="9">
        <v>5</v>
      </c>
      <c r="R193" s="9">
        <v>9</v>
      </c>
      <c r="S193" s="9">
        <v>7</v>
      </c>
      <c r="T193" s="9">
        <v>5</v>
      </c>
      <c r="U193" s="9">
        <v>9</v>
      </c>
      <c r="W193" s="25" cm="1">
        <f t="array" ref="W193">_xlfn.LET(_xlpm.x, K193:K195, IF(SUM((_xlpm.x="C1")*1)=1, 1, 0))</f>
        <v>0</v>
      </c>
      <c r="X193" s="25" cm="1">
        <f t="array" ref="X193">_xlfn.LET(_xlpm.x, L193:L195, IF(SUM((_xlpm.x="C1")*1)=1, 1, 0))</f>
        <v>0</v>
      </c>
      <c r="Y193" s="25" cm="1">
        <f t="array" ref="Y193">_xlfn.LET(_xlpm.x, M193:M195, IF(SUM((_xlpm.x="C1")*1)=1, 1, 0))</f>
        <v>0</v>
      </c>
      <c r="Z193" s="25">
        <v>1</v>
      </c>
      <c r="AA193" s="25">
        <v>1</v>
      </c>
      <c r="AH193" s="5"/>
      <c r="AI193" s="5"/>
      <c r="AO193" s="5"/>
    </row>
    <row r="194" spans="10:41" x14ac:dyDescent="0.3">
      <c r="J194" s="9">
        <v>190</v>
      </c>
      <c r="K194" s="16" t="s">
        <v>35</v>
      </c>
      <c r="L194" s="16" t="s">
        <v>18</v>
      </c>
      <c r="M194" s="16" t="s">
        <v>125</v>
      </c>
      <c r="N194" s="16" t="s">
        <v>19</v>
      </c>
      <c r="O194" s="16" t="s">
        <v>18</v>
      </c>
      <c r="Q194" s="9">
        <v>8</v>
      </c>
      <c r="R194" s="9">
        <v>4</v>
      </c>
      <c r="S194" s="9">
        <v>6</v>
      </c>
      <c r="T194" s="9">
        <v>5</v>
      </c>
      <c r="U194" s="9">
        <v>4</v>
      </c>
      <c r="W194" s="25" cm="1">
        <f t="array" ref="W194">_xlfn.LET(_xlpm.x, K194:K196, IF(SUM((_xlpm.x="C1")*1)=1, 1, 0))</f>
        <v>0</v>
      </c>
      <c r="X194" s="25" cm="1">
        <f t="array" ref="X194">_xlfn.LET(_xlpm.x, L194:L196, IF(SUM((_xlpm.x="C1")*1)=1, 1, 0))</f>
        <v>0</v>
      </c>
      <c r="Y194" s="25" cm="1">
        <f t="array" ref="Y194">_xlfn.LET(_xlpm.x, M194:M196, IF(SUM((_xlpm.x="C1")*1)=1, 1, 0))</f>
        <v>0</v>
      </c>
      <c r="Z194" s="25">
        <v>1</v>
      </c>
      <c r="AA194" s="25">
        <v>1</v>
      </c>
      <c r="AH194" s="5"/>
      <c r="AI194" s="5"/>
      <c r="AO194" s="5"/>
    </row>
    <row r="195" spans="10:41" x14ac:dyDescent="0.3">
      <c r="J195" s="25">
        <v>191</v>
      </c>
      <c r="K195" s="16" t="s">
        <v>34</v>
      </c>
      <c r="L195" s="16" t="s">
        <v>125</v>
      </c>
      <c r="M195" s="16" t="s">
        <v>34</v>
      </c>
      <c r="N195" s="16" t="s">
        <v>97</v>
      </c>
      <c r="O195" s="16" t="s">
        <v>35</v>
      </c>
      <c r="Q195" s="9">
        <v>9</v>
      </c>
      <c r="R195" s="9">
        <v>6</v>
      </c>
      <c r="S195" s="9">
        <v>9</v>
      </c>
      <c r="T195" s="9">
        <v>19</v>
      </c>
      <c r="U195" s="9">
        <v>8</v>
      </c>
      <c r="W195" s="25" cm="1">
        <f t="array" ref="W195">_xlfn.LET(_xlpm.x, K195:K197, IF(SUM((_xlpm.x="C1")*1)=1, 1, 0))</f>
        <v>0</v>
      </c>
      <c r="X195" s="25" cm="1">
        <f t="array" ref="X195">_xlfn.LET(_xlpm.x, L195:L197, IF(SUM((_xlpm.x="C1")*1)=1, 1, 0))</f>
        <v>0</v>
      </c>
      <c r="Y195" s="25" cm="1">
        <f t="array" ref="Y195">_xlfn.LET(_xlpm.x, M195:M197, IF(SUM((_xlpm.x="C1")*1)=1, 1, 0))</f>
        <v>0</v>
      </c>
      <c r="Z195" s="25">
        <v>1</v>
      </c>
      <c r="AA195" s="25">
        <v>1</v>
      </c>
      <c r="AH195" s="5"/>
      <c r="AI195" s="5"/>
      <c r="AO195" s="5"/>
    </row>
    <row r="196" spans="10:41" x14ac:dyDescent="0.3">
      <c r="J196" s="9">
        <v>192</v>
      </c>
      <c r="K196" s="16" t="s">
        <v>19</v>
      </c>
      <c r="L196" s="16" t="s">
        <v>21</v>
      </c>
      <c r="M196" s="16" t="s">
        <v>19</v>
      </c>
      <c r="N196" s="16" t="s">
        <v>35</v>
      </c>
      <c r="O196" s="16" t="s">
        <v>125</v>
      </c>
      <c r="Q196" s="9">
        <v>5</v>
      </c>
      <c r="R196" s="9">
        <v>2</v>
      </c>
      <c r="S196" s="9">
        <v>5</v>
      </c>
      <c r="T196" s="9">
        <v>8</v>
      </c>
      <c r="U196" s="9">
        <v>6</v>
      </c>
      <c r="W196" s="25" cm="1">
        <f t="array" ref="W196">_xlfn.LET(_xlpm.x, K196:K198, IF(SUM((_xlpm.x="C1")*1)=1, 1, 0))</f>
        <v>0</v>
      </c>
      <c r="X196" s="25" cm="1">
        <f t="array" ref="X196">_xlfn.LET(_xlpm.x, L196:L198, IF(SUM((_xlpm.x="C1")*1)=1, 1, 0))</f>
        <v>0</v>
      </c>
      <c r="Y196" s="25" cm="1">
        <f t="array" ref="Y196">_xlfn.LET(_xlpm.x, M196:M198, IF(SUM((_xlpm.x="C1")*1)=1, 1, 0))</f>
        <v>0</v>
      </c>
      <c r="Z196" s="25">
        <v>1</v>
      </c>
      <c r="AA196" s="25">
        <v>1</v>
      </c>
      <c r="AH196" s="5"/>
      <c r="AI196" s="5"/>
      <c r="AO196" s="5"/>
    </row>
    <row r="197" spans="10:41" x14ac:dyDescent="0.3">
      <c r="J197" s="25">
        <v>193</v>
      </c>
      <c r="K197" s="16" t="s">
        <v>35</v>
      </c>
      <c r="L197" s="16" t="s">
        <v>92</v>
      </c>
      <c r="M197" s="16" t="s">
        <v>37</v>
      </c>
      <c r="N197" s="16" t="s">
        <v>22</v>
      </c>
      <c r="O197" s="16" t="s">
        <v>35</v>
      </c>
      <c r="Q197" s="9">
        <v>8</v>
      </c>
      <c r="R197" s="9">
        <v>16</v>
      </c>
      <c r="S197" s="9">
        <v>7</v>
      </c>
      <c r="T197" s="9">
        <v>3</v>
      </c>
      <c r="U197" s="9">
        <v>8</v>
      </c>
      <c r="W197" s="25" cm="1">
        <f t="array" ref="W197">_xlfn.LET(_xlpm.x, K197:K199, IF(SUM((_xlpm.x="C1")*1)=1, 1, 0))</f>
        <v>0</v>
      </c>
      <c r="X197" s="25" cm="1">
        <f t="array" ref="X197">_xlfn.LET(_xlpm.x, L197:L199, IF(SUM((_xlpm.x="C1")*1)=1, 1, 0))</f>
        <v>0</v>
      </c>
      <c r="Y197" s="25" cm="1">
        <f t="array" ref="Y197">_xlfn.LET(_xlpm.x, M197:M199, IF(SUM((_xlpm.x="C1")*1)=1, 1, 0))</f>
        <v>0</v>
      </c>
      <c r="Z197" s="25">
        <v>1</v>
      </c>
      <c r="AA197" s="25">
        <v>1</v>
      </c>
      <c r="AH197" s="5"/>
      <c r="AI197" s="5"/>
      <c r="AO197" s="5"/>
    </row>
    <row r="198" spans="10:41" x14ac:dyDescent="0.3">
      <c r="J198" s="9">
        <v>194</v>
      </c>
      <c r="K198" s="16" t="s">
        <v>37</v>
      </c>
      <c r="L198" s="16" t="s">
        <v>18</v>
      </c>
      <c r="M198" s="16" t="s">
        <v>37</v>
      </c>
      <c r="N198" s="16" t="s">
        <v>36</v>
      </c>
      <c r="O198" s="16" t="s">
        <v>22</v>
      </c>
      <c r="Q198" s="9">
        <v>7</v>
      </c>
      <c r="R198" s="9">
        <v>4</v>
      </c>
      <c r="S198" s="9">
        <v>7</v>
      </c>
      <c r="T198" s="9">
        <v>10</v>
      </c>
      <c r="U198" s="9">
        <v>3</v>
      </c>
      <c r="W198" s="25" cm="1">
        <f t="array" ref="W198">_xlfn.LET(_xlpm.x, K198:K200, IF(SUM((_xlpm.x="C1")*1)=1, 1, 0))</f>
        <v>0</v>
      </c>
      <c r="X198" s="25" cm="1">
        <f t="array" ref="X198">_xlfn.LET(_xlpm.x, L198:L200, IF(SUM((_xlpm.x="C1")*1)=1, 1, 0))</f>
        <v>0</v>
      </c>
      <c r="Y198" s="25" cm="1">
        <f t="array" ref="Y198">_xlfn.LET(_xlpm.x, M198:M200, IF(SUM((_xlpm.x="C1")*1)=1, 1, 0))</f>
        <v>0</v>
      </c>
      <c r="Z198" s="25">
        <v>1</v>
      </c>
      <c r="AA198" s="25">
        <v>1</v>
      </c>
      <c r="AH198" s="5"/>
      <c r="AI198" s="5"/>
      <c r="AO198" s="5"/>
    </row>
    <row r="199" spans="10:41" x14ac:dyDescent="0.3">
      <c r="J199" s="25">
        <v>195</v>
      </c>
      <c r="K199" s="16" t="s">
        <v>19</v>
      </c>
      <c r="L199" s="16" t="s">
        <v>34</v>
      </c>
      <c r="M199" s="16" t="s">
        <v>19</v>
      </c>
      <c r="N199" s="16" t="s">
        <v>19</v>
      </c>
      <c r="O199" s="16" t="s">
        <v>37</v>
      </c>
      <c r="Q199" s="9">
        <v>5</v>
      </c>
      <c r="R199" s="9">
        <v>9</v>
      </c>
      <c r="S199" s="9">
        <v>5</v>
      </c>
      <c r="T199" s="9">
        <v>5</v>
      </c>
      <c r="U199" s="9">
        <v>7</v>
      </c>
      <c r="W199" s="25" cm="1">
        <f t="array" ref="W199">_xlfn.LET(_xlpm.x, K199:K201, IF(SUM((_xlpm.x="C1")*1)=1, 1, 0))</f>
        <v>0</v>
      </c>
      <c r="X199" s="25" cm="1">
        <f t="array" ref="X199">_xlfn.LET(_xlpm.x, L199:L201, IF(SUM((_xlpm.x="C1")*1)=1, 1, 0))</f>
        <v>0</v>
      </c>
      <c r="Y199" s="25" cm="1">
        <f t="array" ref="Y199">_xlfn.LET(_xlpm.x, M199:M201, IF(SUM((_xlpm.x="C1")*1)=1, 1, 0))</f>
        <v>0</v>
      </c>
      <c r="Z199" s="25">
        <v>1</v>
      </c>
      <c r="AA199" s="25">
        <v>1</v>
      </c>
      <c r="AH199" s="5"/>
      <c r="AI199" s="5"/>
      <c r="AO199" s="5"/>
    </row>
    <row r="200" spans="10:41" x14ac:dyDescent="0.3">
      <c r="J200" s="9">
        <v>196</v>
      </c>
      <c r="K200" s="16" t="s">
        <v>125</v>
      </c>
      <c r="L200" s="16" t="s">
        <v>95</v>
      </c>
      <c r="M200" s="16" t="s">
        <v>35</v>
      </c>
      <c r="N200" s="16" t="s">
        <v>34</v>
      </c>
      <c r="O200" s="16" t="s">
        <v>37</v>
      </c>
      <c r="Q200" s="9">
        <v>6</v>
      </c>
      <c r="R200" s="9">
        <v>18</v>
      </c>
      <c r="S200" s="9">
        <v>8</v>
      </c>
      <c r="T200" s="9">
        <v>9</v>
      </c>
      <c r="U200" s="9">
        <v>7</v>
      </c>
      <c r="W200" s="25" cm="1">
        <f t="array" ref="W200">_xlfn.LET(_xlpm.x, K200:K202, IF(SUM((_xlpm.x="C1")*1)=1, 1, 0))</f>
        <v>0</v>
      </c>
      <c r="X200" s="25" cm="1">
        <f t="array" ref="X200">_xlfn.LET(_xlpm.x, L200:L202, IF(SUM((_xlpm.x="C1")*1)=1, 1, 0))</f>
        <v>0</v>
      </c>
      <c r="Y200" s="25" cm="1">
        <f t="array" ref="Y200">_xlfn.LET(_xlpm.x, M200:M202, IF(SUM((_xlpm.x="C1")*1)=1, 1, 0))</f>
        <v>0</v>
      </c>
      <c r="Z200" s="25">
        <v>1</v>
      </c>
      <c r="AA200" s="25">
        <v>1</v>
      </c>
      <c r="AH200" s="5"/>
      <c r="AI200" s="5"/>
      <c r="AO200" s="5"/>
    </row>
    <row r="201" spans="10:41" x14ac:dyDescent="0.3">
      <c r="J201" s="25">
        <v>197</v>
      </c>
      <c r="K201" s="16" t="s">
        <v>19</v>
      </c>
      <c r="L201" s="16" t="s">
        <v>34</v>
      </c>
      <c r="M201" s="16" t="s">
        <v>125</v>
      </c>
      <c r="N201" s="16" t="s">
        <v>34</v>
      </c>
      <c r="O201" s="16" t="s">
        <v>125</v>
      </c>
      <c r="Q201" s="9">
        <v>5</v>
      </c>
      <c r="R201" s="9">
        <v>9</v>
      </c>
      <c r="S201" s="9">
        <v>6</v>
      </c>
      <c r="T201" s="9">
        <v>9</v>
      </c>
      <c r="U201" s="9">
        <v>6</v>
      </c>
      <c r="W201" s="25" cm="1">
        <f t="array" ref="W201">_xlfn.LET(_xlpm.x, K201:K203, IF(SUM((_xlpm.x="C1")*1)=1, 1, 0))</f>
        <v>0</v>
      </c>
      <c r="X201" s="25" cm="1">
        <f t="array" ref="X201">_xlfn.LET(_xlpm.x, L201:L203, IF(SUM((_xlpm.x="C1")*1)=1, 1, 0))</f>
        <v>0</v>
      </c>
      <c r="Y201" s="25" cm="1">
        <f t="array" ref="Y201">_xlfn.LET(_xlpm.x, M201:M203, IF(SUM((_xlpm.x="C1")*1)=1, 1, 0))</f>
        <v>0</v>
      </c>
      <c r="Z201" s="25">
        <v>1</v>
      </c>
      <c r="AA201" s="25">
        <v>1</v>
      </c>
      <c r="AH201" s="5"/>
      <c r="AI201" s="5"/>
      <c r="AO201" s="5"/>
    </row>
    <row r="202" spans="10:41" x14ac:dyDescent="0.3">
      <c r="J202" s="9">
        <v>198</v>
      </c>
      <c r="K202" s="16" t="s">
        <v>125</v>
      </c>
      <c r="L202" s="16" t="s">
        <v>19</v>
      </c>
      <c r="M202" s="16" t="s">
        <v>35</v>
      </c>
      <c r="N202" s="16" t="s">
        <v>126</v>
      </c>
      <c r="O202" s="16" t="s">
        <v>125</v>
      </c>
      <c r="Q202" s="9">
        <v>6</v>
      </c>
      <c r="R202" s="9">
        <v>5</v>
      </c>
      <c r="S202" s="9">
        <v>8</v>
      </c>
      <c r="T202" s="9">
        <v>15</v>
      </c>
      <c r="U202" s="9">
        <v>6</v>
      </c>
      <c r="W202" s="25" cm="1">
        <f t="array" ref="W202">_xlfn.LET(_xlpm.x, K202:K204, IF(SUM((_xlpm.x="C1")*1)=1, 1, 0))</f>
        <v>0</v>
      </c>
      <c r="X202" s="25" cm="1">
        <f t="array" ref="X202">_xlfn.LET(_xlpm.x, L202:L204, IF(SUM((_xlpm.x="C1")*1)=1, 1, 0))</f>
        <v>0</v>
      </c>
      <c r="Y202" s="25" cm="1">
        <f t="array" ref="Y202">_xlfn.LET(_xlpm.x, M202:M204, IF(SUM((_xlpm.x="C1")*1)=1, 1, 0))</f>
        <v>0</v>
      </c>
      <c r="Z202" s="25">
        <v>1</v>
      </c>
      <c r="AA202" s="25">
        <v>1</v>
      </c>
      <c r="AH202" s="5"/>
      <c r="AI202" s="5"/>
      <c r="AO202" s="5"/>
    </row>
    <row r="203" spans="10:41" x14ac:dyDescent="0.3">
      <c r="J203" s="25">
        <v>199</v>
      </c>
      <c r="K203" s="16" t="s">
        <v>37</v>
      </c>
      <c r="L203" s="16" t="s">
        <v>89</v>
      </c>
      <c r="M203" s="16" t="s">
        <v>35</v>
      </c>
      <c r="N203" s="16" t="s">
        <v>89</v>
      </c>
      <c r="O203" s="16" t="s">
        <v>18</v>
      </c>
      <c r="Q203" s="9">
        <v>7</v>
      </c>
      <c r="R203" s="9">
        <v>12</v>
      </c>
      <c r="S203" s="9">
        <v>8</v>
      </c>
      <c r="T203" s="9">
        <v>12</v>
      </c>
      <c r="U203" s="9">
        <v>4</v>
      </c>
      <c r="W203" s="25" cm="1">
        <f t="array" ref="W203">_xlfn.LET(_xlpm.x, K203:K205, IF(SUM((_xlpm.x="C1")*1)=1, 1, 0))</f>
        <v>0</v>
      </c>
      <c r="X203" s="25" cm="1">
        <f t="array" ref="X203">_xlfn.LET(_xlpm.x, L203:L205, IF(SUM((_xlpm.x="C1")*1)=1, 1, 0))</f>
        <v>0</v>
      </c>
      <c r="Y203" s="25" cm="1">
        <f t="array" ref="Y203">_xlfn.LET(_xlpm.x, M203:M205, IF(SUM((_xlpm.x="C1")*1)=1, 1, 0))</f>
        <v>0</v>
      </c>
      <c r="Z203" s="25">
        <v>1</v>
      </c>
      <c r="AA203" s="25">
        <v>1</v>
      </c>
      <c r="AH203" s="5"/>
      <c r="AI203" s="5"/>
      <c r="AO203" s="5"/>
    </row>
    <row r="204" spans="10:41" x14ac:dyDescent="0.3">
      <c r="J204" s="9"/>
      <c r="K204" s="16"/>
      <c r="L204" s="16"/>
      <c r="M204" s="16"/>
      <c r="N204" s="16"/>
      <c r="O204" s="16"/>
      <c r="Q204" s="9" t="str">
        <v/>
      </c>
      <c r="R204" s="9" t="str">
        <v/>
      </c>
      <c r="S204" s="9" t="str">
        <v/>
      </c>
      <c r="T204" s="9" t="str">
        <v/>
      </c>
      <c r="U204" s="9" t="str">
        <v/>
      </c>
      <c r="W204" s="25"/>
      <c r="X204" s="25"/>
      <c r="Y204" s="25"/>
      <c r="Z204" s="25"/>
      <c r="AA204" s="25"/>
      <c r="AH204" s="5"/>
      <c r="AI204" s="5"/>
      <c r="AO204" s="5"/>
    </row>
    <row r="205" spans="10:41" x14ac:dyDescent="0.3">
      <c r="J205" s="25"/>
      <c r="K205" s="16"/>
      <c r="L205" s="16"/>
      <c r="M205" s="16"/>
      <c r="N205" s="16"/>
      <c r="O205" s="16"/>
      <c r="Q205" s="9" t="str">
        <v/>
      </c>
      <c r="R205" s="9" t="str">
        <v/>
      </c>
      <c r="S205" s="9" t="str">
        <v/>
      </c>
      <c r="T205" s="9" t="str">
        <v/>
      </c>
      <c r="U205" s="9" t="str">
        <v/>
      </c>
      <c r="W205" s="25"/>
      <c r="X205" s="25"/>
      <c r="Y205" s="25"/>
      <c r="Z205" s="25"/>
      <c r="AA205" s="25"/>
      <c r="AH205" s="5"/>
      <c r="AI205" s="5"/>
      <c r="AO205" s="5"/>
    </row>
    <row r="206" spans="10:41" x14ac:dyDescent="0.3">
      <c r="J206" s="25"/>
      <c r="K206" s="16"/>
      <c r="L206" s="16"/>
      <c r="M206" s="16"/>
      <c r="N206" s="16"/>
      <c r="O206" s="16"/>
      <c r="Q206" s="9" t="str">
        <v/>
      </c>
      <c r="R206" s="9" t="str">
        <v/>
      </c>
      <c r="S206" s="9" t="str">
        <v/>
      </c>
      <c r="T206" s="9" t="str">
        <v/>
      </c>
      <c r="U206" s="9" t="str">
        <v/>
      </c>
      <c r="W206" s="25"/>
      <c r="X206" s="25"/>
      <c r="Y206" s="25"/>
      <c r="Z206" s="25"/>
      <c r="AA206" s="25"/>
      <c r="AH206" s="5"/>
      <c r="AI206" s="5"/>
      <c r="AO206" s="5"/>
    </row>
    <row r="207" spans="10:41" x14ac:dyDescent="0.3">
      <c r="J207" s="9"/>
      <c r="K207" s="16"/>
      <c r="L207" s="16"/>
      <c r="M207" s="16"/>
      <c r="N207" s="16"/>
      <c r="O207" s="16"/>
      <c r="Q207" s="9" t="str">
        <v/>
      </c>
      <c r="R207" s="9" t="str">
        <v/>
      </c>
      <c r="S207" s="9" t="str">
        <v/>
      </c>
      <c r="T207" s="9" t="str">
        <v/>
      </c>
      <c r="U207" s="9" t="str">
        <v/>
      </c>
      <c r="W207" s="25"/>
      <c r="X207" s="25"/>
      <c r="Y207" s="25"/>
      <c r="Z207" s="25"/>
      <c r="AA207" s="25"/>
      <c r="AH207" s="5"/>
      <c r="AI207" s="5"/>
      <c r="AO207" s="5"/>
    </row>
    <row r="208" spans="10:41" x14ac:dyDescent="0.3">
      <c r="J208" s="25"/>
      <c r="K208" s="16"/>
      <c r="L208" s="16"/>
      <c r="M208" s="16"/>
      <c r="N208" s="16"/>
      <c r="O208" s="16"/>
      <c r="Q208" s="9" t="str">
        <v/>
      </c>
      <c r="R208" s="9" t="str">
        <v/>
      </c>
      <c r="S208" s="9" t="str">
        <v/>
      </c>
      <c r="T208" s="9" t="str">
        <v/>
      </c>
      <c r="U208" s="9" t="str">
        <v/>
      </c>
      <c r="W208" s="25"/>
      <c r="X208" s="25"/>
      <c r="Y208" s="25"/>
      <c r="Z208" s="25"/>
      <c r="AA208" s="25"/>
      <c r="AH208" s="5"/>
      <c r="AI208" s="5"/>
      <c r="AO208" s="5"/>
    </row>
    <row r="209" spans="10:41" x14ac:dyDescent="0.3">
      <c r="J209" s="9"/>
      <c r="K209" s="16"/>
      <c r="L209" s="16"/>
      <c r="M209" s="16"/>
      <c r="N209" s="16"/>
      <c r="O209" s="16"/>
      <c r="Q209" s="9" t="str">
        <v/>
      </c>
      <c r="R209" s="9" t="str">
        <v/>
      </c>
      <c r="S209" s="9" t="str">
        <v/>
      </c>
      <c r="T209" s="9" t="str">
        <v/>
      </c>
      <c r="U209" s="9" t="str">
        <v/>
      </c>
      <c r="W209" s="25"/>
      <c r="X209" s="25"/>
      <c r="Y209" s="25"/>
      <c r="Z209" s="25"/>
      <c r="AA209" s="25"/>
      <c r="AH209" s="5"/>
      <c r="AI209" s="5"/>
      <c r="AO209" s="5"/>
    </row>
    <row r="210" spans="10:41" x14ac:dyDescent="0.3">
      <c r="J210" s="25"/>
      <c r="K210" s="16"/>
      <c r="L210" s="16"/>
      <c r="M210" s="16"/>
      <c r="N210" s="16"/>
      <c r="O210" s="16"/>
      <c r="Q210" s="9" t="str">
        <v/>
      </c>
      <c r="R210" s="9" t="str">
        <v/>
      </c>
      <c r="S210" s="9" t="str">
        <v/>
      </c>
      <c r="T210" s="9" t="str">
        <v/>
      </c>
      <c r="U210" s="9" t="str">
        <v/>
      </c>
      <c r="W210" s="25"/>
      <c r="X210" s="25"/>
      <c r="Y210" s="25"/>
      <c r="Z210" s="25"/>
      <c r="AA210" s="25"/>
      <c r="AH210" s="5"/>
      <c r="AI210" s="5"/>
      <c r="AO210" s="5"/>
    </row>
    <row r="211" spans="10:41" x14ac:dyDescent="0.3">
      <c r="J211" s="9"/>
      <c r="K211" s="16"/>
      <c r="L211" s="16"/>
      <c r="M211" s="16"/>
      <c r="N211" s="16"/>
      <c r="O211" s="16"/>
      <c r="Q211" s="9" t="str">
        <v/>
      </c>
      <c r="R211" s="9" t="str">
        <v/>
      </c>
      <c r="S211" s="9" t="str">
        <v/>
      </c>
      <c r="T211" s="9" t="str">
        <v/>
      </c>
      <c r="U211" s="9" t="str">
        <v/>
      </c>
      <c r="W211" s="25"/>
      <c r="X211" s="25"/>
      <c r="Y211" s="25"/>
      <c r="Z211" s="25"/>
      <c r="AA211" s="25"/>
      <c r="AH211" s="5"/>
      <c r="AI211" s="5"/>
      <c r="AO211" s="5"/>
    </row>
    <row r="212" spans="10:41" x14ac:dyDescent="0.3">
      <c r="J212" s="25"/>
      <c r="K212" s="8"/>
      <c r="L212" s="8"/>
      <c r="M212" s="8"/>
      <c r="N212" s="8"/>
      <c r="O212" s="8"/>
      <c r="Q212" s="9" t="str">
        <v/>
      </c>
      <c r="R212" s="9" t="str">
        <v/>
      </c>
      <c r="S212" s="9" t="str">
        <v/>
      </c>
      <c r="T212" s="9" t="str">
        <v/>
      </c>
      <c r="U212" s="9" t="str">
        <v/>
      </c>
      <c r="W212" s="25"/>
      <c r="X212" s="25"/>
      <c r="Y212" s="25"/>
      <c r="Z212" s="25"/>
      <c r="AA212" s="25"/>
      <c r="AH212" s="5"/>
      <c r="AI212" s="5"/>
      <c r="AO212" s="5"/>
    </row>
    <row r="213" spans="10:41" x14ac:dyDescent="0.3">
      <c r="J213" s="9"/>
      <c r="K213" s="8"/>
      <c r="L213" s="8"/>
      <c r="M213" s="8"/>
      <c r="N213" s="8"/>
      <c r="O213" s="8"/>
      <c r="Q213" s="9" t="str">
        <v/>
      </c>
      <c r="R213" s="9" t="str">
        <v/>
      </c>
      <c r="S213" s="9" t="str">
        <v/>
      </c>
      <c r="T213" s="9" t="str">
        <v/>
      </c>
      <c r="U213" s="9" t="str">
        <v/>
      </c>
      <c r="W213" s="25"/>
      <c r="X213" s="25"/>
      <c r="Y213" s="25"/>
      <c r="Z213" s="25"/>
      <c r="AA213" s="25"/>
      <c r="AH213" s="5"/>
      <c r="AI213" s="5"/>
      <c r="AO213" s="5"/>
    </row>
    <row r="214" spans="10:41" x14ac:dyDescent="0.3">
      <c r="J214" s="25"/>
      <c r="K214" s="8"/>
      <c r="L214" s="8"/>
      <c r="M214" s="8"/>
      <c r="N214" s="8"/>
      <c r="O214" s="8"/>
      <c r="Q214" s="9" t="str">
        <v/>
      </c>
      <c r="R214" s="9" t="str">
        <v/>
      </c>
      <c r="S214" s="9" t="str">
        <v/>
      </c>
      <c r="T214" s="9" t="str">
        <v/>
      </c>
      <c r="U214" s="9" t="str">
        <v/>
      </c>
      <c r="W214" s="25"/>
      <c r="X214" s="25"/>
      <c r="Y214" s="25"/>
      <c r="Z214" s="25"/>
      <c r="AA214" s="25"/>
      <c r="AH214" s="5"/>
      <c r="AI214" s="5"/>
      <c r="AO214" s="5"/>
    </row>
    <row r="215" spans="10:41" x14ac:dyDescent="0.3">
      <c r="J215" s="9"/>
      <c r="K215" s="8"/>
      <c r="L215" s="8"/>
      <c r="M215" s="8"/>
      <c r="N215" s="8"/>
      <c r="O215" s="8"/>
      <c r="Q215" s="9" t="str">
        <v/>
      </c>
      <c r="R215" s="9" t="str">
        <v/>
      </c>
      <c r="S215" s="9" t="str">
        <v/>
      </c>
      <c r="T215" s="9" t="str">
        <v/>
      </c>
      <c r="U215" s="9" t="str">
        <v/>
      </c>
      <c r="W215" s="25"/>
      <c r="X215" s="25"/>
      <c r="Y215" s="25"/>
      <c r="Z215" s="25"/>
      <c r="AA215" s="25"/>
      <c r="AH215" s="5"/>
      <c r="AI215" s="5"/>
      <c r="AO215" s="5"/>
    </row>
    <row r="216" spans="10:41" x14ac:dyDescent="0.3">
      <c r="J216" s="25"/>
      <c r="K216" s="8"/>
      <c r="L216" s="8"/>
      <c r="M216" s="8"/>
      <c r="N216" s="8"/>
      <c r="O216" s="8"/>
      <c r="Q216" s="9" t="str">
        <v/>
      </c>
      <c r="R216" s="9" t="str">
        <v/>
      </c>
      <c r="S216" s="9" t="str">
        <v/>
      </c>
      <c r="T216" s="9" t="str">
        <v/>
      </c>
      <c r="U216" s="9" t="str">
        <v/>
      </c>
      <c r="W216" s="25"/>
      <c r="X216" s="25"/>
      <c r="Y216" s="25"/>
      <c r="Z216" s="25"/>
      <c r="AA216" s="25"/>
      <c r="AH216" s="5"/>
      <c r="AI216" s="5"/>
      <c r="AO216" s="5"/>
    </row>
    <row r="217" spans="10:41" x14ac:dyDescent="0.3">
      <c r="J217" s="9"/>
      <c r="K217" s="8"/>
      <c r="L217" s="8"/>
      <c r="M217" s="8"/>
      <c r="N217" s="8"/>
      <c r="O217" s="8"/>
      <c r="Q217" s="9" t="str">
        <v/>
      </c>
      <c r="R217" s="9" t="str">
        <v/>
      </c>
      <c r="S217" s="9" t="str">
        <v/>
      </c>
      <c r="T217" s="9" t="str">
        <v/>
      </c>
      <c r="U217" s="9" t="str">
        <v/>
      </c>
      <c r="W217" s="25"/>
      <c r="X217" s="25"/>
      <c r="Y217" s="25"/>
      <c r="Z217" s="25"/>
      <c r="AA217" s="25"/>
      <c r="AH217" s="5"/>
      <c r="AI217" s="5"/>
      <c r="AO217" s="5"/>
    </row>
    <row r="218" spans="10:41" x14ac:dyDescent="0.3">
      <c r="J218" s="25"/>
      <c r="K218" s="8"/>
      <c r="L218" s="8"/>
      <c r="M218" s="8"/>
      <c r="N218" s="8"/>
      <c r="O218" s="8"/>
      <c r="Q218" s="9" t="str">
        <v/>
      </c>
      <c r="R218" s="9" t="str">
        <v/>
      </c>
      <c r="S218" s="9" t="str">
        <v/>
      </c>
      <c r="T218" s="9" t="str">
        <v/>
      </c>
      <c r="U218" s="9" t="str">
        <v/>
      </c>
      <c r="W218" s="25"/>
      <c r="X218" s="25"/>
      <c r="Y218" s="25"/>
      <c r="Z218" s="25"/>
      <c r="AA218" s="25"/>
      <c r="AH218" s="5"/>
      <c r="AI218" s="5"/>
      <c r="AO218" s="5"/>
    </row>
    <row r="219" spans="10:41" x14ac:dyDescent="0.3">
      <c r="J219" s="9"/>
      <c r="K219" s="8"/>
      <c r="L219" s="8"/>
      <c r="M219" s="8"/>
      <c r="N219" s="8"/>
      <c r="O219" s="8"/>
      <c r="Q219" s="9" t="str">
        <v/>
      </c>
      <c r="R219" s="9" t="str">
        <v/>
      </c>
      <c r="S219" s="9" t="str">
        <v/>
      </c>
      <c r="T219" s="9" t="str">
        <v/>
      </c>
      <c r="U219" s="9" t="str">
        <v/>
      </c>
      <c r="W219" s="25"/>
      <c r="X219" s="25"/>
      <c r="Y219" s="25"/>
      <c r="Z219" s="25"/>
      <c r="AA219" s="25"/>
      <c r="AH219" s="5"/>
      <c r="AI219" s="5"/>
      <c r="AO219" s="5"/>
    </row>
    <row r="220" spans="10:41" x14ac:dyDescent="0.3">
      <c r="J220" s="25"/>
      <c r="K220" s="8"/>
      <c r="L220" s="8"/>
      <c r="M220" s="8"/>
      <c r="N220" s="8"/>
      <c r="O220" s="8"/>
      <c r="Q220" s="9" t="str">
        <v/>
      </c>
      <c r="R220" s="9" t="str">
        <v/>
      </c>
      <c r="S220" s="9" t="str">
        <v/>
      </c>
      <c r="T220" s="9" t="str">
        <v/>
      </c>
      <c r="U220" s="9" t="str">
        <v/>
      </c>
      <c r="W220" s="25"/>
      <c r="X220" s="25"/>
      <c r="Y220" s="25"/>
      <c r="Z220" s="25"/>
      <c r="AA220" s="25"/>
      <c r="AH220" s="5"/>
      <c r="AI220" s="5"/>
      <c r="AO220" s="5"/>
    </row>
    <row r="221" spans="10:41" x14ac:dyDescent="0.3">
      <c r="J221" s="9"/>
      <c r="K221" s="8"/>
      <c r="L221" s="8"/>
      <c r="M221" s="8"/>
      <c r="N221" s="8"/>
      <c r="O221" s="8"/>
      <c r="Q221" s="9" t="str">
        <v/>
      </c>
      <c r="R221" s="9" t="str">
        <v/>
      </c>
      <c r="S221" s="9" t="str">
        <v/>
      </c>
      <c r="T221" s="9" t="str">
        <v/>
      </c>
      <c r="U221" s="9" t="str">
        <v/>
      </c>
      <c r="W221" s="25"/>
      <c r="X221" s="25"/>
      <c r="Y221" s="25"/>
      <c r="Z221" s="25"/>
      <c r="AA221" s="25"/>
      <c r="AH221" s="5"/>
      <c r="AI221" s="5"/>
      <c r="AO221" s="5"/>
    </row>
    <row r="222" spans="10:41" x14ac:dyDescent="0.3">
      <c r="J222" s="25"/>
      <c r="K222" s="8"/>
      <c r="L222" s="8"/>
      <c r="M222" s="8"/>
      <c r="N222" s="8"/>
      <c r="O222" s="8"/>
      <c r="Q222" s="9" t="str">
        <v/>
      </c>
      <c r="R222" s="9" t="str">
        <v/>
      </c>
      <c r="S222" s="9" t="str">
        <v/>
      </c>
      <c r="T222" s="9" t="str">
        <v/>
      </c>
      <c r="U222" s="9" t="str">
        <v/>
      </c>
      <c r="W222" s="25"/>
      <c r="X222" s="25"/>
      <c r="Y222" s="25"/>
      <c r="Z222" s="25"/>
      <c r="AA222" s="25"/>
      <c r="AH222" s="5"/>
      <c r="AI222" s="5"/>
      <c r="AO222" s="5"/>
    </row>
    <row r="223" spans="10:41" x14ac:dyDescent="0.3">
      <c r="J223" s="9"/>
      <c r="K223" s="8"/>
      <c r="L223" s="8"/>
      <c r="M223" s="8"/>
      <c r="N223" s="8"/>
      <c r="O223" s="8"/>
      <c r="Q223" s="9" t="str">
        <v/>
      </c>
      <c r="R223" s="9" t="str">
        <v/>
      </c>
      <c r="S223" s="9" t="str">
        <v/>
      </c>
      <c r="T223" s="9" t="str">
        <v/>
      </c>
      <c r="U223" s="9" t="str">
        <v/>
      </c>
      <c r="W223" s="25"/>
      <c r="X223" s="25"/>
      <c r="Y223" s="25"/>
      <c r="Z223" s="25"/>
      <c r="AA223" s="25"/>
      <c r="AH223" s="5"/>
      <c r="AI223" s="5"/>
      <c r="AO223" s="5"/>
    </row>
    <row r="224" spans="10:41" x14ac:dyDescent="0.3">
      <c r="J224" s="25"/>
      <c r="K224" s="8"/>
      <c r="L224" s="8"/>
      <c r="M224" s="8"/>
      <c r="N224" s="8"/>
      <c r="O224" s="8"/>
      <c r="Q224" s="9" t="str">
        <v/>
      </c>
      <c r="R224" s="9" t="str">
        <v/>
      </c>
      <c r="S224" s="9" t="str">
        <v/>
      </c>
      <c r="T224" s="9" t="str">
        <v/>
      </c>
      <c r="U224" s="9" t="str">
        <v/>
      </c>
      <c r="W224" s="25"/>
      <c r="X224" s="25"/>
      <c r="Y224" s="25"/>
      <c r="Z224" s="25"/>
      <c r="AA224" s="25"/>
      <c r="AH224" s="5"/>
      <c r="AI224" s="5"/>
      <c r="AO224" s="5"/>
    </row>
    <row r="225" spans="10:41" x14ac:dyDescent="0.3">
      <c r="J225" s="9"/>
      <c r="K225" s="8"/>
      <c r="L225" s="8"/>
      <c r="M225" s="8"/>
      <c r="N225" s="8"/>
      <c r="O225" s="8"/>
      <c r="Q225" s="9" t="str">
        <v/>
      </c>
      <c r="R225" s="9" t="str">
        <v/>
      </c>
      <c r="S225" s="9" t="str">
        <v/>
      </c>
      <c r="T225" s="9" t="str">
        <v/>
      </c>
      <c r="U225" s="9" t="str">
        <v/>
      </c>
      <c r="W225" s="25"/>
      <c r="X225" s="25"/>
      <c r="Y225" s="25"/>
      <c r="Z225" s="25"/>
      <c r="AA225" s="25"/>
      <c r="AH225" s="5"/>
      <c r="AI225" s="5"/>
      <c r="AO225" s="5"/>
    </row>
    <row r="226" spans="10:41" x14ac:dyDescent="0.3">
      <c r="J226" s="25"/>
      <c r="K226" s="8"/>
      <c r="L226" s="8"/>
      <c r="M226" s="8"/>
      <c r="N226" s="8"/>
      <c r="O226" s="8"/>
      <c r="Q226" s="9" t="str">
        <v/>
      </c>
      <c r="R226" s="9" t="str">
        <v/>
      </c>
      <c r="S226" s="9" t="str">
        <v/>
      </c>
      <c r="T226" s="9" t="str">
        <v/>
      </c>
      <c r="U226" s="9" t="str">
        <v/>
      </c>
      <c r="W226" s="25"/>
      <c r="X226" s="25"/>
      <c r="Y226" s="25"/>
      <c r="Z226" s="25"/>
      <c r="AA226" s="25"/>
      <c r="AH226" s="5"/>
      <c r="AI226" s="5"/>
      <c r="AO226" s="5"/>
    </row>
    <row r="227" spans="10:41" x14ac:dyDescent="0.3">
      <c r="J227" s="9"/>
      <c r="K227" s="8"/>
      <c r="L227" s="8"/>
      <c r="M227" s="8"/>
      <c r="N227" s="8"/>
      <c r="O227" s="8"/>
      <c r="Q227" s="9" t="str">
        <v/>
      </c>
      <c r="R227" s="9" t="str">
        <v/>
      </c>
      <c r="S227" s="9" t="str">
        <v/>
      </c>
      <c r="T227" s="9" t="str">
        <v/>
      </c>
      <c r="U227" s="9" t="str">
        <v/>
      </c>
      <c r="W227" s="25"/>
      <c r="X227" s="25"/>
      <c r="Y227" s="25"/>
      <c r="Z227" s="25"/>
      <c r="AA227" s="25"/>
      <c r="AH227" s="5"/>
      <c r="AI227" s="5"/>
      <c r="AO227" s="5"/>
    </row>
    <row r="228" spans="10:41" x14ac:dyDescent="0.3">
      <c r="J228" s="25"/>
      <c r="K228" s="8"/>
      <c r="L228" s="8"/>
      <c r="M228" s="8"/>
      <c r="N228" s="8"/>
      <c r="O228" s="8"/>
      <c r="Q228" s="9" t="str">
        <v/>
      </c>
      <c r="R228" s="9" t="str">
        <v/>
      </c>
      <c r="S228" s="9" t="str">
        <v/>
      </c>
      <c r="T228" s="9" t="str">
        <v/>
      </c>
      <c r="U228" s="9" t="str">
        <v/>
      </c>
      <c r="W228" s="25"/>
      <c r="X228" s="25"/>
      <c r="Y228" s="25"/>
      <c r="Z228" s="25"/>
      <c r="AA228" s="25"/>
      <c r="AH228" s="5"/>
      <c r="AI228" s="5"/>
      <c r="AO228" s="5"/>
    </row>
    <row r="229" spans="10:41" x14ac:dyDescent="0.3">
      <c r="J229" s="9"/>
      <c r="K229" s="8"/>
      <c r="L229" s="8"/>
      <c r="M229" s="8"/>
      <c r="N229" s="8"/>
      <c r="O229" s="8"/>
      <c r="Q229" s="9" t="str">
        <v/>
      </c>
      <c r="R229" s="9" t="str">
        <v/>
      </c>
      <c r="S229" s="9" t="str">
        <v/>
      </c>
      <c r="T229" s="9" t="str">
        <v/>
      </c>
      <c r="U229" s="9" t="str">
        <v/>
      </c>
      <c r="W229" s="25"/>
      <c r="X229" s="25"/>
      <c r="Y229" s="25"/>
      <c r="Z229" s="25"/>
      <c r="AA229" s="25"/>
      <c r="AH229" s="5"/>
      <c r="AI229" s="5"/>
      <c r="AO229" s="5"/>
    </row>
    <row r="230" spans="10:41" x14ac:dyDescent="0.3">
      <c r="J230" s="25"/>
      <c r="K230" s="8"/>
      <c r="L230" s="8"/>
      <c r="M230" s="8"/>
      <c r="N230" s="8"/>
      <c r="O230" s="8"/>
      <c r="Q230" s="9" t="str">
        <v/>
      </c>
      <c r="R230" s="9" t="str">
        <v/>
      </c>
      <c r="S230" s="9" t="str">
        <v/>
      </c>
      <c r="T230" s="9" t="str">
        <v/>
      </c>
      <c r="U230" s="9" t="str">
        <v/>
      </c>
      <c r="W230" s="25"/>
      <c r="X230" s="25"/>
      <c r="Y230" s="25"/>
      <c r="Z230" s="25"/>
      <c r="AA230" s="25"/>
      <c r="AH230" s="5"/>
      <c r="AI230" s="5"/>
      <c r="AO230" s="5"/>
    </row>
    <row r="231" spans="10:41" x14ac:dyDescent="0.3">
      <c r="J231" s="9"/>
      <c r="K231" s="8"/>
      <c r="L231" s="8"/>
      <c r="M231" s="8"/>
      <c r="N231" s="8"/>
      <c r="O231" s="8"/>
      <c r="Q231" s="9" t="str">
        <v/>
      </c>
      <c r="R231" s="9" t="str">
        <v/>
      </c>
      <c r="S231" s="9" t="str">
        <v/>
      </c>
      <c r="T231" s="9" t="str">
        <v/>
      </c>
      <c r="U231" s="9" t="str">
        <v/>
      </c>
      <c r="W231" s="25"/>
      <c r="X231" s="25"/>
      <c r="Y231" s="25"/>
      <c r="Z231" s="25"/>
      <c r="AA231" s="25"/>
      <c r="AH231" s="5"/>
      <c r="AI231" s="5"/>
      <c r="AO231" s="5"/>
    </row>
    <row r="232" spans="10:41" x14ac:dyDescent="0.3">
      <c r="J232" s="25"/>
      <c r="K232" s="8"/>
      <c r="L232" s="8"/>
      <c r="M232" s="8"/>
      <c r="N232" s="8"/>
      <c r="O232" s="8"/>
      <c r="Q232" s="9" t="str">
        <v/>
      </c>
      <c r="R232" s="9" t="str">
        <v/>
      </c>
      <c r="S232" s="9" t="str">
        <v/>
      </c>
      <c r="T232" s="9" t="str">
        <v/>
      </c>
      <c r="U232" s="9" t="str">
        <v/>
      </c>
      <c r="W232" s="25"/>
      <c r="X232" s="25"/>
      <c r="Y232" s="25"/>
      <c r="Z232" s="25"/>
      <c r="AA232" s="25"/>
      <c r="AH232" s="5"/>
      <c r="AI232" s="5"/>
      <c r="AO232" s="5"/>
    </row>
    <row r="233" spans="10:41" x14ac:dyDescent="0.3">
      <c r="J233" s="9"/>
      <c r="K233" s="8"/>
      <c r="L233" s="8"/>
      <c r="M233" s="8"/>
      <c r="N233" s="8"/>
      <c r="O233" s="8"/>
      <c r="Q233" s="9" t="str">
        <v/>
      </c>
      <c r="R233" s="9" t="str">
        <v/>
      </c>
      <c r="S233" s="9" t="str">
        <v/>
      </c>
      <c r="T233" s="9" t="str">
        <v/>
      </c>
      <c r="U233" s="9" t="str">
        <v/>
      </c>
      <c r="W233" s="25"/>
      <c r="X233" s="25"/>
      <c r="Y233" s="25"/>
      <c r="Z233" s="25"/>
      <c r="AA233" s="25"/>
      <c r="AH233" s="5"/>
      <c r="AI233" s="5"/>
      <c r="AO233" s="5"/>
    </row>
    <row r="234" spans="10:41" x14ac:dyDescent="0.3">
      <c r="J234" s="25"/>
      <c r="K234" s="8"/>
      <c r="L234" s="8"/>
      <c r="M234" s="8"/>
      <c r="N234" s="8"/>
      <c r="O234" s="8"/>
      <c r="Q234" s="9" t="str">
        <v/>
      </c>
      <c r="R234" s="9" t="str">
        <v/>
      </c>
      <c r="S234" s="9" t="str">
        <v/>
      </c>
      <c r="T234" s="9" t="str">
        <v/>
      </c>
      <c r="U234" s="9" t="str">
        <v/>
      </c>
      <c r="W234" s="25"/>
      <c r="X234" s="25"/>
      <c r="Y234" s="25"/>
      <c r="Z234" s="25"/>
      <c r="AA234" s="25"/>
      <c r="AH234" s="5"/>
      <c r="AI234" s="5"/>
      <c r="AO234" s="5"/>
    </row>
    <row r="235" spans="10:41" x14ac:dyDescent="0.3">
      <c r="J235" s="9"/>
      <c r="K235" s="8"/>
      <c r="L235" s="8"/>
      <c r="M235" s="8"/>
      <c r="N235" s="8"/>
      <c r="O235" s="8"/>
      <c r="Q235" s="9" t="str">
        <v/>
      </c>
      <c r="R235" s="9" t="str">
        <v/>
      </c>
      <c r="S235" s="9" t="str">
        <v/>
      </c>
      <c r="T235" s="9" t="str">
        <v/>
      </c>
      <c r="U235" s="9" t="str">
        <v/>
      </c>
      <c r="W235" s="25"/>
      <c r="X235" s="25"/>
      <c r="Y235" s="25"/>
      <c r="Z235" s="25"/>
      <c r="AA235" s="25"/>
      <c r="AH235" s="5"/>
      <c r="AI235" s="5"/>
      <c r="AO235" s="5"/>
    </row>
    <row r="236" spans="10:41" x14ac:dyDescent="0.3">
      <c r="J236" s="25"/>
      <c r="K236" s="8"/>
      <c r="L236" s="8"/>
      <c r="M236" s="8"/>
      <c r="N236" s="8"/>
      <c r="O236" s="8"/>
      <c r="Q236" s="9" t="str">
        <v/>
      </c>
      <c r="R236" s="9" t="str">
        <v/>
      </c>
      <c r="S236" s="9" t="str">
        <v/>
      </c>
      <c r="T236" s="9" t="str">
        <v/>
      </c>
      <c r="U236" s="9" t="str">
        <v/>
      </c>
      <c r="W236" s="25"/>
      <c r="X236" s="25"/>
      <c r="Y236" s="25"/>
      <c r="Z236" s="25"/>
      <c r="AA236" s="25"/>
      <c r="AH236" s="5"/>
      <c r="AI236" s="5"/>
      <c r="AO236" s="5"/>
    </row>
    <row r="237" spans="10:41" x14ac:dyDescent="0.3">
      <c r="J237" s="9"/>
      <c r="K237" s="8"/>
      <c r="L237" s="8"/>
      <c r="M237" s="8"/>
      <c r="N237" s="8"/>
      <c r="O237" s="8"/>
      <c r="Q237" s="9" t="str">
        <v/>
      </c>
      <c r="R237" s="9" t="str">
        <v/>
      </c>
      <c r="S237" s="9" t="str">
        <v/>
      </c>
      <c r="T237" s="9" t="str">
        <v/>
      </c>
      <c r="U237" s="9" t="str">
        <v/>
      </c>
      <c r="W237" s="25"/>
      <c r="X237" s="25"/>
      <c r="Y237" s="25"/>
      <c r="Z237" s="25"/>
      <c r="AA237" s="25"/>
      <c r="AH237" s="5"/>
      <c r="AI237" s="5"/>
      <c r="AO237" s="5"/>
    </row>
    <row r="238" spans="10:41" x14ac:dyDescent="0.3">
      <c r="J238" s="25"/>
      <c r="K238" s="8"/>
      <c r="L238" s="8"/>
      <c r="M238" s="8"/>
      <c r="N238" s="8"/>
      <c r="O238" s="8"/>
      <c r="Q238" s="9" t="str">
        <v/>
      </c>
      <c r="R238" s="9" t="str">
        <v/>
      </c>
      <c r="S238" s="9" t="str">
        <v/>
      </c>
      <c r="T238" s="9" t="str">
        <v/>
      </c>
      <c r="U238" s="9" t="str">
        <v/>
      </c>
      <c r="W238" s="25"/>
      <c r="X238" s="25"/>
      <c r="Y238" s="25"/>
      <c r="Z238" s="25"/>
      <c r="AA238" s="25"/>
      <c r="AH238" s="5"/>
      <c r="AI238" s="5"/>
      <c r="AO238" s="5"/>
    </row>
    <row r="239" spans="10:41" x14ac:dyDescent="0.3">
      <c r="J239" s="9"/>
      <c r="K239" s="8"/>
      <c r="L239" s="8"/>
      <c r="M239" s="8"/>
      <c r="N239" s="8"/>
      <c r="O239" s="8"/>
      <c r="Q239" s="9" t="str">
        <v/>
      </c>
      <c r="R239" s="9" t="str">
        <v/>
      </c>
      <c r="S239" s="9" t="str">
        <v/>
      </c>
      <c r="T239" s="9" t="str">
        <v/>
      </c>
      <c r="U239" s="9" t="str">
        <v/>
      </c>
      <c r="W239" s="25"/>
      <c r="X239" s="25"/>
      <c r="Y239" s="25"/>
      <c r="Z239" s="25"/>
      <c r="AA239" s="25"/>
      <c r="AH239" s="5"/>
      <c r="AI239" s="5"/>
      <c r="AO239" s="5"/>
    </row>
    <row r="240" spans="10:41" x14ac:dyDescent="0.3">
      <c r="J240" s="25"/>
      <c r="K240" s="8"/>
      <c r="L240" s="8"/>
      <c r="M240" s="8"/>
      <c r="N240" s="8"/>
      <c r="O240" s="8"/>
      <c r="Q240" s="9" t="str">
        <v/>
      </c>
      <c r="R240" s="9" t="str">
        <v/>
      </c>
      <c r="S240" s="9" t="str">
        <v/>
      </c>
      <c r="T240" s="9" t="str">
        <v/>
      </c>
      <c r="U240" s="9" t="str">
        <v/>
      </c>
      <c r="W240" s="25"/>
      <c r="X240" s="25"/>
      <c r="Y240" s="25"/>
      <c r="Z240" s="25"/>
      <c r="AA240" s="25"/>
      <c r="AH240" s="5"/>
      <c r="AI240" s="5"/>
      <c r="AO240" s="5"/>
    </row>
    <row r="241" spans="10:41" x14ac:dyDescent="0.3">
      <c r="J241" s="9"/>
      <c r="K241" s="8"/>
      <c r="L241" s="8"/>
      <c r="M241" s="8"/>
      <c r="N241" s="8"/>
      <c r="O241" s="8"/>
      <c r="Q241" s="9" t="str">
        <v/>
      </c>
      <c r="R241" s="9" t="str">
        <v/>
      </c>
      <c r="S241" s="9" t="str">
        <v/>
      </c>
      <c r="T241" s="9" t="str">
        <v/>
      </c>
      <c r="U241" s="9" t="str">
        <v/>
      </c>
      <c r="W241" s="25"/>
      <c r="X241" s="25"/>
      <c r="Y241" s="25"/>
      <c r="Z241" s="25"/>
      <c r="AA241" s="25"/>
      <c r="AH241" s="5"/>
      <c r="AI241" s="5"/>
      <c r="AO241" s="5"/>
    </row>
    <row r="242" spans="10:41" x14ac:dyDescent="0.3">
      <c r="J242" s="25"/>
      <c r="K242" s="8"/>
      <c r="L242" s="8"/>
      <c r="M242" s="8"/>
      <c r="N242" s="8"/>
      <c r="O242" s="8"/>
      <c r="Q242" s="9" t="str">
        <v/>
      </c>
      <c r="R242" s="9" t="str">
        <v/>
      </c>
      <c r="S242" s="9" t="str">
        <v/>
      </c>
      <c r="T242" s="9" t="str">
        <v/>
      </c>
      <c r="U242" s="9" t="str">
        <v/>
      </c>
      <c r="W242" s="25"/>
      <c r="X242" s="25"/>
      <c r="Y242" s="25"/>
      <c r="Z242" s="25"/>
      <c r="AA242" s="25"/>
      <c r="AH242" s="5"/>
      <c r="AI242" s="5"/>
      <c r="AO242" s="5"/>
    </row>
    <row r="243" spans="10:41" x14ac:dyDescent="0.3">
      <c r="J243" s="9"/>
      <c r="K243" s="8"/>
      <c r="L243" s="8"/>
      <c r="M243" s="8"/>
      <c r="N243" s="8"/>
      <c r="O243" s="8"/>
      <c r="Q243" s="9" t="str">
        <v/>
      </c>
      <c r="R243" s="9" t="str">
        <v/>
      </c>
      <c r="S243" s="9" t="str">
        <v/>
      </c>
      <c r="T243" s="9" t="str">
        <v/>
      </c>
      <c r="U243" s="9" t="str">
        <v/>
      </c>
      <c r="W243" s="25"/>
      <c r="X243" s="25"/>
      <c r="Y243" s="25"/>
      <c r="Z243" s="25"/>
      <c r="AA243" s="25"/>
      <c r="AH243" s="5"/>
      <c r="AI243" s="5"/>
      <c r="AO243" s="5"/>
    </row>
    <row r="244" spans="10:41" x14ac:dyDescent="0.3">
      <c r="J244" s="25"/>
      <c r="K244" s="8"/>
      <c r="L244" s="8"/>
      <c r="M244" s="8"/>
      <c r="N244" s="8"/>
      <c r="O244" s="8"/>
      <c r="Q244" s="9" t="str">
        <v/>
      </c>
      <c r="R244" s="9" t="str">
        <v/>
      </c>
      <c r="S244" s="9" t="str">
        <v/>
      </c>
      <c r="T244" s="9" t="str">
        <v/>
      </c>
      <c r="U244" s="9" t="str">
        <v/>
      </c>
      <c r="W244" s="25"/>
      <c r="X244" s="25"/>
      <c r="Y244" s="25"/>
      <c r="Z244" s="25"/>
      <c r="AA244" s="25"/>
      <c r="AH244" s="5"/>
      <c r="AI244" s="5"/>
      <c r="AO244" s="5"/>
    </row>
    <row r="245" spans="10:41" x14ac:dyDescent="0.3">
      <c r="J245" s="9"/>
      <c r="K245" s="8"/>
      <c r="L245" s="8"/>
      <c r="M245" s="8"/>
      <c r="N245" s="8"/>
      <c r="O245" s="8"/>
      <c r="Q245" s="9" t="str">
        <v/>
      </c>
      <c r="R245" s="9" t="str">
        <v/>
      </c>
      <c r="S245" s="9" t="str">
        <v/>
      </c>
      <c r="T245" s="9" t="str">
        <v/>
      </c>
      <c r="U245" s="9" t="str">
        <v/>
      </c>
      <c r="W245" s="25"/>
      <c r="X245" s="25"/>
      <c r="Y245" s="25"/>
      <c r="Z245" s="25"/>
      <c r="AA245" s="25"/>
      <c r="AH245" s="5"/>
      <c r="AI245" s="5"/>
      <c r="AO245" s="5"/>
    </row>
    <row r="246" spans="10:41" x14ac:dyDescent="0.3">
      <c r="J246" s="25"/>
      <c r="K246" s="8"/>
      <c r="L246" s="8"/>
      <c r="M246" s="8"/>
      <c r="N246" s="8"/>
      <c r="O246" s="8"/>
      <c r="Q246" s="9" t="str">
        <v/>
      </c>
      <c r="R246" s="9" t="str">
        <v/>
      </c>
      <c r="S246" s="9" t="str">
        <v/>
      </c>
      <c r="T246" s="9" t="str">
        <v/>
      </c>
      <c r="U246" s="9" t="str">
        <v/>
      </c>
      <c r="W246" s="25"/>
      <c r="X246" s="25"/>
      <c r="Y246" s="25"/>
      <c r="Z246" s="25"/>
      <c r="AA246" s="25"/>
      <c r="AH246" s="5"/>
      <c r="AI246" s="5"/>
      <c r="AO246" s="5"/>
    </row>
    <row r="247" spans="10:41" x14ac:dyDescent="0.3">
      <c r="J247" s="9"/>
      <c r="K247" s="8"/>
      <c r="L247" s="8"/>
      <c r="M247" s="8"/>
      <c r="N247" s="8"/>
      <c r="O247" s="8"/>
      <c r="Q247" s="9" t="str">
        <v/>
      </c>
      <c r="R247" s="9" t="str">
        <v/>
      </c>
      <c r="S247" s="9" t="str">
        <v/>
      </c>
      <c r="T247" s="9" t="str">
        <v/>
      </c>
      <c r="U247" s="9" t="str">
        <v/>
      </c>
      <c r="W247" s="25"/>
      <c r="X247" s="25"/>
      <c r="Y247" s="25"/>
      <c r="Z247" s="25"/>
      <c r="AA247" s="25"/>
      <c r="AH247" s="5"/>
      <c r="AI247" s="5"/>
      <c r="AO247" s="5"/>
    </row>
    <row r="248" spans="10:41" x14ac:dyDescent="0.3">
      <c r="J248" s="25"/>
      <c r="K248" s="8"/>
      <c r="L248" s="8"/>
      <c r="M248" s="8"/>
      <c r="N248" s="8"/>
      <c r="O248" s="8"/>
      <c r="Q248" s="9" t="str">
        <v/>
      </c>
      <c r="R248" s="9" t="str">
        <v/>
      </c>
      <c r="S248" s="9" t="str">
        <v/>
      </c>
      <c r="T248" s="9" t="str">
        <v/>
      </c>
      <c r="U248" s="9" t="str">
        <v/>
      </c>
      <c r="W248" s="25"/>
      <c r="X248" s="25"/>
      <c r="Y248" s="25"/>
      <c r="Z248" s="25"/>
      <c r="AA248" s="25"/>
      <c r="AH248" s="5"/>
      <c r="AI248" s="5"/>
      <c r="AO248" s="5"/>
    </row>
    <row r="249" spans="10:41" x14ac:dyDescent="0.3">
      <c r="J249" s="9"/>
      <c r="K249" s="8"/>
      <c r="L249" s="8"/>
      <c r="M249" s="8"/>
      <c r="N249" s="8"/>
      <c r="O249" s="8"/>
      <c r="Q249" s="9" t="str">
        <v/>
      </c>
      <c r="R249" s="9" t="str">
        <v/>
      </c>
      <c r="S249" s="9" t="str">
        <v/>
      </c>
      <c r="T249" s="9" t="str">
        <v/>
      </c>
      <c r="U249" s="9" t="str">
        <v/>
      </c>
      <c r="W249" s="25"/>
      <c r="X249" s="25"/>
      <c r="Y249" s="25"/>
      <c r="Z249" s="25"/>
      <c r="AA249" s="25"/>
      <c r="AH249" s="5"/>
      <c r="AI249" s="5"/>
      <c r="AO249" s="5"/>
    </row>
    <row r="250" spans="10:41" x14ac:dyDescent="0.3">
      <c r="J250" s="25"/>
      <c r="K250" s="8"/>
      <c r="L250" s="8"/>
      <c r="M250" s="8"/>
      <c r="N250" s="8"/>
      <c r="O250" s="8"/>
      <c r="Q250" s="9" t="str">
        <v/>
      </c>
      <c r="R250" s="9" t="str">
        <v/>
      </c>
      <c r="S250" s="9" t="str">
        <v/>
      </c>
      <c r="T250" s="9" t="str">
        <v/>
      </c>
      <c r="U250" s="9" t="str">
        <v/>
      </c>
      <c r="W250" s="25"/>
      <c r="X250" s="25"/>
      <c r="Y250" s="25"/>
      <c r="Z250" s="25"/>
      <c r="AA250" s="25"/>
      <c r="AH250" s="5"/>
      <c r="AI250" s="5"/>
      <c r="AO250" s="5"/>
    </row>
    <row r="251" spans="10:41" x14ac:dyDescent="0.3">
      <c r="J251" s="9"/>
      <c r="K251" s="8"/>
      <c r="L251" s="8"/>
      <c r="M251" s="8"/>
      <c r="N251" s="8"/>
      <c r="O251" s="8"/>
      <c r="Q251" s="9" t="str">
        <v/>
      </c>
      <c r="R251" s="9" t="str">
        <v/>
      </c>
      <c r="S251" s="9" t="str">
        <v/>
      </c>
      <c r="T251" s="9" t="str">
        <v/>
      </c>
      <c r="U251" s="9" t="str">
        <v/>
      </c>
      <c r="W251" s="25"/>
      <c r="X251" s="25"/>
      <c r="Y251" s="25"/>
      <c r="Z251" s="25"/>
      <c r="AA251" s="25"/>
      <c r="AH251" s="5"/>
      <c r="AI251" s="5"/>
      <c r="AO251" s="5"/>
    </row>
    <row r="252" spans="10:41" x14ac:dyDescent="0.3">
      <c r="J252" s="25"/>
      <c r="K252" s="8"/>
      <c r="L252" s="8"/>
      <c r="M252" s="8"/>
      <c r="N252" s="8"/>
      <c r="O252" s="8"/>
      <c r="Q252" s="9" t="str">
        <v/>
      </c>
      <c r="R252" s="9" t="str">
        <v/>
      </c>
      <c r="S252" s="9" t="str">
        <v/>
      </c>
      <c r="T252" s="9" t="str">
        <v/>
      </c>
      <c r="U252" s="9" t="str">
        <v/>
      </c>
      <c r="W252" s="25"/>
      <c r="X252" s="25"/>
      <c r="Y252" s="25"/>
      <c r="Z252" s="25"/>
      <c r="AA252" s="25"/>
      <c r="AH252" s="5"/>
      <c r="AI252" s="5"/>
      <c r="AO252" s="5"/>
    </row>
    <row r="253" spans="10:41" x14ac:dyDescent="0.3">
      <c r="J253" s="9"/>
      <c r="K253" s="8"/>
      <c r="L253" s="8"/>
      <c r="M253" s="8"/>
      <c r="N253" s="8"/>
      <c r="O253" s="8"/>
      <c r="Q253" s="9" t="str">
        <v/>
      </c>
      <c r="R253" s="9" t="str">
        <v/>
      </c>
      <c r="S253" s="9" t="str">
        <v/>
      </c>
      <c r="T253" s="9" t="str">
        <v/>
      </c>
      <c r="U253" s="9" t="str">
        <v/>
      </c>
      <c r="W253" s="25"/>
      <c r="X253" s="25"/>
      <c r="Y253" s="25"/>
      <c r="Z253" s="25"/>
      <c r="AA253" s="25"/>
      <c r="AH253" s="5"/>
      <c r="AI253" s="5"/>
      <c r="AO253" s="5"/>
    </row>
    <row r="254" spans="10:41" x14ac:dyDescent="0.3">
      <c r="J254" s="25"/>
      <c r="K254" s="8"/>
      <c r="L254" s="8"/>
      <c r="M254" s="8"/>
      <c r="N254" s="8"/>
      <c r="O254" s="8"/>
      <c r="Q254" s="9" t="str">
        <v/>
      </c>
      <c r="R254" s="9" t="str">
        <v/>
      </c>
      <c r="S254" s="9" t="str">
        <v/>
      </c>
      <c r="T254" s="9" t="str">
        <v/>
      </c>
      <c r="U254" s="9" t="str">
        <v/>
      </c>
      <c r="W254" s="25"/>
      <c r="X254" s="25"/>
      <c r="Y254" s="25"/>
      <c r="Z254" s="25"/>
      <c r="AA254" s="25"/>
      <c r="AH254" s="5"/>
      <c r="AI254" s="5"/>
      <c r="AO254" s="5"/>
    </row>
    <row r="255" spans="10:41" x14ac:dyDescent="0.3">
      <c r="J255" s="9"/>
      <c r="K255" s="8"/>
      <c r="L255" s="8"/>
      <c r="M255" s="8"/>
      <c r="N255" s="8"/>
      <c r="O255" s="8"/>
      <c r="Q255" s="9" t="str">
        <v/>
      </c>
      <c r="R255" s="9" t="str">
        <v/>
      </c>
      <c r="S255" s="9" t="str">
        <v/>
      </c>
      <c r="T255" s="9" t="str">
        <v/>
      </c>
      <c r="U255" s="9" t="str">
        <v/>
      </c>
      <c r="W255" s="25"/>
      <c r="X255" s="25"/>
      <c r="Y255" s="25"/>
      <c r="Z255" s="25"/>
      <c r="AA255" s="25"/>
      <c r="AH255" s="5"/>
      <c r="AI255" s="5"/>
      <c r="AO255" s="5"/>
    </row>
    <row r="256" spans="10:41" x14ac:dyDescent="0.3">
      <c r="J256" s="25"/>
      <c r="K256" s="8"/>
      <c r="L256" s="8"/>
      <c r="M256" s="8"/>
      <c r="N256" s="8"/>
      <c r="O256" s="8"/>
      <c r="Q256" s="9" t="str">
        <v/>
      </c>
      <c r="R256" s="9" t="str">
        <v/>
      </c>
      <c r="S256" s="9" t="str">
        <v/>
      </c>
      <c r="T256" s="9" t="str">
        <v/>
      </c>
      <c r="U256" s="9" t="str">
        <v/>
      </c>
      <c r="W256" s="25"/>
      <c r="X256" s="25"/>
      <c r="Y256" s="25"/>
      <c r="Z256" s="25"/>
      <c r="AA256" s="25"/>
      <c r="AH256" s="5"/>
      <c r="AI256" s="5"/>
      <c r="AO256" s="5"/>
    </row>
    <row r="257" spans="10:41" x14ac:dyDescent="0.3">
      <c r="J257" s="9"/>
      <c r="K257" s="8"/>
      <c r="L257" s="8"/>
      <c r="M257" s="8"/>
      <c r="N257" s="8"/>
      <c r="O257" s="8"/>
      <c r="Q257" s="9" t="str">
        <v/>
      </c>
      <c r="R257" s="9" t="str">
        <v/>
      </c>
      <c r="S257" s="9" t="str">
        <v/>
      </c>
      <c r="T257" s="9" t="str">
        <v/>
      </c>
      <c r="U257" s="9" t="str">
        <v/>
      </c>
      <c r="W257" s="25"/>
      <c r="X257" s="25"/>
      <c r="Y257" s="25"/>
      <c r="Z257" s="25"/>
      <c r="AA257" s="25"/>
      <c r="AH257" s="5"/>
      <c r="AI257" s="5"/>
      <c r="AO257" s="5"/>
    </row>
    <row r="258" spans="10:41" x14ac:dyDescent="0.3">
      <c r="J258" s="25"/>
      <c r="K258" s="8"/>
      <c r="L258" s="8"/>
      <c r="M258" s="8"/>
      <c r="N258" s="8"/>
      <c r="O258" s="8"/>
      <c r="Q258" s="9" t="str">
        <v/>
      </c>
      <c r="R258" s="9" t="str">
        <v/>
      </c>
      <c r="S258" s="9" t="str">
        <v/>
      </c>
      <c r="T258" s="9" t="str">
        <v/>
      </c>
      <c r="U258" s="9" t="str">
        <v/>
      </c>
      <c r="W258" s="25"/>
      <c r="X258" s="25"/>
      <c r="Y258" s="25"/>
      <c r="Z258" s="25"/>
      <c r="AA258" s="25"/>
      <c r="AH258" s="5"/>
      <c r="AI258" s="5"/>
      <c r="AO258" s="5"/>
    </row>
    <row r="259" spans="10:41" x14ac:dyDescent="0.3">
      <c r="J259" s="9"/>
      <c r="K259" s="8"/>
      <c r="L259" s="8"/>
      <c r="M259" s="8"/>
      <c r="N259" s="8"/>
      <c r="O259" s="8"/>
      <c r="Q259" s="9" t="str">
        <v/>
      </c>
      <c r="R259" s="9" t="str">
        <v/>
      </c>
      <c r="S259" s="9" t="str">
        <v/>
      </c>
      <c r="T259" s="9" t="str">
        <v/>
      </c>
      <c r="U259" s="9" t="str">
        <v/>
      </c>
      <c r="W259" s="25"/>
      <c r="X259" s="25"/>
      <c r="Y259" s="25"/>
      <c r="Z259" s="25"/>
      <c r="AA259" s="25"/>
      <c r="AH259" s="5"/>
      <c r="AI259" s="5"/>
      <c r="AO259" s="5"/>
    </row>
    <row r="260" spans="10:41" x14ac:dyDescent="0.3">
      <c r="J260" s="25"/>
      <c r="K260" s="8"/>
      <c r="L260" s="8"/>
      <c r="M260" s="8"/>
      <c r="N260" s="8"/>
      <c r="O260" s="8"/>
      <c r="Q260" s="9" t="str">
        <v/>
      </c>
      <c r="R260" s="9" t="str">
        <v/>
      </c>
      <c r="S260" s="9" t="str">
        <v/>
      </c>
      <c r="T260" s="9" t="str">
        <v/>
      </c>
      <c r="U260" s="9" t="str">
        <v/>
      </c>
      <c r="W260" s="25"/>
      <c r="X260" s="25"/>
      <c r="Y260" s="25"/>
      <c r="Z260" s="25"/>
      <c r="AA260" s="25"/>
      <c r="AH260" s="5"/>
      <c r="AI260" s="5"/>
      <c r="AO260" s="5"/>
    </row>
    <row r="261" spans="10:41" x14ac:dyDescent="0.3">
      <c r="J261" s="9"/>
      <c r="K261" s="8"/>
      <c r="L261" s="8"/>
      <c r="M261" s="8"/>
      <c r="N261" s="8"/>
      <c r="O261" s="8"/>
      <c r="Q261" s="9" t="str">
        <v/>
      </c>
      <c r="R261" s="9" t="str">
        <v/>
      </c>
      <c r="S261" s="9" t="str">
        <v/>
      </c>
      <c r="T261" s="9" t="str">
        <v/>
      </c>
      <c r="U261" s="9" t="str">
        <v/>
      </c>
      <c r="W261" s="25"/>
      <c r="X261" s="25"/>
      <c r="Y261" s="25"/>
      <c r="Z261" s="25"/>
      <c r="AA261" s="25"/>
      <c r="AH261" s="5"/>
      <c r="AI261" s="5"/>
      <c r="AO261" s="5"/>
    </row>
    <row r="262" spans="10:41" x14ac:dyDescent="0.3">
      <c r="J262" s="25"/>
      <c r="K262" s="8"/>
      <c r="L262" s="8"/>
      <c r="M262" s="8"/>
      <c r="N262" s="8"/>
      <c r="O262" s="8"/>
      <c r="Q262" s="9" t="str">
        <v/>
      </c>
      <c r="R262" s="9" t="str">
        <v/>
      </c>
      <c r="S262" s="9" t="str">
        <v/>
      </c>
      <c r="T262" s="9" t="str">
        <v/>
      </c>
      <c r="U262" s="9" t="str">
        <v/>
      </c>
      <c r="W262" s="25"/>
      <c r="X262" s="25"/>
      <c r="Y262" s="25"/>
      <c r="Z262" s="25"/>
      <c r="AA262" s="25"/>
      <c r="AH262" s="5"/>
      <c r="AI262" s="5"/>
      <c r="AO262" s="5"/>
    </row>
    <row r="263" spans="10:41" x14ac:dyDescent="0.3">
      <c r="J263" s="9"/>
      <c r="K263" s="8"/>
      <c r="L263" s="8"/>
      <c r="M263" s="8"/>
      <c r="N263" s="8"/>
      <c r="O263" s="8"/>
      <c r="Q263" s="9" t="str">
        <v/>
      </c>
      <c r="R263" s="9" t="str">
        <v/>
      </c>
      <c r="S263" s="9" t="str">
        <v/>
      </c>
      <c r="T263" s="9" t="str">
        <v/>
      </c>
      <c r="U263" s="9" t="str">
        <v/>
      </c>
      <c r="W263" s="25"/>
      <c r="X263" s="25"/>
      <c r="Y263" s="25"/>
      <c r="Z263" s="25"/>
      <c r="AA263" s="25"/>
      <c r="AH263" s="5"/>
      <c r="AI263" s="5"/>
      <c r="AO263" s="5"/>
    </row>
    <row r="264" spans="10:41" x14ac:dyDescent="0.3">
      <c r="J264" s="25"/>
      <c r="K264" s="8"/>
      <c r="L264" s="8"/>
      <c r="M264" s="8"/>
      <c r="N264" s="8"/>
      <c r="O264" s="8"/>
      <c r="Q264" s="9" t="str">
        <v/>
      </c>
      <c r="R264" s="9" t="str">
        <v/>
      </c>
      <c r="S264" s="9" t="str">
        <v/>
      </c>
      <c r="T264" s="9" t="str">
        <v/>
      </c>
      <c r="U264" s="9" t="str">
        <v/>
      </c>
      <c r="W264" s="25"/>
      <c r="X264" s="25"/>
      <c r="Y264" s="25"/>
      <c r="Z264" s="25"/>
      <c r="AA264" s="25"/>
      <c r="AH264" s="5"/>
      <c r="AI264" s="5"/>
      <c r="AO264" s="5"/>
    </row>
    <row r="265" spans="10:41" x14ac:dyDescent="0.3">
      <c r="J265" s="9"/>
      <c r="K265" s="8"/>
      <c r="L265" s="8"/>
      <c r="M265" s="8"/>
      <c r="N265" s="8"/>
      <c r="O265" s="8"/>
      <c r="Q265" s="9" t="str">
        <v/>
      </c>
      <c r="R265" s="9" t="str">
        <v/>
      </c>
      <c r="S265" s="9" t="str">
        <v/>
      </c>
      <c r="T265" s="9" t="str">
        <v/>
      </c>
      <c r="U265" s="9" t="str">
        <v/>
      </c>
      <c r="W265" s="25"/>
      <c r="X265" s="25"/>
      <c r="Y265" s="25"/>
      <c r="Z265" s="25"/>
      <c r="AA265" s="25"/>
      <c r="AH265" s="5"/>
      <c r="AI265" s="5"/>
      <c r="AO265" s="5"/>
    </row>
    <row r="266" spans="10:41" x14ac:dyDescent="0.3">
      <c r="J266" s="25"/>
      <c r="K266" s="8"/>
      <c r="L266" s="8"/>
      <c r="M266" s="8"/>
      <c r="N266" s="8"/>
      <c r="O266" s="8"/>
      <c r="Q266" s="9" t="str">
        <v/>
      </c>
      <c r="R266" s="9" t="str">
        <v/>
      </c>
      <c r="S266" s="9" t="str">
        <v/>
      </c>
      <c r="T266" s="9" t="str">
        <v/>
      </c>
      <c r="U266" s="9" t="str">
        <v/>
      </c>
      <c r="W266" s="25"/>
      <c r="X266" s="25"/>
      <c r="Y266" s="25"/>
      <c r="Z266" s="25"/>
      <c r="AA266" s="25"/>
      <c r="AH266" s="5"/>
      <c r="AI266" s="5"/>
      <c r="AO266" s="5"/>
    </row>
    <row r="267" spans="10:41" x14ac:dyDescent="0.3">
      <c r="J267" s="9"/>
      <c r="K267" s="8"/>
      <c r="L267" s="8"/>
      <c r="M267" s="8"/>
      <c r="N267" s="8"/>
      <c r="O267" s="8"/>
      <c r="Q267" s="9" t="str">
        <v/>
      </c>
      <c r="R267" s="9" t="str">
        <v/>
      </c>
      <c r="S267" s="9" t="str">
        <v/>
      </c>
      <c r="T267" s="9" t="str">
        <v/>
      </c>
      <c r="U267" s="9" t="str">
        <v/>
      </c>
      <c r="W267" s="25"/>
      <c r="X267" s="25"/>
      <c r="Y267" s="25"/>
      <c r="Z267" s="25"/>
      <c r="AA267" s="25"/>
      <c r="AH267" s="5"/>
      <c r="AI267" s="5"/>
      <c r="AO267" s="5"/>
    </row>
    <row r="268" spans="10:41" x14ac:dyDescent="0.3">
      <c r="J268" s="25"/>
      <c r="K268" s="8"/>
      <c r="L268" s="8"/>
      <c r="M268" s="8"/>
      <c r="N268" s="8"/>
      <c r="O268" s="8"/>
      <c r="Q268" s="9" t="str">
        <v/>
      </c>
      <c r="R268" s="9" t="str">
        <v/>
      </c>
      <c r="S268" s="9" t="str">
        <v/>
      </c>
      <c r="T268" s="9" t="str">
        <v/>
      </c>
      <c r="U268" s="9" t="str">
        <v/>
      </c>
      <c r="W268" s="25"/>
      <c r="X268" s="25"/>
      <c r="Y268" s="25"/>
      <c r="Z268" s="25"/>
      <c r="AA268" s="25"/>
      <c r="AH268" s="5"/>
      <c r="AI268" s="5"/>
      <c r="AO268" s="5"/>
    </row>
    <row r="269" spans="10:41" x14ac:dyDescent="0.3">
      <c r="J269" s="9"/>
      <c r="K269" s="8"/>
      <c r="L269" s="8"/>
      <c r="M269" s="8"/>
      <c r="N269" s="8"/>
      <c r="O269" s="8"/>
      <c r="Q269" s="9" t="str">
        <v/>
      </c>
      <c r="R269" s="9" t="str">
        <v/>
      </c>
      <c r="S269" s="9" t="str">
        <v/>
      </c>
      <c r="T269" s="9" t="str">
        <v/>
      </c>
      <c r="U269" s="9" t="str">
        <v/>
      </c>
      <c r="W269" s="25"/>
      <c r="X269" s="25"/>
      <c r="Y269" s="25"/>
      <c r="Z269" s="25"/>
      <c r="AA269" s="25"/>
      <c r="AH269" s="5"/>
      <c r="AI269" s="5"/>
      <c r="AO269" s="5"/>
    </row>
    <row r="270" spans="10:41" x14ac:dyDescent="0.3">
      <c r="J270" s="25"/>
      <c r="K270" s="8"/>
      <c r="L270" s="8"/>
      <c r="M270" s="8"/>
      <c r="N270" s="8"/>
      <c r="O270" s="8"/>
      <c r="Q270" s="9" t="str">
        <v/>
      </c>
      <c r="R270" s="9" t="str">
        <v/>
      </c>
      <c r="S270" s="9" t="str">
        <v/>
      </c>
      <c r="T270" s="9" t="str">
        <v/>
      </c>
      <c r="U270" s="9" t="str">
        <v/>
      </c>
      <c r="W270" s="25"/>
      <c r="X270" s="25"/>
      <c r="Y270" s="25"/>
      <c r="Z270" s="25"/>
      <c r="AA270" s="25"/>
      <c r="AH270" s="5"/>
      <c r="AI270" s="5"/>
      <c r="AO270" s="5"/>
    </row>
    <row r="271" spans="10:41" x14ac:dyDescent="0.3">
      <c r="J271" s="9"/>
      <c r="K271" s="8"/>
      <c r="L271" s="8"/>
      <c r="M271" s="8"/>
      <c r="N271" s="8"/>
      <c r="O271" s="8"/>
      <c r="Q271" s="9" t="str">
        <v/>
      </c>
      <c r="R271" s="9" t="str">
        <v/>
      </c>
      <c r="S271" s="9" t="str">
        <v/>
      </c>
      <c r="T271" s="9" t="str">
        <v/>
      </c>
      <c r="U271" s="9" t="str">
        <v/>
      </c>
      <c r="W271" s="25"/>
      <c r="X271" s="25"/>
      <c r="Y271" s="25"/>
      <c r="Z271" s="25"/>
      <c r="AA271" s="25"/>
      <c r="AH271" s="5"/>
      <c r="AI271" s="5"/>
      <c r="AO271" s="5"/>
    </row>
    <row r="272" spans="10:41" x14ac:dyDescent="0.3">
      <c r="J272" s="25"/>
      <c r="K272" s="8"/>
      <c r="L272" s="8"/>
      <c r="M272" s="8"/>
      <c r="N272" s="8"/>
      <c r="O272" s="8"/>
      <c r="Q272" s="9" t="str">
        <v/>
      </c>
      <c r="R272" s="9" t="str">
        <v/>
      </c>
      <c r="S272" s="9" t="str">
        <v/>
      </c>
      <c r="T272" s="9" t="str">
        <v/>
      </c>
      <c r="U272" s="9" t="str">
        <v/>
      </c>
      <c r="W272" s="25"/>
      <c r="X272" s="25"/>
      <c r="Y272" s="25"/>
      <c r="Z272" s="25"/>
      <c r="AA272" s="25"/>
      <c r="AH272" s="5"/>
      <c r="AI272" s="5"/>
      <c r="AO272" s="5"/>
    </row>
    <row r="273" spans="10:41" x14ac:dyDescent="0.3">
      <c r="J273" s="9"/>
      <c r="K273" s="8"/>
      <c r="L273" s="8"/>
      <c r="M273" s="8"/>
      <c r="N273" s="8"/>
      <c r="O273" s="8"/>
      <c r="Q273" s="9" t="str">
        <v/>
      </c>
      <c r="R273" s="9" t="str">
        <v/>
      </c>
      <c r="S273" s="9" t="str">
        <v/>
      </c>
      <c r="T273" s="9" t="str">
        <v/>
      </c>
      <c r="U273" s="9" t="str">
        <v/>
      </c>
      <c r="W273" s="25"/>
      <c r="X273" s="25"/>
      <c r="Y273" s="25"/>
      <c r="Z273" s="25"/>
      <c r="AA273" s="25"/>
      <c r="AH273" s="5"/>
      <c r="AI273" s="5"/>
      <c r="AO273" s="5"/>
    </row>
    <row r="274" spans="10:41" x14ac:dyDescent="0.3">
      <c r="J274" s="25"/>
      <c r="K274" s="8"/>
      <c r="L274" s="8"/>
      <c r="M274" s="8"/>
      <c r="N274" s="8"/>
      <c r="O274" s="8"/>
      <c r="Q274" s="9" t="str">
        <v/>
      </c>
      <c r="R274" s="9" t="str">
        <v/>
      </c>
      <c r="S274" s="9" t="str">
        <v/>
      </c>
      <c r="T274" s="9" t="str">
        <v/>
      </c>
      <c r="U274" s="9" t="str">
        <v/>
      </c>
      <c r="W274" s="25"/>
      <c r="X274" s="25"/>
      <c r="Y274" s="25"/>
      <c r="Z274" s="25"/>
      <c r="AA274" s="25"/>
      <c r="AH274" s="5"/>
      <c r="AI274" s="5"/>
      <c r="AO274" s="5"/>
    </row>
    <row r="275" spans="10:41" x14ac:dyDescent="0.3">
      <c r="J275" s="9"/>
      <c r="K275" s="8"/>
      <c r="L275" s="8"/>
      <c r="M275" s="8"/>
      <c r="N275" s="8"/>
      <c r="O275" s="8"/>
      <c r="Q275" s="9" t="str">
        <v/>
      </c>
      <c r="R275" s="9" t="str">
        <v/>
      </c>
      <c r="S275" s="9" t="str">
        <v/>
      </c>
      <c r="T275" s="9" t="str">
        <v/>
      </c>
      <c r="U275" s="9" t="str">
        <v/>
      </c>
      <c r="W275" s="25"/>
      <c r="X275" s="25"/>
      <c r="Y275" s="25"/>
      <c r="Z275" s="25"/>
      <c r="AA275" s="25"/>
      <c r="AH275" s="5"/>
      <c r="AI275" s="5"/>
      <c r="AO275" s="5"/>
    </row>
    <row r="276" spans="10:41" x14ac:dyDescent="0.3">
      <c r="J276" s="25"/>
      <c r="K276" s="8"/>
      <c r="L276" s="8"/>
      <c r="M276" s="8"/>
      <c r="N276" s="8"/>
      <c r="O276" s="8"/>
      <c r="Q276" s="9" t="str">
        <v/>
      </c>
      <c r="R276" s="9" t="str">
        <v/>
      </c>
      <c r="S276" s="9" t="str">
        <v/>
      </c>
      <c r="T276" s="9" t="str">
        <v/>
      </c>
      <c r="U276" s="9" t="str">
        <v/>
      </c>
      <c r="W276" s="25"/>
      <c r="X276" s="25"/>
      <c r="Y276" s="25"/>
      <c r="Z276" s="25"/>
      <c r="AA276" s="25"/>
      <c r="AH276" s="5"/>
      <c r="AI276" s="5"/>
      <c r="AO276" s="5"/>
    </row>
    <row r="277" spans="10:41" x14ac:dyDescent="0.3">
      <c r="J277" s="9"/>
      <c r="K277" s="8"/>
      <c r="L277" s="8"/>
      <c r="M277" s="8"/>
      <c r="N277" s="8"/>
      <c r="O277" s="8"/>
      <c r="Q277" s="9" t="str">
        <v/>
      </c>
      <c r="R277" s="9" t="str">
        <v/>
      </c>
      <c r="S277" s="9" t="str">
        <v/>
      </c>
      <c r="T277" s="9" t="str">
        <v/>
      </c>
      <c r="U277" s="9" t="str">
        <v/>
      </c>
      <c r="W277" s="25"/>
      <c r="X277" s="25"/>
      <c r="Y277" s="25"/>
      <c r="Z277" s="25"/>
      <c r="AA277" s="25"/>
      <c r="AH277" s="5"/>
      <c r="AI277" s="5"/>
      <c r="AO277" s="5"/>
    </row>
    <row r="278" spans="10:41" x14ac:dyDescent="0.3">
      <c r="J278" s="25"/>
      <c r="K278" s="8"/>
      <c r="L278" s="8"/>
      <c r="M278" s="8"/>
      <c r="N278" s="8"/>
      <c r="O278" s="8"/>
      <c r="Q278" s="9" t="str">
        <v/>
      </c>
      <c r="R278" s="9" t="str">
        <v/>
      </c>
      <c r="S278" s="9" t="str">
        <v/>
      </c>
      <c r="T278" s="9" t="str">
        <v/>
      </c>
      <c r="U278" s="9" t="str">
        <v/>
      </c>
      <c r="W278" s="25"/>
      <c r="X278" s="25"/>
      <c r="Y278" s="25"/>
      <c r="Z278" s="25"/>
      <c r="AA278" s="25"/>
      <c r="AH278" s="5"/>
      <c r="AI278" s="5"/>
      <c r="AO278" s="5"/>
    </row>
    <row r="279" spans="10:41" x14ac:dyDescent="0.3">
      <c r="J279" s="9"/>
      <c r="K279" s="8"/>
      <c r="L279" s="8"/>
      <c r="M279" s="8"/>
      <c r="N279" s="8"/>
      <c r="O279" s="8"/>
      <c r="Q279" s="9" t="str">
        <v/>
      </c>
      <c r="R279" s="9" t="str">
        <v/>
      </c>
      <c r="S279" s="9" t="str">
        <v/>
      </c>
      <c r="T279" s="9" t="str">
        <v/>
      </c>
      <c r="U279" s="9" t="str">
        <v/>
      </c>
      <c r="W279" s="25"/>
      <c r="X279" s="25"/>
      <c r="Y279" s="25"/>
      <c r="Z279" s="25"/>
      <c r="AA279" s="25"/>
      <c r="AH279" s="5"/>
      <c r="AI279" s="5"/>
      <c r="AO279" s="5"/>
    </row>
    <row r="280" spans="10:41" x14ac:dyDescent="0.3">
      <c r="J280" s="25"/>
      <c r="K280" s="8"/>
      <c r="L280" s="8"/>
      <c r="M280" s="8"/>
      <c r="N280" s="8"/>
      <c r="O280" s="8"/>
      <c r="Q280" s="9" t="str">
        <v/>
      </c>
      <c r="R280" s="9" t="str">
        <v/>
      </c>
      <c r="S280" s="9" t="str">
        <v/>
      </c>
      <c r="T280" s="9" t="str">
        <v/>
      </c>
      <c r="U280" s="9" t="str">
        <v/>
      </c>
      <c r="W280" s="25"/>
      <c r="X280" s="25"/>
      <c r="Y280" s="25"/>
      <c r="Z280" s="25"/>
      <c r="AA280" s="25"/>
      <c r="AH280" s="5"/>
      <c r="AI280" s="5"/>
      <c r="AO280" s="5"/>
    </row>
    <row r="281" spans="10:41" x14ac:dyDescent="0.3">
      <c r="J281" s="9"/>
      <c r="K281" s="8"/>
      <c r="L281" s="8"/>
      <c r="M281" s="8"/>
      <c r="N281" s="8"/>
      <c r="O281" s="8"/>
      <c r="Q281" s="9" t="str">
        <v/>
      </c>
      <c r="R281" s="9" t="str">
        <v/>
      </c>
      <c r="S281" s="9" t="str">
        <v/>
      </c>
      <c r="T281" s="9" t="str">
        <v/>
      </c>
      <c r="U281" s="9" t="str">
        <v/>
      </c>
      <c r="W281" s="25"/>
      <c r="X281" s="25"/>
      <c r="Y281" s="25"/>
      <c r="Z281" s="25"/>
      <c r="AA281" s="25"/>
      <c r="AH281" s="5"/>
      <c r="AI281" s="5"/>
      <c r="AO281" s="5"/>
    </row>
    <row r="282" spans="10:41" x14ac:dyDescent="0.3">
      <c r="J282" s="25"/>
      <c r="K282" s="8"/>
      <c r="L282" s="8"/>
      <c r="M282" s="8"/>
      <c r="N282" s="8"/>
      <c r="O282" s="8"/>
      <c r="Q282" s="9" t="str">
        <v/>
      </c>
      <c r="R282" s="9" t="str">
        <v/>
      </c>
      <c r="S282" s="9" t="str">
        <v/>
      </c>
      <c r="T282" s="9" t="str">
        <v/>
      </c>
      <c r="U282" s="9" t="str">
        <v/>
      </c>
      <c r="W282" s="25"/>
      <c r="X282" s="25"/>
      <c r="Y282" s="25"/>
      <c r="Z282" s="25"/>
      <c r="AA282" s="25"/>
      <c r="AH282" s="5"/>
      <c r="AI282" s="5"/>
      <c r="AO282" s="5"/>
    </row>
    <row r="283" spans="10:41" x14ac:dyDescent="0.3">
      <c r="J283" s="9"/>
      <c r="K283" s="8"/>
      <c r="L283" s="8"/>
      <c r="M283" s="8"/>
      <c r="N283" s="8"/>
      <c r="O283" s="8"/>
      <c r="Q283" s="9" t="str">
        <v/>
      </c>
      <c r="R283" s="9" t="str">
        <v/>
      </c>
      <c r="S283" s="9" t="str">
        <v/>
      </c>
      <c r="T283" s="9" t="str">
        <v/>
      </c>
      <c r="U283" s="9" t="str">
        <v/>
      </c>
      <c r="W283" s="25"/>
      <c r="X283" s="25"/>
      <c r="Y283" s="25"/>
      <c r="Z283" s="25"/>
      <c r="AA283" s="25"/>
      <c r="AH283" s="5"/>
      <c r="AI283" s="5"/>
      <c r="AO283" s="5"/>
    </row>
    <row r="284" spans="10:41" x14ac:dyDescent="0.3">
      <c r="J284" s="25"/>
      <c r="K284" s="8"/>
      <c r="L284" s="8"/>
      <c r="M284" s="8"/>
      <c r="N284" s="8"/>
      <c r="O284" s="8"/>
      <c r="Q284" s="9" t="str">
        <v/>
      </c>
      <c r="R284" s="9" t="str">
        <v/>
      </c>
      <c r="S284" s="9" t="str">
        <v/>
      </c>
      <c r="T284" s="9" t="str">
        <v/>
      </c>
      <c r="U284" s="9" t="str">
        <v/>
      </c>
      <c r="W284" s="25"/>
      <c r="X284" s="25"/>
      <c r="Y284" s="25"/>
      <c r="Z284" s="25"/>
      <c r="AA284" s="25"/>
      <c r="AH284" s="5"/>
      <c r="AI284" s="5"/>
      <c r="AO284" s="5"/>
    </row>
    <row r="285" spans="10:41" x14ac:dyDescent="0.3">
      <c r="J285" s="9"/>
      <c r="K285" s="8"/>
      <c r="L285" s="8"/>
      <c r="M285" s="8"/>
      <c r="N285" s="8"/>
      <c r="O285" s="8"/>
      <c r="Q285" s="9" t="str">
        <v/>
      </c>
      <c r="R285" s="9" t="str">
        <v/>
      </c>
      <c r="S285" s="9" t="str">
        <v/>
      </c>
      <c r="T285" s="9" t="str">
        <v/>
      </c>
      <c r="U285" s="9" t="str">
        <v/>
      </c>
      <c r="W285" s="25"/>
      <c r="X285" s="25"/>
      <c r="Y285" s="25"/>
      <c r="Z285" s="25"/>
      <c r="AA285" s="25"/>
      <c r="AH285" s="5"/>
      <c r="AI285" s="5"/>
      <c r="AO285" s="5"/>
    </row>
    <row r="286" spans="10:41" x14ac:dyDescent="0.3">
      <c r="J286" s="25"/>
      <c r="K286" s="8"/>
      <c r="L286" s="8"/>
      <c r="M286" s="8"/>
      <c r="N286" s="8"/>
      <c r="O286" s="8"/>
      <c r="Q286" s="9" t="str">
        <v/>
      </c>
      <c r="R286" s="9" t="str">
        <v/>
      </c>
      <c r="S286" s="9" t="str">
        <v/>
      </c>
      <c r="T286" s="9" t="str">
        <v/>
      </c>
      <c r="U286" s="9" t="str">
        <v/>
      </c>
      <c r="W286" s="25"/>
      <c r="X286" s="25"/>
      <c r="Y286" s="25"/>
      <c r="Z286" s="25"/>
      <c r="AA286" s="25"/>
      <c r="AH286" s="5"/>
      <c r="AI286" s="5"/>
      <c r="AO286" s="5"/>
    </row>
    <row r="287" spans="10:41" x14ac:dyDescent="0.3">
      <c r="J287" s="9"/>
      <c r="K287" s="8"/>
      <c r="L287" s="8"/>
      <c r="M287" s="8"/>
      <c r="N287" s="8"/>
      <c r="O287" s="8"/>
      <c r="Q287" s="9" t="str">
        <v/>
      </c>
      <c r="R287" s="9" t="str">
        <v/>
      </c>
      <c r="S287" s="9" t="str">
        <v/>
      </c>
      <c r="T287" s="9" t="str">
        <v/>
      </c>
      <c r="U287" s="9" t="str">
        <v/>
      </c>
      <c r="W287" s="25"/>
      <c r="X287" s="25"/>
      <c r="Y287" s="25"/>
      <c r="Z287" s="25"/>
      <c r="AA287" s="25"/>
      <c r="AH287" s="5"/>
      <c r="AI287" s="5"/>
      <c r="AO287" s="5"/>
    </row>
    <row r="288" spans="10:41" x14ac:dyDescent="0.3">
      <c r="J288" s="25"/>
      <c r="K288" s="8"/>
      <c r="L288" s="8"/>
      <c r="M288" s="8"/>
      <c r="N288" s="8"/>
      <c r="O288" s="8"/>
      <c r="Q288" s="9" t="str">
        <v/>
      </c>
      <c r="R288" s="9" t="str">
        <v/>
      </c>
      <c r="S288" s="9" t="str">
        <v/>
      </c>
      <c r="T288" s="9" t="str">
        <v/>
      </c>
      <c r="U288" s="9" t="str">
        <v/>
      </c>
      <c r="W288" s="25"/>
      <c r="X288" s="25"/>
      <c r="Y288" s="25"/>
      <c r="Z288" s="25"/>
      <c r="AA288" s="25"/>
      <c r="AH288" s="5"/>
      <c r="AI288" s="5"/>
      <c r="AO288" s="5"/>
    </row>
    <row r="289" spans="10:41" x14ac:dyDescent="0.3">
      <c r="J289" s="9"/>
      <c r="K289" s="8"/>
      <c r="L289" s="8"/>
      <c r="M289" s="8"/>
      <c r="N289" s="8"/>
      <c r="O289" s="8"/>
      <c r="Q289" s="9" t="str">
        <v/>
      </c>
      <c r="R289" s="9" t="str">
        <v/>
      </c>
      <c r="S289" s="9" t="str">
        <v/>
      </c>
      <c r="T289" s="9" t="str">
        <v/>
      </c>
      <c r="U289" s="9" t="str">
        <v/>
      </c>
      <c r="W289" s="25"/>
      <c r="X289" s="25"/>
      <c r="Y289" s="25"/>
      <c r="Z289" s="25"/>
      <c r="AA289" s="25"/>
      <c r="AH289" s="5"/>
      <c r="AI289" s="5"/>
      <c r="AO289" s="5"/>
    </row>
    <row r="290" spans="10:41" x14ac:dyDescent="0.3">
      <c r="J290" s="25"/>
      <c r="K290" s="8"/>
      <c r="L290" s="8"/>
      <c r="M290" s="8"/>
      <c r="N290" s="8"/>
      <c r="O290" s="8"/>
      <c r="Q290" s="9" t="str">
        <v/>
      </c>
      <c r="R290" s="9" t="str">
        <v/>
      </c>
      <c r="S290" s="9" t="str">
        <v/>
      </c>
      <c r="T290" s="9" t="str">
        <v/>
      </c>
      <c r="U290" s="9" t="str">
        <v/>
      </c>
      <c r="W290" s="25"/>
      <c r="X290" s="25"/>
      <c r="Y290" s="25"/>
      <c r="Z290" s="25"/>
      <c r="AA290" s="25"/>
      <c r="AH290" s="5"/>
      <c r="AI290" s="5"/>
      <c r="AO290" s="5"/>
    </row>
    <row r="291" spans="10:41" x14ac:dyDescent="0.3">
      <c r="J291" s="9"/>
      <c r="K291" s="8"/>
      <c r="L291" s="8"/>
      <c r="M291" s="8"/>
      <c r="N291" s="8"/>
      <c r="O291" s="8"/>
      <c r="Q291" s="9" t="str">
        <v/>
      </c>
      <c r="R291" s="9" t="str">
        <v/>
      </c>
      <c r="S291" s="9" t="str">
        <v/>
      </c>
      <c r="T291" s="9" t="str">
        <v/>
      </c>
      <c r="U291" s="9" t="str">
        <v/>
      </c>
      <c r="W291" s="25"/>
      <c r="X291" s="25"/>
      <c r="Y291" s="25"/>
      <c r="Z291" s="25"/>
      <c r="AA291" s="25"/>
      <c r="AH291" s="5"/>
      <c r="AI291" s="5"/>
      <c r="AO291" s="5"/>
    </row>
    <row r="292" spans="10:41" x14ac:dyDescent="0.3">
      <c r="J292" s="25"/>
      <c r="K292" s="8"/>
      <c r="L292" s="8"/>
      <c r="M292" s="8"/>
      <c r="N292" s="8"/>
      <c r="O292" s="8"/>
      <c r="Q292" s="9" t="str">
        <v/>
      </c>
      <c r="R292" s="9" t="str">
        <v/>
      </c>
      <c r="S292" s="9" t="str">
        <v/>
      </c>
      <c r="T292" s="9" t="str">
        <v/>
      </c>
      <c r="U292" s="9" t="str">
        <v/>
      </c>
      <c r="W292" s="25"/>
      <c r="X292" s="25"/>
      <c r="Y292" s="25"/>
      <c r="Z292" s="25"/>
      <c r="AA292" s="25"/>
      <c r="AH292" s="5"/>
      <c r="AI292" s="5"/>
      <c r="AO292" s="5"/>
    </row>
    <row r="293" spans="10:41" x14ac:dyDescent="0.3">
      <c r="J293" s="9"/>
      <c r="K293" s="8"/>
      <c r="L293" s="8"/>
      <c r="M293" s="8"/>
      <c r="N293" s="8"/>
      <c r="O293" s="8"/>
      <c r="Q293" s="9" t="str">
        <v/>
      </c>
      <c r="R293" s="9" t="str">
        <v/>
      </c>
      <c r="S293" s="9" t="str">
        <v/>
      </c>
      <c r="T293" s="9" t="str">
        <v/>
      </c>
      <c r="U293" s="9" t="str">
        <v/>
      </c>
      <c r="W293" s="25"/>
      <c r="X293" s="25"/>
      <c r="Y293" s="25"/>
      <c r="Z293" s="25"/>
      <c r="AA293" s="25"/>
      <c r="AH293" s="5"/>
      <c r="AI293" s="5"/>
      <c r="AO293" s="5"/>
    </row>
    <row r="294" spans="10:41" x14ac:dyDescent="0.3">
      <c r="J294" s="9"/>
      <c r="K294" s="8"/>
      <c r="L294" s="8"/>
      <c r="M294" s="8"/>
      <c r="N294" s="8"/>
      <c r="O294" s="8"/>
      <c r="Q294" s="9" t="str">
        <v/>
      </c>
      <c r="R294" s="9" t="str">
        <v/>
      </c>
      <c r="S294" s="9" t="str">
        <v/>
      </c>
      <c r="T294" s="9" t="str">
        <v/>
      </c>
      <c r="U294" s="9" t="str">
        <v/>
      </c>
      <c r="W294" s="25"/>
      <c r="X294" s="25"/>
      <c r="Y294" s="25"/>
      <c r="Z294" s="25"/>
      <c r="AA294" s="25"/>
      <c r="AH294" s="5"/>
      <c r="AI294" s="5"/>
      <c r="AO294" s="5"/>
    </row>
    <row r="295" spans="10:41" x14ac:dyDescent="0.3">
      <c r="J295" s="9"/>
      <c r="K295" s="8"/>
      <c r="L295" s="8"/>
      <c r="M295" s="8"/>
      <c r="N295" s="8"/>
      <c r="O295" s="8"/>
      <c r="Q295" s="9" t="str">
        <v/>
      </c>
      <c r="R295" s="9" t="str">
        <v/>
      </c>
      <c r="S295" s="9" t="str">
        <v/>
      </c>
      <c r="T295" s="9" t="str">
        <v/>
      </c>
      <c r="U295" s="9" t="str">
        <v/>
      </c>
      <c r="W295" s="25"/>
      <c r="X295" s="25"/>
      <c r="Y295" s="25"/>
      <c r="Z295" s="25"/>
      <c r="AA295" s="25"/>
      <c r="AH295" s="5"/>
      <c r="AI295" s="5"/>
      <c r="AO295" s="5"/>
    </row>
    <row r="296" spans="10:41" x14ac:dyDescent="0.3">
      <c r="J296" s="9"/>
      <c r="K296" s="8"/>
      <c r="L296" s="8"/>
      <c r="M296" s="8"/>
      <c r="N296" s="8"/>
      <c r="O296" s="8"/>
      <c r="Q296" s="9" t="str">
        <v/>
      </c>
      <c r="R296" s="9" t="str">
        <v/>
      </c>
      <c r="S296" s="9" t="str">
        <v/>
      </c>
      <c r="T296" s="9" t="str">
        <v/>
      </c>
      <c r="U296" s="9" t="str">
        <v/>
      </c>
      <c r="W296" s="25"/>
      <c r="X296" s="25"/>
      <c r="Y296" s="25"/>
      <c r="Z296" s="25"/>
      <c r="AA296" s="25"/>
      <c r="AH296" s="5"/>
      <c r="AI296" s="5"/>
      <c r="AO296" s="5"/>
    </row>
    <row r="297" spans="10:41" x14ac:dyDescent="0.3">
      <c r="J297" s="9"/>
      <c r="K297" s="8"/>
      <c r="L297" s="8"/>
      <c r="M297" s="8"/>
      <c r="N297" s="8"/>
      <c r="O297" s="8"/>
      <c r="Q297" s="9" t="str">
        <v/>
      </c>
      <c r="R297" s="9" t="str">
        <v/>
      </c>
      <c r="S297" s="9" t="str">
        <v/>
      </c>
      <c r="T297" s="9" t="str">
        <v/>
      </c>
      <c r="U297" s="9" t="str">
        <v/>
      </c>
      <c r="W297" s="25"/>
      <c r="X297" s="25"/>
      <c r="Y297" s="25"/>
      <c r="Z297" s="25"/>
      <c r="AA297" s="25"/>
      <c r="AH297" s="5"/>
      <c r="AI297" s="5"/>
      <c r="AO297" s="5"/>
    </row>
    <row r="298" spans="10:41" x14ac:dyDescent="0.3">
      <c r="J298" s="9"/>
      <c r="K298" s="8"/>
      <c r="L298" s="8"/>
      <c r="M298" s="8"/>
      <c r="N298" s="8"/>
      <c r="O298" s="8"/>
      <c r="Q298" s="9" t="str">
        <v/>
      </c>
      <c r="R298" s="9" t="str">
        <v/>
      </c>
      <c r="S298" s="9" t="str">
        <v/>
      </c>
      <c r="T298" s="9" t="str">
        <v/>
      </c>
      <c r="U298" s="9" t="str">
        <v/>
      </c>
      <c r="W298" s="25"/>
      <c r="X298" s="25"/>
      <c r="Y298" s="25"/>
      <c r="Z298" s="25"/>
      <c r="AA298" s="25"/>
      <c r="AH298" s="5"/>
      <c r="AI298" s="5"/>
      <c r="AO298" s="5"/>
    </row>
    <row r="299" spans="10:41" x14ac:dyDescent="0.3">
      <c r="J299" s="9"/>
      <c r="K299" s="8"/>
      <c r="L299" s="8"/>
      <c r="M299" s="8"/>
      <c r="N299" s="8"/>
      <c r="O299" s="8"/>
      <c r="Q299" s="9" t="str">
        <v/>
      </c>
      <c r="R299" s="9" t="str">
        <v/>
      </c>
      <c r="S299" s="9" t="str">
        <v/>
      </c>
      <c r="T299" s="9" t="str">
        <v/>
      </c>
      <c r="U299" s="9" t="str">
        <v/>
      </c>
      <c r="W299" s="25"/>
      <c r="X299" s="25"/>
      <c r="Y299" s="25"/>
      <c r="Z299" s="25"/>
      <c r="AA299" s="25"/>
      <c r="AH299" s="5"/>
      <c r="AI299" s="5"/>
      <c r="AO299" s="5"/>
    </row>
    <row r="300" spans="10:41" x14ac:dyDescent="0.3">
      <c r="J300" s="9"/>
      <c r="K300" s="8"/>
      <c r="L300" s="8"/>
      <c r="M300" s="8"/>
      <c r="N300" s="8"/>
      <c r="O300" s="8"/>
      <c r="Q300" s="9" t="str">
        <v/>
      </c>
      <c r="R300" s="9" t="str">
        <v/>
      </c>
      <c r="S300" s="9" t="str">
        <v/>
      </c>
      <c r="T300" s="9" t="str">
        <v/>
      </c>
      <c r="U300" s="9" t="str">
        <v/>
      </c>
      <c r="W300" s="25"/>
      <c r="X300" s="25"/>
      <c r="Y300" s="25"/>
      <c r="Z300" s="25"/>
      <c r="AA300" s="25"/>
      <c r="AH300" s="5"/>
      <c r="AI300" s="5"/>
      <c r="AO300" s="5"/>
    </row>
    <row r="301" spans="10:41" x14ac:dyDescent="0.3">
      <c r="J301" s="9"/>
      <c r="K301" s="8"/>
      <c r="L301" s="8"/>
      <c r="M301" s="8"/>
      <c r="N301" s="8"/>
      <c r="O301" s="8"/>
      <c r="Q301" s="9" t="str">
        <v/>
      </c>
      <c r="R301" s="9" t="str">
        <v/>
      </c>
      <c r="S301" s="9" t="str">
        <v/>
      </c>
      <c r="T301" s="9" t="str">
        <v/>
      </c>
      <c r="U301" s="9" t="str">
        <v/>
      </c>
      <c r="W301" s="25"/>
      <c r="X301" s="25"/>
      <c r="Y301" s="25"/>
      <c r="Z301" s="25"/>
      <c r="AA301" s="25"/>
      <c r="AH301" s="5"/>
      <c r="AI301" s="5"/>
      <c r="AO301" s="5"/>
    </row>
    <row r="302" spans="10:41" x14ac:dyDescent="0.3">
      <c r="J302" s="9"/>
      <c r="K302" s="8"/>
      <c r="L302" s="8"/>
      <c r="M302" s="8"/>
      <c r="N302" s="8"/>
      <c r="O302" s="8"/>
      <c r="Q302" s="9" t="str">
        <v/>
      </c>
      <c r="R302" s="9" t="str">
        <v/>
      </c>
      <c r="S302" s="9" t="str">
        <v/>
      </c>
      <c r="T302" s="9" t="str">
        <v/>
      </c>
      <c r="U302" s="9" t="str">
        <v/>
      </c>
      <c r="W302" s="25"/>
      <c r="X302" s="25"/>
      <c r="Y302" s="25"/>
      <c r="Z302" s="25"/>
      <c r="AA302" s="25"/>
      <c r="AH302" s="5"/>
      <c r="AI302" s="5"/>
      <c r="AO302" s="5"/>
    </row>
    <row r="303" spans="10:41" x14ac:dyDescent="0.3">
      <c r="J303" s="9"/>
      <c r="K303" s="8"/>
      <c r="L303" s="8"/>
      <c r="M303" s="8"/>
      <c r="N303" s="8"/>
      <c r="O303" s="8"/>
      <c r="Q303" s="9" t="str">
        <v/>
      </c>
      <c r="R303" s="9" t="str">
        <v/>
      </c>
      <c r="S303" s="9" t="str">
        <v/>
      </c>
      <c r="T303" s="9" t="str">
        <v/>
      </c>
      <c r="U303" s="9" t="str">
        <v/>
      </c>
      <c r="W303" s="25"/>
      <c r="X303" s="25"/>
      <c r="Y303" s="25"/>
      <c r="Z303" s="25"/>
      <c r="AA303" s="25"/>
      <c r="AH303" s="5"/>
      <c r="AI303" s="5"/>
      <c r="AO303" s="5"/>
    </row>
    <row r="304" spans="10:41" x14ac:dyDescent="0.3">
      <c r="J304" s="9"/>
      <c r="K304" s="8"/>
      <c r="L304" s="8"/>
      <c r="M304" s="8"/>
      <c r="N304" s="8"/>
      <c r="O304" s="8"/>
      <c r="Q304" s="9" t="str">
        <v/>
      </c>
      <c r="R304" s="9" t="str">
        <v/>
      </c>
      <c r="S304" s="9" t="str">
        <v/>
      </c>
      <c r="T304" s="9" t="str">
        <v/>
      </c>
      <c r="U304" s="9" t="str">
        <v/>
      </c>
      <c r="W304" s="25"/>
      <c r="X304" s="25"/>
      <c r="Y304" s="25"/>
      <c r="Z304" s="25"/>
      <c r="AA304" s="25"/>
      <c r="AH304" s="5"/>
      <c r="AI304" s="5"/>
      <c r="AO304" s="5"/>
    </row>
    <row r="305" spans="34:34" x14ac:dyDescent="0.3">
      <c r="AH305" s="5"/>
    </row>
  </sheetData>
  <phoneticPr fontId="20" type="noConversion"/>
  <conditionalFormatting sqref="X4:AA4 W5:AA304">
    <cfRule type="expression" dxfId="37" priority="45">
      <formula>_xlfn.LET(_xlpm.x, W4, AND(NOT(_xlfn.ISFORMULA(_xlpm.x)), _xlpm.x&lt;&gt;""))</formula>
    </cfRule>
  </conditionalFormatting>
  <conditionalFormatting sqref="W4:AA203">
    <cfRule type="expression" dxfId="36" priority="40">
      <formula>_xlfn.LET(_xlpm.x, W4, AND(NOT(_xlfn.ISFORMULA(_xlpm.x)), _xlpm.x&lt;&gt;""))</formula>
    </cfRule>
  </conditionalFormatting>
  <conditionalFormatting sqref="K1:O1048576">
    <cfRule type="cellIs" dxfId="35" priority="15" operator="equal">
      <formula>"C1"</formula>
    </cfRule>
    <cfRule type="cellIs" dxfId="34" priority="16" operator="between">
      <formula>"G1"</formula>
      <formula>"G5"</formula>
    </cfRule>
    <cfRule type="cellIs" dxfId="33" priority="18" operator="between">
      <formula>"M1"</formula>
      <formula>"M5"</formula>
    </cfRule>
  </conditionalFormatting>
  <conditionalFormatting sqref="C28:G28 D27:G27 C31:G46 C29:C30 G29:G3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{D2474962-EDC7-4688-963E-132EFE7A6C1F}</x14:id>
        </ext>
      </extLst>
    </cfRule>
  </conditionalFormatting>
  <conditionalFormatting sqref="D52:D54">
    <cfRule type="cellIs" dxfId="32" priority="10" operator="equal">
      <formula>"C1"</formula>
    </cfRule>
    <cfRule type="cellIs" dxfId="31" priority="11" operator="between">
      <formula>"G1"</formula>
      <formula>"G4"</formula>
    </cfRule>
    <cfRule type="cellIs" dxfId="30" priority="12" operator="between">
      <formula>"GA"</formula>
      <formula>"GQ"</formula>
    </cfRule>
    <cfRule type="cellIs" dxfId="29" priority="13" operator="between">
      <formula>"M1"</formula>
      <formula>"M4"</formula>
    </cfRule>
  </conditionalFormatting>
  <conditionalFormatting sqref="E52:E54">
    <cfRule type="cellIs" dxfId="28" priority="6" operator="equal">
      <formula>"C1"</formula>
    </cfRule>
    <cfRule type="cellIs" dxfId="27" priority="7" operator="between">
      <formula>"G1"</formula>
      <formula>"G4"</formula>
    </cfRule>
    <cfRule type="cellIs" dxfId="26" priority="8" operator="between">
      <formula>"GA"</formula>
      <formula>"GQ"</formula>
    </cfRule>
    <cfRule type="cellIs" dxfId="25" priority="9" operator="between">
      <formula>"M1"</formula>
      <formula>"M4"</formula>
    </cfRule>
  </conditionalFormatting>
  <conditionalFormatting sqref="F52:F54">
    <cfRule type="cellIs" dxfId="24" priority="2" operator="equal">
      <formula>"C1"</formula>
    </cfRule>
    <cfRule type="cellIs" dxfId="23" priority="3" operator="between">
      <formula>"G1"</formula>
      <formula>"G4"</formula>
    </cfRule>
    <cfRule type="cellIs" dxfId="22" priority="4" operator="between">
      <formula>"GA"</formula>
      <formula>"GQ"</formula>
    </cfRule>
    <cfRule type="cellIs" dxfId="21" priority="5" operator="between">
      <formula>"M1"</formula>
      <formula>"M4"</formula>
    </cfRule>
  </conditionalFormatting>
  <conditionalFormatting sqref="D29:F3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{6C8F4B8E-1F6A-46F3-965C-D29110784093}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474962-EDC7-4688-963E-132EFE7A6C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D27:G27 C31:G46 C29:C30 G29:G30</xm:sqref>
        </x14:conditionalFormatting>
        <x14:conditionalFormatting xmlns:xm="http://schemas.microsoft.com/office/excel/2006/main">
          <x14:cfRule type="dataBar" id="{6C8F4B8E-1F6A-46F3-965C-D291107840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D29:F30</xm:sqref>
        </x14:conditionalFormatting>
        <x14:conditionalFormatting xmlns:xm="http://schemas.microsoft.com/office/excel/2006/main">
          <x14:cfRule type="containsText" priority="17" operator="containsText" id="{C403B559-99DF-42D7-BD38-134FE92298D7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2F293-373B-4F9E-BEE0-B02CAC8D3F43}">
  <sheetPr codeName="工作表14"/>
  <dimension ref="B2:AW96"/>
  <sheetViews>
    <sheetView topLeftCell="A7" workbookViewId="0"/>
  </sheetViews>
  <sheetFormatPr defaultRowHeight="15.6" x14ac:dyDescent="0.3"/>
  <cols>
    <col min="1" max="1" width="8.88671875" style="17"/>
    <col min="2" max="2" width="9" style="17" hidden="1" customWidth="1"/>
    <col min="3" max="5" width="9.6640625" style="17" hidden="1" customWidth="1"/>
    <col min="6" max="6" width="0" style="17" hidden="1" customWidth="1"/>
    <col min="7" max="7" width="21.21875" style="17" hidden="1" customWidth="1"/>
    <col min="8" max="8" width="11" style="17" hidden="1" customWidth="1"/>
    <col min="9" max="9" width="9.5546875" style="17" hidden="1" customWidth="1"/>
    <col min="10" max="10" width="21.21875" style="17" hidden="1" customWidth="1"/>
    <col min="11" max="11" width="9.6640625" style="17" hidden="1" customWidth="1"/>
    <col min="12" max="12" width="9.5546875" style="17" hidden="1" customWidth="1"/>
    <col min="13" max="13" width="10.44140625" style="17" bestFit="1" customWidth="1"/>
    <col min="14" max="17" width="9.77734375" style="17" customWidth="1"/>
    <col min="18" max="18" width="9.5546875" style="17" bestFit="1" customWidth="1"/>
    <col min="19" max="19" width="10.44140625" style="17" bestFit="1" customWidth="1"/>
    <col min="20" max="23" width="9.77734375" style="17" customWidth="1"/>
    <col min="24" max="24" width="9.5546875" style="17" bestFit="1" customWidth="1"/>
    <col min="25" max="28" width="11" style="17" customWidth="1"/>
    <col min="29" max="31" width="11.21875" style="17" customWidth="1"/>
    <col min="32" max="32" width="8.88671875" style="17"/>
    <col min="33" max="35" width="11.21875" style="17" customWidth="1"/>
    <col min="36" max="16384" width="8.88671875" style="17"/>
  </cols>
  <sheetData>
    <row r="2" spans="2:31" x14ac:dyDescent="0.3">
      <c r="B2" s="17" t="s">
        <v>170</v>
      </c>
      <c r="F2" s="168">
        <f>Parameter!L5+Parameter!L7</f>
        <v>0.89999999999999991</v>
      </c>
      <c r="G2" s="168">
        <f>Parameter!L6</f>
        <v>0.1</v>
      </c>
      <c r="M2" s="17" t="s">
        <v>169</v>
      </c>
      <c r="S2" s="17" t="s">
        <v>248</v>
      </c>
    </row>
    <row r="3" spans="2:31" x14ac:dyDescent="0.3">
      <c r="B3" s="135" t="s">
        <v>71</v>
      </c>
      <c r="C3" s="135" t="s">
        <v>169</v>
      </c>
      <c r="D3" s="135" t="s">
        <v>236</v>
      </c>
      <c r="E3" s="135" t="s">
        <v>237</v>
      </c>
      <c r="M3" s="143" t="s">
        <v>241</v>
      </c>
      <c r="N3" s="143" t="s">
        <v>109</v>
      </c>
      <c r="O3" s="143" t="s">
        <v>110</v>
      </c>
      <c r="P3" s="143" t="s">
        <v>239</v>
      </c>
      <c r="Q3" s="143" t="s">
        <v>240</v>
      </c>
      <c r="S3" s="143" t="s">
        <v>241</v>
      </c>
      <c r="T3" s="143" t="s">
        <v>109</v>
      </c>
      <c r="U3" s="143" t="s">
        <v>110</v>
      </c>
      <c r="V3" s="143" t="s">
        <v>239</v>
      </c>
      <c r="W3" s="143" t="s">
        <v>240</v>
      </c>
      <c r="Y3" s="17" t="s">
        <v>249</v>
      </c>
      <c r="Z3" s="17" t="s">
        <v>250</v>
      </c>
      <c r="AA3" s="17" t="s">
        <v>110</v>
      </c>
    </row>
    <row r="4" spans="2:31" x14ac:dyDescent="0.3">
      <c r="B4" s="124">
        <v>0</v>
      </c>
      <c r="C4" s="169">
        <v>0.12890728185260192</v>
      </c>
      <c r="D4" s="172">
        <v>0.17979999999999999</v>
      </c>
      <c r="E4" s="172">
        <v>0</v>
      </c>
      <c r="F4" s="163" cm="1">
        <f t="array" ref="F4:F13">D4:D13*F2+E4:E13*G2</f>
        <v>0.16181999999999996</v>
      </c>
      <c r="G4" s="17">
        <v>0</v>
      </c>
      <c r="H4" s="163" cm="1">
        <f t="array" ref="H4:H13">G4:G13/10000</f>
        <v>0</v>
      </c>
      <c r="M4" s="179">
        <v>0</v>
      </c>
      <c r="N4" s="178">
        <v>0.12890728185260192</v>
      </c>
      <c r="O4" s="178">
        <v>5.6827150749802685E-2</v>
      </c>
      <c r="P4" s="178">
        <v>0.1214574898785425</v>
      </c>
      <c r="Q4" s="178">
        <v>0.14634146341463414</v>
      </c>
      <c r="S4" s="179">
        <v>0</v>
      </c>
      <c r="T4" s="178">
        <v>0.14598406999999999</v>
      </c>
      <c r="U4" s="178">
        <v>0</v>
      </c>
      <c r="V4" s="178">
        <v>0</v>
      </c>
      <c r="W4" s="178">
        <v>0</v>
      </c>
    </row>
    <row r="5" spans="2:31" x14ac:dyDescent="0.3">
      <c r="B5" s="124">
        <v>1</v>
      </c>
      <c r="C5" s="169">
        <v>0.30351325173901561</v>
      </c>
      <c r="D5" s="172">
        <v>0.35339999999999999</v>
      </c>
      <c r="E5" s="172">
        <v>0</v>
      </c>
      <c r="F5" s="163">
        <v>0.31805999999999995</v>
      </c>
      <c r="G5" s="17" cm="1">
        <f t="array" ref="G5:G13">TRANSPOSE(Parameter!AD5:AL5)</f>
        <v>300</v>
      </c>
      <c r="H5" s="163">
        <v>0.03</v>
      </c>
      <c r="M5" s="180">
        <v>1</v>
      </c>
      <c r="N5" s="162">
        <v>0.30351325173901561</v>
      </c>
      <c r="O5" s="162">
        <v>0.14601420678768745</v>
      </c>
      <c r="P5" s="162">
        <v>0.22672064777327935</v>
      </c>
      <c r="Q5" s="162">
        <v>0.3902439024390244</v>
      </c>
      <c r="S5" s="180">
        <v>1</v>
      </c>
      <c r="T5" s="162">
        <v>0.28520793999999999</v>
      </c>
      <c r="U5" s="162">
        <v>0</v>
      </c>
      <c r="V5" s="162">
        <v>0</v>
      </c>
      <c r="W5" s="162">
        <v>0</v>
      </c>
      <c r="Y5" s="17" cm="1">
        <f t="array" ref="Y5:Y13">TRANSPOSE(Parameter!AD5:AL5)</f>
        <v>300</v>
      </c>
      <c r="Z5" s="17" cm="1">
        <f t="array" ref="Z5:Z13">TRANSPOSE(Parameter!AD6:AL6)</f>
        <v>0</v>
      </c>
      <c r="AA5" s="17" cm="1">
        <f t="array" ref="AA5:AA13">TRANSPOSE(Parameter!AD8:AL8)</f>
        <v>0</v>
      </c>
      <c r="AC5" s="163" cm="1">
        <f t="array" ref="AC5:AC13">_xlfn.ANCHORARRAY(Y5)/10000</f>
        <v>0.03</v>
      </c>
      <c r="AD5" s="163" cm="1">
        <f t="array" ref="AD5:AD13">_xlfn.ANCHORARRAY(Z5)/10000</f>
        <v>0</v>
      </c>
      <c r="AE5" s="163" cm="1">
        <f t="array" ref="AE5:AE13">_xlfn.ANCHORARRAY(AA5)/10000</f>
        <v>0</v>
      </c>
    </row>
    <row r="6" spans="2:31" x14ac:dyDescent="0.3">
      <c r="B6" s="124">
        <v>2</v>
      </c>
      <c r="C6" s="169">
        <v>0.30338117460596986</v>
      </c>
      <c r="D6" s="172">
        <v>0.29630000000000001</v>
      </c>
      <c r="E6" s="172">
        <v>0</v>
      </c>
      <c r="F6" s="163">
        <v>0.26666999999999996</v>
      </c>
      <c r="G6" s="17">
        <v>600</v>
      </c>
      <c r="H6" s="163">
        <v>0.06</v>
      </c>
      <c r="M6" s="180">
        <v>2</v>
      </c>
      <c r="N6" s="162">
        <v>0.30338117460596986</v>
      </c>
      <c r="O6" s="162">
        <v>0.23993685872138912</v>
      </c>
      <c r="P6" s="162">
        <v>0.25506072874493929</v>
      </c>
      <c r="Q6" s="162">
        <v>0.26829268292682928</v>
      </c>
      <c r="S6" s="180">
        <v>2</v>
      </c>
      <c r="T6" s="162">
        <v>0.23496146000000001</v>
      </c>
      <c r="U6" s="162">
        <v>0</v>
      </c>
      <c r="V6" s="162">
        <v>0</v>
      </c>
      <c r="W6" s="162">
        <v>0</v>
      </c>
      <c r="Y6" s="17">
        <v>600</v>
      </c>
      <c r="Z6" s="17">
        <v>0</v>
      </c>
      <c r="AA6" s="17">
        <v>0</v>
      </c>
      <c r="AC6" s="163">
        <v>0.06</v>
      </c>
      <c r="AD6" s="163">
        <v>0</v>
      </c>
      <c r="AE6" s="163">
        <v>0</v>
      </c>
    </row>
    <row r="7" spans="2:31" x14ac:dyDescent="0.3">
      <c r="B7" s="124">
        <v>3</v>
      </c>
      <c r="C7" s="169">
        <v>0.18173813507088141</v>
      </c>
      <c r="D7" s="172">
        <v>0.13270000000000001</v>
      </c>
      <c r="E7" s="172">
        <v>0.17960000000000001</v>
      </c>
      <c r="F7" s="163">
        <v>0.13738999999999998</v>
      </c>
      <c r="G7" s="17">
        <v>1080</v>
      </c>
      <c r="H7" s="163">
        <v>0.108</v>
      </c>
      <c r="M7" s="180">
        <v>3</v>
      </c>
      <c r="N7" s="162">
        <v>0.18173813507088141</v>
      </c>
      <c r="O7" s="162">
        <v>0.24072612470402527</v>
      </c>
      <c r="P7" s="162">
        <v>0.20647773279352227</v>
      </c>
      <c r="Q7" s="162">
        <v>0.12195121951219512</v>
      </c>
      <c r="S7" s="180">
        <v>3</v>
      </c>
      <c r="T7" s="162">
        <v>0.1397775</v>
      </c>
      <c r="U7" s="162">
        <v>0.15779349005216739</v>
      </c>
      <c r="V7" s="162">
        <v>0.25674906076030962</v>
      </c>
      <c r="W7" s="162">
        <v>0.33335772101950278</v>
      </c>
      <c r="Y7" s="17">
        <v>1080</v>
      </c>
      <c r="Z7" s="17">
        <v>1050</v>
      </c>
      <c r="AA7" s="17">
        <v>525</v>
      </c>
      <c r="AC7" s="163">
        <v>0.108</v>
      </c>
      <c r="AD7" s="163">
        <v>0.105</v>
      </c>
      <c r="AE7" s="163">
        <v>5.2499999999999998E-2</v>
      </c>
    </row>
    <row r="8" spans="2:31" x14ac:dyDescent="0.3">
      <c r="B8" s="124">
        <v>4</v>
      </c>
      <c r="C8" s="169">
        <v>6.3705203839042004E-2</v>
      </c>
      <c r="D8" s="172">
        <v>3.3300000000000003E-2</v>
      </c>
      <c r="E8" s="172">
        <v>0.38219999999999998</v>
      </c>
      <c r="F8" s="163">
        <v>6.8190000000000001E-2</v>
      </c>
      <c r="G8" s="17">
        <v>1440</v>
      </c>
      <c r="H8" s="163">
        <v>0.14399999999999999</v>
      </c>
      <c r="M8" s="180">
        <v>4</v>
      </c>
      <c r="N8" s="162">
        <v>6.3705203839042004E-2</v>
      </c>
      <c r="O8" s="162">
        <v>0.17363851617995266</v>
      </c>
      <c r="P8" s="162">
        <v>8.9068825910931168E-2</v>
      </c>
      <c r="Q8" s="162">
        <v>2.4390243902439025E-2</v>
      </c>
      <c r="S8" s="180">
        <v>4</v>
      </c>
      <c r="T8" s="162">
        <v>0.10258886</v>
      </c>
      <c r="U8" s="162">
        <v>0.38443020890818519</v>
      </c>
      <c r="V8" s="162">
        <v>0.40096742056011497</v>
      </c>
      <c r="W8" s="162">
        <v>0.4249225081271964</v>
      </c>
      <c r="Y8" s="17">
        <v>1440</v>
      </c>
      <c r="Z8" s="17">
        <v>1400</v>
      </c>
      <c r="AA8" s="17">
        <v>700</v>
      </c>
      <c r="AC8" s="163">
        <v>0.14399999999999999</v>
      </c>
      <c r="AD8" s="163">
        <v>0.14000000000000001</v>
      </c>
      <c r="AE8" s="163">
        <v>7.0000000000000007E-2</v>
      </c>
    </row>
    <row r="9" spans="2:31" x14ac:dyDescent="0.3">
      <c r="B9" s="124">
        <v>5</v>
      </c>
      <c r="C9" s="169">
        <v>1.4748613190103021E-2</v>
      </c>
      <c r="D9" s="172">
        <v>4.4000000000000003E-3</v>
      </c>
      <c r="E9" s="172">
        <v>0.29920000000000002</v>
      </c>
      <c r="F9" s="163">
        <v>3.388E-2</v>
      </c>
      <c r="G9" s="17">
        <v>2250</v>
      </c>
      <c r="H9" s="163">
        <v>0.22500000000000001</v>
      </c>
      <c r="M9" s="180">
        <v>5</v>
      </c>
      <c r="N9" s="162">
        <v>1.4748613190103021E-2</v>
      </c>
      <c r="O9" s="162">
        <v>0.10023677979479084</v>
      </c>
      <c r="P9" s="162">
        <v>7.6923076923076927E-2</v>
      </c>
      <c r="Q9" s="162">
        <v>4.878048780487805E-2</v>
      </c>
      <c r="S9" s="180">
        <v>5</v>
      </c>
      <c r="T9" s="162">
        <v>6.3491859999999997E-2</v>
      </c>
      <c r="U9" s="162">
        <v>0.31827882881141678</v>
      </c>
      <c r="V9" s="162">
        <v>0.24644354481494071</v>
      </c>
      <c r="W9" s="162">
        <v>0.1950649078267401</v>
      </c>
      <c r="Y9" s="17">
        <v>2250</v>
      </c>
      <c r="Z9" s="17">
        <v>1750</v>
      </c>
      <c r="AA9" s="17">
        <v>1750</v>
      </c>
      <c r="AC9" s="163">
        <v>0.22500000000000001</v>
      </c>
      <c r="AD9" s="163">
        <v>0.17499999999999999</v>
      </c>
      <c r="AE9" s="163">
        <v>0.17499999999999999</v>
      </c>
    </row>
    <row r="10" spans="2:31" x14ac:dyDescent="0.3">
      <c r="B10" s="124">
        <v>6</v>
      </c>
      <c r="C10" s="169">
        <v>3.6101083032490976E-3</v>
      </c>
      <c r="D10" s="172">
        <v>2.0000000000000001E-4</v>
      </c>
      <c r="E10" s="172">
        <v>0.1134</v>
      </c>
      <c r="F10" s="163">
        <v>1.1520000000000001E-2</v>
      </c>
      <c r="G10" s="17">
        <v>2700</v>
      </c>
      <c r="H10" s="163">
        <v>0.27</v>
      </c>
      <c r="M10" s="180">
        <v>6</v>
      </c>
      <c r="N10" s="162">
        <v>3.6101083032490976E-3</v>
      </c>
      <c r="O10" s="162">
        <v>3.1570639305445937E-2</v>
      </c>
      <c r="P10" s="162">
        <v>1.2145748987854251E-2</v>
      </c>
      <c r="Q10" s="162">
        <v>0</v>
      </c>
      <c r="S10" s="180">
        <v>6</v>
      </c>
      <c r="T10" s="162">
        <v>2.2896389999999999E-2</v>
      </c>
      <c r="U10" s="162">
        <v>0.1131686752041504</v>
      </c>
      <c r="V10" s="162">
        <v>7.8840213733133782E-2</v>
      </c>
      <c r="W10" s="162">
        <v>4.2010228195579487E-2</v>
      </c>
      <c r="Y10" s="17">
        <v>2700</v>
      </c>
      <c r="Z10" s="17">
        <v>2100</v>
      </c>
      <c r="AA10" s="17">
        <v>2100</v>
      </c>
      <c r="AC10" s="163">
        <v>0.27</v>
      </c>
      <c r="AD10" s="163">
        <v>0.21</v>
      </c>
      <c r="AE10" s="163">
        <v>0.21</v>
      </c>
    </row>
    <row r="11" spans="2:31" x14ac:dyDescent="0.3">
      <c r="B11" s="124">
        <v>7</v>
      </c>
      <c r="C11" s="169">
        <v>3.9623139913709608E-4</v>
      </c>
      <c r="D11" s="172">
        <v>0</v>
      </c>
      <c r="E11" s="172">
        <v>2.3E-2</v>
      </c>
      <c r="F11" s="163">
        <v>2.3E-3</v>
      </c>
      <c r="G11" s="17">
        <v>3150</v>
      </c>
      <c r="H11" s="163">
        <v>0.315</v>
      </c>
      <c r="M11" s="180">
        <v>7</v>
      </c>
      <c r="N11" s="162">
        <v>3.9623139913709608E-4</v>
      </c>
      <c r="O11" s="162">
        <v>1.0260457774269928E-2</v>
      </c>
      <c r="P11" s="162">
        <v>1.2145748987854251E-2</v>
      </c>
      <c r="Q11" s="162">
        <v>0</v>
      </c>
      <c r="S11" s="180">
        <v>7</v>
      </c>
      <c r="T11" s="162">
        <v>4.5844500000000003E-3</v>
      </c>
      <c r="U11" s="162">
        <v>2.3555526678745581E-2</v>
      </c>
      <c r="V11" s="162">
        <v>1.5353055527350159E-2</v>
      </c>
      <c r="W11" s="162">
        <v>4.321497989235275E-3</v>
      </c>
      <c r="Y11" s="17">
        <v>3150</v>
      </c>
      <c r="Z11" s="17">
        <v>3675</v>
      </c>
      <c r="AA11" s="17">
        <v>3675</v>
      </c>
      <c r="AC11" s="163">
        <v>0.315</v>
      </c>
      <c r="AD11" s="163">
        <v>0.36749999999999999</v>
      </c>
      <c r="AE11" s="163">
        <v>0.36749999999999999</v>
      </c>
    </row>
    <row r="12" spans="2:31" x14ac:dyDescent="0.3">
      <c r="B12" s="124">
        <v>8</v>
      </c>
      <c r="C12" s="169">
        <v>0</v>
      </c>
      <c r="D12" s="172">
        <v>0</v>
      </c>
      <c r="E12" s="172">
        <v>2.3999999999999998E-3</v>
      </c>
      <c r="F12" s="163">
        <v>2.3999999999999998E-4</v>
      </c>
      <c r="G12" s="17">
        <v>3600</v>
      </c>
      <c r="H12" s="163">
        <v>0.36</v>
      </c>
      <c r="M12" s="180">
        <v>8</v>
      </c>
      <c r="N12" s="162">
        <v>0</v>
      </c>
      <c r="O12" s="162">
        <v>7.8926598263614838E-4</v>
      </c>
      <c r="P12" s="162">
        <v>0</v>
      </c>
      <c r="Q12" s="162">
        <v>0</v>
      </c>
      <c r="S12" s="180">
        <v>8</v>
      </c>
      <c r="T12" s="162">
        <v>4.8207000000000002E-4</v>
      </c>
      <c r="U12" s="162">
        <v>2.640034937284777E-3</v>
      </c>
      <c r="V12" s="162">
        <v>1.646704604150755E-3</v>
      </c>
      <c r="W12" s="162">
        <v>3.2313684174586568E-4</v>
      </c>
      <c r="Y12" s="17">
        <v>3600</v>
      </c>
      <c r="Z12" s="17">
        <v>4200</v>
      </c>
      <c r="AA12" s="17">
        <v>4200</v>
      </c>
      <c r="AC12" s="163">
        <v>0.36</v>
      </c>
      <c r="AD12" s="163">
        <v>0.42</v>
      </c>
      <c r="AE12" s="163">
        <v>0.42</v>
      </c>
    </row>
    <row r="13" spans="2:31" x14ac:dyDescent="0.3">
      <c r="B13" s="124">
        <v>9</v>
      </c>
      <c r="C13" s="169">
        <v>0</v>
      </c>
      <c r="D13" s="172">
        <v>0</v>
      </c>
      <c r="E13" s="172">
        <v>1E-4</v>
      </c>
      <c r="F13" s="163">
        <v>1.0000000000000001E-5</v>
      </c>
      <c r="G13" s="17">
        <v>4050</v>
      </c>
      <c r="H13" s="163">
        <v>0.40500000000000003</v>
      </c>
      <c r="M13" s="180">
        <v>9</v>
      </c>
      <c r="N13" s="162">
        <v>0</v>
      </c>
      <c r="O13" s="162">
        <v>0</v>
      </c>
      <c r="P13" s="162">
        <v>0</v>
      </c>
      <c r="Q13" s="162">
        <v>0</v>
      </c>
      <c r="S13" s="180">
        <v>9</v>
      </c>
      <c r="T13" s="162">
        <v>2.5400000000000001E-5</v>
      </c>
      <c r="U13" s="162">
        <v>1.33235408049886E-4</v>
      </c>
      <c r="V13" s="162">
        <v>0</v>
      </c>
      <c r="W13" s="162">
        <v>0</v>
      </c>
      <c r="Y13" s="17">
        <v>4050</v>
      </c>
      <c r="Z13" s="17">
        <v>4725</v>
      </c>
      <c r="AA13" s="17">
        <v>4725</v>
      </c>
      <c r="AC13" s="163">
        <v>0.40500000000000003</v>
      </c>
      <c r="AD13" s="163">
        <v>0.47249999999999998</v>
      </c>
      <c r="AE13" s="163">
        <v>0.47249999999999998</v>
      </c>
    </row>
    <row r="14" spans="2:31" x14ac:dyDescent="0.3">
      <c r="M14" s="180" t="s">
        <v>242</v>
      </c>
      <c r="N14" s="177">
        <f>SUMPRODUCT($M$4:$M$13,N4:N13)</f>
        <v>1.808488157083737</v>
      </c>
      <c r="O14" s="177">
        <f t="shared" ref="O14:Q14" si="0">SUMPRODUCT($M$4:$M$13,O4:O13)</f>
        <v>2.8113654301499604</v>
      </c>
      <c r="P14" s="177">
        <f t="shared" si="0"/>
        <v>2.2550607287449393</v>
      </c>
      <c r="Q14" s="177">
        <f t="shared" si="0"/>
        <v>1.6341463414634148</v>
      </c>
      <c r="S14" s="180" t="s">
        <v>242</v>
      </c>
      <c r="T14" s="177">
        <f>SUMPRODUCT($M$4:$M$13,T4:T13)</f>
        <v>2.0758327499999996</v>
      </c>
      <c r="U14" s="177">
        <f t="shared" ref="U14" si="1">SUMPRODUCT($M$4:$M$13,U4:U13)</f>
        <v>4.4687155859931762</v>
      </c>
      <c r="V14" s="177">
        <f t="shared" ref="V14" si="2">SUMPRODUCT($M$4:$M$13,V4:V13)</f>
        <v>4.2000208965195513</v>
      </c>
      <c r="W14" s="177">
        <f t="shared" ref="W14" si="3">SUMPRODUCT($M$4:$M$13,W4:W13)</f>
        <v>3.9599846845330848</v>
      </c>
    </row>
    <row r="15" spans="2:31" x14ac:dyDescent="0.3">
      <c r="G15" s="17" t="s">
        <v>238</v>
      </c>
      <c r="T15" s="176" cm="1">
        <f t="array" ref="T15:W15">T14:W14/N14:Q14</f>
        <v>1.1478276713447584</v>
      </c>
      <c r="U15" s="176">
        <v>1.5895178684596727</v>
      </c>
      <c r="V15" s="176">
        <v>1.8624868248479878</v>
      </c>
      <c r="W15" s="176">
        <v>2.4232742099381563</v>
      </c>
      <c r="AB15" s="17" t="s">
        <v>251</v>
      </c>
      <c r="AC15" s="163">
        <f>SUMPRODUCT(T5:T13,AC5:AC13)</f>
        <v>7.4618319389999993E-2</v>
      </c>
      <c r="AD15" s="163">
        <f>SUMPRODUCT(U5:U13,AD5:AD13)</f>
        <v>0.1596811869958952</v>
      </c>
      <c r="AE15" s="163">
        <f>SUMPRODUCT(U5:U13,AE5:AE13)</f>
        <v>0.12448691414458345</v>
      </c>
    </row>
    <row r="16" spans="2:31" x14ac:dyDescent="0.3">
      <c r="G16" s="163">
        <f>SUMPRODUCT(H4:H13,D4:D13)</f>
        <v>4.8550799999999991E-2</v>
      </c>
      <c r="H16" s="176">
        <f>1/G16</f>
        <v>20.596982953936912</v>
      </c>
      <c r="AC16" s="163" cm="1">
        <f t="array" ref="AC16:AE16">1-AC15:AE15</f>
        <v>0.92538168061000003</v>
      </c>
      <c r="AD16" s="163">
        <v>0.84031881300410483</v>
      </c>
      <c r="AE16" s="163">
        <v>0.87551308585541654</v>
      </c>
    </row>
    <row r="17" spans="2:49" x14ac:dyDescent="0.3">
      <c r="B17" s="17" t="s">
        <v>243</v>
      </c>
      <c r="M17" s="17" t="s">
        <v>169</v>
      </c>
      <c r="S17" s="17" t="s">
        <v>168</v>
      </c>
      <c r="Y17" s="17" t="s">
        <v>249</v>
      </c>
      <c r="AC17" s="17" t="s">
        <v>250</v>
      </c>
      <c r="AG17" s="17" t="s">
        <v>110</v>
      </c>
    </row>
    <row r="18" spans="2:49" x14ac:dyDescent="0.3">
      <c r="B18" s="135"/>
      <c r="C18" s="135" t="s">
        <v>169</v>
      </c>
      <c r="D18" s="135" t="s">
        <v>236</v>
      </c>
      <c r="E18" s="135" t="s">
        <v>237</v>
      </c>
      <c r="G18" s="17" t="s">
        <v>234</v>
      </c>
      <c r="H18" s="17" t="s">
        <v>235</v>
      </c>
      <c r="M18" s="143" t="s">
        <v>246</v>
      </c>
      <c r="N18" s="143" t="s">
        <v>109</v>
      </c>
      <c r="O18" s="143" t="s">
        <v>110</v>
      </c>
      <c r="S18" s="143" t="s">
        <v>246</v>
      </c>
      <c r="T18" s="143" t="s">
        <v>109</v>
      </c>
      <c r="U18" s="143" t="s">
        <v>249</v>
      </c>
      <c r="V18" s="143" t="s">
        <v>250</v>
      </c>
      <c r="W18" s="143" t="s">
        <v>110</v>
      </c>
      <c r="Y18" s="135" t="s">
        <v>234</v>
      </c>
      <c r="Z18" s="135" t="s">
        <v>235</v>
      </c>
      <c r="AA18" s="135"/>
      <c r="AC18" s="135" t="s">
        <v>234</v>
      </c>
      <c r="AD18" s="135" t="s">
        <v>235</v>
      </c>
      <c r="AE18" s="135"/>
      <c r="AG18" s="135" t="s">
        <v>234</v>
      </c>
      <c r="AH18" s="135" t="s">
        <v>235</v>
      </c>
      <c r="AI18" s="135"/>
    </row>
    <row r="19" spans="2:49" x14ac:dyDescent="0.3">
      <c r="B19" s="164">
        <v>0</v>
      </c>
      <c r="C19" s="170">
        <v>0.86973562490871026</v>
      </c>
      <c r="D19" s="165" cm="1">
        <f t="array" ref="D19:D31">K19:K31</f>
        <v>0</v>
      </c>
      <c r="E19" s="165" cm="1">
        <f t="array" ref="E19:E31">L19:L31</f>
        <v>0</v>
      </c>
      <c r="G19" s="17" cm="1">
        <f t="array" ref="G19:G31">TRANSPOSE(Parameter!O5:AA5)</f>
        <v>0</v>
      </c>
      <c r="H19" s="17" cm="1">
        <f t="array" ref="H19:H31">TRANSPOSE(Parameter!O17:AA17)</f>
        <v>0</v>
      </c>
      <c r="I19" s="163" cm="1">
        <f t="array" ref="I19:I31">_xlfn.ANCHORARRAY(G19)/SUM(_xlfn.ANCHORARRAY(G19))*G16</f>
        <v>0</v>
      </c>
      <c r="J19" s="163" cm="1">
        <f t="array" ref="J19:J31">_xlfn.ANCHORARRAY(H19)/SUM(_xlfn.ANCHORARRAY(H19))*(1-G16)</f>
        <v>0</v>
      </c>
      <c r="K19" s="163" cm="1">
        <f t="array" ref="K19:K23">J19:J23</f>
        <v>0</v>
      </c>
      <c r="M19" s="179">
        <v>0</v>
      </c>
      <c r="N19" s="178">
        <v>0.86973562490871026</v>
      </c>
      <c r="O19" s="178">
        <v>0.64345873104997198</v>
      </c>
      <c r="P19" s="185"/>
      <c r="Q19" s="163"/>
      <c r="R19" s="163"/>
      <c r="S19" s="179">
        <v>0</v>
      </c>
      <c r="T19" s="178" cm="1">
        <f t="array" ref="T19:T31">_xlfn.ANCHORARRAY(U19)*U33+_xlfn.ANCHORARRAY(V19)*V33</f>
        <v>0.68825262495368755</v>
      </c>
      <c r="U19" s="178" cm="1">
        <f t="array" ref="U19:U31">_xlfn.ANCHORARRAY(AA19)</f>
        <v>0.78657442851850001</v>
      </c>
      <c r="V19" s="178" cm="1">
        <f t="array" ref="V19:V31">_xlfn.ANCHORARRAY(AE19)</f>
        <v>0</v>
      </c>
      <c r="W19" s="178" cm="1">
        <f t="array" ref="W19:W31">_xlfn.ANCHORARRAY(AI19)</f>
        <v>0</v>
      </c>
      <c r="Y19" s="17" cm="1">
        <f t="array" ref="Y19:Y31">TRANSPOSE(Parameter!O5:AA5)</f>
        <v>0</v>
      </c>
      <c r="Z19" s="17" cm="1">
        <f t="array" ref="Z19:Z31">TRANSPOSE(Parameter!O38:AA38)</f>
        <v>8500</v>
      </c>
      <c r="AA19" s="163" cm="1">
        <f t="array" ref="AA19:AA31">_xlfn.ANCHORARRAY(Y19)*AC15/SUM(_xlfn.ANCHORARRAY(Y19))+_xlfn.ANCHORARRAY(Z19)*AC16/SUM(_xlfn.ANCHORARRAY(Z19))</f>
        <v>0.78657442851850001</v>
      </c>
      <c r="AC19" s="17" cm="1">
        <f t="array" ref="AC19:AC31">TRANSPOSE(Parameter!O6:AA6)</f>
        <v>0</v>
      </c>
      <c r="AD19" s="17" cm="1">
        <f t="array" ref="AD19:AD31">TRANSPOSE(Parameter!O17:AA17)</f>
        <v>0</v>
      </c>
      <c r="AE19" s="163" cm="1">
        <f t="array" ref="AE19:AE31">_xlfn.ANCHORARRAY(AC19)*AD15/SUM(_xlfn.ANCHORARRAY(AC19))+_xlfn.ANCHORARRAY(AD19)*AD16/SUM(_xlfn.ANCHORARRAY(AD19))</f>
        <v>0</v>
      </c>
      <c r="AG19" s="17" cm="1">
        <f t="array" ref="AG19:AG31">TRANSPOSE(Parameter!O8:AA8)</f>
        <v>0</v>
      </c>
      <c r="AH19" s="17" cm="1">
        <f t="array" ref="AH19:AH31">TRANSPOSE(Parameter!O19:AA19)</f>
        <v>0</v>
      </c>
      <c r="AI19" s="163" cm="1">
        <f t="array" ref="AI19:AI31">_xlfn.ANCHORARRAY(AG19)*AE15/SUM(_xlfn.ANCHORARRAY(AG19))+_xlfn.ANCHORARRAY(AH19)*AE16/SUM(_xlfn.ANCHORARRAY(AH19))</f>
        <v>0</v>
      </c>
      <c r="AN19" s="114"/>
      <c r="AO19" s="183">
        <v>50</v>
      </c>
      <c r="AP19" s="183">
        <v>50</v>
      </c>
      <c r="AQ19" s="183">
        <v>250</v>
      </c>
      <c r="AR19" s="183">
        <v>1500</v>
      </c>
      <c r="AS19" s="183">
        <v>4000</v>
      </c>
      <c r="AT19" s="183">
        <v>4000</v>
      </c>
      <c r="AU19" s="183">
        <v>4000</v>
      </c>
      <c r="AV19" s="183">
        <v>4000</v>
      </c>
      <c r="AW19" s="183">
        <v>4000</v>
      </c>
    </row>
    <row r="20" spans="2:49" x14ac:dyDescent="0.3">
      <c r="B20" s="166">
        <v>2</v>
      </c>
      <c r="C20" s="171">
        <v>3.4690101757631819E-2</v>
      </c>
      <c r="D20" s="167">
        <v>0.34252171199999998</v>
      </c>
      <c r="E20" s="167">
        <v>0</v>
      </c>
      <c r="G20" s="17">
        <v>0</v>
      </c>
      <c r="H20" s="17">
        <v>3600</v>
      </c>
      <c r="I20" s="163">
        <v>0</v>
      </c>
      <c r="J20" s="163">
        <v>0.34252171199999998</v>
      </c>
      <c r="K20" s="163">
        <v>0.34252171199999998</v>
      </c>
      <c r="M20" s="180">
        <v>2</v>
      </c>
      <c r="N20" s="162">
        <v>3.4690101757631819E-2</v>
      </c>
      <c r="O20" s="162">
        <v>0.21617069062324537</v>
      </c>
      <c r="P20" s="163"/>
      <c r="Q20" s="163"/>
      <c r="R20" s="163"/>
      <c r="S20" s="180">
        <v>2</v>
      </c>
      <c r="T20" s="162">
        <v>7.8299795111872211E-2</v>
      </c>
      <c r="U20" s="162">
        <v>4.62690840305E-2</v>
      </c>
      <c r="V20" s="162">
        <v>0.30251477268147775</v>
      </c>
      <c r="W20" s="162">
        <v>0.55157324408891251</v>
      </c>
      <c r="X20" s="163"/>
      <c r="Y20" s="17">
        <v>0</v>
      </c>
      <c r="Z20" s="17">
        <v>500</v>
      </c>
      <c r="AA20" s="163">
        <v>4.62690840305E-2</v>
      </c>
      <c r="AC20" s="17">
        <v>0</v>
      </c>
      <c r="AD20" s="17">
        <v>3600</v>
      </c>
      <c r="AE20" s="163">
        <v>0.30251477268147775</v>
      </c>
      <c r="AG20" s="17">
        <v>0</v>
      </c>
      <c r="AH20" s="17">
        <v>6300</v>
      </c>
      <c r="AI20" s="163">
        <v>0.55157324408891251</v>
      </c>
      <c r="AN20" s="114"/>
      <c r="AO20" s="114"/>
      <c r="AP20" s="114"/>
      <c r="AQ20" s="114"/>
      <c r="AR20" s="114"/>
      <c r="AS20" s="114"/>
      <c r="AT20" s="114"/>
      <c r="AU20" s="114"/>
      <c r="AV20" s="114"/>
      <c r="AW20" s="114"/>
    </row>
    <row r="21" spans="2:49" x14ac:dyDescent="0.3">
      <c r="B21" s="166">
        <v>3</v>
      </c>
      <c r="C21" s="171">
        <v>2.8506743268903064E-2</v>
      </c>
      <c r="D21" s="167">
        <v>0.32349272800000001</v>
      </c>
      <c r="E21" s="167">
        <v>0</v>
      </c>
      <c r="G21" s="17">
        <v>0</v>
      </c>
      <c r="H21" s="17">
        <v>3400</v>
      </c>
      <c r="I21" s="163">
        <v>0</v>
      </c>
      <c r="J21" s="163">
        <v>0.32349272800000001</v>
      </c>
      <c r="K21" s="163">
        <v>0.32349272800000001</v>
      </c>
      <c r="M21" s="180">
        <v>3</v>
      </c>
      <c r="N21" s="162">
        <v>2.8506743268903064E-2</v>
      </c>
      <c r="O21" s="162">
        <v>8.5906793935991016E-2</v>
      </c>
      <c r="P21" s="163"/>
      <c r="Q21" s="163"/>
      <c r="R21" s="163"/>
      <c r="S21" s="180">
        <v>3</v>
      </c>
      <c r="T21" s="162">
        <v>6.8101908374024453E-2</v>
      </c>
      <c r="U21" s="162">
        <v>3.7015267224400003E-2</v>
      </c>
      <c r="V21" s="162">
        <v>0.28570839642139562</v>
      </c>
      <c r="W21" s="162">
        <v>0.24514366403951662</v>
      </c>
      <c r="X21" s="163"/>
      <c r="Y21" s="17">
        <v>0</v>
      </c>
      <c r="Z21" s="17">
        <v>400</v>
      </c>
      <c r="AA21" s="163">
        <v>3.7015267224400003E-2</v>
      </c>
      <c r="AC21" s="17">
        <v>0</v>
      </c>
      <c r="AD21" s="17">
        <v>3400</v>
      </c>
      <c r="AE21" s="163">
        <v>0.28570839642139562</v>
      </c>
      <c r="AG21" s="17">
        <v>0</v>
      </c>
      <c r="AH21" s="17">
        <v>2800</v>
      </c>
      <c r="AI21" s="163">
        <v>0.24514366403951662</v>
      </c>
      <c r="AN21" s="114">
        <v>300</v>
      </c>
      <c r="AO21" s="183" cm="1">
        <f t="array" ref="AO21:AW21">Parameter!AD4:AL4*AN21</f>
        <v>300</v>
      </c>
      <c r="AP21" s="183">
        <v>600</v>
      </c>
      <c r="AQ21" s="183">
        <v>900</v>
      </c>
      <c r="AR21" s="183">
        <v>1200</v>
      </c>
      <c r="AS21" s="183">
        <v>1500</v>
      </c>
      <c r="AT21" s="183">
        <v>1800</v>
      </c>
      <c r="AU21" s="183">
        <v>2100</v>
      </c>
      <c r="AV21" s="183">
        <v>2400</v>
      </c>
      <c r="AW21" s="183">
        <v>2700</v>
      </c>
    </row>
    <row r="22" spans="2:49" x14ac:dyDescent="0.3">
      <c r="B22" s="166">
        <v>5</v>
      </c>
      <c r="C22" s="171">
        <v>1.9109985880519986E-2</v>
      </c>
      <c r="D22" s="167">
        <v>0.14271738</v>
      </c>
      <c r="E22" s="167">
        <v>0</v>
      </c>
      <c r="G22" s="17">
        <v>0</v>
      </c>
      <c r="H22" s="17">
        <v>1500</v>
      </c>
      <c r="I22" s="163">
        <v>0</v>
      </c>
      <c r="J22" s="163">
        <v>0.14271738</v>
      </c>
      <c r="K22" s="163">
        <v>0.14271738</v>
      </c>
      <c r="M22" s="180">
        <v>5</v>
      </c>
      <c r="N22" s="162">
        <v>1.9109985880519986E-2</v>
      </c>
      <c r="O22" s="162">
        <v>2.1897810218978103E-2</v>
      </c>
      <c r="P22" s="163"/>
      <c r="Q22" s="163"/>
      <c r="R22" s="163"/>
      <c r="S22" s="180">
        <v>5</v>
      </c>
      <c r="T22" s="162">
        <v>4.0047246859839472E-2</v>
      </c>
      <c r="U22" s="162">
        <v>2.7761450418300002E-2</v>
      </c>
      <c r="V22" s="162">
        <v>0.12604782195061573</v>
      </c>
      <c r="W22" s="162">
        <v>5.2530785151324998E-2</v>
      </c>
      <c r="X22" s="163"/>
      <c r="Y22" s="17">
        <v>0</v>
      </c>
      <c r="Z22" s="17">
        <v>300</v>
      </c>
      <c r="AA22" s="163">
        <v>2.7761450418300002E-2</v>
      </c>
      <c r="AC22" s="17">
        <v>0</v>
      </c>
      <c r="AD22" s="17">
        <v>1500</v>
      </c>
      <c r="AE22" s="163">
        <v>0.12604782195061573</v>
      </c>
      <c r="AG22" s="17">
        <v>0</v>
      </c>
      <c r="AH22" s="17">
        <v>600</v>
      </c>
      <c r="AI22" s="163">
        <v>5.2530785151324998E-2</v>
      </c>
      <c r="AN22" s="114"/>
      <c r="AO22" s="184">
        <v>1</v>
      </c>
      <c r="AP22" s="184">
        <v>1</v>
      </c>
      <c r="AQ22" s="184">
        <v>1.2</v>
      </c>
      <c r="AR22" s="184">
        <v>1.2</v>
      </c>
      <c r="AS22" s="184">
        <v>1.5</v>
      </c>
      <c r="AT22" s="184">
        <v>1.5</v>
      </c>
      <c r="AU22" s="184">
        <v>1.5</v>
      </c>
      <c r="AV22" s="184">
        <v>1.5</v>
      </c>
      <c r="AW22" s="184">
        <v>1.5</v>
      </c>
    </row>
    <row r="23" spans="2:49" x14ac:dyDescent="0.3">
      <c r="B23" s="166">
        <v>8</v>
      </c>
      <c r="C23" s="171">
        <v>1.8111884707142509E-2</v>
      </c>
      <c r="D23" s="167">
        <v>0.14271738</v>
      </c>
      <c r="E23" s="167">
        <v>0</v>
      </c>
      <c r="G23" s="17">
        <v>0</v>
      </c>
      <c r="H23" s="17">
        <v>1500</v>
      </c>
      <c r="I23" s="163">
        <v>0</v>
      </c>
      <c r="J23" s="163">
        <v>0.14271738</v>
      </c>
      <c r="K23" s="163">
        <v>0.14271738</v>
      </c>
      <c r="M23" s="180">
        <v>8</v>
      </c>
      <c r="N23" s="162">
        <v>1.8111884707142509E-2</v>
      </c>
      <c r="O23" s="162">
        <v>1.0668163952835485E-2</v>
      </c>
      <c r="P23" s="163"/>
      <c r="Q23" s="163"/>
      <c r="R23" s="163"/>
      <c r="S23" s="180">
        <v>8</v>
      </c>
      <c r="T23" s="162">
        <v>4.0047246859839472E-2</v>
      </c>
      <c r="U23" s="162">
        <v>2.7761450418300002E-2</v>
      </c>
      <c r="V23" s="162">
        <v>0.12604782195061573</v>
      </c>
      <c r="W23" s="162">
        <v>2.6265392575662499E-2</v>
      </c>
      <c r="X23" s="163"/>
      <c r="Y23" s="17">
        <v>0</v>
      </c>
      <c r="Z23" s="17">
        <v>300</v>
      </c>
      <c r="AA23" s="163">
        <v>2.7761450418300002E-2</v>
      </c>
      <c r="AC23" s="17">
        <v>0</v>
      </c>
      <c r="AD23" s="17">
        <v>1500</v>
      </c>
      <c r="AE23" s="163">
        <v>0.12604782195061573</v>
      </c>
      <c r="AG23" s="17">
        <v>0</v>
      </c>
      <c r="AH23" s="17">
        <v>300</v>
      </c>
      <c r="AI23" s="163">
        <v>2.6265392575662499E-2</v>
      </c>
      <c r="AN23" s="114"/>
      <c r="AO23" s="114" cm="1">
        <f t="array" ref="AO23:AW23">INT(AO21:AW21*AO22:AW22)</f>
        <v>300</v>
      </c>
      <c r="AP23" s="114">
        <v>600</v>
      </c>
      <c r="AQ23" s="114">
        <v>1080</v>
      </c>
      <c r="AR23" s="114">
        <v>1440</v>
      </c>
      <c r="AS23" s="114">
        <v>2250</v>
      </c>
      <c r="AT23" s="114">
        <v>2700</v>
      </c>
      <c r="AU23" s="114">
        <v>3150</v>
      </c>
      <c r="AV23" s="114">
        <v>3600</v>
      </c>
      <c r="AW23" s="114">
        <v>4050</v>
      </c>
    </row>
    <row r="24" spans="2:49" x14ac:dyDescent="0.3">
      <c r="B24" s="166">
        <v>10</v>
      </c>
      <c r="C24" s="171">
        <v>1.4849797945372219E-2</v>
      </c>
      <c r="D24" s="167">
        <v>2.0100031199999997E-2</v>
      </c>
      <c r="E24" s="167">
        <v>0</v>
      </c>
      <c r="G24" s="17">
        <v>4140</v>
      </c>
      <c r="H24" s="17">
        <v>0</v>
      </c>
      <c r="I24" s="163">
        <v>2.0100031199999997E-2</v>
      </c>
      <c r="J24" s="163">
        <v>0</v>
      </c>
      <c r="K24" s="163" cm="1">
        <f t="array" ref="K24:K31">I24:I31</f>
        <v>2.0100031199999997E-2</v>
      </c>
      <c r="M24" s="180">
        <v>10</v>
      </c>
      <c r="N24" s="162">
        <v>1.4849797945372219E-2</v>
      </c>
      <c r="O24" s="162">
        <v>1.0106681639528355E-2</v>
      </c>
      <c r="P24" s="163"/>
      <c r="Q24" s="163"/>
      <c r="R24" s="163"/>
      <c r="S24" s="180">
        <v>10</v>
      </c>
      <c r="T24" s="162">
        <v>3.6950679941147486E-2</v>
      </c>
      <c r="U24" s="162">
        <v>3.0891984227459996E-2</v>
      </c>
      <c r="V24" s="162">
        <v>7.9361549936959916E-2</v>
      </c>
      <c r="W24" s="162">
        <v>5.4400781481182971E-2</v>
      </c>
      <c r="X24" s="163"/>
      <c r="Y24" s="17">
        <v>4140</v>
      </c>
      <c r="Z24" s="17">
        <v>0</v>
      </c>
      <c r="AA24" s="163">
        <v>3.0891984227459996E-2</v>
      </c>
      <c r="AC24" s="17">
        <v>4970</v>
      </c>
      <c r="AD24" s="17">
        <v>0</v>
      </c>
      <c r="AE24" s="163">
        <v>7.9361549936959916E-2</v>
      </c>
      <c r="AG24" s="17">
        <v>4370</v>
      </c>
      <c r="AH24" s="17">
        <v>0</v>
      </c>
      <c r="AI24" s="163">
        <v>5.4400781481182971E-2</v>
      </c>
      <c r="AN24" s="114"/>
      <c r="AO24" s="114"/>
      <c r="AP24" s="114"/>
      <c r="AQ24" s="114"/>
      <c r="AR24" s="114"/>
      <c r="AS24" s="114"/>
      <c r="AT24" s="114"/>
      <c r="AU24" s="114"/>
      <c r="AV24" s="114"/>
      <c r="AW24" s="114"/>
    </row>
    <row r="25" spans="2:49" x14ac:dyDescent="0.3">
      <c r="B25" s="166">
        <v>15</v>
      </c>
      <c r="C25" s="171">
        <v>8.7881591119333951E-3</v>
      </c>
      <c r="D25" s="167">
        <v>1.4565239999999997E-2</v>
      </c>
      <c r="E25" s="167">
        <v>0</v>
      </c>
      <c r="G25" s="17">
        <v>3000</v>
      </c>
      <c r="H25" s="17">
        <v>0</v>
      </c>
      <c r="I25" s="163">
        <v>1.4565239999999997E-2</v>
      </c>
      <c r="J25" s="163">
        <v>0</v>
      </c>
      <c r="K25" s="163">
        <v>1.4565239999999997E-2</v>
      </c>
      <c r="M25" s="180">
        <v>15</v>
      </c>
      <c r="N25" s="162">
        <v>8.7881591119333951E-3</v>
      </c>
      <c r="O25" s="162">
        <v>5.8955642897248733E-3</v>
      </c>
      <c r="P25" s="163"/>
      <c r="Q25" s="163"/>
      <c r="R25" s="163"/>
      <c r="S25" s="180">
        <v>15</v>
      </c>
      <c r="T25" s="162">
        <v>2.5575353352221067E-2</v>
      </c>
      <c r="U25" s="162">
        <v>2.2385495816999997E-2</v>
      </c>
      <c r="V25" s="162">
        <v>4.7904356098768565E-2</v>
      </c>
      <c r="W25" s="162">
        <v>3.3611466819037532E-2</v>
      </c>
      <c r="X25" s="163"/>
      <c r="Y25" s="17">
        <v>3000</v>
      </c>
      <c r="Z25" s="17">
        <v>0</v>
      </c>
      <c r="AA25" s="163">
        <v>2.2385495816999997E-2</v>
      </c>
      <c r="AC25" s="17">
        <v>3000</v>
      </c>
      <c r="AD25" s="17">
        <v>0</v>
      </c>
      <c r="AE25" s="163">
        <v>4.7904356098768565E-2</v>
      </c>
      <c r="AG25" s="17">
        <v>2700</v>
      </c>
      <c r="AH25" s="17">
        <v>0</v>
      </c>
      <c r="AI25" s="163">
        <v>3.3611466819037532E-2</v>
      </c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</row>
    <row r="26" spans="2:49" x14ac:dyDescent="0.3">
      <c r="B26" s="166">
        <v>20</v>
      </c>
      <c r="C26" s="171">
        <v>4.5523151078436146E-3</v>
      </c>
      <c r="D26" s="167">
        <v>9.7101599999999989E-3</v>
      </c>
      <c r="E26" s="167">
        <v>0</v>
      </c>
      <c r="G26" s="17">
        <v>2000</v>
      </c>
      <c r="H26" s="17">
        <v>0</v>
      </c>
      <c r="I26" s="163">
        <v>9.7101599999999989E-3</v>
      </c>
      <c r="J26" s="163">
        <v>0</v>
      </c>
      <c r="K26" s="163">
        <v>9.7101599999999989E-3</v>
      </c>
      <c r="M26" s="180">
        <v>20</v>
      </c>
      <c r="N26" s="162">
        <v>4.5523151078436146E-3</v>
      </c>
      <c r="O26" s="162">
        <v>2.807411566535654E-3</v>
      </c>
      <c r="P26" s="163"/>
      <c r="Q26" s="163"/>
      <c r="R26" s="163"/>
      <c r="S26" s="180">
        <v>20</v>
      </c>
      <c r="T26" s="162">
        <v>1.5752825923805731E-2</v>
      </c>
      <c r="U26" s="162">
        <v>1.4923663877999999E-2</v>
      </c>
      <c r="V26" s="162">
        <v>2.1556960244445852E-2</v>
      </c>
      <c r="W26" s="162">
        <v>1.7428167980241681E-2</v>
      </c>
      <c r="X26" s="163"/>
      <c r="Y26" s="17">
        <v>2000</v>
      </c>
      <c r="Z26" s="17">
        <v>0</v>
      </c>
      <c r="AA26" s="163">
        <v>1.4923663877999999E-2</v>
      </c>
      <c r="AC26" s="17">
        <v>1350</v>
      </c>
      <c r="AD26" s="17">
        <v>0</v>
      </c>
      <c r="AE26" s="163">
        <v>2.1556960244445852E-2</v>
      </c>
      <c r="AG26" s="17">
        <v>1400</v>
      </c>
      <c r="AH26" s="17">
        <v>0</v>
      </c>
      <c r="AI26" s="163">
        <v>1.7428167980241681E-2</v>
      </c>
      <c r="AN26" s="114">
        <v>350</v>
      </c>
      <c r="AO26" s="183" cm="1">
        <f t="array" ref="AO26:AW26">Parameter!AD4:AL4*AN26</f>
        <v>350</v>
      </c>
      <c r="AP26" s="183">
        <v>700</v>
      </c>
      <c r="AQ26" s="183">
        <v>1050</v>
      </c>
      <c r="AR26" s="183">
        <v>1400</v>
      </c>
      <c r="AS26" s="183">
        <v>1750</v>
      </c>
      <c r="AT26" s="183">
        <v>2100</v>
      </c>
      <c r="AU26" s="183">
        <v>2450</v>
      </c>
      <c r="AV26" s="183">
        <v>2800</v>
      </c>
      <c r="AW26" s="183">
        <v>3150</v>
      </c>
    </row>
    <row r="27" spans="2:49" x14ac:dyDescent="0.3">
      <c r="B27" s="166">
        <v>25</v>
      </c>
      <c r="C27" s="171">
        <v>1.3876040703052729E-3</v>
      </c>
      <c r="D27" s="167">
        <v>2.4275399999999997E-3</v>
      </c>
      <c r="E27" s="167">
        <v>0</v>
      </c>
      <c r="G27" s="17">
        <v>500</v>
      </c>
      <c r="H27" s="17">
        <v>0</v>
      </c>
      <c r="I27" s="163">
        <v>2.4275399999999997E-3</v>
      </c>
      <c r="J27" s="163">
        <v>0</v>
      </c>
      <c r="K27" s="163">
        <v>2.4275399999999997E-3</v>
      </c>
      <c r="M27" s="180">
        <v>25</v>
      </c>
      <c r="N27" s="162">
        <v>1.3876040703052729E-3</v>
      </c>
      <c r="O27" s="162">
        <v>5.6148231330713087E-4</v>
      </c>
      <c r="P27" s="163"/>
      <c r="Q27" s="163"/>
      <c r="R27" s="163"/>
      <c r="S27" s="180">
        <v>25</v>
      </c>
      <c r="T27" s="162">
        <v>4.2625588920368451E-3</v>
      </c>
      <c r="U27" s="162">
        <v>3.7309159694999998E-3</v>
      </c>
      <c r="V27" s="162">
        <v>7.9840593497947591E-3</v>
      </c>
      <c r="W27" s="162">
        <v>3.3611466819037533E-3</v>
      </c>
      <c r="X27" s="163"/>
      <c r="Y27" s="17">
        <v>500</v>
      </c>
      <c r="Z27" s="17">
        <v>0</v>
      </c>
      <c r="AA27" s="163">
        <v>3.7309159694999998E-3</v>
      </c>
      <c r="AC27" s="17">
        <v>500</v>
      </c>
      <c r="AD27" s="17">
        <v>0</v>
      </c>
      <c r="AE27" s="163">
        <v>7.9840593497947591E-3</v>
      </c>
      <c r="AG27" s="17">
        <v>270</v>
      </c>
      <c r="AH27" s="17">
        <v>0</v>
      </c>
      <c r="AI27" s="163">
        <v>3.3611466819037533E-3</v>
      </c>
      <c r="AN27" s="114"/>
      <c r="AO27" s="184">
        <v>0</v>
      </c>
      <c r="AP27" s="184">
        <v>0</v>
      </c>
      <c r="AQ27" s="184">
        <v>1</v>
      </c>
      <c r="AR27" s="184">
        <v>1</v>
      </c>
      <c r="AS27" s="184">
        <v>1</v>
      </c>
      <c r="AT27" s="184">
        <v>1</v>
      </c>
      <c r="AU27" s="184">
        <v>1.5</v>
      </c>
      <c r="AV27" s="184">
        <v>1.5</v>
      </c>
      <c r="AW27" s="184">
        <v>1.5</v>
      </c>
    </row>
    <row r="28" spans="2:49" x14ac:dyDescent="0.3">
      <c r="B28" s="166">
        <v>35</v>
      </c>
      <c r="C28" s="171">
        <v>1.9475144846389794E-4</v>
      </c>
      <c r="D28" s="167">
        <v>2.9130479999999994E-4</v>
      </c>
      <c r="E28" s="167">
        <v>0</v>
      </c>
      <c r="G28" s="17">
        <v>60</v>
      </c>
      <c r="H28" s="17">
        <v>0</v>
      </c>
      <c r="I28" s="163">
        <v>2.9130479999999994E-4</v>
      </c>
      <c r="J28" s="163">
        <v>0</v>
      </c>
      <c r="K28" s="163">
        <v>2.9130479999999994E-4</v>
      </c>
      <c r="M28" s="180">
        <v>35</v>
      </c>
      <c r="N28" s="162">
        <v>1.9475144846389794E-4</v>
      </c>
      <c r="O28" s="162">
        <v>5.6148231330713087E-4</v>
      </c>
      <c r="P28" s="163"/>
      <c r="Q28" s="163"/>
      <c r="R28" s="163"/>
      <c r="S28" s="180">
        <v>35</v>
      </c>
      <c r="T28" s="162">
        <v>4.5162662192096064E-4</v>
      </c>
      <c r="U28" s="162">
        <v>4.4770991633999994E-4</v>
      </c>
      <c r="V28" s="162">
        <v>4.7904356098768563E-4</v>
      </c>
      <c r="W28" s="162">
        <v>3.3611466819037533E-3</v>
      </c>
      <c r="X28" s="163"/>
      <c r="Y28" s="17">
        <v>60</v>
      </c>
      <c r="Z28" s="17">
        <v>0</v>
      </c>
      <c r="AA28" s="163">
        <v>4.4770991633999994E-4</v>
      </c>
      <c r="AC28" s="17">
        <v>30</v>
      </c>
      <c r="AD28" s="17">
        <v>0</v>
      </c>
      <c r="AE28" s="163">
        <v>4.7904356098768563E-4</v>
      </c>
      <c r="AG28" s="17">
        <v>270</v>
      </c>
      <c r="AH28" s="17">
        <v>0</v>
      </c>
      <c r="AI28" s="163">
        <v>3.3611466819037533E-3</v>
      </c>
      <c r="AN28" s="114"/>
      <c r="AO28" s="114" cm="1">
        <f t="array" ref="AO28:AW28">INT(_xlfn.ANCHORARRAY(AO26)*AO27:AW27)</f>
        <v>0</v>
      </c>
      <c r="AP28" s="114">
        <v>0</v>
      </c>
      <c r="AQ28" s="114">
        <v>1050</v>
      </c>
      <c r="AR28" s="114">
        <v>1400</v>
      </c>
      <c r="AS28" s="114">
        <v>1750</v>
      </c>
      <c r="AT28" s="114">
        <v>2100</v>
      </c>
      <c r="AU28" s="114">
        <v>3675</v>
      </c>
      <c r="AV28" s="114">
        <v>4200</v>
      </c>
      <c r="AW28" s="114">
        <v>4725</v>
      </c>
    </row>
    <row r="29" spans="2:49" x14ac:dyDescent="0.3">
      <c r="B29" s="166">
        <v>50</v>
      </c>
      <c r="C29" s="171">
        <v>2.4343931057987243E-5</v>
      </c>
      <c r="D29" s="167">
        <v>5.8260959999999987E-4</v>
      </c>
      <c r="E29" s="167">
        <v>0</v>
      </c>
      <c r="G29" s="17">
        <v>120</v>
      </c>
      <c r="H29" s="17">
        <v>0</v>
      </c>
      <c r="I29" s="163">
        <v>5.8260959999999987E-4</v>
      </c>
      <c r="J29" s="163">
        <v>0</v>
      </c>
      <c r="K29" s="163">
        <v>5.8260959999999987E-4</v>
      </c>
      <c r="M29" s="180">
        <v>50</v>
      </c>
      <c r="N29" s="162">
        <v>2.4343931057987243E-5</v>
      </c>
      <c r="O29" s="162">
        <v>8.4222346996069624E-4</v>
      </c>
      <c r="P29" s="163"/>
      <c r="Q29" s="163"/>
      <c r="R29" s="163"/>
      <c r="S29" s="180">
        <v>50</v>
      </c>
      <c r="T29" s="162">
        <v>9.0325324384192128E-4</v>
      </c>
      <c r="U29" s="162">
        <v>8.9541983267999988E-4</v>
      </c>
      <c r="V29" s="162">
        <v>9.5808712197537125E-4</v>
      </c>
      <c r="W29" s="162">
        <v>4.4815289092050041E-3</v>
      </c>
      <c r="X29" s="163"/>
      <c r="Y29" s="17">
        <v>120</v>
      </c>
      <c r="Z29" s="17">
        <v>0</v>
      </c>
      <c r="AA29" s="163">
        <v>8.9541983267999988E-4</v>
      </c>
      <c r="AC29" s="17">
        <v>60</v>
      </c>
      <c r="AD29" s="17">
        <v>0</v>
      </c>
      <c r="AE29" s="163">
        <v>9.5808712197537125E-4</v>
      </c>
      <c r="AG29" s="17">
        <v>360</v>
      </c>
      <c r="AH29" s="17">
        <v>0</v>
      </c>
      <c r="AI29" s="163">
        <v>4.4815289092050041E-3</v>
      </c>
    </row>
    <row r="30" spans="2:49" x14ac:dyDescent="0.3">
      <c r="B30" s="166">
        <v>80</v>
      </c>
      <c r="C30" s="171">
        <v>4.8687862115974485E-5</v>
      </c>
      <c r="D30" s="167">
        <v>2.9130479999999994E-4</v>
      </c>
      <c r="E30" s="167">
        <v>0</v>
      </c>
      <c r="G30" s="17">
        <v>60</v>
      </c>
      <c r="H30" s="17">
        <v>0</v>
      </c>
      <c r="I30" s="163">
        <v>2.9130479999999994E-4</v>
      </c>
      <c r="J30" s="163">
        <v>0</v>
      </c>
      <c r="K30" s="163">
        <v>2.9130479999999994E-4</v>
      </c>
      <c r="M30" s="180">
        <v>80</v>
      </c>
      <c r="N30" s="162">
        <v>4.8687862115974485E-5</v>
      </c>
      <c r="O30" s="162">
        <v>8.4222346996069624E-4</v>
      </c>
      <c r="P30" s="163"/>
      <c r="Q30" s="163"/>
      <c r="R30" s="163"/>
      <c r="S30" s="180">
        <v>80</v>
      </c>
      <c r="T30" s="162">
        <v>4.5162662192096064E-4</v>
      </c>
      <c r="U30" s="162">
        <v>4.4770991633999994E-4</v>
      </c>
      <c r="V30" s="162">
        <v>4.7904356098768563E-4</v>
      </c>
      <c r="W30" s="162">
        <v>3.3611466819037533E-3</v>
      </c>
      <c r="X30" s="163"/>
      <c r="Y30" s="17">
        <v>60</v>
      </c>
      <c r="Z30" s="17">
        <v>0</v>
      </c>
      <c r="AA30" s="163">
        <v>4.4770991633999994E-4</v>
      </c>
      <c r="AC30" s="17">
        <v>30</v>
      </c>
      <c r="AD30" s="17">
        <v>0</v>
      </c>
      <c r="AE30" s="163">
        <v>4.7904356098768563E-4</v>
      </c>
      <c r="AG30" s="17">
        <v>270</v>
      </c>
      <c r="AH30" s="17">
        <v>0</v>
      </c>
      <c r="AI30" s="163">
        <v>3.3611466819037533E-3</v>
      </c>
    </row>
    <row r="31" spans="2:49" x14ac:dyDescent="0.3">
      <c r="B31" s="166">
        <v>100</v>
      </c>
      <c r="C31" s="171">
        <v>0</v>
      </c>
      <c r="D31" s="167">
        <v>5.8260959999999987E-4</v>
      </c>
      <c r="E31" s="167">
        <v>0</v>
      </c>
      <c r="G31" s="17">
        <v>120</v>
      </c>
      <c r="H31" s="17">
        <v>0</v>
      </c>
      <c r="I31" s="163">
        <v>5.8260959999999987E-4</v>
      </c>
      <c r="J31" s="163">
        <v>0</v>
      </c>
      <c r="K31" s="163">
        <v>5.8260959999999987E-4</v>
      </c>
      <c r="M31" s="180">
        <v>100</v>
      </c>
      <c r="N31" s="162">
        <v>0</v>
      </c>
      <c r="O31" s="162">
        <v>2.8074115665356543E-4</v>
      </c>
      <c r="P31" s="163"/>
      <c r="Q31" s="163"/>
      <c r="R31" s="163"/>
      <c r="S31" s="180">
        <v>100</v>
      </c>
      <c r="T31" s="162">
        <v>9.0325324384192128E-4</v>
      </c>
      <c r="U31" s="162">
        <v>8.9541983267999988E-4</v>
      </c>
      <c r="V31" s="162">
        <v>9.5808712197537125E-4</v>
      </c>
      <c r="W31" s="162">
        <v>4.4815289092050041E-3</v>
      </c>
      <c r="X31" s="163"/>
      <c r="Y31" s="17">
        <v>120</v>
      </c>
      <c r="Z31" s="17">
        <v>0</v>
      </c>
      <c r="AA31" s="163">
        <v>8.9541983267999988E-4</v>
      </c>
      <c r="AC31" s="17">
        <v>60</v>
      </c>
      <c r="AD31" s="17">
        <v>0</v>
      </c>
      <c r="AE31" s="163">
        <v>9.5808712197537125E-4</v>
      </c>
      <c r="AG31" s="17">
        <v>360</v>
      </c>
      <c r="AH31" s="17">
        <v>0</v>
      </c>
      <c r="AI31" s="163">
        <v>4.4815289092050041E-3</v>
      </c>
    </row>
    <row r="32" spans="2:49" x14ac:dyDescent="0.3">
      <c r="C32" s="17">
        <f>SUMPRODUCT(C19:C31,B19:B31)</f>
        <v>0.81333073664735367</v>
      </c>
      <c r="D32" s="17">
        <f>SUMPRODUCT(D19:D31,B19:B31)</f>
        <v>4.3061096520000008</v>
      </c>
      <c r="M32" s="180" t="s">
        <v>247</v>
      </c>
      <c r="N32" s="177">
        <f>SUMPRODUCT($M$19:$M$31, N19:N31)</f>
        <v>0.81333073664735367</v>
      </c>
      <c r="O32" s="177">
        <f>SUMPRODUCT($M$19:$M$31, O19:O31)</f>
        <v>1.301796743402583</v>
      </c>
      <c r="S32" s="180" t="s">
        <v>247</v>
      </c>
      <c r="T32" s="177"/>
      <c r="U32" s="177">
        <f>SUMPRODUCT($M$20:$M$31, U20:U31)</f>
        <v>1.7867308967802997</v>
      </c>
      <c r="V32" s="177">
        <f>SUMPRODUCT($M$20:$M$31, V20:V31)</f>
        <v>5.4425010272799508</v>
      </c>
      <c r="W32" s="177">
        <f>SUMPRODUCT($M$19:$M$31, W19:W31)</f>
        <v>4.8508875952078023</v>
      </c>
    </row>
    <row r="33" spans="3:29" x14ac:dyDescent="0.3">
      <c r="U33" s="17">
        <f>Parameter!J5/SUM(Parameter!J5:J6)</f>
        <v>0.875</v>
      </c>
      <c r="V33" s="17">
        <f>Parameter!J6/SUM(Parameter!J5:J6)</f>
        <v>0.125</v>
      </c>
    </row>
    <row r="34" spans="3:29" x14ac:dyDescent="0.3">
      <c r="C34" s="17">
        <f>1/SUM(C24:C31)</f>
        <v>33.50570962479609</v>
      </c>
      <c r="D34" s="17">
        <f>1/SUM(D24:D31)</f>
        <v>20.596982953936909</v>
      </c>
    </row>
    <row r="37" spans="3:29" x14ac:dyDescent="0.3">
      <c r="Q37" s="17" cm="1">
        <f t="array" ref="Q37:AC37">TRANSPOSE(M19:M31)</f>
        <v>0</v>
      </c>
      <c r="R37" s="17">
        <v>2</v>
      </c>
      <c r="S37" s="17">
        <v>3</v>
      </c>
      <c r="T37" s="17">
        <v>5</v>
      </c>
      <c r="U37" s="17">
        <v>8</v>
      </c>
      <c r="V37" s="17">
        <v>10</v>
      </c>
      <c r="W37" s="17">
        <v>15</v>
      </c>
      <c r="X37" s="17">
        <v>20</v>
      </c>
      <c r="Y37" s="17">
        <v>25</v>
      </c>
      <c r="Z37" s="17">
        <v>35</v>
      </c>
      <c r="AA37" s="17">
        <v>50</v>
      </c>
      <c r="AB37" s="17">
        <v>80</v>
      </c>
      <c r="AC37" s="17">
        <v>100</v>
      </c>
    </row>
    <row r="38" spans="3:29" x14ac:dyDescent="0.3">
      <c r="Q38" s="17" cm="1">
        <f t="array" ref="Q38:AC38">TRANSPOSE(Q19:Q31)</f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</row>
    <row r="39" spans="3:29" x14ac:dyDescent="0.3">
      <c r="V39" s="17">
        <v>5000</v>
      </c>
      <c r="W39" s="17">
        <v>3000</v>
      </c>
      <c r="X39" s="17">
        <v>1500</v>
      </c>
      <c r="Y39" s="17">
        <v>500</v>
      </c>
      <c r="Z39" s="17">
        <v>65</v>
      </c>
      <c r="AA39" s="17">
        <v>30</v>
      </c>
      <c r="AB39" s="17">
        <v>30</v>
      </c>
      <c r="AC39" s="17">
        <v>30</v>
      </c>
    </row>
    <row r="42" spans="3:29" x14ac:dyDescent="0.3">
      <c r="Q42" s="17" cm="1">
        <f t="array" ref="Q42:AC42">TRANSPOSE(Q19:Q31)</f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</row>
    <row r="67" spans="2:8" x14ac:dyDescent="0.3">
      <c r="B67" s="17" t="s">
        <v>171</v>
      </c>
    </row>
    <row r="68" spans="2:8" x14ac:dyDescent="0.3">
      <c r="B68" s="135" t="s">
        <v>71</v>
      </c>
      <c r="C68" s="135" t="s">
        <v>169</v>
      </c>
      <c r="D68" s="135" t="s">
        <v>168</v>
      </c>
      <c r="E68" s="173"/>
    </row>
    <row r="69" spans="2:8" x14ac:dyDescent="0.3">
      <c r="B69" s="124">
        <v>0</v>
      </c>
      <c r="C69" s="162">
        <v>5.6827150749802685E-2</v>
      </c>
      <c r="D69" s="162">
        <v>0</v>
      </c>
      <c r="E69" s="175"/>
      <c r="H69" s="17">
        <v>0</v>
      </c>
    </row>
    <row r="70" spans="2:8" x14ac:dyDescent="0.3">
      <c r="B70" s="124">
        <v>1</v>
      </c>
      <c r="C70" s="162">
        <v>0.14601420678768745</v>
      </c>
      <c r="D70" s="162">
        <v>0</v>
      </c>
      <c r="E70" s="175"/>
      <c r="H70" s="17" cm="1">
        <f t="array" ref="H70:H78">TRANSPOSE(Parameter!AD8:AL8)</f>
        <v>0</v>
      </c>
    </row>
    <row r="71" spans="2:8" x14ac:dyDescent="0.3">
      <c r="B71" s="124">
        <v>2</v>
      </c>
      <c r="C71" s="162">
        <v>0.23993685872138912</v>
      </c>
      <c r="D71" s="162">
        <v>1.18E-2</v>
      </c>
      <c r="E71" s="175"/>
      <c r="H71" s="17">
        <v>0</v>
      </c>
    </row>
    <row r="72" spans="2:8" x14ac:dyDescent="0.3">
      <c r="B72" s="124">
        <v>3</v>
      </c>
      <c r="C72" s="162">
        <v>0.24072612470402527</v>
      </c>
      <c r="D72" s="162">
        <v>0.23769999999999999</v>
      </c>
      <c r="E72" s="175"/>
      <c r="H72" s="17">
        <v>525</v>
      </c>
    </row>
    <row r="73" spans="2:8" x14ac:dyDescent="0.3">
      <c r="B73" s="124">
        <v>4</v>
      </c>
      <c r="C73" s="162">
        <v>0.17363851617995266</v>
      </c>
      <c r="D73" s="162">
        <v>0.39269999999999999</v>
      </c>
      <c r="E73" s="175"/>
      <c r="H73" s="17">
        <v>700</v>
      </c>
    </row>
    <row r="74" spans="2:8" x14ac:dyDescent="0.3">
      <c r="B74" s="124">
        <v>5</v>
      </c>
      <c r="C74" s="162">
        <v>0.10023677979479084</v>
      </c>
      <c r="D74" s="162">
        <v>0.25750000000000001</v>
      </c>
      <c r="E74" s="175"/>
      <c r="H74" s="17">
        <v>1750</v>
      </c>
    </row>
    <row r="75" spans="2:8" x14ac:dyDescent="0.3">
      <c r="B75" s="124">
        <v>6</v>
      </c>
      <c r="C75" s="162">
        <v>3.1570639305445937E-2</v>
      </c>
      <c r="D75" s="162">
        <v>8.2699999999999996E-2</v>
      </c>
      <c r="E75" s="175"/>
      <c r="H75" s="17">
        <v>2100</v>
      </c>
    </row>
    <row r="76" spans="2:8" x14ac:dyDescent="0.3">
      <c r="B76" s="124">
        <v>7</v>
      </c>
      <c r="C76" s="162">
        <v>1.0260457774269928E-2</v>
      </c>
      <c r="D76" s="162">
        <v>1.5800000000000002E-2</v>
      </c>
      <c r="E76" s="175"/>
      <c r="H76" s="17">
        <v>3675</v>
      </c>
    </row>
    <row r="77" spans="2:8" x14ac:dyDescent="0.3">
      <c r="B77" s="124">
        <v>8</v>
      </c>
      <c r="C77" s="162">
        <v>7.8926598263614838E-4</v>
      </c>
      <c r="D77" s="162">
        <v>1.6999999999999999E-3</v>
      </c>
      <c r="E77" s="175"/>
      <c r="H77" s="17">
        <v>4200</v>
      </c>
    </row>
    <row r="78" spans="2:8" x14ac:dyDescent="0.3">
      <c r="B78" s="124">
        <v>9</v>
      </c>
      <c r="C78" s="162">
        <v>0</v>
      </c>
      <c r="D78" s="162">
        <v>1E-4</v>
      </c>
      <c r="E78" s="175"/>
      <c r="H78" s="17">
        <v>4725</v>
      </c>
    </row>
    <row r="81" spans="2:12" x14ac:dyDescent="0.3">
      <c r="B81" s="17" t="s">
        <v>243</v>
      </c>
      <c r="I81" s="17" t="e">
        <f>1/I82</f>
        <v>#REF!</v>
      </c>
    </row>
    <row r="82" spans="2:12" x14ac:dyDescent="0.3">
      <c r="B82" s="135"/>
      <c r="C82" s="135" t="s">
        <v>169</v>
      </c>
      <c r="D82" s="135" t="s">
        <v>168</v>
      </c>
      <c r="E82" s="173"/>
      <c r="I82" s="163" t="e">
        <f>SUMPRODUCT(#REF!,D69:D78)</f>
        <v>#REF!</v>
      </c>
    </row>
    <row r="83" spans="2:12" x14ac:dyDescent="0.3">
      <c r="B83" s="164">
        <v>0</v>
      </c>
      <c r="C83" s="165">
        <v>0.64345873104997198</v>
      </c>
      <c r="D83" s="165" t="e" cm="1">
        <f t="array" ref="D83:D95">J83:J95</f>
        <v>#REF!</v>
      </c>
      <c r="E83" s="174"/>
      <c r="G83" s="17" cm="1">
        <f t="array" ref="G83:G95">TRANSPOSE(Parameter!O19:AA19)</f>
        <v>0</v>
      </c>
      <c r="H83" s="17" cm="1">
        <f t="array" ref="H83:H95">TRANSPOSE(Parameter!O8:AA8)</f>
        <v>0</v>
      </c>
      <c r="I83" s="163" t="e" cm="1">
        <f t="array" ref="I83:I95">_xlfn.ANCHORARRAY(H83)/SUM(_xlfn.ANCHORARRAY(H83))*I82</f>
        <v>#REF!</v>
      </c>
      <c r="J83" s="163" t="e" cm="1">
        <f t="array" ref="J83">#REF!</f>
        <v>#REF!</v>
      </c>
      <c r="K83" s="163"/>
      <c r="L83" s="168"/>
    </row>
    <row r="84" spans="2:12" x14ac:dyDescent="0.3">
      <c r="B84" s="166">
        <v>2</v>
      </c>
      <c r="C84" s="167">
        <v>0.21617069062324537</v>
      </c>
      <c r="D84" s="167">
        <v>0</v>
      </c>
      <c r="E84" s="174"/>
      <c r="G84" s="17">
        <v>6300</v>
      </c>
      <c r="H84" s="17">
        <v>0</v>
      </c>
      <c r="I84" s="163" t="e">
        <v>#REF!</v>
      </c>
      <c r="J84" s="163"/>
      <c r="K84" s="163"/>
      <c r="L84" s="163"/>
    </row>
    <row r="85" spans="2:12" x14ac:dyDescent="0.3">
      <c r="B85" s="166">
        <v>3</v>
      </c>
      <c r="C85" s="167">
        <v>8.5906793935991016E-2</v>
      </c>
      <c r="D85" s="167">
        <v>0</v>
      </c>
      <c r="E85" s="174"/>
      <c r="G85" s="17">
        <v>2800</v>
      </c>
      <c r="H85" s="17">
        <v>0</v>
      </c>
      <c r="I85" s="163" t="e">
        <v>#REF!</v>
      </c>
      <c r="J85" s="163"/>
      <c r="K85" s="163"/>
      <c r="L85" s="163"/>
    </row>
    <row r="86" spans="2:12" x14ac:dyDescent="0.3">
      <c r="B86" s="166">
        <v>5</v>
      </c>
      <c r="C86" s="167">
        <v>2.1897810218978103E-2</v>
      </c>
      <c r="D86" s="167">
        <v>0</v>
      </c>
      <c r="E86" s="174"/>
      <c r="G86" s="17">
        <v>600</v>
      </c>
      <c r="H86" s="17">
        <v>0</v>
      </c>
      <c r="I86" s="163" t="e">
        <v>#REF!</v>
      </c>
      <c r="J86" s="163"/>
      <c r="K86" s="163"/>
      <c r="L86" s="163"/>
    </row>
    <row r="87" spans="2:12" x14ac:dyDescent="0.3">
      <c r="B87" s="166">
        <v>8</v>
      </c>
      <c r="C87" s="167">
        <v>1.0668163952835485E-2</v>
      </c>
      <c r="D87" s="167">
        <v>0</v>
      </c>
      <c r="E87" s="174"/>
      <c r="G87" s="17">
        <v>300</v>
      </c>
      <c r="H87" s="17">
        <v>0</v>
      </c>
      <c r="I87" s="163" t="e">
        <v>#REF!</v>
      </c>
      <c r="J87" s="163"/>
      <c r="K87" s="163"/>
      <c r="L87" s="163"/>
    </row>
    <row r="88" spans="2:12" x14ac:dyDescent="0.3">
      <c r="B88" s="166">
        <v>10</v>
      </c>
      <c r="C88" s="167">
        <v>1.0106681639528355E-2</v>
      </c>
      <c r="D88" s="167" t="e">
        <v>#REF!</v>
      </c>
      <c r="E88" s="174"/>
      <c r="G88" s="17">
        <v>0</v>
      </c>
      <c r="H88" s="17">
        <v>4370</v>
      </c>
      <c r="I88" s="163" t="e">
        <v>#REF!</v>
      </c>
      <c r="J88" s="163" t="e" cm="1">
        <f t="array" ref="J88:J95">I88:I95</f>
        <v>#REF!</v>
      </c>
      <c r="K88" s="163"/>
      <c r="L88" s="163"/>
    </row>
    <row r="89" spans="2:12" x14ac:dyDescent="0.3">
      <c r="B89" s="166">
        <v>15</v>
      </c>
      <c r="C89" s="167">
        <v>5.8955642897248733E-3</v>
      </c>
      <c r="D89" s="167" t="e">
        <v>#REF!</v>
      </c>
      <c r="E89" s="174"/>
      <c r="G89" s="17">
        <v>0</v>
      </c>
      <c r="H89" s="17">
        <v>2700</v>
      </c>
      <c r="I89" s="163" t="e">
        <v>#REF!</v>
      </c>
      <c r="J89" s="163" t="e">
        <v>#REF!</v>
      </c>
      <c r="K89" s="163"/>
      <c r="L89" s="163"/>
    </row>
    <row r="90" spans="2:12" x14ac:dyDescent="0.3">
      <c r="B90" s="166">
        <v>20</v>
      </c>
      <c r="C90" s="167">
        <v>2.807411566535654E-3</v>
      </c>
      <c r="D90" s="167" t="e">
        <v>#REF!</v>
      </c>
      <c r="E90" s="174"/>
      <c r="G90" s="17">
        <v>0</v>
      </c>
      <c r="H90" s="17">
        <v>1400</v>
      </c>
      <c r="I90" s="163" t="e">
        <v>#REF!</v>
      </c>
      <c r="J90" s="163" t="e">
        <v>#REF!</v>
      </c>
      <c r="K90" s="163"/>
      <c r="L90" s="163"/>
    </row>
    <row r="91" spans="2:12" x14ac:dyDescent="0.3">
      <c r="B91" s="166">
        <v>25</v>
      </c>
      <c r="C91" s="167">
        <v>5.6148231330713087E-4</v>
      </c>
      <c r="D91" s="167" t="e">
        <v>#REF!</v>
      </c>
      <c r="E91" s="174"/>
      <c r="G91" s="17">
        <v>0</v>
      </c>
      <c r="H91" s="17">
        <v>270</v>
      </c>
      <c r="I91" s="163" t="e">
        <v>#REF!</v>
      </c>
      <c r="J91" s="163" t="e">
        <v>#REF!</v>
      </c>
      <c r="K91" s="163"/>
      <c r="L91" s="163"/>
    </row>
    <row r="92" spans="2:12" x14ac:dyDescent="0.3">
      <c r="B92" s="166">
        <v>35</v>
      </c>
      <c r="C92" s="167">
        <v>5.6148231330713087E-4</v>
      </c>
      <c r="D92" s="167" t="e">
        <v>#REF!</v>
      </c>
      <c r="E92" s="174"/>
      <c r="G92" s="17">
        <v>0</v>
      </c>
      <c r="H92" s="17">
        <v>270</v>
      </c>
      <c r="I92" s="163" t="e">
        <v>#REF!</v>
      </c>
      <c r="J92" s="163" t="e">
        <v>#REF!</v>
      </c>
      <c r="K92" s="163"/>
      <c r="L92" s="163"/>
    </row>
    <row r="93" spans="2:12" x14ac:dyDescent="0.3">
      <c r="B93" s="166">
        <v>50</v>
      </c>
      <c r="C93" s="167">
        <v>8.4222346996069624E-4</v>
      </c>
      <c r="D93" s="167" t="e">
        <v>#REF!</v>
      </c>
      <c r="E93" s="174"/>
      <c r="G93" s="17">
        <v>0</v>
      </c>
      <c r="H93" s="17">
        <v>360</v>
      </c>
      <c r="I93" s="163" t="e">
        <v>#REF!</v>
      </c>
      <c r="J93" s="163" t="e">
        <v>#REF!</v>
      </c>
      <c r="K93" s="163"/>
      <c r="L93" s="163"/>
    </row>
    <row r="94" spans="2:12" x14ac:dyDescent="0.3">
      <c r="B94" s="166">
        <v>80</v>
      </c>
      <c r="C94" s="167">
        <v>8.4222346996069624E-4</v>
      </c>
      <c r="D94" s="167" t="e">
        <v>#REF!</v>
      </c>
      <c r="E94" s="174"/>
      <c r="G94" s="17">
        <v>0</v>
      </c>
      <c r="H94" s="17">
        <v>270</v>
      </c>
      <c r="I94" s="163" t="e">
        <v>#REF!</v>
      </c>
      <c r="J94" s="163" t="e">
        <v>#REF!</v>
      </c>
      <c r="K94" s="163"/>
      <c r="L94" s="163"/>
    </row>
    <row r="95" spans="2:12" x14ac:dyDescent="0.3">
      <c r="B95" s="166">
        <v>100</v>
      </c>
      <c r="C95" s="167">
        <v>2.8074115665356543E-4</v>
      </c>
      <c r="D95" s="167" t="e">
        <v>#REF!</v>
      </c>
      <c r="E95" s="174"/>
      <c r="G95" s="17">
        <v>0</v>
      </c>
      <c r="H95" s="17">
        <v>360</v>
      </c>
      <c r="I95" s="163" t="e">
        <v>#REF!</v>
      </c>
      <c r="J95" s="163" t="e">
        <v>#REF!</v>
      </c>
      <c r="K95" s="163"/>
      <c r="L95" s="163"/>
    </row>
    <row r="96" spans="2:12" x14ac:dyDescent="0.3">
      <c r="C96" s="17">
        <f>SUMPRODUCT(C83:C95,B83:B95)</f>
        <v>1.301796743402583</v>
      </c>
      <c r="D96" s="17" t="e">
        <f>SUMPRODUCT(D83:D95,B83:B95)</f>
        <v>#REF!</v>
      </c>
    </row>
  </sheetData>
  <phoneticPr fontId="20" type="noConversion"/>
  <conditionalFormatting sqref="A18:A31 O89:XFD89 A81:H95 L81:L95 L35:L64 A35:A64 J32:L34 G18:H18 J17:L18 A15:F17 M90:XFD1048576 M81:Q97 G19:L31 A14:L14 G15:L16 A65:L80 A96:L1048576 I79:K96 A32:H34 A3:H13 I3:I11 L3 A1:L2 M19 P19:R19 M1:XFD3 M20:R32 K4:S13 W18:W32 M33:V33 X4:X13 Y5:AE13 AF4:XFD4 AF6:XFD13 AF5 AJ5:XFD5 M14:XFD17 W32:XFD33 X20 W17:Y18 AF19:AF31 X18:AA18 AC18:AF18 Y19:AA31 AC19:AD31 X21:AA31 S32 U32 M18:S18 U18 M40:XFD88 M39:P39 M34:XFD38 R39:XFD39 AJ18:XFD31">
    <cfRule type="cellIs" dxfId="19" priority="55" operator="equal">
      <formula>0</formula>
    </cfRule>
  </conditionalFormatting>
  <conditionalFormatting sqref="C19:C31">
    <cfRule type="cellIs" dxfId="18" priority="54" operator="equal">
      <formula>0</formula>
    </cfRule>
  </conditionalFormatting>
  <conditionalFormatting sqref="C20:C31">
    <cfRule type="dataBar" priority="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{A8B2C446-4EE6-42D7-B071-BB870B8DFBD5}</x14:id>
        </ext>
      </extLst>
    </cfRule>
  </conditionalFormatting>
  <conditionalFormatting sqref="C18">
    <cfRule type="cellIs" dxfId="17" priority="52" operator="equal">
      <formula>0</formula>
    </cfRule>
  </conditionalFormatting>
  <conditionalFormatting sqref="D19:D31">
    <cfRule type="cellIs" dxfId="16" priority="51" operator="equal">
      <formula>0</formula>
    </cfRule>
  </conditionalFormatting>
  <conditionalFormatting sqref="D20:D31">
    <cfRule type="dataBar" priority="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{C9C2295E-EA13-4CAD-A312-5E76EA18B4FD}</x14:id>
        </ext>
      </extLst>
    </cfRule>
  </conditionalFormatting>
  <conditionalFormatting sqref="F82:F95 B81:H81 B69:K78 B96">
    <cfRule type="cellIs" dxfId="15" priority="39" operator="equal">
      <formula>0</formula>
    </cfRule>
  </conditionalFormatting>
  <conditionalFormatting sqref="C83:C95">
    <cfRule type="cellIs" dxfId="14" priority="38" operator="equal">
      <formula>0</formula>
    </cfRule>
  </conditionalFormatting>
  <conditionalFormatting sqref="C84:C95">
    <cfRule type="dataBar" priority="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{1CFC1D78-6CCF-45C3-AE6C-77EA8EDFA9DD}</x14:id>
        </ext>
      </extLst>
    </cfRule>
  </conditionalFormatting>
  <conditionalFormatting sqref="C82:E82">
    <cfRule type="cellIs" dxfId="13" priority="36" operator="equal">
      <formula>0</formula>
    </cfRule>
  </conditionalFormatting>
  <conditionalFormatting sqref="D83:E95">
    <cfRule type="cellIs" dxfId="12" priority="35" operator="equal">
      <formula>0</formula>
    </cfRule>
  </conditionalFormatting>
  <conditionalFormatting sqref="D84:E95"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{4295F6B7-33B8-4A69-84B9-548D8EC59B5F}</x14:id>
        </ext>
      </extLst>
    </cfRule>
  </conditionalFormatting>
  <conditionalFormatting sqref="G82:H95">
    <cfRule type="cellIs" dxfId="11" priority="33" operator="equal">
      <formula>0</formula>
    </cfRule>
  </conditionalFormatting>
  <conditionalFormatting sqref="C96:E96">
    <cfRule type="cellIs" dxfId="10" priority="30" operator="equal">
      <formula>0</formula>
    </cfRule>
  </conditionalFormatting>
  <conditionalFormatting sqref="N89">
    <cfRule type="cellIs" dxfId="9" priority="27" operator="equal">
      <formula>0</formula>
    </cfRule>
  </conditionalFormatting>
  <conditionalFormatting sqref="E19:E31">
    <cfRule type="cellIs" dxfId="8" priority="22" operator="equal">
      <formula>0</formula>
    </cfRule>
  </conditionalFormatting>
  <conditionalFormatting sqref="E20:E31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{64576707-95C9-4D15-9974-3137242CA1E6}</x14:id>
        </ext>
      </extLst>
    </cfRule>
  </conditionalFormatting>
  <conditionalFormatting sqref="D18:E18">
    <cfRule type="cellIs" dxfId="7" priority="20" operator="equal">
      <formula>0</formula>
    </cfRule>
  </conditionalFormatting>
  <conditionalFormatting sqref="N4:Q13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{AF24BC46-1242-4684-BB2D-F95ACE59986B}</x14:id>
        </ext>
      </extLst>
    </cfRule>
  </conditionalFormatting>
  <conditionalFormatting sqref="N20:N31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{B06B1BF0-1FEC-4FC0-AC20-9127B3809213}</x14:id>
        </ext>
      </extLst>
    </cfRule>
  </conditionalFormatting>
  <conditionalFormatting sqref="O20:O31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{5A184E5D-AD62-460D-B745-411CD080DC81}</x14:id>
        </ext>
      </extLst>
    </cfRule>
  </conditionalFormatting>
  <conditionalFormatting sqref="S19:S31">
    <cfRule type="cellIs" dxfId="6" priority="15" operator="equal">
      <formula>0</formula>
    </cfRule>
  </conditionalFormatting>
  <conditionalFormatting sqref="T4:W13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{E8DC518C-B7A7-44EF-8790-AA80AD1B0A17}</x14:id>
        </ext>
      </extLst>
    </cfRule>
  </conditionalFormatting>
  <conditionalFormatting sqref="W20:W31">
    <cfRule type="dataBar" priority="1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{50EE89FB-10CD-4C04-9D87-1C045A87CE58}</x14:id>
        </ext>
      </extLst>
    </cfRule>
  </conditionalFormatting>
  <conditionalFormatting sqref="V32 V18">
    <cfRule type="cellIs" dxfId="5" priority="9" operator="equal">
      <formula>0</formula>
    </cfRule>
  </conditionalFormatting>
  <conditionalFormatting sqref="V20:V31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{381FAAC3-D7BD-4D41-96E3-2C558158820A}</x14:id>
        </ext>
      </extLst>
    </cfRule>
  </conditionalFormatting>
  <conditionalFormatting sqref="W18:W33">
    <cfRule type="cellIs" dxfId="4" priority="7" operator="equal">
      <formula>0</formula>
    </cfRule>
  </conditionalFormatting>
  <conditionalFormatting sqref="AE19:AE31">
    <cfRule type="cellIs" dxfId="3" priority="6" operator="equal">
      <formula>0</formula>
    </cfRule>
  </conditionalFormatting>
  <conditionalFormatting sqref="T32 T18">
    <cfRule type="cellIs" dxfId="2" priority="4" operator="equal">
      <formula>0</formula>
    </cfRule>
  </conditionalFormatting>
  <conditionalFormatting sqref="T20:T3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{E3A9F201-D81D-4156-A998-CA1DA1450D60}</x14:id>
        </ext>
      </extLst>
    </cfRule>
  </conditionalFormatting>
  <conditionalFormatting sqref="AG18:AI18 AG19:AH31">
    <cfRule type="cellIs" dxfId="1" priority="3" operator="equal">
      <formula>0</formula>
    </cfRule>
  </conditionalFormatting>
  <conditionalFormatting sqref="AI19:AI31">
    <cfRule type="cellIs" dxfId="0" priority="2" operator="equal">
      <formula>0</formula>
    </cfRule>
  </conditionalFormatting>
  <conditionalFormatting sqref="U20:U3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{29529594-0006-4E8A-BA4F-A6E779F0247E}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B2C446-4EE6-42D7-B071-BB870B8DFB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C20:C31</xm:sqref>
        </x14:conditionalFormatting>
        <x14:conditionalFormatting xmlns:xm="http://schemas.microsoft.com/office/excel/2006/main">
          <x14:cfRule type="dataBar" id="{C9C2295E-EA13-4CAD-A312-5E76EA18B4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D20:D31</xm:sqref>
        </x14:conditionalFormatting>
        <x14:conditionalFormatting xmlns:xm="http://schemas.microsoft.com/office/excel/2006/main">
          <x14:cfRule type="dataBar" id="{1CFC1D78-6CCF-45C3-AE6C-77EA8EDFA9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C84:C95</xm:sqref>
        </x14:conditionalFormatting>
        <x14:conditionalFormatting xmlns:xm="http://schemas.microsoft.com/office/excel/2006/main">
          <x14:cfRule type="dataBar" id="{4295F6B7-33B8-4A69-84B9-548D8EC59B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D84:E95</xm:sqref>
        </x14:conditionalFormatting>
        <x14:conditionalFormatting xmlns:xm="http://schemas.microsoft.com/office/excel/2006/main">
          <x14:cfRule type="dataBar" id="{64576707-95C9-4D15-9974-3137242CA1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E20:E31</xm:sqref>
        </x14:conditionalFormatting>
        <x14:conditionalFormatting xmlns:xm="http://schemas.microsoft.com/office/excel/2006/main">
          <x14:cfRule type="dataBar" id="{AF24BC46-1242-4684-BB2D-F95ACE5998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N4:Q13</xm:sqref>
        </x14:conditionalFormatting>
        <x14:conditionalFormatting xmlns:xm="http://schemas.microsoft.com/office/excel/2006/main">
          <x14:cfRule type="dataBar" id="{B06B1BF0-1FEC-4FC0-AC20-9127B38092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N20:N31</xm:sqref>
        </x14:conditionalFormatting>
        <x14:conditionalFormatting xmlns:xm="http://schemas.microsoft.com/office/excel/2006/main">
          <x14:cfRule type="dataBar" id="{5A184E5D-AD62-460D-B745-411CD080DC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O20:O31</xm:sqref>
        </x14:conditionalFormatting>
        <x14:conditionalFormatting xmlns:xm="http://schemas.microsoft.com/office/excel/2006/main">
          <x14:cfRule type="dataBar" id="{E8DC518C-B7A7-44EF-8790-AA80AD1B0A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T4:W13</xm:sqref>
        </x14:conditionalFormatting>
        <x14:conditionalFormatting xmlns:xm="http://schemas.microsoft.com/office/excel/2006/main">
          <x14:cfRule type="dataBar" id="{50EE89FB-10CD-4C04-9D87-1C045A87CE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W20:W31</xm:sqref>
        </x14:conditionalFormatting>
        <x14:conditionalFormatting xmlns:xm="http://schemas.microsoft.com/office/excel/2006/main">
          <x14:cfRule type="dataBar" id="{381FAAC3-D7BD-4D41-96E3-2C55815882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V20:V31</xm:sqref>
        </x14:conditionalFormatting>
        <x14:conditionalFormatting xmlns:xm="http://schemas.microsoft.com/office/excel/2006/main">
          <x14:cfRule type="dataBar" id="{E3A9F201-D81D-4156-A998-CA1DA1450D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T20:T31</xm:sqref>
        </x14:conditionalFormatting>
        <x14:conditionalFormatting xmlns:xm="http://schemas.microsoft.com/office/excel/2006/main">
          <x14:cfRule type="dataBar" id="{29529594-0006-4E8A-BA4F-A6E779F024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U20:U31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Overview</vt:lpstr>
      <vt:lpstr>Description</vt:lpstr>
      <vt:lpstr>Parameter</vt:lpstr>
      <vt:lpstr>Multiplier_Weight</vt:lpstr>
      <vt:lpstr>Multiplier_Weight_Newbie</vt:lpstr>
      <vt:lpstr>Multiplier_Weight_Oldhand</vt:lpstr>
      <vt:lpstr>OP Jackpot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2026-06-12T08:29:34Z</dcterms:modified>
</cp:coreProperties>
</file>